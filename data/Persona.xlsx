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d\Design\Excel\"/>
    </mc:Choice>
  </mc:AlternateContent>
  <xr:revisionPtr revIDLastSave="0" documentId="13_ncr:1_{6D7D957D-C3E6-4ED6-8511-632E3CC417C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se" sheetId="1" r:id="rId1"/>
    <sheet name="Desire" sheetId="6" r:id="rId2"/>
    <sheet name="Talent" sheetId="10" r:id="rId3"/>
    <sheet name="Dialogue" sheetId="8" r:id="rId4"/>
    <sheet name="#Enhance" sheetId="5" r:id="rId5"/>
    <sheet name="#Decompose" sheetId="4" r:id="rId6"/>
    <sheet name="#참조" sheetId="3" r:id="rId7"/>
    <sheet name="#캐릭터" sheetId="11" r:id="rId8"/>
  </sheets>
  <externalReferences>
    <externalReference r:id="rId9"/>
    <externalReference r:id="rId10"/>
  </externalReferences>
  <definedNames>
    <definedName name="_xlnm._FilterDatabase" localSheetId="0" hidden="1">Base!$A$3:$AB$288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1" i="1" l="1"/>
  <c r="AE637" i="1"/>
  <c r="AE636" i="1"/>
  <c r="AE635" i="1"/>
  <c r="AE634" i="1"/>
  <c r="AE633" i="1"/>
  <c r="Z633" i="1"/>
  <c r="AA633" i="1" s="1"/>
  <c r="V633" i="1"/>
  <c r="V634" i="1" s="1"/>
  <c r="R633" i="1"/>
  <c r="R634" i="1" s="1"/>
  <c r="O633" i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AE632" i="1"/>
  <c r="AA632" i="1"/>
  <c r="Y632" i="1" s="1"/>
  <c r="W632" i="1"/>
  <c r="U632" i="1" s="1"/>
  <c r="S632" i="1"/>
  <c r="Q632" i="1" s="1"/>
  <c r="AE631" i="1"/>
  <c r="AA631" i="1"/>
  <c r="Y631" i="1" s="1"/>
  <c r="W631" i="1"/>
  <c r="U631" i="1" s="1"/>
  <c r="S631" i="1"/>
  <c r="Q631" i="1"/>
  <c r="C513" i="8"/>
  <c r="D513" i="8" s="1"/>
  <c r="B513" i="8"/>
  <c r="A513" i="8"/>
  <c r="C512" i="8"/>
  <c r="D512" i="8" s="1"/>
  <c r="B512" i="8"/>
  <c r="A512" i="8"/>
  <c r="C511" i="8"/>
  <c r="D511" i="8" s="1"/>
  <c r="A511" i="8"/>
  <c r="C510" i="8"/>
  <c r="D510" i="8" s="1"/>
  <c r="A510" i="8"/>
  <c r="A509" i="8"/>
  <c r="B508" i="8"/>
  <c r="C508" i="8"/>
  <c r="D508" i="8" s="1"/>
  <c r="A508" i="8"/>
  <c r="C507" i="8"/>
  <c r="D507" i="8" s="1"/>
  <c r="B507" i="8"/>
  <c r="A507" i="8"/>
  <c r="C506" i="8"/>
  <c r="D506" i="8" s="1"/>
  <c r="B506" i="8"/>
  <c r="A506" i="8"/>
  <c r="C505" i="8"/>
  <c r="D505" i="8" s="1"/>
  <c r="B505" i="8"/>
  <c r="A505" i="8"/>
  <c r="B504" i="8"/>
  <c r="C503" i="8"/>
  <c r="D503" i="8" s="1"/>
  <c r="A503" i="8"/>
  <c r="B502" i="8"/>
  <c r="C502" i="8"/>
  <c r="D502" i="8" s="1"/>
  <c r="A501" i="8"/>
  <c r="C501" i="8"/>
  <c r="D501" i="8" s="1"/>
  <c r="B501" i="8"/>
  <c r="C500" i="8"/>
  <c r="D500" i="8" s="1"/>
  <c r="B500" i="8"/>
  <c r="A500" i="8"/>
  <c r="C499" i="8"/>
  <c r="D499" i="8" s="1"/>
  <c r="A499" i="8"/>
  <c r="AE618" i="1"/>
  <c r="AE617" i="1"/>
  <c r="AE616" i="1"/>
  <c r="AE615" i="1"/>
  <c r="AE614" i="1"/>
  <c r="Z614" i="1"/>
  <c r="AA614" i="1" s="1"/>
  <c r="Y614" i="1" s="1"/>
  <c r="V614" i="1"/>
  <c r="V615" i="1" s="1"/>
  <c r="R614" i="1"/>
  <c r="R615" i="1" s="1"/>
  <c r="O614" i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AE613" i="1"/>
  <c r="AA613" i="1"/>
  <c r="Y613" i="1" s="1"/>
  <c r="W613" i="1"/>
  <c r="U613" i="1" s="1"/>
  <c r="S613" i="1"/>
  <c r="Q613" i="1" s="1"/>
  <c r="AE612" i="1"/>
  <c r="AA612" i="1"/>
  <c r="Y612" i="1" s="1"/>
  <c r="W612" i="1"/>
  <c r="U612" i="1" s="1"/>
  <c r="S612" i="1"/>
  <c r="Q612" i="1"/>
  <c r="C484" i="8"/>
  <c r="C498" i="8"/>
  <c r="D498" i="8" s="1"/>
  <c r="A498" i="8"/>
  <c r="C497" i="8"/>
  <c r="D497" i="8" s="1"/>
  <c r="B497" i="8"/>
  <c r="A497" i="8"/>
  <c r="C496" i="8"/>
  <c r="D496" i="8" s="1"/>
  <c r="B495" i="8"/>
  <c r="C495" i="8"/>
  <c r="D495" i="8" s="1"/>
  <c r="A495" i="8"/>
  <c r="A494" i="8"/>
  <c r="C493" i="8"/>
  <c r="D493" i="8" s="1"/>
  <c r="B493" i="8"/>
  <c r="A493" i="8"/>
  <c r="C492" i="8"/>
  <c r="D492" i="8" s="1"/>
  <c r="B492" i="8"/>
  <c r="A492" i="8"/>
  <c r="C491" i="8"/>
  <c r="D491" i="8" s="1"/>
  <c r="A491" i="8"/>
  <c r="C490" i="8"/>
  <c r="D490" i="8" s="1"/>
  <c r="A490" i="8"/>
  <c r="B489" i="8"/>
  <c r="C488" i="8"/>
  <c r="D488" i="8" s="1"/>
  <c r="B488" i="8"/>
  <c r="A488" i="8"/>
  <c r="B487" i="8"/>
  <c r="C487" i="8"/>
  <c r="D487" i="8" s="1"/>
  <c r="C486" i="8"/>
  <c r="D486" i="8" s="1"/>
  <c r="B486" i="8"/>
  <c r="A486" i="8"/>
  <c r="C485" i="8"/>
  <c r="D485" i="8" s="1"/>
  <c r="B485" i="8"/>
  <c r="A485" i="8"/>
  <c r="C483" i="8"/>
  <c r="D483" i="8" s="1"/>
  <c r="B483" i="8"/>
  <c r="A483" i="8"/>
  <c r="C482" i="8"/>
  <c r="D482" i="8" s="1"/>
  <c r="B482" i="8"/>
  <c r="A482" i="8"/>
  <c r="C481" i="8"/>
  <c r="D481" i="8" s="1"/>
  <c r="C480" i="8"/>
  <c r="D480" i="8" s="1"/>
  <c r="A480" i="8"/>
  <c r="A479" i="8"/>
  <c r="C479" i="8"/>
  <c r="D479" i="8" s="1"/>
  <c r="C478" i="8"/>
  <c r="D478" i="8" s="1"/>
  <c r="B478" i="8"/>
  <c r="A478" i="8"/>
  <c r="C477" i="8"/>
  <c r="D477" i="8" s="1"/>
  <c r="B477" i="8"/>
  <c r="A477" i="8"/>
  <c r="C476" i="8"/>
  <c r="D476" i="8" s="1"/>
  <c r="C475" i="8"/>
  <c r="D475" i="8" s="1"/>
  <c r="B475" i="8"/>
  <c r="A475" i="8"/>
  <c r="B474" i="8"/>
  <c r="B473" i="8"/>
  <c r="C473" i="8"/>
  <c r="D473" i="8" s="1"/>
  <c r="A472" i="8"/>
  <c r="C472" i="8"/>
  <c r="D472" i="8" s="1"/>
  <c r="B472" i="8"/>
  <c r="C471" i="8"/>
  <c r="D471" i="8" s="1"/>
  <c r="B471" i="8"/>
  <c r="A471" i="8"/>
  <c r="C470" i="8"/>
  <c r="D470" i="8" s="1"/>
  <c r="B470" i="8"/>
  <c r="A470" i="8"/>
  <c r="C469" i="8"/>
  <c r="D469" i="8" s="1"/>
  <c r="AE599" i="1"/>
  <c r="AE598" i="1"/>
  <c r="AE597" i="1"/>
  <c r="AE596" i="1"/>
  <c r="O596" i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AE595" i="1"/>
  <c r="Z595" i="1"/>
  <c r="AA595" i="1" s="1"/>
  <c r="V595" i="1"/>
  <c r="V596" i="1" s="1"/>
  <c r="R595" i="1"/>
  <c r="R596" i="1" s="1"/>
  <c r="O595" i="1"/>
  <c r="AE594" i="1"/>
  <c r="AA594" i="1"/>
  <c r="Y594" i="1"/>
  <c r="W594" i="1"/>
  <c r="U594" i="1" s="1"/>
  <c r="S594" i="1"/>
  <c r="Q594" i="1" s="1"/>
  <c r="AE593" i="1"/>
  <c r="AA593" i="1"/>
  <c r="Y593" i="1" s="1"/>
  <c r="W593" i="1"/>
  <c r="U593" i="1" s="1"/>
  <c r="S593" i="1"/>
  <c r="Q593" i="1"/>
  <c r="C468" i="8"/>
  <c r="D468" i="8" s="1"/>
  <c r="B468" i="8"/>
  <c r="A468" i="8"/>
  <c r="C466" i="8"/>
  <c r="D466" i="8" s="1"/>
  <c r="B466" i="8"/>
  <c r="A466" i="8"/>
  <c r="C465" i="8"/>
  <c r="D465" i="8" s="1"/>
  <c r="B465" i="8"/>
  <c r="A465" i="8"/>
  <c r="C464" i="8"/>
  <c r="D464" i="8" s="1"/>
  <c r="B464" i="8"/>
  <c r="A464" i="8"/>
  <c r="C463" i="8"/>
  <c r="D463" i="8" s="1"/>
  <c r="B463" i="8"/>
  <c r="A463" i="8"/>
  <c r="C462" i="8"/>
  <c r="D462" i="8" s="1"/>
  <c r="B462" i="8"/>
  <c r="A462" i="8"/>
  <c r="C461" i="8"/>
  <c r="D461" i="8" s="1"/>
  <c r="B461" i="8"/>
  <c r="A461" i="8"/>
  <c r="C459" i="8"/>
  <c r="D459" i="8" s="1"/>
  <c r="B459" i="8"/>
  <c r="A459" i="8"/>
  <c r="C458" i="8"/>
  <c r="D458" i="8" s="1"/>
  <c r="B458" i="8"/>
  <c r="A458" i="8"/>
  <c r="C457" i="8"/>
  <c r="D457" i="8" s="1"/>
  <c r="B457" i="8"/>
  <c r="A457" i="8"/>
  <c r="C456" i="8"/>
  <c r="D456" i="8" s="1"/>
  <c r="B456" i="8"/>
  <c r="A456" i="8"/>
  <c r="C455" i="8"/>
  <c r="D455" i="8" s="1"/>
  <c r="B455" i="8"/>
  <c r="A455" i="8"/>
  <c r="C453" i="8"/>
  <c r="D453" i="8" s="1"/>
  <c r="B453" i="8"/>
  <c r="A453" i="8"/>
  <c r="A452" i="8"/>
  <c r="C451" i="8"/>
  <c r="D451" i="8" s="1"/>
  <c r="B451" i="8"/>
  <c r="A451" i="8"/>
  <c r="C450" i="8"/>
  <c r="D450" i="8" s="1"/>
  <c r="B450" i="8"/>
  <c r="A450" i="8"/>
  <c r="C449" i="8"/>
  <c r="D449" i="8" s="1"/>
  <c r="B449" i="8"/>
  <c r="A449" i="8"/>
  <c r="C448" i="8"/>
  <c r="D448" i="8" s="1"/>
  <c r="B448" i="8"/>
  <c r="A448" i="8"/>
  <c r="A447" i="8"/>
  <c r="C446" i="8"/>
  <c r="D446" i="8" s="1"/>
  <c r="B446" i="8"/>
  <c r="A446" i="8"/>
  <c r="C445" i="8"/>
  <c r="D445" i="8" s="1"/>
  <c r="B445" i="8"/>
  <c r="A445" i="8"/>
  <c r="C443" i="8"/>
  <c r="D443" i="8" s="1"/>
  <c r="B443" i="8"/>
  <c r="A443" i="8"/>
  <c r="C442" i="8"/>
  <c r="D442" i="8" s="1"/>
  <c r="B442" i="8"/>
  <c r="A442" i="8"/>
  <c r="C441" i="8"/>
  <c r="D441" i="8" s="1"/>
  <c r="B441" i="8"/>
  <c r="A441" i="8"/>
  <c r="C440" i="8"/>
  <c r="D440" i="8" s="1"/>
  <c r="B440" i="8"/>
  <c r="A440" i="8"/>
  <c r="A439" i="8"/>
  <c r="AE580" i="1"/>
  <c r="AE579" i="1"/>
  <c r="AE578" i="1"/>
  <c r="AE577" i="1"/>
  <c r="AE576" i="1"/>
  <c r="Z576" i="1"/>
  <c r="V576" i="1"/>
  <c r="R576" i="1"/>
  <c r="O576" i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AE575" i="1"/>
  <c r="AA575" i="1"/>
  <c r="Y575" i="1" s="1"/>
  <c r="W575" i="1"/>
  <c r="U575" i="1" s="1"/>
  <c r="S575" i="1"/>
  <c r="Q575" i="1" s="1"/>
  <c r="AE574" i="1"/>
  <c r="AA574" i="1"/>
  <c r="Y574" i="1" s="1"/>
  <c r="W574" i="1"/>
  <c r="U574" i="1" s="1"/>
  <c r="S574" i="1"/>
  <c r="Q574" i="1" s="1"/>
  <c r="AE561" i="1"/>
  <c r="AE560" i="1"/>
  <c r="AE559" i="1"/>
  <c r="AE558" i="1"/>
  <c r="AE557" i="1"/>
  <c r="Z557" i="1"/>
  <c r="V557" i="1"/>
  <c r="R557" i="1"/>
  <c r="O557" i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AE556" i="1"/>
  <c r="AA556" i="1"/>
  <c r="Y556" i="1" s="1"/>
  <c r="W556" i="1"/>
  <c r="U556" i="1" s="1"/>
  <c r="S556" i="1"/>
  <c r="Q556" i="1" s="1"/>
  <c r="AE555" i="1"/>
  <c r="AA555" i="1"/>
  <c r="Y555" i="1" s="1"/>
  <c r="W555" i="1"/>
  <c r="U555" i="1" s="1"/>
  <c r="S555" i="1"/>
  <c r="Q555" i="1" s="1"/>
  <c r="C438" i="8"/>
  <c r="D438" i="8" s="1"/>
  <c r="B438" i="8"/>
  <c r="C437" i="8"/>
  <c r="D437" i="8" s="1"/>
  <c r="B437" i="8"/>
  <c r="C436" i="8"/>
  <c r="D436" i="8" s="1"/>
  <c r="B436" i="8"/>
  <c r="C435" i="8"/>
  <c r="D435" i="8" s="1"/>
  <c r="B435" i="8"/>
  <c r="C434" i="8"/>
  <c r="D434" i="8" s="1"/>
  <c r="B434" i="8"/>
  <c r="C433" i="8"/>
  <c r="D433" i="8" s="1"/>
  <c r="B433" i="8"/>
  <c r="C432" i="8"/>
  <c r="D432" i="8" s="1"/>
  <c r="B432" i="8"/>
  <c r="C431" i="8"/>
  <c r="D431" i="8" s="1"/>
  <c r="B431" i="8"/>
  <c r="C430" i="8"/>
  <c r="D430" i="8" s="1"/>
  <c r="B430" i="8"/>
  <c r="C429" i="8"/>
  <c r="D429" i="8" s="1"/>
  <c r="B429" i="8"/>
  <c r="C428" i="8"/>
  <c r="D428" i="8" s="1"/>
  <c r="B428" i="8"/>
  <c r="C427" i="8"/>
  <c r="D427" i="8" s="1"/>
  <c r="B427" i="8"/>
  <c r="C426" i="8"/>
  <c r="D426" i="8" s="1"/>
  <c r="B426" i="8"/>
  <c r="C425" i="8"/>
  <c r="D425" i="8" s="1"/>
  <c r="B425" i="8"/>
  <c r="C424" i="8"/>
  <c r="D424" i="8" s="1"/>
  <c r="B424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E542" i="1"/>
  <c r="AE541" i="1"/>
  <c r="AE540" i="1"/>
  <c r="AE539" i="1"/>
  <c r="AE538" i="1"/>
  <c r="Z538" i="1"/>
  <c r="V538" i="1"/>
  <c r="R538" i="1"/>
  <c r="O538" i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AE537" i="1"/>
  <c r="AA537" i="1"/>
  <c r="Y537" i="1" s="1"/>
  <c r="W537" i="1"/>
  <c r="U537" i="1" s="1"/>
  <c r="S537" i="1"/>
  <c r="Q537" i="1" s="1"/>
  <c r="AE536" i="1"/>
  <c r="AA536" i="1"/>
  <c r="Y536" i="1" s="1"/>
  <c r="W536" i="1"/>
  <c r="U536" i="1" s="1"/>
  <c r="S536" i="1"/>
  <c r="Q536" i="1" s="1"/>
  <c r="AE523" i="1"/>
  <c r="AE522" i="1"/>
  <c r="AE521" i="1"/>
  <c r="AE520" i="1"/>
  <c r="AE519" i="1"/>
  <c r="Z519" i="1"/>
  <c r="V519" i="1"/>
  <c r="R519" i="1"/>
  <c r="O519" i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AE518" i="1"/>
  <c r="AA518" i="1"/>
  <c r="Y518" i="1" s="1"/>
  <c r="W518" i="1"/>
  <c r="U518" i="1" s="1"/>
  <c r="S518" i="1"/>
  <c r="Q518" i="1" s="1"/>
  <c r="AE517" i="1"/>
  <c r="AA517" i="1"/>
  <c r="Y517" i="1"/>
  <c r="W517" i="1"/>
  <c r="U517" i="1" s="1"/>
  <c r="S517" i="1"/>
  <c r="Q517" i="1" s="1"/>
  <c r="D423" i="8"/>
  <c r="A423" i="8"/>
  <c r="D422" i="8"/>
  <c r="A422" i="8"/>
  <c r="D421" i="8"/>
  <c r="A421" i="8"/>
  <c r="D420" i="8"/>
  <c r="A420" i="8"/>
  <c r="D419" i="8"/>
  <c r="A419" i="8"/>
  <c r="D418" i="8"/>
  <c r="A418" i="8"/>
  <c r="D417" i="8"/>
  <c r="A417" i="8"/>
  <c r="D416" i="8"/>
  <c r="A416" i="8"/>
  <c r="D415" i="8"/>
  <c r="A415" i="8"/>
  <c r="D414" i="8"/>
  <c r="A414" i="8"/>
  <c r="D413" i="8"/>
  <c r="A413" i="8"/>
  <c r="D412" i="8"/>
  <c r="A412" i="8"/>
  <c r="D411" i="8"/>
  <c r="A411" i="8"/>
  <c r="D410" i="8"/>
  <c r="A410" i="8"/>
  <c r="D409" i="8"/>
  <c r="A409" i="8"/>
  <c r="D408" i="8"/>
  <c r="A408" i="8"/>
  <c r="D407" i="8"/>
  <c r="A407" i="8"/>
  <c r="D406" i="8"/>
  <c r="A406" i="8"/>
  <c r="D405" i="8"/>
  <c r="A405" i="8"/>
  <c r="D404" i="8"/>
  <c r="A404" i="8"/>
  <c r="D403" i="8"/>
  <c r="A403" i="8"/>
  <c r="D402" i="8"/>
  <c r="A402" i="8"/>
  <c r="D401" i="8"/>
  <c r="A401" i="8"/>
  <c r="D400" i="8"/>
  <c r="A400" i="8"/>
  <c r="D399" i="8"/>
  <c r="A399" i="8"/>
  <c r="D398" i="8"/>
  <c r="A398" i="8"/>
  <c r="D397" i="8"/>
  <c r="A397" i="8"/>
  <c r="D396" i="8"/>
  <c r="A396" i="8"/>
  <c r="D395" i="8"/>
  <c r="A395" i="8"/>
  <c r="D394" i="8"/>
  <c r="A394" i="8"/>
  <c r="AE504" i="1"/>
  <c r="AE503" i="1"/>
  <c r="AE502" i="1"/>
  <c r="AE501" i="1"/>
  <c r="AE500" i="1"/>
  <c r="Z500" i="1"/>
  <c r="V500" i="1"/>
  <c r="R500" i="1"/>
  <c r="O500" i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AE499" i="1"/>
  <c r="AA499" i="1"/>
  <c r="Y499" i="1" s="1"/>
  <c r="W499" i="1"/>
  <c r="U499" i="1" s="1"/>
  <c r="S499" i="1"/>
  <c r="Q499" i="1" s="1"/>
  <c r="AE498" i="1"/>
  <c r="AA498" i="1"/>
  <c r="Y498" i="1" s="1"/>
  <c r="W498" i="1"/>
  <c r="U498" i="1" s="1"/>
  <c r="S498" i="1"/>
  <c r="Q498" i="1" s="1"/>
  <c r="D393" i="8"/>
  <c r="A393" i="8"/>
  <c r="D392" i="8"/>
  <c r="A392" i="8"/>
  <c r="D391" i="8"/>
  <c r="A391" i="8"/>
  <c r="D390" i="8"/>
  <c r="A390" i="8"/>
  <c r="D389" i="8"/>
  <c r="A389" i="8"/>
  <c r="D388" i="8"/>
  <c r="A388" i="8"/>
  <c r="D387" i="8"/>
  <c r="A387" i="8"/>
  <c r="D386" i="8"/>
  <c r="A386" i="8"/>
  <c r="D385" i="8"/>
  <c r="A385" i="8"/>
  <c r="D384" i="8"/>
  <c r="A384" i="8"/>
  <c r="D383" i="8"/>
  <c r="A383" i="8"/>
  <c r="D382" i="8"/>
  <c r="A382" i="8"/>
  <c r="D381" i="8"/>
  <c r="A381" i="8"/>
  <c r="D380" i="8"/>
  <c r="A380" i="8"/>
  <c r="D379" i="8"/>
  <c r="A379" i="8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AE485" i="1"/>
  <c r="AE484" i="1"/>
  <c r="AE483" i="1"/>
  <c r="AE482" i="1"/>
  <c r="AE481" i="1"/>
  <c r="Z481" i="1"/>
  <c r="V481" i="1"/>
  <c r="R481" i="1"/>
  <c r="O481" i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AE480" i="1"/>
  <c r="AA480" i="1"/>
  <c r="Y480" i="1" s="1"/>
  <c r="W480" i="1"/>
  <c r="U480" i="1" s="1"/>
  <c r="S480" i="1"/>
  <c r="Q480" i="1" s="1"/>
  <c r="AE479" i="1"/>
  <c r="AA479" i="1"/>
  <c r="Y479" i="1" s="1"/>
  <c r="W479" i="1"/>
  <c r="U479" i="1" s="1"/>
  <c r="S479" i="1"/>
  <c r="Q479" i="1" s="1"/>
  <c r="Y118" i="1"/>
  <c r="AA461" i="1"/>
  <c r="Y461" i="1" s="1"/>
  <c r="AA460" i="1"/>
  <c r="Y460" i="1" s="1"/>
  <c r="AA442" i="1"/>
  <c r="Y442" i="1" s="1"/>
  <c r="AA441" i="1"/>
  <c r="Y441" i="1" s="1"/>
  <c r="AA423" i="1"/>
  <c r="Y423" i="1" s="1"/>
  <c r="AA422" i="1"/>
  <c r="Y422" i="1" s="1"/>
  <c r="AA404" i="1"/>
  <c r="Y404" i="1" s="1"/>
  <c r="AA403" i="1"/>
  <c r="Y403" i="1" s="1"/>
  <c r="AA385" i="1"/>
  <c r="Y385" i="1" s="1"/>
  <c r="AA384" i="1"/>
  <c r="Y384" i="1" s="1"/>
  <c r="AA366" i="1"/>
  <c r="Y366" i="1" s="1"/>
  <c r="AA365" i="1"/>
  <c r="Y365" i="1" s="1"/>
  <c r="AA347" i="1"/>
  <c r="Y347" i="1" s="1"/>
  <c r="AA346" i="1"/>
  <c r="Y346" i="1" s="1"/>
  <c r="AA328" i="1"/>
  <c r="Y328" i="1" s="1"/>
  <c r="AA327" i="1"/>
  <c r="Y327" i="1" s="1"/>
  <c r="AA310" i="1"/>
  <c r="AA309" i="1"/>
  <c r="Y309" i="1" s="1"/>
  <c r="AA308" i="1"/>
  <c r="Y308" i="1" s="1"/>
  <c r="AA290" i="1"/>
  <c r="Y290" i="1" s="1"/>
  <c r="AA289" i="1"/>
  <c r="Y289" i="1" s="1"/>
  <c r="AA271" i="1"/>
  <c r="Y271" i="1" s="1"/>
  <c r="AA270" i="1"/>
  <c r="Y270" i="1" s="1"/>
  <c r="AA252" i="1"/>
  <c r="Y252" i="1" s="1"/>
  <c r="AA251" i="1"/>
  <c r="Y251" i="1" s="1"/>
  <c r="AA233" i="1"/>
  <c r="Y233" i="1" s="1"/>
  <c r="AA232" i="1"/>
  <c r="Y232" i="1" s="1"/>
  <c r="AA214" i="1"/>
  <c r="Y214" i="1" s="1"/>
  <c r="AA213" i="1"/>
  <c r="Y213" i="1" s="1"/>
  <c r="AA195" i="1"/>
  <c r="Y195" i="1" s="1"/>
  <c r="AA194" i="1"/>
  <c r="Y194" i="1" s="1"/>
  <c r="AA176" i="1"/>
  <c r="Y176" i="1" s="1"/>
  <c r="AA175" i="1"/>
  <c r="Y175" i="1" s="1"/>
  <c r="AA157" i="1"/>
  <c r="Y157" i="1" s="1"/>
  <c r="AA156" i="1"/>
  <c r="Y156" i="1" s="1"/>
  <c r="AA138" i="1"/>
  <c r="Y138" i="1" s="1"/>
  <c r="AA137" i="1"/>
  <c r="Y137" i="1" s="1"/>
  <c r="AA119" i="1"/>
  <c r="Y119" i="1" s="1"/>
  <c r="AA118" i="1"/>
  <c r="AA100" i="1"/>
  <c r="Y100" i="1" s="1"/>
  <c r="AA99" i="1"/>
  <c r="Y99" i="1" s="1"/>
  <c r="AA81" i="1"/>
  <c r="Y81" i="1" s="1"/>
  <c r="AA80" i="1"/>
  <c r="Y80" i="1" s="1"/>
  <c r="AA62" i="1"/>
  <c r="Y62" i="1" s="1"/>
  <c r="AA61" i="1"/>
  <c r="Y61" i="1" s="1"/>
  <c r="AA43" i="1"/>
  <c r="Y43" i="1" s="1"/>
  <c r="AA42" i="1"/>
  <c r="Y42" i="1" s="1"/>
  <c r="AA24" i="1"/>
  <c r="Y24" i="1" s="1"/>
  <c r="AA23" i="1"/>
  <c r="Y23" i="1" s="1"/>
  <c r="AA5" i="1"/>
  <c r="Y5" i="1" s="1"/>
  <c r="AA4" i="1"/>
  <c r="Y4" i="1" s="1"/>
  <c r="W461" i="1"/>
  <c r="U461" i="1" s="1"/>
  <c r="W460" i="1"/>
  <c r="U460" i="1" s="1"/>
  <c r="W442" i="1"/>
  <c r="U442" i="1" s="1"/>
  <c r="W441" i="1"/>
  <c r="U441" i="1" s="1"/>
  <c r="W424" i="1"/>
  <c r="W423" i="1"/>
  <c r="U423" i="1" s="1"/>
  <c r="W422" i="1"/>
  <c r="U422" i="1" s="1"/>
  <c r="W404" i="1"/>
  <c r="U404" i="1" s="1"/>
  <c r="W403" i="1"/>
  <c r="U403" i="1" s="1"/>
  <c r="W385" i="1"/>
  <c r="U385" i="1" s="1"/>
  <c r="W384" i="1"/>
  <c r="U384" i="1" s="1"/>
  <c r="W366" i="1"/>
  <c r="U366" i="1" s="1"/>
  <c r="W365" i="1"/>
  <c r="U365" i="1" s="1"/>
  <c r="W347" i="1"/>
  <c r="U347" i="1" s="1"/>
  <c r="W346" i="1"/>
  <c r="U346" i="1" s="1"/>
  <c r="W328" i="1"/>
  <c r="U328" i="1" s="1"/>
  <c r="W327" i="1"/>
  <c r="U327" i="1" s="1"/>
  <c r="W309" i="1"/>
  <c r="U309" i="1" s="1"/>
  <c r="W308" i="1"/>
  <c r="U308" i="1" s="1"/>
  <c r="W291" i="1"/>
  <c r="W290" i="1"/>
  <c r="U290" i="1" s="1"/>
  <c r="W289" i="1"/>
  <c r="U289" i="1" s="1"/>
  <c r="W271" i="1"/>
  <c r="U271" i="1" s="1"/>
  <c r="W270" i="1"/>
  <c r="U270" i="1" s="1"/>
  <c r="W252" i="1"/>
  <c r="U252" i="1" s="1"/>
  <c r="W251" i="1"/>
  <c r="U251" i="1" s="1"/>
  <c r="W233" i="1"/>
  <c r="U233" i="1" s="1"/>
  <c r="W232" i="1"/>
  <c r="U232" i="1" s="1"/>
  <c r="W214" i="1"/>
  <c r="U214" i="1" s="1"/>
  <c r="W213" i="1"/>
  <c r="U213" i="1" s="1"/>
  <c r="W195" i="1"/>
  <c r="U195" i="1" s="1"/>
  <c r="W194" i="1"/>
  <c r="U194" i="1" s="1"/>
  <c r="W176" i="1"/>
  <c r="U176" i="1" s="1"/>
  <c r="W175" i="1"/>
  <c r="U175" i="1" s="1"/>
  <c r="W157" i="1"/>
  <c r="U157" i="1" s="1"/>
  <c r="W156" i="1"/>
  <c r="U156" i="1" s="1"/>
  <c r="W138" i="1"/>
  <c r="U138" i="1" s="1"/>
  <c r="W137" i="1"/>
  <c r="U137" i="1" s="1"/>
  <c r="W119" i="1"/>
  <c r="U119" i="1" s="1"/>
  <c r="W118" i="1"/>
  <c r="U118" i="1" s="1"/>
  <c r="W101" i="1"/>
  <c r="W100" i="1"/>
  <c r="U100" i="1" s="1"/>
  <c r="W99" i="1"/>
  <c r="U99" i="1" s="1"/>
  <c r="W81" i="1"/>
  <c r="U81" i="1" s="1"/>
  <c r="W80" i="1"/>
  <c r="U80" i="1" s="1"/>
  <c r="W62" i="1"/>
  <c r="U62" i="1" s="1"/>
  <c r="W61" i="1"/>
  <c r="U61" i="1" s="1"/>
  <c r="W43" i="1"/>
  <c r="U43" i="1" s="1"/>
  <c r="W42" i="1"/>
  <c r="U42" i="1" s="1"/>
  <c r="W24" i="1"/>
  <c r="U24" i="1" s="1"/>
  <c r="W23" i="1"/>
  <c r="U23" i="1" s="1"/>
  <c r="W5" i="1"/>
  <c r="U5" i="1" s="1"/>
  <c r="W4" i="1"/>
  <c r="U4" i="1" s="1"/>
  <c r="S461" i="1"/>
  <c r="Q461" i="1" s="1"/>
  <c r="S460" i="1"/>
  <c r="Q460" i="1" s="1"/>
  <c r="S442" i="1"/>
  <c r="Q442" i="1" s="1"/>
  <c r="S441" i="1"/>
  <c r="Q441" i="1" s="1"/>
  <c r="S423" i="1"/>
  <c r="Q423" i="1" s="1"/>
  <c r="S422" i="1"/>
  <c r="Q422" i="1" s="1"/>
  <c r="S404" i="1"/>
  <c r="Q404" i="1" s="1"/>
  <c r="S403" i="1"/>
  <c r="Q403" i="1" s="1"/>
  <c r="S385" i="1"/>
  <c r="Q385" i="1" s="1"/>
  <c r="S384" i="1"/>
  <c r="Q384" i="1" s="1"/>
  <c r="S366" i="1"/>
  <c r="Q366" i="1" s="1"/>
  <c r="S365" i="1"/>
  <c r="Q365" i="1" s="1"/>
  <c r="S348" i="1"/>
  <c r="S347" i="1"/>
  <c r="Q347" i="1" s="1"/>
  <c r="S346" i="1"/>
  <c r="Q346" i="1" s="1"/>
  <c r="S328" i="1"/>
  <c r="Q328" i="1" s="1"/>
  <c r="S327" i="1"/>
  <c r="Q327" i="1" s="1"/>
  <c r="S309" i="1"/>
  <c r="Q309" i="1" s="1"/>
  <c r="S308" i="1"/>
  <c r="Q308" i="1" s="1"/>
  <c r="S290" i="1"/>
  <c r="Q290" i="1" s="1"/>
  <c r="S289" i="1"/>
  <c r="Q289" i="1" s="1"/>
  <c r="S271" i="1"/>
  <c r="Q271" i="1" s="1"/>
  <c r="S270" i="1"/>
  <c r="Q270" i="1" s="1"/>
  <c r="S252" i="1"/>
  <c r="Q252" i="1" s="1"/>
  <c r="S251" i="1"/>
  <c r="Q251" i="1" s="1"/>
  <c r="S233" i="1"/>
  <c r="Q233" i="1" s="1"/>
  <c r="S232" i="1"/>
  <c r="Q232" i="1" s="1"/>
  <c r="S214" i="1"/>
  <c r="Q214" i="1" s="1"/>
  <c r="S213" i="1"/>
  <c r="Q213" i="1" s="1"/>
  <c r="S195" i="1"/>
  <c r="Q195" i="1" s="1"/>
  <c r="S194" i="1"/>
  <c r="Q194" i="1" s="1"/>
  <c r="S176" i="1"/>
  <c r="Q176" i="1" s="1"/>
  <c r="S175" i="1"/>
  <c r="Q175" i="1" s="1"/>
  <c r="S157" i="1"/>
  <c r="Q157" i="1" s="1"/>
  <c r="S156" i="1"/>
  <c r="Q156" i="1" s="1"/>
  <c r="S138" i="1"/>
  <c r="Q138" i="1" s="1"/>
  <c r="S137" i="1"/>
  <c r="Q137" i="1" s="1"/>
  <c r="S119" i="1"/>
  <c r="Q119" i="1" s="1"/>
  <c r="S118" i="1"/>
  <c r="Q118" i="1" s="1"/>
  <c r="S100" i="1"/>
  <c r="Q100" i="1" s="1"/>
  <c r="S99" i="1"/>
  <c r="Q99" i="1" s="1"/>
  <c r="S81" i="1"/>
  <c r="Q81" i="1" s="1"/>
  <c r="S80" i="1"/>
  <c r="Q80" i="1" s="1"/>
  <c r="S62" i="1"/>
  <c r="Q62" i="1" s="1"/>
  <c r="S61" i="1"/>
  <c r="Q61" i="1" s="1"/>
  <c r="S43" i="1"/>
  <c r="Q43" i="1" s="1"/>
  <c r="S42" i="1"/>
  <c r="Q42" i="1" s="1"/>
  <c r="S24" i="1"/>
  <c r="Q24" i="1" s="1"/>
  <c r="S23" i="1"/>
  <c r="Q23" i="1" s="1"/>
  <c r="S4" i="1"/>
  <c r="Q4" i="1" s="1"/>
  <c r="S5" i="1"/>
  <c r="Q5" i="1" s="1"/>
  <c r="Z462" i="1"/>
  <c r="Z443" i="1"/>
  <c r="Z424" i="1"/>
  <c r="Z405" i="1"/>
  <c r="Z386" i="1"/>
  <c r="Z367" i="1"/>
  <c r="Z348" i="1"/>
  <c r="Z329" i="1"/>
  <c r="Z310" i="1"/>
  <c r="Z291" i="1"/>
  <c r="Z272" i="1"/>
  <c r="Z273" i="1" s="1"/>
  <c r="Z253" i="1"/>
  <c r="Z234" i="1"/>
  <c r="Z215" i="1"/>
  <c r="Z196" i="1"/>
  <c r="Z177" i="1"/>
  <c r="Z158" i="1"/>
  <c r="Z159" i="1" s="1"/>
  <c r="AA159" i="1" s="1"/>
  <c r="Z139" i="1"/>
  <c r="Z120" i="1"/>
  <c r="Z101" i="1"/>
  <c r="Z82" i="1"/>
  <c r="Z63" i="1"/>
  <c r="Z44" i="1"/>
  <c r="Z25" i="1"/>
  <c r="Z6" i="1"/>
  <c r="V462" i="1"/>
  <c r="W462" i="1" s="1"/>
  <c r="V443" i="1"/>
  <c r="V424" i="1"/>
  <c r="V405" i="1"/>
  <c r="V386" i="1"/>
  <c r="V367" i="1"/>
  <c r="V368" i="1" s="1"/>
  <c r="V348" i="1"/>
  <c r="V329" i="1"/>
  <c r="V311" i="1"/>
  <c r="V310" i="1"/>
  <c r="V291" i="1"/>
  <c r="V272" i="1"/>
  <c r="V253" i="1"/>
  <c r="V234" i="1"/>
  <c r="V215" i="1"/>
  <c r="V196" i="1"/>
  <c r="V177" i="1"/>
  <c r="V158" i="1"/>
  <c r="V159" i="1" s="1"/>
  <c r="V140" i="1"/>
  <c r="V139" i="1"/>
  <c r="V120" i="1"/>
  <c r="V101" i="1"/>
  <c r="V82" i="1"/>
  <c r="V83" i="1" s="1"/>
  <c r="V63" i="1"/>
  <c r="V44" i="1"/>
  <c r="V45" i="1" s="1"/>
  <c r="W45" i="1" s="1"/>
  <c r="V25" i="1"/>
  <c r="W25" i="1" s="1"/>
  <c r="V6" i="1"/>
  <c r="R462" i="1"/>
  <c r="R443" i="1"/>
  <c r="R424" i="1"/>
  <c r="S424" i="1" s="1"/>
  <c r="R405" i="1"/>
  <c r="R386" i="1"/>
  <c r="R387" i="1" s="1"/>
  <c r="R367" i="1"/>
  <c r="R368" i="1" s="1"/>
  <c r="R348" i="1"/>
  <c r="R349" i="1" s="1"/>
  <c r="S349" i="1" s="1"/>
  <c r="R330" i="1"/>
  <c r="R329" i="1"/>
  <c r="R310" i="1"/>
  <c r="S310" i="1" s="1"/>
  <c r="R291" i="1"/>
  <c r="R272" i="1"/>
  <c r="R253" i="1"/>
  <c r="S253" i="1" s="1"/>
  <c r="R234" i="1"/>
  <c r="S234" i="1" s="1"/>
  <c r="R215" i="1"/>
  <c r="S215" i="1" s="1"/>
  <c r="R196" i="1"/>
  <c r="S196" i="1" s="1"/>
  <c r="R177" i="1"/>
  <c r="R158" i="1"/>
  <c r="R139" i="1"/>
  <c r="R120" i="1"/>
  <c r="S120" i="1" s="1"/>
  <c r="R102" i="1"/>
  <c r="R101" i="1"/>
  <c r="R82" i="1"/>
  <c r="S82" i="1" s="1"/>
  <c r="R63" i="1"/>
  <c r="R44" i="1"/>
  <c r="R45" i="1" s="1"/>
  <c r="R25" i="1"/>
  <c r="S25" i="1" s="1"/>
  <c r="R6" i="1"/>
  <c r="O462" i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43" i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24" i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05" i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386" i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367" i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48" i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29" i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10" i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291" i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272" i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53" i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34" i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15" i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196" i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177" i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58" i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39" i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20" i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01" i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82" i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63" i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44" i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25" i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6" i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T72" i="10"/>
  <c r="T71" i="10"/>
  <c r="T70" i="10"/>
  <c r="T69" i="10"/>
  <c r="T68" i="10"/>
  <c r="T67" i="10"/>
  <c r="T66" i="10"/>
  <c r="T65" i="10"/>
  <c r="T64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4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19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C1463" i="10"/>
  <c r="C1473" i="10" s="1"/>
  <c r="C1483" i="10" s="1"/>
  <c r="C1493" i="10" s="1"/>
  <c r="C1503" i="10" s="1"/>
  <c r="C1462" i="10"/>
  <c r="C1472" i="10" s="1"/>
  <c r="C1482" i="10" s="1"/>
  <c r="C1492" i="10" s="1"/>
  <c r="C1502" i="10" s="1"/>
  <c r="C1461" i="10"/>
  <c r="C1471" i="10" s="1"/>
  <c r="C1481" i="10" s="1"/>
  <c r="C1491" i="10" s="1"/>
  <c r="C1501" i="10" s="1"/>
  <c r="C1460" i="10"/>
  <c r="C1470" i="10" s="1"/>
  <c r="C1480" i="10" s="1"/>
  <c r="C1490" i="10" s="1"/>
  <c r="C1500" i="10" s="1"/>
  <c r="C1459" i="10"/>
  <c r="C1469" i="10" s="1"/>
  <c r="C1479" i="10" s="1"/>
  <c r="C1489" i="10" s="1"/>
  <c r="C1499" i="10" s="1"/>
  <c r="C1458" i="10"/>
  <c r="C1468" i="10" s="1"/>
  <c r="C1478" i="10" s="1"/>
  <c r="C1488" i="10" s="1"/>
  <c r="C1498" i="10" s="1"/>
  <c r="C1457" i="10"/>
  <c r="C1467" i="10" s="1"/>
  <c r="C1477" i="10" s="1"/>
  <c r="C1487" i="10" s="1"/>
  <c r="C1497" i="10" s="1"/>
  <c r="C1456" i="10"/>
  <c r="C1466" i="10" s="1"/>
  <c r="C1476" i="10" s="1"/>
  <c r="C1486" i="10" s="1"/>
  <c r="C1496" i="10" s="1"/>
  <c r="C1455" i="10"/>
  <c r="C1465" i="10" s="1"/>
  <c r="C1475" i="10" s="1"/>
  <c r="C1485" i="10" s="1"/>
  <c r="C1495" i="10" s="1"/>
  <c r="C1454" i="10"/>
  <c r="C1464" i="10" s="1"/>
  <c r="C1474" i="10" s="1"/>
  <c r="C1484" i="10" s="1"/>
  <c r="C1494" i="10" s="1"/>
  <c r="C1403" i="10"/>
  <c r="C1413" i="10" s="1"/>
  <c r="C1423" i="10" s="1"/>
  <c r="C1433" i="10" s="1"/>
  <c r="C1443" i="10" s="1"/>
  <c r="C1402" i="10"/>
  <c r="C1412" i="10" s="1"/>
  <c r="C1422" i="10" s="1"/>
  <c r="C1432" i="10" s="1"/>
  <c r="C1442" i="10" s="1"/>
  <c r="C1401" i="10"/>
  <c r="C1411" i="10" s="1"/>
  <c r="C1421" i="10" s="1"/>
  <c r="C1431" i="10" s="1"/>
  <c r="C1441" i="10" s="1"/>
  <c r="C1400" i="10"/>
  <c r="C1410" i="10" s="1"/>
  <c r="C1420" i="10" s="1"/>
  <c r="C1430" i="10" s="1"/>
  <c r="C1440" i="10" s="1"/>
  <c r="C1399" i="10"/>
  <c r="C1409" i="10" s="1"/>
  <c r="C1419" i="10" s="1"/>
  <c r="C1429" i="10" s="1"/>
  <c r="C1439" i="10" s="1"/>
  <c r="C1398" i="10"/>
  <c r="C1408" i="10" s="1"/>
  <c r="C1418" i="10" s="1"/>
  <c r="C1428" i="10" s="1"/>
  <c r="C1438" i="10" s="1"/>
  <c r="C1397" i="10"/>
  <c r="C1407" i="10" s="1"/>
  <c r="C1417" i="10" s="1"/>
  <c r="C1427" i="10" s="1"/>
  <c r="C1437" i="10" s="1"/>
  <c r="C1396" i="10"/>
  <c r="C1406" i="10" s="1"/>
  <c r="C1416" i="10" s="1"/>
  <c r="C1426" i="10" s="1"/>
  <c r="C1436" i="10" s="1"/>
  <c r="C1395" i="10"/>
  <c r="C1405" i="10" s="1"/>
  <c r="C1415" i="10" s="1"/>
  <c r="C1425" i="10" s="1"/>
  <c r="C1435" i="10" s="1"/>
  <c r="C1394" i="10"/>
  <c r="C1404" i="10" s="1"/>
  <c r="C1414" i="10" s="1"/>
  <c r="C1424" i="10" s="1"/>
  <c r="C1434" i="10" s="1"/>
  <c r="C1343" i="10"/>
  <c r="C1353" i="10" s="1"/>
  <c r="C1363" i="10" s="1"/>
  <c r="C1373" i="10" s="1"/>
  <c r="C1383" i="10" s="1"/>
  <c r="C1342" i="10"/>
  <c r="C1352" i="10" s="1"/>
  <c r="C1362" i="10" s="1"/>
  <c r="C1372" i="10" s="1"/>
  <c r="C1382" i="10" s="1"/>
  <c r="C1341" i="10"/>
  <c r="C1351" i="10" s="1"/>
  <c r="C1361" i="10" s="1"/>
  <c r="C1371" i="10" s="1"/>
  <c r="C1381" i="10" s="1"/>
  <c r="C1340" i="10"/>
  <c r="C1350" i="10" s="1"/>
  <c r="C1360" i="10" s="1"/>
  <c r="C1370" i="10" s="1"/>
  <c r="C1380" i="10" s="1"/>
  <c r="C1339" i="10"/>
  <c r="C1349" i="10" s="1"/>
  <c r="C1359" i="10" s="1"/>
  <c r="C1369" i="10" s="1"/>
  <c r="C1379" i="10" s="1"/>
  <c r="C1338" i="10"/>
  <c r="C1348" i="10" s="1"/>
  <c r="C1358" i="10" s="1"/>
  <c r="C1368" i="10" s="1"/>
  <c r="C1378" i="10" s="1"/>
  <c r="C1337" i="10"/>
  <c r="C1347" i="10" s="1"/>
  <c r="C1357" i="10" s="1"/>
  <c r="C1367" i="10" s="1"/>
  <c r="C1377" i="10" s="1"/>
  <c r="C1336" i="10"/>
  <c r="C1346" i="10" s="1"/>
  <c r="C1356" i="10" s="1"/>
  <c r="C1366" i="10" s="1"/>
  <c r="C1376" i="10" s="1"/>
  <c r="C1335" i="10"/>
  <c r="C1345" i="10" s="1"/>
  <c r="C1355" i="10" s="1"/>
  <c r="C1365" i="10" s="1"/>
  <c r="C1375" i="10" s="1"/>
  <c r="C1334" i="10"/>
  <c r="C1344" i="10" s="1"/>
  <c r="C1354" i="10" s="1"/>
  <c r="C1364" i="10" s="1"/>
  <c r="C1374" i="10" s="1"/>
  <c r="C1283" i="10"/>
  <c r="C1293" i="10" s="1"/>
  <c r="C1303" i="10" s="1"/>
  <c r="C1313" i="10" s="1"/>
  <c r="C1323" i="10" s="1"/>
  <c r="C1282" i="10"/>
  <c r="C1292" i="10" s="1"/>
  <c r="C1302" i="10" s="1"/>
  <c r="C1312" i="10" s="1"/>
  <c r="C1322" i="10" s="1"/>
  <c r="C1281" i="10"/>
  <c r="C1291" i="10" s="1"/>
  <c r="C1301" i="10" s="1"/>
  <c r="C1311" i="10" s="1"/>
  <c r="C1321" i="10" s="1"/>
  <c r="C1280" i="10"/>
  <c r="C1290" i="10" s="1"/>
  <c r="C1300" i="10" s="1"/>
  <c r="C1310" i="10" s="1"/>
  <c r="C1320" i="10" s="1"/>
  <c r="C1279" i="10"/>
  <c r="C1289" i="10" s="1"/>
  <c r="C1299" i="10" s="1"/>
  <c r="C1309" i="10" s="1"/>
  <c r="C1319" i="10" s="1"/>
  <c r="C1278" i="10"/>
  <c r="C1288" i="10" s="1"/>
  <c r="C1298" i="10" s="1"/>
  <c r="C1308" i="10" s="1"/>
  <c r="C1318" i="10" s="1"/>
  <c r="C1277" i="10"/>
  <c r="C1287" i="10" s="1"/>
  <c r="C1297" i="10" s="1"/>
  <c r="C1307" i="10" s="1"/>
  <c r="C1317" i="10" s="1"/>
  <c r="C1276" i="10"/>
  <c r="C1286" i="10" s="1"/>
  <c r="C1296" i="10" s="1"/>
  <c r="C1306" i="10" s="1"/>
  <c r="C1316" i="10" s="1"/>
  <c r="C1275" i="10"/>
  <c r="C1285" i="10" s="1"/>
  <c r="C1295" i="10" s="1"/>
  <c r="C1305" i="10" s="1"/>
  <c r="C1315" i="10" s="1"/>
  <c r="C1274" i="10"/>
  <c r="C1284" i="10" s="1"/>
  <c r="C1294" i="10" s="1"/>
  <c r="C1304" i="10" s="1"/>
  <c r="C1314" i="10" s="1"/>
  <c r="C1223" i="10"/>
  <c r="C1233" i="10" s="1"/>
  <c r="C1243" i="10" s="1"/>
  <c r="C1253" i="10" s="1"/>
  <c r="C1263" i="10" s="1"/>
  <c r="C1222" i="10"/>
  <c r="C1232" i="10" s="1"/>
  <c r="C1242" i="10" s="1"/>
  <c r="C1252" i="10" s="1"/>
  <c r="C1262" i="10" s="1"/>
  <c r="C1221" i="10"/>
  <c r="C1231" i="10" s="1"/>
  <c r="C1241" i="10" s="1"/>
  <c r="C1251" i="10" s="1"/>
  <c r="C1261" i="10" s="1"/>
  <c r="C1220" i="10"/>
  <c r="C1230" i="10" s="1"/>
  <c r="C1240" i="10" s="1"/>
  <c r="C1250" i="10" s="1"/>
  <c r="C1260" i="10" s="1"/>
  <c r="C1219" i="10"/>
  <c r="C1229" i="10" s="1"/>
  <c r="C1239" i="10" s="1"/>
  <c r="C1249" i="10" s="1"/>
  <c r="C1259" i="10" s="1"/>
  <c r="C1218" i="10"/>
  <c r="C1228" i="10" s="1"/>
  <c r="C1238" i="10" s="1"/>
  <c r="C1248" i="10" s="1"/>
  <c r="C1258" i="10" s="1"/>
  <c r="C1217" i="10"/>
  <c r="C1227" i="10" s="1"/>
  <c r="C1237" i="10" s="1"/>
  <c r="C1247" i="10" s="1"/>
  <c r="C1257" i="10" s="1"/>
  <c r="C1216" i="10"/>
  <c r="C1226" i="10" s="1"/>
  <c r="C1236" i="10" s="1"/>
  <c r="C1246" i="10" s="1"/>
  <c r="C1256" i="10" s="1"/>
  <c r="C1215" i="10"/>
  <c r="C1225" i="10" s="1"/>
  <c r="C1235" i="10" s="1"/>
  <c r="C1245" i="10" s="1"/>
  <c r="C1255" i="10" s="1"/>
  <c r="C1214" i="10"/>
  <c r="C1224" i="10" s="1"/>
  <c r="C1234" i="10" s="1"/>
  <c r="C1244" i="10" s="1"/>
  <c r="C1254" i="10" s="1"/>
  <c r="C1163" i="10"/>
  <c r="C1173" i="10" s="1"/>
  <c r="C1183" i="10" s="1"/>
  <c r="C1193" i="10" s="1"/>
  <c r="C1203" i="10" s="1"/>
  <c r="C1162" i="10"/>
  <c r="C1172" i="10" s="1"/>
  <c r="C1182" i="10" s="1"/>
  <c r="C1192" i="10" s="1"/>
  <c r="C1202" i="10" s="1"/>
  <c r="C1161" i="10"/>
  <c r="C1171" i="10" s="1"/>
  <c r="C1181" i="10" s="1"/>
  <c r="C1191" i="10" s="1"/>
  <c r="C1201" i="10" s="1"/>
  <c r="C1160" i="10"/>
  <c r="C1170" i="10" s="1"/>
  <c r="C1180" i="10" s="1"/>
  <c r="C1190" i="10" s="1"/>
  <c r="C1200" i="10" s="1"/>
  <c r="C1159" i="10"/>
  <c r="C1169" i="10" s="1"/>
  <c r="C1179" i="10" s="1"/>
  <c r="C1189" i="10" s="1"/>
  <c r="C1199" i="10" s="1"/>
  <c r="C1158" i="10"/>
  <c r="C1168" i="10" s="1"/>
  <c r="C1178" i="10" s="1"/>
  <c r="C1188" i="10" s="1"/>
  <c r="C1198" i="10" s="1"/>
  <c r="C1157" i="10"/>
  <c r="C1167" i="10" s="1"/>
  <c r="C1177" i="10" s="1"/>
  <c r="C1187" i="10" s="1"/>
  <c r="C1197" i="10" s="1"/>
  <c r="C1156" i="10"/>
  <c r="C1166" i="10" s="1"/>
  <c r="C1176" i="10" s="1"/>
  <c r="C1186" i="10" s="1"/>
  <c r="C1196" i="10" s="1"/>
  <c r="C1155" i="10"/>
  <c r="C1165" i="10" s="1"/>
  <c r="C1175" i="10" s="1"/>
  <c r="C1185" i="10" s="1"/>
  <c r="C1195" i="10" s="1"/>
  <c r="C1154" i="10"/>
  <c r="C1164" i="10" s="1"/>
  <c r="C1174" i="10" s="1"/>
  <c r="C1184" i="10" s="1"/>
  <c r="C1194" i="10" s="1"/>
  <c r="C1103" i="10"/>
  <c r="C1113" i="10" s="1"/>
  <c r="C1123" i="10" s="1"/>
  <c r="C1133" i="10" s="1"/>
  <c r="C1143" i="10" s="1"/>
  <c r="C1102" i="10"/>
  <c r="C1112" i="10" s="1"/>
  <c r="C1122" i="10" s="1"/>
  <c r="C1132" i="10" s="1"/>
  <c r="C1142" i="10" s="1"/>
  <c r="C1101" i="10"/>
  <c r="C1111" i="10" s="1"/>
  <c r="C1121" i="10" s="1"/>
  <c r="C1131" i="10" s="1"/>
  <c r="C1141" i="10" s="1"/>
  <c r="C1100" i="10"/>
  <c r="C1110" i="10" s="1"/>
  <c r="C1120" i="10" s="1"/>
  <c r="C1130" i="10" s="1"/>
  <c r="C1140" i="10" s="1"/>
  <c r="C1099" i="10"/>
  <c r="C1109" i="10" s="1"/>
  <c r="C1119" i="10" s="1"/>
  <c r="C1129" i="10" s="1"/>
  <c r="C1139" i="10" s="1"/>
  <c r="C1098" i="10"/>
  <c r="C1108" i="10" s="1"/>
  <c r="C1118" i="10" s="1"/>
  <c r="C1128" i="10" s="1"/>
  <c r="C1138" i="10" s="1"/>
  <c r="C1097" i="10"/>
  <c r="C1107" i="10" s="1"/>
  <c r="C1117" i="10" s="1"/>
  <c r="C1127" i="10" s="1"/>
  <c r="C1137" i="10" s="1"/>
  <c r="C1096" i="10"/>
  <c r="C1106" i="10" s="1"/>
  <c r="C1116" i="10" s="1"/>
  <c r="C1126" i="10" s="1"/>
  <c r="C1136" i="10" s="1"/>
  <c r="C1095" i="10"/>
  <c r="C1105" i="10" s="1"/>
  <c r="C1115" i="10" s="1"/>
  <c r="C1125" i="10" s="1"/>
  <c r="C1135" i="10" s="1"/>
  <c r="C1094" i="10"/>
  <c r="C1104" i="10" s="1"/>
  <c r="C1114" i="10" s="1"/>
  <c r="C1124" i="10" s="1"/>
  <c r="C1134" i="10" s="1"/>
  <c r="C1043" i="10"/>
  <c r="C1053" i="10" s="1"/>
  <c r="C1063" i="10" s="1"/>
  <c r="C1073" i="10" s="1"/>
  <c r="C1083" i="10" s="1"/>
  <c r="C1042" i="10"/>
  <c r="C1052" i="10" s="1"/>
  <c r="C1062" i="10" s="1"/>
  <c r="C1072" i="10" s="1"/>
  <c r="C1082" i="10" s="1"/>
  <c r="C1041" i="10"/>
  <c r="C1051" i="10" s="1"/>
  <c r="C1061" i="10" s="1"/>
  <c r="C1071" i="10" s="1"/>
  <c r="C1081" i="10" s="1"/>
  <c r="C1040" i="10"/>
  <c r="C1050" i="10" s="1"/>
  <c r="C1060" i="10" s="1"/>
  <c r="C1070" i="10" s="1"/>
  <c r="C1080" i="10" s="1"/>
  <c r="C1039" i="10"/>
  <c r="C1049" i="10" s="1"/>
  <c r="C1059" i="10" s="1"/>
  <c r="C1069" i="10" s="1"/>
  <c r="C1079" i="10" s="1"/>
  <c r="C1038" i="10"/>
  <c r="C1048" i="10" s="1"/>
  <c r="C1058" i="10" s="1"/>
  <c r="C1068" i="10" s="1"/>
  <c r="C1078" i="10" s="1"/>
  <c r="C1037" i="10"/>
  <c r="C1047" i="10" s="1"/>
  <c r="C1057" i="10" s="1"/>
  <c r="C1067" i="10" s="1"/>
  <c r="C1077" i="10" s="1"/>
  <c r="C1036" i="10"/>
  <c r="C1046" i="10" s="1"/>
  <c r="C1056" i="10" s="1"/>
  <c r="C1066" i="10" s="1"/>
  <c r="C1076" i="10" s="1"/>
  <c r="C1035" i="10"/>
  <c r="C1045" i="10" s="1"/>
  <c r="C1055" i="10" s="1"/>
  <c r="C1065" i="10" s="1"/>
  <c r="C1075" i="10" s="1"/>
  <c r="C1034" i="10"/>
  <c r="C1044" i="10" s="1"/>
  <c r="C1054" i="10" s="1"/>
  <c r="C1064" i="10" s="1"/>
  <c r="C1074" i="10" s="1"/>
  <c r="C983" i="10"/>
  <c r="C993" i="10" s="1"/>
  <c r="C1003" i="10" s="1"/>
  <c r="C1013" i="10" s="1"/>
  <c r="C1023" i="10" s="1"/>
  <c r="C982" i="10"/>
  <c r="C992" i="10" s="1"/>
  <c r="C1002" i="10" s="1"/>
  <c r="C1012" i="10" s="1"/>
  <c r="C1022" i="10" s="1"/>
  <c r="C981" i="10"/>
  <c r="C991" i="10" s="1"/>
  <c r="C1001" i="10" s="1"/>
  <c r="C1011" i="10" s="1"/>
  <c r="C1021" i="10" s="1"/>
  <c r="C980" i="10"/>
  <c r="C990" i="10" s="1"/>
  <c r="C1000" i="10" s="1"/>
  <c r="C1010" i="10" s="1"/>
  <c r="C1020" i="10" s="1"/>
  <c r="C979" i="10"/>
  <c r="C989" i="10" s="1"/>
  <c r="C999" i="10" s="1"/>
  <c r="C1009" i="10" s="1"/>
  <c r="C1019" i="10" s="1"/>
  <c r="C978" i="10"/>
  <c r="C988" i="10" s="1"/>
  <c r="C998" i="10" s="1"/>
  <c r="C1008" i="10" s="1"/>
  <c r="C1018" i="10" s="1"/>
  <c r="C977" i="10"/>
  <c r="C987" i="10" s="1"/>
  <c r="C997" i="10" s="1"/>
  <c r="C1007" i="10" s="1"/>
  <c r="C1017" i="10" s="1"/>
  <c r="C976" i="10"/>
  <c r="C986" i="10" s="1"/>
  <c r="C996" i="10" s="1"/>
  <c r="C1006" i="10" s="1"/>
  <c r="C1016" i="10" s="1"/>
  <c r="C975" i="10"/>
  <c r="C985" i="10" s="1"/>
  <c r="C995" i="10" s="1"/>
  <c r="C1005" i="10" s="1"/>
  <c r="C1015" i="10" s="1"/>
  <c r="C974" i="10"/>
  <c r="C984" i="10" s="1"/>
  <c r="C994" i="10" s="1"/>
  <c r="C1004" i="10" s="1"/>
  <c r="C1014" i="10" s="1"/>
  <c r="C923" i="10"/>
  <c r="C933" i="10" s="1"/>
  <c r="C943" i="10" s="1"/>
  <c r="C953" i="10" s="1"/>
  <c r="C963" i="10" s="1"/>
  <c r="C922" i="10"/>
  <c r="C932" i="10" s="1"/>
  <c r="C942" i="10" s="1"/>
  <c r="C952" i="10" s="1"/>
  <c r="C962" i="10" s="1"/>
  <c r="C921" i="10"/>
  <c r="C931" i="10" s="1"/>
  <c r="C941" i="10" s="1"/>
  <c r="C951" i="10" s="1"/>
  <c r="C961" i="10" s="1"/>
  <c r="C920" i="10"/>
  <c r="C930" i="10" s="1"/>
  <c r="C940" i="10" s="1"/>
  <c r="C950" i="10" s="1"/>
  <c r="C960" i="10" s="1"/>
  <c r="C919" i="10"/>
  <c r="C929" i="10" s="1"/>
  <c r="C939" i="10" s="1"/>
  <c r="C949" i="10" s="1"/>
  <c r="C959" i="10" s="1"/>
  <c r="C918" i="10"/>
  <c r="C928" i="10" s="1"/>
  <c r="C938" i="10" s="1"/>
  <c r="C948" i="10" s="1"/>
  <c r="C958" i="10" s="1"/>
  <c r="C917" i="10"/>
  <c r="C927" i="10" s="1"/>
  <c r="C937" i="10" s="1"/>
  <c r="C947" i="10" s="1"/>
  <c r="C957" i="10" s="1"/>
  <c r="C916" i="10"/>
  <c r="C926" i="10" s="1"/>
  <c r="C936" i="10" s="1"/>
  <c r="C946" i="10" s="1"/>
  <c r="C956" i="10" s="1"/>
  <c r="C915" i="10"/>
  <c r="C925" i="10" s="1"/>
  <c r="C935" i="10" s="1"/>
  <c r="C945" i="10" s="1"/>
  <c r="C955" i="10" s="1"/>
  <c r="C914" i="10"/>
  <c r="C924" i="10" s="1"/>
  <c r="C934" i="10" s="1"/>
  <c r="C944" i="10" s="1"/>
  <c r="C954" i="10" s="1"/>
  <c r="C863" i="10"/>
  <c r="C873" i="10" s="1"/>
  <c r="C883" i="10" s="1"/>
  <c r="C893" i="10" s="1"/>
  <c r="C903" i="10" s="1"/>
  <c r="C862" i="10"/>
  <c r="C872" i="10" s="1"/>
  <c r="C882" i="10" s="1"/>
  <c r="C892" i="10" s="1"/>
  <c r="C902" i="10" s="1"/>
  <c r="C861" i="10"/>
  <c r="C871" i="10" s="1"/>
  <c r="C881" i="10" s="1"/>
  <c r="C891" i="10" s="1"/>
  <c r="C901" i="10" s="1"/>
  <c r="C860" i="10"/>
  <c r="C870" i="10" s="1"/>
  <c r="C880" i="10" s="1"/>
  <c r="C890" i="10" s="1"/>
  <c r="C900" i="10" s="1"/>
  <c r="C859" i="10"/>
  <c r="C869" i="10" s="1"/>
  <c r="C879" i="10" s="1"/>
  <c r="C889" i="10" s="1"/>
  <c r="C899" i="10" s="1"/>
  <c r="C858" i="10"/>
  <c r="C868" i="10" s="1"/>
  <c r="C878" i="10" s="1"/>
  <c r="C888" i="10" s="1"/>
  <c r="C898" i="10" s="1"/>
  <c r="C857" i="10"/>
  <c r="C867" i="10" s="1"/>
  <c r="C877" i="10" s="1"/>
  <c r="C887" i="10" s="1"/>
  <c r="C897" i="10" s="1"/>
  <c r="C856" i="10"/>
  <c r="C866" i="10" s="1"/>
  <c r="C876" i="10" s="1"/>
  <c r="C886" i="10" s="1"/>
  <c r="C896" i="10" s="1"/>
  <c r="C855" i="10"/>
  <c r="C865" i="10" s="1"/>
  <c r="C875" i="10" s="1"/>
  <c r="C885" i="10" s="1"/>
  <c r="C895" i="10" s="1"/>
  <c r="C854" i="10"/>
  <c r="C864" i="10" s="1"/>
  <c r="C874" i="10" s="1"/>
  <c r="C884" i="10" s="1"/>
  <c r="C894" i="10" s="1"/>
  <c r="C803" i="10"/>
  <c r="C813" i="10" s="1"/>
  <c r="C823" i="10" s="1"/>
  <c r="C833" i="10" s="1"/>
  <c r="C843" i="10" s="1"/>
  <c r="C802" i="10"/>
  <c r="C812" i="10" s="1"/>
  <c r="C822" i="10" s="1"/>
  <c r="C832" i="10" s="1"/>
  <c r="C842" i="10" s="1"/>
  <c r="C801" i="10"/>
  <c r="C811" i="10" s="1"/>
  <c r="C821" i="10" s="1"/>
  <c r="C831" i="10" s="1"/>
  <c r="C841" i="10" s="1"/>
  <c r="C800" i="10"/>
  <c r="C810" i="10" s="1"/>
  <c r="C820" i="10" s="1"/>
  <c r="C830" i="10" s="1"/>
  <c r="C840" i="10" s="1"/>
  <c r="C799" i="10"/>
  <c r="C809" i="10" s="1"/>
  <c r="C819" i="10" s="1"/>
  <c r="C829" i="10" s="1"/>
  <c r="C839" i="10" s="1"/>
  <c r="C798" i="10"/>
  <c r="C808" i="10" s="1"/>
  <c r="C818" i="10" s="1"/>
  <c r="C828" i="10" s="1"/>
  <c r="C838" i="10" s="1"/>
  <c r="C797" i="10"/>
  <c r="C807" i="10" s="1"/>
  <c r="C817" i="10" s="1"/>
  <c r="C827" i="10" s="1"/>
  <c r="C837" i="10" s="1"/>
  <c r="C796" i="10"/>
  <c r="C806" i="10" s="1"/>
  <c r="C816" i="10" s="1"/>
  <c r="C826" i="10" s="1"/>
  <c r="C836" i="10" s="1"/>
  <c r="C795" i="10"/>
  <c r="C805" i="10" s="1"/>
  <c r="C815" i="10" s="1"/>
  <c r="C825" i="10" s="1"/>
  <c r="C835" i="10" s="1"/>
  <c r="C794" i="10"/>
  <c r="C804" i="10" s="1"/>
  <c r="C814" i="10" s="1"/>
  <c r="C824" i="10" s="1"/>
  <c r="C834" i="10" s="1"/>
  <c r="C743" i="10"/>
  <c r="C753" i="10" s="1"/>
  <c r="C763" i="10" s="1"/>
  <c r="C773" i="10" s="1"/>
  <c r="C783" i="10" s="1"/>
  <c r="C742" i="10"/>
  <c r="C752" i="10" s="1"/>
  <c r="C762" i="10" s="1"/>
  <c r="C772" i="10" s="1"/>
  <c r="C782" i="10" s="1"/>
  <c r="C741" i="10"/>
  <c r="C751" i="10" s="1"/>
  <c r="C761" i="10" s="1"/>
  <c r="C771" i="10" s="1"/>
  <c r="C781" i="10" s="1"/>
  <c r="C740" i="10"/>
  <c r="C750" i="10" s="1"/>
  <c r="C760" i="10" s="1"/>
  <c r="C770" i="10" s="1"/>
  <c r="C780" i="10" s="1"/>
  <c r="C739" i="10"/>
  <c r="C749" i="10" s="1"/>
  <c r="C759" i="10" s="1"/>
  <c r="C769" i="10" s="1"/>
  <c r="C779" i="10" s="1"/>
  <c r="C738" i="10"/>
  <c r="C748" i="10" s="1"/>
  <c r="C758" i="10" s="1"/>
  <c r="C768" i="10" s="1"/>
  <c r="C778" i="10" s="1"/>
  <c r="C737" i="10"/>
  <c r="C747" i="10" s="1"/>
  <c r="C757" i="10" s="1"/>
  <c r="C767" i="10" s="1"/>
  <c r="C777" i="10" s="1"/>
  <c r="C736" i="10"/>
  <c r="C746" i="10" s="1"/>
  <c r="C756" i="10" s="1"/>
  <c r="C766" i="10" s="1"/>
  <c r="C776" i="10" s="1"/>
  <c r="C735" i="10"/>
  <c r="C745" i="10" s="1"/>
  <c r="C755" i="10" s="1"/>
  <c r="C765" i="10" s="1"/>
  <c r="C775" i="10" s="1"/>
  <c r="C734" i="10"/>
  <c r="C744" i="10" s="1"/>
  <c r="C754" i="10" s="1"/>
  <c r="C764" i="10" s="1"/>
  <c r="C774" i="10" s="1"/>
  <c r="C683" i="10"/>
  <c r="C693" i="10" s="1"/>
  <c r="C703" i="10" s="1"/>
  <c r="C713" i="10" s="1"/>
  <c r="C723" i="10" s="1"/>
  <c r="C682" i="10"/>
  <c r="C692" i="10" s="1"/>
  <c r="C702" i="10" s="1"/>
  <c r="C712" i="10" s="1"/>
  <c r="C722" i="10" s="1"/>
  <c r="C681" i="10"/>
  <c r="C691" i="10" s="1"/>
  <c r="C701" i="10" s="1"/>
  <c r="C711" i="10" s="1"/>
  <c r="C721" i="10" s="1"/>
  <c r="C680" i="10"/>
  <c r="C690" i="10" s="1"/>
  <c r="C700" i="10" s="1"/>
  <c r="C710" i="10" s="1"/>
  <c r="C720" i="10" s="1"/>
  <c r="C679" i="10"/>
  <c r="C689" i="10" s="1"/>
  <c r="C699" i="10" s="1"/>
  <c r="C709" i="10" s="1"/>
  <c r="C719" i="10" s="1"/>
  <c r="C678" i="10"/>
  <c r="C688" i="10" s="1"/>
  <c r="C698" i="10" s="1"/>
  <c r="C708" i="10" s="1"/>
  <c r="C718" i="10" s="1"/>
  <c r="C677" i="10"/>
  <c r="C687" i="10" s="1"/>
  <c r="C697" i="10" s="1"/>
  <c r="C707" i="10" s="1"/>
  <c r="C717" i="10" s="1"/>
  <c r="C676" i="10"/>
  <c r="C686" i="10" s="1"/>
  <c r="C696" i="10" s="1"/>
  <c r="C706" i="10" s="1"/>
  <c r="C716" i="10" s="1"/>
  <c r="C675" i="10"/>
  <c r="C685" i="10" s="1"/>
  <c r="C695" i="10" s="1"/>
  <c r="C705" i="10" s="1"/>
  <c r="C715" i="10" s="1"/>
  <c r="C674" i="10"/>
  <c r="C684" i="10" s="1"/>
  <c r="C694" i="10" s="1"/>
  <c r="C704" i="10" s="1"/>
  <c r="C714" i="10" s="1"/>
  <c r="C623" i="10"/>
  <c r="C633" i="10" s="1"/>
  <c r="C643" i="10" s="1"/>
  <c r="C653" i="10" s="1"/>
  <c r="C663" i="10" s="1"/>
  <c r="C622" i="10"/>
  <c r="C632" i="10" s="1"/>
  <c r="C642" i="10" s="1"/>
  <c r="C652" i="10" s="1"/>
  <c r="C662" i="10" s="1"/>
  <c r="C621" i="10"/>
  <c r="C631" i="10" s="1"/>
  <c r="C641" i="10" s="1"/>
  <c r="C651" i="10" s="1"/>
  <c r="C661" i="10" s="1"/>
  <c r="C620" i="10"/>
  <c r="C630" i="10" s="1"/>
  <c r="C640" i="10" s="1"/>
  <c r="C650" i="10" s="1"/>
  <c r="C660" i="10" s="1"/>
  <c r="C619" i="10"/>
  <c r="C629" i="10" s="1"/>
  <c r="C639" i="10" s="1"/>
  <c r="C649" i="10" s="1"/>
  <c r="C659" i="10" s="1"/>
  <c r="C618" i="10"/>
  <c r="C628" i="10" s="1"/>
  <c r="C638" i="10" s="1"/>
  <c r="C648" i="10" s="1"/>
  <c r="C658" i="10" s="1"/>
  <c r="C617" i="10"/>
  <c r="C627" i="10" s="1"/>
  <c r="C637" i="10" s="1"/>
  <c r="C647" i="10" s="1"/>
  <c r="C657" i="10" s="1"/>
  <c r="C616" i="10"/>
  <c r="C626" i="10" s="1"/>
  <c r="C636" i="10" s="1"/>
  <c r="C646" i="10" s="1"/>
  <c r="C656" i="10" s="1"/>
  <c r="C615" i="10"/>
  <c r="C625" i="10" s="1"/>
  <c r="C635" i="10" s="1"/>
  <c r="C645" i="10" s="1"/>
  <c r="C655" i="10" s="1"/>
  <c r="C614" i="10"/>
  <c r="C624" i="10" s="1"/>
  <c r="C634" i="10" s="1"/>
  <c r="C644" i="10" s="1"/>
  <c r="C654" i="10" s="1"/>
  <c r="C563" i="10"/>
  <c r="C573" i="10" s="1"/>
  <c r="C583" i="10" s="1"/>
  <c r="C593" i="10" s="1"/>
  <c r="C603" i="10" s="1"/>
  <c r="C562" i="10"/>
  <c r="C572" i="10" s="1"/>
  <c r="C582" i="10" s="1"/>
  <c r="C592" i="10" s="1"/>
  <c r="C602" i="10" s="1"/>
  <c r="C561" i="10"/>
  <c r="C571" i="10" s="1"/>
  <c r="C581" i="10" s="1"/>
  <c r="C591" i="10" s="1"/>
  <c r="C601" i="10" s="1"/>
  <c r="C560" i="10"/>
  <c r="C570" i="10" s="1"/>
  <c r="C580" i="10" s="1"/>
  <c r="C590" i="10" s="1"/>
  <c r="C600" i="10" s="1"/>
  <c r="C559" i="10"/>
  <c r="C569" i="10" s="1"/>
  <c r="C579" i="10" s="1"/>
  <c r="C589" i="10" s="1"/>
  <c r="C599" i="10" s="1"/>
  <c r="C558" i="10"/>
  <c r="C568" i="10" s="1"/>
  <c r="C578" i="10" s="1"/>
  <c r="C588" i="10" s="1"/>
  <c r="C598" i="10" s="1"/>
  <c r="C557" i="10"/>
  <c r="C567" i="10" s="1"/>
  <c r="C577" i="10" s="1"/>
  <c r="C587" i="10" s="1"/>
  <c r="C597" i="10" s="1"/>
  <c r="C556" i="10"/>
  <c r="C566" i="10" s="1"/>
  <c r="C576" i="10" s="1"/>
  <c r="C586" i="10" s="1"/>
  <c r="C596" i="10" s="1"/>
  <c r="C555" i="10"/>
  <c r="C565" i="10" s="1"/>
  <c r="C575" i="10" s="1"/>
  <c r="C585" i="10" s="1"/>
  <c r="C595" i="10" s="1"/>
  <c r="C554" i="10"/>
  <c r="C564" i="10" s="1"/>
  <c r="C574" i="10" s="1"/>
  <c r="C584" i="10" s="1"/>
  <c r="C594" i="10" s="1"/>
  <c r="C503" i="10"/>
  <c r="C513" i="10" s="1"/>
  <c r="C523" i="10" s="1"/>
  <c r="C533" i="10" s="1"/>
  <c r="C543" i="10" s="1"/>
  <c r="C502" i="10"/>
  <c r="C512" i="10" s="1"/>
  <c r="C522" i="10" s="1"/>
  <c r="C532" i="10" s="1"/>
  <c r="C542" i="10" s="1"/>
  <c r="C501" i="10"/>
  <c r="C511" i="10" s="1"/>
  <c r="C521" i="10" s="1"/>
  <c r="C531" i="10" s="1"/>
  <c r="C541" i="10" s="1"/>
  <c r="C500" i="10"/>
  <c r="C510" i="10" s="1"/>
  <c r="C520" i="10" s="1"/>
  <c r="C530" i="10" s="1"/>
  <c r="C540" i="10" s="1"/>
  <c r="C499" i="10"/>
  <c r="C509" i="10" s="1"/>
  <c r="C519" i="10" s="1"/>
  <c r="C529" i="10" s="1"/>
  <c r="C539" i="10" s="1"/>
  <c r="C498" i="10"/>
  <c r="C508" i="10" s="1"/>
  <c r="C518" i="10" s="1"/>
  <c r="C528" i="10" s="1"/>
  <c r="C538" i="10" s="1"/>
  <c r="C497" i="10"/>
  <c r="C507" i="10" s="1"/>
  <c r="C517" i="10" s="1"/>
  <c r="C527" i="10" s="1"/>
  <c r="C537" i="10" s="1"/>
  <c r="C496" i="10"/>
  <c r="C506" i="10" s="1"/>
  <c r="C516" i="10" s="1"/>
  <c r="C526" i="10" s="1"/>
  <c r="C536" i="10" s="1"/>
  <c r="C495" i="10"/>
  <c r="C505" i="10" s="1"/>
  <c r="C515" i="10" s="1"/>
  <c r="C525" i="10" s="1"/>
  <c r="C535" i="10" s="1"/>
  <c r="C494" i="10"/>
  <c r="C504" i="10" s="1"/>
  <c r="C514" i="10" s="1"/>
  <c r="C524" i="10" s="1"/>
  <c r="C534" i="10" s="1"/>
  <c r="C443" i="10"/>
  <c r="C453" i="10" s="1"/>
  <c r="C463" i="10" s="1"/>
  <c r="C473" i="10" s="1"/>
  <c r="C483" i="10" s="1"/>
  <c r="C442" i="10"/>
  <c r="C452" i="10" s="1"/>
  <c r="C462" i="10" s="1"/>
  <c r="C472" i="10" s="1"/>
  <c r="C482" i="10" s="1"/>
  <c r="C441" i="10"/>
  <c r="C451" i="10" s="1"/>
  <c r="C461" i="10" s="1"/>
  <c r="C471" i="10" s="1"/>
  <c r="C481" i="10" s="1"/>
  <c r="C440" i="10"/>
  <c r="C450" i="10" s="1"/>
  <c r="C460" i="10" s="1"/>
  <c r="C470" i="10" s="1"/>
  <c r="C480" i="10" s="1"/>
  <c r="C439" i="10"/>
  <c r="C449" i="10" s="1"/>
  <c r="C459" i="10" s="1"/>
  <c r="C469" i="10" s="1"/>
  <c r="C479" i="10" s="1"/>
  <c r="C438" i="10"/>
  <c r="C448" i="10" s="1"/>
  <c r="C458" i="10" s="1"/>
  <c r="C468" i="10" s="1"/>
  <c r="C478" i="10" s="1"/>
  <c r="C437" i="10"/>
  <c r="C447" i="10" s="1"/>
  <c r="C457" i="10" s="1"/>
  <c r="C467" i="10" s="1"/>
  <c r="C477" i="10" s="1"/>
  <c r="C436" i="10"/>
  <c r="C446" i="10" s="1"/>
  <c r="C456" i="10" s="1"/>
  <c r="C466" i="10" s="1"/>
  <c r="C476" i="10" s="1"/>
  <c r="C435" i="10"/>
  <c r="C445" i="10" s="1"/>
  <c r="C455" i="10" s="1"/>
  <c r="C465" i="10" s="1"/>
  <c r="C475" i="10" s="1"/>
  <c r="C434" i="10"/>
  <c r="C444" i="10" s="1"/>
  <c r="C454" i="10" s="1"/>
  <c r="C464" i="10" s="1"/>
  <c r="C474" i="10" s="1"/>
  <c r="C383" i="10"/>
  <c r="C393" i="10" s="1"/>
  <c r="C403" i="10" s="1"/>
  <c r="C413" i="10" s="1"/>
  <c r="C423" i="10" s="1"/>
  <c r="C382" i="10"/>
  <c r="C392" i="10" s="1"/>
  <c r="C402" i="10" s="1"/>
  <c r="C412" i="10" s="1"/>
  <c r="C422" i="10" s="1"/>
  <c r="C381" i="10"/>
  <c r="C391" i="10" s="1"/>
  <c r="C401" i="10" s="1"/>
  <c r="C411" i="10" s="1"/>
  <c r="C421" i="10" s="1"/>
  <c r="C380" i="10"/>
  <c r="C390" i="10" s="1"/>
  <c r="C400" i="10" s="1"/>
  <c r="C410" i="10" s="1"/>
  <c r="C420" i="10" s="1"/>
  <c r="C379" i="10"/>
  <c r="C389" i="10" s="1"/>
  <c r="C399" i="10" s="1"/>
  <c r="C409" i="10" s="1"/>
  <c r="C419" i="10" s="1"/>
  <c r="C378" i="10"/>
  <c r="C388" i="10" s="1"/>
  <c r="C398" i="10" s="1"/>
  <c r="C408" i="10" s="1"/>
  <c r="C418" i="10" s="1"/>
  <c r="C377" i="10"/>
  <c r="C387" i="10" s="1"/>
  <c r="C397" i="10" s="1"/>
  <c r="C407" i="10" s="1"/>
  <c r="C417" i="10" s="1"/>
  <c r="C376" i="10"/>
  <c r="C386" i="10" s="1"/>
  <c r="C396" i="10" s="1"/>
  <c r="C406" i="10" s="1"/>
  <c r="C416" i="10" s="1"/>
  <c r="C375" i="10"/>
  <c r="C385" i="10" s="1"/>
  <c r="C395" i="10" s="1"/>
  <c r="C405" i="10" s="1"/>
  <c r="C415" i="10" s="1"/>
  <c r="C374" i="10"/>
  <c r="C384" i="10" s="1"/>
  <c r="C394" i="10" s="1"/>
  <c r="C404" i="10" s="1"/>
  <c r="C414" i="10" s="1"/>
  <c r="C323" i="10"/>
  <c r="C333" i="10" s="1"/>
  <c r="C343" i="10" s="1"/>
  <c r="C353" i="10" s="1"/>
  <c r="C363" i="10" s="1"/>
  <c r="C322" i="10"/>
  <c r="C332" i="10" s="1"/>
  <c r="C342" i="10" s="1"/>
  <c r="C352" i="10" s="1"/>
  <c r="C362" i="10" s="1"/>
  <c r="C321" i="10"/>
  <c r="C331" i="10" s="1"/>
  <c r="C341" i="10" s="1"/>
  <c r="C351" i="10" s="1"/>
  <c r="C361" i="10" s="1"/>
  <c r="C320" i="10"/>
  <c r="C330" i="10" s="1"/>
  <c r="C340" i="10" s="1"/>
  <c r="C350" i="10" s="1"/>
  <c r="C360" i="10" s="1"/>
  <c r="C319" i="10"/>
  <c r="C329" i="10" s="1"/>
  <c r="C339" i="10" s="1"/>
  <c r="C349" i="10" s="1"/>
  <c r="C359" i="10" s="1"/>
  <c r="C318" i="10"/>
  <c r="C328" i="10" s="1"/>
  <c r="C338" i="10" s="1"/>
  <c r="C348" i="10" s="1"/>
  <c r="C358" i="10" s="1"/>
  <c r="C317" i="10"/>
  <c r="C327" i="10" s="1"/>
  <c r="C337" i="10" s="1"/>
  <c r="C347" i="10" s="1"/>
  <c r="C357" i="10" s="1"/>
  <c r="C316" i="10"/>
  <c r="C326" i="10" s="1"/>
  <c r="C336" i="10" s="1"/>
  <c r="C346" i="10" s="1"/>
  <c r="C356" i="10" s="1"/>
  <c r="C315" i="10"/>
  <c r="C325" i="10" s="1"/>
  <c r="C335" i="10" s="1"/>
  <c r="C345" i="10" s="1"/>
  <c r="C355" i="10" s="1"/>
  <c r="C314" i="10"/>
  <c r="C324" i="10" s="1"/>
  <c r="C334" i="10" s="1"/>
  <c r="C344" i="10" s="1"/>
  <c r="C354" i="10" s="1"/>
  <c r="C263" i="10"/>
  <c r="C273" i="10" s="1"/>
  <c r="C283" i="10" s="1"/>
  <c r="C293" i="10" s="1"/>
  <c r="C303" i="10" s="1"/>
  <c r="C262" i="10"/>
  <c r="C272" i="10" s="1"/>
  <c r="C282" i="10" s="1"/>
  <c r="C292" i="10" s="1"/>
  <c r="C302" i="10" s="1"/>
  <c r="C261" i="10"/>
  <c r="C271" i="10" s="1"/>
  <c r="C281" i="10" s="1"/>
  <c r="C291" i="10" s="1"/>
  <c r="C301" i="10" s="1"/>
  <c r="C260" i="10"/>
  <c r="C270" i="10" s="1"/>
  <c r="C280" i="10" s="1"/>
  <c r="C290" i="10" s="1"/>
  <c r="C300" i="10" s="1"/>
  <c r="C259" i="10"/>
  <c r="C269" i="10" s="1"/>
  <c r="C279" i="10" s="1"/>
  <c r="C289" i="10" s="1"/>
  <c r="C299" i="10" s="1"/>
  <c r="C258" i="10"/>
  <c r="C268" i="10" s="1"/>
  <c r="C278" i="10" s="1"/>
  <c r="C288" i="10" s="1"/>
  <c r="C298" i="10" s="1"/>
  <c r="C257" i="10"/>
  <c r="C267" i="10" s="1"/>
  <c r="C277" i="10" s="1"/>
  <c r="C287" i="10" s="1"/>
  <c r="C297" i="10" s="1"/>
  <c r="C256" i="10"/>
  <c r="C266" i="10" s="1"/>
  <c r="C276" i="10" s="1"/>
  <c r="C286" i="10" s="1"/>
  <c r="C296" i="10" s="1"/>
  <c r="C255" i="10"/>
  <c r="C265" i="10" s="1"/>
  <c r="C275" i="10" s="1"/>
  <c r="C285" i="10" s="1"/>
  <c r="C295" i="10" s="1"/>
  <c r="C254" i="10"/>
  <c r="C264" i="10" s="1"/>
  <c r="C274" i="10" s="1"/>
  <c r="C284" i="10" s="1"/>
  <c r="C294" i="10" s="1"/>
  <c r="C203" i="10"/>
  <c r="C213" i="10" s="1"/>
  <c r="C223" i="10" s="1"/>
  <c r="C233" i="10" s="1"/>
  <c r="C243" i="10" s="1"/>
  <c r="C202" i="10"/>
  <c r="C212" i="10" s="1"/>
  <c r="C222" i="10" s="1"/>
  <c r="C232" i="10" s="1"/>
  <c r="C242" i="10" s="1"/>
  <c r="C201" i="10"/>
  <c r="C211" i="10" s="1"/>
  <c r="C221" i="10" s="1"/>
  <c r="C231" i="10" s="1"/>
  <c r="C241" i="10" s="1"/>
  <c r="C200" i="10"/>
  <c r="C210" i="10" s="1"/>
  <c r="C220" i="10" s="1"/>
  <c r="C230" i="10" s="1"/>
  <c r="C240" i="10" s="1"/>
  <c r="C199" i="10"/>
  <c r="C209" i="10" s="1"/>
  <c r="C219" i="10" s="1"/>
  <c r="C229" i="10" s="1"/>
  <c r="C239" i="10" s="1"/>
  <c r="C198" i="10"/>
  <c r="C208" i="10" s="1"/>
  <c r="C218" i="10" s="1"/>
  <c r="C228" i="10" s="1"/>
  <c r="C238" i="10" s="1"/>
  <c r="C197" i="10"/>
  <c r="C207" i="10" s="1"/>
  <c r="C217" i="10" s="1"/>
  <c r="C227" i="10" s="1"/>
  <c r="C237" i="10" s="1"/>
  <c r="C196" i="10"/>
  <c r="C206" i="10" s="1"/>
  <c r="C216" i="10" s="1"/>
  <c r="C226" i="10" s="1"/>
  <c r="C236" i="10" s="1"/>
  <c r="C195" i="10"/>
  <c r="C205" i="10" s="1"/>
  <c r="C215" i="10" s="1"/>
  <c r="C225" i="10" s="1"/>
  <c r="C235" i="10" s="1"/>
  <c r="C194" i="10"/>
  <c r="C204" i="10" s="1"/>
  <c r="C214" i="10" s="1"/>
  <c r="C224" i="10" s="1"/>
  <c r="C234" i="10" s="1"/>
  <c r="C143" i="10"/>
  <c r="C153" i="10" s="1"/>
  <c r="C163" i="10" s="1"/>
  <c r="C173" i="10" s="1"/>
  <c r="C183" i="10" s="1"/>
  <c r="C142" i="10"/>
  <c r="C152" i="10" s="1"/>
  <c r="C162" i="10" s="1"/>
  <c r="C172" i="10" s="1"/>
  <c r="C182" i="10" s="1"/>
  <c r="C141" i="10"/>
  <c r="C151" i="10" s="1"/>
  <c r="C161" i="10" s="1"/>
  <c r="C171" i="10" s="1"/>
  <c r="C181" i="10" s="1"/>
  <c r="C140" i="10"/>
  <c r="C150" i="10" s="1"/>
  <c r="C160" i="10" s="1"/>
  <c r="C170" i="10" s="1"/>
  <c r="C180" i="10" s="1"/>
  <c r="C139" i="10"/>
  <c r="C149" i="10" s="1"/>
  <c r="C159" i="10" s="1"/>
  <c r="C169" i="10" s="1"/>
  <c r="C179" i="10" s="1"/>
  <c r="C138" i="10"/>
  <c r="C148" i="10" s="1"/>
  <c r="C158" i="10" s="1"/>
  <c r="C168" i="10" s="1"/>
  <c r="C178" i="10" s="1"/>
  <c r="C137" i="10"/>
  <c r="C147" i="10" s="1"/>
  <c r="C157" i="10" s="1"/>
  <c r="C167" i="10" s="1"/>
  <c r="C177" i="10" s="1"/>
  <c r="C136" i="10"/>
  <c r="C146" i="10" s="1"/>
  <c r="C156" i="10" s="1"/>
  <c r="C166" i="10" s="1"/>
  <c r="C176" i="10" s="1"/>
  <c r="C135" i="10"/>
  <c r="C145" i="10" s="1"/>
  <c r="C155" i="10" s="1"/>
  <c r="C165" i="10" s="1"/>
  <c r="C175" i="10" s="1"/>
  <c r="C134" i="10"/>
  <c r="C144" i="10" s="1"/>
  <c r="C154" i="10" s="1"/>
  <c r="C164" i="10" s="1"/>
  <c r="C174" i="10" s="1"/>
  <c r="C83" i="10"/>
  <c r="C93" i="10" s="1"/>
  <c r="C103" i="10" s="1"/>
  <c r="C113" i="10" s="1"/>
  <c r="C123" i="10" s="1"/>
  <c r="C82" i="10"/>
  <c r="C92" i="10" s="1"/>
  <c r="C102" i="10" s="1"/>
  <c r="C112" i="10" s="1"/>
  <c r="C122" i="10" s="1"/>
  <c r="C81" i="10"/>
  <c r="C91" i="10" s="1"/>
  <c r="C101" i="10" s="1"/>
  <c r="C111" i="10" s="1"/>
  <c r="C121" i="10" s="1"/>
  <c r="C80" i="10"/>
  <c r="C90" i="10" s="1"/>
  <c r="C100" i="10" s="1"/>
  <c r="C110" i="10" s="1"/>
  <c r="C120" i="10" s="1"/>
  <c r="C79" i="10"/>
  <c r="C89" i="10" s="1"/>
  <c r="C99" i="10" s="1"/>
  <c r="C109" i="10" s="1"/>
  <c r="C119" i="10" s="1"/>
  <c r="C78" i="10"/>
  <c r="C88" i="10" s="1"/>
  <c r="C98" i="10" s="1"/>
  <c r="C108" i="10" s="1"/>
  <c r="C118" i="10" s="1"/>
  <c r="C77" i="10"/>
  <c r="C87" i="10" s="1"/>
  <c r="C97" i="10" s="1"/>
  <c r="C107" i="10" s="1"/>
  <c r="C117" i="10" s="1"/>
  <c r="C76" i="10"/>
  <c r="C86" i="10" s="1"/>
  <c r="C96" i="10" s="1"/>
  <c r="C106" i="10" s="1"/>
  <c r="C116" i="10" s="1"/>
  <c r="C75" i="10"/>
  <c r="C85" i="10" s="1"/>
  <c r="C95" i="10" s="1"/>
  <c r="C105" i="10" s="1"/>
  <c r="C115" i="10" s="1"/>
  <c r="C74" i="10"/>
  <c r="C84" i="10" s="1"/>
  <c r="C94" i="10" s="1"/>
  <c r="C104" i="10" s="1"/>
  <c r="C114" i="10" s="1"/>
  <c r="C23" i="10"/>
  <c r="C33" i="10" s="1"/>
  <c r="C43" i="10" s="1"/>
  <c r="C53" i="10" s="1"/>
  <c r="C63" i="10" s="1"/>
  <c r="C22" i="10"/>
  <c r="C32" i="10" s="1"/>
  <c r="C42" i="10" s="1"/>
  <c r="C52" i="10" s="1"/>
  <c r="C62" i="10" s="1"/>
  <c r="C21" i="10"/>
  <c r="C31" i="10" s="1"/>
  <c r="C41" i="10" s="1"/>
  <c r="C51" i="10" s="1"/>
  <c r="C61" i="10" s="1"/>
  <c r="C20" i="10"/>
  <c r="C30" i="10" s="1"/>
  <c r="C40" i="10" s="1"/>
  <c r="C50" i="10" s="1"/>
  <c r="C60" i="10" s="1"/>
  <c r="C19" i="10"/>
  <c r="C29" i="10" s="1"/>
  <c r="C39" i="10" s="1"/>
  <c r="C49" i="10" s="1"/>
  <c r="C59" i="10" s="1"/>
  <c r="C18" i="10"/>
  <c r="C28" i="10" s="1"/>
  <c r="C38" i="10" s="1"/>
  <c r="C48" i="10" s="1"/>
  <c r="C58" i="10" s="1"/>
  <c r="C17" i="10"/>
  <c r="C27" i="10" s="1"/>
  <c r="C37" i="10" s="1"/>
  <c r="C47" i="10" s="1"/>
  <c r="C57" i="10" s="1"/>
  <c r="C16" i="10"/>
  <c r="C26" i="10" s="1"/>
  <c r="C36" i="10" s="1"/>
  <c r="C46" i="10" s="1"/>
  <c r="C56" i="10" s="1"/>
  <c r="C15" i="10"/>
  <c r="C25" i="10" s="1"/>
  <c r="C35" i="10" s="1"/>
  <c r="C45" i="10" s="1"/>
  <c r="C55" i="10" s="1"/>
  <c r="C14" i="10"/>
  <c r="C24" i="10" s="1"/>
  <c r="C34" i="10" s="1"/>
  <c r="C44" i="10" s="1"/>
  <c r="C54" i="10" s="1"/>
  <c r="R30" i="10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S386" i="1" l="1"/>
  <c r="Q386" i="1" s="1"/>
  <c r="Z596" i="1"/>
  <c r="Z597" i="1" s="1"/>
  <c r="W44" i="1"/>
  <c r="R103" i="1"/>
  <c r="S102" i="1"/>
  <c r="Q102" i="1" s="1"/>
  <c r="V64" i="1"/>
  <c r="V84" i="1"/>
  <c r="W83" i="1"/>
  <c r="U83" i="1" s="1"/>
  <c r="R159" i="1"/>
  <c r="S158" i="1"/>
  <c r="Q158" i="1" s="1"/>
  <c r="Z178" i="1"/>
  <c r="AA177" i="1"/>
  <c r="Y177" i="1" s="1"/>
  <c r="AA386" i="1"/>
  <c r="Y386" i="1" s="1"/>
  <c r="AA6" i="1"/>
  <c r="Y6" i="1" s="1"/>
  <c r="R388" i="1"/>
  <c r="S387" i="1"/>
  <c r="Q387" i="1" s="1"/>
  <c r="W139" i="1"/>
  <c r="U139" i="1" s="1"/>
  <c r="V312" i="1"/>
  <c r="W311" i="1"/>
  <c r="U311" i="1" s="1"/>
  <c r="Z7" i="1"/>
  <c r="Z216" i="1"/>
  <c r="AA215" i="1"/>
  <c r="Y215" i="1" s="1"/>
  <c r="Z406" i="1"/>
  <c r="AA405" i="1"/>
  <c r="Y405" i="1" s="1"/>
  <c r="R331" i="1"/>
  <c r="S330" i="1"/>
  <c r="Q330" i="1" s="1"/>
  <c r="V141" i="1"/>
  <c r="W140" i="1"/>
  <c r="U140" i="1" s="1"/>
  <c r="W329" i="1"/>
  <c r="U329" i="1" s="1"/>
  <c r="Z26" i="1"/>
  <c r="AA25" i="1"/>
  <c r="Y25" i="1" s="1"/>
  <c r="Z235" i="1"/>
  <c r="AA234" i="1"/>
  <c r="Y234" i="1" s="1"/>
  <c r="Z425" i="1"/>
  <c r="AA424" i="1"/>
  <c r="Y424" i="1" s="1"/>
  <c r="Z387" i="1"/>
  <c r="R425" i="1"/>
  <c r="Q424" i="1"/>
  <c r="W158" i="1"/>
  <c r="U158" i="1" s="1"/>
  <c r="V330" i="1"/>
  <c r="Z45" i="1"/>
  <c r="AA44" i="1"/>
  <c r="Y44" i="1" s="1"/>
  <c r="Z197" i="1"/>
  <c r="AA196" i="1"/>
  <c r="Y196" i="1" s="1"/>
  <c r="R254" i="1"/>
  <c r="Q253" i="1"/>
  <c r="R444" i="1"/>
  <c r="S443" i="1"/>
  <c r="Q443" i="1" s="1"/>
  <c r="V160" i="1"/>
  <c r="U159" i="1"/>
  <c r="W159" i="1"/>
  <c r="V349" i="1"/>
  <c r="U348" i="1"/>
  <c r="W348" i="1"/>
  <c r="R64" i="1"/>
  <c r="S63" i="1"/>
  <c r="Q63" i="1"/>
  <c r="Q272" i="1"/>
  <c r="S272" i="1"/>
  <c r="R463" i="1"/>
  <c r="S462" i="1"/>
  <c r="Q462" i="1" s="1"/>
  <c r="Z274" i="1"/>
  <c r="AA273" i="1"/>
  <c r="Y273" i="1" s="1"/>
  <c r="R83" i="1"/>
  <c r="Q82" i="1"/>
  <c r="R273" i="1"/>
  <c r="V7" i="1"/>
  <c r="W6" i="1"/>
  <c r="U6" i="1" s="1"/>
  <c r="Z102" i="1"/>
  <c r="AA101" i="1"/>
  <c r="Y101" i="1" s="1"/>
  <c r="S101" i="1"/>
  <c r="Q101" i="1" s="1"/>
  <c r="R292" i="1"/>
  <c r="S291" i="1"/>
  <c r="Q291" i="1" s="1"/>
  <c r="V216" i="1"/>
  <c r="W215" i="1"/>
  <c r="U215" i="1" s="1"/>
  <c r="U386" i="1"/>
  <c r="W386" i="1"/>
  <c r="V387" i="1"/>
  <c r="W63" i="1"/>
  <c r="U63" i="1" s="1"/>
  <c r="R121" i="1"/>
  <c r="Q120" i="1"/>
  <c r="R311" i="1"/>
  <c r="Q310" i="1"/>
  <c r="V26" i="1"/>
  <c r="U25" i="1"/>
  <c r="V178" i="1"/>
  <c r="U177" i="1"/>
  <c r="W177" i="1"/>
  <c r="W367" i="1"/>
  <c r="U367" i="1" s="1"/>
  <c r="Z64" i="1"/>
  <c r="AA63" i="1"/>
  <c r="Y63" i="1" s="1"/>
  <c r="Z254" i="1"/>
  <c r="AA253" i="1"/>
  <c r="Y253" i="1" s="1"/>
  <c r="Z444" i="1"/>
  <c r="AA120" i="1"/>
  <c r="Y120" i="1" s="1"/>
  <c r="R140" i="1"/>
  <c r="V46" i="1"/>
  <c r="U45" i="1"/>
  <c r="V197" i="1"/>
  <c r="V369" i="1"/>
  <c r="Z83" i="1"/>
  <c r="AA272" i="1"/>
  <c r="Y272" i="1" s="1"/>
  <c r="Z463" i="1"/>
  <c r="AA462" i="1"/>
  <c r="Y462" i="1" s="1"/>
  <c r="AA82" i="1"/>
  <c r="Y82" i="1" s="1"/>
  <c r="AA443" i="1"/>
  <c r="Y443" i="1" s="1"/>
  <c r="R350" i="1"/>
  <c r="Q349" i="1"/>
  <c r="S329" i="1"/>
  <c r="Q329" i="1" s="1"/>
  <c r="Z292" i="1"/>
  <c r="AA291" i="1"/>
  <c r="Y291" i="1" s="1"/>
  <c r="R7" i="1"/>
  <c r="R178" i="1"/>
  <c r="R369" i="1"/>
  <c r="V254" i="1"/>
  <c r="V406" i="1"/>
  <c r="W405" i="1"/>
  <c r="U405" i="1" s="1"/>
  <c r="Z121" i="1"/>
  <c r="Z311" i="1"/>
  <c r="Y310" i="1"/>
  <c r="W196" i="1"/>
  <c r="U196" i="1" s="1"/>
  <c r="W253" i="1"/>
  <c r="U253" i="1" s="1"/>
  <c r="V235" i="1"/>
  <c r="S6" i="1"/>
  <c r="Q6" i="1" s="1"/>
  <c r="R26" i="1"/>
  <c r="Q25" i="1"/>
  <c r="R197" i="1"/>
  <c r="Q196" i="1"/>
  <c r="U101" i="1"/>
  <c r="V273" i="1"/>
  <c r="U272" i="1"/>
  <c r="V425" i="1"/>
  <c r="U424" i="1"/>
  <c r="Z140" i="1"/>
  <c r="AA139" i="1"/>
  <c r="Y139" i="1" s="1"/>
  <c r="Z330" i="1"/>
  <c r="AA329" i="1"/>
  <c r="Y329" i="1" s="1"/>
  <c r="S139" i="1"/>
  <c r="Q139" i="1" s="1"/>
  <c r="S367" i="1"/>
  <c r="Q367" i="1" s="1"/>
  <c r="W234" i="1"/>
  <c r="U234" i="1" s="1"/>
  <c r="W368" i="1"/>
  <c r="U368" i="1" s="1"/>
  <c r="R216" i="1"/>
  <c r="Q215" i="1"/>
  <c r="V102" i="1"/>
  <c r="V292" i="1"/>
  <c r="U291" i="1"/>
  <c r="V444" i="1"/>
  <c r="W443" i="1"/>
  <c r="U443" i="1" s="1"/>
  <c r="Y158" i="1"/>
  <c r="Z349" i="1"/>
  <c r="AA348" i="1"/>
  <c r="Y348" i="1" s="1"/>
  <c r="S44" i="1"/>
  <c r="Q44" i="1" s="1"/>
  <c r="S368" i="1"/>
  <c r="Q368" i="1" s="1"/>
  <c r="W272" i="1"/>
  <c r="U44" i="1"/>
  <c r="U82" i="1"/>
  <c r="W82" i="1"/>
  <c r="R46" i="1"/>
  <c r="R235" i="1"/>
  <c r="Q234" i="1"/>
  <c r="R406" i="1"/>
  <c r="V121" i="1"/>
  <c r="U120" i="1"/>
  <c r="W120" i="1"/>
  <c r="W310" i="1"/>
  <c r="U310" i="1" s="1"/>
  <c r="V463" i="1"/>
  <c r="U462" i="1"/>
  <c r="Z160" i="1"/>
  <c r="Y159" i="1"/>
  <c r="Z368" i="1"/>
  <c r="AA367" i="1"/>
  <c r="Y367" i="1" s="1"/>
  <c r="S45" i="1"/>
  <c r="Q45" i="1" s="1"/>
  <c r="S177" i="1"/>
  <c r="Q177" i="1" s="1"/>
  <c r="S405" i="1"/>
  <c r="Q405" i="1" s="1"/>
  <c r="AA158" i="1"/>
  <c r="Q348" i="1"/>
  <c r="Z615" i="1"/>
  <c r="Z616" i="1" s="1"/>
  <c r="Z634" i="1"/>
  <c r="Z635" i="1" s="1"/>
  <c r="S634" i="1"/>
  <c r="Q634" i="1" s="1"/>
  <c r="R635" i="1"/>
  <c r="W634" i="1"/>
  <c r="U634" i="1" s="1"/>
  <c r="V635" i="1"/>
  <c r="AA635" i="1"/>
  <c r="Y635" i="1" s="1"/>
  <c r="Z636" i="1"/>
  <c r="S633" i="1"/>
  <c r="Q633" i="1" s="1"/>
  <c r="W633" i="1"/>
  <c r="U633" i="1" s="1"/>
  <c r="Y633" i="1"/>
  <c r="A502" i="8"/>
  <c r="C504" i="8"/>
  <c r="D504" i="8" s="1"/>
  <c r="B509" i="8"/>
  <c r="C509" i="8"/>
  <c r="D509" i="8" s="1"/>
  <c r="B510" i="8"/>
  <c r="B503" i="8"/>
  <c r="B499" i="8"/>
  <c r="A504" i="8"/>
  <c r="B511" i="8"/>
  <c r="AA616" i="1"/>
  <c r="Y616" i="1" s="1"/>
  <c r="Z617" i="1"/>
  <c r="S615" i="1"/>
  <c r="Q615" i="1" s="1"/>
  <c r="R616" i="1"/>
  <c r="W615" i="1"/>
  <c r="U615" i="1" s="1"/>
  <c r="V616" i="1"/>
  <c r="S614" i="1"/>
  <c r="Q614" i="1" s="1"/>
  <c r="AA615" i="1"/>
  <c r="Y615" i="1" s="1"/>
  <c r="W614" i="1"/>
  <c r="U614" i="1" s="1"/>
  <c r="D484" i="8"/>
  <c r="A487" i="8"/>
  <c r="C489" i="8"/>
  <c r="D489" i="8" s="1"/>
  <c r="B494" i="8"/>
  <c r="C494" i="8"/>
  <c r="D494" i="8" s="1"/>
  <c r="B490" i="8"/>
  <c r="B498" i="8"/>
  <c r="A484" i="8"/>
  <c r="B491" i="8"/>
  <c r="A496" i="8"/>
  <c r="B484" i="8"/>
  <c r="A489" i="8"/>
  <c r="B496" i="8"/>
  <c r="C474" i="8"/>
  <c r="D474" i="8" s="1"/>
  <c r="B479" i="8"/>
  <c r="A473" i="8"/>
  <c r="B480" i="8"/>
  <c r="A476" i="8"/>
  <c r="A469" i="8"/>
  <c r="B476" i="8"/>
  <c r="A481" i="8"/>
  <c r="B469" i="8"/>
  <c r="A474" i="8"/>
  <c r="B481" i="8"/>
  <c r="S596" i="1"/>
  <c r="Q596" i="1" s="1"/>
  <c r="R597" i="1"/>
  <c r="AA597" i="1"/>
  <c r="Y597" i="1" s="1"/>
  <c r="Z598" i="1"/>
  <c r="W596" i="1"/>
  <c r="U596" i="1" s="1"/>
  <c r="V597" i="1"/>
  <c r="S595" i="1"/>
  <c r="Q595" i="1" s="1"/>
  <c r="AA596" i="1"/>
  <c r="Y596" i="1" s="1"/>
  <c r="W595" i="1"/>
  <c r="U595" i="1" s="1"/>
  <c r="Y595" i="1"/>
  <c r="C467" i="8"/>
  <c r="D467" i="8" s="1"/>
  <c r="A467" i="8"/>
  <c r="B467" i="8"/>
  <c r="C460" i="8"/>
  <c r="D460" i="8" s="1"/>
  <c r="B460" i="8"/>
  <c r="A460" i="8"/>
  <c r="C454" i="8"/>
  <c r="D454" i="8" s="1"/>
  <c r="B454" i="8"/>
  <c r="A454" i="8"/>
  <c r="B452" i="8"/>
  <c r="C452" i="8"/>
  <c r="D452" i="8" s="1"/>
  <c r="B447" i="8"/>
  <c r="C447" i="8"/>
  <c r="D447" i="8" s="1"/>
  <c r="B444" i="8"/>
  <c r="C444" i="8"/>
  <c r="D444" i="8" s="1"/>
  <c r="A444" i="8"/>
  <c r="C439" i="8"/>
  <c r="D439" i="8" s="1"/>
  <c r="B439" i="8"/>
  <c r="Z577" i="1"/>
  <c r="AA576" i="1"/>
  <c r="Y576" i="1" s="1"/>
  <c r="W576" i="1"/>
  <c r="U576" i="1" s="1"/>
  <c r="V577" i="1"/>
  <c r="R577" i="1"/>
  <c r="S576" i="1"/>
  <c r="Q576" i="1" s="1"/>
  <c r="AA557" i="1"/>
  <c r="Y557" i="1" s="1"/>
  <c r="Z558" i="1"/>
  <c r="V558" i="1"/>
  <c r="W557" i="1"/>
  <c r="U557" i="1" s="1"/>
  <c r="R558" i="1"/>
  <c r="S557" i="1"/>
  <c r="Q557" i="1"/>
  <c r="AA538" i="1"/>
  <c r="Y538" i="1" s="1"/>
  <c r="Z539" i="1"/>
  <c r="V539" i="1"/>
  <c r="W538" i="1"/>
  <c r="U538" i="1" s="1"/>
  <c r="R539" i="1"/>
  <c r="S538" i="1"/>
  <c r="Q538" i="1"/>
  <c r="Z520" i="1"/>
  <c r="AA519" i="1"/>
  <c r="Y519" i="1" s="1"/>
  <c r="V520" i="1"/>
  <c r="W519" i="1"/>
  <c r="U519" i="1" s="1"/>
  <c r="R520" i="1"/>
  <c r="S519" i="1"/>
  <c r="Q519" i="1" s="1"/>
  <c r="AA500" i="1"/>
  <c r="Y500" i="1" s="1"/>
  <c r="Z501" i="1"/>
  <c r="U500" i="1"/>
  <c r="W500" i="1"/>
  <c r="V501" i="1"/>
  <c r="R501" i="1"/>
  <c r="S500" i="1"/>
  <c r="Q500" i="1" s="1"/>
  <c r="AA481" i="1"/>
  <c r="Z482" i="1"/>
  <c r="Y481" i="1"/>
  <c r="V482" i="1"/>
  <c r="W481" i="1"/>
  <c r="U481" i="1" s="1"/>
  <c r="S481" i="1"/>
  <c r="Q481" i="1"/>
  <c r="R482" i="1"/>
  <c r="R72" i="10"/>
  <c r="R61" i="10"/>
  <c r="R32" i="10"/>
  <c r="R9" i="10"/>
  <c r="R33" i="10"/>
  <c r="R4" i="10"/>
  <c r="R10" i="10"/>
  <c r="R11" i="10"/>
  <c r="R29" i="10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Z65" i="1" l="1"/>
  <c r="AA64" i="1"/>
  <c r="Y64" i="1" s="1"/>
  <c r="Z46" i="1"/>
  <c r="AA45" i="1"/>
  <c r="Y45" i="1" s="1"/>
  <c r="R160" i="1"/>
  <c r="S159" i="1"/>
  <c r="Q159" i="1"/>
  <c r="Z236" i="1"/>
  <c r="AA235" i="1"/>
  <c r="Y235" i="1" s="1"/>
  <c r="Z369" i="1"/>
  <c r="AA368" i="1"/>
  <c r="Y368" i="1" s="1"/>
  <c r="V122" i="1"/>
  <c r="W121" i="1"/>
  <c r="U121" i="1" s="1"/>
  <c r="R217" i="1"/>
  <c r="S216" i="1"/>
  <c r="Q216" i="1" s="1"/>
  <c r="Z141" i="1"/>
  <c r="AA140" i="1"/>
  <c r="Y140" i="1"/>
  <c r="V236" i="1"/>
  <c r="W235" i="1"/>
  <c r="U235" i="1" s="1"/>
  <c r="R370" i="1"/>
  <c r="S369" i="1"/>
  <c r="Q369" i="1" s="1"/>
  <c r="V47" i="1"/>
  <c r="W46" i="1"/>
  <c r="U46" i="1" s="1"/>
  <c r="V161" i="1"/>
  <c r="W160" i="1"/>
  <c r="U160" i="1" s="1"/>
  <c r="V331" i="1"/>
  <c r="W330" i="1"/>
  <c r="U330" i="1" s="1"/>
  <c r="V388" i="1"/>
  <c r="W387" i="1"/>
  <c r="U387" i="1" s="1"/>
  <c r="Z103" i="1"/>
  <c r="AA102" i="1"/>
  <c r="Y102" i="1" s="1"/>
  <c r="R464" i="1"/>
  <c r="S463" i="1"/>
  <c r="Q463" i="1" s="1"/>
  <c r="Z407" i="1"/>
  <c r="AA406" i="1"/>
  <c r="Y406" i="1" s="1"/>
  <c r="R389" i="1"/>
  <c r="S388" i="1"/>
  <c r="Q388" i="1" s="1"/>
  <c r="R407" i="1"/>
  <c r="S406" i="1"/>
  <c r="Q406" i="1" s="1"/>
  <c r="V426" i="1"/>
  <c r="W425" i="1"/>
  <c r="U425" i="1"/>
  <c r="R179" i="1"/>
  <c r="S178" i="1"/>
  <c r="Q178" i="1" s="1"/>
  <c r="Z464" i="1"/>
  <c r="AA463" i="1"/>
  <c r="Y463" i="1" s="1"/>
  <c r="Z27" i="1"/>
  <c r="AA26" i="1"/>
  <c r="Y26" i="1" s="1"/>
  <c r="R8" i="1"/>
  <c r="S7" i="1"/>
  <c r="Q7" i="1" s="1"/>
  <c r="R141" i="1"/>
  <c r="S140" i="1"/>
  <c r="Q140" i="1" s="1"/>
  <c r="R445" i="1"/>
  <c r="S444" i="1"/>
  <c r="Q444" i="1" s="1"/>
  <c r="V274" i="1"/>
  <c r="W273" i="1"/>
  <c r="U273" i="1" s="1"/>
  <c r="V179" i="1"/>
  <c r="W178" i="1"/>
  <c r="U178" i="1" s="1"/>
  <c r="V8" i="1"/>
  <c r="W7" i="1"/>
  <c r="U7" i="1" s="1"/>
  <c r="R426" i="1"/>
  <c r="S425" i="1"/>
  <c r="Q425" i="1" s="1"/>
  <c r="Z217" i="1"/>
  <c r="AA216" i="1"/>
  <c r="Y216" i="1" s="1"/>
  <c r="R236" i="1"/>
  <c r="S235" i="1"/>
  <c r="Q235" i="1" s="1"/>
  <c r="Z161" i="1"/>
  <c r="AA160" i="1"/>
  <c r="Y160" i="1" s="1"/>
  <c r="Z312" i="1"/>
  <c r="AA311" i="1"/>
  <c r="Y311" i="1" s="1"/>
  <c r="R274" i="1"/>
  <c r="S273" i="1"/>
  <c r="Q273" i="1"/>
  <c r="R255" i="1"/>
  <c r="S254" i="1"/>
  <c r="Q254" i="1" s="1"/>
  <c r="Z388" i="1"/>
  <c r="AA387" i="1"/>
  <c r="Y387" i="1" s="1"/>
  <c r="Z8" i="1"/>
  <c r="AA7" i="1"/>
  <c r="Y7" i="1" s="1"/>
  <c r="V65" i="1"/>
  <c r="W64" i="1"/>
  <c r="U64" i="1" s="1"/>
  <c r="AA634" i="1"/>
  <c r="Y634" i="1" s="1"/>
  <c r="R47" i="1"/>
  <c r="S46" i="1"/>
  <c r="Q46" i="1" s="1"/>
  <c r="Z122" i="1"/>
  <c r="AA121" i="1"/>
  <c r="Y121" i="1" s="1"/>
  <c r="Z293" i="1"/>
  <c r="AA292" i="1"/>
  <c r="Y292" i="1" s="1"/>
  <c r="Z84" i="1"/>
  <c r="AA83" i="1"/>
  <c r="Y83" i="1" s="1"/>
  <c r="Z445" i="1"/>
  <c r="Y444" i="1"/>
  <c r="AA444" i="1"/>
  <c r="V27" i="1"/>
  <c r="W26" i="1"/>
  <c r="U26" i="1" s="1"/>
  <c r="V217" i="1"/>
  <c r="U216" i="1"/>
  <c r="W216" i="1"/>
  <c r="R65" i="1"/>
  <c r="S64" i="1"/>
  <c r="Q64" i="1" s="1"/>
  <c r="V464" i="1"/>
  <c r="W463" i="1"/>
  <c r="U463" i="1" s="1"/>
  <c r="V445" i="1"/>
  <c r="W444" i="1"/>
  <c r="U444" i="1" s="1"/>
  <c r="R198" i="1"/>
  <c r="S197" i="1"/>
  <c r="Q197" i="1" s="1"/>
  <c r="R84" i="1"/>
  <c r="S83" i="1"/>
  <c r="Q83" i="1" s="1"/>
  <c r="V142" i="1"/>
  <c r="W141" i="1"/>
  <c r="U141" i="1" s="1"/>
  <c r="V407" i="1"/>
  <c r="W406" i="1"/>
  <c r="U406" i="1" s="1"/>
  <c r="V370" i="1"/>
  <c r="U369" i="1"/>
  <c r="W369" i="1"/>
  <c r="Z255" i="1"/>
  <c r="AA254" i="1"/>
  <c r="Y254" i="1" s="1"/>
  <c r="R312" i="1"/>
  <c r="S311" i="1"/>
  <c r="Q311" i="1" s="1"/>
  <c r="R293" i="1"/>
  <c r="S292" i="1"/>
  <c r="Q292" i="1" s="1"/>
  <c r="Z198" i="1"/>
  <c r="AA197" i="1"/>
  <c r="Y197" i="1" s="1"/>
  <c r="Z426" i="1"/>
  <c r="AA425" i="1"/>
  <c r="Y425" i="1" s="1"/>
  <c r="V313" i="1"/>
  <c r="W312" i="1"/>
  <c r="U312" i="1" s="1"/>
  <c r="V293" i="1"/>
  <c r="W292" i="1"/>
  <c r="U292" i="1" s="1"/>
  <c r="Z331" i="1"/>
  <c r="AA330" i="1"/>
  <c r="Y330" i="1" s="1"/>
  <c r="R27" i="1"/>
  <c r="S26" i="1"/>
  <c r="Q26" i="1" s="1"/>
  <c r="R351" i="1"/>
  <c r="S350" i="1"/>
  <c r="Q350" i="1" s="1"/>
  <c r="V350" i="1"/>
  <c r="W349" i="1"/>
  <c r="U349" i="1" s="1"/>
  <c r="Z179" i="1"/>
  <c r="AA178" i="1"/>
  <c r="Y178" i="1" s="1"/>
  <c r="R104" i="1"/>
  <c r="S103" i="1"/>
  <c r="Q103" i="1" s="1"/>
  <c r="Z350" i="1"/>
  <c r="Y349" i="1"/>
  <c r="AA349" i="1"/>
  <c r="V85" i="1"/>
  <c r="W84" i="1"/>
  <c r="U84" i="1" s="1"/>
  <c r="V103" i="1"/>
  <c r="U102" i="1"/>
  <c r="W102" i="1"/>
  <c r="V255" i="1"/>
  <c r="W254" i="1"/>
  <c r="U254" i="1" s="1"/>
  <c r="V198" i="1"/>
  <c r="U197" i="1"/>
  <c r="W197" i="1"/>
  <c r="R122" i="1"/>
  <c r="S121" i="1"/>
  <c r="Q121" i="1" s="1"/>
  <c r="Z275" i="1"/>
  <c r="AA274" i="1"/>
  <c r="Y274" i="1" s="1"/>
  <c r="R332" i="1"/>
  <c r="S331" i="1"/>
  <c r="Q331" i="1" s="1"/>
  <c r="Z637" i="1"/>
  <c r="AA636" i="1"/>
  <c r="Y636" i="1" s="1"/>
  <c r="V636" i="1"/>
  <c r="W635" i="1"/>
  <c r="U635" i="1" s="1"/>
  <c r="R636" i="1"/>
  <c r="S635" i="1"/>
  <c r="Q635" i="1" s="1"/>
  <c r="V617" i="1"/>
  <c r="W616" i="1"/>
  <c r="U616" i="1" s="1"/>
  <c r="R617" i="1"/>
  <c r="S616" i="1"/>
  <c r="Q616" i="1" s="1"/>
  <c r="Z618" i="1"/>
  <c r="AA617" i="1"/>
  <c r="Y617" i="1" s="1"/>
  <c r="V598" i="1"/>
  <c r="W597" i="1"/>
  <c r="U597" i="1" s="1"/>
  <c r="Z599" i="1"/>
  <c r="AA598" i="1"/>
  <c r="Y598" i="1" s="1"/>
  <c r="R598" i="1"/>
  <c r="S597" i="1"/>
  <c r="Q597" i="1" s="1"/>
  <c r="AA577" i="1"/>
  <c r="Y577" i="1" s="1"/>
  <c r="Z578" i="1"/>
  <c r="V578" i="1"/>
  <c r="W577" i="1"/>
  <c r="U577" i="1" s="1"/>
  <c r="S577" i="1"/>
  <c r="Q577" i="1" s="1"/>
  <c r="R578" i="1"/>
  <c r="AA558" i="1"/>
  <c r="Y558" i="1" s="1"/>
  <c r="Z559" i="1"/>
  <c r="W558" i="1"/>
  <c r="U558" i="1" s="1"/>
  <c r="V559" i="1"/>
  <c r="R559" i="1"/>
  <c r="S558" i="1"/>
  <c r="Q558" i="1"/>
  <c r="Z540" i="1"/>
  <c r="AA539" i="1"/>
  <c r="Y539" i="1" s="1"/>
  <c r="V540" i="1"/>
  <c r="W539" i="1"/>
  <c r="U539" i="1" s="1"/>
  <c r="R540" i="1"/>
  <c r="S539" i="1"/>
  <c r="Q539" i="1" s="1"/>
  <c r="Z521" i="1"/>
  <c r="AA520" i="1"/>
  <c r="Y520" i="1" s="1"/>
  <c r="W520" i="1"/>
  <c r="U520" i="1" s="1"/>
  <c r="V521" i="1"/>
  <c r="R521" i="1"/>
  <c r="S520" i="1"/>
  <c r="Q520" i="1" s="1"/>
  <c r="Z502" i="1"/>
  <c r="AA501" i="1"/>
  <c r="Y501" i="1" s="1"/>
  <c r="W501" i="1"/>
  <c r="V502" i="1"/>
  <c r="U501" i="1"/>
  <c r="R502" i="1"/>
  <c r="Q501" i="1"/>
  <c r="S501" i="1"/>
  <c r="Z483" i="1"/>
  <c r="AA482" i="1"/>
  <c r="Y482" i="1"/>
  <c r="W482" i="1"/>
  <c r="U482" i="1" s="1"/>
  <c r="V483" i="1"/>
  <c r="R483" i="1"/>
  <c r="S482" i="1"/>
  <c r="Q482" i="1" s="1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V465" i="1" l="1"/>
  <c r="W464" i="1"/>
  <c r="U464" i="1" s="1"/>
  <c r="R313" i="1"/>
  <c r="S312" i="1"/>
  <c r="Q312" i="1" s="1"/>
  <c r="V427" i="1"/>
  <c r="W426" i="1"/>
  <c r="U426" i="1" s="1"/>
  <c r="R333" i="1"/>
  <c r="S332" i="1"/>
  <c r="Q332" i="1" s="1"/>
  <c r="V256" i="1"/>
  <c r="U255" i="1"/>
  <c r="W255" i="1"/>
  <c r="R105" i="1"/>
  <c r="S104" i="1"/>
  <c r="Q104" i="1" s="1"/>
  <c r="R28" i="1"/>
  <c r="S27" i="1"/>
  <c r="Q27" i="1" s="1"/>
  <c r="Z427" i="1"/>
  <c r="AA426" i="1"/>
  <c r="Y426" i="1" s="1"/>
  <c r="Z256" i="1"/>
  <c r="AA255" i="1"/>
  <c r="Y255" i="1" s="1"/>
  <c r="R85" i="1"/>
  <c r="S84" i="1"/>
  <c r="Q84" i="1" s="1"/>
  <c r="R66" i="1"/>
  <c r="S65" i="1"/>
  <c r="Q65" i="1" s="1"/>
  <c r="Z85" i="1"/>
  <c r="AA84" i="1"/>
  <c r="Y84" i="1" s="1"/>
  <c r="V314" i="1"/>
  <c r="W313" i="1"/>
  <c r="U313" i="1" s="1"/>
  <c r="R9" i="1"/>
  <c r="S8" i="1"/>
  <c r="Q8" i="1" s="1"/>
  <c r="V66" i="1"/>
  <c r="W65" i="1"/>
  <c r="U65" i="1" s="1"/>
  <c r="R275" i="1"/>
  <c r="S274" i="1"/>
  <c r="Q274" i="1" s="1"/>
  <c r="Z218" i="1"/>
  <c r="AA217" i="1"/>
  <c r="Y217" i="1" s="1"/>
  <c r="V275" i="1"/>
  <c r="W274" i="1"/>
  <c r="U274" i="1" s="1"/>
  <c r="Z28" i="1"/>
  <c r="AA27" i="1"/>
  <c r="Y27" i="1" s="1"/>
  <c r="R408" i="1"/>
  <c r="S407" i="1"/>
  <c r="Q407" i="1" s="1"/>
  <c r="Z104" i="1"/>
  <c r="Y103" i="1"/>
  <c r="AA103" i="1"/>
  <c r="V48" i="1"/>
  <c r="W47" i="1"/>
  <c r="U47" i="1" s="1"/>
  <c r="R218" i="1"/>
  <c r="S217" i="1"/>
  <c r="Q217" i="1" s="1"/>
  <c r="R161" i="1"/>
  <c r="S160" i="1"/>
  <c r="Q160" i="1" s="1"/>
  <c r="V199" i="1"/>
  <c r="W198" i="1"/>
  <c r="U198" i="1" s="1"/>
  <c r="V143" i="1"/>
  <c r="W142" i="1"/>
  <c r="U142" i="1" s="1"/>
  <c r="V180" i="1"/>
  <c r="W179" i="1"/>
  <c r="U179" i="1" s="1"/>
  <c r="Z142" i="1"/>
  <c r="AA141" i="1"/>
  <c r="Y141" i="1" s="1"/>
  <c r="Z180" i="1"/>
  <c r="AA179" i="1"/>
  <c r="Y179" i="1" s="1"/>
  <c r="Z294" i="1"/>
  <c r="AA293" i="1"/>
  <c r="Y293" i="1" s="1"/>
  <c r="Z351" i="1"/>
  <c r="AA350" i="1"/>
  <c r="Y350" i="1" s="1"/>
  <c r="R48" i="1"/>
  <c r="S47" i="1"/>
  <c r="Q47" i="1" s="1"/>
  <c r="R237" i="1"/>
  <c r="S236" i="1"/>
  <c r="Q236" i="1" s="1"/>
  <c r="R465" i="1"/>
  <c r="S464" i="1"/>
  <c r="Q464" i="1" s="1"/>
  <c r="Z276" i="1"/>
  <c r="AA275" i="1"/>
  <c r="Y275" i="1"/>
  <c r="Z199" i="1"/>
  <c r="AA198" i="1"/>
  <c r="Y198" i="1" s="1"/>
  <c r="R199" i="1"/>
  <c r="S198" i="1"/>
  <c r="Q198" i="1" s="1"/>
  <c r="Z313" i="1"/>
  <c r="AA312" i="1"/>
  <c r="Y312" i="1" s="1"/>
  <c r="Z465" i="1"/>
  <c r="AA464" i="1"/>
  <c r="Y464" i="1" s="1"/>
  <c r="V389" i="1"/>
  <c r="W388" i="1"/>
  <c r="U388" i="1" s="1"/>
  <c r="V123" i="1"/>
  <c r="W122" i="1"/>
  <c r="U122" i="1" s="1"/>
  <c r="R352" i="1"/>
  <c r="S351" i="1"/>
  <c r="Q351" i="1" s="1"/>
  <c r="Z446" i="1"/>
  <c r="AA445" i="1"/>
  <c r="Y445" i="1"/>
  <c r="R256" i="1"/>
  <c r="S255" i="1"/>
  <c r="Q255" i="1" s="1"/>
  <c r="Z237" i="1"/>
  <c r="AA236" i="1"/>
  <c r="Y236" i="1" s="1"/>
  <c r="Z332" i="1"/>
  <c r="AA331" i="1"/>
  <c r="Y331" i="1" s="1"/>
  <c r="V218" i="1"/>
  <c r="W217" i="1"/>
  <c r="U217" i="1" s="1"/>
  <c r="Z9" i="1"/>
  <c r="AA8" i="1"/>
  <c r="Y8" i="1" s="1"/>
  <c r="R427" i="1"/>
  <c r="S426" i="1"/>
  <c r="Q426" i="1" s="1"/>
  <c r="R446" i="1"/>
  <c r="S445" i="1"/>
  <c r="Q445" i="1" s="1"/>
  <c r="R390" i="1"/>
  <c r="S389" i="1"/>
  <c r="Q389" i="1"/>
  <c r="R371" i="1"/>
  <c r="S370" i="1"/>
  <c r="Q370" i="1" s="1"/>
  <c r="Z47" i="1"/>
  <c r="AA46" i="1"/>
  <c r="Y46" i="1" s="1"/>
  <c r="R123" i="1"/>
  <c r="S122" i="1"/>
  <c r="Q122" i="1" s="1"/>
  <c r="V86" i="1"/>
  <c r="W85" i="1"/>
  <c r="U85" i="1" s="1"/>
  <c r="V351" i="1"/>
  <c r="W350" i="1"/>
  <c r="U350" i="1" s="1"/>
  <c r="V294" i="1"/>
  <c r="U293" i="1"/>
  <c r="W293" i="1"/>
  <c r="R294" i="1"/>
  <c r="S293" i="1"/>
  <c r="Q293" i="1" s="1"/>
  <c r="V408" i="1"/>
  <c r="W407" i="1"/>
  <c r="U407" i="1" s="1"/>
  <c r="V446" i="1"/>
  <c r="W445" i="1"/>
  <c r="U445" i="1" s="1"/>
  <c r="V28" i="1"/>
  <c r="W27" i="1"/>
  <c r="U27" i="1" s="1"/>
  <c r="Z123" i="1"/>
  <c r="AA122" i="1"/>
  <c r="Y122" i="1" s="1"/>
  <c r="V162" i="1"/>
  <c r="W161" i="1"/>
  <c r="U161" i="1" s="1"/>
  <c r="V104" i="1"/>
  <c r="W103" i="1"/>
  <c r="U103" i="1"/>
  <c r="V371" i="1"/>
  <c r="W370" i="1"/>
  <c r="U370" i="1" s="1"/>
  <c r="Z389" i="1"/>
  <c r="AA388" i="1"/>
  <c r="Y388" i="1" s="1"/>
  <c r="Z162" i="1"/>
  <c r="AA161" i="1"/>
  <c r="Y161" i="1" s="1"/>
  <c r="V9" i="1"/>
  <c r="W8" i="1"/>
  <c r="U8" i="1" s="1"/>
  <c r="R142" i="1"/>
  <c r="S141" i="1"/>
  <c r="Q141" i="1" s="1"/>
  <c r="R180" i="1"/>
  <c r="S179" i="1"/>
  <c r="Q179" i="1" s="1"/>
  <c r="Z408" i="1"/>
  <c r="AA407" i="1"/>
  <c r="Y407" i="1" s="1"/>
  <c r="V332" i="1"/>
  <c r="W331" i="1"/>
  <c r="U331" i="1"/>
  <c r="V237" i="1"/>
  <c r="U236" i="1"/>
  <c r="W236" i="1"/>
  <c r="Z370" i="1"/>
  <c r="AA369" i="1"/>
  <c r="Y369" i="1" s="1"/>
  <c r="Z66" i="1"/>
  <c r="AA65" i="1"/>
  <c r="Y65" i="1" s="1"/>
  <c r="W636" i="1"/>
  <c r="U636" i="1"/>
  <c r="V637" i="1"/>
  <c r="S636" i="1"/>
  <c r="Q636" i="1"/>
  <c r="R637" i="1"/>
  <c r="AA637" i="1"/>
  <c r="Y637" i="1" s="1"/>
  <c r="Z638" i="1"/>
  <c r="AA618" i="1"/>
  <c r="Y618" i="1" s="1"/>
  <c r="Z619" i="1"/>
  <c r="S617" i="1"/>
  <c r="Q617" i="1" s="1"/>
  <c r="R618" i="1"/>
  <c r="W617" i="1"/>
  <c r="U617" i="1" s="1"/>
  <c r="V618" i="1"/>
  <c r="S598" i="1"/>
  <c r="R599" i="1"/>
  <c r="Q598" i="1"/>
  <c r="AA599" i="1"/>
  <c r="Y599" i="1" s="1"/>
  <c r="Z600" i="1"/>
  <c r="W598" i="1"/>
  <c r="U598" i="1" s="1"/>
  <c r="V599" i="1"/>
  <c r="Z579" i="1"/>
  <c r="AA578" i="1"/>
  <c r="Y578" i="1" s="1"/>
  <c r="V579" i="1"/>
  <c r="W578" i="1"/>
  <c r="U578" i="1" s="1"/>
  <c r="R579" i="1"/>
  <c r="S578" i="1"/>
  <c r="Q578" i="1" s="1"/>
  <c r="AA559" i="1"/>
  <c r="Y559" i="1" s="1"/>
  <c r="Z560" i="1"/>
  <c r="W559" i="1"/>
  <c r="U559" i="1" s="1"/>
  <c r="V560" i="1"/>
  <c r="R560" i="1"/>
  <c r="S559" i="1"/>
  <c r="Q559" i="1" s="1"/>
  <c r="AA540" i="1"/>
  <c r="Y540" i="1" s="1"/>
  <c r="Z541" i="1"/>
  <c r="V541" i="1"/>
  <c r="W540" i="1"/>
  <c r="U540" i="1" s="1"/>
  <c r="R541" i="1"/>
  <c r="S540" i="1"/>
  <c r="Q540" i="1" s="1"/>
  <c r="Z522" i="1"/>
  <c r="AA521" i="1"/>
  <c r="Y521" i="1"/>
  <c r="V522" i="1"/>
  <c r="W521" i="1"/>
  <c r="U521" i="1" s="1"/>
  <c r="R522" i="1"/>
  <c r="S521" i="1"/>
  <c r="Q521" i="1" s="1"/>
  <c r="Z503" i="1"/>
  <c r="AA502" i="1"/>
  <c r="Y502" i="1" s="1"/>
  <c r="V503" i="1"/>
  <c r="W502" i="1"/>
  <c r="U502" i="1" s="1"/>
  <c r="R503" i="1"/>
  <c r="S502" i="1"/>
  <c r="Q502" i="1" s="1"/>
  <c r="AA483" i="1"/>
  <c r="Y483" i="1" s="1"/>
  <c r="Z484" i="1"/>
  <c r="W483" i="1"/>
  <c r="U483" i="1" s="1"/>
  <c r="V484" i="1"/>
  <c r="R484" i="1"/>
  <c r="S483" i="1"/>
  <c r="Q483" i="1" s="1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R372" i="1" l="1"/>
  <c r="S371" i="1"/>
  <c r="Q371" i="1" s="1"/>
  <c r="R409" i="1"/>
  <c r="S408" i="1"/>
  <c r="Q408" i="1" s="1"/>
  <c r="Z67" i="1"/>
  <c r="AA66" i="1"/>
  <c r="Y66" i="1" s="1"/>
  <c r="Z409" i="1"/>
  <c r="AA408" i="1"/>
  <c r="Y408" i="1" s="1"/>
  <c r="Z163" i="1"/>
  <c r="AA162" i="1"/>
  <c r="Y162" i="1" s="1"/>
  <c r="V163" i="1"/>
  <c r="W162" i="1"/>
  <c r="U162" i="1" s="1"/>
  <c r="V409" i="1"/>
  <c r="W408" i="1"/>
  <c r="U408" i="1"/>
  <c r="V87" i="1"/>
  <c r="W86" i="1"/>
  <c r="U86" i="1" s="1"/>
  <c r="R391" i="1"/>
  <c r="S390" i="1"/>
  <c r="Q390" i="1" s="1"/>
  <c r="V219" i="1"/>
  <c r="W218" i="1"/>
  <c r="U218" i="1" s="1"/>
  <c r="Z447" i="1"/>
  <c r="AA446" i="1"/>
  <c r="Y446" i="1" s="1"/>
  <c r="Z466" i="1"/>
  <c r="AA465" i="1"/>
  <c r="Y465" i="1" s="1"/>
  <c r="Z277" i="1"/>
  <c r="AA276" i="1"/>
  <c r="Y276" i="1" s="1"/>
  <c r="Z352" i="1"/>
  <c r="AA351" i="1"/>
  <c r="Y351" i="1" s="1"/>
  <c r="V181" i="1"/>
  <c r="W180" i="1"/>
  <c r="U180" i="1" s="1"/>
  <c r="R219" i="1"/>
  <c r="S218" i="1"/>
  <c r="Q218" i="1" s="1"/>
  <c r="Z29" i="1"/>
  <c r="AA28" i="1"/>
  <c r="Y28" i="1" s="1"/>
  <c r="V67" i="1"/>
  <c r="W66" i="1"/>
  <c r="U66" i="1" s="1"/>
  <c r="R67" i="1"/>
  <c r="S66" i="1"/>
  <c r="Q66" i="1" s="1"/>
  <c r="R29" i="1"/>
  <c r="S28" i="1"/>
  <c r="Q28" i="1" s="1"/>
  <c r="V428" i="1"/>
  <c r="W427" i="1"/>
  <c r="U427" i="1" s="1"/>
  <c r="V10" i="1"/>
  <c r="W9" i="1"/>
  <c r="U9" i="1" s="1"/>
  <c r="V390" i="1"/>
  <c r="W389" i="1"/>
  <c r="U389" i="1" s="1"/>
  <c r="R334" i="1"/>
  <c r="S333" i="1"/>
  <c r="Q333" i="1" s="1"/>
  <c r="V352" i="1"/>
  <c r="W351" i="1"/>
  <c r="U351" i="1" s="1"/>
  <c r="R257" i="1"/>
  <c r="S256" i="1"/>
  <c r="Q256" i="1" s="1"/>
  <c r="Z143" i="1"/>
  <c r="AA142" i="1"/>
  <c r="Y142" i="1" s="1"/>
  <c r="R162" i="1"/>
  <c r="S161" i="1"/>
  <c r="Q161" i="1" s="1"/>
  <c r="Z428" i="1"/>
  <c r="AA427" i="1"/>
  <c r="Y427" i="1" s="1"/>
  <c r="Z371" i="1"/>
  <c r="AA370" i="1"/>
  <c r="Y370" i="1" s="1"/>
  <c r="Z390" i="1"/>
  <c r="AA389" i="1"/>
  <c r="Y389" i="1" s="1"/>
  <c r="R295" i="1"/>
  <c r="S294" i="1"/>
  <c r="Q294" i="1" s="1"/>
  <c r="R124" i="1"/>
  <c r="S123" i="1"/>
  <c r="Q123" i="1" s="1"/>
  <c r="R447" i="1"/>
  <c r="S446" i="1"/>
  <c r="Q446" i="1" s="1"/>
  <c r="Z333" i="1"/>
  <c r="AA332" i="1"/>
  <c r="Y332" i="1" s="1"/>
  <c r="R353" i="1"/>
  <c r="S352" i="1"/>
  <c r="Q352" i="1" s="1"/>
  <c r="Z314" i="1"/>
  <c r="AA313" i="1"/>
  <c r="Y313" i="1" s="1"/>
  <c r="R466" i="1"/>
  <c r="S465" i="1"/>
  <c r="Q465" i="1" s="1"/>
  <c r="Z295" i="1"/>
  <c r="AA294" i="1"/>
  <c r="Y294" i="1" s="1"/>
  <c r="V144" i="1"/>
  <c r="W143" i="1"/>
  <c r="U143" i="1" s="1"/>
  <c r="V49" i="1"/>
  <c r="W48" i="1"/>
  <c r="U48" i="1" s="1"/>
  <c r="V276" i="1"/>
  <c r="W275" i="1"/>
  <c r="U275" i="1" s="1"/>
  <c r="R10" i="1"/>
  <c r="S9" i="1"/>
  <c r="Q9" i="1" s="1"/>
  <c r="R86" i="1"/>
  <c r="S85" i="1"/>
  <c r="Q85" i="1" s="1"/>
  <c r="R106" i="1"/>
  <c r="S105" i="1"/>
  <c r="Q105" i="1" s="1"/>
  <c r="R314" i="1"/>
  <c r="S313" i="1"/>
  <c r="Q313" i="1" s="1"/>
  <c r="V333" i="1"/>
  <c r="W332" i="1"/>
  <c r="U332" i="1" s="1"/>
  <c r="Z10" i="1"/>
  <c r="AA9" i="1"/>
  <c r="Y9" i="1" s="1"/>
  <c r="R49" i="1"/>
  <c r="S48" i="1"/>
  <c r="Q48" i="1" s="1"/>
  <c r="R276" i="1"/>
  <c r="S275" i="1"/>
  <c r="Q275" i="1" s="1"/>
  <c r="R181" i="1"/>
  <c r="S180" i="1"/>
  <c r="Q180" i="1"/>
  <c r="Z124" i="1"/>
  <c r="AA123" i="1"/>
  <c r="Y123" i="1" s="1"/>
  <c r="V105" i="1"/>
  <c r="W104" i="1"/>
  <c r="U104" i="1" s="1"/>
  <c r="V447" i="1"/>
  <c r="W446" i="1"/>
  <c r="U446" i="1" s="1"/>
  <c r="Z200" i="1"/>
  <c r="AA199" i="1"/>
  <c r="Y199" i="1" s="1"/>
  <c r="Z86" i="1"/>
  <c r="AA85" i="1"/>
  <c r="Y85" i="1" s="1"/>
  <c r="V238" i="1"/>
  <c r="W237" i="1"/>
  <c r="U237" i="1" s="1"/>
  <c r="R143" i="1"/>
  <c r="S142" i="1"/>
  <c r="Q142" i="1" s="1"/>
  <c r="V372" i="1"/>
  <c r="W371" i="1"/>
  <c r="U371" i="1" s="1"/>
  <c r="V29" i="1"/>
  <c r="W28" i="1"/>
  <c r="U28" i="1" s="1"/>
  <c r="V295" i="1"/>
  <c r="W294" i="1"/>
  <c r="U294" i="1" s="1"/>
  <c r="Z48" i="1"/>
  <c r="AA47" i="1"/>
  <c r="Y47" i="1" s="1"/>
  <c r="R428" i="1"/>
  <c r="S427" i="1"/>
  <c r="Q427" i="1"/>
  <c r="Z238" i="1"/>
  <c r="AA237" i="1"/>
  <c r="Y237" i="1" s="1"/>
  <c r="V124" i="1"/>
  <c r="W123" i="1"/>
  <c r="U123" i="1" s="1"/>
  <c r="R200" i="1"/>
  <c r="S199" i="1"/>
  <c r="Q199" i="1" s="1"/>
  <c r="R238" i="1"/>
  <c r="S237" i="1"/>
  <c r="Q237" i="1" s="1"/>
  <c r="Z181" i="1"/>
  <c r="AA180" i="1"/>
  <c r="Y180" i="1" s="1"/>
  <c r="V200" i="1"/>
  <c r="W199" i="1"/>
  <c r="U199" i="1" s="1"/>
  <c r="Z105" i="1"/>
  <c r="AA104" i="1"/>
  <c r="Y104" i="1" s="1"/>
  <c r="Z219" i="1"/>
  <c r="AA218" i="1"/>
  <c r="Y218" i="1" s="1"/>
  <c r="V315" i="1"/>
  <c r="W314" i="1"/>
  <c r="U314" i="1" s="1"/>
  <c r="Z257" i="1"/>
  <c r="AA256" i="1"/>
  <c r="Y256" i="1" s="1"/>
  <c r="V257" i="1"/>
  <c r="W256" i="1"/>
  <c r="U256" i="1" s="1"/>
  <c r="V466" i="1"/>
  <c r="W465" i="1"/>
  <c r="U465" i="1" s="1"/>
  <c r="R638" i="1"/>
  <c r="S637" i="1"/>
  <c r="Q637" i="1" s="1"/>
  <c r="Z639" i="1"/>
  <c r="AA638" i="1"/>
  <c r="Y638" i="1" s="1"/>
  <c r="V638" i="1"/>
  <c r="W637" i="1"/>
  <c r="U637" i="1" s="1"/>
  <c r="V619" i="1"/>
  <c r="W618" i="1"/>
  <c r="U618" i="1" s="1"/>
  <c r="Z620" i="1"/>
  <c r="AA619" i="1"/>
  <c r="Y619" i="1"/>
  <c r="R619" i="1"/>
  <c r="S618" i="1"/>
  <c r="Q618" i="1" s="1"/>
  <c r="Z601" i="1"/>
  <c r="AA600" i="1"/>
  <c r="Y600" i="1"/>
  <c r="R600" i="1"/>
  <c r="S599" i="1"/>
  <c r="Q599" i="1"/>
  <c r="V600" i="1"/>
  <c r="W599" i="1"/>
  <c r="U599" i="1"/>
  <c r="Z580" i="1"/>
  <c r="AA579" i="1"/>
  <c r="Y579" i="1" s="1"/>
  <c r="V580" i="1"/>
  <c r="W579" i="1"/>
  <c r="U579" i="1" s="1"/>
  <c r="R580" i="1"/>
  <c r="S579" i="1"/>
  <c r="Q579" i="1" s="1"/>
  <c r="AA560" i="1"/>
  <c r="Y560" i="1" s="1"/>
  <c r="Z561" i="1"/>
  <c r="W560" i="1"/>
  <c r="U560" i="1" s="1"/>
  <c r="V561" i="1"/>
  <c r="R561" i="1"/>
  <c r="S560" i="1"/>
  <c r="Q560" i="1" s="1"/>
  <c r="Z542" i="1"/>
  <c r="AA541" i="1"/>
  <c r="Y541" i="1" s="1"/>
  <c r="W541" i="1"/>
  <c r="U541" i="1" s="1"/>
  <c r="V542" i="1"/>
  <c r="R542" i="1"/>
  <c r="S541" i="1"/>
  <c r="Q541" i="1" s="1"/>
  <c r="Z523" i="1"/>
  <c r="AA522" i="1"/>
  <c r="Y522" i="1" s="1"/>
  <c r="V523" i="1"/>
  <c r="W522" i="1"/>
  <c r="U522" i="1" s="1"/>
  <c r="R523" i="1"/>
  <c r="S522" i="1"/>
  <c r="Q522" i="1" s="1"/>
  <c r="AA503" i="1"/>
  <c r="Y503" i="1" s="1"/>
  <c r="Z504" i="1"/>
  <c r="U503" i="1"/>
  <c r="W503" i="1"/>
  <c r="V504" i="1"/>
  <c r="R504" i="1"/>
  <c r="S503" i="1"/>
  <c r="Q503" i="1" s="1"/>
  <c r="Z485" i="1"/>
  <c r="AA484" i="1"/>
  <c r="Y484" i="1" s="1"/>
  <c r="W484" i="1"/>
  <c r="U484" i="1" s="1"/>
  <c r="V485" i="1"/>
  <c r="R485" i="1"/>
  <c r="S484" i="1"/>
  <c r="Q484" i="1" s="1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G19" i="6"/>
  <c r="F19" i="6"/>
  <c r="G18" i="6"/>
  <c r="F18" i="6"/>
  <c r="AE466" i="1"/>
  <c r="AE465" i="1"/>
  <c r="AE464" i="1"/>
  <c r="AE463" i="1"/>
  <c r="AE462" i="1"/>
  <c r="AE461" i="1"/>
  <c r="AE460" i="1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E447" i="1"/>
  <c r="AE446" i="1"/>
  <c r="AE445" i="1"/>
  <c r="AE444" i="1"/>
  <c r="AE443" i="1"/>
  <c r="AE442" i="1"/>
  <c r="AE441" i="1"/>
  <c r="K63" i="10"/>
  <c r="P13" i="10" s="1"/>
  <c r="K62" i="10"/>
  <c r="P12" i="10" s="1"/>
  <c r="K61" i="10"/>
  <c r="P11" i="10" s="1"/>
  <c r="K60" i="10"/>
  <c r="P10" i="10" s="1"/>
  <c r="K59" i="10"/>
  <c r="P9" i="10" s="1"/>
  <c r="K58" i="10"/>
  <c r="P8" i="10" s="1"/>
  <c r="K57" i="10"/>
  <c r="P7" i="10" s="1"/>
  <c r="K56" i="10"/>
  <c r="P6" i="10" s="1"/>
  <c r="K55" i="10"/>
  <c r="P5" i="10" s="1"/>
  <c r="K54" i="10"/>
  <c r="P4" i="10" s="1"/>
  <c r="K53" i="10"/>
  <c r="O13" i="10" s="1"/>
  <c r="K52" i="10"/>
  <c r="O12" i="10" s="1"/>
  <c r="K51" i="10"/>
  <c r="O11" i="10" s="1"/>
  <c r="K50" i="10"/>
  <c r="O10" i="10" s="1"/>
  <c r="K49" i="10"/>
  <c r="O9" i="10" s="1"/>
  <c r="K48" i="10"/>
  <c r="O8" i="10" s="1"/>
  <c r="K47" i="10"/>
  <c r="O7" i="10" s="1"/>
  <c r="K46" i="10"/>
  <c r="O6" i="10" s="1"/>
  <c r="K45" i="10"/>
  <c r="O5" i="10" s="1"/>
  <c r="K44" i="10"/>
  <c r="O4" i="10" s="1"/>
  <c r="K43" i="10"/>
  <c r="N13" i="10" s="1"/>
  <c r="K42" i="10"/>
  <c r="N12" i="10" s="1"/>
  <c r="K41" i="10"/>
  <c r="N11" i="10" s="1"/>
  <c r="K40" i="10"/>
  <c r="N10" i="10" s="1"/>
  <c r="K39" i="10"/>
  <c r="N9" i="10" s="1"/>
  <c r="K38" i="10"/>
  <c r="N8" i="10" s="1"/>
  <c r="K37" i="10"/>
  <c r="N7" i="10" s="1"/>
  <c r="K36" i="10"/>
  <c r="N6" i="10" s="1"/>
  <c r="K35" i="10"/>
  <c r="N5" i="10" s="1"/>
  <c r="K34" i="10"/>
  <c r="N4" i="10" s="1"/>
  <c r="K33" i="10"/>
  <c r="M13" i="10" s="1"/>
  <c r="K32" i="10"/>
  <c r="M12" i="10" s="1"/>
  <c r="K31" i="10"/>
  <c r="M11" i="10" s="1"/>
  <c r="K30" i="10"/>
  <c r="M10" i="10" s="1"/>
  <c r="K29" i="10"/>
  <c r="M9" i="10" s="1"/>
  <c r="K28" i="10"/>
  <c r="M8" i="10" s="1"/>
  <c r="K27" i="10"/>
  <c r="M7" i="10" s="1"/>
  <c r="K26" i="10"/>
  <c r="M6" i="10" s="1"/>
  <c r="K25" i="10"/>
  <c r="M5" i="10" s="1"/>
  <c r="K24" i="10"/>
  <c r="M4" i="10" s="1"/>
  <c r="K23" i="10"/>
  <c r="L13" i="10" s="1"/>
  <c r="K22" i="10"/>
  <c r="L12" i="10" s="1"/>
  <c r="K21" i="10"/>
  <c r="L11" i="10" s="1"/>
  <c r="K20" i="10"/>
  <c r="L10" i="10" s="1"/>
  <c r="K19" i="10"/>
  <c r="L9" i="10" s="1"/>
  <c r="K18" i="10"/>
  <c r="L8" i="10" s="1"/>
  <c r="K17" i="10"/>
  <c r="L7" i="10" s="1"/>
  <c r="K16" i="10"/>
  <c r="L6" i="10" s="1"/>
  <c r="K15" i="10"/>
  <c r="L5" i="10" s="1"/>
  <c r="K14" i="10"/>
  <c r="L4" i="10" s="1"/>
  <c r="K13" i="10"/>
  <c r="K12" i="10"/>
  <c r="K11" i="10"/>
  <c r="K10" i="10"/>
  <c r="K9" i="10"/>
  <c r="K8" i="10"/>
  <c r="K7" i="10"/>
  <c r="K6" i="10"/>
  <c r="K5" i="10"/>
  <c r="K4" i="10"/>
  <c r="AE428" i="1"/>
  <c r="AE427" i="1"/>
  <c r="AE426" i="1"/>
  <c r="AE425" i="1"/>
  <c r="AE424" i="1"/>
  <c r="AE423" i="1"/>
  <c r="AE422" i="1"/>
  <c r="AE409" i="1"/>
  <c r="AE408" i="1"/>
  <c r="AE407" i="1"/>
  <c r="AE406" i="1"/>
  <c r="AE405" i="1"/>
  <c r="AE404" i="1"/>
  <c r="AE403" i="1"/>
  <c r="AE390" i="1"/>
  <c r="AE389" i="1"/>
  <c r="AE388" i="1"/>
  <c r="AE387" i="1"/>
  <c r="AE386" i="1"/>
  <c r="AE385" i="1"/>
  <c r="AE384" i="1"/>
  <c r="AE371" i="1"/>
  <c r="AE370" i="1"/>
  <c r="AE369" i="1"/>
  <c r="AE368" i="1"/>
  <c r="AE367" i="1"/>
  <c r="AE366" i="1"/>
  <c r="AE365" i="1"/>
  <c r="AE352" i="1"/>
  <c r="AE351" i="1"/>
  <c r="AE350" i="1"/>
  <c r="AE349" i="1"/>
  <c r="AE348" i="1"/>
  <c r="AE347" i="1"/>
  <c r="AE346" i="1"/>
  <c r="AE333" i="1"/>
  <c r="AE332" i="1"/>
  <c r="AE331" i="1"/>
  <c r="AE330" i="1"/>
  <c r="AE329" i="1"/>
  <c r="AE328" i="1"/>
  <c r="AE327" i="1"/>
  <c r="AE314" i="1"/>
  <c r="AE313" i="1"/>
  <c r="AE312" i="1"/>
  <c r="AE311" i="1"/>
  <c r="AE310" i="1"/>
  <c r="AE309" i="1"/>
  <c r="AE308" i="1"/>
  <c r="AE295" i="1"/>
  <c r="AE294" i="1"/>
  <c r="AE293" i="1"/>
  <c r="AE292" i="1"/>
  <c r="AE291" i="1"/>
  <c r="AE290" i="1"/>
  <c r="AE289" i="1"/>
  <c r="AE276" i="1"/>
  <c r="AE275" i="1"/>
  <c r="AE274" i="1"/>
  <c r="AE273" i="1"/>
  <c r="AE272" i="1"/>
  <c r="AE271" i="1"/>
  <c r="AE270" i="1"/>
  <c r="AE257" i="1"/>
  <c r="AE256" i="1"/>
  <c r="AE255" i="1"/>
  <c r="AE254" i="1"/>
  <c r="AE253" i="1"/>
  <c r="AE252" i="1"/>
  <c r="AE251" i="1"/>
  <c r="AE238" i="1"/>
  <c r="AE237" i="1"/>
  <c r="AE236" i="1"/>
  <c r="AE235" i="1"/>
  <c r="AE234" i="1"/>
  <c r="AE233" i="1"/>
  <c r="AE232" i="1"/>
  <c r="AE219" i="1"/>
  <c r="AE218" i="1"/>
  <c r="AE217" i="1"/>
  <c r="AE216" i="1"/>
  <c r="AE215" i="1"/>
  <c r="AE214" i="1"/>
  <c r="AE213" i="1"/>
  <c r="AE200" i="1"/>
  <c r="AE199" i="1"/>
  <c r="AE198" i="1"/>
  <c r="AE197" i="1"/>
  <c r="AE196" i="1"/>
  <c r="AE195" i="1"/>
  <c r="AE194" i="1"/>
  <c r="AE181" i="1"/>
  <c r="AE180" i="1"/>
  <c r="AE179" i="1"/>
  <c r="AE178" i="1"/>
  <c r="AE177" i="1"/>
  <c r="AE176" i="1"/>
  <c r="AE175" i="1"/>
  <c r="AE162" i="1"/>
  <c r="AE161" i="1"/>
  <c r="AE160" i="1"/>
  <c r="AE159" i="1"/>
  <c r="AE158" i="1"/>
  <c r="AE157" i="1"/>
  <c r="AE156" i="1"/>
  <c r="AE143" i="1"/>
  <c r="AE142" i="1"/>
  <c r="AE141" i="1"/>
  <c r="AE140" i="1"/>
  <c r="AE139" i="1"/>
  <c r="AE138" i="1"/>
  <c r="AE137" i="1"/>
  <c r="AE124" i="1"/>
  <c r="AE123" i="1"/>
  <c r="AE122" i="1"/>
  <c r="AE121" i="1"/>
  <c r="AE120" i="1"/>
  <c r="AE119" i="1"/>
  <c r="AE118" i="1"/>
  <c r="AE105" i="1"/>
  <c r="AE104" i="1"/>
  <c r="AE103" i="1"/>
  <c r="AE102" i="1"/>
  <c r="AE101" i="1"/>
  <c r="AE100" i="1"/>
  <c r="AE99" i="1"/>
  <c r="AE86" i="1"/>
  <c r="AE85" i="1"/>
  <c r="AE84" i="1"/>
  <c r="AE83" i="1"/>
  <c r="AE82" i="1"/>
  <c r="AE81" i="1"/>
  <c r="AE80" i="1"/>
  <c r="AE67" i="1"/>
  <c r="AE66" i="1"/>
  <c r="AE65" i="1"/>
  <c r="AE64" i="1"/>
  <c r="AE63" i="1"/>
  <c r="AE62" i="1"/>
  <c r="AE61" i="1"/>
  <c r="AE48" i="1"/>
  <c r="AE47" i="1"/>
  <c r="AE46" i="1"/>
  <c r="AE45" i="1"/>
  <c r="AE44" i="1"/>
  <c r="AE43" i="1"/>
  <c r="AE42" i="1"/>
  <c r="AE29" i="1"/>
  <c r="AE28" i="1"/>
  <c r="AE27" i="1"/>
  <c r="AE26" i="1"/>
  <c r="AE25" i="1"/>
  <c r="AE24" i="1"/>
  <c r="AE23" i="1"/>
  <c r="AE10" i="1"/>
  <c r="AE9" i="1"/>
  <c r="AE8" i="1"/>
  <c r="AE7" i="1"/>
  <c r="AE6" i="1"/>
  <c r="AE5" i="1"/>
  <c r="AE4" i="1"/>
  <c r="AE230" i="1"/>
  <c r="AE229" i="1"/>
  <c r="AE228" i="1"/>
  <c r="AE227" i="1"/>
  <c r="AE226" i="1"/>
  <c r="AE225" i="1"/>
  <c r="AE224" i="1"/>
  <c r="AE223" i="1"/>
  <c r="AE222" i="1"/>
  <c r="AE221" i="1"/>
  <c r="AE220" i="1"/>
  <c r="AE212" i="1"/>
  <c r="AE211" i="1"/>
  <c r="AE210" i="1"/>
  <c r="AE209" i="1"/>
  <c r="AE204" i="1"/>
  <c r="AE203" i="1"/>
  <c r="AE202" i="1"/>
  <c r="AE201" i="1"/>
  <c r="AE193" i="1"/>
  <c r="AE192" i="1"/>
  <c r="AE190" i="1"/>
  <c r="AE189" i="1"/>
  <c r="AE188" i="1"/>
  <c r="AE187" i="1"/>
  <c r="AE186" i="1"/>
  <c r="AE185" i="1"/>
  <c r="AE184" i="1"/>
  <c r="AE183" i="1"/>
  <c r="AE182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31" i="1"/>
  <c r="AE130" i="1"/>
  <c r="AE129" i="1"/>
  <c r="AE128" i="1"/>
  <c r="AE127" i="1"/>
  <c r="AE126" i="1"/>
  <c r="AE125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79" i="1"/>
  <c r="AE77" i="1"/>
  <c r="AE76" i="1"/>
  <c r="AE75" i="1"/>
  <c r="AE74" i="1"/>
  <c r="AE59" i="1"/>
  <c r="AE58" i="1"/>
  <c r="AE57" i="1"/>
  <c r="AE55" i="1"/>
  <c r="AE54" i="1"/>
  <c r="AE53" i="1"/>
  <c r="AE51" i="1"/>
  <c r="AE50" i="1"/>
  <c r="AE49" i="1"/>
  <c r="AE41" i="1"/>
  <c r="AE40" i="1"/>
  <c r="AE39" i="1"/>
  <c r="AE38" i="1"/>
  <c r="AE37" i="1"/>
  <c r="AE36" i="1"/>
  <c r="AE34" i="1"/>
  <c r="AE33" i="1"/>
  <c r="AE32" i="1"/>
  <c r="AE31" i="1"/>
  <c r="AE30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Z182" i="1" l="1"/>
  <c r="AA181" i="1"/>
  <c r="Y181" i="1" s="1"/>
  <c r="Z125" i="1"/>
  <c r="AA124" i="1"/>
  <c r="Y124" i="1" s="1"/>
  <c r="V145" i="1"/>
  <c r="W144" i="1"/>
  <c r="U144" i="1" s="1"/>
  <c r="R163" i="1"/>
  <c r="S162" i="1"/>
  <c r="Q162" i="1" s="1"/>
  <c r="R335" i="1"/>
  <c r="S334" i="1"/>
  <c r="Q334" i="1" s="1"/>
  <c r="R30" i="1"/>
  <c r="S29" i="1"/>
  <c r="Q29" i="1" s="1"/>
  <c r="Z410" i="1"/>
  <c r="AA409" i="1"/>
  <c r="Y409" i="1" s="1"/>
  <c r="V316" i="1"/>
  <c r="W315" i="1"/>
  <c r="U315" i="1" s="1"/>
  <c r="Z87" i="1"/>
  <c r="AA86" i="1"/>
  <c r="Y86" i="1" s="1"/>
  <c r="R354" i="1"/>
  <c r="S353" i="1"/>
  <c r="Q353" i="1" s="1"/>
  <c r="R220" i="1"/>
  <c r="S219" i="1"/>
  <c r="Q219" i="1" s="1"/>
  <c r="V467" i="1"/>
  <c r="W466" i="1"/>
  <c r="U466" i="1" s="1"/>
  <c r="Z220" i="1"/>
  <c r="AA219" i="1"/>
  <c r="Y219" i="1" s="1"/>
  <c r="R239" i="1"/>
  <c r="S238" i="1"/>
  <c r="Q238" i="1" s="1"/>
  <c r="R429" i="1"/>
  <c r="S428" i="1"/>
  <c r="Q428" i="1" s="1"/>
  <c r="V373" i="1"/>
  <c r="W372" i="1"/>
  <c r="U372" i="1" s="1"/>
  <c r="Z201" i="1"/>
  <c r="AA200" i="1"/>
  <c r="Y200" i="1" s="1"/>
  <c r="R182" i="1"/>
  <c r="Q181" i="1"/>
  <c r="S181" i="1"/>
  <c r="V334" i="1"/>
  <c r="W333" i="1"/>
  <c r="U333" i="1" s="1"/>
  <c r="R11" i="1"/>
  <c r="S10" i="1"/>
  <c r="Q10" i="1" s="1"/>
  <c r="Z296" i="1"/>
  <c r="Y295" i="1"/>
  <c r="AA295" i="1"/>
  <c r="Z334" i="1"/>
  <c r="AA333" i="1"/>
  <c r="Y333" i="1" s="1"/>
  <c r="Z391" i="1"/>
  <c r="AA390" i="1"/>
  <c r="Y390" i="1" s="1"/>
  <c r="Z144" i="1"/>
  <c r="AA143" i="1"/>
  <c r="Y143" i="1" s="1"/>
  <c r="V391" i="1"/>
  <c r="U390" i="1"/>
  <c r="W390" i="1"/>
  <c r="R68" i="1"/>
  <c r="S67" i="1"/>
  <c r="Q67" i="1" s="1"/>
  <c r="V182" i="1"/>
  <c r="W181" i="1"/>
  <c r="U181" i="1" s="1"/>
  <c r="Z448" i="1"/>
  <c r="AA447" i="1"/>
  <c r="Y447" i="1" s="1"/>
  <c r="V410" i="1"/>
  <c r="U409" i="1"/>
  <c r="W409" i="1"/>
  <c r="Z68" i="1"/>
  <c r="AA67" i="1"/>
  <c r="Y67" i="1" s="1"/>
  <c r="Z239" i="1"/>
  <c r="AA238" i="1"/>
  <c r="Y238" i="1" s="1"/>
  <c r="Z11" i="1"/>
  <c r="AA10" i="1"/>
  <c r="Y10" i="1" s="1"/>
  <c r="R296" i="1"/>
  <c r="S295" i="1"/>
  <c r="Q295" i="1" s="1"/>
  <c r="Z467" i="1"/>
  <c r="AA466" i="1"/>
  <c r="Y466" i="1" s="1"/>
  <c r="V30" i="1"/>
  <c r="W29" i="1"/>
  <c r="U29" i="1" s="1"/>
  <c r="R87" i="1"/>
  <c r="S86" i="1"/>
  <c r="Q86" i="1" s="1"/>
  <c r="V88" i="1"/>
  <c r="W87" i="1"/>
  <c r="U87" i="1" s="1"/>
  <c r="V258" i="1"/>
  <c r="W257" i="1"/>
  <c r="U257" i="1" s="1"/>
  <c r="Z106" i="1"/>
  <c r="AA105" i="1"/>
  <c r="Y105" i="1" s="1"/>
  <c r="R201" i="1"/>
  <c r="S200" i="1"/>
  <c r="Q200" i="1" s="1"/>
  <c r="Z49" i="1"/>
  <c r="AA48" i="1"/>
  <c r="Y48" i="1" s="1"/>
  <c r="R144" i="1"/>
  <c r="S143" i="1"/>
  <c r="Q143" i="1" s="1"/>
  <c r="V448" i="1"/>
  <c r="W447" i="1"/>
  <c r="U447" i="1" s="1"/>
  <c r="R277" i="1"/>
  <c r="S276" i="1"/>
  <c r="Q276" i="1" s="1"/>
  <c r="R315" i="1"/>
  <c r="S314" i="1"/>
  <c r="Q314" i="1" s="1"/>
  <c r="V277" i="1"/>
  <c r="W276" i="1"/>
  <c r="U276" i="1" s="1"/>
  <c r="R467" i="1"/>
  <c r="S466" i="1"/>
  <c r="Q466" i="1" s="1"/>
  <c r="R448" i="1"/>
  <c r="S447" i="1"/>
  <c r="Q447" i="1"/>
  <c r="Z372" i="1"/>
  <c r="Y371" i="1"/>
  <c r="AA371" i="1"/>
  <c r="R258" i="1"/>
  <c r="S257" i="1"/>
  <c r="Q257" i="1" s="1"/>
  <c r="V11" i="1"/>
  <c r="W10" i="1"/>
  <c r="U10" i="1" s="1"/>
  <c r="V68" i="1"/>
  <c r="W67" i="1"/>
  <c r="U67" i="1" s="1"/>
  <c r="Z353" i="1"/>
  <c r="Y352" i="1"/>
  <c r="AA352" i="1"/>
  <c r="V220" i="1"/>
  <c r="W219" i="1"/>
  <c r="U219" i="1" s="1"/>
  <c r="V164" i="1"/>
  <c r="W163" i="1"/>
  <c r="U163" i="1" s="1"/>
  <c r="R410" i="1"/>
  <c r="S409" i="1"/>
  <c r="Q409" i="1" s="1"/>
  <c r="Z258" i="1"/>
  <c r="AA257" i="1"/>
  <c r="Y257" i="1" s="1"/>
  <c r="V201" i="1"/>
  <c r="W200" i="1"/>
  <c r="U200" i="1" s="1"/>
  <c r="V125" i="1"/>
  <c r="W124" i="1"/>
  <c r="U124" i="1" s="1"/>
  <c r="V296" i="1"/>
  <c r="W295" i="1"/>
  <c r="U295" i="1" s="1"/>
  <c r="V239" i="1"/>
  <c r="W238" i="1"/>
  <c r="U238" i="1" s="1"/>
  <c r="V106" i="1"/>
  <c r="W105" i="1"/>
  <c r="U105" i="1" s="1"/>
  <c r="R50" i="1"/>
  <c r="S49" i="1"/>
  <c r="Q49" i="1" s="1"/>
  <c r="R107" i="1"/>
  <c r="S106" i="1"/>
  <c r="Q106" i="1" s="1"/>
  <c r="V50" i="1"/>
  <c r="W49" i="1"/>
  <c r="U49" i="1" s="1"/>
  <c r="Z315" i="1"/>
  <c r="AA314" i="1"/>
  <c r="Y314" i="1" s="1"/>
  <c r="R125" i="1"/>
  <c r="S124" i="1"/>
  <c r="Q124" i="1" s="1"/>
  <c r="Z429" i="1"/>
  <c r="AA428" i="1"/>
  <c r="Y428" i="1" s="1"/>
  <c r="V353" i="1"/>
  <c r="W352" i="1"/>
  <c r="U352" i="1" s="1"/>
  <c r="V429" i="1"/>
  <c r="U428" i="1"/>
  <c r="W428" i="1"/>
  <c r="Z30" i="1"/>
  <c r="AA29" i="1"/>
  <c r="Y29" i="1" s="1"/>
  <c r="Z278" i="1"/>
  <c r="AA277" i="1"/>
  <c r="Y277" i="1"/>
  <c r="R392" i="1"/>
  <c r="S391" i="1"/>
  <c r="Q391" i="1" s="1"/>
  <c r="Z164" i="1"/>
  <c r="AA163" i="1"/>
  <c r="Y163" i="1" s="1"/>
  <c r="R373" i="1"/>
  <c r="S372" i="1"/>
  <c r="Q372" i="1" s="1"/>
  <c r="W638" i="1"/>
  <c r="U638" i="1" s="1"/>
  <c r="V639" i="1"/>
  <c r="AA639" i="1"/>
  <c r="Y639" i="1"/>
  <c r="Z640" i="1"/>
  <c r="S638" i="1"/>
  <c r="Q638" i="1" s="1"/>
  <c r="R639" i="1"/>
  <c r="S619" i="1"/>
  <c r="Q619" i="1" s="1"/>
  <c r="R620" i="1"/>
  <c r="AA620" i="1"/>
  <c r="Y620" i="1" s="1"/>
  <c r="Z621" i="1"/>
  <c r="W619" i="1"/>
  <c r="U619" i="1" s="1"/>
  <c r="V620" i="1"/>
  <c r="W600" i="1"/>
  <c r="U600" i="1"/>
  <c r="V601" i="1"/>
  <c r="S600" i="1"/>
  <c r="Q600" i="1" s="1"/>
  <c r="R601" i="1"/>
  <c r="AA601" i="1"/>
  <c r="Y601" i="1" s="1"/>
  <c r="Z602" i="1"/>
  <c r="Z581" i="1"/>
  <c r="AA580" i="1"/>
  <c r="Y580" i="1" s="1"/>
  <c r="V581" i="1"/>
  <c r="W580" i="1"/>
  <c r="U580" i="1" s="1"/>
  <c r="S580" i="1"/>
  <c r="Q580" i="1" s="1"/>
  <c r="R581" i="1"/>
  <c r="Z562" i="1"/>
  <c r="AA561" i="1"/>
  <c r="Y561" i="1" s="1"/>
  <c r="W561" i="1"/>
  <c r="V562" i="1"/>
  <c r="U561" i="1"/>
  <c r="Q561" i="1"/>
  <c r="S561" i="1"/>
  <c r="R562" i="1"/>
  <c r="AA542" i="1"/>
  <c r="Y542" i="1" s="1"/>
  <c r="Z543" i="1"/>
  <c r="W542" i="1"/>
  <c r="U542" i="1" s="1"/>
  <c r="V543" i="1"/>
  <c r="S542" i="1"/>
  <c r="Q542" i="1" s="1"/>
  <c r="R543" i="1"/>
  <c r="AA523" i="1"/>
  <c r="Y523" i="1" s="1"/>
  <c r="Z524" i="1"/>
  <c r="V524" i="1"/>
  <c r="W523" i="1"/>
  <c r="U523" i="1" s="1"/>
  <c r="S523" i="1"/>
  <c r="Q523" i="1" s="1"/>
  <c r="R524" i="1"/>
  <c r="AA504" i="1"/>
  <c r="Y504" i="1" s="1"/>
  <c r="Z505" i="1"/>
  <c r="W504" i="1"/>
  <c r="U504" i="1"/>
  <c r="V505" i="1"/>
  <c r="R505" i="1"/>
  <c r="S504" i="1"/>
  <c r="Q504" i="1" s="1"/>
  <c r="AE208" i="1"/>
  <c r="AE207" i="1"/>
  <c r="AE206" i="1"/>
  <c r="AE205" i="1"/>
  <c r="AE136" i="1"/>
  <c r="AE135" i="1"/>
  <c r="AE134" i="1"/>
  <c r="AE133" i="1"/>
  <c r="AE132" i="1"/>
  <c r="AE73" i="1"/>
  <c r="AE72" i="1"/>
  <c r="AE71" i="1"/>
  <c r="AE70" i="1"/>
  <c r="AE69" i="1"/>
  <c r="AE68" i="1"/>
  <c r="AE60" i="1"/>
  <c r="Z486" i="1"/>
  <c r="AA485" i="1"/>
  <c r="Y485" i="1" s="1"/>
  <c r="W485" i="1"/>
  <c r="U485" i="1" s="1"/>
  <c r="V486" i="1"/>
  <c r="S485" i="1"/>
  <c r="Q485" i="1" s="1"/>
  <c r="R486" i="1"/>
  <c r="AE78" i="1"/>
  <c r="AE56" i="1"/>
  <c r="AE191" i="1"/>
  <c r="AE231" i="1"/>
  <c r="AE52" i="1"/>
  <c r="AE35" i="1"/>
  <c r="Z430" i="1" l="1"/>
  <c r="AA429" i="1"/>
  <c r="Y429" i="1" s="1"/>
  <c r="V69" i="1"/>
  <c r="W68" i="1"/>
  <c r="U68" i="1" s="1"/>
  <c r="Z12" i="1"/>
  <c r="AA11" i="1"/>
  <c r="Y11" i="1" s="1"/>
  <c r="R12" i="1"/>
  <c r="S11" i="1"/>
  <c r="Q11" i="1" s="1"/>
  <c r="Z279" i="1"/>
  <c r="AA278" i="1"/>
  <c r="Y278" i="1" s="1"/>
  <c r="R202" i="1"/>
  <c r="S201" i="1"/>
  <c r="Q201" i="1" s="1"/>
  <c r="V317" i="1"/>
  <c r="W316" i="1"/>
  <c r="U316" i="1" s="1"/>
  <c r="R374" i="1"/>
  <c r="S373" i="1"/>
  <c r="Q373" i="1" s="1"/>
  <c r="Z31" i="1"/>
  <c r="AA30" i="1"/>
  <c r="Y30" i="1" s="1"/>
  <c r="R126" i="1"/>
  <c r="S125" i="1"/>
  <c r="Q125" i="1" s="1"/>
  <c r="R51" i="1"/>
  <c r="S50" i="1"/>
  <c r="Q50" i="1" s="1"/>
  <c r="V126" i="1"/>
  <c r="W125" i="1"/>
  <c r="U125" i="1" s="1"/>
  <c r="V165" i="1"/>
  <c r="W164" i="1"/>
  <c r="U164" i="1" s="1"/>
  <c r="V12" i="1"/>
  <c r="W11" i="1"/>
  <c r="U11" i="1" s="1"/>
  <c r="R468" i="1"/>
  <c r="S467" i="1"/>
  <c r="Q467" i="1" s="1"/>
  <c r="V449" i="1"/>
  <c r="W448" i="1"/>
  <c r="U448" i="1" s="1"/>
  <c r="Z107" i="1"/>
  <c r="AA106" i="1"/>
  <c r="Y106" i="1" s="1"/>
  <c r="V31" i="1"/>
  <c r="W30" i="1"/>
  <c r="U30" i="1"/>
  <c r="Z240" i="1"/>
  <c r="AA239" i="1"/>
  <c r="Y239" i="1" s="1"/>
  <c r="V183" i="1"/>
  <c r="W182" i="1"/>
  <c r="U182" i="1" s="1"/>
  <c r="Z392" i="1"/>
  <c r="AA391" i="1"/>
  <c r="Y391" i="1" s="1"/>
  <c r="V335" i="1"/>
  <c r="W334" i="1"/>
  <c r="U334" i="1" s="1"/>
  <c r="R430" i="1"/>
  <c r="S429" i="1"/>
  <c r="Q429" i="1" s="1"/>
  <c r="R221" i="1"/>
  <c r="S220" i="1"/>
  <c r="Q220" i="1" s="1"/>
  <c r="Z411" i="1"/>
  <c r="AA410" i="1"/>
  <c r="Y410" i="1" s="1"/>
  <c r="V146" i="1"/>
  <c r="W145" i="1"/>
  <c r="U145" i="1" s="1"/>
  <c r="Z145" i="1"/>
  <c r="AA144" i="1"/>
  <c r="Y144" i="1" s="1"/>
  <c r="R411" i="1"/>
  <c r="S410" i="1"/>
  <c r="Q410" i="1" s="1"/>
  <c r="R88" i="1"/>
  <c r="S87" i="1"/>
  <c r="Q87" i="1" s="1"/>
  <c r="V468" i="1"/>
  <c r="W467" i="1"/>
  <c r="U467" i="1" s="1"/>
  <c r="V430" i="1"/>
  <c r="W429" i="1"/>
  <c r="U429" i="1" s="1"/>
  <c r="V107" i="1"/>
  <c r="W106" i="1"/>
  <c r="U106" i="1" s="1"/>
  <c r="V221" i="1"/>
  <c r="W220" i="1"/>
  <c r="U220" i="1" s="1"/>
  <c r="R259" i="1"/>
  <c r="S258" i="1"/>
  <c r="Q258" i="1" s="1"/>
  <c r="R145" i="1"/>
  <c r="S144" i="1"/>
  <c r="Q144" i="1" s="1"/>
  <c r="V259" i="1"/>
  <c r="W258" i="1"/>
  <c r="U258" i="1" s="1"/>
  <c r="Z468" i="1"/>
  <c r="AA467" i="1"/>
  <c r="Y467" i="1" s="1"/>
  <c r="Z69" i="1"/>
  <c r="AA68" i="1"/>
  <c r="Y68" i="1" s="1"/>
  <c r="R69" i="1"/>
  <c r="S68" i="1"/>
  <c r="Q68" i="1" s="1"/>
  <c r="Z335" i="1"/>
  <c r="AA334" i="1"/>
  <c r="Y334" i="1" s="1"/>
  <c r="R183" i="1"/>
  <c r="S182" i="1"/>
  <c r="Q182" i="1" s="1"/>
  <c r="R355" i="1"/>
  <c r="S354" i="1"/>
  <c r="Q354" i="1" s="1"/>
  <c r="R31" i="1"/>
  <c r="S30" i="1"/>
  <c r="Q30" i="1" s="1"/>
  <c r="Z126" i="1"/>
  <c r="AA125" i="1"/>
  <c r="Y125" i="1" s="1"/>
  <c r="R278" i="1"/>
  <c r="S277" i="1"/>
  <c r="Q277" i="1" s="1"/>
  <c r="R164" i="1"/>
  <c r="S163" i="1"/>
  <c r="Q163" i="1" s="1"/>
  <c r="Z165" i="1"/>
  <c r="AA164" i="1"/>
  <c r="Y164" i="1" s="1"/>
  <c r="V202" i="1"/>
  <c r="W201" i="1"/>
  <c r="U201" i="1" s="1"/>
  <c r="R240" i="1"/>
  <c r="S239" i="1"/>
  <c r="Q239" i="1" s="1"/>
  <c r="V297" i="1"/>
  <c r="W296" i="1"/>
  <c r="U296" i="1" s="1"/>
  <c r="R108" i="1"/>
  <c r="S107" i="1"/>
  <c r="Q107" i="1" s="1"/>
  <c r="R449" i="1"/>
  <c r="S448" i="1"/>
  <c r="Q448" i="1" s="1"/>
  <c r="Z449" i="1"/>
  <c r="AA448" i="1"/>
  <c r="Y448" i="1" s="1"/>
  <c r="V374" i="1"/>
  <c r="W373" i="1"/>
  <c r="U373" i="1" s="1"/>
  <c r="Z316" i="1"/>
  <c r="AA315" i="1"/>
  <c r="Y315" i="1" s="1"/>
  <c r="V278" i="1"/>
  <c r="W277" i="1"/>
  <c r="U277" i="1" s="1"/>
  <c r="R393" i="1"/>
  <c r="S392" i="1"/>
  <c r="Q392" i="1" s="1"/>
  <c r="V354" i="1"/>
  <c r="W353" i="1"/>
  <c r="U353" i="1" s="1"/>
  <c r="V51" i="1"/>
  <c r="W50" i="1"/>
  <c r="U50" i="1" s="1"/>
  <c r="V240" i="1"/>
  <c r="W239" i="1"/>
  <c r="U239" i="1" s="1"/>
  <c r="Z259" i="1"/>
  <c r="AA258" i="1"/>
  <c r="Y258" i="1" s="1"/>
  <c r="Z354" i="1"/>
  <c r="AA353" i="1"/>
  <c r="Y353" i="1" s="1"/>
  <c r="Z373" i="1"/>
  <c r="AA372" i="1"/>
  <c r="Y372" i="1" s="1"/>
  <c r="R316" i="1"/>
  <c r="S315" i="1"/>
  <c r="Q315" i="1" s="1"/>
  <c r="Z50" i="1"/>
  <c r="AA49" i="1"/>
  <c r="Y49" i="1" s="1"/>
  <c r="V89" i="1"/>
  <c r="W88" i="1"/>
  <c r="U88" i="1" s="1"/>
  <c r="R297" i="1"/>
  <c r="S296" i="1"/>
  <c r="Q296" i="1" s="1"/>
  <c r="V411" i="1"/>
  <c r="W410" i="1"/>
  <c r="U410" i="1" s="1"/>
  <c r="V392" i="1"/>
  <c r="W391" i="1"/>
  <c r="U391" i="1" s="1"/>
  <c r="Z297" i="1"/>
  <c r="AA296" i="1"/>
  <c r="Y296" i="1" s="1"/>
  <c r="Z202" i="1"/>
  <c r="AA201" i="1"/>
  <c r="Y201" i="1" s="1"/>
  <c r="Z221" i="1"/>
  <c r="AA220" i="1"/>
  <c r="Y220" i="1" s="1"/>
  <c r="Z88" i="1"/>
  <c r="AA87" i="1"/>
  <c r="Y87" i="1" s="1"/>
  <c r="R336" i="1"/>
  <c r="S335" i="1"/>
  <c r="Q335" i="1" s="1"/>
  <c r="Z183" i="1"/>
  <c r="AA182" i="1"/>
  <c r="Y182" i="1" s="1"/>
  <c r="Z641" i="1"/>
  <c r="AA640" i="1"/>
  <c r="Y640" i="1" s="1"/>
  <c r="V640" i="1"/>
  <c r="W639" i="1"/>
  <c r="U639" i="1" s="1"/>
  <c r="R640" i="1"/>
  <c r="S639" i="1"/>
  <c r="Q639" i="1" s="1"/>
  <c r="V621" i="1"/>
  <c r="W620" i="1"/>
  <c r="U620" i="1" s="1"/>
  <c r="Z622" i="1"/>
  <c r="AA621" i="1"/>
  <c r="Y621" i="1"/>
  <c r="R621" i="1"/>
  <c r="S620" i="1"/>
  <c r="Q620" i="1" s="1"/>
  <c r="R602" i="1"/>
  <c r="S601" i="1"/>
  <c r="Q601" i="1" s="1"/>
  <c r="Z603" i="1"/>
  <c r="AA602" i="1"/>
  <c r="Y602" i="1" s="1"/>
  <c r="V602" i="1"/>
  <c r="W601" i="1"/>
  <c r="U601" i="1"/>
  <c r="Z582" i="1"/>
  <c r="AA581" i="1"/>
  <c r="Y581" i="1" s="1"/>
  <c r="V582" i="1"/>
  <c r="W581" i="1"/>
  <c r="U581" i="1" s="1"/>
  <c r="S581" i="1"/>
  <c r="Q581" i="1" s="1"/>
  <c r="R582" i="1"/>
  <c r="AA562" i="1"/>
  <c r="Y562" i="1" s="1"/>
  <c r="Z563" i="1"/>
  <c r="W562" i="1"/>
  <c r="U562" i="1" s="1"/>
  <c r="V563" i="1"/>
  <c r="S562" i="1"/>
  <c r="Q562" i="1" s="1"/>
  <c r="R563" i="1"/>
  <c r="AA543" i="1"/>
  <c r="Y543" i="1" s="1"/>
  <c r="Z544" i="1"/>
  <c r="W543" i="1"/>
  <c r="U543" i="1" s="1"/>
  <c r="V544" i="1"/>
  <c r="R544" i="1"/>
  <c r="S543" i="1"/>
  <c r="Q543" i="1" s="1"/>
  <c r="Z525" i="1"/>
  <c r="AA524" i="1"/>
  <c r="Y524" i="1" s="1"/>
  <c r="V525" i="1"/>
  <c r="W524" i="1"/>
  <c r="U524" i="1" s="1"/>
  <c r="R525" i="1"/>
  <c r="S524" i="1"/>
  <c r="Q524" i="1" s="1"/>
  <c r="Z506" i="1"/>
  <c r="AA505" i="1"/>
  <c r="Y505" i="1" s="1"/>
  <c r="V506" i="1"/>
  <c r="W505" i="1"/>
  <c r="U505" i="1" s="1"/>
  <c r="R506" i="1"/>
  <c r="S505" i="1"/>
  <c r="Q505" i="1" s="1"/>
  <c r="AA486" i="1"/>
  <c r="Y486" i="1" s="1"/>
  <c r="Z487" i="1"/>
  <c r="V487" i="1"/>
  <c r="W486" i="1"/>
  <c r="U486" i="1" s="1"/>
  <c r="S486" i="1"/>
  <c r="Q486" i="1" s="1"/>
  <c r="R487" i="1"/>
  <c r="H1503" i="10"/>
  <c r="A1503" i="10" s="1"/>
  <c r="H1502" i="10"/>
  <c r="A1502" i="10" s="1"/>
  <c r="H1501" i="10"/>
  <c r="A1501" i="10" s="1"/>
  <c r="H1500" i="10"/>
  <c r="A1500" i="10" s="1"/>
  <c r="H1499" i="10"/>
  <c r="A1499" i="10" s="1"/>
  <c r="H1498" i="10"/>
  <c r="A1498" i="10" s="1"/>
  <c r="H1497" i="10"/>
  <c r="A1497" i="10" s="1"/>
  <c r="H1496" i="10"/>
  <c r="H1495" i="10"/>
  <c r="A1495" i="10" s="1"/>
  <c r="H1494" i="10"/>
  <c r="H1493" i="10"/>
  <c r="A1493" i="10" s="1"/>
  <c r="H1492" i="10"/>
  <c r="A1492" i="10" s="1"/>
  <c r="H1491" i="10"/>
  <c r="H1490" i="10"/>
  <c r="A1490" i="10" s="1"/>
  <c r="H1489" i="10"/>
  <c r="A1489" i="10" s="1"/>
  <c r="H1488" i="10"/>
  <c r="H1487" i="10"/>
  <c r="A1487" i="10" s="1"/>
  <c r="H1486" i="10"/>
  <c r="A1486" i="10" s="1"/>
  <c r="H1485" i="10"/>
  <c r="A1485" i="10" s="1"/>
  <c r="H1484" i="10"/>
  <c r="A1484" i="10" s="1"/>
  <c r="H1483" i="10"/>
  <c r="A1483" i="10"/>
  <c r="H1482" i="10"/>
  <c r="H1481" i="10"/>
  <c r="A1481" i="10" s="1"/>
  <c r="H1480" i="10"/>
  <c r="A1480" i="10" s="1"/>
  <c r="H1479" i="10"/>
  <c r="H1478" i="10"/>
  <c r="A1478" i="10" s="1"/>
  <c r="H1477" i="10"/>
  <c r="H1476" i="10"/>
  <c r="A1476" i="10" s="1"/>
  <c r="H1475" i="10"/>
  <c r="A1475" i="10" s="1"/>
  <c r="H1474" i="10"/>
  <c r="A1474" i="10" s="1"/>
  <c r="H1473" i="10"/>
  <c r="A1473" i="10" s="1"/>
  <c r="H1472" i="10"/>
  <c r="A1472" i="10" s="1"/>
  <c r="H1471" i="10"/>
  <c r="A1471" i="10" s="1"/>
  <c r="H1470" i="10"/>
  <c r="H1469" i="10"/>
  <c r="A1469" i="10" s="1"/>
  <c r="H1468" i="10"/>
  <c r="A1468" i="10" s="1"/>
  <c r="H1467" i="10"/>
  <c r="A1467" i="10" s="1"/>
  <c r="H1466" i="10"/>
  <c r="A1466" i="10" s="1"/>
  <c r="H1465" i="10"/>
  <c r="A1465" i="10" s="1"/>
  <c r="H1464" i="10"/>
  <c r="H1463" i="10"/>
  <c r="A1463" i="10" s="1"/>
  <c r="H1462" i="10"/>
  <c r="A1462" i="10" s="1"/>
  <c r="H1461" i="10"/>
  <c r="A1461" i="10" s="1"/>
  <c r="H1460" i="10"/>
  <c r="A1460" i="10" s="1"/>
  <c r="H1459" i="10"/>
  <c r="A1459" i="10" s="1"/>
  <c r="H1458" i="10"/>
  <c r="H1457" i="10"/>
  <c r="A1457" i="10" s="1"/>
  <c r="H1456" i="10"/>
  <c r="A1456" i="10" s="1"/>
  <c r="H1455" i="10"/>
  <c r="H1454" i="10"/>
  <c r="A1454" i="10" s="1"/>
  <c r="H1453" i="10"/>
  <c r="A1453" i="10" s="1"/>
  <c r="H1452" i="10"/>
  <c r="H1451" i="10"/>
  <c r="A1451" i="10" s="1"/>
  <c r="H1450" i="10"/>
  <c r="A1450" i="10" s="1"/>
  <c r="H1449" i="10"/>
  <c r="A1449" i="10" s="1"/>
  <c r="H1448" i="10"/>
  <c r="A1448" i="10" s="1"/>
  <c r="H1447" i="10"/>
  <c r="H1446" i="10"/>
  <c r="H1445" i="10"/>
  <c r="A1445" i="10"/>
  <c r="H1444" i="10"/>
  <c r="A1444" i="10" s="1"/>
  <c r="H1443" i="10"/>
  <c r="H1442" i="10"/>
  <c r="A1442" i="10" s="1"/>
  <c r="H1441" i="10"/>
  <c r="A1441" i="10" s="1"/>
  <c r="H1440" i="10"/>
  <c r="A1440" i="10" s="1"/>
  <c r="H1439" i="10"/>
  <c r="A1439" i="10" s="1"/>
  <c r="H1438" i="10"/>
  <c r="A1438" i="10" s="1"/>
  <c r="H1437" i="10"/>
  <c r="A1437" i="10" s="1"/>
  <c r="H1436" i="10"/>
  <c r="A1436" i="10" s="1"/>
  <c r="H1435" i="10"/>
  <c r="A1435" i="10" s="1"/>
  <c r="H1434" i="10"/>
  <c r="H1433" i="10"/>
  <c r="A1433" i="10" s="1"/>
  <c r="H1432" i="10"/>
  <c r="A1432" i="10"/>
  <c r="H1431" i="10"/>
  <c r="A1431" i="10" s="1"/>
  <c r="H1430" i="10"/>
  <c r="A1430" i="10" s="1"/>
  <c r="H1429" i="10"/>
  <c r="A1429" i="10" s="1"/>
  <c r="H1428" i="10"/>
  <c r="H1427" i="10"/>
  <c r="A1427" i="10" s="1"/>
  <c r="H1426" i="10"/>
  <c r="A1426" i="10" s="1"/>
  <c r="H1425" i="10"/>
  <c r="A1425" i="10" s="1"/>
  <c r="H1424" i="10"/>
  <c r="A1424" i="10" s="1"/>
  <c r="H1423" i="10"/>
  <c r="A1423" i="10" s="1"/>
  <c r="H1422" i="10"/>
  <c r="H1421" i="10"/>
  <c r="A1421" i="10" s="1"/>
  <c r="H1420" i="10"/>
  <c r="A1420" i="10" s="1"/>
  <c r="H1419" i="10"/>
  <c r="H1418" i="10"/>
  <c r="A1418" i="10" s="1"/>
  <c r="H1417" i="10"/>
  <c r="A1417" i="10" s="1"/>
  <c r="H1416" i="10"/>
  <c r="H1415" i="10"/>
  <c r="A1415" i="10" s="1"/>
  <c r="H1414" i="10"/>
  <c r="A1414" i="10" s="1"/>
  <c r="H1413" i="10"/>
  <c r="A1413" i="10" s="1"/>
  <c r="H1412" i="10"/>
  <c r="A1412" i="10" s="1"/>
  <c r="H1411" i="10"/>
  <c r="A1411" i="10" s="1"/>
  <c r="H1410" i="10"/>
  <c r="H1409" i="10"/>
  <c r="A1409" i="10" s="1"/>
  <c r="H1408" i="10"/>
  <c r="A1408" i="10" s="1"/>
  <c r="H1407" i="10"/>
  <c r="H1406" i="10"/>
  <c r="A1406" i="10" s="1"/>
  <c r="H1405" i="10"/>
  <c r="A1405" i="10" s="1"/>
  <c r="H1404" i="10"/>
  <c r="A1404" i="10" s="1"/>
  <c r="H1403" i="10"/>
  <c r="A1403" i="10" s="1"/>
  <c r="H1402" i="10"/>
  <c r="A1402" i="10" s="1"/>
  <c r="H1401" i="10"/>
  <c r="A1401" i="10" s="1"/>
  <c r="H1400" i="10"/>
  <c r="A1400" i="10" s="1"/>
  <c r="H1399" i="10"/>
  <c r="A1399" i="10" s="1"/>
  <c r="H1398" i="10"/>
  <c r="H1397" i="10"/>
  <c r="A1397" i="10" s="1"/>
  <c r="H1396" i="10"/>
  <c r="A1396" i="10" s="1"/>
  <c r="H1395" i="10"/>
  <c r="A1395" i="10" s="1"/>
  <c r="H1394" i="10"/>
  <c r="A1394" i="10" s="1"/>
  <c r="H1393" i="10"/>
  <c r="A1393" i="10"/>
  <c r="H1392" i="10"/>
  <c r="H1391" i="10"/>
  <c r="A1391" i="10" s="1"/>
  <c r="H1390" i="10"/>
  <c r="A1390" i="10" s="1"/>
  <c r="H1389" i="10"/>
  <c r="A1389" i="10" s="1"/>
  <c r="H1388" i="10"/>
  <c r="A1388" i="10" s="1"/>
  <c r="H1387" i="10"/>
  <c r="A1387" i="10" s="1"/>
  <c r="H1386" i="10"/>
  <c r="H1385" i="10"/>
  <c r="A1385" i="10" s="1"/>
  <c r="H1384" i="10"/>
  <c r="A1384" i="10" s="1"/>
  <c r="H1383" i="10"/>
  <c r="H1382" i="10"/>
  <c r="A1382" i="10" s="1"/>
  <c r="H1381" i="10"/>
  <c r="A1381" i="10" s="1"/>
  <c r="H1380" i="10"/>
  <c r="H1379" i="10"/>
  <c r="A1379" i="10" s="1"/>
  <c r="H1378" i="10"/>
  <c r="A1378" i="10" s="1"/>
  <c r="H1377" i="10"/>
  <c r="A1377" i="10" s="1"/>
  <c r="H1376" i="10"/>
  <c r="A1376" i="10" s="1"/>
  <c r="H1375" i="10"/>
  <c r="H1374" i="10"/>
  <c r="H1373" i="10"/>
  <c r="A1373" i="10"/>
  <c r="H1372" i="10"/>
  <c r="A1372" i="10" s="1"/>
  <c r="H1371" i="10"/>
  <c r="H1370" i="10"/>
  <c r="A1370" i="10" s="1"/>
  <c r="H1369" i="10"/>
  <c r="A1369" i="10" s="1"/>
  <c r="H1368" i="10"/>
  <c r="A1368" i="10" s="1"/>
  <c r="H1367" i="10"/>
  <c r="A1367" i="10" s="1"/>
  <c r="H1366" i="10"/>
  <c r="A1366" i="10" s="1"/>
  <c r="H1365" i="10"/>
  <c r="A1365" i="10" s="1"/>
  <c r="H1364" i="10"/>
  <c r="A1364" i="10" s="1"/>
  <c r="H1363" i="10"/>
  <c r="A1363" i="10" s="1"/>
  <c r="H1362" i="10"/>
  <c r="H1361" i="10"/>
  <c r="A1361" i="10" s="1"/>
  <c r="H1360" i="10"/>
  <c r="A1360" i="10"/>
  <c r="H1359" i="10"/>
  <c r="A1359" i="10" s="1"/>
  <c r="H1358" i="10"/>
  <c r="A1358" i="10" s="1"/>
  <c r="H1357" i="10"/>
  <c r="A1357" i="10" s="1"/>
  <c r="H1356" i="10"/>
  <c r="H1355" i="10"/>
  <c r="A1355" i="10" s="1"/>
  <c r="H1354" i="10"/>
  <c r="A1354" i="10" s="1"/>
  <c r="H1353" i="10"/>
  <c r="A1353" i="10" s="1"/>
  <c r="H1352" i="10"/>
  <c r="H1351" i="10"/>
  <c r="A1351" i="10" s="1"/>
  <c r="H1350" i="10"/>
  <c r="H1349" i="10"/>
  <c r="A1349" i="10"/>
  <c r="H1348" i="10"/>
  <c r="A1348" i="10" s="1"/>
  <c r="H1347" i="10"/>
  <c r="H1346" i="10"/>
  <c r="A1346" i="10" s="1"/>
  <c r="H1345" i="10"/>
  <c r="A1345" i="10" s="1"/>
  <c r="H1344" i="10"/>
  <c r="H1343" i="10"/>
  <c r="A1343" i="10" s="1"/>
  <c r="H1342" i="10"/>
  <c r="A1342" i="10" s="1"/>
  <c r="H1341" i="10"/>
  <c r="A1341" i="10" s="1"/>
  <c r="H1340" i="10"/>
  <c r="A1340" i="10" s="1"/>
  <c r="H1339" i="10"/>
  <c r="A1339" i="10" s="1"/>
  <c r="H1338" i="10"/>
  <c r="H1337" i="10"/>
  <c r="A1337" i="10" s="1"/>
  <c r="H1336" i="10"/>
  <c r="A1336" i="10" s="1"/>
  <c r="H1335" i="10"/>
  <c r="H1334" i="10"/>
  <c r="A1334" i="10" s="1"/>
  <c r="H1333" i="10"/>
  <c r="A1333" i="10" s="1"/>
  <c r="H1332" i="10"/>
  <c r="A1332" i="10" s="1"/>
  <c r="H1331" i="10"/>
  <c r="A1331" i="10" s="1"/>
  <c r="H1330" i="10"/>
  <c r="A1330" i="10" s="1"/>
  <c r="H1329" i="10"/>
  <c r="A1329" i="10" s="1"/>
  <c r="H1328" i="10"/>
  <c r="A1328" i="10" s="1"/>
  <c r="H1327" i="10"/>
  <c r="A1327" i="10" s="1"/>
  <c r="H1326" i="10"/>
  <c r="H1325" i="10"/>
  <c r="A1325" i="10"/>
  <c r="H1324" i="10"/>
  <c r="A1324" i="10" s="1"/>
  <c r="H1323" i="10"/>
  <c r="A1323" i="10" s="1"/>
  <c r="H1322" i="10"/>
  <c r="A1322" i="10" s="1"/>
  <c r="H1321" i="10"/>
  <c r="A1321" i="10" s="1"/>
  <c r="H1320" i="10"/>
  <c r="H1319" i="10"/>
  <c r="A1319" i="10" s="1"/>
  <c r="H1318" i="10"/>
  <c r="A1318" i="10" s="1"/>
  <c r="H1317" i="10"/>
  <c r="A1317" i="10" s="1"/>
  <c r="H1316" i="10"/>
  <c r="A1316" i="10"/>
  <c r="H1315" i="10"/>
  <c r="A1315" i="10" s="1"/>
  <c r="H1314" i="10"/>
  <c r="H1313" i="10"/>
  <c r="A1313" i="10" s="1"/>
  <c r="H1312" i="10"/>
  <c r="A1312" i="10" s="1"/>
  <c r="H1311" i="10"/>
  <c r="H1310" i="10"/>
  <c r="A1310" i="10" s="1"/>
  <c r="H1309" i="10"/>
  <c r="A1309" i="10" s="1"/>
  <c r="H1308" i="10"/>
  <c r="H1307" i="10"/>
  <c r="A1307" i="10" s="1"/>
  <c r="H1306" i="10"/>
  <c r="A1306" i="10" s="1"/>
  <c r="H1305" i="10"/>
  <c r="A1305" i="10" s="1"/>
  <c r="H1304" i="10"/>
  <c r="A1304" i="10" s="1"/>
  <c r="H1303" i="10"/>
  <c r="A1303" i="10" s="1"/>
  <c r="H1302" i="10"/>
  <c r="H1301" i="10"/>
  <c r="A1301" i="10" s="1"/>
  <c r="H1300" i="10"/>
  <c r="A1300" i="10" s="1"/>
  <c r="H1299" i="10"/>
  <c r="H1298" i="10"/>
  <c r="A1298" i="10" s="1"/>
  <c r="H1297" i="10"/>
  <c r="A1297" i="10" s="1"/>
  <c r="H1296" i="10"/>
  <c r="A1296" i="10" s="1"/>
  <c r="H1295" i="10"/>
  <c r="A1295" i="10" s="1"/>
  <c r="H1294" i="10"/>
  <c r="A1294" i="10" s="1"/>
  <c r="H1293" i="10"/>
  <c r="A1293" i="10" s="1"/>
  <c r="H1292" i="10"/>
  <c r="A1292" i="10" s="1"/>
  <c r="H1291" i="10"/>
  <c r="A1291" i="10" s="1"/>
  <c r="H1290" i="10"/>
  <c r="H1289" i="10"/>
  <c r="A1289" i="10" s="1"/>
  <c r="H1288" i="10"/>
  <c r="A1288" i="10" s="1"/>
  <c r="H1287" i="10"/>
  <c r="A1287" i="10" s="1"/>
  <c r="H1286" i="10"/>
  <c r="A1286" i="10" s="1"/>
  <c r="H1285" i="10"/>
  <c r="A1285" i="10" s="1"/>
  <c r="H1284" i="10"/>
  <c r="H1283" i="10"/>
  <c r="A1283" i="10" s="1"/>
  <c r="H1282" i="10"/>
  <c r="A1282" i="10" s="1"/>
  <c r="H1281" i="10"/>
  <c r="A1281" i="10" s="1"/>
  <c r="H1280" i="10"/>
  <c r="A1280" i="10"/>
  <c r="H1279" i="10"/>
  <c r="A1279" i="10" s="1"/>
  <c r="H1278" i="10"/>
  <c r="H1277" i="10"/>
  <c r="A1277" i="10" s="1"/>
  <c r="H1276" i="10"/>
  <c r="A1276" i="10"/>
  <c r="H1275" i="10"/>
  <c r="H1274" i="10"/>
  <c r="A1274" i="10" s="1"/>
  <c r="H1273" i="10"/>
  <c r="A1273" i="10" s="1"/>
  <c r="H1272" i="10"/>
  <c r="H1271" i="10"/>
  <c r="A1271" i="10" s="1"/>
  <c r="H1270" i="10"/>
  <c r="A1270" i="10" s="1"/>
  <c r="H1269" i="10"/>
  <c r="A1269" i="10" s="1"/>
  <c r="H1268" i="10"/>
  <c r="A1268" i="10" s="1"/>
  <c r="H1267" i="10"/>
  <c r="A1267" i="10" s="1"/>
  <c r="H1266" i="10"/>
  <c r="H1265" i="10"/>
  <c r="A1265" i="10" s="1"/>
  <c r="H1264" i="10"/>
  <c r="A1264" i="10" s="1"/>
  <c r="H1263" i="10"/>
  <c r="H1262" i="10"/>
  <c r="A1262" i="10" s="1"/>
  <c r="H1261" i="10"/>
  <c r="A1261" i="10" s="1"/>
  <c r="H1260" i="10"/>
  <c r="A1260" i="10" s="1"/>
  <c r="H1259" i="10"/>
  <c r="A1259" i="10" s="1"/>
  <c r="H1258" i="10"/>
  <c r="A1258" i="10" s="1"/>
  <c r="H1257" i="10"/>
  <c r="A1257" i="10" s="1"/>
  <c r="H1256" i="10"/>
  <c r="A1256" i="10" s="1"/>
  <c r="H1255" i="10"/>
  <c r="A1255" i="10" s="1"/>
  <c r="H1254" i="10"/>
  <c r="H1253" i="10"/>
  <c r="A1253" i="10" s="1"/>
  <c r="H1252" i="10"/>
  <c r="A1252" i="10" s="1"/>
  <c r="H1251" i="10"/>
  <c r="A1251" i="10" s="1"/>
  <c r="H1250" i="10"/>
  <c r="A1250" i="10" s="1"/>
  <c r="H1249" i="10"/>
  <c r="A1249" i="10" s="1"/>
  <c r="H1248" i="10"/>
  <c r="A1248" i="10" s="1"/>
  <c r="H1247" i="10"/>
  <c r="A1247" i="10" s="1"/>
  <c r="H1246" i="10"/>
  <c r="A1246" i="10" s="1"/>
  <c r="H1245" i="10"/>
  <c r="A1245" i="10" s="1"/>
  <c r="H1244" i="10"/>
  <c r="A1244" i="10" s="1"/>
  <c r="H1243" i="10"/>
  <c r="A1243" i="10" s="1"/>
  <c r="H1242" i="10"/>
  <c r="A1242" i="10" s="1"/>
  <c r="H1241" i="10"/>
  <c r="A1241" i="10" s="1"/>
  <c r="H1240" i="10"/>
  <c r="A1240" i="10" s="1"/>
  <c r="H1239" i="10"/>
  <c r="A1239" i="10" s="1"/>
  <c r="H1238" i="10"/>
  <c r="A1238" i="10" s="1"/>
  <c r="H1237" i="10"/>
  <c r="A1237" i="10" s="1"/>
  <c r="H1236" i="10"/>
  <c r="A1236" i="10" s="1"/>
  <c r="H1235" i="10"/>
  <c r="A1235" i="10" s="1"/>
  <c r="H1234" i="10"/>
  <c r="A1234" i="10"/>
  <c r="H1233" i="10"/>
  <c r="A1233" i="10" s="1"/>
  <c r="H1232" i="10"/>
  <c r="A1232" i="10" s="1"/>
  <c r="H1231" i="10"/>
  <c r="A1231" i="10" s="1"/>
  <c r="H1230" i="10"/>
  <c r="A1230" i="10" s="1"/>
  <c r="H1229" i="10"/>
  <c r="A1229" i="10" s="1"/>
  <c r="H1228" i="10"/>
  <c r="A1228" i="10" s="1"/>
  <c r="H1227" i="10"/>
  <c r="A1227" i="10" s="1"/>
  <c r="H1226" i="10"/>
  <c r="A1226" i="10" s="1"/>
  <c r="H1225" i="10"/>
  <c r="A1225" i="10"/>
  <c r="H1224" i="10"/>
  <c r="A1224" i="10" s="1"/>
  <c r="H1223" i="10"/>
  <c r="A1223" i="10" s="1"/>
  <c r="H1222" i="10"/>
  <c r="A1222" i="10" s="1"/>
  <c r="H1221" i="10"/>
  <c r="A1221" i="10" s="1"/>
  <c r="H1220" i="10"/>
  <c r="A1220" i="10" s="1"/>
  <c r="H1219" i="10"/>
  <c r="A1219" i="10" s="1"/>
  <c r="H1218" i="10"/>
  <c r="A1218" i="10" s="1"/>
  <c r="H1217" i="10"/>
  <c r="A1217" i="10" s="1"/>
  <c r="H1216" i="10"/>
  <c r="A1216" i="10" s="1"/>
  <c r="H1215" i="10"/>
  <c r="A1215" i="10" s="1"/>
  <c r="H1214" i="10"/>
  <c r="A1214" i="10" s="1"/>
  <c r="H1213" i="10"/>
  <c r="A1213" i="10" s="1"/>
  <c r="H1212" i="10"/>
  <c r="A1212" i="10" s="1"/>
  <c r="H1211" i="10"/>
  <c r="A1211" i="10" s="1"/>
  <c r="H1210" i="10"/>
  <c r="A1210" i="10" s="1"/>
  <c r="H1209" i="10"/>
  <c r="A1209" i="10" s="1"/>
  <c r="H1208" i="10"/>
  <c r="A1208" i="10" s="1"/>
  <c r="H1207" i="10"/>
  <c r="A1207" i="10" s="1"/>
  <c r="H1206" i="10"/>
  <c r="A1206" i="10" s="1"/>
  <c r="H1205" i="10"/>
  <c r="A1205" i="10" s="1"/>
  <c r="H1204" i="10"/>
  <c r="A1204" i="10" s="1"/>
  <c r="H1203" i="10"/>
  <c r="A1203" i="10" s="1"/>
  <c r="H1202" i="10"/>
  <c r="A1202" i="10" s="1"/>
  <c r="H1201" i="10"/>
  <c r="A1201" i="10" s="1"/>
  <c r="H1200" i="10"/>
  <c r="A1200" i="10" s="1"/>
  <c r="H1199" i="10"/>
  <c r="A1199" i="10" s="1"/>
  <c r="H1198" i="10"/>
  <c r="A1198" i="10" s="1"/>
  <c r="H1197" i="10"/>
  <c r="A1197" i="10" s="1"/>
  <c r="H1196" i="10"/>
  <c r="H1195" i="10"/>
  <c r="H1194" i="10"/>
  <c r="H1193" i="10"/>
  <c r="H1192" i="10"/>
  <c r="A1192" i="10" s="1"/>
  <c r="H1191" i="10"/>
  <c r="A1191" i="10" s="1"/>
  <c r="H1190" i="10"/>
  <c r="H1189" i="10"/>
  <c r="A1189" i="10" s="1"/>
  <c r="H1188" i="10"/>
  <c r="H1187" i="10"/>
  <c r="H1186" i="10"/>
  <c r="A1186" i="10" s="1"/>
  <c r="H1185" i="10"/>
  <c r="H1184" i="10"/>
  <c r="A1184" i="10" s="1"/>
  <c r="H1183" i="10"/>
  <c r="A1183" i="10" s="1"/>
  <c r="H1182" i="10"/>
  <c r="A1182" i="10" s="1"/>
  <c r="H1181" i="10"/>
  <c r="A1181" i="10" s="1"/>
  <c r="H1180" i="10"/>
  <c r="A1180" i="10" s="1"/>
  <c r="H1179" i="10"/>
  <c r="A1179" i="10" s="1"/>
  <c r="H1178" i="10"/>
  <c r="H1177" i="10"/>
  <c r="H1176" i="10"/>
  <c r="H1175" i="10"/>
  <c r="H1174" i="10"/>
  <c r="A1174" i="10" s="1"/>
  <c r="H1173" i="10"/>
  <c r="H1172" i="10"/>
  <c r="H1171" i="10"/>
  <c r="A1171" i="10" s="1"/>
  <c r="H1170" i="10"/>
  <c r="H1169" i="10"/>
  <c r="H1168" i="10"/>
  <c r="A1168" i="10" s="1"/>
  <c r="H1167" i="10"/>
  <c r="H1166" i="10"/>
  <c r="A1166" i="10" s="1"/>
  <c r="H1165" i="10"/>
  <c r="A1165" i="10" s="1"/>
  <c r="H1164" i="10"/>
  <c r="A1164" i="10" s="1"/>
  <c r="H1163" i="10"/>
  <c r="A1163" i="10" s="1"/>
  <c r="H1162" i="10"/>
  <c r="A1162" i="10" s="1"/>
  <c r="H1161" i="10"/>
  <c r="A1161" i="10" s="1"/>
  <c r="H1160" i="10"/>
  <c r="H1159" i="10"/>
  <c r="A1159" i="10"/>
  <c r="H1158" i="10"/>
  <c r="H1157" i="10"/>
  <c r="H1156" i="10"/>
  <c r="A1156" i="10" s="1"/>
  <c r="H1155" i="10"/>
  <c r="H1154" i="10"/>
  <c r="H1153" i="10"/>
  <c r="A1153" i="10" s="1"/>
  <c r="H1152" i="10"/>
  <c r="H1151" i="10"/>
  <c r="H1150" i="10"/>
  <c r="A1150" i="10" s="1"/>
  <c r="H1149" i="10"/>
  <c r="H1148" i="10"/>
  <c r="A1148" i="10" s="1"/>
  <c r="H1147" i="10"/>
  <c r="A1147" i="10" s="1"/>
  <c r="H1146" i="10"/>
  <c r="A1146" i="10" s="1"/>
  <c r="H1145" i="10"/>
  <c r="A1145" i="10" s="1"/>
  <c r="H1144" i="10"/>
  <c r="A1144" i="10" s="1"/>
  <c r="H1143" i="10"/>
  <c r="A1143" i="10" s="1"/>
  <c r="H1142" i="10"/>
  <c r="H1141" i="10"/>
  <c r="A1141" i="10" s="1"/>
  <c r="H1140" i="10"/>
  <c r="H1139" i="10"/>
  <c r="H1138" i="10"/>
  <c r="A1138" i="10" s="1"/>
  <c r="H1137" i="10"/>
  <c r="H1136" i="10"/>
  <c r="H1135" i="10"/>
  <c r="A1135" i="10" s="1"/>
  <c r="H1134" i="10"/>
  <c r="H1133" i="10"/>
  <c r="H1132" i="10"/>
  <c r="A1132" i="10" s="1"/>
  <c r="H1131" i="10"/>
  <c r="H1130" i="10"/>
  <c r="A1130" i="10" s="1"/>
  <c r="H1129" i="10"/>
  <c r="A1129" i="10" s="1"/>
  <c r="H1128" i="10"/>
  <c r="A1128" i="10" s="1"/>
  <c r="H1127" i="10"/>
  <c r="A1127" i="10" s="1"/>
  <c r="H1126" i="10"/>
  <c r="A1126" i="10"/>
  <c r="H1125" i="10"/>
  <c r="A1125" i="10" s="1"/>
  <c r="H1124" i="10"/>
  <c r="H1123" i="10"/>
  <c r="A1123" i="10" s="1"/>
  <c r="H1122" i="10"/>
  <c r="H1121" i="10"/>
  <c r="H1120" i="10"/>
  <c r="A1120" i="10" s="1"/>
  <c r="H1119" i="10"/>
  <c r="H1118" i="10"/>
  <c r="H1117" i="10"/>
  <c r="A1117" i="10" s="1"/>
  <c r="H1116" i="10"/>
  <c r="H1115" i="10"/>
  <c r="H1114" i="10"/>
  <c r="A1114" i="10" s="1"/>
  <c r="H1113" i="10"/>
  <c r="H1112" i="10"/>
  <c r="A1112" i="10" s="1"/>
  <c r="H1111" i="10"/>
  <c r="A1111" i="10" s="1"/>
  <c r="H1110" i="10"/>
  <c r="A1110" i="10" s="1"/>
  <c r="H1109" i="10"/>
  <c r="A1109" i="10" s="1"/>
  <c r="H1108" i="10"/>
  <c r="A1108" i="10" s="1"/>
  <c r="H1107" i="10"/>
  <c r="A1107" i="10" s="1"/>
  <c r="H1106" i="10"/>
  <c r="H1105" i="10"/>
  <c r="A1105" i="10"/>
  <c r="H1104" i="10"/>
  <c r="H1103" i="10"/>
  <c r="H1102" i="10"/>
  <c r="A1102" i="10" s="1"/>
  <c r="H1101" i="10"/>
  <c r="H1100" i="10"/>
  <c r="H1099" i="10"/>
  <c r="A1099" i="10" s="1"/>
  <c r="H1098" i="10"/>
  <c r="H1097" i="10"/>
  <c r="H1096" i="10"/>
  <c r="A1096" i="10" s="1"/>
  <c r="H1095" i="10"/>
  <c r="H1094" i="10"/>
  <c r="A1094" i="10" s="1"/>
  <c r="H1093" i="10"/>
  <c r="A1093" i="10" s="1"/>
  <c r="H1092" i="10"/>
  <c r="A1092" i="10" s="1"/>
  <c r="H1091" i="10"/>
  <c r="A1091" i="10" s="1"/>
  <c r="H1090" i="10"/>
  <c r="A1090" i="10" s="1"/>
  <c r="H1089" i="10"/>
  <c r="A1089" i="10" s="1"/>
  <c r="H1088" i="10"/>
  <c r="H1087" i="10"/>
  <c r="H1086" i="10"/>
  <c r="H1085" i="10"/>
  <c r="H1084" i="10"/>
  <c r="A1084" i="10" s="1"/>
  <c r="H1083" i="10"/>
  <c r="H1082" i="10"/>
  <c r="H1081" i="10"/>
  <c r="A1081" i="10" s="1"/>
  <c r="H1080" i="10"/>
  <c r="H1079" i="10"/>
  <c r="H1078" i="10"/>
  <c r="A1078" i="10" s="1"/>
  <c r="H1077" i="10"/>
  <c r="H1076" i="10"/>
  <c r="A1076" i="10" s="1"/>
  <c r="H1075" i="10"/>
  <c r="A1075" i="10" s="1"/>
  <c r="H1074" i="10"/>
  <c r="A1074" i="10" s="1"/>
  <c r="H1073" i="10"/>
  <c r="A1073" i="10" s="1"/>
  <c r="H1072" i="10"/>
  <c r="A1072" i="10" s="1"/>
  <c r="H1071" i="10"/>
  <c r="A1071" i="10" s="1"/>
  <c r="H1070" i="10"/>
  <c r="A1070" i="10" s="1"/>
  <c r="H1069" i="10"/>
  <c r="A1069" i="10" s="1"/>
  <c r="H1068" i="10"/>
  <c r="H1067" i="10"/>
  <c r="A1067" i="10" s="1"/>
  <c r="H1066" i="10"/>
  <c r="H1065" i="10"/>
  <c r="H1064" i="10"/>
  <c r="A1064" i="10" s="1"/>
  <c r="H1063" i="10"/>
  <c r="A1063" i="10" s="1"/>
  <c r="H1062" i="10"/>
  <c r="H1061" i="10"/>
  <c r="A1061" i="10"/>
  <c r="H1060" i="10"/>
  <c r="A1060" i="10" s="1"/>
  <c r="H1059" i="10"/>
  <c r="H1058" i="10"/>
  <c r="A1058" i="10" s="1"/>
  <c r="H1057" i="10"/>
  <c r="A1057" i="10" s="1"/>
  <c r="H1056" i="10"/>
  <c r="A1056" i="10" s="1"/>
  <c r="H1055" i="10"/>
  <c r="A1055" i="10" s="1"/>
  <c r="H1054" i="10"/>
  <c r="A1054" i="10" s="1"/>
  <c r="H1053" i="10"/>
  <c r="H1052" i="10"/>
  <c r="A1052" i="10" s="1"/>
  <c r="H1051" i="10"/>
  <c r="A1051" i="10" s="1"/>
  <c r="H1050" i="10"/>
  <c r="A1050" i="10" s="1"/>
  <c r="H1049" i="10"/>
  <c r="A1049" i="10" s="1"/>
  <c r="H1048" i="10"/>
  <c r="A1048" i="10" s="1"/>
  <c r="H1047" i="10"/>
  <c r="H1046" i="10"/>
  <c r="A1046" i="10" s="1"/>
  <c r="H1045" i="10"/>
  <c r="A1045" i="10" s="1"/>
  <c r="H1044" i="10"/>
  <c r="H1043" i="10"/>
  <c r="H1042" i="10"/>
  <c r="A1042" i="10" s="1"/>
  <c r="H1041" i="10"/>
  <c r="A1041" i="10" s="1"/>
  <c r="H1040" i="10"/>
  <c r="A1040" i="10" s="1"/>
  <c r="H1039" i="10"/>
  <c r="A1039" i="10" s="1"/>
  <c r="H1038" i="10"/>
  <c r="H1037" i="10"/>
  <c r="A1037" i="10" s="1"/>
  <c r="H1036" i="10"/>
  <c r="A1036" i="10" s="1"/>
  <c r="H1035" i="10"/>
  <c r="A1035" i="10" s="1"/>
  <c r="H1034" i="10"/>
  <c r="A1034" i="10"/>
  <c r="H1033" i="10"/>
  <c r="A1033" i="10" s="1"/>
  <c r="H1032" i="10"/>
  <c r="H1031" i="10"/>
  <c r="A1031" i="10" s="1"/>
  <c r="H1030" i="10"/>
  <c r="A1030" i="10" s="1"/>
  <c r="H1029" i="10"/>
  <c r="A1029" i="10" s="1"/>
  <c r="H1028" i="10"/>
  <c r="A1028" i="10" s="1"/>
  <c r="H1027" i="10"/>
  <c r="A1027" i="10" s="1"/>
  <c r="H1026" i="10"/>
  <c r="H1025" i="10"/>
  <c r="A1025" i="10" s="1"/>
  <c r="H1024" i="10"/>
  <c r="A1024" i="10" s="1"/>
  <c r="H1023" i="10"/>
  <c r="H1022" i="10"/>
  <c r="A1022" i="10" s="1"/>
  <c r="H1021" i="10"/>
  <c r="A1021" i="10" s="1"/>
  <c r="H1020" i="10"/>
  <c r="A1020" i="10" s="1"/>
  <c r="H1019" i="10"/>
  <c r="A1019" i="10" s="1"/>
  <c r="H1018" i="10"/>
  <c r="A1018" i="10" s="1"/>
  <c r="H1017" i="10"/>
  <c r="H1016" i="10"/>
  <c r="H1015" i="10"/>
  <c r="A1015" i="10" s="1"/>
  <c r="H1014" i="10"/>
  <c r="A1014" i="10" s="1"/>
  <c r="H1013" i="10"/>
  <c r="A1013" i="10" s="1"/>
  <c r="H1012" i="10"/>
  <c r="A1012" i="10" s="1"/>
  <c r="H1011" i="10"/>
  <c r="H1010" i="10"/>
  <c r="A1010" i="10" s="1"/>
  <c r="H1009" i="10"/>
  <c r="A1009" i="10" s="1"/>
  <c r="H1008" i="10"/>
  <c r="H1007" i="10"/>
  <c r="A1007" i="10" s="1"/>
  <c r="H1006" i="10"/>
  <c r="A1006" i="10" s="1"/>
  <c r="H1005" i="10"/>
  <c r="A1005" i="10" s="1"/>
  <c r="H1004" i="10"/>
  <c r="A1004" i="10" s="1"/>
  <c r="H1003" i="10"/>
  <c r="H1002" i="10"/>
  <c r="H1001" i="10"/>
  <c r="A1001" i="10" s="1"/>
  <c r="H1000" i="10"/>
  <c r="A1000" i="10" s="1"/>
  <c r="H999" i="10"/>
  <c r="A999" i="10" s="1"/>
  <c r="H998" i="10"/>
  <c r="A998" i="10" s="1"/>
  <c r="H997" i="10"/>
  <c r="A997" i="10" s="1"/>
  <c r="H996" i="10"/>
  <c r="H995" i="10"/>
  <c r="A995" i="10" s="1"/>
  <c r="H994" i="10"/>
  <c r="A994" i="10" s="1"/>
  <c r="H993" i="10"/>
  <c r="A993" i="10" s="1"/>
  <c r="H992" i="10"/>
  <c r="A992" i="10" s="1"/>
  <c r="H991" i="10"/>
  <c r="A991" i="10" s="1"/>
  <c r="H990" i="10"/>
  <c r="H989" i="10"/>
  <c r="A989" i="10" s="1"/>
  <c r="H988" i="10"/>
  <c r="A988" i="10" s="1"/>
  <c r="H987" i="10"/>
  <c r="H986" i="10"/>
  <c r="A986" i="10" s="1"/>
  <c r="H985" i="10"/>
  <c r="A985" i="10" s="1"/>
  <c r="H984" i="10"/>
  <c r="A984" i="10" s="1"/>
  <c r="H983" i="10"/>
  <c r="A983" i="10" s="1"/>
  <c r="H982" i="10"/>
  <c r="A982" i="10" s="1"/>
  <c r="H981" i="10"/>
  <c r="H980" i="10"/>
  <c r="H979" i="10"/>
  <c r="A979" i="10" s="1"/>
  <c r="H978" i="10"/>
  <c r="A978" i="10" s="1"/>
  <c r="H977" i="10"/>
  <c r="A977" i="10" s="1"/>
  <c r="H976" i="10"/>
  <c r="A976" i="10"/>
  <c r="H975" i="10"/>
  <c r="H974" i="10"/>
  <c r="A974" i="10" s="1"/>
  <c r="H973" i="10"/>
  <c r="A973" i="10" s="1"/>
  <c r="H972" i="10"/>
  <c r="H971" i="10"/>
  <c r="A971" i="10" s="1"/>
  <c r="H970" i="10"/>
  <c r="A970" i="10" s="1"/>
  <c r="H969" i="10"/>
  <c r="A969" i="10" s="1"/>
  <c r="H968" i="10"/>
  <c r="A968" i="10" s="1"/>
  <c r="H967" i="10"/>
  <c r="A967" i="10" s="1"/>
  <c r="H966" i="10"/>
  <c r="H965" i="10"/>
  <c r="A965" i="10" s="1"/>
  <c r="H964" i="10"/>
  <c r="A964" i="10" s="1"/>
  <c r="H963" i="10"/>
  <c r="A963" i="10" s="1"/>
  <c r="H962" i="10"/>
  <c r="A962" i="10"/>
  <c r="H961" i="10"/>
  <c r="A961" i="10" s="1"/>
  <c r="H960" i="10"/>
  <c r="H959" i="10"/>
  <c r="A959" i="10" s="1"/>
  <c r="H958" i="10"/>
  <c r="A958" i="10" s="1"/>
  <c r="H957" i="10"/>
  <c r="A957" i="10" s="1"/>
  <c r="H956" i="10"/>
  <c r="A956" i="10" s="1"/>
  <c r="H955" i="10"/>
  <c r="A955" i="10" s="1"/>
  <c r="H954" i="10"/>
  <c r="H953" i="10"/>
  <c r="A953" i="10" s="1"/>
  <c r="H952" i="10"/>
  <c r="A952" i="10" s="1"/>
  <c r="H951" i="10"/>
  <c r="H950" i="10"/>
  <c r="A950" i="10" s="1"/>
  <c r="H949" i="10"/>
  <c r="A949" i="10" s="1"/>
  <c r="H948" i="10"/>
  <c r="A948" i="10" s="1"/>
  <c r="H947" i="10"/>
  <c r="A947" i="10" s="1"/>
  <c r="H946" i="10"/>
  <c r="A946" i="10" s="1"/>
  <c r="H945" i="10"/>
  <c r="A945" i="10" s="1"/>
  <c r="H944" i="10"/>
  <c r="A944" i="10" s="1"/>
  <c r="H943" i="10"/>
  <c r="A943" i="10" s="1"/>
  <c r="H942" i="10"/>
  <c r="A942" i="10" s="1"/>
  <c r="H941" i="10"/>
  <c r="A941" i="10" s="1"/>
  <c r="H940" i="10"/>
  <c r="A940" i="10" s="1"/>
  <c r="H939" i="10"/>
  <c r="A939" i="10" s="1"/>
  <c r="H938" i="10"/>
  <c r="A938" i="10" s="1"/>
  <c r="H937" i="10"/>
  <c r="A937" i="10" s="1"/>
  <c r="H936" i="10"/>
  <c r="A936" i="10" s="1"/>
  <c r="H935" i="10"/>
  <c r="A935" i="10" s="1"/>
  <c r="H934" i="10"/>
  <c r="A934" i="10" s="1"/>
  <c r="H933" i="10"/>
  <c r="A933" i="10" s="1"/>
  <c r="H932" i="10"/>
  <c r="A932" i="10" s="1"/>
  <c r="H931" i="10"/>
  <c r="A931" i="10" s="1"/>
  <c r="H930" i="10"/>
  <c r="A930" i="10" s="1"/>
  <c r="H929" i="10"/>
  <c r="A929" i="10" s="1"/>
  <c r="H928" i="10"/>
  <c r="A928" i="10" s="1"/>
  <c r="H927" i="10"/>
  <c r="A927" i="10" s="1"/>
  <c r="H926" i="10"/>
  <c r="A926" i="10" s="1"/>
  <c r="H925" i="10"/>
  <c r="A925" i="10" s="1"/>
  <c r="H924" i="10"/>
  <c r="A924" i="10" s="1"/>
  <c r="H923" i="10"/>
  <c r="A923" i="10" s="1"/>
  <c r="H922" i="10"/>
  <c r="A922" i="10" s="1"/>
  <c r="H921" i="10"/>
  <c r="A921" i="10" s="1"/>
  <c r="H920" i="10"/>
  <c r="A920" i="10" s="1"/>
  <c r="H919" i="10"/>
  <c r="A919" i="10" s="1"/>
  <c r="H918" i="10"/>
  <c r="A918" i="10" s="1"/>
  <c r="H917" i="10"/>
  <c r="A917" i="10" s="1"/>
  <c r="H916" i="10"/>
  <c r="A916" i="10" s="1"/>
  <c r="H915" i="10"/>
  <c r="A915" i="10" s="1"/>
  <c r="H914" i="10"/>
  <c r="A914" i="10" s="1"/>
  <c r="H913" i="10"/>
  <c r="A913" i="10" s="1"/>
  <c r="H912" i="10"/>
  <c r="A912" i="10" s="1"/>
  <c r="H911" i="10"/>
  <c r="A911" i="10" s="1"/>
  <c r="H910" i="10"/>
  <c r="A910" i="10"/>
  <c r="H909" i="10"/>
  <c r="A909" i="10" s="1"/>
  <c r="H908" i="10"/>
  <c r="A908" i="10" s="1"/>
  <c r="H907" i="10"/>
  <c r="A907" i="10" s="1"/>
  <c r="H906" i="10"/>
  <c r="A906" i="10" s="1"/>
  <c r="H905" i="10"/>
  <c r="A905" i="10" s="1"/>
  <c r="H904" i="10"/>
  <c r="A904" i="10" s="1"/>
  <c r="H903" i="10"/>
  <c r="A903" i="10" s="1"/>
  <c r="H902" i="10"/>
  <c r="A902" i="10" s="1"/>
  <c r="H901" i="10"/>
  <c r="A901" i="10" s="1"/>
  <c r="H900" i="10"/>
  <c r="A900" i="10" s="1"/>
  <c r="H899" i="10"/>
  <c r="A899" i="10" s="1"/>
  <c r="H898" i="10"/>
  <c r="A898" i="10" s="1"/>
  <c r="H897" i="10"/>
  <c r="A897" i="10" s="1"/>
  <c r="H896" i="10"/>
  <c r="A896" i="10" s="1"/>
  <c r="H895" i="10"/>
  <c r="A895" i="10" s="1"/>
  <c r="H894" i="10"/>
  <c r="A894" i="10" s="1"/>
  <c r="H893" i="10"/>
  <c r="H892" i="10"/>
  <c r="A892" i="10" s="1"/>
  <c r="H891" i="10"/>
  <c r="A891" i="10" s="1"/>
  <c r="H890" i="10"/>
  <c r="H889" i="10"/>
  <c r="A889" i="10" s="1"/>
  <c r="H888" i="10"/>
  <c r="H887" i="10"/>
  <c r="H886" i="10"/>
  <c r="A886" i="10" s="1"/>
  <c r="H885" i="10"/>
  <c r="H884" i="10"/>
  <c r="H883" i="10"/>
  <c r="A883" i="10" s="1"/>
  <c r="H882" i="10"/>
  <c r="A882" i="10" s="1"/>
  <c r="H881" i="10"/>
  <c r="A881" i="10" s="1"/>
  <c r="H880" i="10"/>
  <c r="A880" i="10" s="1"/>
  <c r="H879" i="10"/>
  <c r="A879" i="10" s="1"/>
  <c r="H878" i="10"/>
  <c r="H877" i="10"/>
  <c r="A877" i="10" s="1"/>
  <c r="H876" i="10"/>
  <c r="A876" i="10" s="1"/>
  <c r="H875" i="10"/>
  <c r="H874" i="10"/>
  <c r="A874" i="10" s="1"/>
  <c r="H873" i="10"/>
  <c r="A873" i="10" s="1"/>
  <c r="H872" i="10"/>
  <c r="H871" i="10"/>
  <c r="A871" i="10" s="1"/>
  <c r="H870" i="10"/>
  <c r="H869" i="10"/>
  <c r="H868" i="10"/>
  <c r="A868" i="10" s="1"/>
  <c r="H867" i="10"/>
  <c r="H866" i="10"/>
  <c r="H865" i="10"/>
  <c r="A865" i="10" s="1"/>
  <c r="H864" i="10"/>
  <c r="A864" i="10" s="1"/>
  <c r="H863" i="10"/>
  <c r="A863" i="10" s="1"/>
  <c r="H862" i="10"/>
  <c r="A862" i="10" s="1"/>
  <c r="H861" i="10"/>
  <c r="A861" i="10" s="1"/>
  <c r="H860" i="10"/>
  <c r="H859" i="10"/>
  <c r="A859" i="10" s="1"/>
  <c r="H858" i="10"/>
  <c r="A858" i="10" s="1"/>
  <c r="H857" i="10"/>
  <c r="H856" i="10"/>
  <c r="A856" i="10" s="1"/>
  <c r="H855" i="10"/>
  <c r="A855" i="10" s="1"/>
  <c r="H854" i="10"/>
  <c r="H853" i="10"/>
  <c r="A853" i="10" s="1"/>
  <c r="H852" i="10"/>
  <c r="H851" i="10"/>
  <c r="H850" i="10"/>
  <c r="A850" i="10" s="1"/>
  <c r="H849" i="10"/>
  <c r="H848" i="10"/>
  <c r="H847" i="10"/>
  <c r="A847" i="10"/>
  <c r="H846" i="10"/>
  <c r="A846" i="10" s="1"/>
  <c r="H845" i="10"/>
  <c r="A845" i="10" s="1"/>
  <c r="H844" i="10"/>
  <c r="A844" i="10" s="1"/>
  <c r="H843" i="10"/>
  <c r="A843" i="10" s="1"/>
  <c r="H842" i="10"/>
  <c r="H841" i="10"/>
  <c r="A841" i="10" s="1"/>
  <c r="H840" i="10"/>
  <c r="A840" i="10" s="1"/>
  <c r="H839" i="10"/>
  <c r="H838" i="10"/>
  <c r="A838" i="10" s="1"/>
  <c r="H837" i="10"/>
  <c r="A837" i="10" s="1"/>
  <c r="H836" i="10"/>
  <c r="A836" i="10" s="1"/>
  <c r="H835" i="10"/>
  <c r="A835" i="10" s="1"/>
  <c r="H834" i="10"/>
  <c r="H833" i="10"/>
  <c r="H832" i="10"/>
  <c r="A832" i="10" s="1"/>
  <c r="H831" i="10"/>
  <c r="H830" i="10"/>
  <c r="H829" i="10"/>
  <c r="A829" i="10" s="1"/>
  <c r="H828" i="10"/>
  <c r="A828" i="10" s="1"/>
  <c r="H827" i="10"/>
  <c r="A827" i="10" s="1"/>
  <c r="H826" i="10"/>
  <c r="A826" i="10" s="1"/>
  <c r="H825" i="10"/>
  <c r="A825" i="10" s="1"/>
  <c r="H824" i="10"/>
  <c r="A824" i="10" s="1"/>
  <c r="H823" i="10"/>
  <c r="A823" i="10" s="1"/>
  <c r="H822" i="10"/>
  <c r="H821" i="10"/>
  <c r="H820" i="10"/>
  <c r="A820" i="10" s="1"/>
  <c r="H819" i="10"/>
  <c r="A819" i="10" s="1"/>
  <c r="H818" i="10"/>
  <c r="H817" i="10"/>
  <c r="A817" i="10" s="1"/>
  <c r="H816" i="10"/>
  <c r="H815" i="10"/>
  <c r="H814" i="10"/>
  <c r="A814" i="10" s="1"/>
  <c r="H813" i="10"/>
  <c r="H812" i="10"/>
  <c r="H811" i="10"/>
  <c r="A811" i="10" s="1"/>
  <c r="H810" i="10"/>
  <c r="A810" i="10" s="1"/>
  <c r="H809" i="10"/>
  <c r="A809" i="10" s="1"/>
  <c r="H808" i="10"/>
  <c r="A808" i="10" s="1"/>
  <c r="H807" i="10"/>
  <c r="A807" i="10" s="1"/>
  <c r="H806" i="10"/>
  <c r="A806" i="10" s="1"/>
  <c r="H805" i="10"/>
  <c r="A805" i="10" s="1"/>
  <c r="H804" i="10"/>
  <c r="H803" i="10"/>
  <c r="H802" i="10"/>
  <c r="A802" i="10" s="1"/>
  <c r="H801" i="10"/>
  <c r="A801" i="10" s="1"/>
  <c r="H800" i="10"/>
  <c r="H799" i="10"/>
  <c r="A799" i="10" s="1"/>
  <c r="H798" i="10"/>
  <c r="H797" i="10"/>
  <c r="H796" i="10"/>
  <c r="A796" i="10" s="1"/>
  <c r="H795" i="10"/>
  <c r="H794" i="10"/>
  <c r="H793" i="10"/>
  <c r="A793" i="10" s="1"/>
  <c r="H792" i="10"/>
  <c r="A792" i="10" s="1"/>
  <c r="H791" i="10"/>
  <c r="A791" i="10" s="1"/>
  <c r="H790" i="10"/>
  <c r="A790" i="10" s="1"/>
  <c r="H789" i="10"/>
  <c r="A789" i="10" s="1"/>
  <c r="H788" i="10"/>
  <c r="A788" i="10" s="1"/>
  <c r="H787" i="10"/>
  <c r="A787" i="10" s="1"/>
  <c r="H786" i="10"/>
  <c r="H785" i="10"/>
  <c r="H784" i="10"/>
  <c r="A784" i="10" s="1"/>
  <c r="H783" i="10"/>
  <c r="A783" i="10" s="1"/>
  <c r="H782" i="10"/>
  <c r="H781" i="10"/>
  <c r="A781" i="10" s="1"/>
  <c r="H780" i="10"/>
  <c r="H779" i="10"/>
  <c r="A779" i="10" s="1"/>
  <c r="H778" i="10"/>
  <c r="A778" i="10" s="1"/>
  <c r="H777" i="10"/>
  <c r="H776" i="10"/>
  <c r="H775" i="10"/>
  <c r="A775" i="10" s="1"/>
  <c r="H774" i="10"/>
  <c r="A774" i="10" s="1"/>
  <c r="H773" i="10"/>
  <c r="A773" i="10" s="1"/>
  <c r="H772" i="10"/>
  <c r="A772" i="10" s="1"/>
  <c r="H771" i="10"/>
  <c r="A771" i="10" s="1"/>
  <c r="H770" i="10"/>
  <c r="A770" i="10" s="1"/>
  <c r="H769" i="10"/>
  <c r="A769" i="10" s="1"/>
  <c r="H768" i="10"/>
  <c r="H767" i="10"/>
  <c r="H766" i="10"/>
  <c r="A766" i="10" s="1"/>
  <c r="H765" i="10"/>
  <c r="A765" i="10" s="1"/>
  <c r="H764" i="10"/>
  <c r="H763" i="10"/>
  <c r="A763" i="10" s="1"/>
  <c r="H762" i="10"/>
  <c r="H761" i="10"/>
  <c r="A761" i="10" s="1"/>
  <c r="H760" i="10"/>
  <c r="A760" i="10" s="1"/>
  <c r="H759" i="10"/>
  <c r="H758" i="10"/>
  <c r="H757" i="10"/>
  <c r="A757" i="10" s="1"/>
  <c r="H756" i="10"/>
  <c r="A756" i="10" s="1"/>
  <c r="H755" i="10"/>
  <c r="A755" i="10" s="1"/>
  <c r="H754" i="10"/>
  <c r="A754" i="10" s="1"/>
  <c r="H753" i="10"/>
  <c r="A753" i="10" s="1"/>
  <c r="H752" i="10"/>
  <c r="A752" i="10" s="1"/>
  <c r="H751" i="10"/>
  <c r="A751" i="10"/>
  <c r="H750" i="10"/>
  <c r="H749" i="10"/>
  <c r="H748" i="10"/>
  <c r="A748" i="10" s="1"/>
  <c r="H747" i="10"/>
  <c r="A747" i="10" s="1"/>
  <c r="H746" i="10"/>
  <c r="H745" i="10"/>
  <c r="A745" i="10" s="1"/>
  <c r="H744" i="10"/>
  <c r="H743" i="10"/>
  <c r="A743" i="10" s="1"/>
  <c r="H742" i="10"/>
  <c r="A742" i="10" s="1"/>
  <c r="H741" i="10"/>
  <c r="H740" i="10"/>
  <c r="H739" i="10"/>
  <c r="A739" i="10" s="1"/>
  <c r="H738" i="10"/>
  <c r="A738" i="10" s="1"/>
  <c r="H737" i="10"/>
  <c r="A737" i="10" s="1"/>
  <c r="H736" i="10"/>
  <c r="A736" i="10" s="1"/>
  <c r="H735" i="10"/>
  <c r="A735" i="10" s="1"/>
  <c r="H734" i="10"/>
  <c r="A734" i="10" s="1"/>
  <c r="H733" i="10"/>
  <c r="A733" i="10" s="1"/>
  <c r="H732" i="10"/>
  <c r="H731" i="10"/>
  <c r="H730" i="10"/>
  <c r="A730" i="10"/>
  <c r="H729" i="10"/>
  <c r="A729" i="10" s="1"/>
  <c r="H728" i="10"/>
  <c r="H727" i="10"/>
  <c r="A727" i="10" s="1"/>
  <c r="H726" i="10"/>
  <c r="H725" i="10"/>
  <c r="A725" i="10" s="1"/>
  <c r="H724" i="10"/>
  <c r="A724" i="10" s="1"/>
  <c r="H723" i="10"/>
  <c r="H722" i="10"/>
  <c r="H721" i="10"/>
  <c r="A721" i="10" s="1"/>
  <c r="H720" i="10"/>
  <c r="A720" i="10" s="1"/>
  <c r="H719" i="10"/>
  <c r="A719" i="10" s="1"/>
  <c r="H718" i="10"/>
  <c r="A718" i="10" s="1"/>
  <c r="H717" i="10"/>
  <c r="A717" i="10" s="1"/>
  <c r="H716" i="10"/>
  <c r="A716" i="10" s="1"/>
  <c r="H715" i="10"/>
  <c r="A715" i="10" s="1"/>
  <c r="H714" i="10"/>
  <c r="H713" i="10"/>
  <c r="H712" i="10"/>
  <c r="A712" i="10" s="1"/>
  <c r="H711" i="10"/>
  <c r="A711" i="10" s="1"/>
  <c r="H710" i="10"/>
  <c r="A710" i="10" s="1"/>
  <c r="H709" i="10"/>
  <c r="A709" i="10" s="1"/>
  <c r="H708" i="10"/>
  <c r="H707" i="10"/>
  <c r="A707" i="10" s="1"/>
  <c r="H706" i="10"/>
  <c r="A706" i="10" s="1"/>
  <c r="H705" i="10"/>
  <c r="H704" i="10"/>
  <c r="A704" i="10" s="1"/>
  <c r="H703" i="10"/>
  <c r="A703" i="10" s="1"/>
  <c r="H702" i="10"/>
  <c r="A702" i="10" s="1"/>
  <c r="H701" i="10"/>
  <c r="A701" i="10" s="1"/>
  <c r="H700" i="10"/>
  <c r="A700" i="10" s="1"/>
  <c r="H699" i="10"/>
  <c r="H698" i="10"/>
  <c r="A698" i="10" s="1"/>
  <c r="H697" i="10"/>
  <c r="A697" i="10" s="1"/>
  <c r="H696" i="10"/>
  <c r="H695" i="10"/>
  <c r="A695" i="10" s="1"/>
  <c r="H694" i="10"/>
  <c r="A694" i="10" s="1"/>
  <c r="H693" i="10"/>
  <c r="A693" i="10" s="1"/>
  <c r="H692" i="10"/>
  <c r="A692" i="10" s="1"/>
  <c r="H691" i="10"/>
  <c r="A691" i="10" s="1"/>
  <c r="H690" i="10"/>
  <c r="A690" i="10" s="1"/>
  <c r="H689" i="10"/>
  <c r="A689" i="10" s="1"/>
  <c r="H688" i="10"/>
  <c r="A688" i="10" s="1"/>
  <c r="H687" i="10"/>
  <c r="H686" i="10"/>
  <c r="A686" i="10" s="1"/>
  <c r="H685" i="10"/>
  <c r="A685" i="10" s="1"/>
  <c r="H684" i="10"/>
  <c r="A684" i="10" s="1"/>
  <c r="H683" i="10"/>
  <c r="A683" i="10" s="1"/>
  <c r="H682" i="10"/>
  <c r="A682" i="10" s="1"/>
  <c r="H681" i="10"/>
  <c r="H680" i="10"/>
  <c r="A680" i="10" s="1"/>
  <c r="H679" i="10"/>
  <c r="A679" i="10" s="1"/>
  <c r="H678" i="10"/>
  <c r="H677" i="10"/>
  <c r="H676" i="10"/>
  <c r="A676" i="10" s="1"/>
  <c r="H675" i="10"/>
  <c r="A675" i="10" s="1"/>
  <c r="H674" i="10"/>
  <c r="A674" i="10" s="1"/>
  <c r="H673" i="10"/>
  <c r="A673" i="10"/>
  <c r="H672" i="10"/>
  <c r="H671" i="10"/>
  <c r="A671" i="10" s="1"/>
  <c r="H670" i="10"/>
  <c r="A670" i="10" s="1"/>
  <c r="H669" i="10"/>
  <c r="H668" i="10"/>
  <c r="A668" i="10" s="1"/>
  <c r="H667" i="10"/>
  <c r="A667" i="10" s="1"/>
  <c r="H666" i="10"/>
  <c r="A666" i="10" s="1"/>
  <c r="H665" i="10"/>
  <c r="A665" i="10" s="1"/>
  <c r="H664" i="10"/>
  <c r="H663" i="10"/>
  <c r="H662" i="10"/>
  <c r="A662" i="10" s="1"/>
  <c r="H661" i="10"/>
  <c r="A661" i="10" s="1"/>
  <c r="H660" i="10"/>
  <c r="H659" i="10"/>
  <c r="A659" i="10" s="1"/>
  <c r="H658" i="10"/>
  <c r="A658" i="10" s="1"/>
  <c r="H657" i="10"/>
  <c r="A657" i="10" s="1"/>
  <c r="H656" i="10"/>
  <c r="A656" i="10" s="1"/>
  <c r="H655" i="10"/>
  <c r="A655" i="10" s="1"/>
  <c r="H654" i="10"/>
  <c r="A654" i="10" s="1"/>
  <c r="H653" i="10"/>
  <c r="A653" i="10" s="1"/>
  <c r="H652" i="10"/>
  <c r="A652" i="10" s="1"/>
  <c r="H651" i="10"/>
  <c r="H650" i="10"/>
  <c r="A650" i="10" s="1"/>
  <c r="H649" i="10"/>
  <c r="A649" i="10" s="1"/>
  <c r="H648" i="10"/>
  <c r="A648" i="10" s="1"/>
  <c r="H647" i="10"/>
  <c r="A647" i="10" s="1"/>
  <c r="H646" i="10"/>
  <c r="A646" i="10" s="1"/>
  <c r="H645" i="10"/>
  <c r="A645" i="10" s="1"/>
  <c r="H644" i="10"/>
  <c r="A644" i="10" s="1"/>
  <c r="H643" i="10"/>
  <c r="A643" i="10" s="1"/>
  <c r="H642" i="10"/>
  <c r="A642" i="10" s="1"/>
  <c r="H641" i="10"/>
  <c r="A641" i="10" s="1"/>
  <c r="H640" i="10"/>
  <c r="A640" i="10" s="1"/>
  <c r="H639" i="10"/>
  <c r="A639" i="10" s="1"/>
  <c r="H638" i="10"/>
  <c r="A638" i="10" s="1"/>
  <c r="H637" i="10"/>
  <c r="A637" i="10" s="1"/>
  <c r="H636" i="10"/>
  <c r="A636" i="10" s="1"/>
  <c r="H635" i="10"/>
  <c r="A635" i="10" s="1"/>
  <c r="H634" i="10"/>
  <c r="A634" i="10" s="1"/>
  <c r="H633" i="10"/>
  <c r="A633" i="10" s="1"/>
  <c r="H632" i="10"/>
  <c r="A632" i="10" s="1"/>
  <c r="H631" i="10"/>
  <c r="A631" i="10" s="1"/>
  <c r="H630" i="10"/>
  <c r="A630" i="10" s="1"/>
  <c r="H629" i="10"/>
  <c r="A629" i="10" s="1"/>
  <c r="H628" i="10"/>
  <c r="A628" i="10" s="1"/>
  <c r="H627" i="10"/>
  <c r="A627" i="10" s="1"/>
  <c r="H626" i="10"/>
  <c r="A626" i="10" s="1"/>
  <c r="H625" i="10"/>
  <c r="A625" i="10" s="1"/>
  <c r="H624" i="10"/>
  <c r="A624" i="10" s="1"/>
  <c r="H623" i="10"/>
  <c r="A623" i="10"/>
  <c r="H622" i="10"/>
  <c r="A622" i="10" s="1"/>
  <c r="H621" i="10"/>
  <c r="A621" i="10" s="1"/>
  <c r="H620" i="10"/>
  <c r="A620" i="10" s="1"/>
  <c r="H619" i="10"/>
  <c r="A619" i="10" s="1"/>
  <c r="H618" i="10"/>
  <c r="A618" i="10" s="1"/>
  <c r="H617" i="10"/>
  <c r="A617" i="10"/>
  <c r="H616" i="10"/>
  <c r="A616" i="10" s="1"/>
  <c r="H615" i="10"/>
  <c r="A615" i="10" s="1"/>
  <c r="H614" i="10"/>
  <c r="A614" i="10" s="1"/>
  <c r="H613" i="10"/>
  <c r="A613" i="10" s="1"/>
  <c r="H612" i="10"/>
  <c r="A612" i="10" s="1"/>
  <c r="H611" i="10"/>
  <c r="A611" i="10" s="1"/>
  <c r="H610" i="10"/>
  <c r="A610" i="10" s="1"/>
  <c r="H609" i="10"/>
  <c r="A609" i="10" s="1"/>
  <c r="H608" i="10"/>
  <c r="A608" i="10" s="1"/>
  <c r="H607" i="10"/>
  <c r="A607" i="10" s="1"/>
  <c r="H606" i="10"/>
  <c r="A606" i="10" s="1"/>
  <c r="H605" i="10"/>
  <c r="A605" i="10" s="1"/>
  <c r="H604" i="10"/>
  <c r="A604" i="10" s="1"/>
  <c r="H603" i="10"/>
  <c r="A603" i="10" s="1"/>
  <c r="H602" i="10"/>
  <c r="A602" i="10" s="1"/>
  <c r="H601" i="10"/>
  <c r="A601" i="10" s="1"/>
  <c r="H600" i="10"/>
  <c r="A600" i="10" s="1"/>
  <c r="H599" i="10"/>
  <c r="A599" i="10" s="1"/>
  <c r="H598" i="10"/>
  <c r="A598" i="10" s="1"/>
  <c r="H597" i="10"/>
  <c r="A597" i="10" s="1"/>
  <c r="H596" i="10"/>
  <c r="A596" i="10" s="1"/>
  <c r="H595" i="10"/>
  <c r="A595" i="10" s="1"/>
  <c r="H594" i="10"/>
  <c r="A594" i="10" s="1"/>
  <c r="H593" i="10"/>
  <c r="A593" i="10" s="1"/>
  <c r="H592" i="10"/>
  <c r="A592" i="10" s="1"/>
  <c r="H591" i="10"/>
  <c r="A591" i="10" s="1"/>
  <c r="H590" i="10"/>
  <c r="A590" i="10" s="1"/>
  <c r="H589" i="10"/>
  <c r="A589" i="10" s="1"/>
  <c r="H588" i="10"/>
  <c r="H587" i="10"/>
  <c r="A587" i="10" s="1"/>
  <c r="H586" i="10"/>
  <c r="A586" i="10" s="1"/>
  <c r="H585" i="10"/>
  <c r="H584" i="10"/>
  <c r="A584" i="10" s="1"/>
  <c r="H583" i="10"/>
  <c r="A583" i="10" s="1"/>
  <c r="H582" i="10"/>
  <c r="H581" i="10"/>
  <c r="A581" i="10" s="1"/>
  <c r="H580" i="10"/>
  <c r="A580" i="10" s="1"/>
  <c r="H579" i="10"/>
  <c r="H578" i="10"/>
  <c r="A578" i="10" s="1"/>
  <c r="H577" i="10"/>
  <c r="A577" i="10" s="1"/>
  <c r="H576" i="10"/>
  <c r="A576" i="10" s="1"/>
  <c r="H575" i="10"/>
  <c r="A575" i="10"/>
  <c r="H574" i="10"/>
  <c r="A574" i="10" s="1"/>
  <c r="H573" i="10"/>
  <c r="H572" i="10"/>
  <c r="A572" i="10" s="1"/>
  <c r="H571" i="10"/>
  <c r="A571" i="10" s="1"/>
  <c r="H570" i="10"/>
  <c r="H569" i="10"/>
  <c r="A569" i="10" s="1"/>
  <c r="H568" i="10"/>
  <c r="A568" i="10" s="1"/>
  <c r="H567" i="10"/>
  <c r="H566" i="10"/>
  <c r="A566" i="10" s="1"/>
  <c r="H565" i="10"/>
  <c r="A565" i="10" s="1"/>
  <c r="H564" i="10"/>
  <c r="H563" i="10"/>
  <c r="A563" i="10" s="1"/>
  <c r="H562" i="10"/>
  <c r="A562" i="10" s="1"/>
  <c r="H561" i="10"/>
  <c r="A561" i="10" s="1"/>
  <c r="H560" i="10"/>
  <c r="A560" i="10"/>
  <c r="H559" i="10"/>
  <c r="A559" i="10" s="1"/>
  <c r="H558" i="10"/>
  <c r="H557" i="10"/>
  <c r="A557" i="10" s="1"/>
  <c r="H556" i="10"/>
  <c r="A556" i="10" s="1"/>
  <c r="H555" i="10"/>
  <c r="A555" i="10" s="1"/>
  <c r="H554" i="10"/>
  <c r="A554" i="10" s="1"/>
  <c r="H553" i="10"/>
  <c r="A553" i="10" s="1"/>
  <c r="H552" i="10"/>
  <c r="H551" i="10"/>
  <c r="A551" i="10" s="1"/>
  <c r="H550" i="10"/>
  <c r="A550" i="10" s="1"/>
  <c r="H549" i="10"/>
  <c r="H548" i="10"/>
  <c r="A548" i="10" s="1"/>
  <c r="H547" i="10"/>
  <c r="A547" i="10" s="1"/>
  <c r="H546" i="10"/>
  <c r="H545" i="10"/>
  <c r="A545" i="10" s="1"/>
  <c r="H544" i="10"/>
  <c r="A544" i="10" s="1"/>
  <c r="H543" i="10"/>
  <c r="H542" i="10"/>
  <c r="A542" i="10" s="1"/>
  <c r="H541" i="10"/>
  <c r="A541" i="10" s="1"/>
  <c r="H540" i="10"/>
  <c r="A540" i="10" s="1"/>
  <c r="H539" i="10"/>
  <c r="A539" i="10" s="1"/>
  <c r="H538" i="10"/>
  <c r="A538" i="10" s="1"/>
  <c r="H537" i="10"/>
  <c r="H536" i="10"/>
  <c r="A536" i="10"/>
  <c r="H535" i="10"/>
  <c r="A535" i="10" s="1"/>
  <c r="H534" i="10"/>
  <c r="H533" i="10"/>
  <c r="A533" i="10" s="1"/>
  <c r="H532" i="10"/>
  <c r="A532" i="10" s="1"/>
  <c r="H531" i="10"/>
  <c r="H530" i="10"/>
  <c r="A530" i="10" s="1"/>
  <c r="H529" i="10"/>
  <c r="A529" i="10" s="1"/>
  <c r="H528" i="10"/>
  <c r="H527" i="10"/>
  <c r="A527" i="10" s="1"/>
  <c r="H526" i="10"/>
  <c r="A526" i="10"/>
  <c r="H525" i="10"/>
  <c r="A525" i="10" s="1"/>
  <c r="H524" i="10"/>
  <c r="A524" i="10"/>
  <c r="H523" i="10"/>
  <c r="A523" i="10" s="1"/>
  <c r="H522" i="10"/>
  <c r="H521" i="10"/>
  <c r="H520" i="10"/>
  <c r="A520" i="10" s="1"/>
  <c r="H519" i="10"/>
  <c r="A519" i="10" s="1"/>
  <c r="H518" i="10"/>
  <c r="A518" i="10" s="1"/>
  <c r="H517" i="10"/>
  <c r="A517" i="10" s="1"/>
  <c r="H516" i="10"/>
  <c r="H515" i="10"/>
  <c r="A515" i="10" s="1"/>
  <c r="H514" i="10"/>
  <c r="A514" i="10" s="1"/>
  <c r="H513" i="10"/>
  <c r="H512" i="10"/>
  <c r="A512" i="10" s="1"/>
  <c r="H511" i="10"/>
  <c r="A511" i="10" s="1"/>
  <c r="H510" i="10"/>
  <c r="A510" i="10" s="1"/>
  <c r="H509" i="10"/>
  <c r="A509" i="10" s="1"/>
  <c r="H508" i="10"/>
  <c r="H507" i="10"/>
  <c r="H506" i="10"/>
  <c r="A506" i="10" s="1"/>
  <c r="H505" i="10"/>
  <c r="A505" i="10" s="1"/>
  <c r="H504" i="10"/>
  <c r="A504" i="10" s="1"/>
  <c r="H503" i="10"/>
  <c r="A503" i="10" s="1"/>
  <c r="H502" i="10"/>
  <c r="A502" i="10" s="1"/>
  <c r="H501" i="10"/>
  <c r="H500" i="10"/>
  <c r="A500" i="10" s="1"/>
  <c r="H499" i="10"/>
  <c r="A499" i="10" s="1"/>
  <c r="H498" i="10"/>
  <c r="A498" i="10" s="1"/>
  <c r="H497" i="10"/>
  <c r="H496" i="10"/>
  <c r="A496" i="10" s="1"/>
  <c r="H495" i="10"/>
  <c r="H494" i="10"/>
  <c r="A494" i="10" s="1"/>
  <c r="H493" i="10"/>
  <c r="A493" i="10" s="1"/>
  <c r="H492" i="10"/>
  <c r="H491" i="10"/>
  <c r="A491" i="10" s="1"/>
  <c r="H490" i="10"/>
  <c r="A490" i="10" s="1"/>
  <c r="H489" i="10"/>
  <c r="A489" i="10" s="1"/>
  <c r="H488" i="10"/>
  <c r="A488" i="10" s="1"/>
  <c r="H487" i="10"/>
  <c r="A487" i="10" s="1"/>
  <c r="H486" i="10"/>
  <c r="H485" i="10"/>
  <c r="A485" i="10" s="1"/>
  <c r="H484" i="10"/>
  <c r="A484" i="10" s="1"/>
  <c r="H483" i="10"/>
  <c r="A483" i="10" s="1"/>
  <c r="H482" i="10"/>
  <c r="H481" i="10"/>
  <c r="A481" i="10" s="1"/>
  <c r="H480" i="10"/>
  <c r="H479" i="10"/>
  <c r="A479" i="10" s="1"/>
  <c r="H478" i="10"/>
  <c r="H477" i="10"/>
  <c r="H476" i="10"/>
  <c r="A476" i="10" s="1"/>
  <c r="H475" i="10"/>
  <c r="A475" i="10" s="1"/>
  <c r="H474" i="10"/>
  <c r="A474" i="10" s="1"/>
  <c r="H473" i="10"/>
  <c r="A473" i="10" s="1"/>
  <c r="H472" i="10"/>
  <c r="A472" i="10" s="1"/>
  <c r="H471" i="10"/>
  <c r="H470" i="10"/>
  <c r="A470" i="10" s="1"/>
  <c r="H469" i="10"/>
  <c r="A469" i="10" s="1"/>
  <c r="H468" i="10"/>
  <c r="A468" i="10" s="1"/>
  <c r="H467" i="10"/>
  <c r="A467" i="10" s="1"/>
  <c r="H466" i="10"/>
  <c r="A466" i="10" s="1"/>
  <c r="H465" i="10"/>
  <c r="H464" i="10"/>
  <c r="A464" i="10" s="1"/>
  <c r="H463" i="10"/>
  <c r="H462" i="10"/>
  <c r="A462" i="10" s="1"/>
  <c r="H461" i="10"/>
  <c r="A461" i="10" s="1"/>
  <c r="H460" i="10"/>
  <c r="A460" i="10" s="1"/>
  <c r="H459" i="10"/>
  <c r="H458" i="10"/>
  <c r="A458" i="10" s="1"/>
  <c r="H457" i="10"/>
  <c r="A457" i="10" s="1"/>
  <c r="H456" i="10"/>
  <c r="H455" i="10"/>
  <c r="H454" i="10"/>
  <c r="A454" i="10" s="1"/>
  <c r="H453" i="10"/>
  <c r="A453" i="10" s="1"/>
  <c r="H452" i="10"/>
  <c r="A452" i="10" s="1"/>
  <c r="H451" i="10"/>
  <c r="A451" i="10" s="1"/>
  <c r="H450" i="10"/>
  <c r="H449" i="10"/>
  <c r="A449" i="10" s="1"/>
  <c r="H448" i="10"/>
  <c r="A448" i="10" s="1"/>
  <c r="H447" i="10"/>
  <c r="A447" i="10" s="1"/>
  <c r="H446" i="10"/>
  <c r="A446" i="10" s="1"/>
  <c r="H445" i="10"/>
  <c r="A445" i="10" s="1"/>
  <c r="H444" i="10"/>
  <c r="H443" i="10"/>
  <c r="A443" i="10" s="1"/>
  <c r="H442" i="10"/>
  <c r="H441" i="10"/>
  <c r="H440" i="10"/>
  <c r="H439" i="10"/>
  <c r="A439" i="10" s="1"/>
  <c r="H438" i="10"/>
  <c r="A438" i="10" s="1"/>
  <c r="H437" i="10"/>
  <c r="A437" i="10" s="1"/>
  <c r="H436" i="10"/>
  <c r="A436" i="10" s="1"/>
  <c r="H435" i="10"/>
  <c r="H434" i="10"/>
  <c r="A434" i="10" s="1"/>
  <c r="H433" i="10"/>
  <c r="A433" i="10" s="1"/>
  <c r="H432" i="10"/>
  <c r="A432" i="10" s="1"/>
  <c r="H431" i="10"/>
  <c r="A431" i="10" s="1"/>
  <c r="H430" i="10"/>
  <c r="A430" i="10" s="1"/>
  <c r="H429" i="10"/>
  <c r="H428" i="10"/>
  <c r="A428" i="10" s="1"/>
  <c r="H427" i="10"/>
  <c r="A427" i="10" s="1"/>
  <c r="H426" i="10"/>
  <c r="A426" i="10" s="1"/>
  <c r="H425" i="10"/>
  <c r="A425" i="10" s="1"/>
  <c r="H424" i="10"/>
  <c r="A424" i="10" s="1"/>
  <c r="H423" i="10"/>
  <c r="H422" i="10"/>
  <c r="A422" i="10" s="1"/>
  <c r="H421" i="10"/>
  <c r="A421" i="10" s="1"/>
  <c r="H420" i="10"/>
  <c r="H419" i="10"/>
  <c r="A419" i="10"/>
  <c r="H418" i="10"/>
  <c r="A418" i="10" s="1"/>
  <c r="H417" i="10"/>
  <c r="A417" i="10" s="1"/>
  <c r="H416" i="10"/>
  <c r="A416" i="10" s="1"/>
  <c r="H415" i="10"/>
  <c r="A415" i="10" s="1"/>
  <c r="H414" i="10"/>
  <c r="H413" i="10"/>
  <c r="A413" i="10" s="1"/>
  <c r="H412" i="10"/>
  <c r="A412" i="10" s="1"/>
  <c r="H411" i="10"/>
  <c r="A411" i="10" s="1"/>
  <c r="H410" i="10"/>
  <c r="A410" i="10" s="1"/>
  <c r="H409" i="10"/>
  <c r="A409" i="10" s="1"/>
  <c r="H408" i="10"/>
  <c r="H407" i="10"/>
  <c r="A407" i="10" s="1"/>
  <c r="H406" i="10"/>
  <c r="H405" i="10"/>
  <c r="H404" i="10"/>
  <c r="A404" i="10" s="1"/>
  <c r="H403" i="10"/>
  <c r="A403" i="10" s="1"/>
  <c r="H402" i="10"/>
  <c r="A402" i="10" s="1"/>
  <c r="H401" i="10"/>
  <c r="A401" i="10" s="1"/>
  <c r="H400" i="10"/>
  <c r="A400" i="10" s="1"/>
  <c r="H399" i="10"/>
  <c r="H398" i="10"/>
  <c r="A398" i="10" s="1"/>
  <c r="H397" i="10"/>
  <c r="A397" i="10"/>
  <c r="H396" i="10"/>
  <c r="A396" i="10" s="1"/>
  <c r="H395" i="10"/>
  <c r="A395" i="10" s="1"/>
  <c r="H394" i="10"/>
  <c r="A394" i="10" s="1"/>
  <c r="H393" i="10"/>
  <c r="H392" i="10"/>
  <c r="A392" i="10" s="1"/>
  <c r="H391" i="10"/>
  <c r="A391" i="10"/>
  <c r="H390" i="10"/>
  <c r="A390" i="10" s="1"/>
  <c r="H389" i="10"/>
  <c r="A389" i="10" s="1"/>
  <c r="H388" i="10"/>
  <c r="A388" i="10" s="1"/>
  <c r="H387" i="10"/>
  <c r="H386" i="10"/>
  <c r="A386" i="10" s="1"/>
  <c r="H385" i="10"/>
  <c r="A385" i="10" s="1"/>
  <c r="H384" i="10"/>
  <c r="H383" i="10"/>
  <c r="A383" i="10" s="1"/>
  <c r="H382" i="10"/>
  <c r="A382" i="10" s="1"/>
  <c r="H381" i="10"/>
  <c r="A381" i="10" s="1"/>
  <c r="H380" i="10"/>
  <c r="A380" i="10" s="1"/>
  <c r="H379" i="10"/>
  <c r="A379" i="10" s="1"/>
  <c r="H378" i="10"/>
  <c r="H377" i="10"/>
  <c r="A377" i="10" s="1"/>
  <c r="H376" i="10"/>
  <c r="A376" i="10" s="1"/>
  <c r="H375" i="10"/>
  <c r="A375" i="10" s="1"/>
  <c r="H374" i="10"/>
  <c r="A374" i="10" s="1"/>
  <c r="H373" i="10"/>
  <c r="A373" i="10" s="1"/>
  <c r="H372" i="10"/>
  <c r="H371" i="10"/>
  <c r="A371" i="10" s="1"/>
  <c r="H370" i="10"/>
  <c r="H369" i="10"/>
  <c r="H368" i="10"/>
  <c r="H367" i="10"/>
  <c r="A367" i="10"/>
  <c r="H366" i="10"/>
  <c r="A366" i="10" s="1"/>
  <c r="H365" i="10"/>
  <c r="A365" i="10" s="1"/>
  <c r="H364" i="10"/>
  <c r="A364" i="10" s="1"/>
  <c r="H363" i="10"/>
  <c r="H362" i="10"/>
  <c r="A362" i="10" s="1"/>
  <c r="H361" i="10"/>
  <c r="A361" i="10" s="1"/>
  <c r="H360" i="10"/>
  <c r="A360" i="10" s="1"/>
  <c r="H359" i="10"/>
  <c r="A359" i="10" s="1"/>
  <c r="H358" i="10"/>
  <c r="A358" i="10" s="1"/>
  <c r="H357" i="10"/>
  <c r="H356" i="10"/>
  <c r="A356" i="10"/>
  <c r="H355" i="10"/>
  <c r="H354" i="10"/>
  <c r="A354" i="10" s="1"/>
  <c r="H353" i="10"/>
  <c r="A353" i="10" s="1"/>
  <c r="H352" i="10"/>
  <c r="A352" i="10" s="1"/>
  <c r="H351" i="10"/>
  <c r="H350" i="10"/>
  <c r="A350" i="10" s="1"/>
  <c r="H349" i="10"/>
  <c r="A349" i="10" s="1"/>
  <c r="H348" i="10"/>
  <c r="A348" i="10" s="1"/>
  <c r="H347" i="10"/>
  <c r="A347" i="10" s="1"/>
  <c r="H346" i="10"/>
  <c r="A346" i="10" s="1"/>
  <c r="H345" i="10"/>
  <c r="A345" i="10"/>
  <c r="H344" i="10"/>
  <c r="A344" i="10" s="1"/>
  <c r="H343" i="10"/>
  <c r="A343" i="10" s="1"/>
  <c r="H342" i="10"/>
  <c r="A342" i="10" s="1"/>
  <c r="H341" i="10"/>
  <c r="A341" i="10" s="1"/>
  <c r="H340" i="10"/>
  <c r="A340" i="10" s="1"/>
  <c r="H339" i="10"/>
  <c r="A339" i="10" s="1"/>
  <c r="H338" i="10"/>
  <c r="A338" i="10" s="1"/>
  <c r="H337" i="10"/>
  <c r="A337" i="10" s="1"/>
  <c r="H336" i="10"/>
  <c r="A336" i="10" s="1"/>
  <c r="H335" i="10"/>
  <c r="A335" i="10" s="1"/>
  <c r="H334" i="10"/>
  <c r="A334" i="10" s="1"/>
  <c r="H333" i="10"/>
  <c r="A333" i="10" s="1"/>
  <c r="H332" i="10"/>
  <c r="A332" i="10" s="1"/>
  <c r="H331" i="10"/>
  <c r="A331" i="10" s="1"/>
  <c r="H330" i="10"/>
  <c r="A330" i="10"/>
  <c r="H329" i="10"/>
  <c r="A329" i="10" s="1"/>
  <c r="H328" i="10"/>
  <c r="A328" i="10" s="1"/>
  <c r="H327" i="10"/>
  <c r="A327" i="10" s="1"/>
  <c r="H326" i="10"/>
  <c r="A326" i="10" s="1"/>
  <c r="H325" i="10"/>
  <c r="A325" i="10" s="1"/>
  <c r="H324" i="10"/>
  <c r="A324" i="10" s="1"/>
  <c r="H323" i="10"/>
  <c r="A323" i="10" s="1"/>
  <c r="H322" i="10"/>
  <c r="A322" i="10" s="1"/>
  <c r="H321" i="10"/>
  <c r="A321" i="10" s="1"/>
  <c r="H320" i="10"/>
  <c r="A320" i="10" s="1"/>
  <c r="H319" i="10"/>
  <c r="A319" i="10" s="1"/>
  <c r="H318" i="10"/>
  <c r="A318" i="10" s="1"/>
  <c r="H317" i="10"/>
  <c r="A317" i="10" s="1"/>
  <c r="H316" i="10"/>
  <c r="A316" i="10" s="1"/>
  <c r="H315" i="10"/>
  <c r="A315" i="10" s="1"/>
  <c r="H314" i="10"/>
  <c r="A314" i="10" s="1"/>
  <c r="H313" i="10"/>
  <c r="A313" i="10" s="1"/>
  <c r="H312" i="10"/>
  <c r="A312" i="10" s="1"/>
  <c r="H311" i="10"/>
  <c r="A311" i="10" s="1"/>
  <c r="H310" i="10"/>
  <c r="A310" i="10" s="1"/>
  <c r="H309" i="10"/>
  <c r="A309" i="10" s="1"/>
  <c r="H308" i="10"/>
  <c r="A308" i="10" s="1"/>
  <c r="H307" i="10"/>
  <c r="A307" i="10" s="1"/>
  <c r="H306" i="10"/>
  <c r="A306" i="10" s="1"/>
  <c r="H305" i="10"/>
  <c r="A305" i="10" s="1"/>
  <c r="H304" i="10"/>
  <c r="A304" i="10" s="1"/>
  <c r="H303" i="10"/>
  <c r="A303" i="10" s="1"/>
  <c r="H302" i="10"/>
  <c r="A302" i="10" s="1"/>
  <c r="H301" i="10"/>
  <c r="A301" i="10" s="1"/>
  <c r="H300" i="10"/>
  <c r="A300" i="10" s="1"/>
  <c r="H299" i="10"/>
  <c r="A299" i="10" s="1"/>
  <c r="H298" i="10"/>
  <c r="A298" i="10" s="1"/>
  <c r="H297" i="10"/>
  <c r="A297" i="10" s="1"/>
  <c r="H296" i="10"/>
  <c r="A296" i="10" s="1"/>
  <c r="H295" i="10"/>
  <c r="A295" i="10" s="1"/>
  <c r="H294" i="10"/>
  <c r="A294" i="10" s="1"/>
  <c r="H293" i="10"/>
  <c r="A293" i="10" s="1"/>
  <c r="H292" i="10"/>
  <c r="A292" i="10" s="1"/>
  <c r="H291" i="10"/>
  <c r="A291" i="10" s="1"/>
  <c r="H290" i="10"/>
  <c r="A290" i="10" s="1"/>
  <c r="H289" i="10"/>
  <c r="A289" i="10" s="1"/>
  <c r="H288" i="10"/>
  <c r="A288" i="10" s="1"/>
  <c r="H287" i="10"/>
  <c r="A287" i="10" s="1"/>
  <c r="H286" i="10"/>
  <c r="A286" i="10" s="1"/>
  <c r="H285" i="10"/>
  <c r="A285" i="10" s="1"/>
  <c r="H284" i="10"/>
  <c r="A284" i="10" s="1"/>
  <c r="H283" i="10"/>
  <c r="A283" i="10" s="1"/>
  <c r="H282" i="10"/>
  <c r="A282" i="10" s="1"/>
  <c r="H281" i="10"/>
  <c r="A281" i="10" s="1"/>
  <c r="H280" i="10"/>
  <c r="A280" i="10" s="1"/>
  <c r="H279" i="10"/>
  <c r="A279" i="10" s="1"/>
  <c r="H278" i="10"/>
  <c r="A278" i="10" s="1"/>
  <c r="H277" i="10"/>
  <c r="A277" i="10" s="1"/>
  <c r="H276" i="10"/>
  <c r="A276" i="10" s="1"/>
  <c r="H275" i="10"/>
  <c r="A275" i="10" s="1"/>
  <c r="H274" i="10"/>
  <c r="A274" i="10" s="1"/>
  <c r="H273" i="10"/>
  <c r="A273" i="10" s="1"/>
  <c r="H272" i="10"/>
  <c r="A272" i="10" s="1"/>
  <c r="H271" i="10"/>
  <c r="A271" i="10" s="1"/>
  <c r="H270" i="10"/>
  <c r="A270" i="10" s="1"/>
  <c r="H269" i="10"/>
  <c r="A269" i="10" s="1"/>
  <c r="H268" i="10"/>
  <c r="A268" i="10" s="1"/>
  <c r="H267" i="10"/>
  <c r="A267" i="10" s="1"/>
  <c r="H266" i="10"/>
  <c r="A266" i="10" s="1"/>
  <c r="H265" i="10"/>
  <c r="A265" i="10" s="1"/>
  <c r="H264" i="10"/>
  <c r="A264" i="10" s="1"/>
  <c r="H263" i="10"/>
  <c r="A263" i="10" s="1"/>
  <c r="H262" i="10"/>
  <c r="A262" i="10" s="1"/>
  <c r="H261" i="10"/>
  <c r="A261" i="10" s="1"/>
  <c r="H260" i="10"/>
  <c r="A260" i="10" s="1"/>
  <c r="H259" i="10"/>
  <c r="A259" i="10" s="1"/>
  <c r="H258" i="10"/>
  <c r="A258" i="10" s="1"/>
  <c r="H257" i="10"/>
  <c r="A257" i="10" s="1"/>
  <c r="H256" i="10"/>
  <c r="A256" i="10" s="1"/>
  <c r="H255" i="10"/>
  <c r="A255" i="10" s="1"/>
  <c r="H254" i="10"/>
  <c r="A254" i="10" s="1"/>
  <c r="H253" i="10"/>
  <c r="A253" i="10" s="1"/>
  <c r="H252" i="10"/>
  <c r="A252" i="10" s="1"/>
  <c r="H251" i="10"/>
  <c r="A251" i="10" s="1"/>
  <c r="H250" i="10"/>
  <c r="A250" i="10" s="1"/>
  <c r="H249" i="10"/>
  <c r="A249" i="10" s="1"/>
  <c r="H248" i="10"/>
  <c r="A248" i="10" s="1"/>
  <c r="H247" i="10"/>
  <c r="A247" i="10" s="1"/>
  <c r="H246" i="10"/>
  <c r="A246" i="10" s="1"/>
  <c r="H245" i="10"/>
  <c r="A245" i="10" s="1"/>
  <c r="H244" i="10"/>
  <c r="A244" i="10" s="1"/>
  <c r="H243" i="10"/>
  <c r="A243" i="10" s="1"/>
  <c r="H242" i="10"/>
  <c r="A242" i="10" s="1"/>
  <c r="H241" i="10"/>
  <c r="A241" i="10" s="1"/>
  <c r="H240" i="10"/>
  <c r="A240" i="10" s="1"/>
  <c r="H239" i="10"/>
  <c r="A239" i="10" s="1"/>
  <c r="H238" i="10"/>
  <c r="A238" i="10" s="1"/>
  <c r="H237" i="10"/>
  <c r="A237" i="10" s="1"/>
  <c r="H236" i="10"/>
  <c r="A236" i="10" s="1"/>
  <c r="H235" i="10"/>
  <c r="A235" i="10" s="1"/>
  <c r="H234" i="10"/>
  <c r="A234" i="10" s="1"/>
  <c r="H233" i="10"/>
  <c r="A233" i="10" s="1"/>
  <c r="H232" i="10"/>
  <c r="A232" i="10" s="1"/>
  <c r="H231" i="10"/>
  <c r="A231" i="10" s="1"/>
  <c r="H230" i="10"/>
  <c r="A230" i="10" s="1"/>
  <c r="H229" i="10"/>
  <c r="A229" i="10" s="1"/>
  <c r="H228" i="10"/>
  <c r="A228" i="10" s="1"/>
  <c r="H227" i="10"/>
  <c r="A227" i="10" s="1"/>
  <c r="H226" i="10"/>
  <c r="A226" i="10" s="1"/>
  <c r="H225" i="10"/>
  <c r="A225" i="10" s="1"/>
  <c r="H224" i="10"/>
  <c r="A224" i="10" s="1"/>
  <c r="H223" i="10"/>
  <c r="A223" i="10" s="1"/>
  <c r="H222" i="10"/>
  <c r="A222" i="10" s="1"/>
  <c r="H221" i="10"/>
  <c r="A221" i="10" s="1"/>
  <c r="H220" i="10"/>
  <c r="A220" i="10" s="1"/>
  <c r="H219" i="10"/>
  <c r="A219" i="10" s="1"/>
  <c r="H218" i="10"/>
  <c r="A218" i="10" s="1"/>
  <c r="H217" i="10"/>
  <c r="A217" i="10" s="1"/>
  <c r="H216" i="10"/>
  <c r="A216" i="10" s="1"/>
  <c r="H215" i="10"/>
  <c r="A215" i="10"/>
  <c r="H214" i="10"/>
  <c r="A214" i="10" s="1"/>
  <c r="H213" i="10"/>
  <c r="A213" i="10" s="1"/>
  <c r="H212" i="10"/>
  <c r="A212" i="10" s="1"/>
  <c r="H211" i="10"/>
  <c r="A211" i="10" s="1"/>
  <c r="H210" i="10"/>
  <c r="A210" i="10" s="1"/>
  <c r="H209" i="10"/>
  <c r="A209" i="10" s="1"/>
  <c r="H208" i="10"/>
  <c r="A208" i="10" s="1"/>
  <c r="H207" i="10"/>
  <c r="A207" i="10" s="1"/>
  <c r="H206" i="10"/>
  <c r="A206" i="10" s="1"/>
  <c r="H205" i="10"/>
  <c r="A205" i="10" s="1"/>
  <c r="H204" i="10"/>
  <c r="A204" i="10" s="1"/>
  <c r="H203" i="10"/>
  <c r="A203" i="10" s="1"/>
  <c r="H202" i="10"/>
  <c r="A202" i="10" s="1"/>
  <c r="H201" i="10"/>
  <c r="A201" i="10" s="1"/>
  <c r="H200" i="10"/>
  <c r="A200" i="10" s="1"/>
  <c r="H199" i="10"/>
  <c r="A199" i="10"/>
  <c r="H198" i="10"/>
  <c r="A198" i="10" s="1"/>
  <c r="H197" i="10"/>
  <c r="A197" i="10" s="1"/>
  <c r="H196" i="10"/>
  <c r="A196" i="10" s="1"/>
  <c r="H195" i="10"/>
  <c r="A195" i="10" s="1"/>
  <c r="H194" i="10"/>
  <c r="A194" i="10" s="1"/>
  <c r="H193" i="10"/>
  <c r="A193" i="10" s="1"/>
  <c r="H192" i="10"/>
  <c r="A192" i="10" s="1"/>
  <c r="H191" i="10"/>
  <c r="A191" i="10" s="1"/>
  <c r="H190" i="10"/>
  <c r="A190" i="10" s="1"/>
  <c r="H189" i="10"/>
  <c r="A189" i="10" s="1"/>
  <c r="H188" i="10"/>
  <c r="A188" i="10" s="1"/>
  <c r="H187" i="10"/>
  <c r="A187" i="10"/>
  <c r="H186" i="10"/>
  <c r="A186" i="10" s="1"/>
  <c r="H185" i="10"/>
  <c r="A185" i="10" s="1"/>
  <c r="H184" i="10"/>
  <c r="A184" i="10" s="1"/>
  <c r="H183" i="10"/>
  <c r="A183" i="10" s="1"/>
  <c r="H182" i="10"/>
  <c r="A182" i="10" s="1"/>
  <c r="H181" i="10"/>
  <c r="A181" i="10" s="1"/>
  <c r="H180" i="10"/>
  <c r="A180" i="10" s="1"/>
  <c r="H179" i="10"/>
  <c r="A179" i="10" s="1"/>
  <c r="H178" i="10"/>
  <c r="A178" i="10" s="1"/>
  <c r="H177" i="10"/>
  <c r="A177" i="10" s="1"/>
  <c r="H176" i="10"/>
  <c r="A176" i="10" s="1"/>
  <c r="H175" i="10"/>
  <c r="A175" i="10" s="1"/>
  <c r="H174" i="10"/>
  <c r="A174" i="10" s="1"/>
  <c r="H173" i="10"/>
  <c r="A173" i="10" s="1"/>
  <c r="H172" i="10"/>
  <c r="A172" i="10" s="1"/>
  <c r="H171" i="10"/>
  <c r="A171" i="10" s="1"/>
  <c r="H170" i="10"/>
  <c r="A170" i="10" s="1"/>
  <c r="H169" i="10"/>
  <c r="A169" i="10" s="1"/>
  <c r="H168" i="10"/>
  <c r="A168" i="10" s="1"/>
  <c r="H167" i="10"/>
  <c r="A167" i="10" s="1"/>
  <c r="H166" i="10"/>
  <c r="A166" i="10"/>
  <c r="H165" i="10"/>
  <c r="A165" i="10" s="1"/>
  <c r="H164" i="10"/>
  <c r="A164" i="10" s="1"/>
  <c r="H163" i="10"/>
  <c r="A163" i="10" s="1"/>
  <c r="H162" i="10"/>
  <c r="A162" i="10" s="1"/>
  <c r="H161" i="10"/>
  <c r="A161" i="10" s="1"/>
  <c r="H160" i="10"/>
  <c r="A160" i="10" s="1"/>
  <c r="H159" i="10"/>
  <c r="A159" i="10" s="1"/>
  <c r="H158" i="10"/>
  <c r="A158" i="10" s="1"/>
  <c r="H157" i="10"/>
  <c r="A157" i="10" s="1"/>
  <c r="H156" i="10"/>
  <c r="A156" i="10" s="1"/>
  <c r="H155" i="10"/>
  <c r="A155" i="10" s="1"/>
  <c r="H154" i="10"/>
  <c r="A154" i="10" s="1"/>
  <c r="H153" i="10"/>
  <c r="A153" i="10" s="1"/>
  <c r="H152" i="10"/>
  <c r="A152" i="10" s="1"/>
  <c r="H151" i="10"/>
  <c r="A151" i="10" s="1"/>
  <c r="H150" i="10"/>
  <c r="A150" i="10" s="1"/>
  <c r="H149" i="10"/>
  <c r="A149" i="10" s="1"/>
  <c r="H148" i="10"/>
  <c r="A148" i="10" s="1"/>
  <c r="H147" i="10"/>
  <c r="A147" i="10" s="1"/>
  <c r="H146" i="10"/>
  <c r="A146" i="10" s="1"/>
  <c r="H145" i="10"/>
  <c r="A145" i="10" s="1"/>
  <c r="H144" i="10"/>
  <c r="A144" i="10" s="1"/>
  <c r="H143" i="10"/>
  <c r="A143" i="10" s="1"/>
  <c r="H142" i="10"/>
  <c r="A142" i="10" s="1"/>
  <c r="H141" i="10"/>
  <c r="A141" i="10" s="1"/>
  <c r="H140" i="10"/>
  <c r="A140" i="10" s="1"/>
  <c r="H139" i="10"/>
  <c r="A139" i="10" s="1"/>
  <c r="H138" i="10"/>
  <c r="A138" i="10" s="1"/>
  <c r="H137" i="10"/>
  <c r="A137" i="10" s="1"/>
  <c r="H136" i="10"/>
  <c r="A136" i="10" s="1"/>
  <c r="H135" i="10"/>
  <c r="A135" i="10" s="1"/>
  <c r="H134" i="10"/>
  <c r="A134" i="10" s="1"/>
  <c r="H133" i="10"/>
  <c r="A133" i="10" s="1"/>
  <c r="H132" i="10"/>
  <c r="A132" i="10" s="1"/>
  <c r="H131" i="10"/>
  <c r="A131" i="10" s="1"/>
  <c r="H130" i="10"/>
  <c r="A130" i="10" s="1"/>
  <c r="H129" i="10"/>
  <c r="A129" i="10" s="1"/>
  <c r="H128" i="10"/>
  <c r="A128" i="10" s="1"/>
  <c r="H127" i="10"/>
  <c r="A127" i="10"/>
  <c r="H126" i="10"/>
  <c r="A126" i="10" s="1"/>
  <c r="H125" i="10"/>
  <c r="A125" i="10" s="1"/>
  <c r="H124" i="10"/>
  <c r="A124" i="10" s="1"/>
  <c r="H123" i="10"/>
  <c r="A123" i="10" s="1"/>
  <c r="H122" i="10"/>
  <c r="A122" i="10" s="1"/>
  <c r="H121" i="10"/>
  <c r="A121" i="10" s="1"/>
  <c r="H120" i="10"/>
  <c r="A120" i="10" s="1"/>
  <c r="H119" i="10"/>
  <c r="A119" i="10" s="1"/>
  <c r="H118" i="10"/>
  <c r="A118" i="10" s="1"/>
  <c r="H117" i="10"/>
  <c r="A117" i="10" s="1"/>
  <c r="H116" i="10"/>
  <c r="A116" i="10" s="1"/>
  <c r="H115" i="10"/>
  <c r="A115" i="10"/>
  <c r="H114" i="10"/>
  <c r="A114" i="10" s="1"/>
  <c r="H113" i="10"/>
  <c r="A113" i="10" s="1"/>
  <c r="H112" i="10"/>
  <c r="A112" i="10" s="1"/>
  <c r="H111" i="10"/>
  <c r="A111" i="10" s="1"/>
  <c r="H110" i="10"/>
  <c r="A110" i="10" s="1"/>
  <c r="H109" i="10"/>
  <c r="A109" i="10" s="1"/>
  <c r="H108" i="10"/>
  <c r="A108" i="10" s="1"/>
  <c r="H107" i="10"/>
  <c r="A107" i="10" s="1"/>
  <c r="H106" i="10"/>
  <c r="A106" i="10" s="1"/>
  <c r="H105" i="10"/>
  <c r="A105" i="10" s="1"/>
  <c r="H104" i="10"/>
  <c r="A104" i="10" s="1"/>
  <c r="H103" i="10"/>
  <c r="A103" i="10" s="1"/>
  <c r="H102" i="10"/>
  <c r="A102" i="10" s="1"/>
  <c r="H101" i="10"/>
  <c r="A101" i="10" s="1"/>
  <c r="H100" i="10"/>
  <c r="A100" i="10" s="1"/>
  <c r="H99" i="10"/>
  <c r="A99" i="10" s="1"/>
  <c r="H98" i="10"/>
  <c r="A98" i="10" s="1"/>
  <c r="H97" i="10"/>
  <c r="A97" i="10" s="1"/>
  <c r="H96" i="10"/>
  <c r="A96" i="10" s="1"/>
  <c r="H95" i="10"/>
  <c r="A95" i="10" s="1"/>
  <c r="H94" i="10"/>
  <c r="A94" i="10" s="1"/>
  <c r="H93" i="10"/>
  <c r="A93" i="10" s="1"/>
  <c r="H92" i="10"/>
  <c r="A92" i="10" s="1"/>
  <c r="H91" i="10"/>
  <c r="A91" i="10" s="1"/>
  <c r="H90" i="10"/>
  <c r="A90" i="10" s="1"/>
  <c r="H89" i="10"/>
  <c r="A89" i="10" s="1"/>
  <c r="H88" i="10"/>
  <c r="A88" i="10" s="1"/>
  <c r="H87" i="10"/>
  <c r="A87" i="10" s="1"/>
  <c r="H86" i="10"/>
  <c r="A86" i="10" s="1"/>
  <c r="H85" i="10"/>
  <c r="A85" i="10"/>
  <c r="H84" i="10"/>
  <c r="A84" i="10" s="1"/>
  <c r="H83" i="10"/>
  <c r="A83" i="10" s="1"/>
  <c r="H82" i="10"/>
  <c r="A82" i="10" s="1"/>
  <c r="H81" i="10"/>
  <c r="A81" i="10" s="1"/>
  <c r="H80" i="10"/>
  <c r="A80" i="10" s="1"/>
  <c r="H79" i="10"/>
  <c r="A79" i="10" s="1"/>
  <c r="H78" i="10"/>
  <c r="A78" i="10" s="1"/>
  <c r="H77" i="10"/>
  <c r="A77" i="10" s="1"/>
  <c r="H76" i="10"/>
  <c r="A76" i="10" s="1"/>
  <c r="H75" i="10"/>
  <c r="A75" i="10" s="1"/>
  <c r="H74" i="10"/>
  <c r="A74" i="10" s="1"/>
  <c r="H73" i="10"/>
  <c r="A73" i="10" s="1"/>
  <c r="H72" i="10"/>
  <c r="A72" i="10" s="1"/>
  <c r="H71" i="10"/>
  <c r="A71" i="10" s="1"/>
  <c r="H70" i="10"/>
  <c r="A70" i="10"/>
  <c r="H69" i="10"/>
  <c r="A69" i="10" s="1"/>
  <c r="H68" i="10"/>
  <c r="A68" i="10" s="1"/>
  <c r="H67" i="10"/>
  <c r="A67" i="10" s="1"/>
  <c r="H66" i="10"/>
  <c r="A66" i="10" s="1"/>
  <c r="H65" i="10"/>
  <c r="A65" i="10" s="1"/>
  <c r="H64" i="10"/>
  <c r="A64" i="10" s="1"/>
  <c r="H63" i="10"/>
  <c r="H62" i="10"/>
  <c r="H61" i="10"/>
  <c r="A61" i="10" s="1"/>
  <c r="H60" i="10"/>
  <c r="A60" i="10"/>
  <c r="H59" i="10"/>
  <c r="A59" i="10" s="1"/>
  <c r="H58" i="10"/>
  <c r="A58" i="10" s="1"/>
  <c r="H57" i="10"/>
  <c r="A57" i="10" s="1"/>
  <c r="H56" i="10"/>
  <c r="A56" i="10" s="1"/>
  <c r="H55" i="10"/>
  <c r="H54" i="10"/>
  <c r="H53" i="10"/>
  <c r="A53" i="10" s="1"/>
  <c r="H52" i="10"/>
  <c r="A52" i="10" s="1"/>
  <c r="H51" i="10"/>
  <c r="H50" i="10"/>
  <c r="A50" i="10" s="1"/>
  <c r="H49" i="10"/>
  <c r="A49" i="10" s="1"/>
  <c r="H48" i="10"/>
  <c r="A48" i="10" s="1"/>
  <c r="H47" i="10"/>
  <c r="A47" i="10" s="1"/>
  <c r="H46" i="10"/>
  <c r="A46" i="10" s="1"/>
  <c r="H45" i="10"/>
  <c r="A45" i="10" s="1"/>
  <c r="H44" i="10"/>
  <c r="A44" i="10" s="1"/>
  <c r="H43" i="10"/>
  <c r="A43" i="10" s="1"/>
  <c r="H42" i="10"/>
  <c r="A42" i="10" s="1"/>
  <c r="H41" i="10"/>
  <c r="A41" i="10" s="1"/>
  <c r="H40" i="10"/>
  <c r="A40" i="10" s="1"/>
  <c r="H39" i="10"/>
  <c r="A39" i="10" s="1"/>
  <c r="H38" i="10"/>
  <c r="A38" i="10" s="1"/>
  <c r="H37" i="10"/>
  <c r="A37" i="10" s="1"/>
  <c r="H36" i="10"/>
  <c r="A36" i="10" s="1"/>
  <c r="H35" i="10"/>
  <c r="A35" i="10" s="1"/>
  <c r="H34" i="10"/>
  <c r="A34" i="10" s="1"/>
  <c r="H33" i="10"/>
  <c r="A33" i="10" s="1"/>
  <c r="H32" i="10"/>
  <c r="H31" i="10"/>
  <c r="H30" i="10"/>
  <c r="A30" i="10" s="1"/>
  <c r="H29" i="10"/>
  <c r="A29" i="10" s="1"/>
  <c r="H28" i="10"/>
  <c r="A28" i="10" s="1"/>
  <c r="H27" i="10"/>
  <c r="A27" i="10" s="1"/>
  <c r="H26" i="10"/>
  <c r="A26" i="10" s="1"/>
  <c r="H25" i="10"/>
  <c r="H24" i="10"/>
  <c r="H23" i="10"/>
  <c r="H22" i="10"/>
  <c r="H21" i="10"/>
  <c r="A21" i="10" s="1"/>
  <c r="H20" i="10"/>
  <c r="A20" i="10" s="1"/>
  <c r="H19" i="10"/>
  <c r="H18" i="10"/>
  <c r="A18" i="10" s="1"/>
  <c r="H17" i="10"/>
  <c r="H16" i="10"/>
  <c r="H15" i="10"/>
  <c r="H14" i="10"/>
  <c r="H13" i="10"/>
  <c r="H12" i="10"/>
  <c r="H11" i="10"/>
  <c r="A11" i="10" s="1"/>
  <c r="S33" i="10" s="1"/>
  <c r="H10" i="10"/>
  <c r="A10" i="10" s="1"/>
  <c r="S32" i="10" s="1"/>
  <c r="H9" i="10"/>
  <c r="A9" i="10" s="1"/>
  <c r="S30" i="10" s="1"/>
  <c r="H8" i="10"/>
  <c r="A8" i="10" s="1"/>
  <c r="S29" i="10" s="1"/>
  <c r="H7" i="10"/>
  <c r="A7" i="10" s="1"/>
  <c r="S11" i="10" s="1"/>
  <c r="H6" i="10"/>
  <c r="A6" i="10" s="1"/>
  <c r="S10" i="10" s="1"/>
  <c r="H5" i="10"/>
  <c r="A5" i="10" s="1"/>
  <c r="S9" i="10" s="1"/>
  <c r="A32" i="10"/>
  <c r="A31" i="10"/>
  <c r="H4" i="10"/>
  <c r="V241" i="1" l="1"/>
  <c r="W240" i="1"/>
  <c r="U240" i="1" s="1"/>
  <c r="Z127" i="1"/>
  <c r="AA126" i="1"/>
  <c r="Y126" i="1" s="1"/>
  <c r="V260" i="1"/>
  <c r="W259" i="1"/>
  <c r="U259" i="1" s="1"/>
  <c r="R13" i="1"/>
  <c r="S12" i="1"/>
  <c r="Q12" i="1" s="1"/>
  <c r="R222" i="1"/>
  <c r="S221" i="1"/>
  <c r="Q221" i="1" s="1"/>
  <c r="Z184" i="1"/>
  <c r="AA183" i="1"/>
  <c r="Y183" i="1" s="1"/>
  <c r="Z203" i="1"/>
  <c r="AA202" i="1"/>
  <c r="Y202" i="1" s="1"/>
  <c r="R298" i="1"/>
  <c r="S297" i="1"/>
  <c r="Q297" i="1" s="1"/>
  <c r="Z374" i="1"/>
  <c r="AA373" i="1"/>
  <c r="Y373" i="1" s="1"/>
  <c r="V52" i="1"/>
  <c r="W51" i="1"/>
  <c r="U51" i="1" s="1"/>
  <c r="Z317" i="1"/>
  <c r="AA316" i="1"/>
  <c r="Y316" i="1" s="1"/>
  <c r="R109" i="1"/>
  <c r="S108" i="1"/>
  <c r="Q108" i="1" s="1"/>
  <c r="Z166" i="1"/>
  <c r="Y165" i="1"/>
  <c r="AA165" i="1"/>
  <c r="R32" i="1"/>
  <c r="S31" i="1"/>
  <c r="Q31" i="1" s="1"/>
  <c r="R70" i="1"/>
  <c r="S69" i="1"/>
  <c r="Q69" i="1" s="1"/>
  <c r="R146" i="1"/>
  <c r="S145" i="1"/>
  <c r="Q145" i="1" s="1"/>
  <c r="V431" i="1"/>
  <c r="W430" i="1"/>
  <c r="U430" i="1" s="1"/>
  <c r="Z146" i="1"/>
  <c r="AA145" i="1"/>
  <c r="Y145" i="1" s="1"/>
  <c r="R431" i="1"/>
  <c r="S430" i="1"/>
  <c r="Q430" i="1" s="1"/>
  <c r="Z241" i="1"/>
  <c r="AA240" i="1"/>
  <c r="Y240" i="1" s="1"/>
  <c r="R469" i="1"/>
  <c r="S468" i="1"/>
  <c r="Q468" i="1" s="1"/>
  <c r="R52" i="1"/>
  <c r="S51" i="1"/>
  <c r="Q51" i="1" s="1"/>
  <c r="V318" i="1"/>
  <c r="W317" i="1"/>
  <c r="U317" i="1" s="1"/>
  <c r="Z13" i="1"/>
  <c r="AA12" i="1"/>
  <c r="Y12" i="1" s="1"/>
  <c r="R412" i="1"/>
  <c r="S411" i="1"/>
  <c r="Q411" i="1" s="1"/>
  <c r="R317" i="1"/>
  <c r="S316" i="1"/>
  <c r="Q316" i="1" s="1"/>
  <c r="V203" i="1"/>
  <c r="W202" i="1"/>
  <c r="U202" i="1" s="1"/>
  <c r="V450" i="1"/>
  <c r="W449" i="1"/>
  <c r="U449" i="1" s="1"/>
  <c r="V184" i="1"/>
  <c r="U183" i="1"/>
  <c r="W183" i="1"/>
  <c r="R337" i="1"/>
  <c r="S336" i="1"/>
  <c r="Q336" i="1" s="1"/>
  <c r="Z298" i="1"/>
  <c r="AA297" i="1"/>
  <c r="Y297" i="1" s="1"/>
  <c r="V90" i="1"/>
  <c r="W89" i="1"/>
  <c r="U89" i="1" s="1"/>
  <c r="Z355" i="1"/>
  <c r="AA354" i="1"/>
  <c r="Y354" i="1" s="1"/>
  <c r="V355" i="1"/>
  <c r="W354" i="1"/>
  <c r="U354" i="1" s="1"/>
  <c r="V375" i="1"/>
  <c r="W374" i="1"/>
  <c r="U374" i="1" s="1"/>
  <c r="V298" i="1"/>
  <c r="W297" i="1"/>
  <c r="U297" i="1" s="1"/>
  <c r="R165" i="1"/>
  <c r="Q164" i="1"/>
  <c r="S164" i="1"/>
  <c r="R356" i="1"/>
  <c r="S355" i="1"/>
  <c r="Q355" i="1" s="1"/>
  <c r="Z70" i="1"/>
  <c r="AA69" i="1"/>
  <c r="Y69" i="1" s="1"/>
  <c r="R260" i="1"/>
  <c r="S259" i="1"/>
  <c r="Q259" i="1" s="1"/>
  <c r="V469" i="1"/>
  <c r="W468" i="1"/>
  <c r="U468" i="1" s="1"/>
  <c r="V147" i="1"/>
  <c r="W146" i="1"/>
  <c r="U146" i="1" s="1"/>
  <c r="V336" i="1"/>
  <c r="W335" i="1"/>
  <c r="U335" i="1" s="1"/>
  <c r="V32" i="1"/>
  <c r="W31" i="1"/>
  <c r="U31" i="1" s="1"/>
  <c r="V13" i="1"/>
  <c r="W12" i="1"/>
  <c r="U12" i="1" s="1"/>
  <c r="R127" i="1"/>
  <c r="S126" i="1"/>
  <c r="Q126" i="1" s="1"/>
  <c r="R203" i="1"/>
  <c r="S202" i="1"/>
  <c r="Q202" i="1" s="1"/>
  <c r="V70" i="1"/>
  <c r="W69" i="1"/>
  <c r="U69" i="1" s="1"/>
  <c r="V412" i="1"/>
  <c r="W411" i="1"/>
  <c r="U411" i="1" s="1"/>
  <c r="V279" i="1"/>
  <c r="W278" i="1"/>
  <c r="U278" i="1" s="1"/>
  <c r="Z336" i="1"/>
  <c r="AA335" i="1"/>
  <c r="Y335" i="1" s="1"/>
  <c r="R375" i="1"/>
  <c r="S374" i="1"/>
  <c r="Q374" i="1" s="1"/>
  <c r="V108" i="1"/>
  <c r="U107" i="1"/>
  <c r="W107" i="1"/>
  <c r="Z222" i="1"/>
  <c r="AA221" i="1"/>
  <c r="Y221" i="1" s="1"/>
  <c r="R450" i="1"/>
  <c r="S449" i="1"/>
  <c r="Q449" i="1" s="1"/>
  <c r="V127" i="1"/>
  <c r="W126" i="1"/>
  <c r="U126" i="1" s="1"/>
  <c r="Z89" i="1"/>
  <c r="AA88" i="1"/>
  <c r="Y88" i="1" s="1"/>
  <c r="V393" i="1"/>
  <c r="W392" i="1"/>
  <c r="U392" i="1" s="1"/>
  <c r="Z51" i="1"/>
  <c r="AA50" i="1"/>
  <c r="Y50" i="1" s="1"/>
  <c r="Z260" i="1"/>
  <c r="AA259" i="1"/>
  <c r="Y259" i="1" s="1"/>
  <c r="R394" i="1"/>
  <c r="S393" i="1"/>
  <c r="Q393" i="1" s="1"/>
  <c r="Z450" i="1"/>
  <c r="AA449" i="1"/>
  <c r="Y449" i="1" s="1"/>
  <c r="R241" i="1"/>
  <c r="S240" i="1"/>
  <c r="Q240" i="1" s="1"/>
  <c r="R279" i="1"/>
  <c r="S278" i="1"/>
  <c r="Q278" i="1" s="1"/>
  <c r="R184" i="1"/>
  <c r="S183" i="1"/>
  <c r="Q183" i="1" s="1"/>
  <c r="Z469" i="1"/>
  <c r="AA468" i="1"/>
  <c r="Y468" i="1" s="1"/>
  <c r="V222" i="1"/>
  <c r="W221" i="1"/>
  <c r="U221" i="1" s="1"/>
  <c r="R89" i="1"/>
  <c r="S88" i="1"/>
  <c r="Q88" i="1" s="1"/>
  <c r="Z412" i="1"/>
  <c r="AA411" i="1"/>
  <c r="Y411" i="1" s="1"/>
  <c r="Z393" i="1"/>
  <c r="AA392" i="1"/>
  <c r="Y392" i="1" s="1"/>
  <c r="Z108" i="1"/>
  <c r="AA107" i="1"/>
  <c r="Y107" i="1" s="1"/>
  <c r="V166" i="1"/>
  <c r="W165" i="1"/>
  <c r="U165" i="1" s="1"/>
  <c r="Z32" i="1"/>
  <c r="Y31" i="1"/>
  <c r="AA31" i="1"/>
  <c r="Z280" i="1"/>
  <c r="AA279" i="1"/>
  <c r="Y279" i="1" s="1"/>
  <c r="Z431" i="1"/>
  <c r="AA430" i="1"/>
  <c r="Y430" i="1" s="1"/>
  <c r="S640" i="1"/>
  <c r="Q640" i="1"/>
  <c r="R641" i="1"/>
  <c r="W640" i="1"/>
  <c r="U640" i="1"/>
  <c r="V641" i="1"/>
  <c r="AA641" i="1"/>
  <c r="Y641" i="1" s="1"/>
  <c r="Z642" i="1"/>
  <c r="S621" i="1"/>
  <c r="Q621" i="1" s="1"/>
  <c r="R622" i="1"/>
  <c r="AA622" i="1"/>
  <c r="Y622" i="1" s="1"/>
  <c r="Z623" i="1"/>
  <c r="W621" i="1"/>
  <c r="U621" i="1"/>
  <c r="V622" i="1"/>
  <c r="W602" i="1"/>
  <c r="U602" i="1" s="1"/>
  <c r="V603" i="1"/>
  <c r="AA603" i="1"/>
  <c r="Y603" i="1" s="1"/>
  <c r="Z604" i="1"/>
  <c r="S602" i="1"/>
  <c r="Q602" i="1"/>
  <c r="R603" i="1"/>
  <c r="Z583" i="1"/>
  <c r="AA582" i="1"/>
  <c r="Y582" i="1" s="1"/>
  <c r="V583" i="1"/>
  <c r="W582" i="1"/>
  <c r="U582" i="1" s="1"/>
  <c r="R583" i="1"/>
  <c r="S582" i="1"/>
  <c r="Q582" i="1" s="1"/>
  <c r="Z564" i="1"/>
  <c r="AA563" i="1"/>
  <c r="Y563" i="1" s="1"/>
  <c r="V564" i="1"/>
  <c r="W563" i="1"/>
  <c r="U563" i="1" s="1"/>
  <c r="S563" i="1"/>
  <c r="Q563" i="1" s="1"/>
  <c r="R564" i="1"/>
  <c r="Z545" i="1"/>
  <c r="AA544" i="1"/>
  <c r="Y544" i="1" s="1"/>
  <c r="W544" i="1"/>
  <c r="U544" i="1" s="1"/>
  <c r="V545" i="1"/>
  <c r="R545" i="1"/>
  <c r="S544" i="1"/>
  <c r="Q544" i="1" s="1"/>
  <c r="AA525" i="1"/>
  <c r="Y525" i="1"/>
  <c r="Z526" i="1"/>
  <c r="V526" i="1"/>
  <c r="W525" i="1"/>
  <c r="U525" i="1" s="1"/>
  <c r="S525" i="1"/>
  <c r="Q525" i="1" s="1"/>
  <c r="R526" i="1"/>
  <c r="AA506" i="1"/>
  <c r="Y506" i="1" s="1"/>
  <c r="Z507" i="1"/>
  <c r="V507" i="1"/>
  <c r="W506" i="1"/>
  <c r="U506" i="1" s="1"/>
  <c r="S506" i="1"/>
  <c r="Q506" i="1" s="1"/>
  <c r="R507" i="1"/>
  <c r="AA487" i="1"/>
  <c r="Y487" i="1" s="1"/>
  <c r="Z488" i="1"/>
  <c r="W487" i="1"/>
  <c r="U487" i="1" s="1"/>
  <c r="V488" i="1"/>
  <c r="S487" i="1"/>
  <c r="Q487" i="1" s="1"/>
  <c r="R488" i="1"/>
  <c r="A1352" i="10"/>
  <c r="A1447" i="10"/>
  <c r="A1477" i="10"/>
  <c r="A1375" i="10"/>
  <c r="A1496" i="10"/>
  <c r="A1350" i="10"/>
  <c r="A1386" i="10"/>
  <c r="A1422" i="10"/>
  <c r="A1494" i="10"/>
  <c r="A1275" i="10"/>
  <c r="A1311" i="10"/>
  <c r="A1347" i="10"/>
  <c r="A1383" i="10"/>
  <c r="A1419" i="10"/>
  <c r="A1455" i="10"/>
  <c r="A1491" i="10"/>
  <c r="A1278" i="10"/>
  <c r="A1314" i="10"/>
  <c r="A1458" i="10"/>
  <c r="A1272" i="10"/>
  <c r="A1308" i="10"/>
  <c r="A1344" i="10"/>
  <c r="A1380" i="10"/>
  <c r="A1416" i="10"/>
  <c r="A1452" i="10"/>
  <c r="A1488" i="10"/>
  <c r="A1263" i="10"/>
  <c r="A1299" i="10"/>
  <c r="A1335" i="10"/>
  <c r="A1371" i="10"/>
  <c r="A1407" i="10"/>
  <c r="A1443" i="10"/>
  <c r="A1479" i="10"/>
  <c r="A1266" i="10"/>
  <c r="A1302" i="10"/>
  <c r="A1254" i="10"/>
  <c r="A1290" i="10"/>
  <c r="A1326" i="10"/>
  <c r="A1362" i="10"/>
  <c r="A1398" i="10"/>
  <c r="A1434" i="10"/>
  <c r="A1470" i="10"/>
  <c r="A1338" i="10"/>
  <c r="A1374" i="10"/>
  <c r="A1410" i="10"/>
  <c r="A1446" i="10"/>
  <c r="A1482" i="10"/>
  <c r="A1284" i="10"/>
  <c r="A1320" i="10"/>
  <c r="A1356" i="10"/>
  <c r="A1392" i="10"/>
  <c r="A1428" i="10"/>
  <c r="A1464" i="10"/>
  <c r="A1003" i="10"/>
  <c r="A1066" i="10"/>
  <c r="A1177" i="10"/>
  <c r="A1016" i="10"/>
  <c r="A1087" i="10"/>
  <c r="A1195" i="10"/>
  <c r="A1043" i="10"/>
  <c r="A980" i="10"/>
  <c r="A966" i="10"/>
  <c r="A1002" i="10"/>
  <c r="A1038" i="10"/>
  <c r="A1085" i="10"/>
  <c r="A1103" i="10"/>
  <c r="A1121" i="10"/>
  <c r="A1139" i="10"/>
  <c r="A1157" i="10"/>
  <c r="A1175" i="10"/>
  <c r="A1193" i="10"/>
  <c r="A960" i="10"/>
  <c r="A996" i="10"/>
  <c r="A1032" i="10"/>
  <c r="A1068" i="10"/>
  <c r="A1082" i="10"/>
  <c r="A1100" i="10"/>
  <c r="A1118" i="10"/>
  <c r="A1136" i="10"/>
  <c r="A1154" i="10"/>
  <c r="A1172" i="10"/>
  <c r="A1190" i="10"/>
  <c r="A1065" i="10"/>
  <c r="A1086" i="10"/>
  <c r="A1104" i="10"/>
  <c r="A1122" i="10"/>
  <c r="A1140" i="10"/>
  <c r="A1158" i="10"/>
  <c r="A1176" i="10"/>
  <c r="A1194" i="10"/>
  <c r="A954" i="10"/>
  <c r="A990" i="10"/>
  <c r="A1026" i="10"/>
  <c r="A1062" i="10"/>
  <c r="A1079" i="10"/>
  <c r="A1097" i="10"/>
  <c r="A1115" i="10"/>
  <c r="A1133" i="10"/>
  <c r="A1151" i="10"/>
  <c r="A1169" i="10"/>
  <c r="A1187" i="10"/>
  <c r="A951" i="10"/>
  <c r="A987" i="10"/>
  <c r="A1023" i="10"/>
  <c r="A1059" i="10"/>
  <c r="A1083" i="10"/>
  <c r="A1101" i="10"/>
  <c r="A1119" i="10"/>
  <c r="A1137" i="10"/>
  <c r="A1155" i="10"/>
  <c r="A1173" i="10"/>
  <c r="A981" i="10"/>
  <c r="A1017" i="10"/>
  <c r="A1053" i="10"/>
  <c r="A1080" i="10"/>
  <c r="A1098" i="10"/>
  <c r="A1116" i="10"/>
  <c r="A1134" i="10"/>
  <c r="A1152" i="10"/>
  <c r="A1170" i="10"/>
  <c r="A1188" i="10"/>
  <c r="A975" i="10"/>
  <c r="A1011" i="10"/>
  <c r="A1047" i="10"/>
  <c r="A1077" i="10"/>
  <c r="A1095" i="10"/>
  <c r="A1113" i="10"/>
  <c r="A1131" i="10"/>
  <c r="A1149" i="10"/>
  <c r="A1167" i="10"/>
  <c r="A1185" i="10"/>
  <c r="A972" i="10"/>
  <c r="A1008" i="10"/>
  <c r="A1044" i="10"/>
  <c r="A1088" i="10"/>
  <c r="A1106" i="10"/>
  <c r="A1124" i="10"/>
  <c r="A1142" i="10"/>
  <c r="A1160" i="10"/>
  <c r="A1178" i="10"/>
  <c r="A1196" i="10"/>
  <c r="A677" i="10"/>
  <c r="A713" i="10"/>
  <c r="A664" i="10"/>
  <c r="A651" i="10"/>
  <c r="A687" i="10"/>
  <c r="A731" i="10"/>
  <c r="A749" i="10"/>
  <c r="A767" i="10"/>
  <c r="A785" i="10"/>
  <c r="A803" i="10"/>
  <c r="A821" i="10"/>
  <c r="A839" i="10"/>
  <c r="A857" i="10"/>
  <c r="A875" i="10"/>
  <c r="A893" i="10"/>
  <c r="A854" i="10"/>
  <c r="A872" i="10"/>
  <c r="A890" i="10"/>
  <c r="A681" i="10"/>
  <c r="A728" i="10"/>
  <c r="A746" i="10"/>
  <c r="A764" i="10"/>
  <c r="A782" i="10"/>
  <c r="A800" i="10"/>
  <c r="A818" i="10"/>
  <c r="A678" i="10"/>
  <c r="A714" i="10"/>
  <c r="A732" i="10"/>
  <c r="A750" i="10"/>
  <c r="A768" i="10"/>
  <c r="A786" i="10"/>
  <c r="A804" i="10"/>
  <c r="A822" i="10"/>
  <c r="A797" i="10"/>
  <c r="A815" i="10"/>
  <c r="A833" i="10"/>
  <c r="A851" i="10"/>
  <c r="A869" i="10"/>
  <c r="A887" i="10"/>
  <c r="A672" i="10"/>
  <c r="A708" i="10"/>
  <c r="A669" i="10"/>
  <c r="A705" i="10"/>
  <c r="A722" i="10"/>
  <c r="A740" i="10"/>
  <c r="A758" i="10"/>
  <c r="A776" i="10"/>
  <c r="A794" i="10"/>
  <c r="A812" i="10"/>
  <c r="A830" i="10"/>
  <c r="A848" i="10"/>
  <c r="A866" i="10"/>
  <c r="A884" i="10"/>
  <c r="A726" i="10"/>
  <c r="A744" i="10"/>
  <c r="A762" i="10"/>
  <c r="A780" i="10"/>
  <c r="A798" i="10"/>
  <c r="A816" i="10"/>
  <c r="A834" i="10"/>
  <c r="A852" i="10"/>
  <c r="A870" i="10"/>
  <c r="A888" i="10"/>
  <c r="A663" i="10"/>
  <c r="A699" i="10"/>
  <c r="A660" i="10"/>
  <c r="A696" i="10"/>
  <c r="A723" i="10"/>
  <c r="A741" i="10"/>
  <c r="A759" i="10"/>
  <c r="A777" i="10"/>
  <c r="A795" i="10"/>
  <c r="A813" i="10"/>
  <c r="A831" i="10"/>
  <c r="A849" i="10"/>
  <c r="A867" i="10"/>
  <c r="A885" i="10"/>
  <c r="A842" i="10"/>
  <c r="A860" i="10"/>
  <c r="A878" i="10"/>
  <c r="A442" i="10"/>
  <c r="A521" i="10"/>
  <c r="A368" i="10"/>
  <c r="A406" i="10"/>
  <c r="A440" i="10"/>
  <c r="A355" i="10"/>
  <c r="A455" i="10"/>
  <c r="A463" i="10"/>
  <c r="A478" i="10"/>
  <c r="A482" i="10"/>
  <c r="A497" i="10"/>
  <c r="A508" i="10"/>
  <c r="A370" i="10"/>
  <c r="A378" i="10"/>
  <c r="A414" i="10"/>
  <c r="A450" i="10"/>
  <c r="A486" i="10"/>
  <c r="A522" i="10"/>
  <c r="A558" i="10"/>
  <c r="A372" i="10"/>
  <c r="A444" i="10"/>
  <c r="A552" i="10"/>
  <c r="A588" i="10"/>
  <c r="A369" i="10"/>
  <c r="A405" i="10"/>
  <c r="A441" i="10"/>
  <c r="A477" i="10"/>
  <c r="A513" i="10"/>
  <c r="A549" i="10"/>
  <c r="A585" i="10"/>
  <c r="A480" i="10"/>
  <c r="A546" i="10"/>
  <c r="A582" i="10"/>
  <c r="A516" i="10"/>
  <c r="A363" i="10"/>
  <c r="A399" i="10"/>
  <c r="A435" i="10"/>
  <c r="A471" i="10"/>
  <c r="A507" i="10"/>
  <c r="A543" i="10"/>
  <c r="A579" i="10"/>
  <c r="A357" i="10"/>
  <c r="A393" i="10"/>
  <c r="A429" i="10"/>
  <c r="A465" i="10"/>
  <c r="A501" i="10"/>
  <c r="A537" i="10"/>
  <c r="A573" i="10"/>
  <c r="A408" i="10"/>
  <c r="A534" i="10"/>
  <c r="A570" i="10"/>
  <c r="A351" i="10"/>
  <c r="A387" i="10"/>
  <c r="A423" i="10"/>
  <c r="A459" i="10"/>
  <c r="A495" i="10"/>
  <c r="A531" i="10"/>
  <c r="A567" i="10"/>
  <c r="A384" i="10"/>
  <c r="A420" i="10"/>
  <c r="A456" i="10"/>
  <c r="A492" i="10"/>
  <c r="A528" i="10"/>
  <c r="A564" i="10"/>
  <c r="A62" i="10"/>
  <c r="A55" i="10"/>
  <c r="A63" i="10"/>
  <c r="A54" i="10"/>
  <c r="A51" i="10"/>
  <c r="A17" i="10"/>
  <c r="A16" i="10"/>
  <c r="A19" i="10"/>
  <c r="A15" i="10"/>
  <c r="A22" i="10"/>
  <c r="A14" i="10"/>
  <c r="A23" i="10"/>
  <c r="A12" i="10"/>
  <c r="S61" i="10" s="1"/>
  <c r="A24" i="10"/>
  <c r="A13" i="10"/>
  <c r="S72" i="10" s="1"/>
  <c r="A25" i="10"/>
  <c r="R280" i="1" l="1"/>
  <c r="S279" i="1"/>
  <c r="Q279" i="1" s="1"/>
  <c r="V71" i="1"/>
  <c r="W70" i="1"/>
  <c r="U70" i="1" s="1"/>
  <c r="V91" i="1"/>
  <c r="W90" i="1"/>
  <c r="U90" i="1" s="1"/>
  <c r="R14" i="1"/>
  <c r="S13" i="1"/>
  <c r="Q13" i="1" s="1"/>
  <c r="V167" i="1"/>
  <c r="W166" i="1"/>
  <c r="U166" i="1" s="1"/>
  <c r="Z261" i="1"/>
  <c r="AA260" i="1"/>
  <c r="Y260" i="1" s="1"/>
  <c r="R261" i="1"/>
  <c r="S260" i="1"/>
  <c r="Q260" i="1" s="1"/>
  <c r="R110" i="1"/>
  <c r="S109" i="1"/>
  <c r="Q109" i="1" s="1"/>
  <c r="Z432" i="1"/>
  <c r="AA431" i="1"/>
  <c r="Y431" i="1" s="1"/>
  <c r="Z109" i="1"/>
  <c r="AA108" i="1"/>
  <c r="Y108" i="1" s="1"/>
  <c r="V223" i="1"/>
  <c r="W222" i="1"/>
  <c r="U222" i="1" s="1"/>
  <c r="R242" i="1"/>
  <c r="S241" i="1"/>
  <c r="Q241" i="1" s="1"/>
  <c r="Z52" i="1"/>
  <c r="AA51" i="1"/>
  <c r="Y51" i="1" s="1"/>
  <c r="R451" i="1"/>
  <c r="S450" i="1"/>
  <c r="Q450" i="1" s="1"/>
  <c r="Z337" i="1"/>
  <c r="AA336" i="1"/>
  <c r="Y336" i="1" s="1"/>
  <c r="R204" i="1"/>
  <c r="S203" i="1"/>
  <c r="Q203" i="1" s="1"/>
  <c r="V337" i="1"/>
  <c r="W336" i="1"/>
  <c r="U336" i="1" s="1"/>
  <c r="Z71" i="1"/>
  <c r="AA70" i="1"/>
  <c r="Y70" i="1" s="1"/>
  <c r="V376" i="1"/>
  <c r="W375" i="1"/>
  <c r="U375" i="1" s="1"/>
  <c r="Z299" i="1"/>
  <c r="AA298" i="1"/>
  <c r="Y298" i="1" s="1"/>
  <c r="V204" i="1"/>
  <c r="W203" i="1"/>
  <c r="U203" i="1" s="1"/>
  <c r="V319" i="1"/>
  <c r="W318" i="1"/>
  <c r="U318" i="1" s="1"/>
  <c r="R432" i="1"/>
  <c r="S431" i="1"/>
  <c r="Q431" i="1" s="1"/>
  <c r="R71" i="1"/>
  <c r="S70" i="1"/>
  <c r="Q70" i="1" s="1"/>
  <c r="Z318" i="1"/>
  <c r="AA317" i="1"/>
  <c r="Y317" i="1" s="1"/>
  <c r="Z204" i="1"/>
  <c r="AA203" i="1"/>
  <c r="Y203" i="1" s="1"/>
  <c r="V261" i="1"/>
  <c r="W260" i="1"/>
  <c r="U260" i="1" s="1"/>
  <c r="V451" i="1"/>
  <c r="W450" i="1"/>
  <c r="U450" i="1" s="1"/>
  <c r="V299" i="1"/>
  <c r="W298" i="1"/>
  <c r="U298" i="1" s="1"/>
  <c r="R90" i="1"/>
  <c r="S89" i="1"/>
  <c r="Q89" i="1" s="1"/>
  <c r="V33" i="1"/>
  <c r="W32" i="1"/>
  <c r="U32" i="1" s="1"/>
  <c r="R299" i="1"/>
  <c r="S298" i="1"/>
  <c r="Q298" i="1" s="1"/>
  <c r="Z281" i="1"/>
  <c r="AA280" i="1"/>
  <c r="Y280" i="1" s="1"/>
  <c r="Z394" i="1"/>
  <c r="AA393" i="1"/>
  <c r="Y393" i="1" s="1"/>
  <c r="Z470" i="1"/>
  <c r="AA469" i="1"/>
  <c r="Y469" i="1" s="1"/>
  <c r="Z451" i="1"/>
  <c r="AA450" i="1"/>
  <c r="Y450" i="1" s="1"/>
  <c r="V394" i="1"/>
  <c r="W393" i="1"/>
  <c r="U393" i="1" s="1"/>
  <c r="Z223" i="1"/>
  <c r="AA222" i="1"/>
  <c r="Y222" i="1" s="1"/>
  <c r="V280" i="1"/>
  <c r="W279" i="1"/>
  <c r="U279" i="1" s="1"/>
  <c r="R128" i="1"/>
  <c r="S127" i="1"/>
  <c r="Q127" i="1" s="1"/>
  <c r="V148" i="1"/>
  <c r="W147" i="1"/>
  <c r="U147" i="1" s="1"/>
  <c r="R357" i="1"/>
  <c r="S356" i="1"/>
  <c r="Q356" i="1" s="1"/>
  <c r="V356" i="1"/>
  <c r="W355" i="1"/>
  <c r="U355" i="1" s="1"/>
  <c r="R338" i="1"/>
  <c r="S337" i="1"/>
  <c r="Q337" i="1" s="1"/>
  <c r="R318" i="1"/>
  <c r="S317" i="1"/>
  <c r="Q317" i="1" s="1"/>
  <c r="R53" i="1"/>
  <c r="S52" i="1"/>
  <c r="Q52" i="1" s="1"/>
  <c r="Z147" i="1"/>
  <c r="AA146" i="1"/>
  <c r="Y146" i="1" s="1"/>
  <c r="R33" i="1"/>
  <c r="S32" i="1"/>
  <c r="Q32" i="1" s="1"/>
  <c r="V53" i="1"/>
  <c r="W52" i="1"/>
  <c r="U52" i="1" s="1"/>
  <c r="Z185" i="1"/>
  <c r="AA184" i="1"/>
  <c r="Y184" i="1" s="1"/>
  <c r="Z128" i="1"/>
  <c r="AA127" i="1"/>
  <c r="Y127" i="1" s="1"/>
  <c r="Z14" i="1"/>
  <c r="AA13" i="1"/>
  <c r="Y13" i="1" s="1"/>
  <c r="V128" i="1"/>
  <c r="W127" i="1"/>
  <c r="U127" i="1" s="1"/>
  <c r="R147" i="1"/>
  <c r="S146" i="1"/>
  <c r="Q146" i="1" s="1"/>
  <c r="R376" i="1"/>
  <c r="S375" i="1"/>
  <c r="Q375" i="1" s="1"/>
  <c r="Z242" i="1"/>
  <c r="AA241" i="1"/>
  <c r="Y241" i="1" s="1"/>
  <c r="Z33" i="1"/>
  <c r="AA32" i="1"/>
  <c r="Y32" i="1" s="1"/>
  <c r="Z413" i="1"/>
  <c r="AA412" i="1"/>
  <c r="Y412" i="1" s="1"/>
  <c r="R185" i="1"/>
  <c r="S184" i="1"/>
  <c r="Q184" i="1" s="1"/>
  <c r="R395" i="1"/>
  <c r="S394" i="1"/>
  <c r="Q394" i="1" s="1"/>
  <c r="Z90" i="1"/>
  <c r="AA89" i="1"/>
  <c r="Y89" i="1" s="1"/>
  <c r="V109" i="1"/>
  <c r="W108" i="1"/>
  <c r="U108" i="1" s="1"/>
  <c r="V413" i="1"/>
  <c r="W412" i="1"/>
  <c r="U412" i="1" s="1"/>
  <c r="V14" i="1"/>
  <c r="W13" i="1"/>
  <c r="U13" i="1" s="1"/>
  <c r="V470" i="1"/>
  <c r="W469" i="1"/>
  <c r="U469" i="1" s="1"/>
  <c r="R166" i="1"/>
  <c r="S165" i="1"/>
  <c r="Q165" i="1" s="1"/>
  <c r="Z356" i="1"/>
  <c r="AA355" i="1"/>
  <c r="Y355" i="1" s="1"/>
  <c r="V185" i="1"/>
  <c r="W184" i="1"/>
  <c r="U184" i="1" s="1"/>
  <c r="R413" i="1"/>
  <c r="S412" i="1"/>
  <c r="Q412" i="1" s="1"/>
  <c r="R470" i="1"/>
  <c r="S469" i="1"/>
  <c r="Q469" i="1" s="1"/>
  <c r="V432" i="1"/>
  <c r="W431" i="1"/>
  <c r="U431" i="1" s="1"/>
  <c r="Z167" i="1"/>
  <c r="AA166" i="1"/>
  <c r="Y166" i="1" s="1"/>
  <c r="Z375" i="1"/>
  <c r="AA374" i="1"/>
  <c r="Y374" i="1" s="1"/>
  <c r="R223" i="1"/>
  <c r="S222" i="1"/>
  <c r="Q222" i="1" s="1"/>
  <c r="V242" i="1"/>
  <c r="W241" i="1"/>
  <c r="U241" i="1" s="1"/>
  <c r="Z643" i="1"/>
  <c r="AA642" i="1"/>
  <c r="Y642" i="1" s="1"/>
  <c r="V642" i="1"/>
  <c r="W641" i="1"/>
  <c r="U641" i="1"/>
  <c r="R642" i="1"/>
  <c r="S641" i="1"/>
  <c r="Q641" i="1" s="1"/>
  <c r="V623" i="1"/>
  <c r="W622" i="1"/>
  <c r="U622" i="1" s="1"/>
  <c r="Z624" i="1"/>
  <c r="AA623" i="1"/>
  <c r="Y623" i="1" s="1"/>
  <c r="R623" i="1"/>
  <c r="S622" i="1"/>
  <c r="Q622" i="1" s="1"/>
  <c r="R604" i="1"/>
  <c r="S603" i="1"/>
  <c r="Q603" i="1" s="1"/>
  <c r="Z605" i="1"/>
  <c r="AA604" i="1"/>
  <c r="Y604" i="1" s="1"/>
  <c r="V604" i="1"/>
  <c r="W603" i="1"/>
  <c r="U603" i="1"/>
  <c r="AA583" i="1"/>
  <c r="Y583" i="1" s="1"/>
  <c r="Z584" i="1"/>
  <c r="V584" i="1"/>
  <c r="W583" i="1"/>
  <c r="U583" i="1" s="1"/>
  <c r="R584" i="1"/>
  <c r="S583" i="1"/>
  <c r="Q583" i="1" s="1"/>
  <c r="Z565" i="1"/>
  <c r="AA564" i="1"/>
  <c r="Y564" i="1" s="1"/>
  <c r="W564" i="1"/>
  <c r="U564" i="1" s="1"/>
  <c r="V565" i="1"/>
  <c r="R565" i="1"/>
  <c r="S564" i="1"/>
  <c r="Q564" i="1"/>
  <c r="AA545" i="1"/>
  <c r="Y545" i="1" s="1"/>
  <c r="Z546" i="1"/>
  <c r="W545" i="1"/>
  <c r="U545" i="1" s="1"/>
  <c r="V546" i="1"/>
  <c r="S545" i="1"/>
  <c r="Q545" i="1" s="1"/>
  <c r="R546" i="1"/>
  <c r="AA526" i="1"/>
  <c r="Z527" i="1"/>
  <c r="Y526" i="1"/>
  <c r="V527" i="1"/>
  <c r="W526" i="1"/>
  <c r="U526" i="1" s="1"/>
  <c r="S526" i="1"/>
  <c r="Q526" i="1" s="1"/>
  <c r="R527" i="1"/>
  <c r="AA507" i="1"/>
  <c r="Y507" i="1" s="1"/>
  <c r="Z508" i="1"/>
  <c r="W507" i="1"/>
  <c r="U507" i="1" s="1"/>
  <c r="V508" i="1"/>
  <c r="R508" i="1"/>
  <c r="S507" i="1"/>
  <c r="Q507" i="1" s="1"/>
  <c r="AA488" i="1"/>
  <c r="Y488" i="1" s="1"/>
  <c r="Z489" i="1"/>
  <c r="W488" i="1"/>
  <c r="U488" i="1" s="1"/>
  <c r="V489" i="1"/>
  <c r="R489" i="1"/>
  <c r="S488" i="1"/>
  <c r="Q488" i="1" s="1"/>
  <c r="V186" i="1" l="1"/>
  <c r="W185" i="1"/>
  <c r="U185" i="1" s="1"/>
  <c r="R300" i="1"/>
  <c r="S299" i="1"/>
  <c r="Q299" i="1" s="1"/>
  <c r="R34" i="1"/>
  <c r="S33" i="1"/>
  <c r="Q33" i="1" s="1"/>
  <c r="R205" i="1"/>
  <c r="S204" i="1"/>
  <c r="Q204" i="1" s="1"/>
  <c r="V243" i="1"/>
  <c r="W242" i="1"/>
  <c r="U242" i="1" s="1"/>
  <c r="V433" i="1"/>
  <c r="W432" i="1"/>
  <c r="U432" i="1" s="1"/>
  <c r="Z357" i="1"/>
  <c r="AA356" i="1"/>
  <c r="Y356" i="1" s="1"/>
  <c r="V414" i="1"/>
  <c r="W413" i="1"/>
  <c r="U413" i="1" s="1"/>
  <c r="R186" i="1"/>
  <c r="S185" i="1"/>
  <c r="Q185" i="1" s="1"/>
  <c r="R377" i="1"/>
  <c r="S376" i="1"/>
  <c r="Q376" i="1" s="1"/>
  <c r="Z129" i="1"/>
  <c r="AA128" i="1"/>
  <c r="Y128" i="1" s="1"/>
  <c r="Z148" i="1"/>
  <c r="AA147" i="1"/>
  <c r="Y147" i="1" s="1"/>
  <c r="V357" i="1"/>
  <c r="W356" i="1"/>
  <c r="U356" i="1" s="1"/>
  <c r="V281" i="1"/>
  <c r="W280" i="1"/>
  <c r="U280" i="1" s="1"/>
  <c r="Z471" i="1"/>
  <c r="AA470" i="1"/>
  <c r="Y470" i="1" s="1"/>
  <c r="V34" i="1"/>
  <c r="W33" i="1"/>
  <c r="U33" i="1" s="1"/>
  <c r="V262" i="1"/>
  <c r="W261" i="1"/>
  <c r="U261" i="1" s="1"/>
  <c r="R433" i="1"/>
  <c r="S432" i="1"/>
  <c r="Q432" i="1" s="1"/>
  <c r="V377" i="1"/>
  <c r="W376" i="1"/>
  <c r="U376" i="1" s="1"/>
  <c r="Z338" i="1"/>
  <c r="AA337" i="1"/>
  <c r="Y337" i="1" s="1"/>
  <c r="V224" i="1"/>
  <c r="W223" i="1"/>
  <c r="U223" i="1" s="1"/>
  <c r="R262" i="1"/>
  <c r="S261" i="1"/>
  <c r="Q261" i="1" s="1"/>
  <c r="V92" i="1"/>
  <c r="W91" i="1"/>
  <c r="U91" i="1"/>
  <c r="R339" i="1"/>
  <c r="S338" i="1"/>
  <c r="Q338" i="1" s="1"/>
  <c r="R111" i="1"/>
  <c r="S110" i="1"/>
  <c r="Q110" i="1" s="1"/>
  <c r="V15" i="1"/>
  <c r="W14" i="1"/>
  <c r="U14" i="1" s="1"/>
  <c r="R129" i="1"/>
  <c r="S128" i="1"/>
  <c r="Q128" i="1" s="1"/>
  <c r="R72" i="1"/>
  <c r="S71" i="1"/>
  <c r="Q71" i="1" s="1"/>
  <c r="R396" i="1"/>
  <c r="S395" i="1"/>
  <c r="Q395" i="1" s="1"/>
  <c r="V452" i="1"/>
  <c r="W451" i="1"/>
  <c r="U451" i="1" s="1"/>
  <c r="R224" i="1"/>
  <c r="S223" i="1"/>
  <c r="Q223" i="1" s="1"/>
  <c r="Z186" i="1"/>
  <c r="AA185" i="1"/>
  <c r="Y185" i="1" s="1"/>
  <c r="Z224" i="1"/>
  <c r="AA223" i="1"/>
  <c r="Y223" i="1" s="1"/>
  <c r="Z205" i="1"/>
  <c r="AA204" i="1"/>
  <c r="Y204" i="1"/>
  <c r="V320" i="1"/>
  <c r="W319" i="1"/>
  <c r="U319" i="1" s="1"/>
  <c r="Z72" i="1"/>
  <c r="AA71" i="1"/>
  <c r="Y71" i="1" s="1"/>
  <c r="R452" i="1"/>
  <c r="S451" i="1"/>
  <c r="Q451" i="1" s="1"/>
  <c r="Z110" i="1"/>
  <c r="AA109" i="1"/>
  <c r="Y109" i="1" s="1"/>
  <c r="Z262" i="1"/>
  <c r="AA261" i="1"/>
  <c r="Y261" i="1" s="1"/>
  <c r="V72" i="1"/>
  <c r="W71" i="1"/>
  <c r="U71" i="1" s="1"/>
  <c r="Z243" i="1"/>
  <c r="AA242" i="1"/>
  <c r="Y242" i="1" s="1"/>
  <c r="Z300" i="1"/>
  <c r="AA299" i="1"/>
  <c r="Y299" i="1" s="1"/>
  <c r="R471" i="1"/>
  <c r="S470" i="1"/>
  <c r="Q470" i="1" s="1"/>
  <c r="V110" i="1"/>
  <c r="W109" i="1"/>
  <c r="U109" i="1" s="1"/>
  <c r="R358" i="1"/>
  <c r="S357" i="1"/>
  <c r="Q357" i="1" s="1"/>
  <c r="Z168" i="1"/>
  <c r="AA167" i="1"/>
  <c r="Y167" i="1" s="1"/>
  <c r="Z452" i="1"/>
  <c r="AA451" i="1"/>
  <c r="Y451" i="1" s="1"/>
  <c r="R15" i="1"/>
  <c r="S14" i="1"/>
  <c r="Q14" i="1" s="1"/>
  <c r="R167" i="1"/>
  <c r="S166" i="1"/>
  <c r="Q166" i="1" s="1"/>
  <c r="R148" i="1"/>
  <c r="S147" i="1"/>
  <c r="Q147" i="1" s="1"/>
  <c r="R54" i="1"/>
  <c r="S53" i="1"/>
  <c r="Q53" i="1" s="1"/>
  <c r="Z395" i="1"/>
  <c r="AA394" i="1"/>
  <c r="Y394" i="1" s="1"/>
  <c r="Z15" i="1"/>
  <c r="AA14" i="1"/>
  <c r="Y14" i="1"/>
  <c r="R243" i="1"/>
  <c r="S242" i="1"/>
  <c r="Q242" i="1" s="1"/>
  <c r="Z414" i="1"/>
  <c r="AA413" i="1"/>
  <c r="Y413" i="1" s="1"/>
  <c r="R91" i="1"/>
  <c r="S90" i="1"/>
  <c r="Q90" i="1" s="1"/>
  <c r="Z376" i="1"/>
  <c r="AA375" i="1"/>
  <c r="Y375" i="1" s="1"/>
  <c r="R414" i="1"/>
  <c r="S413" i="1"/>
  <c r="Q413" i="1" s="1"/>
  <c r="V471" i="1"/>
  <c r="W470" i="1"/>
  <c r="U470" i="1" s="1"/>
  <c r="Z91" i="1"/>
  <c r="AA90" i="1"/>
  <c r="Y90" i="1" s="1"/>
  <c r="Z34" i="1"/>
  <c r="AA33" i="1"/>
  <c r="Y33" i="1" s="1"/>
  <c r="V129" i="1"/>
  <c r="W128" i="1"/>
  <c r="U128" i="1" s="1"/>
  <c r="V54" i="1"/>
  <c r="W53" i="1"/>
  <c r="U53" i="1" s="1"/>
  <c r="R319" i="1"/>
  <c r="S318" i="1"/>
  <c r="Q318" i="1" s="1"/>
  <c r="V149" i="1"/>
  <c r="W148" i="1"/>
  <c r="U148" i="1" s="1"/>
  <c r="V395" i="1"/>
  <c r="W394" i="1"/>
  <c r="U394" i="1" s="1"/>
  <c r="Z282" i="1"/>
  <c r="AA281" i="1"/>
  <c r="Y281" i="1" s="1"/>
  <c r="V300" i="1"/>
  <c r="W299" i="1"/>
  <c r="U299" i="1" s="1"/>
  <c r="Z319" i="1"/>
  <c r="AA318" i="1"/>
  <c r="Y318" i="1" s="1"/>
  <c r="V205" i="1"/>
  <c r="W204" i="1"/>
  <c r="U204" i="1" s="1"/>
  <c r="V338" i="1"/>
  <c r="W337" i="1"/>
  <c r="U337" i="1" s="1"/>
  <c r="Z53" i="1"/>
  <c r="AA52" i="1"/>
  <c r="Y52" i="1" s="1"/>
  <c r="Z433" i="1"/>
  <c r="AA432" i="1"/>
  <c r="Y432" i="1" s="1"/>
  <c r="V168" i="1"/>
  <c r="W167" i="1"/>
  <c r="U167" i="1" s="1"/>
  <c r="R281" i="1"/>
  <c r="S280" i="1"/>
  <c r="Q280" i="1" s="1"/>
  <c r="S642" i="1"/>
  <c r="Q642" i="1" s="1"/>
  <c r="R643" i="1"/>
  <c r="W642" i="1"/>
  <c r="U642" i="1" s="1"/>
  <c r="V643" i="1"/>
  <c r="AA643" i="1"/>
  <c r="Y643" i="1" s="1"/>
  <c r="Z644" i="1"/>
  <c r="S623" i="1"/>
  <c r="Q623" i="1" s="1"/>
  <c r="R624" i="1"/>
  <c r="AA624" i="1"/>
  <c r="Y624" i="1"/>
  <c r="Z625" i="1"/>
  <c r="W623" i="1"/>
  <c r="U623" i="1" s="1"/>
  <c r="V624" i="1"/>
  <c r="Z606" i="1"/>
  <c r="AA605" i="1"/>
  <c r="Y605" i="1"/>
  <c r="W604" i="1"/>
  <c r="U604" i="1" s="1"/>
  <c r="V605" i="1"/>
  <c r="S604" i="1"/>
  <c r="Q604" i="1"/>
  <c r="R605" i="1"/>
  <c r="Z585" i="1"/>
  <c r="AA584" i="1"/>
  <c r="Y584" i="1" s="1"/>
  <c r="W584" i="1"/>
  <c r="U584" i="1" s="1"/>
  <c r="V585" i="1"/>
  <c r="R585" i="1"/>
  <c r="S584" i="1"/>
  <c r="Q584" i="1" s="1"/>
  <c r="AA565" i="1"/>
  <c r="Z566" i="1"/>
  <c r="Y565" i="1"/>
  <c r="W565" i="1"/>
  <c r="U565" i="1" s="1"/>
  <c r="V566" i="1"/>
  <c r="S565" i="1"/>
  <c r="Q565" i="1" s="1"/>
  <c r="R566" i="1"/>
  <c r="Z547" i="1"/>
  <c r="AA546" i="1"/>
  <c r="Y546" i="1" s="1"/>
  <c r="V547" i="1"/>
  <c r="W546" i="1"/>
  <c r="U546" i="1" s="1"/>
  <c r="R547" i="1"/>
  <c r="S546" i="1"/>
  <c r="Q546" i="1" s="1"/>
  <c r="AA527" i="1"/>
  <c r="Y527" i="1" s="1"/>
  <c r="Z528" i="1"/>
  <c r="W527" i="1"/>
  <c r="U527" i="1" s="1"/>
  <c r="V528" i="1"/>
  <c r="S527" i="1"/>
  <c r="Q527" i="1" s="1"/>
  <c r="R528" i="1"/>
  <c r="Z509" i="1"/>
  <c r="AA508" i="1"/>
  <c r="Y508" i="1"/>
  <c r="W508" i="1"/>
  <c r="V509" i="1"/>
  <c r="U508" i="1"/>
  <c r="R509" i="1"/>
  <c r="S508" i="1"/>
  <c r="Q508" i="1" s="1"/>
  <c r="Z490" i="1"/>
  <c r="AA489" i="1"/>
  <c r="Y489" i="1" s="1"/>
  <c r="V490" i="1"/>
  <c r="W489" i="1"/>
  <c r="U489" i="1" s="1"/>
  <c r="S489" i="1"/>
  <c r="Q489" i="1" s="1"/>
  <c r="R490" i="1"/>
  <c r="D9" i="3"/>
  <c r="D8" i="3"/>
  <c r="D7" i="3"/>
  <c r="D6" i="3"/>
  <c r="D5" i="3"/>
  <c r="D4" i="3"/>
  <c r="V73" i="1" l="1"/>
  <c r="W72" i="1"/>
  <c r="U72" i="1" s="1"/>
  <c r="R206" i="1"/>
  <c r="S205" i="1"/>
  <c r="Q205" i="1" s="1"/>
  <c r="R320" i="1"/>
  <c r="S319" i="1"/>
  <c r="Q319" i="1"/>
  <c r="Z73" i="1"/>
  <c r="AA72" i="1"/>
  <c r="Y72" i="1" s="1"/>
  <c r="Z149" i="1"/>
  <c r="AA148" i="1"/>
  <c r="Y148" i="1" s="1"/>
  <c r="R282" i="1"/>
  <c r="S281" i="1"/>
  <c r="Q281" i="1" s="1"/>
  <c r="V339" i="1"/>
  <c r="W338" i="1"/>
  <c r="U338" i="1" s="1"/>
  <c r="Z283" i="1"/>
  <c r="AA282" i="1"/>
  <c r="Y282" i="1" s="1"/>
  <c r="V55" i="1"/>
  <c r="W54" i="1"/>
  <c r="U54" i="1" s="1"/>
  <c r="V472" i="1"/>
  <c r="W471" i="1"/>
  <c r="U471" i="1" s="1"/>
  <c r="Z415" i="1"/>
  <c r="AA414" i="1"/>
  <c r="Y414" i="1" s="1"/>
  <c r="R55" i="1"/>
  <c r="S54" i="1"/>
  <c r="Q54" i="1" s="1"/>
  <c r="Z453" i="1"/>
  <c r="AA452" i="1"/>
  <c r="Y452" i="1" s="1"/>
  <c r="R472" i="1"/>
  <c r="S471" i="1"/>
  <c r="Q471" i="1" s="1"/>
  <c r="Z263" i="1"/>
  <c r="AA262" i="1"/>
  <c r="Y262" i="1" s="1"/>
  <c r="V321" i="1"/>
  <c r="W320" i="1"/>
  <c r="U320" i="1" s="1"/>
  <c r="R225" i="1"/>
  <c r="S224" i="1"/>
  <c r="Q224" i="1" s="1"/>
  <c r="R130" i="1"/>
  <c r="S129" i="1"/>
  <c r="Q129" i="1" s="1"/>
  <c r="V93" i="1"/>
  <c r="W92" i="1"/>
  <c r="U92" i="1" s="1"/>
  <c r="V378" i="1"/>
  <c r="W377" i="1"/>
  <c r="U377" i="1" s="1"/>
  <c r="Z472" i="1"/>
  <c r="AA471" i="1"/>
  <c r="Y471" i="1" s="1"/>
  <c r="Z130" i="1"/>
  <c r="AA129" i="1"/>
  <c r="Y129" i="1" s="1"/>
  <c r="Z358" i="1"/>
  <c r="AA357" i="1"/>
  <c r="Y357" i="1" s="1"/>
  <c r="R35" i="1"/>
  <c r="S34" i="1"/>
  <c r="Q34" i="1" s="1"/>
  <c r="V301" i="1"/>
  <c r="W300" i="1"/>
  <c r="U300" i="1"/>
  <c r="R340" i="1"/>
  <c r="S339" i="1"/>
  <c r="Q339" i="1"/>
  <c r="V111" i="1"/>
  <c r="W110" i="1"/>
  <c r="U110" i="1" s="1"/>
  <c r="Z339" i="1"/>
  <c r="AA338" i="1"/>
  <c r="Y338" i="1" s="1"/>
  <c r="Z54" i="1"/>
  <c r="AA53" i="1"/>
  <c r="Y53" i="1" s="1"/>
  <c r="R16" i="1"/>
  <c r="S15" i="1"/>
  <c r="Q15" i="1" s="1"/>
  <c r="Z187" i="1"/>
  <c r="AA186" i="1"/>
  <c r="Y186" i="1" s="1"/>
  <c r="V206" i="1"/>
  <c r="W205" i="1"/>
  <c r="U205" i="1" s="1"/>
  <c r="V396" i="1"/>
  <c r="W395" i="1"/>
  <c r="U395" i="1" s="1"/>
  <c r="R244" i="1"/>
  <c r="S243" i="1"/>
  <c r="Q243" i="1" s="1"/>
  <c r="R149" i="1"/>
  <c r="S148" i="1"/>
  <c r="Q148" i="1" s="1"/>
  <c r="Z169" i="1"/>
  <c r="AA168" i="1"/>
  <c r="Y168" i="1" s="1"/>
  <c r="Z301" i="1"/>
  <c r="AA300" i="1"/>
  <c r="Y300" i="1" s="1"/>
  <c r="Z111" i="1"/>
  <c r="AA110" i="1"/>
  <c r="Y110" i="1" s="1"/>
  <c r="Z206" i="1"/>
  <c r="AA205" i="1"/>
  <c r="Y205" i="1" s="1"/>
  <c r="V453" i="1"/>
  <c r="W452" i="1"/>
  <c r="U452" i="1" s="1"/>
  <c r="V16" i="1"/>
  <c r="W15" i="1"/>
  <c r="U15" i="1" s="1"/>
  <c r="R263" i="1"/>
  <c r="S262" i="1"/>
  <c r="Q262" i="1" s="1"/>
  <c r="R434" i="1"/>
  <c r="S433" i="1"/>
  <c r="Q433" i="1" s="1"/>
  <c r="V282" i="1"/>
  <c r="W281" i="1"/>
  <c r="U281" i="1" s="1"/>
  <c r="R378" i="1"/>
  <c r="S377" i="1"/>
  <c r="Q377" i="1" s="1"/>
  <c r="V434" i="1"/>
  <c r="W433" i="1"/>
  <c r="U433" i="1" s="1"/>
  <c r="R301" i="1"/>
  <c r="S300" i="1"/>
  <c r="Q300" i="1" s="1"/>
  <c r="Z92" i="1"/>
  <c r="AA91" i="1"/>
  <c r="Y91" i="1" s="1"/>
  <c r="R73" i="1"/>
  <c r="S72" i="1"/>
  <c r="Q72" i="1" s="1"/>
  <c r="V169" i="1"/>
  <c r="W168" i="1"/>
  <c r="U168" i="1" s="1"/>
  <c r="V130" i="1"/>
  <c r="W129" i="1"/>
  <c r="U129" i="1" s="1"/>
  <c r="R92" i="1"/>
  <c r="S91" i="1"/>
  <c r="Q91" i="1" s="1"/>
  <c r="V35" i="1"/>
  <c r="W34" i="1"/>
  <c r="U34" i="1" s="1"/>
  <c r="R415" i="1"/>
  <c r="S414" i="1"/>
  <c r="Q414" i="1" s="1"/>
  <c r="Z396" i="1"/>
  <c r="AA395" i="1"/>
  <c r="Y395" i="1" s="1"/>
  <c r="V415" i="1"/>
  <c r="W414" i="1"/>
  <c r="U414" i="1" s="1"/>
  <c r="Z434" i="1"/>
  <c r="AA433" i="1"/>
  <c r="Y433" i="1" s="1"/>
  <c r="Z320" i="1"/>
  <c r="AA319" i="1"/>
  <c r="Y319" i="1" s="1"/>
  <c r="V150" i="1"/>
  <c r="W149" i="1"/>
  <c r="U149" i="1" s="1"/>
  <c r="Z35" i="1"/>
  <c r="AA34" i="1"/>
  <c r="Y34" i="1" s="1"/>
  <c r="Z377" i="1"/>
  <c r="AA376" i="1"/>
  <c r="Y376" i="1" s="1"/>
  <c r="Z16" i="1"/>
  <c r="AA15" i="1"/>
  <c r="Y15" i="1" s="1"/>
  <c r="R168" i="1"/>
  <c r="S167" i="1"/>
  <c r="Q167" i="1" s="1"/>
  <c r="R359" i="1"/>
  <c r="S358" i="1"/>
  <c r="Q358" i="1" s="1"/>
  <c r="Z244" i="1"/>
  <c r="AA243" i="1"/>
  <c r="Y243" i="1" s="1"/>
  <c r="R453" i="1"/>
  <c r="S452" i="1"/>
  <c r="Q452" i="1" s="1"/>
  <c r="Z225" i="1"/>
  <c r="AA224" i="1"/>
  <c r="Y224" i="1" s="1"/>
  <c r="R397" i="1"/>
  <c r="S396" i="1"/>
  <c r="Q396" i="1" s="1"/>
  <c r="R112" i="1"/>
  <c r="S111" i="1"/>
  <c r="Q111" i="1" s="1"/>
  <c r="V225" i="1"/>
  <c r="W224" i="1"/>
  <c r="U224" i="1" s="1"/>
  <c r="V263" i="1"/>
  <c r="W262" i="1"/>
  <c r="U262" i="1" s="1"/>
  <c r="V358" i="1"/>
  <c r="W357" i="1"/>
  <c r="U357" i="1"/>
  <c r="R187" i="1"/>
  <c r="S186" i="1"/>
  <c r="Q186" i="1" s="1"/>
  <c r="V244" i="1"/>
  <c r="W243" i="1"/>
  <c r="U243" i="1" s="1"/>
  <c r="V187" i="1"/>
  <c r="W186" i="1"/>
  <c r="U186" i="1" s="1"/>
  <c r="R644" i="1"/>
  <c r="S643" i="1"/>
  <c r="Q643" i="1" s="1"/>
  <c r="V644" i="1"/>
  <c r="W643" i="1"/>
  <c r="U643" i="1"/>
  <c r="Z645" i="1"/>
  <c r="AA644" i="1"/>
  <c r="Y644" i="1" s="1"/>
  <c r="Z626" i="1"/>
  <c r="AA625" i="1"/>
  <c r="Y625" i="1" s="1"/>
  <c r="V625" i="1"/>
  <c r="W624" i="1"/>
  <c r="U624" i="1"/>
  <c r="R625" i="1"/>
  <c r="S624" i="1"/>
  <c r="Q624" i="1" s="1"/>
  <c r="R606" i="1"/>
  <c r="S605" i="1"/>
  <c r="Q605" i="1" s="1"/>
  <c r="V606" i="1"/>
  <c r="W605" i="1"/>
  <c r="U605" i="1" s="1"/>
  <c r="AA606" i="1"/>
  <c r="Z607" i="1"/>
  <c r="Y606" i="1"/>
  <c r="Z586" i="1"/>
  <c r="AA585" i="1"/>
  <c r="Y585" i="1" s="1"/>
  <c r="W585" i="1"/>
  <c r="U585" i="1" s="1"/>
  <c r="V586" i="1"/>
  <c r="R586" i="1"/>
  <c r="S585" i="1"/>
  <c r="Q585" i="1" s="1"/>
  <c r="Z567" i="1"/>
  <c r="AA566" i="1"/>
  <c r="Y566" i="1" s="1"/>
  <c r="V567" i="1"/>
  <c r="W566" i="1"/>
  <c r="U566" i="1" s="1"/>
  <c r="S566" i="1"/>
  <c r="Q566" i="1" s="1"/>
  <c r="R567" i="1"/>
  <c r="Z548" i="1"/>
  <c r="AA547" i="1"/>
  <c r="Y547" i="1" s="1"/>
  <c r="W547" i="1"/>
  <c r="U547" i="1" s="1"/>
  <c r="V548" i="1"/>
  <c r="S547" i="1"/>
  <c r="Q547" i="1"/>
  <c r="R548" i="1"/>
  <c r="Z529" i="1"/>
  <c r="AA528" i="1"/>
  <c r="Y528" i="1"/>
  <c r="V529" i="1"/>
  <c r="W528" i="1"/>
  <c r="U528" i="1" s="1"/>
  <c r="R529" i="1"/>
  <c r="S528" i="1"/>
  <c r="Q528" i="1" s="1"/>
  <c r="Z510" i="1"/>
  <c r="AA509" i="1"/>
  <c r="Y509" i="1" s="1"/>
  <c r="W509" i="1"/>
  <c r="U509" i="1" s="1"/>
  <c r="V510" i="1"/>
  <c r="S509" i="1"/>
  <c r="Q509" i="1" s="1"/>
  <c r="R510" i="1"/>
  <c r="Z491" i="1"/>
  <c r="AA490" i="1"/>
  <c r="Y490" i="1" s="1"/>
  <c r="W490" i="1"/>
  <c r="U490" i="1" s="1"/>
  <c r="V491" i="1"/>
  <c r="S490" i="1"/>
  <c r="Q490" i="1" s="1"/>
  <c r="R491" i="1"/>
  <c r="V283" i="1" l="1"/>
  <c r="W282" i="1"/>
  <c r="U282" i="1" s="1"/>
  <c r="R56" i="1"/>
  <c r="S55" i="1"/>
  <c r="Q55" i="1" s="1"/>
  <c r="R398" i="1"/>
  <c r="S397" i="1"/>
  <c r="Q397" i="1" s="1"/>
  <c r="Z170" i="1"/>
  <c r="AA169" i="1"/>
  <c r="Y169" i="1" s="1"/>
  <c r="Z284" i="1"/>
  <c r="AA283" i="1"/>
  <c r="Y283" i="1" s="1"/>
  <c r="V188" i="1"/>
  <c r="W187" i="1"/>
  <c r="U187" i="1" s="1"/>
  <c r="V264" i="1"/>
  <c r="W263" i="1"/>
  <c r="U263" i="1" s="1"/>
  <c r="Z226" i="1"/>
  <c r="AA225" i="1"/>
  <c r="Y225" i="1" s="1"/>
  <c r="R169" i="1"/>
  <c r="S168" i="1"/>
  <c r="Q168" i="1" s="1"/>
  <c r="V151" i="1"/>
  <c r="W150" i="1"/>
  <c r="U150" i="1" s="1"/>
  <c r="Z397" i="1"/>
  <c r="AA396" i="1"/>
  <c r="Y396" i="1" s="1"/>
  <c r="V131" i="1"/>
  <c r="W130" i="1"/>
  <c r="U130" i="1" s="1"/>
  <c r="R302" i="1"/>
  <c r="S301" i="1"/>
  <c r="Q301" i="1" s="1"/>
  <c r="R435" i="1"/>
  <c r="S434" i="1"/>
  <c r="Q434" i="1"/>
  <c r="Z207" i="1"/>
  <c r="AA206" i="1"/>
  <c r="Y206" i="1" s="1"/>
  <c r="R150" i="1"/>
  <c r="S149" i="1"/>
  <c r="Q149" i="1" s="1"/>
  <c r="Z188" i="1"/>
  <c r="AA187" i="1"/>
  <c r="Y187" i="1" s="1"/>
  <c r="V112" i="1"/>
  <c r="W111" i="1"/>
  <c r="U111" i="1" s="1"/>
  <c r="Z359" i="1"/>
  <c r="AA358" i="1"/>
  <c r="Y358" i="1" s="1"/>
  <c r="V94" i="1"/>
  <c r="W93" i="1"/>
  <c r="U93" i="1" s="1"/>
  <c r="Z264" i="1"/>
  <c r="AA263" i="1"/>
  <c r="Y263" i="1" s="1"/>
  <c r="Z416" i="1"/>
  <c r="AA415" i="1"/>
  <c r="Y415" i="1" s="1"/>
  <c r="V340" i="1"/>
  <c r="W339" i="1"/>
  <c r="U339" i="1" s="1"/>
  <c r="R321" i="1"/>
  <c r="S320" i="1"/>
  <c r="Q320" i="1" s="1"/>
  <c r="Z93" i="1"/>
  <c r="AA92" i="1"/>
  <c r="Y92" i="1" s="1"/>
  <c r="V379" i="1"/>
  <c r="W378" i="1"/>
  <c r="U378" i="1" s="1"/>
  <c r="V416" i="1"/>
  <c r="W415" i="1"/>
  <c r="U415" i="1" s="1"/>
  <c r="R36" i="1"/>
  <c r="S35" i="1"/>
  <c r="Q35" i="1" s="1"/>
  <c r="V359" i="1"/>
  <c r="W358" i="1"/>
  <c r="U358" i="1" s="1"/>
  <c r="V454" i="1"/>
  <c r="W453" i="1"/>
  <c r="U453" i="1"/>
  <c r="V322" i="1"/>
  <c r="W321" i="1"/>
  <c r="U321" i="1" s="1"/>
  <c r="V245" i="1"/>
  <c r="W244" i="1"/>
  <c r="U244" i="1" s="1"/>
  <c r="V226" i="1"/>
  <c r="W225" i="1"/>
  <c r="U225" i="1" s="1"/>
  <c r="R454" i="1"/>
  <c r="S453" i="1"/>
  <c r="Q453" i="1" s="1"/>
  <c r="Z17" i="1"/>
  <c r="AA16" i="1"/>
  <c r="Y16" i="1" s="1"/>
  <c r="Z321" i="1"/>
  <c r="AA320" i="1"/>
  <c r="Y320" i="1" s="1"/>
  <c r="R416" i="1"/>
  <c r="S415" i="1"/>
  <c r="Q415" i="1"/>
  <c r="V170" i="1"/>
  <c r="W169" i="1"/>
  <c r="U169" i="1" s="1"/>
  <c r="V435" i="1"/>
  <c r="W434" i="1"/>
  <c r="U434" i="1" s="1"/>
  <c r="R264" i="1"/>
  <c r="S263" i="1"/>
  <c r="Q263" i="1" s="1"/>
  <c r="Z112" i="1"/>
  <c r="AA111" i="1"/>
  <c r="Y111" i="1" s="1"/>
  <c r="R245" i="1"/>
  <c r="S244" i="1"/>
  <c r="Q244" i="1" s="1"/>
  <c r="R17" i="1"/>
  <c r="S16" i="1"/>
  <c r="Q16" i="1" s="1"/>
  <c r="R341" i="1"/>
  <c r="S340" i="1"/>
  <c r="Q340" i="1" s="1"/>
  <c r="Z131" i="1"/>
  <c r="AA130" i="1"/>
  <c r="Y130" i="1" s="1"/>
  <c r="R131" i="1"/>
  <c r="S130" i="1"/>
  <c r="Q130" i="1" s="1"/>
  <c r="R473" i="1"/>
  <c r="S472" i="1"/>
  <c r="Q472" i="1" s="1"/>
  <c r="V473" i="1"/>
  <c r="W472" i="1"/>
  <c r="U472" i="1" s="1"/>
  <c r="R283" i="1"/>
  <c r="S282" i="1"/>
  <c r="Q282" i="1" s="1"/>
  <c r="R207" i="1"/>
  <c r="S206" i="1"/>
  <c r="Q206" i="1" s="1"/>
  <c r="R93" i="1"/>
  <c r="S92" i="1"/>
  <c r="Q92" i="1" s="1"/>
  <c r="Z74" i="1"/>
  <c r="AA73" i="1"/>
  <c r="Y73" i="1" s="1"/>
  <c r="R360" i="1"/>
  <c r="S359" i="1"/>
  <c r="Q359" i="1" s="1"/>
  <c r="Z340" i="1"/>
  <c r="AA339" i="1"/>
  <c r="Y339" i="1" s="1"/>
  <c r="Z36" i="1"/>
  <c r="AA35" i="1"/>
  <c r="Y35" i="1" s="1"/>
  <c r="V207" i="1"/>
  <c r="W206" i="1"/>
  <c r="U206" i="1" s="1"/>
  <c r="R188" i="1"/>
  <c r="S187" i="1"/>
  <c r="Q187" i="1" s="1"/>
  <c r="R113" i="1"/>
  <c r="S112" i="1"/>
  <c r="Q112" i="1" s="1"/>
  <c r="Z245" i="1"/>
  <c r="AA244" i="1"/>
  <c r="Y244" i="1" s="1"/>
  <c r="Z378" i="1"/>
  <c r="AA377" i="1"/>
  <c r="Y377" i="1" s="1"/>
  <c r="Z435" i="1"/>
  <c r="AA434" i="1"/>
  <c r="Y434" i="1" s="1"/>
  <c r="V36" i="1"/>
  <c r="W35" i="1"/>
  <c r="U35" i="1" s="1"/>
  <c r="R74" i="1"/>
  <c r="S73" i="1"/>
  <c r="Q73" i="1" s="1"/>
  <c r="R379" i="1"/>
  <c r="S378" i="1"/>
  <c r="Q378" i="1" s="1"/>
  <c r="V17" i="1"/>
  <c r="W16" i="1"/>
  <c r="U16" i="1" s="1"/>
  <c r="Z302" i="1"/>
  <c r="AA301" i="1"/>
  <c r="Y301" i="1"/>
  <c r="V397" i="1"/>
  <c r="W396" i="1"/>
  <c r="U396" i="1" s="1"/>
  <c r="Z55" i="1"/>
  <c r="AA54" i="1"/>
  <c r="Y54" i="1" s="1"/>
  <c r="V302" i="1"/>
  <c r="W301" i="1"/>
  <c r="U301" i="1" s="1"/>
  <c r="Z473" i="1"/>
  <c r="AA472" i="1"/>
  <c r="Y472" i="1" s="1"/>
  <c r="R226" i="1"/>
  <c r="S225" i="1"/>
  <c r="Q225" i="1" s="1"/>
  <c r="Z454" i="1"/>
  <c r="AA453" i="1"/>
  <c r="Y453" i="1" s="1"/>
  <c r="V56" i="1"/>
  <c r="W55" i="1"/>
  <c r="U55" i="1"/>
  <c r="Z150" i="1"/>
  <c r="AA149" i="1"/>
  <c r="Y149" i="1" s="1"/>
  <c r="V74" i="1"/>
  <c r="W73" i="1"/>
  <c r="U73" i="1" s="1"/>
  <c r="AA645" i="1"/>
  <c r="Y645" i="1" s="1"/>
  <c r="Z646" i="1"/>
  <c r="W644" i="1"/>
  <c r="U644" i="1" s="1"/>
  <c r="V645" i="1"/>
  <c r="S644" i="1"/>
  <c r="Q644" i="1" s="1"/>
  <c r="R645" i="1"/>
  <c r="W625" i="1"/>
  <c r="U625" i="1" s="1"/>
  <c r="V626" i="1"/>
  <c r="S625" i="1"/>
  <c r="Q625" i="1"/>
  <c r="R626" i="1"/>
  <c r="AA626" i="1"/>
  <c r="Y626" i="1" s="1"/>
  <c r="Z627" i="1"/>
  <c r="Z608" i="1"/>
  <c r="AA607" i="1"/>
  <c r="Y607" i="1"/>
  <c r="W606" i="1"/>
  <c r="U606" i="1" s="1"/>
  <c r="V607" i="1"/>
  <c r="R607" i="1"/>
  <c r="S606" i="1"/>
  <c r="Q606" i="1" s="1"/>
  <c r="Z587" i="1"/>
  <c r="AA586" i="1"/>
  <c r="Y586" i="1"/>
  <c r="V587" i="1"/>
  <c r="W586" i="1"/>
  <c r="U586" i="1"/>
  <c r="R587" i="1"/>
  <c r="S586" i="1"/>
  <c r="Q586" i="1" s="1"/>
  <c r="Z568" i="1"/>
  <c r="AA567" i="1"/>
  <c r="Y567" i="1"/>
  <c r="W567" i="1"/>
  <c r="U567" i="1" s="1"/>
  <c r="V568" i="1"/>
  <c r="R568" i="1"/>
  <c r="S567" i="1"/>
  <c r="Q567" i="1" s="1"/>
  <c r="AA548" i="1"/>
  <c r="Z549" i="1"/>
  <c r="Y548" i="1"/>
  <c r="W548" i="1"/>
  <c r="U548" i="1" s="1"/>
  <c r="V549" i="1"/>
  <c r="R549" i="1"/>
  <c r="S548" i="1"/>
  <c r="Q548" i="1" s="1"/>
  <c r="AA529" i="1"/>
  <c r="Y529" i="1" s="1"/>
  <c r="Z530" i="1"/>
  <c r="W529" i="1"/>
  <c r="U529" i="1"/>
  <c r="V530" i="1"/>
  <c r="S529" i="1"/>
  <c r="Q529" i="1" s="1"/>
  <c r="R530" i="1"/>
  <c r="Z511" i="1"/>
  <c r="Y510" i="1"/>
  <c r="AA510" i="1"/>
  <c r="V511" i="1"/>
  <c r="W510" i="1"/>
  <c r="U510" i="1" s="1"/>
  <c r="R511" i="1"/>
  <c r="S510" i="1"/>
  <c r="Q510" i="1" s="1"/>
  <c r="Z492" i="1"/>
  <c r="AA491" i="1"/>
  <c r="Y491" i="1" s="1"/>
  <c r="V492" i="1"/>
  <c r="W491" i="1"/>
  <c r="U491" i="1" s="1"/>
  <c r="S491" i="1"/>
  <c r="Q491" i="1" s="1"/>
  <c r="R492" i="1"/>
  <c r="AC231" i="1"/>
  <c r="AD231" i="1" s="1"/>
  <c r="AC230" i="1"/>
  <c r="AD230" i="1" s="1"/>
  <c r="AC229" i="1"/>
  <c r="AD229" i="1" s="1"/>
  <c r="AC228" i="1"/>
  <c r="AD228" i="1" s="1"/>
  <c r="AC227" i="1"/>
  <c r="AD227" i="1" s="1"/>
  <c r="AC226" i="1"/>
  <c r="AD226" i="1" s="1"/>
  <c r="AC225" i="1"/>
  <c r="AD225" i="1" s="1"/>
  <c r="AC224" i="1"/>
  <c r="AD224" i="1" s="1"/>
  <c r="AC223" i="1"/>
  <c r="AD223" i="1" s="1"/>
  <c r="AC222" i="1"/>
  <c r="AD222" i="1" s="1"/>
  <c r="AC221" i="1"/>
  <c r="AD221" i="1" s="1"/>
  <c r="AC220" i="1"/>
  <c r="AD220" i="1" s="1"/>
  <c r="AC219" i="1"/>
  <c r="AD219" i="1" s="1"/>
  <c r="AC218" i="1"/>
  <c r="AD218" i="1" s="1"/>
  <c r="AC217" i="1"/>
  <c r="AD217" i="1" s="1"/>
  <c r="AC216" i="1"/>
  <c r="AD216" i="1" s="1"/>
  <c r="AC215" i="1"/>
  <c r="AD215" i="1" s="1"/>
  <c r="AC214" i="1"/>
  <c r="AD214" i="1" s="1"/>
  <c r="AC212" i="1"/>
  <c r="AD212" i="1" s="1"/>
  <c r="AC211" i="1"/>
  <c r="AD211" i="1" s="1"/>
  <c r="AC210" i="1"/>
  <c r="AD210" i="1" s="1"/>
  <c r="AC209" i="1"/>
  <c r="AD209" i="1" s="1"/>
  <c r="AC208" i="1"/>
  <c r="AD208" i="1" s="1"/>
  <c r="AC207" i="1"/>
  <c r="AD207" i="1" s="1"/>
  <c r="AC206" i="1"/>
  <c r="AD206" i="1" s="1"/>
  <c r="AC205" i="1"/>
  <c r="AD205" i="1" s="1"/>
  <c r="AC204" i="1"/>
  <c r="AD204" i="1" s="1"/>
  <c r="AC203" i="1"/>
  <c r="AD203" i="1" s="1"/>
  <c r="AC202" i="1"/>
  <c r="AD202" i="1" s="1"/>
  <c r="AC201" i="1"/>
  <c r="AD201" i="1" s="1"/>
  <c r="AC200" i="1"/>
  <c r="AD200" i="1" s="1"/>
  <c r="AC199" i="1"/>
  <c r="AD199" i="1" s="1"/>
  <c r="AC198" i="1"/>
  <c r="AD198" i="1" s="1"/>
  <c r="AC197" i="1"/>
  <c r="AD197" i="1" s="1"/>
  <c r="AC196" i="1"/>
  <c r="AD196" i="1" s="1"/>
  <c r="AC195" i="1"/>
  <c r="AD195" i="1" s="1"/>
  <c r="AC193" i="1"/>
  <c r="AD193" i="1" s="1"/>
  <c r="AC192" i="1"/>
  <c r="AD192" i="1" s="1"/>
  <c r="AC191" i="1"/>
  <c r="AD191" i="1" s="1"/>
  <c r="AC190" i="1"/>
  <c r="AD190" i="1" s="1"/>
  <c r="AC189" i="1"/>
  <c r="AD189" i="1" s="1"/>
  <c r="AC188" i="1"/>
  <c r="AD188" i="1" s="1"/>
  <c r="AC187" i="1"/>
  <c r="AD187" i="1" s="1"/>
  <c r="AC186" i="1"/>
  <c r="AD186" i="1" s="1"/>
  <c r="AC185" i="1"/>
  <c r="AD185" i="1" s="1"/>
  <c r="AC184" i="1"/>
  <c r="AD184" i="1" s="1"/>
  <c r="AC183" i="1"/>
  <c r="AD183" i="1" s="1"/>
  <c r="AC182" i="1"/>
  <c r="AD182" i="1" s="1"/>
  <c r="AC181" i="1"/>
  <c r="AD181" i="1" s="1"/>
  <c r="AC180" i="1"/>
  <c r="AD180" i="1" s="1"/>
  <c r="AC179" i="1"/>
  <c r="AD179" i="1" s="1"/>
  <c r="AC178" i="1"/>
  <c r="AD178" i="1" s="1"/>
  <c r="AC177" i="1"/>
  <c r="AD177" i="1" s="1"/>
  <c r="AC176" i="1"/>
  <c r="AD176" i="1" s="1"/>
  <c r="AC174" i="1"/>
  <c r="AD174" i="1" s="1"/>
  <c r="AC173" i="1"/>
  <c r="AD173" i="1" s="1"/>
  <c r="AC172" i="1"/>
  <c r="AD172" i="1" s="1"/>
  <c r="AC171" i="1"/>
  <c r="AD171" i="1" s="1"/>
  <c r="AC170" i="1"/>
  <c r="AD170" i="1" s="1"/>
  <c r="AC169" i="1"/>
  <c r="AD169" i="1" s="1"/>
  <c r="AC168" i="1"/>
  <c r="AD168" i="1" s="1"/>
  <c r="AC167" i="1"/>
  <c r="AD167" i="1" s="1"/>
  <c r="AC166" i="1"/>
  <c r="AD166" i="1" s="1"/>
  <c r="AC165" i="1"/>
  <c r="AD165" i="1" s="1"/>
  <c r="AC164" i="1"/>
  <c r="AD164" i="1" s="1"/>
  <c r="AC163" i="1"/>
  <c r="AD163" i="1" s="1"/>
  <c r="AC162" i="1"/>
  <c r="AD162" i="1" s="1"/>
  <c r="AC161" i="1"/>
  <c r="AD161" i="1" s="1"/>
  <c r="AC160" i="1"/>
  <c r="AD160" i="1" s="1"/>
  <c r="AC159" i="1"/>
  <c r="AD159" i="1" s="1"/>
  <c r="AC158" i="1"/>
  <c r="AD158" i="1" s="1"/>
  <c r="AC157" i="1"/>
  <c r="AD157" i="1" s="1"/>
  <c r="AC155" i="1"/>
  <c r="AD155" i="1" s="1"/>
  <c r="AC154" i="1"/>
  <c r="AD154" i="1" s="1"/>
  <c r="AC153" i="1"/>
  <c r="AD153" i="1" s="1"/>
  <c r="AC152" i="1"/>
  <c r="AD152" i="1" s="1"/>
  <c r="AC151" i="1"/>
  <c r="AD151" i="1" s="1"/>
  <c r="AC150" i="1"/>
  <c r="AD150" i="1" s="1"/>
  <c r="AC149" i="1"/>
  <c r="AD149" i="1" s="1"/>
  <c r="AC148" i="1"/>
  <c r="AD148" i="1" s="1"/>
  <c r="AC147" i="1"/>
  <c r="AD147" i="1" s="1"/>
  <c r="AC146" i="1"/>
  <c r="AD146" i="1" s="1"/>
  <c r="AC145" i="1"/>
  <c r="AD145" i="1" s="1"/>
  <c r="AC144" i="1"/>
  <c r="AD144" i="1" s="1"/>
  <c r="AC143" i="1"/>
  <c r="AD143" i="1" s="1"/>
  <c r="AC142" i="1"/>
  <c r="AD142" i="1" s="1"/>
  <c r="AC141" i="1"/>
  <c r="AD141" i="1" s="1"/>
  <c r="AC140" i="1"/>
  <c r="AD140" i="1" s="1"/>
  <c r="AC139" i="1"/>
  <c r="AD139" i="1" s="1"/>
  <c r="AC138" i="1"/>
  <c r="AD138" i="1" s="1"/>
  <c r="AC136" i="1"/>
  <c r="AD136" i="1" s="1"/>
  <c r="AC135" i="1"/>
  <c r="AD135" i="1" s="1"/>
  <c r="AC134" i="1"/>
  <c r="AD134" i="1" s="1"/>
  <c r="AC133" i="1"/>
  <c r="AD133" i="1" s="1"/>
  <c r="AC132" i="1"/>
  <c r="AD132" i="1" s="1"/>
  <c r="AC131" i="1"/>
  <c r="AD131" i="1" s="1"/>
  <c r="AC130" i="1"/>
  <c r="AD130" i="1" s="1"/>
  <c r="AC129" i="1"/>
  <c r="AD129" i="1" s="1"/>
  <c r="AC128" i="1"/>
  <c r="AD128" i="1" s="1"/>
  <c r="AC127" i="1"/>
  <c r="AD127" i="1" s="1"/>
  <c r="AC126" i="1"/>
  <c r="AD126" i="1" s="1"/>
  <c r="AC125" i="1"/>
  <c r="AD125" i="1" s="1"/>
  <c r="AC124" i="1"/>
  <c r="AD124" i="1" s="1"/>
  <c r="AC123" i="1"/>
  <c r="AD123" i="1" s="1"/>
  <c r="AC122" i="1"/>
  <c r="AD122" i="1" s="1"/>
  <c r="AC121" i="1"/>
  <c r="AD121" i="1" s="1"/>
  <c r="AC120" i="1"/>
  <c r="AD120" i="1" s="1"/>
  <c r="AC119" i="1"/>
  <c r="AD119" i="1" s="1"/>
  <c r="AC117" i="1"/>
  <c r="AD117" i="1" s="1"/>
  <c r="AC116" i="1"/>
  <c r="AD116" i="1" s="1"/>
  <c r="AC115" i="1"/>
  <c r="AD115" i="1" s="1"/>
  <c r="AC114" i="1"/>
  <c r="AD114" i="1" s="1"/>
  <c r="AC113" i="1"/>
  <c r="AD113" i="1" s="1"/>
  <c r="AC112" i="1"/>
  <c r="AD112" i="1" s="1"/>
  <c r="AC111" i="1"/>
  <c r="AD111" i="1" s="1"/>
  <c r="AC110" i="1"/>
  <c r="AD110" i="1" s="1"/>
  <c r="AC109" i="1"/>
  <c r="AD109" i="1" s="1"/>
  <c r="AC108" i="1"/>
  <c r="AD108" i="1" s="1"/>
  <c r="AC107" i="1"/>
  <c r="AD107" i="1" s="1"/>
  <c r="AC106" i="1"/>
  <c r="AD106" i="1" s="1"/>
  <c r="AC105" i="1"/>
  <c r="AD105" i="1" s="1"/>
  <c r="AC104" i="1"/>
  <c r="AD104" i="1" s="1"/>
  <c r="AC103" i="1"/>
  <c r="AD103" i="1" s="1"/>
  <c r="AC102" i="1"/>
  <c r="AD102" i="1" s="1"/>
  <c r="AC101" i="1"/>
  <c r="AD101" i="1" s="1"/>
  <c r="AC100" i="1"/>
  <c r="AD100" i="1" s="1"/>
  <c r="AC98" i="1"/>
  <c r="AD98" i="1" s="1"/>
  <c r="AC97" i="1"/>
  <c r="AD97" i="1" s="1"/>
  <c r="AC96" i="1"/>
  <c r="AD96" i="1" s="1"/>
  <c r="AC95" i="1"/>
  <c r="AD95" i="1" s="1"/>
  <c r="AC94" i="1"/>
  <c r="AD94" i="1" s="1"/>
  <c r="AC93" i="1"/>
  <c r="AD93" i="1" s="1"/>
  <c r="AC92" i="1"/>
  <c r="AD92" i="1" s="1"/>
  <c r="AC91" i="1"/>
  <c r="AD91" i="1" s="1"/>
  <c r="AC90" i="1"/>
  <c r="AD90" i="1" s="1"/>
  <c r="AC89" i="1"/>
  <c r="AD89" i="1" s="1"/>
  <c r="AC88" i="1"/>
  <c r="AD88" i="1" s="1"/>
  <c r="AC87" i="1"/>
  <c r="AD87" i="1" s="1"/>
  <c r="AC86" i="1"/>
  <c r="AD86" i="1" s="1"/>
  <c r="AC85" i="1"/>
  <c r="AD85" i="1" s="1"/>
  <c r="AC84" i="1"/>
  <c r="AD84" i="1" s="1"/>
  <c r="AC83" i="1"/>
  <c r="AD83" i="1" s="1"/>
  <c r="AC82" i="1"/>
  <c r="AD82" i="1" s="1"/>
  <c r="AC81" i="1"/>
  <c r="AD81" i="1" s="1"/>
  <c r="AC79" i="1"/>
  <c r="AD79" i="1" s="1"/>
  <c r="AC78" i="1"/>
  <c r="AD78" i="1" s="1"/>
  <c r="AC77" i="1"/>
  <c r="AD77" i="1" s="1"/>
  <c r="AC76" i="1"/>
  <c r="AD76" i="1" s="1"/>
  <c r="AC75" i="1"/>
  <c r="AD75" i="1" s="1"/>
  <c r="AC74" i="1"/>
  <c r="AD74" i="1" s="1"/>
  <c r="AC73" i="1"/>
  <c r="AD73" i="1" s="1"/>
  <c r="AC72" i="1"/>
  <c r="AD72" i="1" s="1"/>
  <c r="AC71" i="1"/>
  <c r="AD71" i="1" s="1"/>
  <c r="AC70" i="1"/>
  <c r="AD70" i="1" s="1"/>
  <c r="AC69" i="1"/>
  <c r="AD69" i="1" s="1"/>
  <c r="AC68" i="1"/>
  <c r="AD68" i="1" s="1"/>
  <c r="AC67" i="1"/>
  <c r="AD67" i="1" s="1"/>
  <c r="AC66" i="1"/>
  <c r="AD66" i="1" s="1"/>
  <c r="AC65" i="1"/>
  <c r="AD65" i="1" s="1"/>
  <c r="AC64" i="1"/>
  <c r="AD64" i="1" s="1"/>
  <c r="AC63" i="1"/>
  <c r="AD63" i="1" s="1"/>
  <c r="AC62" i="1"/>
  <c r="AD62" i="1" s="1"/>
  <c r="AC60" i="1"/>
  <c r="AD60" i="1" s="1"/>
  <c r="AC59" i="1"/>
  <c r="AD59" i="1" s="1"/>
  <c r="AC58" i="1"/>
  <c r="AD58" i="1" s="1"/>
  <c r="AC57" i="1"/>
  <c r="AD57" i="1" s="1"/>
  <c r="AC56" i="1"/>
  <c r="AD56" i="1" s="1"/>
  <c r="AC55" i="1"/>
  <c r="AD55" i="1" s="1"/>
  <c r="AC54" i="1"/>
  <c r="AD54" i="1" s="1"/>
  <c r="AC53" i="1"/>
  <c r="AD53" i="1" s="1"/>
  <c r="AC52" i="1"/>
  <c r="AD52" i="1" s="1"/>
  <c r="AC51" i="1"/>
  <c r="AD51" i="1" s="1"/>
  <c r="AC50" i="1"/>
  <c r="AD50" i="1" s="1"/>
  <c r="AC49" i="1"/>
  <c r="AD49" i="1" s="1"/>
  <c r="AC48" i="1"/>
  <c r="AD48" i="1" s="1"/>
  <c r="AC47" i="1"/>
  <c r="AD47" i="1" s="1"/>
  <c r="AC46" i="1"/>
  <c r="AD46" i="1" s="1"/>
  <c r="AC45" i="1"/>
  <c r="AD45" i="1" s="1"/>
  <c r="AC44" i="1"/>
  <c r="AD44" i="1" s="1"/>
  <c r="AC43" i="1"/>
  <c r="AD43" i="1" s="1"/>
  <c r="AC41" i="1"/>
  <c r="AD41" i="1" s="1"/>
  <c r="AC40" i="1"/>
  <c r="AD40" i="1" s="1"/>
  <c r="AC39" i="1"/>
  <c r="AD39" i="1" s="1"/>
  <c r="AC38" i="1"/>
  <c r="AD38" i="1" s="1"/>
  <c r="AC37" i="1"/>
  <c r="AD37" i="1" s="1"/>
  <c r="AC36" i="1"/>
  <c r="AD36" i="1" s="1"/>
  <c r="AC35" i="1"/>
  <c r="AD35" i="1" s="1"/>
  <c r="AC34" i="1"/>
  <c r="AD34" i="1" s="1"/>
  <c r="AC33" i="1"/>
  <c r="AD33" i="1" s="1"/>
  <c r="AC32" i="1"/>
  <c r="AD32" i="1" s="1"/>
  <c r="AC31" i="1"/>
  <c r="AD31" i="1" s="1"/>
  <c r="AC30" i="1"/>
  <c r="AD30" i="1" s="1"/>
  <c r="AC29" i="1"/>
  <c r="AD29" i="1" s="1"/>
  <c r="AC28" i="1"/>
  <c r="AD28" i="1" s="1"/>
  <c r="AC27" i="1"/>
  <c r="AD27" i="1" s="1"/>
  <c r="AC26" i="1"/>
  <c r="AD26" i="1" s="1"/>
  <c r="AC25" i="1"/>
  <c r="AD25" i="1" s="1"/>
  <c r="AC24" i="1"/>
  <c r="AD24" i="1" s="1"/>
  <c r="AC22" i="1"/>
  <c r="AD22" i="1" s="1"/>
  <c r="AC21" i="1"/>
  <c r="AD21" i="1" s="1"/>
  <c r="AC20" i="1"/>
  <c r="AD20" i="1" s="1"/>
  <c r="AC19" i="1"/>
  <c r="AD19" i="1" s="1"/>
  <c r="AC18" i="1"/>
  <c r="AD18" i="1" s="1"/>
  <c r="AC17" i="1"/>
  <c r="AD17" i="1" s="1"/>
  <c r="AC16" i="1"/>
  <c r="AD16" i="1" s="1"/>
  <c r="AC15" i="1"/>
  <c r="AD15" i="1" s="1"/>
  <c r="AC14" i="1"/>
  <c r="AD14" i="1" s="1"/>
  <c r="AC13" i="1"/>
  <c r="AD13" i="1" s="1"/>
  <c r="AC12" i="1"/>
  <c r="AD12" i="1" s="1"/>
  <c r="AC11" i="1"/>
  <c r="AD11" i="1" s="1"/>
  <c r="AC10" i="1"/>
  <c r="AD10" i="1" s="1"/>
  <c r="AC9" i="1"/>
  <c r="AD9" i="1" s="1"/>
  <c r="AC8" i="1"/>
  <c r="AD8" i="1" s="1"/>
  <c r="AC7" i="1"/>
  <c r="AD7" i="1" s="1"/>
  <c r="AC6" i="1"/>
  <c r="AD6" i="1" s="1"/>
  <c r="AC5" i="1"/>
  <c r="AD5" i="1" s="1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4" i="6"/>
  <c r="Z75" i="1" l="1"/>
  <c r="AA74" i="1"/>
  <c r="Y74" i="1" s="1"/>
  <c r="R151" i="1"/>
  <c r="S150" i="1"/>
  <c r="Q150" i="1" s="1"/>
  <c r="V75" i="1"/>
  <c r="W74" i="1"/>
  <c r="U74" i="1" s="1"/>
  <c r="R227" i="1"/>
  <c r="S226" i="1"/>
  <c r="Q226" i="1" s="1"/>
  <c r="V398" i="1"/>
  <c r="W397" i="1"/>
  <c r="U397" i="1" s="1"/>
  <c r="R75" i="1"/>
  <c r="S74" i="1"/>
  <c r="Q74" i="1" s="1"/>
  <c r="Z246" i="1"/>
  <c r="AA245" i="1"/>
  <c r="Y245" i="1"/>
  <c r="Z37" i="1"/>
  <c r="AA36" i="1"/>
  <c r="Y36" i="1" s="1"/>
  <c r="R94" i="1"/>
  <c r="S93" i="1"/>
  <c r="Q93" i="1" s="1"/>
  <c r="R474" i="1"/>
  <c r="S473" i="1"/>
  <c r="Q473" i="1"/>
  <c r="R18" i="1"/>
  <c r="S17" i="1"/>
  <c r="Q17" i="1" s="1"/>
  <c r="V436" i="1"/>
  <c r="W435" i="1"/>
  <c r="U435" i="1" s="1"/>
  <c r="Z18" i="1"/>
  <c r="AA17" i="1"/>
  <c r="Y17" i="1" s="1"/>
  <c r="V323" i="1"/>
  <c r="W322" i="1"/>
  <c r="U322" i="1" s="1"/>
  <c r="V417" i="1"/>
  <c r="W416" i="1"/>
  <c r="U416" i="1" s="1"/>
  <c r="V341" i="1"/>
  <c r="W340" i="1"/>
  <c r="U340" i="1" s="1"/>
  <c r="Z360" i="1"/>
  <c r="AA359" i="1"/>
  <c r="Y359" i="1" s="1"/>
  <c r="Z208" i="1"/>
  <c r="AA207" i="1"/>
  <c r="Y207" i="1" s="1"/>
  <c r="Z398" i="1"/>
  <c r="AA397" i="1"/>
  <c r="Y397" i="1" s="1"/>
  <c r="V265" i="1"/>
  <c r="W264" i="1"/>
  <c r="U264" i="1" s="1"/>
  <c r="R399" i="1"/>
  <c r="S398" i="1"/>
  <c r="Q398" i="1" s="1"/>
  <c r="R380" i="1"/>
  <c r="S379" i="1"/>
  <c r="Q379" i="1" s="1"/>
  <c r="Z322" i="1"/>
  <c r="AA321" i="1"/>
  <c r="Y321" i="1" s="1"/>
  <c r="Z227" i="1"/>
  <c r="AA226" i="1"/>
  <c r="Y226" i="1" s="1"/>
  <c r="V208" i="1"/>
  <c r="W207" i="1"/>
  <c r="U207" i="1" s="1"/>
  <c r="R342" i="1"/>
  <c r="S341" i="1"/>
  <c r="Q341" i="1" s="1"/>
  <c r="V246" i="1"/>
  <c r="W245" i="1"/>
  <c r="U245" i="1" s="1"/>
  <c r="R37" i="1"/>
  <c r="S36" i="1"/>
  <c r="Q36" i="1" s="1"/>
  <c r="Z171" i="1"/>
  <c r="AA170" i="1"/>
  <c r="Y170" i="1" s="1"/>
  <c r="Z151" i="1"/>
  <c r="AA150" i="1"/>
  <c r="Y150" i="1" s="1"/>
  <c r="Z474" i="1"/>
  <c r="AA473" i="1"/>
  <c r="Y473" i="1" s="1"/>
  <c r="Z303" i="1"/>
  <c r="AA302" i="1"/>
  <c r="Y302" i="1" s="1"/>
  <c r="V37" i="1"/>
  <c r="W36" i="1"/>
  <c r="U36" i="1" s="1"/>
  <c r="R114" i="1"/>
  <c r="S113" i="1"/>
  <c r="Q113" i="1" s="1"/>
  <c r="Z341" i="1"/>
  <c r="AA340" i="1"/>
  <c r="Y340" i="1" s="1"/>
  <c r="R208" i="1"/>
  <c r="S207" i="1"/>
  <c r="Q207" i="1" s="1"/>
  <c r="R132" i="1"/>
  <c r="S131" i="1"/>
  <c r="Q131" i="1" s="1"/>
  <c r="R246" i="1"/>
  <c r="S245" i="1"/>
  <c r="Q245" i="1" s="1"/>
  <c r="V171" i="1"/>
  <c r="W170" i="1"/>
  <c r="U170" i="1" s="1"/>
  <c r="R455" i="1"/>
  <c r="S454" i="1"/>
  <c r="Q454" i="1" s="1"/>
  <c r="V455" i="1"/>
  <c r="W454" i="1"/>
  <c r="U454" i="1" s="1"/>
  <c r="V380" i="1"/>
  <c r="W379" i="1"/>
  <c r="U379" i="1" s="1"/>
  <c r="Z417" i="1"/>
  <c r="AA416" i="1"/>
  <c r="Y416" i="1" s="1"/>
  <c r="V113" i="1"/>
  <c r="W112" i="1"/>
  <c r="U112" i="1" s="1"/>
  <c r="R436" i="1"/>
  <c r="S435" i="1"/>
  <c r="Q435" i="1" s="1"/>
  <c r="V152" i="1"/>
  <c r="W151" i="1"/>
  <c r="U151" i="1" s="1"/>
  <c r="V189" i="1"/>
  <c r="W188" i="1"/>
  <c r="U188" i="1" s="1"/>
  <c r="R57" i="1"/>
  <c r="S56" i="1"/>
  <c r="Q56" i="1" s="1"/>
  <c r="Z379" i="1"/>
  <c r="AA378" i="1"/>
  <c r="Y378" i="1" s="1"/>
  <c r="R322" i="1"/>
  <c r="S321" i="1"/>
  <c r="Q321" i="1" s="1"/>
  <c r="Z455" i="1"/>
  <c r="AA454" i="1"/>
  <c r="Y454" i="1" s="1"/>
  <c r="V474" i="1"/>
  <c r="W473" i="1"/>
  <c r="U473" i="1" s="1"/>
  <c r="V95" i="1"/>
  <c r="W94" i="1"/>
  <c r="U94" i="1" s="1"/>
  <c r="Z56" i="1"/>
  <c r="AA55" i="1"/>
  <c r="Y55" i="1" s="1"/>
  <c r="R265" i="1"/>
  <c r="S264" i="1"/>
  <c r="Q264" i="1" s="1"/>
  <c r="V132" i="1"/>
  <c r="W131" i="1"/>
  <c r="U131" i="1" s="1"/>
  <c r="V57" i="1"/>
  <c r="W56" i="1"/>
  <c r="U56" i="1" s="1"/>
  <c r="V303" i="1"/>
  <c r="W302" i="1"/>
  <c r="U302" i="1" s="1"/>
  <c r="V18" i="1"/>
  <c r="W17" i="1"/>
  <c r="U17" i="1" s="1"/>
  <c r="Z436" i="1"/>
  <c r="AA435" i="1"/>
  <c r="Y435" i="1" s="1"/>
  <c r="R189" i="1"/>
  <c r="S188" i="1"/>
  <c r="Q188" i="1" s="1"/>
  <c r="R361" i="1"/>
  <c r="S360" i="1"/>
  <c r="Q360" i="1" s="1"/>
  <c r="R284" i="1"/>
  <c r="S283" i="1"/>
  <c r="Q283" i="1" s="1"/>
  <c r="Z132" i="1"/>
  <c r="AA131" i="1"/>
  <c r="Y131" i="1" s="1"/>
  <c r="Z113" i="1"/>
  <c r="AA112" i="1"/>
  <c r="Y112" i="1" s="1"/>
  <c r="R417" i="1"/>
  <c r="S416" i="1"/>
  <c r="Q416" i="1" s="1"/>
  <c r="V227" i="1"/>
  <c r="W226" i="1"/>
  <c r="U226" i="1" s="1"/>
  <c r="V360" i="1"/>
  <c r="W359" i="1"/>
  <c r="U359" i="1" s="1"/>
  <c r="Z94" i="1"/>
  <c r="AA93" i="1"/>
  <c r="Y93" i="1" s="1"/>
  <c r="Z265" i="1"/>
  <c r="AA264" i="1"/>
  <c r="Y264" i="1" s="1"/>
  <c r="Z189" i="1"/>
  <c r="AA188" i="1"/>
  <c r="Y188" i="1" s="1"/>
  <c r="R303" i="1"/>
  <c r="S302" i="1"/>
  <c r="Q302" i="1" s="1"/>
  <c r="R170" i="1"/>
  <c r="S169" i="1"/>
  <c r="Q169" i="1" s="1"/>
  <c r="Z285" i="1"/>
  <c r="AA284" i="1"/>
  <c r="Y284" i="1" s="1"/>
  <c r="V284" i="1"/>
  <c r="W283" i="1"/>
  <c r="U283" i="1" s="1"/>
  <c r="V646" i="1"/>
  <c r="W645" i="1"/>
  <c r="U645" i="1"/>
  <c r="Z647" i="1"/>
  <c r="AA646" i="1"/>
  <c r="Y646" i="1" s="1"/>
  <c r="R646" i="1"/>
  <c r="S645" i="1"/>
  <c r="Q645" i="1" s="1"/>
  <c r="R627" i="1"/>
  <c r="S626" i="1"/>
  <c r="Q626" i="1"/>
  <c r="Z628" i="1"/>
  <c r="AA627" i="1"/>
  <c r="Y627" i="1" s="1"/>
  <c r="V627" i="1"/>
  <c r="W626" i="1"/>
  <c r="U626" i="1" s="1"/>
  <c r="S607" i="1"/>
  <c r="Q607" i="1" s="1"/>
  <c r="R608" i="1"/>
  <c r="V608" i="1"/>
  <c r="W607" i="1"/>
  <c r="U607" i="1" s="1"/>
  <c r="Z609" i="1"/>
  <c r="AA608" i="1"/>
  <c r="Y608" i="1" s="1"/>
  <c r="AA587" i="1"/>
  <c r="Y587" i="1" s="1"/>
  <c r="Z588" i="1"/>
  <c r="V588" i="1"/>
  <c r="W587" i="1"/>
  <c r="U587" i="1" s="1"/>
  <c r="S587" i="1"/>
  <c r="Q587" i="1"/>
  <c r="R588" i="1"/>
  <c r="Z569" i="1"/>
  <c r="AA568" i="1"/>
  <c r="Y568" i="1" s="1"/>
  <c r="V569" i="1"/>
  <c r="W568" i="1"/>
  <c r="U568" i="1" s="1"/>
  <c r="R569" i="1"/>
  <c r="Q568" i="1"/>
  <c r="S568" i="1"/>
  <c r="Z550" i="1"/>
  <c r="AA549" i="1"/>
  <c r="Y549" i="1" s="1"/>
  <c r="W549" i="1"/>
  <c r="U549" i="1" s="1"/>
  <c r="V550" i="1"/>
  <c r="R550" i="1"/>
  <c r="S549" i="1"/>
  <c r="Q549" i="1"/>
  <c r="AA530" i="1"/>
  <c r="Y530" i="1" s="1"/>
  <c r="Z531" i="1"/>
  <c r="W530" i="1"/>
  <c r="U530" i="1" s="1"/>
  <c r="V531" i="1"/>
  <c r="R531" i="1"/>
  <c r="S530" i="1"/>
  <c r="Q530" i="1" s="1"/>
  <c r="AA511" i="1"/>
  <c r="Y511" i="1"/>
  <c r="Z512" i="1"/>
  <c r="V512" i="1"/>
  <c r="W511" i="1"/>
  <c r="U511" i="1" s="1"/>
  <c r="R512" i="1"/>
  <c r="S511" i="1"/>
  <c r="Q511" i="1" s="1"/>
  <c r="Z493" i="1"/>
  <c r="AA492" i="1"/>
  <c r="Y492" i="1" s="1"/>
  <c r="V493" i="1"/>
  <c r="W492" i="1"/>
  <c r="U492" i="1" s="1"/>
  <c r="S492" i="1"/>
  <c r="Q492" i="1" s="1"/>
  <c r="R493" i="1"/>
  <c r="M16" i="3"/>
  <c r="M15" i="3"/>
  <c r="M14" i="3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M103" i="5"/>
  <c r="K103" i="5"/>
  <c r="I103" i="5"/>
  <c r="A103" i="5"/>
  <c r="M102" i="5"/>
  <c r="K102" i="5"/>
  <c r="I102" i="5"/>
  <c r="A102" i="5"/>
  <c r="M101" i="5"/>
  <c r="K101" i="5"/>
  <c r="I101" i="5"/>
  <c r="A101" i="5"/>
  <c r="M100" i="5"/>
  <c r="K100" i="5"/>
  <c r="I100" i="5"/>
  <c r="A100" i="5"/>
  <c r="M99" i="5"/>
  <c r="K99" i="5"/>
  <c r="I99" i="5"/>
  <c r="A99" i="5"/>
  <c r="M98" i="5"/>
  <c r="K98" i="5"/>
  <c r="I98" i="5"/>
  <c r="A98" i="5"/>
  <c r="M97" i="5"/>
  <c r="K97" i="5"/>
  <c r="I97" i="5"/>
  <c r="A97" i="5"/>
  <c r="M96" i="5"/>
  <c r="K96" i="5"/>
  <c r="I96" i="5"/>
  <c r="A96" i="5"/>
  <c r="M95" i="5"/>
  <c r="K95" i="5"/>
  <c r="I95" i="5"/>
  <c r="A95" i="5"/>
  <c r="M94" i="5"/>
  <c r="K94" i="5"/>
  <c r="I94" i="5"/>
  <c r="A94" i="5"/>
  <c r="M93" i="5"/>
  <c r="K93" i="5"/>
  <c r="I93" i="5"/>
  <c r="A93" i="5"/>
  <c r="M92" i="5"/>
  <c r="K92" i="5"/>
  <c r="I92" i="5"/>
  <c r="A92" i="5"/>
  <c r="M91" i="5"/>
  <c r="K91" i="5"/>
  <c r="I91" i="5"/>
  <c r="A91" i="5"/>
  <c r="M90" i="5"/>
  <c r="K90" i="5"/>
  <c r="I90" i="5"/>
  <c r="A90" i="5"/>
  <c r="M89" i="5"/>
  <c r="K89" i="5"/>
  <c r="I89" i="5"/>
  <c r="A89" i="5"/>
  <c r="M88" i="5"/>
  <c r="K88" i="5"/>
  <c r="I88" i="5"/>
  <c r="A88" i="5"/>
  <c r="M87" i="5"/>
  <c r="K87" i="5"/>
  <c r="I87" i="5"/>
  <c r="A87" i="5"/>
  <c r="M86" i="5"/>
  <c r="K86" i="5"/>
  <c r="I86" i="5"/>
  <c r="A86" i="5"/>
  <c r="M85" i="5"/>
  <c r="K85" i="5"/>
  <c r="I85" i="5"/>
  <c r="A85" i="5"/>
  <c r="M84" i="5"/>
  <c r="K84" i="5"/>
  <c r="I84" i="5"/>
  <c r="A84" i="5"/>
  <c r="M83" i="5"/>
  <c r="K83" i="5"/>
  <c r="I83" i="5"/>
  <c r="A83" i="5"/>
  <c r="M82" i="5"/>
  <c r="K82" i="5"/>
  <c r="I82" i="5"/>
  <c r="A82" i="5"/>
  <c r="M81" i="5"/>
  <c r="K81" i="5"/>
  <c r="I81" i="5"/>
  <c r="A81" i="5"/>
  <c r="M80" i="5"/>
  <c r="K80" i="5"/>
  <c r="I80" i="5"/>
  <c r="A80" i="5"/>
  <c r="M79" i="5"/>
  <c r="K79" i="5"/>
  <c r="I79" i="5"/>
  <c r="A79" i="5"/>
  <c r="M78" i="5"/>
  <c r="K78" i="5"/>
  <c r="I78" i="5"/>
  <c r="A78" i="5"/>
  <c r="M77" i="5"/>
  <c r="K77" i="5"/>
  <c r="I77" i="5"/>
  <c r="A77" i="5"/>
  <c r="M76" i="5"/>
  <c r="K76" i="5"/>
  <c r="I76" i="5"/>
  <c r="A76" i="5"/>
  <c r="M75" i="5"/>
  <c r="K75" i="5"/>
  <c r="I75" i="5"/>
  <c r="A75" i="5"/>
  <c r="M74" i="5"/>
  <c r="K74" i="5"/>
  <c r="I74" i="5"/>
  <c r="A74" i="5"/>
  <c r="M73" i="5"/>
  <c r="K73" i="5"/>
  <c r="I73" i="5"/>
  <c r="A73" i="5"/>
  <c r="M72" i="5"/>
  <c r="K72" i="5"/>
  <c r="I72" i="5"/>
  <c r="A72" i="5"/>
  <c r="M71" i="5"/>
  <c r="K71" i="5"/>
  <c r="I71" i="5"/>
  <c r="A71" i="5"/>
  <c r="M70" i="5"/>
  <c r="K70" i="5"/>
  <c r="I70" i="5"/>
  <c r="A70" i="5"/>
  <c r="M69" i="5"/>
  <c r="K69" i="5"/>
  <c r="I69" i="5"/>
  <c r="A69" i="5"/>
  <c r="M68" i="5"/>
  <c r="K68" i="5"/>
  <c r="I68" i="5"/>
  <c r="A68" i="5"/>
  <c r="M67" i="5"/>
  <c r="K67" i="5"/>
  <c r="I67" i="5"/>
  <c r="A67" i="5"/>
  <c r="M66" i="5"/>
  <c r="K66" i="5"/>
  <c r="I66" i="5"/>
  <c r="A66" i="5"/>
  <c r="M65" i="5"/>
  <c r="K65" i="5"/>
  <c r="I65" i="5"/>
  <c r="A65" i="5"/>
  <c r="M64" i="5"/>
  <c r="K64" i="5"/>
  <c r="I64" i="5"/>
  <c r="A64" i="5"/>
  <c r="M63" i="5"/>
  <c r="K63" i="5"/>
  <c r="I63" i="5"/>
  <c r="A63" i="5"/>
  <c r="M62" i="5"/>
  <c r="K62" i="5"/>
  <c r="I62" i="5"/>
  <c r="A62" i="5"/>
  <c r="M61" i="5"/>
  <c r="K61" i="5"/>
  <c r="I61" i="5"/>
  <c r="A61" i="5"/>
  <c r="M60" i="5"/>
  <c r="K60" i="5"/>
  <c r="I60" i="5"/>
  <c r="A60" i="5"/>
  <c r="M59" i="5"/>
  <c r="K59" i="5"/>
  <c r="I59" i="5"/>
  <c r="A59" i="5"/>
  <c r="M58" i="5"/>
  <c r="K58" i="5"/>
  <c r="I58" i="5"/>
  <c r="A58" i="5"/>
  <c r="M57" i="5"/>
  <c r="K57" i="5"/>
  <c r="I57" i="5"/>
  <c r="A57" i="5"/>
  <c r="M56" i="5"/>
  <c r="K56" i="5"/>
  <c r="I56" i="5"/>
  <c r="A56" i="5"/>
  <c r="M55" i="5"/>
  <c r="K55" i="5"/>
  <c r="I55" i="5"/>
  <c r="A55" i="5"/>
  <c r="M54" i="5"/>
  <c r="K54" i="5"/>
  <c r="I54" i="5"/>
  <c r="A54" i="5"/>
  <c r="M53" i="5"/>
  <c r="K53" i="5"/>
  <c r="I53" i="5"/>
  <c r="A53" i="5"/>
  <c r="M52" i="5"/>
  <c r="K52" i="5"/>
  <c r="I52" i="5"/>
  <c r="A52" i="5"/>
  <c r="M51" i="5"/>
  <c r="K51" i="5"/>
  <c r="I51" i="5"/>
  <c r="A51" i="5"/>
  <c r="M50" i="5"/>
  <c r="K50" i="5"/>
  <c r="I50" i="5"/>
  <c r="A50" i="5"/>
  <c r="M49" i="5"/>
  <c r="K49" i="5"/>
  <c r="I49" i="5"/>
  <c r="A49" i="5"/>
  <c r="M48" i="5"/>
  <c r="K48" i="5"/>
  <c r="I48" i="5"/>
  <c r="A48" i="5"/>
  <c r="M47" i="5"/>
  <c r="K47" i="5"/>
  <c r="I47" i="5"/>
  <c r="A47" i="5"/>
  <c r="M46" i="5"/>
  <c r="K46" i="5"/>
  <c r="I46" i="5"/>
  <c r="A46" i="5"/>
  <c r="M45" i="5"/>
  <c r="K45" i="5"/>
  <c r="I45" i="5"/>
  <c r="A45" i="5"/>
  <c r="M44" i="5"/>
  <c r="K44" i="5"/>
  <c r="I44" i="5"/>
  <c r="A44" i="5"/>
  <c r="M43" i="5"/>
  <c r="K43" i="5"/>
  <c r="I43" i="5"/>
  <c r="A43" i="5"/>
  <c r="M42" i="5"/>
  <c r="K42" i="5"/>
  <c r="I42" i="5"/>
  <c r="A42" i="5"/>
  <c r="M41" i="5"/>
  <c r="K41" i="5"/>
  <c r="I41" i="5"/>
  <c r="A41" i="5"/>
  <c r="M40" i="5"/>
  <c r="K40" i="5"/>
  <c r="I40" i="5"/>
  <c r="A40" i="5"/>
  <c r="M39" i="5"/>
  <c r="K39" i="5"/>
  <c r="I39" i="5"/>
  <c r="A39" i="5"/>
  <c r="M38" i="5"/>
  <c r="K38" i="5"/>
  <c r="I38" i="5"/>
  <c r="A38" i="5"/>
  <c r="M37" i="5"/>
  <c r="K37" i="5"/>
  <c r="I37" i="5"/>
  <c r="A37" i="5"/>
  <c r="M36" i="5"/>
  <c r="K36" i="5"/>
  <c r="I36" i="5"/>
  <c r="A36" i="5"/>
  <c r="M35" i="5"/>
  <c r="K35" i="5"/>
  <c r="I35" i="5"/>
  <c r="A35" i="5"/>
  <c r="M34" i="5"/>
  <c r="K34" i="5"/>
  <c r="I34" i="5"/>
  <c r="A34" i="5"/>
  <c r="M33" i="5"/>
  <c r="K33" i="5"/>
  <c r="I33" i="5"/>
  <c r="A33" i="5"/>
  <c r="M32" i="5"/>
  <c r="K32" i="5"/>
  <c r="I32" i="5"/>
  <c r="A32" i="5"/>
  <c r="M31" i="5"/>
  <c r="K31" i="5"/>
  <c r="I31" i="5"/>
  <c r="A31" i="5"/>
  <c r="M30" i="5"/>
  <c r="K30" i="5"/>
  <c r="I30" i="5"/>
  <c r="A30" i="5"/>
  <c r="M29" i="5"/>
  <c r="K29" i="5"/>
  <c r="I29" i="5"/>
  <c r="A29" i="5"/>
  <c r="M28" i="5"/>
  <c r="K28" i="5"/>
  <c r="I28" i="5"/>
  <c r="A28" i="5"/>
  <c r="M27" i="5"/>
  <c r="K27" i="5"/>
  <c r="I27" i="5"/>
  <c r="A27" i="5"/>
  <c r="M26" i="5"/>
  <c r="K26" i="5"/>
  <c r="I26" i="5"/>
  <c r="A26" i="5"/>
  <c r="M25" i="5"/>
  <c r="K25" i="5"/>
  <c r="I25" i="5"/>
  <c r="A25" i="5"/>
  <c r="M24" i="5"/>
  <c r="K24" i="5"/>
  <c r="I24" i="5"/>
  <c r="A24" i="5"/>
  <c r="M23" i="5"/>
  <c r="K23" i="5"/>
  <c r="I23" i="5"/>
  <c r="A23" i="5"/>
  <c r="M22" i="5"/>
  <c r="K22" i="5"/>
  <c r="I22" i="5"/>
  <c r="A22" i="5"/>
  <c r="M21" i="5"/>
  <c r="K21" i="5"/>
  <c r="I21" i="5"/>
  <c r="A21" i="5"/>
  <c r="M20" i="5"/>
  <c r="K20" i="5"/>
  <c r="I20" i="5"/>
  <c r="A20" i="5"/>
  <c r="M19" i="5"/>
  <c r="K19" i="5"/>
  <c r="I19" i="5"/>
  <c r="A19" i="5"/>
  <c r="M18" i="5"/>
  <c r="K18" i="5"/>
  <c r="I18" i="5"/>
  <c r="A18" i="5"/>
  <c r="M17" i="5"/>
  <c r="K17" i="5"/>
  <c r="I17" i="5"/>
  <c r="A17" i="5"/>
  <c r="M16" i="5"/>
  <c r="K16" i="5"/>
  <c r="I16" i="5"/>
  <c r="A16" i="5"/>
  <c r="M15" i="5"/>
  <c r="K15" i="5"/>
  <c r="I15" i="5"/>
  <c r="A15" i="5"/>
  <c r="M14" i="5"/>
  <c r="K14" i="5"/>
  <c r="I14" i="5"/>
  <c r="A14" i="5"/>
  <c r="M13" i="5"/>
  <c r="K13" i="5"/>
  <c r="I13" i="5"/>
  <c r="A13" i="5"/>
  <c r="M12" i="5"/>
  <c r="K12" i="5"/>
  <c r="I12" i="5"/>
  <c r="A12" i="5"/>
  <c r="M11" i="5"/>
  <c r="K11" i="5"/>
  <c r="I11" i="5"/>
  <c r="A11" i="5"/>
  <c r="M10" i="5"/>
  <c r="K10" i="5"/>
  <c r="I10" i="5"/>
  <c r="A10" i="5"/>
  <c r="M9" i="5"/>
  <c r="K9" i="5"/>
  <c r="I9" i="5"/>
  <c r="A9" i="5"/>
  <c r="M8" i="5"/>
  <c r="K8" i="5"/>
  <c r="I8" i="5"/>
  <c r="A8" i="5"/>
  <c r="M7" i="5"/>
  <c r="K7" i="5"/>
  <c r="I7" i="5"/>
  <c r="A7" i="5"/>
  <c r="M6" i="5"/>
  <c r="K6" i="5"/>
  <c r="I6" i="5"/>
  <c r="A6" i="5"/>
  <c r="M5" i="5"/>
  <c r="K5" i="5"/>
  <c r="I5" i="5"/>
  <c r="A5" i="5"/>
  <c r="M4" i="5"/>
  <c r="K4" i="5"/>
  <c r="I4" i="5"/>
  <c r="A4" i="5"/>
  <c r="V361" i="1" l="1"/>
  <c r="W360" i="1"/>
  <c r="U360" i="1" s="1"/>
  <c r="E237" i="1"/>
  <c r="H237" i="1"/>
  <c r="G237" i="1"/>
  <c r="E249" i="1"/>
  <c r="H249" i="1"/>
  <c r="G249" i="1"/>
  <c r="E238" i="1"/>
  <c r="H238" i="1"/>
  <c r="G238" i="1"/>
  <c r="E250" i="1"/>
  <c r="H250" i="1"/>
  <c r="G250" i="1"/>
  <c r="E239" i="1"/>
  <c r="H239" i="1"/>
  <c r="G239" i="1"/>
  <c r="V133" i="1"/>
  <c r="W132" i="1"/>
  <c r="U132" i="1" s="1"/>
  <c r="Z304" i="1"/>
  <c r="AA303" i="1"/>
  <c r="Y303" i="1" s="1"/>
  <c r="Z38" i="1"/>
  <c r="AA37" i="1"/>
  <c r="Y37" i="1" s="1"/>
  <c r="E241" i="1"/>
  <c r="G241" i="1"/>
  <c r="H241" i="1"/>
  <c r="R58" i="1"/>
  <c r="S57" i="1"/>
  <c r="Q57" i="1" s="1"/>
  <c r="V342" i="1"/>
  <c r="W341" i="1"/>
  <c r="U341" i="1" s="1"/>
  <c r="E242" i="1"/>
  <c r="G242" i="1"/>
  <c r="H242" i="1"/>
  <c r="V285" i="1"/>
  <c r="W284" i="1"/>
  <c r="U284" i="1" s="1"/>
  <c r="Z190" i="1"/>
  <c r="AA189" i="1"/>
  <c r="Y189" i="1" s="1"/>
  <c r="V228" i="1"/>
  <c r="W227" i="1"/>
  <c r="U227" i="1" s="1"/>
  <c r="R285" i="1"/>
  <c r="S284" i="1"/>
  <c r="Q284" i="1" s="1"/>
  <c r="V19" i="1"/>
  <c r="W18" i="1"/>
  <c r="U18" i="1" s="1"/>
  <c r="R266" i="1"/>
  <c r="S265" i="1"/>
  <c r="Q265" i="1" s="1"/>
  <c r="Z456" i="1"/>
  <c r="AA455" i="1"/>
  <c r="Y455" i="1" s="1"/>
  <c r="V190" i="1"/>
  <c r="W189" i="1"/>
  <c r="U189" i="1" s="1"/>
  <c r="Z418" i="1"/>
  <c r="AA417" i="1"/>
  <c r="Y417" i="1" s="1"/>
  <c r="V172" i="1"/>
  <c r="W171" i="1"/>
  <c r="U171" i="1" s="1"/>
  <c r="Z342" i="1"/>
  <c r="AA341" i="1"/>
  <c r="Y341" i="1" s="1"/>
  <c r="Z475" i="1"/>
  <c r="AA474" i="1"/>
  <c r="Y474" i="1" s="1"/>
  <c r="V247" i="1"/>
  <c r="W246" i="1"/>
  <c r="U246" i="1" s="1"/>
  <c r="Z323" i="1"/>
  <c r="AA322" i="1"/>
  <c r="Y322" i="1" s="1"/>
  <c r="Z399" i="1"/>
  <c r="AA398" i="1"/>
  <c r="Y398" i="1" s="1"/>
  <c r="V418" i="1"/>
  <c r="W417" i="1"/>
  <c r="U417" i="1" s="1"/>
  <c r="R19" i="1"/>
  <c r="S18" i="1"/>
  <c r="Q18" i="1" s="1"/>
  <c r="Z247" i="1"/>
  <c r="AA246" i="1"/>
  <c r="Y246" i="1" s="1"/>
  <c r="V76" i="1"/>
  <c r="W75" i="1"/>
  <c r="U75" i="1" s="1"/>
  <c r="R304" i="1"/>
  <c r="S303" i="1"/>
  <c r="Q303" i="1" s="1"/>
  <c r="E243" i="1"/>
  <c r="H243" i="1"/>
  <c r="G243" i="1"/>
  <c r="E232" i="1"/>
  <c r="H232" i="1"/>
  <c r="G232" i="1"/>
  <c r="E244" i="1"/>
  <c r="H244" i="1"/>
  <c r="G244" i="1"/>
  <c r="Z286" i="1"/>
  <c r="AA285" i="1"/>
  <c r="Y285" i="1" s="1"/>
  <c r="Z266" i="1"/>
  <c r="AA265" i="1"/>
  <c r="Y265" i="1" s="1"/>
  <c r="R418" i="1"/>
  <c r="S417" i="1"/>
  <c r="Q417" i="1" s="1"/>
  <c r="R362" i="1"/>
  <c r="S361" i="1"/>
  <c r="Q361" i="1" s="1"/>
  <c r="V304" i="1"/>
  <c r="W303" i="1"/>
  <c r="U303" i="1" s="1"/>
  <c r="Z57" i="1"/>
  <c r="AA56" i="1"/>
  <c r="Y56" i="1" s="1"/>
  <c r="R323" i="1"/>
  <c r="S322" i="1"/>
  <c r="Q322" i="1" s="1"/>
  <c r="V153" i="1"/>
  <c r="W152" i="1"/>
  <c r="U152" i="1" s="1"/>
  <c r="V381" i="1"/>
  <c r="W380" i="1"/>
  <c r="U380" i="1" s="1"/>
  <c r="R247" i="1"/>
  <c r="S246" i="1"/>
  <c r="Q246" i="1" s="1"/>
  <c r="R115" i="1"/>
  <c r="S114" i="1"/>
  <c r="Q114" i="1" s="1"/>
  <c r="Z152" i="1"/>
  <c r="AA151" i="1"/>
  <c r="Y151" i="1" s="1"/>
  <c r="R343" i="1"/>
  <c r="S342" i="1"/>
  <c r="Q342" i="1" s="1"/>
  <c r="R381" i="1"/>
  <c r="S380" i="1"/>
  <c r="Q380" i="1" s="1"/>
  <c r="Z209" i="1"/>
  <c r="AA208" i="1"/>
  <c r="Y208" i="1" s="1"/>
  <c r="V324" i="1"/>
  <c r="W323" i="1"/>
  <c r="U323" i="1" s="1"/>
  <c r="R475" i="1"/>
  <c r="S474" i="1"/>
  <c r="Q474" i="1" s="1"/>
  <c r="R76" i="1"/>
  <c r="S75" i="1"/>
  <c r="Q75" i="1" s="1"/>
  <c r="R152" i="1"/>
  <c r="S151" i="1"/>
  <c r="Q151" i="1" s="1"/>
  <c r="V475" i="1"/>
  <c r="W474" i="1"/>
  <c r="U474" i="1" s="1"/>
  <c r="V266" i="1"/>
  <c r="W265" i="1"/>
  <c r="U265" i="1" s="1"/>
  <c r="E234" i="1"/>
  <c r="H234" i="1"/>
  <c r="G234" i="1"/>
  <c r="E246" i="1"/>
  <c r="H246" i="1"/>
  <c r="G246" i="1"/>
  <c r="Z437" i="1"/>
  <c r="AA436" i="1"/>
  <c r="Y436" i="1" s="1"/>
  <c r="R456" i="1"/>
  <c r="S455" i="1"/>
  <c r="Q455" i="1" s="1"/>
  <c r="R38" i="1"/>
  <c r="S37" i="1"/>
  <c r="Q37" i="1" s="1"/>
  <c r="V437" i="1"/>
  <c r="W436" i="1"/>
  <c r="U436" i="1" s="1"/>
  <c r="E233" i="1"/>
  <c r="H233" i="1"/>
  <c r="G233" i="1"/>
  <c r="E245" i="1"/>
  <c r="H245" i="1"/>
  <c r="G245" i="1"/>
  <c r="E235" i="1"/>
  <c r="G235" i="1"/>
  <c r="H235" i="1"/>
  <c r="E247" i="1"/>
  <c r="G247" i="1"/>
  <c r="H247" i="1"/>
  <c r="Z133" i="1"/>
  <c r="AA132" i="1"/>
  <c r="Y132" i="1" s="1"/>
  <c r="V114" i="1"/>
  <c r="W113" i="1"/>
  <c r="U113" i="1" s="1"/>
  <c r="R209" i="1"/>
  <c r="S208" i="1"/>
  <c r="Q208" i="1" s="1"/>
  <c r="Z228" i="1"/>
  <c r="AA227" i="1"/>
  <c r="Y227" i="1"/>
  <c r="R228" i="1"/>
  <c r="S227" i="1"/>
  <c r="Q227" i="1" s="1"/>
  <c r="E240" i="1"/>
  <c r="H240" i="1"/>
  <c r="G240" i="1"/>
  <c r="E236" i="1"/>
  <c r="G236" i="1"/>
  <c r="H236" i="1"/>
  <c r="E248" i="1"/>
  <c r="G248" i="1"/>
  <c r="H248" i="1"/>
  <c r="R171" i="1"/>
  <c r="S170" i="1"/>
  <c r="Q170" i="1" s="1"/>
  <c r="Z95" i="1"/>
  <c r="AA94" i="1"/>
  <c r="Y94" i="1" s="1"/>
  <c r="Z114" i="1"/>
  <c r="AA113" i="1"/>
  <c r="Y113" i="1" s="1"/>
  <c r="R190" i="1"/>
  <c r="S189" i="1"/>
  <c r="Q189" i="1" s="1"/>
  <c r="V58" i="1"/>
  <c r="W57" i="1"/>
  <c r="U57" i="1" s="1"/>
  <c r="V96" i="1"/>
  <c r="W95" i="1"/>
  <c r="U95" i="1" s="1"/>
  <c r="Z380" i="1"/>
  <c r="AA379" i="1"/>
  <c r="Y379" i="1" s="1"/>
  <c r="R437" i="1"/>
  <c r="S436" i="1"/>
  <c r="Q436" i="1" s="1"/>
  <c r="V456" i="1"/>
  <c r="W455" i="1"/>
  <c r="U455" i="1" s="1"/>
  <c r="R133" i="1"/>
  <c r="S132" i="1"/>
  <c r="Q132" i="1" s="1"/>
  <c r="V38" i="1"/>
  <c r="W37" i="1"/>
  <c r="U37" i="1" s="1"/>
  <c r="Z172" i="1"/>
  <c r="AA171" i="1"/>
  <c r="Y171" i="1" s="1"/>
  <c r="V209" i="1"/>
  <c r="W208" i="1"/>
  <c r="U208" i="1" s="1"/>
  <c r="R400" i="1"/>
  <c r="S399" i="1"/>
  <c r="Q399" i="1" s="1"/>
  <c r="Z361" i="1"/>
  <c r="AA360" i="1"/>
  <c r="Y360" i="1" s="1"/>
  <c r="Z19" i="1"/>
  <c r="AA18" i="1"/>
  <c r="Y18" i="1" s="1"/>
  <c r="R95" i="1"/>
  <c r="S94" i="1"/>
  <c r="Q94" i="1" s="1"/>
  <c r="V399" i="1"/>
  <c r="W398" i="1"/>
  <c r="U398" i="1" s="1"/>
  <c r="Z76" i="1"/>
  <c r="AA75" i="1"/>
  <c r="Y75" i="1" s="1"/>
  <c r="S646" i="1"/>
  <c r="Q646" i="1"/>
  <c r="R647" i="1"/>
  <c r="AA647" i="1"/>
  <c r="Y647" i="1" s="1"/>
  <c r="Z648" i="1"/>
  <c r="W646" i="1"/>
  <c r="U646" i="1" s="1"/>
  <c r="V647" i="1"/>
  <c r="AA628" i="1"/>
  <c r="Y628" i="1"/>
  <c r="Z629" i="1"/>
  <c r="W627" i="1"/>
  <c r="U627" i="1" s="1"/>
  <c r="V628" i="1"/>
  <c r="S627" i="1"/>
  <c r="Q627" i="1"/>
  <c r="R628" i="1"/>
  <c r="AA609" i="1"/>
  <c r="Y609" i="1" s="1"/>
  <c r="Z610" i="1"/>
  <c r="W608" i="1"/>
  <c r="U608" i="1"/>
  <c r="V609" i="1"/>
  <c r="S608" i="1"/>
  <c r="Q608" i="1" s="1"/>
  <c r="R609" i="1"/>
  <c r="Z589" i="1"/>
  <c r="AA588" i="1"/>
  <c r="Y588" i="1" s="1"/>
  <c r="V589" i="1"/>
  <c r="W588" i="1"/>
  <c r="U588" i="1" s="1"/>
  <c r="S588" i="1"/>
  <c r="Q588" i="1" s="1"/>
  <c r="R589" i="1"/>
  <c r="AA569" i="1"/>
  <c r="Y569" i="1" s="1"/>
  <c r="Z570" i="1"/>
  <c r="W569" i="1"/>
  <c r="U569" i="1" s="1"/>
  <c r="V570" i="1"/>
  <c r="R570" i="1"/>
  <c r="S569" i="1"/>
  <c r="Q569" i="1" s="1"/>
  <c r="AA550" i="1"/>
  <c r="Y550" i="1" s="1"/>
  <c r="Z551" i="1"/>
  <c r="V551" i="1"/>
  <c r="W550" i="1"/>
  <c r="U550" i="1" s="1"/>
  <c r="S550" i="1"/>
  <c r="Q550" i="1" s="1"/>
  <c r="R551" i="1"/>
  <c r="Z532" i="1"/>
  <c r="AA531" i="1"/>
  <c r="Y531" i="1" s="1"/>
  <c r="V532" i="1"/>
  <c r="W531" i="1"/>
  <c r="U531" i="1" s="1"/>
  <c r="R532" i="1"/>
  <c r="S531" i="1"/>
  <c r="Q531" i="1" s="1"/>
  <c r="Z513" i="1"/>
  <c r="AA512" i="1"/>
  <c r="Y512" i="1" s="1"/>
  <c r="W512" i="1"/>
  <c r="U512" i="1" s="1"/>
  <c r="V513" i="1"/>
  <c r="S512" i="1"/>
  <c r="Q512" i="1" s="1"/>
  <c r="R513" i="1"/>
  <c r="AA493" i="1"/>
  <c r="Y493" i="1" s="1"/>
  <c r="Z494" i="1"/>
  <c r="W493" i="1"/>
  <c r="U493" i="1" s="1"/>
  <c r="V494" i="1"/>
  <c r="R494" i="1"/>
  <c r="S493" i="1"/>
  <c r="Q493" i="1" s="1"/>
  <c r="A243" i="1"/>
  <c r="A245" i="1"/>
  <c r="AC246" i="1"/>
  <c r="AD246" i="1" s="1"/>
  <c r="AC242" i="1"/>
  <c r="AD242" i="1" s="1"/>
  <c r="AC236" i="1"/>
  <c r="AD236" i="1" s="1"/>
  <c r="AC250" i="1"/>
  <c r="AD250" i="1" s="1"/>
  <c r="AC241" i="1"/>
  <c r="AD241" i="1" s="1"/>
  <c r="AC243" i="1"/>
  <c r="AD243" i="1" s="1"/>
  <c r="AC244" i="1"/>
  <c r="AD244" i="1" s="1"/>
  <c r="AC233" i="1"/>
  <c r="AD233" i="1" s="1"/>
  <c r="AC245" i="1"/>
  <c r="AD245" i="1" s="1"/>
  <c r="A234" i="1"/>
  <c r="AC234" i="1"/>
  <c r="AD234" i="1" s="1"/>
  <c r="AC235" i="1"/>
  <c r="AD235" i="1" s="1"/>
  <c r="AC247" i="1"/>
  <c r="AD247" i="1" s="1"/>
  <c r="AC248" i="1"/>
  <c r="AD248" i="1" s="1"/>
  <c r="A256" i="1"/>
  <c r="AC237" i="1"/>
  <c r="AD237" i="1" s="1"/>
  <c r="AC249" i="1"/>
  <c r="AD249" i="1" s="1"/>
  <c r="AC238" i="1"/>
  <c r="AD238" i="1" s="1"/>
  <c r="AC239" i="1"/>
  <c r="AD239" i="1" s="1"/>
  <c r="A232" i="1"/>
  <c r="AC240" i="1"/>
  <c r="AD240" i="1" s="1"/>
  <c r="A233" i="1"/>
  <c r="A237" i="1"/>
  <c r="A239" i="1"/>
  <c r="A249" i="1"/>
  <c r="A241" i="1"/>
  <c r="A244" i="1"/>
  <c r="A240" i="1"/>
  <c r="A251" i="1"/>
  <c r="A263" i="1"/>
  <c r="A235" i="1"/>
  <c r="A247" i="1"/>
  <c r="A250" i="1"/>
  <c r="A252" i="1"/>
  <c r="A267" i="1"/>
  <c r="A238" i="1"/>
  <c r="A248" i="1"/>
  <c r="A236" i="1"/>
  <c r="A246" i="1"/>
  <c r="A242" i="1"/>
  <c r="Z153" i="1" l="1"/>
  <c r="AA152" i="1"/>
  <c r="Y152" i="1" s="1"/>
  <c r="V77" i="1"/>
  <c r="W76" i="1"/>
  <c r="U76" i="1" s="1"/>
  <c r="Z305" i="1"/>
  <c r="AA304" i="1"/>
  <c r="Y304" i="1" s="1"/>
  <c r="E260" i="1"/>
  <c r="G260" i="1"/>
  <c r="H260" i="1"/>
  <c r="H266" i="1"/>
  <c r="G266" i="1"/>
  <c r="H262" i="1"/>
  <c r="G262" i="1"/>
  <c r="E261" i="1"/>
  <c r="H261" i="1"/>
  <c r="G261" i="1"/>
  <c r="V59" i="1"/>
  <c r="W58" i="1"/>
  <c r="U58" i="1" s="1"/>
  <c r="Z438" i="1"/>
  <c r="Y437" i="1"/>
  <c r="AA437" i="1"/>
  <c r="V154" i="1"/>
  <c r="W153" i="1"/>
  <c r="U153" i="1" s="1"/>
  <c r="Z400" i="1"/>
  <c r="AA399" i="1"/>
  <c r="Y399" i="1" s="1"/>
  <c r="E265" i="1"/>
  <c r="H265" i="1"/>
  <c r="G265" i="1"/>
  <c r="E257" i="1"/>
  <c r="H257" i="1"/>
  <c r="G257" i="1"/>
  <c r="Z20" i="1"/>
  <c r="AA19" i="1"/>
  <c r="Y19" i="1" s="1"/>
  <c r="Z173" i="1"/>
  <c r="AA172" i="1"/>
  <c r="Y172" i="1" s="1"/>
  <c r="R438" i="1"/>
  <c r="S437" i="1"/>
  <c r="Q437" i="1" s="1"/>
  <c r="R191" i="1"/>
  <c r="Q190" i="1"/>
  <c r="S190" i="1"/>
  <c r="Z229" i="1"/>
  <c r="Y228" i="1"/>
  <c r="AA228" i="1"/>
  <c r="V438" i="1"/>
  <c r="W437" i="1"/>
  <c r="U437" i="1" s="1"/>
  <c r="R153" i="1"/>
  <c r="S152" i="1"/>
  <c r="Q152" i="1" s="1"/>
  <c r="Z210" i="1"/>
  <c r="Y209" i="1"/>
  <c r="AA209" i="1"/>
  <c r="R116" i="1"/>
  <c r="S115" i="1"/>
  <c r="Q115" i="1" s="1"/>
  <c r="R324" i="1"/>
  <c r="S323" i="1"/>
  <c r="Q323" i="1" s="1"/>
  <c r="R419" i="1"/>
  <c r="S418" i="1"/>
  <c r="Q418" i="1" s="1"/>
  <c r="Z248" i="1"/>
  <c r="AA247" i="1"/>
  <c r="Y247" i="1" s="1"/>
  <c r="Z324" i="1"/>
  <c r="AA323" i="1"/>
  <c r="Y323" i="1" s="1"/>
  <c r="V173" i="1"/>
  <c r="W172" i="1"/>
  <c r="U172" i="1" s="1"/>
  <c r="R267" i="1"/>
  <c r="S266" i="1"/>
  <c r="Q266" i="1" s="1"/>
  <c r="Z191" i="1"/>
  <c r="AA190" i="1"/>
  <c r="Y190" i="1" s="1"/>
  <c r="R59" i="1"/>
  <c r="S58" i="1"/>
  <c r="Q58" i="1" s="1"/>
  <c r="V134" i="1"/>
  <c r="W133" i="1"/>
  <c r="U133" i="1" s="1"/>
  <c r="V457" i="1"/>
  <c r="W456" i="1"/>
  <c r="U456" i="1" s="1"/>
  <c r="E268" i="1"/>
  <c r="H268" i="1"/>
  <c r="G268" i="1"/>
  <c r="E264" i="1"/>
  <c r="G264" i="1"/>
  <c r="H264" i="1"/>
  <c r="R172" i="1"/>
  <c r="S171" i="1"/>
  <c r="Q171" i="1" s="1"/>
  <c r="V476" i="1"/>
  <c r="W475" i="1"/>
  <c r="U475" i="1" s="1"/>
  <c r="R363" i="1"/>
  <c r="Q362" i="1"/>
  <c r="S362" i="1"/>
  <c r="V343" i="1"/>
  <c r="U342" i="1"/>
  <c r="W342" i="1"/>
  <c r="E255" i="1"/>
  <c r="H255" i="1"/>
  <c r="G255" i="1"/>
  <c r="A268" i="1"/>
  <c r="A264" i="1"/>
  <c r="Z134" i="1"/>
  <c r="AA133" i="1"/>
  <c r="Y133" i="1" s="1"/>
  <c r="Z343" i="1"/>
  <c r="AA342" i="1"/>
  <c r="Y342" i="1" s="1"/>
  <c r="E256" i="1"/>
  <c r="H256" i="1"/>
  <c r="G256" i="1"/>
  <c r="E252" i="1"/>
  <c r="H252" i="1"/>
  <c r="G252" i="1"/>
  <c r="Z77" i="1"/>
  <c r="AA76" i="1"/>
  <c r="Y76" i="1" s="1"/>
  <c r="Z362" i="1"/>
  <c r="AA361" i="1"/>
  <c r="Y361" i="1" s="1"/>
  <c r="V39" i="1"/>
  <c r="W38" i="1"/>
  <c r="U38" i="1" s="1"/>
  <c r="Z381" i="1"/>
  <c r="AA380" i="1"/>
  <c r="Y380" i="1" s="1"/>
  <c r="Z115" i="1"/>
  <c r="AA114" i="1"/>
  <c r="Y114" i="1" s="1"/>
  <c r="R210" i="1"/>
  <c r="S209" i="1"/>
  <c r="Q209" i="1" s="1"/>
  <c r="R39" i="1"/>
  <c r="S38" i="1"/>
  <c r="Q38" i="1" s="1"/>
  <c r="R77" i="1"/>
  <c r="S76" i="1"/>
  <c r="Q76" i="1" s="1"/>
  <c r="R382" i="1"/>
  <c r="S381" i="1"/>
  <c r="Q381" i="1" s="1"/>
  <c r="R248" i="1"/>
  <c r="S247" i="1"/>
  <c r="Q247" i="1" s="1"/>
  <c r="Z58" i="1"/>
  <c r="AA57" i="1"/>
  <c r="Y57" i="1" s="1"/>
  <c r="Z267" i="1"/>
  <c r="AA266" i="1"/>
  <c r="Y266" i="1" s="1"/>
  <c r="R20" i="1"/>
  <c r="S19" i="1"/>
  <c r="Q19" i="1" s="1"/>
  <c r="V248" i="1"/>
  <c r="W247" i="1"/>
  <c r="U247" i="1" s="1"/>
  <c r="Z419" i="1"/>
  <c r="AA418" i="1"/>
  <c r="Y418" i="1" s="1"/>
  <c r="V20" i="1"/>
  <c r="W19" i="1"/>
  <c r="U19" i="1" s="1"/>
  <c r="V286" i="1"/>
  <c r="W285" i="1"/>
  <c r="U285" i="1"/>
  <c r="E253" i="1"/>
  <c r="G253" i="1"/>
  <c r="H253" i="1"/>
  <c r="E258" i="1"/>
  <c r="H258" i="1"/>
  <c r="G258" i="1"/>
  <c r="R96" i="1"/>
  <c r="S95" i="1"/>
  <c r="Q95" i="1" s="1"/>
  <c r="R229" i="1"/>
  <c r="S228" i="1"/>
  <c r="Q228" i="1" s="1"/>
  <c r="V325" i="1"/>
  <c r="W324" i="1"/>
  <c r="U324" i="1" s="1"/>
  <c r="V229" i="1"/>
  <c r="W228" i="1"/>
  <c r="U228" i="1" s="1"/>
  <c r="H251" i="1"/>
  <c r="G251" i="1"/>
  <c r="E267" i="1"/>
  <c r="H267" i="1"/>
  <c r="G267" i="1"/>
  <c r="E263" i="1"/>
  <c r="H263" i="1"/>
  <c r="G263" i="1"/>
  <c r="G254" i="1"/>
  <c r="H254" i="1"/>
  <c r="V210" i="1"/>
  <c r="W209" i="1"/>
  <c r="U209" i="1" s="1"/>
  <c r="Z457" i="1"/>
  <c r="AA456" i="1"/>
  <c r="Y456" i="1" s="1"/>
  <c r="E269" i="1"/>
  <c r="H269" i="1"/>
  <c r="G269" i="1"/>
  <c r="E259" i="1"/>
  <c r="G259" i="1"/>
  <c r="H259" i="1"/>
  <c r="V400" i="1"/>
  <c r="W399" i="1"/>
  <c r="U399" i="1" s="1"/>
  <c r="R401" i="1"/>
  <c r="S400" i="1"/>
  <c r="Q400" i="1" s="1"/>
  <c r="R134" i="1"/>
  <c r="S133" i="1"/>
  <c r="Q133" i="1" s="1"/>
  <c r="V97" i="1"/>
  <c r="W96" i="1"/>
  <c r="U96" i="1" s="1"/>
  <c r="Z96" i="1"/>
  <c r="AA95" i="1"/>
  <c r="Y95" i="1" s="1"/>
  <c r="V115" i="1"/>
  <c r="W114" i="1"/>
  <c r="U114" i="1" s="1"/>
  <c r="R457" i="1"/>
  <c r="Q456" i="1"/>
  <c r="S456" i="1"/>
  <c r="V267" i="1"/>
  <c r="U266" i="1"/>
  <c r="W266" i="1"/>
  <c r="R476" i="1"/>
  <c r="S475" i="1"/>
  <c r="Q475" i="1" s="1"/>
  <c r="R344" i="1"/>
  <c r="S343" i="1"/>
  <c r="Q343" i="1" s="1"/>
  <c r="V382" i="1"/>
  <c r="U381" i="1"/>
  <c r="W381" i="1"/>
  <c r="V305" i="1"/>
  <c r="U304" i="1"/>
  <c r="W304" i="1"/>
  <c r="Z287" i="1"/>
  <c r="AA286" i="1"/>
  <c r="Y286" i="1" s="1"/>
  <c r="R305" i="1"/>
  <c r="S304" i="1"/>
  <c r="Q304" i="1" s="1"/>
  <c r="V419" i="1"/>
  <c r="U418" i="1"/>
  <c r="W418" i="1"/>
  <c r="Z476" i="1"/>
  <c r="Y475" i="1"/>
  <c r="AA475" i="1"/>
  <c r="V191" i="1"/>
  <c r="W190" i="1"/>
  <c r="U190" i="1" s="1"/>
  <c r="R286" i="1"/>
  <c r="S285" i="1"/>
  <c r="Q285" i="1" s="1"/>
  <c r="Z39" i="1"/>
  <c r="Y38" i="1"/>
  <c r="AA38" i="1"/>
  <c r="V362" i="1"/>
  <c r="W361" i="1"/>
  <c r="U361" i="1" s="1"/>
  <c r="V648" i="1"/>
  <c r="W647" i="1"/>
  <c r="U647" i="1"/>
  <c r="R648" i="1"/>
  <c r="S647" i="1"/>
  <c r="Q647" i="1" s="1"/>
  <c r="Z649" i="1"/>
  <c r="AA648" i="1"/>
  <c r="Y648" i="1" s="1"/>
  <c r="R629" i="1"/>
  <c r="S628" i="1"/>
  <c r="Q628" i="1" s="1"/>
  <c r="Z630" i="1"/>
  <c r="AA629" i="1"/>
  <c r="Y629" i="1" s="1"/>
  <c r="V629" i="1"/>
  <c r="W628" i="1"/>
  <c r="U628" i="1"/>
  <c r="R610" i="1"/>
  <c r="S609" i="1"/>
  <c r="Q609" i="1"/>
  <c r="V610" i="1"/>
  <c r="W609" i="1"/>
  <c r="U609" i="1" s="1"/>
  <c r="Z611" i="1"/>
  <c r="AA610" i="1"/>
  <c r="Y610" i="1" s="1"/>
  <c r="Z590" i="1"/>
  <c r="AA589" i="1"/>
  <c r="Y589" i="1" s="1"/>
  <c r="W589" i="1"/>
  <c r="U589" i="1" s="1"/>
  <c r="V590" i="1"/>
  <c r="S589" i="1"/>
  <c r="Q589" i="1"/>
  <c r="R590" i="1"/>
  <c r="AA570" i="1"/>
  <c r="Y570" i="1" s="1"/>
  <c r="Z571" i="1"/>
  <c r="W570" i="1"/>
  <c r="U570" i="1" s="1"/>
  <c r="V571" i="1"/>
  <c r="R571" i="1"/>
  <c r="S570" i="1"/>
  <c r="Q570" i="1" s="1"/>
  <c r="AA551" i="1"/>
  <c r="Y551" i="1" s="1"/>
  <c r="Z552" i="1"/>
  <c r="V552" i="1"/>
  <c r="W551" i="1"/>
  <c r="U551" i="1" s="1"/>
  <c r="S551" i="1"/>
  <c r="Q551" i="1" s="1"/>
  <c r="R552" i="1"/>
  <c r="Z533" i="1"/>
  <c r="AA532" i="1"/>
  <c r="Y532" i="1" s="1"/>
  <c r="W532" i="1"/>
  <c r="V533" i="1"/>
  <c r="U532" i="1"/>
  <c r="R533" i="1"/>
  <c r="S532" i="1"/>
  <c r="Q532" i="1" s="1"/>
  <c r="AA513" i="1"/>
  <c r="Y513" i="1" s="1"/>
  <c r="Z514" i="1"/>
  <c r="W513" i="1"/>
  <c r="U513" i="1" s="1"/>
  <c r="V514" i="1"/>
  <c r="R514" i="1"/>
  <c r="S513" i="1"/>
  <c r="Q513" i="1" s="1"/>
  <c r="Z495" i="1"/>
  <c r="AA494" i="1"/>
  <c r="Y494" i="1" s="1"/>
  <c r="V495" i="1"/>
  <c r="W494" i="1"/>
  <c r="U494" i="1" s="1"/>
  <c r="R495" i="1"/>
  <c r="S494" i="1"/>
  <c r="Q494" i="1" s="1"/>
  <c r="A266" i="1"/>
  <c r="E266" i="1"/>
  <c r="A262" i="1"/>
  <c r="E262" i="1"/>
  <c r="A254" i="1"/>
  <c r="E254" i="1"/>
  <c r="E251" i="1"/>
  <c r="AE248" i="1"/>
  <c r="AE245" i="1"/>
  <c r="AE240" i="1"/>
  <c r="AE239" i="1"/>
  <c r="AE250" i="1"/>
  <c r="AE242" i="1"/>
  <c r="AE249" i="1"/>
  <c r="AE244" i="1"/>
  <c r="AE241" i="1"/>
  <c r="AE246" i="1"/>
  <c r="AE243" i="1"/>
  <c r="AE247" i="1"/>
  <c r="A259" i="1"/>
  <c r="AC260" i="1"/>
  <c r="AD260" i="1" s="1"/>
  <c r="AC263" i="1"/>
  <c r="AD263" i="1" s="1"/>
  <c r="AC258" i="1"/>
  <c r="AD258" i="1" s="1"/>
  <c r="AC254" i="1"/>
  <c r="AD254" i="1" s="1"/>
  <c r="AC269" i="1"/>
  <c r="AD269" i="1" s="1"/>
  <c r="AC257" i="1"/>
  <c r="AD257" i="1" s="1"/>
  <c r="AC268" i="1"/>
  <c r="AD268" i="1" s="1"/>
  <c r="AC264" i="1"/>
  <c r="AD264" i="1" s="1"/>
  <c r="AC253" i="1"/>
  <c r="AD253" i="1" s="1"/>
  <c r="A257" i="1"/>
  <c r="AC265" i="1"/>
  <c r="AD265" i="1" s="1"/>
  <c r="AC256" i="1"/>
  <c r="AD256" i="1" s="1"/>
  <c r="AC252" i="1"/>
  <c r="AD252" i="1" s="1"/>
  <c r="AC267" i="1"/>
  <c r="AD267" i="1" s="1"/>
  <c r="AC261" i="1"/>
  <c r="AD261" i="1" s="1"/>
  <c r="AC255" i="1"/>
  <c r="AD255" i="1" s="1"/>
  <c r="AC259" i="1"/>
  <c r="AD259" i="1" s="1"/>
  <c r="A258" i="1"/>
  <c r="AC266" i="1"/>
  <c r="AD266" i="1" s="1"/>
  <c r="AC262" i="1"/>
  <c r="AD262" i="1" s="1"/>
  <c r="A260" i="1"/>
  <c r="A253" i="1"/>
  <c r="A269" i="1"/>
  <c r="A265" i="1"/>
  <c r="A255" i="1"/>
  <c r="A261" i="1"/>
  <c r="G25" i="4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24" i="4"/>
  <c r="G44" i="4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43" i="4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5" i="4"/>
  <c r="R364" i="1" l="1"/>
  <c r="S363" i="1"/>
  <c r="Q363" i="1" s="1"/>
  <c r="Z192" i="1"/>
  <c r="AA191" i="1"/>
  <c r="Y191" i="1" s="1"/>
  <c r="Z249" i="1"/>
  <c r="AA248" i="1"/>
  <c r="Y248" i="1" s="1"/>
  <c r="Z211" i="1"/>
  <c r="AA210" i="1"/>
  <c r="Y210" i="1" s="1"/>
  <c r="R192" i="1"/>
  <c r="S191" i="1"/>
  <c r="Q191" i="1" s="1"/>
  <c r="Z439" i="1"/>
  <c r="AA438" i="1"/>
  <c r="Y438" i="1" s="1"/>
  <c r="E278" i="1"/>
  <c r="AC278" i="1"/>
  <c r="AD278" i="1" s="1"/>
  <c r="H278" i="1"/>
  <c r="G278" i="1"/>
  <c r="Z40" i="1"/>
  <c r="Y39" i="1"/>
  <c r="AA39" i="1"/>
  <c r="R230" i="1"/>
  <c r="S229" i="1"/>
  <c r="Q229" i="1" s="1"/>
  <c r="V287" i="1"/>
  <c r="W286" i="1"/>
  <c r="U286" i="1" s="1"/>
  <c r="R21" i="1"/>
  <c r="S20" i="1"/>
  <c r="Q20" i="1" s="1"/>
  <c r="R383" i="1"/>
  <c r="Q382" i="1"/>
  <c r="S382" i="1"/>
  <c r="Z116" i="1"/>
  <c r="AA115" i="1"/>
  <c r="Y115" i="1" s="1"/>
  <c r="Z78" i="1"/>
  <c r="AA77" i="1"/>
  <c r="Y77" i="1" s="1"/>
  <c r="Z135" i="1"/>
  <c r="AA134" i="1"/>
  <c r="Y134" i="1" s="1"/>
  <c r="H282" i="1"/>
  <c r="AC282" i="1"/>
  <c r="AD282" i="1" s="1"/>
  <c r="G282" i="1"/>
  <c r="V420" i="1"/>
  <c r="W419" i="1"/>
  <c r="U419" i="1" s="1"/>
  <c r="E272" i="1"/>
  <c r="AC272" i="1"/>
  <c r="H272" i="1"/>
  <c r="G272" i="1"/>
  <c r="AC279" i="1"/>
  <c r="AD279" i="1" s="1"/>
  <c r="H279" i="1"/>
  <c r="G279" i="1"/>
  <c r="E281" i="1"/>
  <c r="AC281" i="1"/>
  <c r="H281" i="1"/>
  <c r="G281" i="1"/>
  <c r="V477" i="1"/>
  <c r="U476" i="1"/>
  <c r="W476" i="1"/>
  <c r="V458" i="1"/>
  <c r="W457" i="1"/>
  <c r="U457" i="1" s="1"/>
  <c r="R268" i="1"/>
  <c r="S267" i="1"/>
  <c r="Q267" i="1" s="1"/>
  <c r="R420" i="1"/>
  <c r="S419" i="1"/>
  <c r="Q419" i="1" s="1"/>
  <c r="R154" i="1"/>
  <c r="Q153" i="1"/>
  <c r="S153" i="1"/>
  <c r="R439" i="1"/>
  <c r="S438" i="1"/>
  <c r="Q438" i="1" s="1"/>
  <c r="V60" i="1"/>
  <c r="W59" i="1"/>
  <c r="U59" i="1" s="1"/>
  <c r="R458" i="1"/>
  <c r="S457" i="1"/>
  <c r="Q457" i="1" s="1"/>
  <c r="E284" i="1"/>
  <c r="AC284" i="1"/>
  <c r="AD284" i="1" s="1"/>
  <c r="H284" i="1"/>
  <c r="G284" i="1"/>
  <c r="E285" i="1"/>
  <c r="AC285" i="1"/>
  <c r="AD285" i="1" s="1"/>
  <c r="H285" i="1"/>
  <c r="G285" i="1"/>
  <c r="R287" i="1"/>
  <c r="S286" i="1"/>
  <c r="Q286" i="1" s="1"/>
  <c r="R402" i="1"/>
  <c r="S401" i="1"/>
  <c r="Q401" i="1" s="1"/>
  <c r="R97" i="1"/>
  <c r="Q96" i="1"/>
  <c r="S96" i="1"/>
  <c r="V21" i="1"/>
  <c r="W20" i="1"/>
  <c r="U20" i="1" s="1"/>
  <c r="Z268" i="1"/>
  <c r="AA267" i="1"/>
  <c r="Y267" i="1" s="1"/>
  <c r="R78" i="1"/>
  <c r="S77" i="1"/>
  <c r="Q77" i="1" s="1"/>
  <c r="Z382" i="1"/>
  <c r="AA381" i="1"/>
  <c r="Y381" i="1" s="1"/>
  <c r="Z306" i="1"/>
  <c r="AA305" i="1"/>
  <c r="Y305" i="1" s="1"/>
  <c r="E277" i="1"/>
  <c r="H277" i="1"/>
  <c r="G277" i="1"/>
  <c r="AC277" i="1"/>
  <c r="V383" i="1"/>
  <c r="W382" i="1"/>
  <c r="U382" i="1" s="1"/>
  <c r="E270" i="1"/>
  <c r="H270" i="1"/>
  <c r="G270" i="1"/>
  <c r="E276" i="1"/>
  <c r="H276" i="1"/>
  <c r="G276" i="1"/>
  <c r="AC276" i="1"/>
  <c r="E286" i="1"/>
  <c r="H286" i="1"/>
  <c r="G286" i="1"/>
  <c r="AC286" i="1"/>
  <c r="AD286" i="1" s="1"/>
  <c r="V192" i="1"/>
  <c r="W191" i="1"/>
  <c r="U191" i="1" s="1"/>
  <c r="Z288" i="1"/>
  <c r="AA287" i="1"/>
  <c r="Y287" i="1" s="1"/>
  <c r="R477" i="1"/>
  <c r="S476" i="1"/>
  <c r="Q476" i="1" s="1"/>
  <c r="Z97" i="1"/>
  <c r="Y96" i="1"/>
  <c r="AA96" i="1"/>
  <c r="V401" i="1"/>
  <c r="W400" i="1"/>
  <c r="U400" i="1" s="1"/>
  <c r="V211" i="1"/>
  <c r="U210" i="1"/>
  <c r="W210" i="1"/>
  <c r="R173" i="1"/>
  <c r="S172" i="1"/>
  <c r="Q172" i="1" s="1"/>
  <c r="V135" i="1"/>
  <c r="W134" i="1"/>
  <c r="U134" i="1" s="1"/>
  <c r="V174" i="1"/>
  <c r="U173" i="1"/>
  <c r="W173" i="1"/>
  <c r="R325" i="1"/>
  <c r="S324" i="1"/>
  <c r="Q324" i="1" s="1"/>
  <c r="V439" i="1"/>
  <c r="W438" i="1"/>
  <c r="U438" i="1" s="1"/>
  <c r="Z174" i="1"/>
  <c r="Y173" i="1"/>
  <c r="AA173" i="1"/>
  <c r="Z401" i="1"/>
  <c r="AA400" i="1"/>
  <c r="Y400" i="1" s="1"/>
  <c r="H288" i="1"/>
  <c r="G288" i="1"/>
  <c r="AC288" i="1"/>
  <c r="AD288" i="1" s="1"/>
  <c r="R135" i="1"/>
  <c r="S134" i="1"/>
  <c r="Q134" i="1" s="1"/>
  <c r="E274" i="1"/>
  <c r="H274" i="1"/>
  <c r="G274" i="1"/>
  <c r="AC274" i="1"/>
  <c r="V230" i="1"/>
  <c r="W229" i="1"/>
  <c r="U229" i="1" s="1"/>
  <c r="Z420" i="1"/>
  <c r="AA419" i="1"/>
  <c r="Y419" i="1" s="1"/>
  <c r="Z59" i="1"/>
  <c r="Y58" i="1"/>
  <c r="AA58" i="1"/>
  <c r="R40" i="1"/>
  <c r="S39" i="1"/>
  <c r="Q39" i="1" s="1"/>
  <c r="V40" i="1"/>
  <c r="W39" i="1"/>
  <c r="U39" i="1" s="1"/>
  <c r="V78" i="1"/>
  <c r="W77" i="1"/>
  <c r="U77" i="1" s="1"/>
  <c r="AC280" i="1"/>
  <c r="H280" i="1"/>
  <c r="G280" i="1"/>
  <c r="R306" i="1"/>
  <c r="S305" i="1"/>
  <c r="Q305" i="1" s="1"/>
  <c r="V116" i="1"/>
  <c r="W115" i="1"/>
  <c r="U115" i="1" s="1"/>
  <c r="Z458" i="1"/>
  <c r="AA457" i="1"/>
  <c r="Y457" i="1" s="1"/>
  <c r="E271" i="1"/>
  <c r="H271" i="1"/>
  <c r="G271" i="1"/>
  <c r="AC271" i="1"/>
  <c r="AD271" i="1" s="1"/>
  <c r="V363" i="1"/>
  <c r="U362" i="1"/>
  <c r="W362" i="1"/>
  <c r="Z477" i="1"/>
  <c r="AA476" i="1"/>
  <c r="Y476" i="1" s="1"/>
  <c r="V306" i="1"/>
  <c r="W305" i="1"/>
  <c r="U305" i="1" s="1"/>
  <c r="V268" i="1"/>
  <c r="W267" i="1"/>
  <c r="U267" i="1" s="1"/>
  <c r="V98" i="1"/>
  <c r="W97" i="1"/>
  <c r="U97" i="1" s="1"/>
  <c r="V344" i="1"/>
  <c r="W343" i="1"/>
  <c r="U343" i="1" s="1"/>
  <c r="R60" i="1"/>
  <c r="S59" i="1"/>
  <c r="Q59" i="1" s="1"/>
  <c r="Z325" i="1"/>
  <c r="AA324" i="1"/>
  <c r="Y324" i="1" s="1"/>
  <c r="R117" i="1"/>
  <c r="Q116" i="1"/>
  <c r="S116" i="1"/>
  <c r="Z230" i="1"/>
  <c r="AA229" i="1"/>
  <c r="Y229" i="1" s="1"/>
  <c r="Z21" i="1"/>
  <c r="AA20" i="1"/>
  <c r="Y20" i="1" s="1"/>
  <c r="V155" i="1"/>
  <c r="U154" i="1"/>
  <c r="W154" i="1"/>
  <c r="R345" i="1"/>
  <c r="S344" i="1"/>
  <c r="Q344" i="1" s="1"/>
  <c r="A270" i="1"/>
  <c r="E273" i="1"/>
  <c r="AC273" i="1"/>
  <c r="AD273" i="1" s="1"/>
  <c r="H273" i="1"/>
  <c r="G273" i="1"/>
  <c r="E283" i="1"/>
  <c r="H283" i="1"/>
  <c r="G283" i="1"/>
  <c r="AC283" i="1"/>
  <c r="AD283" i="1" s="1"/>
  <c r="E275" i="1"/>
  <c r="H275" i="1"/>
  <c r="G275" i="1"/>
  <c r="AC275" i="1"/>
  <c r="AD275" i="1" s="1"/>
  <c r="E287" i="1"/>
  <c r="H287" i="1"/>
  <c r="G287" i="1"/>
  <c r="AC287" i="1"/>
  <c r="AD287" i="1" s="1"/>
  <c r="V326" i="1"/>
  <c r="W325" i="1"/>
  <c r="U325" i="1" s="1"/>
  <c r="V249" i="1"/>
  <c r="W248" i="1"/>
  <c r="U248" i="1" s="1"/>
  <c r="R249" i="1"/>
  <c r="S248" i="1"/>
  <c r="Q248" i="1" s="1"/>
  <c r="R211" i="1"/>
  <c r="Q210" i="1"/>
  <c r="S210" i="1"/>
  <c r="Z363" i="1"/>
  <c r="AA362" i="1"/>
  <c r="Y362" i="1" s="1"/>
  <c r="Z344" i="1"/>
  <c r="AA343" i="1"/>
  <c r="Y343" i="1" s="1"/>
  <c r="Z154" i="1"/>
  <c r="AA153" i="1"/>
  <c r="Y153" i="1" s="1"/>
  <c r="S648" i="1"/>
  <c r="Q648" i="1"/>
  <c r="R649" i="1"/>
  <c r="AA649" i="1"/>
  <c r="Y649" i="1" s="1"/>
  <c r="W648" i="1"/>
  <c r="U648" i="1" s="1"/>
  <c r="V649" i="1"/>
  <c r="AA630" i="1"/>
  <c r="Y630" i="1" s="1"/>
  <c r="W629" i="1"/>
  <c r="U629" i="1" s="1"/>
  <c r="V630" i="1"/>
  <c r="S629" i="1"/>
  <c r="Q629" i="1" s="1"/>
  <c r="R630" i="1"/>
  <c r="AA611" i="1"/>
  <c r="Y611" i="1"/>
  <c r="W610" i="1"/>
  <c r="U610" i="1" s="1"/>
  <c r="V611" i="1"/>
  <c r="S610" i="1"/>
  <c r="Q610" i="1"/>
  <c r="R611" i="1"/>
  <c r="Z591" i="1"/>
  <c r="AA590" i="1"/>
  <c r="Y590" i="1" s="1"/>
  <c r="W590" i="1"/>
  <c r="U590" i="1" s="1"/>
  <c r="V591" i="1"/>
  <c r="S590" i="1"/>
  <c r="Q590" i="1" s="1"/>
  <c r="R591" i="1"/>
  <c r="Z572" i="1"/>
  <c r="AA571" i="1"/>
  <c r="Y571" i="1" s="1"/>
  <c r="W571" i="1"/>
  <c r="U571" i="1" s="1"/>
  <c r="V572" i="1"/>
  <c r="R572" i="1"/>
  <c r="S571" i="1"/>
  <c r="Q571" i="1" s="1"/>
  <c r="AA552" i="1"/>
  <c r="Y552" i="1" s="1"/>
  <c r="Z553" i="1"/>
  <c r="V553" i="1"/>
  <c r="W552" i="1"/>
  <c r="U552" i="1" s="1"/>
  <c r="R553" i="1"/>
  <c r="S552" i="1"/>
  <c r="Q552" i="1" s="1"/>
  <c r="AA533" i="1"/>
  <c r="Y533" i="1" s="1"/>
  <c r="Z534" i="1"/>
  <c r="V534" i="1"/>
  <c r="W533" i="1"/>
  <c r="U533" i="1" s="1"/>
  <c r="S533" i="1"/>
  <c r="Q533" i="1" s="1"/>
  <c r="R534" i="1"/>
  <c r="AA514" i="1"/>
  <c r="Y514" i="1" s="1"/>
  <c r="Z515" i="1"/>
  <c r="V515" i="1"/>
  <c r="W514" i="1"/>
  <c r="U514" i="1" s="1"/>
  <c r="S514" i="1"/>
  <c r="Q514" i="1" s="1"/>
  <c r="R515" i="1"/>
  <c r="Z496" i="1"/>
  <c r="AA495" i="1"/>
  <c r="Y495" i="1" s="1"/>
  <c r="W495" i="1"/>
  <c r="U495" i="1" s="1"/>
  <c r="V496" i="1"/>
  <c r="S495" i="1"/>
  <c r="R496" i="1"/>
  <c r="Q495" i="1"/>
  <c r="AD280" i="1"/>
  <c r="E280" i="1"/>
  <c r="A282" i="1"/>
  <c r="E282" i="1"/>
  <c r="E279" i="1"/>
  <c r="A307" i="1"/>
  <c r="E288" i="1"/>
  <c r="AE261" i="1"/>
  <c r="AE269" i="1"/>
  <c r="AE258" i="1"/>
  <c r="AE260" i="1"/>
  <c r="AE266" i="1"/>
  <c r="AE264" i="1"/>
  <c r="AE268" i="1"/>
  <c r="AE265" i="1"/>
  <c r="AE262" i="1"/>
  <c r="AE259" i="1"/>
  <c r="AE263" i="1"/>
  <c r="AE267" i="1"/>
  <c r="A288" i="1"/>
  <c r="A294" i="1"/>
  <c r="A287" i="1"/>
  <c r="A272" i="1"/>
  <c r="A296" i="1"/>
  <c r="AD274" i="1"/>
  <c r="AD272" i="1"/>
  <c r="A274" i="1"/>
  <c r="A284" i="1"/>
  <c r="A283" i="1"/>
  <c r="A286" i="1"/>
  <c r="AD276" i="1"/>
  <c r="A276" i="1"/>
  <c r="A275" i="1"/>
  <c r="AD281" i="1"/>
  <c r="A281" i="1"/>
  <c r="A271" i="1"/>
  <c r="A278" i="1"/>
  <c r="A280" i="1"/>
  <c r="A285" i="1"/>
  <c r="A273" i="1"/>
  <c r="AD277" i="1"/>
  <c r="A277" i="1"/>
  <c r="A279" i="1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Z22" i="1" l="1"/>
  <c r="AA21" i="1"/>
  <c r="Y21" i="1" s="1"/>
  <c r="V307" i="1"/>
  <c r="W306" i="1"/>
  <c r="U306" i="1" s="1"/>
  <c r="R136" i="1"/>
  <c r="S135" i="1"/>
  <c r="Q135" i="1" s="1"/>
  <c r="V440" i="1"/>
  <c r="W439" i="1"/>
  <c r="U439" i="1" s="1"/>
  <c r="R174" i="1"/>
  <c r="S173" i="1"/>
  <c r="Q173" i="1"/>
  <c r="R478" i="1"/>
  <c r="S477" i="1"/>
  <c r="Q477" i="1" s="1"/>
  <c r="Z269" i="1"/>
  <c r="AA268" i="1"/>
  <c r="Y268" i="1" s="1"/>
  <c r="R288" i="1"/>
  <c r="S287" i="1"/>
  <c r="Q287" i="1" s="1"/>
  <c r="R212" i="1"/>
  <c r="S211" i="1"/>
  <c r="Q211" i="1" s="1"/>
  <c r="Z459" i="1"/>
  <c r="AA458" i="1"/>
  <c r="Y458" i="1" s="1"/>
  <c r="V79" i="1"/>
  <c r="W78" i="1"/>
  <c r="U78" i="1" s="1"/>
  <c r="Z421" i="1"/>
  <c r="AA420" i="1"/>
  <c r="Y420" i="1" s="1"/>
  <c r="S383" i="1"/>
  <c r="Q383" i="1" s="1"/>
  <c r="Z41" i="1"/>
  <c r="AA40" i="1"/>
  <c r="Y40" i="1" s="1"/>
  <c r="E304" i="1"/>
  <c r="AC304" i="1"/>
  <c r="AD304" i="1" s="1"/>
  <c r="H304" i="1"/>
  <c r="G304" i="1"/>
  <c r="R269" i="1"/>
  <c r="S268" i="1"/>
  <c r="Q268" i="1" s="1"/>
  <c r="Z478" i="1"/>
  <c r="AA477" i="1"/>
  <c r="Y477" i="1" s="1"/>
  <c r="R326" i="1"/>
  <c r="S325" i="1"/>
  <c r="Q325" i="1" s="1"/>
  <c r="AA288" i="1"/>
  <c r="Y288" i="1" s="1"/>
  <c r="E296" i="1"/>
  <c r="AC296" i="1"/>
  <c r="AD296" i="1" s="1"/>
  <c r="H296" i="1"/>
  <c r="G296" i="1"/>
  <c r="Z155" i="1"/>
  <c r="AA154" i="1"/>
  <c r="Y154" i="1" s="1"/>
  <c r="R250" i="1"/>
  <c r="S249" i="1"/>
  <c r="Q249" i="1" s="1"/>
  <c r="V117" i="1"/>
  <c r="W116" i="1"/>
  <c r="U116" i="1" s="1"/>
  <c r="V41" i="1"/>
  <c r="W40" i="1"/>
  <c r="U40" i="1" s="1"/>
  <c r="V231" i="1"/>
  <c r="W230" i="1"/>
  <c r="U230" i="1" s="1"/>
  <c r="Z136" i="1"/>
  <c r="AA135" i="1"/>
  <c r="Y135" i="1" s="1"/>
  <c r="R22" i="1"/>
  <c r="S21" i="1"/>
  <c r="Q21" i="1" s="1"/>
  <c r="Z212" i="1"/>
  <c r="AA211" i="1"/>
  <c r="Y211" i="1" s="1"/>
  <c r="E315" i="1"/>
  <c r="AC315" i="1"/>
  <c r="AD315" i="1" s="1"/>
  <c r="H315" i="1"/>
  <c r="G315" i="1"/>
  <c r="Z231" i="1"/>
  <c r="AA230" i="1"/>
  <c r="Y230" i="1" s="1"/>
  <c r="Z307" i="1"/>
  <c r="AA306" i="1"/>
  <c r="Y306" i="1" s="1"/>
  <c r="E300" i="1"/>
  <c r="H300" i="1"/>
  <c r="G300" i="1"/>
  <c r="AC300" i="1"/>
  <c r="AD300" i="1" s="1"/>
  <c r="E289" i="1"/>
  <c r="H289" i="1"/>
  <c r="G289" i="1"/>
  <c r="AC289" i="1"/>
  <c r="R440" i="1"/>
  <c r="S439" i="1"/>
  <c r="Q439" i="1" s="1"/>
  <c r="V459" i="1"/>
  <c r="U458" i="1"/>
  <c r="W458" i="1"/>
  <c r="Z250" i="1"/>
  <c r="AA249" i="1"/>
  <c r="Y249" i="1" s="1"/>
  <c r="S60" i="1"/>
  <c r="Q60" i="1" s="1"/>
  <c r="W60" i="1"/>
  <c r="U60" i="1" s="1"/>
  <c r="AC292" i="1"/>
  <c r="AD292" i="1" s="1"/>
  <c r="H292" i="1"/>
  <c r="G292" i="1"/>
  <c r="S345" i="1"/>
  <c r="Q345" i="1" s="1"/>
  <c r="S117" i="1"/>
  <c r="Q117" i="1" s="1"/>
  <c r="U98" i="1"/>
  <c r="W98" i="1"/>
  <c r="V364" i="1"/>
  <c r="W363" i="1"/>
  <c r="U363" i="1" s="1"/>
  <c r="Z402" i="1"/>
  <c r="AA401" i="1"/>
  <c r="Y401" i="1" s="1"/>
  <c r="W174" i="1"/>
  <c r="U174" i="1" s="1"/>
  <c r="V402" i="1"/>
  <c r="W401" i="1"/>
  <c r="U401" i="1" s="1"/>
  <c r="V193" i="1"/>
  <c r="U192" i="1"/>
  <c r="W192" i="1"/>
  <c r="Z383" i="1"/>
  <c r="AA382" i="1"/>
  <c r="Y382" i="1" s="1"/>
  <c r="R98" i="1"/>
  <c r="S97" i="1"/>
  <c r="Q97" i="1" s="1"/>
  <c r="V345" i="1"/>
  <c r="W344" i="1"/>
  <c r="U344" i="1" s="1"/>
  <c r="Z345" i="1"/>
  <c r="AA344" i="1"/>
  <c r="Y344" i="1" s="1"/>
  <c r="V250" i="1"/>
  <c r="W249" i="1"/>
  <c r="U249" i="1" s="1"/>
  <c r="R307" i="1"/>
  <c r="Q306" i="1"/>
  <c r="S306" i="1"/>
  <c r="R41" i="1"/>
  <c r="S40" i="1"/>
  <c r="Q40" i="1" s="1"/>
  <c r="Z79" i="1"/>
  <c r="Y78" i="1"/>
  <c r="AA78" i="1"/>
  <c r="V288" i="1"/>
  <c r="W287" i="1"/>
  <c r="U287" i="1" s="1"/>
  <c r="E293" i="1"/>
  <c r="AC293" i="1"/>
  <c r="AD293" i="1" s="1"/>
  <c r="H293" i="1"/>
  <c r="G293" i="1"/>
  <c r="E307" i="1"/>
  <c r="H307" i="1"/>
  <c r="G307" i="1"/>
  <c r="AC307" i="1"/>
  <c r="AD307" i="1" s="1"/>
  <c r="E301" i="1"/>
  <c r="H301" i="1"/>
  <c r="G301" i="1"/>
  <c r="AC301" i="1"/>
  <c r="AD301" i="1" s="1"/>
  <c r="E303" i="1"/>
  <c r="AC303" i="1"/>
  <c r="AD303" i="1" s="1"/>
  <c r="H303" i="1"/>
  <c r="G303" i="1"/>
  <c r="E295" i="1"/>
  <c r="H295" i="1"/>
  <c r="G295" i="1"/>
  <c r="AC295" i="1"/>
  <c r="AD295" i="1" s="1"/>
  <c r="W383" i="1"/>
  <c r="U383" i="1" s="1"/>
  <c r="R155" i="1"/>
  <c r="S154" i="1"/>
  <c r="Q154" i="1" s="1"/>
  <c r="V478" i="1"/>
  <c r="W477" i="1"/>
  <c r="U477" i="1" s="1"/>
  <c r="Z440" i="1"/>
  <c r="AA439" i="1"/>
  <c r="Y439" i="1" s="1"/>
  <c r="Z193" i="1"/>
  <c r="AA192" i="1"/>
  <c r="Y192" i="1" s="1"/>
  <c r="E297" i="1"/>
  <c r="AC297" i="1"/>
  <c r="AD297" i="1" s="1"/>
  <c r="H297" i="1"/>
  <c r="G297" i="1"/>
  <c r="U155" i="1"/>
  <c r="W155" i="1"/>
  <c r="Z326" i="1"/>
  <c r="AA325" i="1"/>
  <c r="Y325" i="1" s="1"/>
  <c r="V269" i="1"/>
  <c r="W268" i="1"/>
  <c r="U268" i="1"/>
  <c r="AA174" i="1"/>
  <c r="Y174" i="1" s="1"/>
  <c r="V136" i="1"/>
  <c r="W135" i="1"/>
  <c r="U135" i="1" s="1"/>
  <c r="Z98" i="1"/>
  <c r="AA97" i="1"/>
  <c r="Y97" i="1" s="1"/>
  <c r="R79" i="1"/>
  <c r="Q78" i="1"/>
  <c r="S78" i="1"/>
  <c r="S402" i="1"/>
  <c r="Q402" i="1" s="1"/>
  <c r="V212" i="1"/>
  <c r="W211" i="1"/>
  <c r="U211" i="1"/>
  <c r="V22" i="1"/>
  <c r="W21" i="1"/>
  <c r="U21" i="1" s="1"/>
  <c r="E294" i="1"/>
  <c r="H294" i="1"/>
  <c r="AC294" i="1"/>
  <c r="AD294" i="1" s="1"/>
  <c r="G294" i="1"/>
  <c r="Z364" i="1"/>
  <c r="Y363" i="1"/>
  <c r="AA363" i="1"/>
  <c r="W326" i="1"/>
  <c r="U326" i="1" s="1"/>
  <c r="Z60" i="1"/>
  <c r="AA59" i="1"/>
  <c r="Y59" i="1" s="1"/>
  <c r="V421" i="1"/>
  <c r="W420" i="1"/>
  <c r="U420" i="1" s="1"/>
  <c r="Z117" i="1"/>
  <c r="AA116" i="1"/>
  <c r="Y116" i="1"/>
  <c r="R231" i="1"/>
  <c r="S230" i="1"/>
  <c r="Q230" i="1" s="1"/>
  <c r="E305" i="1"/>
  <c r="AC305" i="1"/>
  <c r="AD305" i="1" s="1"/>
  <c r="H305" i="1"/>
  <c r="G305" i="1"/>
  <c r="E302" i="1"/>
  <c r="AC302" i="1"/>
  <c r="AD302" i="1" s="1"/>
  <c r="H302" i="1"/>
  <c r="G302" i="1"/>
  <c r="E299" i="1"/>
  <c r="H299" i="1"/>
  <c r="G299" i="1"/>
  <c r="AC299" i="1"/>
  <c r="AD299" i="1" s="1"/>
  <c r="E291" i="1"/>
  <c r="AC291" i="1"/>
  <c r="AD291" i="1" s="1"/>
  <c r="H291" i="1"/>
  <c r="G291" i="1"/>
  <c r="E306" i="1"/>
  <c r="H306" i="1"/>
  <c r="AC306" i="1"/>
  <c r="AD306" i="1" s="1"/>
  <c r="G306" i="1"/>
  <c r="E290" i="1"/>
  <c r="AC290" i="1"/>
  <c r="AD290" i="1" s="1"/>
  <c r="H290" i="1"/>
  <c r="G290" i="1"/>
  <c r="E298" i="1"/>
  <c r="H298" i="1"/>
  <c r="G298" i="1"/>
  <c r="AC298" i="1"/>
  <c r="AD298" i="1" s="1"/>
  <c r="A289" i="1"/>
  <c r="R459" i="1"/>
  <c r="S458" i="1"/>
  <c r="Q458" i="1" s="1"/>
  <c r="R421" i="1"/>
  <c r="Q420" i="1"/>
  <c r="S420" i="1"/>
  <c r="R193" i="1"/>
  <c r="S192" i="1"/>
  <c r="Q192" i="1" s="1"/>
  <c r="S364" i="1"/>
  <c r="Q364" i="1" s="1"/>
  <c r="W649" i="1"/>
  <c r="U649" i="1" s="1"/>
  <c r="S649" i="1"/>
  <c r="Q649" i="1"/>
  <c r="S630" i="1"/>
  <c r="Q630" i="1" s="1"/>
  <c r="W630" i="1"/>
  <c r="U630" i="1" s="1"/>
  <c r="S611" i="1"/>
  <c r="Q611" i="1" s="1"/>
  <c r="W611" i="1"/>
  <c r="U611" i="1" s="1"/>
  <c r="Z592" i="1"/>
  <c r="AA591" i="1"/>
  <c r="Y591" i="1" s="1"/>
  <c r="V592" i="1"/>
  <c r="W591" i="1"/>
  <c r="U591" i="1" s="1"/>
  <c r="R592" i="1"/>
  <c r="S591" i="1"/>
  <c r="Q591" i="1" s="1"/>
  <c r="AA572" i="1"/>
  <c r="Y572" i="1" s="1"/>
  <c r="Z573" i="1"/>
  <c r="W572" i="1"/>
  <c r="U572" i="1" s="1"/>
  <c r="V573" i="1"/>
  <c r="S572" i="1"/>
  <c r="Q572" i="1" s="1"/>
  <c r="R573" i="1"/>
  <c r="AA553" i="1"/>
  <c r="Y553" i="1" s="1"/>
  <c r="Z554" i="1"/>
  <c r="V554" i="1"/>
  <c r="W553" i="1"/>
  <c r="U553" i="1" s="1"/>
  <c r="S553" i="1"/>
  <c r="Q553" i="1" s="1"/>
  <c r="R554" i="1"/>
  <c r="AA534" i="1"/>
  <c r="Y534" i="1" s="1"/>
  <c r="Z535" i="1"/>
  <c r="V535" i="1"/>
  <c r="U534" i="1"/>
  <c r="W534" i="1"/>
  <c r="R535" i="1"/>
  <c r="S534" i="1"/>
  <c r="Q534" i="1" s="1"/>
  <c r="AA515" i="1"/>
  <c r="Y515" i="1"/>
  <c r="Z516" i="1"/>
  <c r="V516" i="1"/>
  <c r="W515" i="1"/>
  <c r="U515" i="1" s="1"/>
  <c r="R516" i="1"/>
  <c r="S515" i="1"/>
  <c r="Q515" i="1" s="1"/>
  <c r="Z497" i="1"/>
  <c r="AA496" i="1"/>
  <c r="Y496" i="1" s="1"/>
  <c r="V497" i="1"/>
  <c r="W496" i="1"/>
  <c r="U496" i="1"/>
  <c r="S496" i="1"/>
  <c r="Q496" i="1"/>
  <c r="R497" i="1"/>
  <c r="A298" i="1"/>
  <c r="AE283" i="1"/>
  <c r="E292" i="1"/>
  <c r="A295" i="1"/>
  <c r="A306" i="1"/>
  <c r="AE279" i="1"/>
  <c r="AE281" i="1"/>
  <c r="AE284" i="1"/>
  <c r="AE287" i="1"/>
  <c r="AE288" i="1"/>
  <c r="AE282" i="1"/>
  <c r="AE280" i="1"/>
  <c r="AE277" i="1"/>
  <c r="AE286" i="1"/>
  <c r="AE285" i="1"/>
  <c r="AE278" i="1"/>
  <c r="A297" i="1"/>
  <c r="A303" i="1"/>
  <c r="A292" i="1"/>
  <c r="A302" i="1"/>
  <c r="A299" i="1"/>
  <c r="A305" i="1"/>
  <c r="A300" i="1"/>
  <c r="A290" i="1"/>
  <c r="A304" i="1"/>
  <c r="A291" i="1"/>
  <c r="A301" i="1"/>
  <c r="A311" i="1"/>
  <c r="A314" i="1"/>
  <c r="A293" i="1"/>
  <c r="A326" i="1"/>
  <c r="A315" i="1"/>
  <c r="A313" i="1"/>
  <c r="A317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1" i="1"/>
  <c r="A150" i="1"/>
  <c r="A149" i="1"/>
  <c r="A148" i="1"/>
  <c r="A147" i="1"/>
  <c r="A145" i="1"/>
  <c r="A144" i="1"/>
  <c r="A143" i="1"/>
  <c r="A142" i="1"/>
  <c r="A141" i="1"/>
  <c r="A139" i="1"/>
  <c r="A138" i="1"/>
  <c r="A137" i="1"/>
  <c r="A136" i="1"/>
  <c r="A135" i="1"/>
  <c r="A134" i="1"/>
  <c r="A132" i="1"/>
  <c r="A131" i="1"/>
  <c r="A130" i="1"/>
  <c r="A129" i="1"/>
  <c r="A128" i="1"/>
  <c r="A126" i="1"/>
  <c r="A125" i="1"/>
  <c r="A124" i="1"/>
  <c r="A123" i="1"/>
  <c r="A122" i="1"/>
  <c r="A120" i="1"/>
  <c r="A119" i="1"/>
  <c r="A118" i="1"/>
  <c r="A116" i="1"/>
  <c r="A112" i="1"/>
  <c r="A108" i="1"/>
  <c r="A104" i="1"/>
  <c r="A117" i="1"/>
  <c r="A115" i="1"/>
  <c r="A114" i="1"/>
  <c r="A113" i="1"/>
  <c r="A111" i="1"/>
  <c r="A110" i="1"/>
  <c r="A109" i="1"/>
  <c r="A105" i="1"/>
  <c r="A103" i="1"/>
  <c r="A102" i="1"/>
  <c r="A101" i="1"/>
  <c r="A100" i="1"/>
  <c r="A99" i="1"/>
  <c r="E344" i="1" l="1"/>
  <c r="AC344" i="1"/>
  <c r="AD344" i="1" s="1"/>
  <c r="H344" i="1"/>
  <c r="G344" i="1"/>
  <c r="S421" i="1"/>
  <c r="Q421" i="1" s="1"/>
  <c r="S231" i="1"/>
  <c r="Q231" i="1" s="1"/>
  <c r="W136" i="1"/>
  <c r="U136" i="1" s="1"/>
  <c r="S307" i="1"/>
  <c r="Q307" i="1" s="1"/>
  <c r="S98" i="1"/>
  <c r="Q98" i="1" s="1"/>
  <c r="W459" i="1"/>
  <c r="U459" i="1" s="1"/>
  <c r="E336" i="1"/>
  <c r="H336" i="1"/>
  <c r="G336" i="1"/>
  <c r="AC336" i="1"/>
  <c r="AD336" i="1" s="1"/>
  <c r="E332" i="1"/>
  <c r="AC332" i="1"/>
  <c r="AD332" i="1" s="1"/>
  <c r="H332" i="1"/>
  <c r="G332" i="1"/>
  <c r="W440" i="1"/>
  <c r="U440" i="1" s="1"/>
  <c r="E319" i="1"/>
  <c r="H319" i="1"/>
  <c r="G319" i="1"/>
  <c r="AC319" i="1"/>
  <c r="AD319" i="1" s="1"/>
  <c r="AA364" i="1"/>
  <c r="Y364" i="1" s="1"/>
  <c r="E334" i="1"/>
  <c r="H334" i="1"/>
  <c r="G334" i="1"/>
  <c r="AC334" i="1"/>
  <c r="AD334" i="1" s="1"/>
  <c r="E314" i="1"/>
  <c r="AC314" i="1"/>
  <c r="AD314" i="1" s="1"/>
  <c r="H314" i="1"/>
  <c r="G314" i="1"/>
  <c r="S459" i="1"/>
  <c r="Q459" i="1" s="1"/>
  <c r="Y117" i="1"/>
  <c r="AA117" i="1"/>
  <c r="W288" i="1"/>
  <c r="U288" i="1"/>
  <c r="W250" i="1"/>
  <c r="U250" i="1" s="1"/>
  <c r="AA383" i="1"/>
  <c r="Y383" i="1" s="1"/>
  <c r="S440" i="1"/>
  <c r="Q440" i="1" s="1"/>
  <c r="AA307" i="1"/>
  <c r="Y307" i="1" s="1"/>
  <c r="W478" i="1"/>
  <c r="U478" i="1" s="1"/>
  <c r="W41" i="1"/>
  <c r="U41" i="1" s="1"/>
  <c r="S155" i="1"/>
  <c r="Q155" i="1" s="1"/>
  <c r="E324" i="1"/>
  <c r="H324" i="1"/>
  <c r="G324" i="1"/>
  <c r="AC324" i="1"/>
  <c r="AD324" i="1" s="1"/>
  <c r="E308" i="1"/>
  <c r="AC308" i="1"/>
  <c r="H308" i="1"/>
  <c r="G308" i="1"/>
  <c r="A308" i="1"/>
  <c r="S22" i="1"/>
  <c r="Q22" i="1" s="1"/>
  <c r="W117" i="1"/>
  <c r="U117" i="1" s="1"/>
  <c r="W79" i="1"/>
  <c r="U79" i="1" s="1"/>
  <c r="AA269" i="1"/>
  <c r="Y269" i="1" s="1"/>
  <c r="S136" i="1"/>
  <c r="Q136" i="1" s="1"/>
  <c r="AA212" i="1"/>
  <c r="Y212" i="1" s="1"/>
  <c r="E345" i="1"/>
  <c r="AC345" i="1"/>
  <c r="AD345" i="1" s="1"/>
  <c r="H345" i="1"/>
  <c r="G345" i="1"/>
  <c r="E313" i="1"/>
  <c r="H313" i="1"/>
  <c r="G313" i="1"/>
  <c r="AC313" i="1"/>
  <c r="AD313" i="1" s="1"/>
  <c r="U269" i="1"/>
  <c r="W269" i="1"/>
  <c r="AA193" i="1"/>
  <c r="Y193" i="1" s="1"/>
  <c r="W364" i="1"/>
  <c r="U364" i="1" s="1"/>
  <c r="E333" i="1"/>
  <c r="AC333" i="1"/>
  <c r="AD333" i="1" s="1"/>
  <c r="H333" i="1"/>
  <c r="G333" i="1"/>
  <c r="AA421" i="1"/>
  <c r="Y421" i="1"/>
  <c r="E320" i="1"/>
  <c r="AC320" i="1"/>
  <c r="AD320" i="1" s="1"/>
  <c r="H320" i="1"/>
  <c r="G320" i="1"/>
  <c r="E318" i="1"/>
  <c r="H318" i="1"/>
  <c r="AC318" i="1"/>
  <c r="AD318" i="1" s="1"/>
  <c r="G318" i="1"/>
  <c r="E311" i="1"/>
  <c r="H311" i="1"/>
  <c r="G311" i="1"/>
  <c r="AC311" i="1"/>
  <c r="AD311" i="1" s="1"/>
  <c r="U421" i="1"/>
  <c r="W421" i="1"/>
  <c r="S79" i="1"/>
  <c r="Q79" i="1" s="1"/>
  <c r="AA79" i="1"/>
  <c r="Y79" i="1" s="1"/>
  <c r="AA345" i="1"/>
  <c r="Y345" i="1" s="1"/>
  <c r="W193" i="1"/>
  <c r="U193" i="1" s="1"/>
  <c r="AA231" i="1"/>
  <c r="Y231" i="1" s="1"/>
  <c r="E323" i="1"/>
  <c r="H323" i="1"/>
  <c r="G323" i="1"/>
  <c r="AC323" i="1"/>
  <c r="AD323" i="1" s="1"/>
  <c r="W212" i="1"/>
  <c r="U212" i="1" s="1"/>
  <c r="S269" i="1"/>
  <c r="Q269" i="1" s="1"/>
  <c r="E326" i="1"/>
  <c r="AC326" i="1"/>
  <c r="AD326" i="1" s="1"/>
  <c r="H326" i="1"/>
  <c r="G326" i="1"/>
  <c r="AA136" i="1"/>
  <c r="Y136" i="1" s="1"/>
  <c r="S250" i="1"/>
  <c r="Q250" i="1" s="1"/>
  <c r="S326" i="1"/>
  <c r="Q326" i="1"/>
  <c r="AA459" i="1"/>
  <c r="Y459" i="1" s="1"/>
  <c r="S478" i="1"/>
  <c r="Q478" i="1" s="1"/>
  <c r="W307" i="1"/>
  <c r="U307" i="1" s="1"/>
  <c r="E322" i="1"/>
  <c r="H322" i="1"/>
  <c r="G322" i="1"/>
  <c r="AC322" i="1"/>
  <c r="AD322" i="1" s="1"/>
  <c r="AA402" i="1"/>
  <c r="Y402" i="1" s="1"/>
  <c r="E312" i="1"/>
  <c r="H312" i="1"/>
  <c r="G312" i="1"/>
  <c r="AC312" i="1"/>
  <c r="AD312" i="1" s="1"/>
  <c r="E310" i="1"/>
  <c r="H310" i="1"/>
  <c r="G310" i="1"/>
  <c r="AC310" i="1"/>
  <c r="AD310" i="1" s="1"/>
  <c r="E321" i="1"/>
  <c r="AC321" i="1"/>
  <c r="AD321" i="1" s="1"/>
  <c r="H321" i="1"/>
  <c r="G321" i="1"/>
  <c r="E317" i="1"/>
  <c r="AC317" i="1"/>
  <c r="AD317" i="1" s="1"/>
  <c r="H317" i="1"/>
  <c r="G317" i="1"/>
  <c r="AA326" i="1"/>
  <c r="Y326" i="1" s="1"/>
  <c r="Y440" i="1"/>
  <c r="AA440" i="1"/>
  <c r="AA41" i="1"/>
  <c r="Y41" i="1"/>
  <c r="S288" i="1"/>
  <c r="Q288" i="1" s="1"/>
  <c r="E330" i="1"/>
  <c r="H330" i="1"/>
  <c r="AC330" i="1"/>
  <c r="AD330" i="1" s="1"/>
  <c r="G330" i="1"/>
  <c r="E309" i="1"/>
  <c r="AC309" i="1"/>
  <c r="AD309" i="1" s="1"/>
  <c r="H309" i="1"/>
  <c r="G309" i="1"/>
  <c r="S193" i="1"/>
  <c r="Q193" i="1" s="1"/>
  <c r="AA60" i="1"/>
  <c r="Y60" i="1" s="1"/>
  <c r="AA98" i="1"/>
  <c r="Y98" i="1" s="1"/>
  <c r="S41" i="1"/>
  <c r="Q41" i="1" s="1"/>
  <c r="W345" i="1"/>
  <c r="U345" i="1"/>
  <c r="U402" i="1"/>
  <c r="W402" i="1"/>
  <c r="AA250" i="1"/>
  <c r="Y250" i="1" s="1"/>
  <c r="E316" i="1"/>
  <c r="AC316" i="1"/>
  <c r="AD316" i="1" s="1"/>
  <c r="H316" i="1"/>
  <c r="G316" i="1"/>
  <c r="E325" i="1"/>
  <c r="H325" i="1"/>
  <c r="G325" i="1"/>
  <c r="AC325" i="1"/>
  <c r="AD325" i="1" s="1"/>
  <c r="A325" i="1"/>
  <c r="W22" i="1"/>
  <c r="U22" i="1" s="1"/>
  <c r="W231" i="1"/>
  <c r="U231" i="1" s="1"/>
  <c r="AA155" i="1"/>
  <c r="Y155" i="1" s="1"/>
  <c r="AA478" i="1"/>
  <c r="Y478" i="1" s="1"/>
  <c r="S212" i="1"/>
  <c r="Q212" i="1" s="1"/>
  <c r="Q174" i="1"/>
  <c r="S174" i="1"/>
  <c r="AA22" i="1"/>
  <c r="Y22" i="1" s="1"/>
  <c r="AA592" i="1"/>
  <c r="Y592" i="1" s="1"/>
  <c r="W592" i="1"/>
  <c r="U592" i="1" s="1"/>
  <c r="S592" i="1"/>
  <c r="Q592" i="1" s="1"/>
  <c r="AA573" i="1"/>
  <c r="Y573" i="1" s="1"/>
  <c r="W573" i="1"/>
  <c r="U573" i="1" s="1"/>
  <c r="S573" i="1"/>
  <c r="Q573" i="1" s="1"/>
  <c r="AA554" i="1"/>
  <c r="Y554" i="1" s="1"/>
  <c r="W554" i="1"/>
  <c r="U554" i="1" s="1"/>
  <c r="S554" i="1"/>
  <c r="Q554" i="1" s="1"/>
  <c r="AA535" i="1"/>
  <c r="Y535" i="1" s="1"/>
  <c r="W535" i="1"/>
  <c r="U535" i="1" s="1"/>
  <c r="S535" i="1"/>
  <c r="Q535" i="1" s="1"/>
  <c r="AA516" i="1"/>
  <c r="Y516" i="1" s="1"/>
  <c r="W516" i="1"/>
  <c r="U516" i="1" s="1"/>
  <c r="S516" i="1"/>
  <c r="Q516" i="1" s="1"/>
  <c r="AE307" i="1"/>
  <c r="AA497" i="1"/>
  <c r="Y497" i="1" s="1"/>
  <c r="W497" i="1"/>
  <c r="U497" i="1" s="1"/>
  <c r="S497" i="1"/>
  <c r="Q497" i="1" s="1"/>
  <c r="A309" i="1"/>
  <c r="AE296" i="1"/>
  <c r="AE315" i="1"/>
  <c r="AE303" i="1"/>
  <c r="AE306" i="1"/>
  <c r="AE297" i="1"/>
  <c r="AE300" i="1"/>
  <c r="AE302" i="1"/>
  <c r="AE298" i="1"/>
  <c r="AE301" i="1"/>
  <c r="AE299" i="1"/>
  <c r="AE304" i="1"/>
  <c r="AE305" i="1"/>
  <c r="A323" i="1"/>
  <c r="A322" i="1"/>
  <c r="A321" i="1"/>
  <c r="A316" i="1"/>
  <c r="A319" i="1"/>
  <c r="A318" i="1"/>
  <c r="A324" i="1"/>
  <c r="A312" i="1"/>
  <c r="A334" i="1"/>
  <c r="A330" i="1"/>
  <c r="A333" i="1"/>
  <c r="A344" i="1"/>
  <c r="A332" i="1"/>
  <c r="A320" i="1"/>
  <c r="A336" i="1"/>
  <c r="A345" i="1"/>
  <c r="A328" i="1"/>
  <c r="A310" i="1"/>
  <c r="A140" i="1"/>
  <c r="A146" i="1"/>
  <c r="A152" i="1"/>
  <c r="A121" i="1"/>
  <c r="A127" i="1"/>
  <c r="A133" i="1"/>
  <c r="A106" i="1"/>
  <c r="A107" i="1"/>
  <c r="A80" i="1"/>
  <c r="A61" i="1"/>
  <c r="A42" i="1"/>
  <c r="A23" i="1"/>
  <c r="A4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14" i="1"/>
  <c r="A15" i="1"/>
  <c r="A16" i="1"/>
  <c r="A17" i="1"/>
  <c r="A18" i="1"/>
  <c r="A19" i="1"/>
  <c r="A20" i="1"/>
  <c r="A21" i="1"/>
  <c r="A22" i="1"/>
  <c r="A13" i="1"/>
  <c r="A12" i="1"/>
  <c r="A11" i="1"/>
  <c r="A10" i="1"/>
  <c r="A9" i="1"/>
  <c r="A8" i="1"/>
  <c r="A7" i="1"/>
  <c r="A6" i="1"/>
  <c r="A5" i="1"/>
  <c r="AE325" i="1" l="1"/>
  <c r="AE326" i="1"/>
  <c r="AE317" i="1"/>
  <c r="E340" i="1"/>
  <c r="AC340" i="1"/>
  <c r="AD340" i="1" s="1"/>
  <c r="H340" i="1"/>
  <c r="G340" i="1"/>
  <c r="E335" i="1"/>
  <c r="H335" i="1"/>
  <c r="G335" i="1"/>
  <c r="AC335" i="1"/>
  <c r="AD335" i="1" s="1"/>
  <c r="E327" i="1"/>
  <c r="AC327" i="1"/>
  <c r="H327" i="1"/>
  <c r="G327" i="1"/>
  <c r="A327" i="1"/>
  <c r="E353" i="1"/>
  <c r="AC353" i="1"/>
  <c r="AD353" i="1" s="1"/>
  <c r="H353" i="1"/>
  <c r="G353" i="1"/>
  <c r="E341" i="1"/>
  <c r="AC341" i="1"/>
  <c r="AD341" i="1" s="1"/>
  <c r="H341" i="1"/>
  <c r="G341" i="1"/>
  <c r="E351" i="1"/>
  <c r="AC351" i="1"/>
  <c r="AD351" i="1" s="1"/>
  <c r="H351" i="1"/>
  <c r="G351" i="1"/>
  <c r="E331" i="1"/>
  <c r="H331" i="1"/>
  <c r="G331" i="1"/>
  <c r="AC331" i="1"/>
  <c r="AD331" i="1" s="1"/>
  <c r="E343" i="1"/>
  <c r="H343" i="1"/>
  <c r="G343" i="1"/>
  <c r="AC343" i="1"/>
  <c r="AD343" i="1" s="1"/>
  <c r="E342" i="1"/>
  <c r="H342" i="1"/>
  <c r="AC342" i="1"/>
  <c r="AD342" i="1" s="1"/>
  <c r="G342" i="1"/>
  <c r="E329" i="1"/>
  <c r="AC329" i="1"/>
  <c r="AD329" i="1" s="1"/>
  <c r="H329" i="1"/>
  <c r="G329" i="1"/>
  <c r="E363" i="1"/>
  <c r="AC363" i="1"/>
  <c r="AD363" i="1" s="1"/>
  <c r="H363" i="1"/>
  <c r="G363" i="1"/>
  <c r="E339" i="1"/>
  <c r="AC339" i="1"/>
  <c r="AD339" i="1" s="1"/>
  <c r="H339" i="1"/>
  <c r="G339" i="1"/>
  <c r="E347" i="1"/>
  <c r="H347" i="1"/>
  <c r="G347" i="1"/>
  <c r="AC347" i="1"/>
  <c r="AD347" i="1" s="1"/>
  <c r="E337" i="1"/>
  <c r="H337" i="1"/>
  <c r="G337" i="1"/>
  <c r="AC337" i="1"/>
  <c r="AD337" i="1" s="1"/>
  <c r="E352" i="1"/>
  <c r="AC352" i="1"/>
  <c r="AD352" i="1" s="1"/>
  <c r="H352" i="1"/>
  <c r="G352" i="1"/>
  <c r="E364" i="1"/>
  <c r="AC364" i="1"/>
  <c r="AD364" i="1" s="1"/>
  <c r="H364" i="1"/>
  <c r="G364" i="1"/>
  <c r="E338" i="1"/>
  <c r="AC338" i="1"/>
  <c r="AD338" i="1" s="1"/>
  <c r="H338" i="1"/>
  <c r="G338" i="1"/>
  <c r="E328" i="1"/>
  <c r="AC328" i="1"/>
  <c r="AD328" i="1" s="1"/>
  <c r="H328" i="1"/>
  <c r="G328" i="1"/>
  <c r="E355" i="1"/>
  <c r="H355" i="1"/>
  <c r="G355" i="1"/>
  <c r="AC355" i="1"/>
  <c r="AD355" i="1" s="1"/>
  <c r="E349" i="1"/>
  <c r="H349" i="1"/>
  <c r="G349" i="1"/>
  <c r="AC349" i="1"/>
  <c r="AD349" i="1" s="1"/>
  <c r="AE318" i="1"/>
  <c r="AE323" i="1"/>
  <c r="AE322" i="1"/>
  <c r="AE319" i="1"/>
  <c r="AE344" i="1"/>
  <c r="AE345" i="1"/>
  <c r="AE334" i="1"/>
  <c r="AE316" i="1"/>
  <c r="AE324" i="1"/>
  <c r="AE321" i="1"/>
  <c r="AE320" i="1"/>
  <c r="AE336" i="1"/>
  <c r="A341" i="1"/>
  <c r="A337" i="1"/>
  <c r="A342" i="1"/>
  <c r="A335" i="1"/>
  <c r="A343" i="1"/>
  <c r="A340" i="1"/>
  <c r="A338" i="1"/>
  <c r="A363" i="1"/>
  <c r="A364" i="1"/>
  <c r="A351" i="1"/>
  <c r="A355" i="1"/>
  <c r="A352" i="1"/>
  <c r="A353" i="1"/>
  <c r="A347" i="1"/>
  <c r="A349" i="1"/>
  <c r="A329" i="1"/>
  <c r="A339" i="1"/>
  <c r="A331" i="1"/>
  <c r="E360" i="1" l="1"/>
  <c r="H360" i="1"/>
  <c r="G360" i="1"/>
  <c r="AC360" i="1"/>
  <c r="AD360" i="1" s="1"/>
  <c r="E350" i="1"/>
  <c r="AC350" i="1"/>
  <c r="AD350" i="1" s="1"/>
  <c r="H350" i="1"/>
  <c r="G350" i="1"/>
  <c r="E372" i="1"/>
  <c r="H372" i="1"/>
  <c r="G372" i="1"/>
  <c r="AC372" i="1"/>
  <c r="AD372" i="1" s="1"/>
  <c r="E374" i="1"/>
  <c r="AC374" i="1"/>
  <c r="AD374" i="1" s="1"/>
  <c r="H374" i="1"/>
  <c r="G374" i="1"/>
  <c r="E362" i="1"/>
  <c r="AC362" i="1"/>
  <c r="AD362" i="1" s="1"/>
  <c r="H362" i="1"/>
  <c r="G362" i="1"/>
  <c r="E359" i="1"/>
  <c r="H359" i="1"/>
  <c r="G359" i="1"/>
  <c r="AC359" i="1"/>
  <c r="AD359" i="1" s="1"/>
  <c r="E358" i="1"/>
  <c r="H358" i="1"/>
  <c r="G358" i="1"/>
  <c r="AC358" i="1"/>
  <c r="AD358" i="1" s="1"/>
  <c r="E354" i="1"/>
  <c r="H354" i="1"/>
  <c r="AC354" i="1"/>
  <c r="AD354" i="1" s="1"/>
  <c r="G354" i="1"/>
  <c r="E357" i="1"/>
  <c r="AC357" i="1"/>
  <c r="AD357" i="1" s="1"/>
  <c r="H357" i="1"/>
  <c r="G357" i="1"/>
  <c r="E370" i="1"/>
  <c r="H370" i="1"/>
  <c r="G370" i="1"/>
  <c r="AC370" i="1"/>
  <c r="AD370" i="1" s="1"/>
  <c r="E348" i="1"/>
  <c r="H348" i="1"/>
  <c r="G348" i="1"/>
  <c r="AC348" i="1"/>
  <c r="AD348" i="1" s="1"/>
  <c r="E383" i="1"/>
  <c r="H383" i="1"/>
  <c r="G383" i="1"/>
  <c r="AC383" i="1"/>
  <c r="AD383" i="1" s="1"/>
  <c r="E371" i="1"/>
  <c r="H371" i="1"/>
  <c r="G371" i="1"/>
  <c r="AC371" i="1"/>
  <c r="AD371" i="1" s="1"/>
  <c r="E361" i="1"/>
  <c r="H361" i="1"/>
  <c r="G361" i="1"/>
  <c r="AC361" i="1"/>
  <c r="AD361" i="1" s="1"/>
  <c r="E368" i="1"/>
  <c r="AC368" i="1"/>
  <c r="AD368" i="1" s="1"/>
  <c r="H368" i="1"/>
  <c r="G368" i="1"/>
  <c r="E382" i="1"/>
  <c r="H382" i="1"/>
  <c r="G382" i="1"/>
  <c r="AC382" i="1"/>
  <c r="AD382" i="1" s="1"/>
  <c r="E356" i="1"/>
  <c r="AC356" i="1"/>
  <c r="AD356" i="1" s="1"/>
  <c r="H356" i="1"/>
  <c r="G356" i="1"/>
  <c r="E346" i="1"/>
  <c r="H346" i="1"/>
  <c r="G346" i="1"/>
  <c r="AC346" i="1"/>
  <c r="A346" i="1"/>
  <c r="E366" i="1"/>
  <c r="H366" i="1"/>
  <c r="AC366" i="1"/>
  <c r="AD366" i="1" s="1"/>
  <c r="G366" i="1"/>
  <c r="AE338" i="1"/>
  <c r="AE340" i="1"/>
  <c r="AE343" i="1"/>
  <c r="AE364" i="1"/>
  <c r="AE341" i="1"/>
  <c r="AE355" i="1"/>
  <c r="AE363" i="1"/>
  <c r="AE337" i="1"/>
  <c r="AE335" i="1"/>
  <c r="AE342" i="1"/>
  <c r="AE339" i="1"/>
  <c r="AE353" i="1"/>
  <c r="A360" i="1"/>
  <c r="A359" i="1"/>
  <c r="A354" i="1"/>
  <c r="A356" i="1"/>
  <c r="A362" i="1"/>
  <c r="A361" i="1"/>
  <c r="A357" i="1"/>
  <c r="A358" i="1"/>
  <c r="A374" i="1"/>
  <c r="A368" i="1"/>
  <c r="A371" i="1"/>
  <c r="A382" i="1"/>
  <c r="A366" i="1"/>
  <c r="A383" i="1"/>
  <c r="A370" i="1"/>
  <c r="A348" i="1"/>
  <c r="A350" i="1"/>
  <c r="A372" i="1"/>
  <c r="E379" i="1" l="1"/>
  <c r="H379" i="1"/>
  <c r="G379" i="1"/>
  <c r="AC379" i="1"/>
  <c r="AD379" i="1" s="1"/>
  <c r="E373" i="1"/>
  <c r="H373" i="1"/>
  <c r="G373" i="1"/>
  <c r="AC373" i="1"/>
  <c r="AD373" i="1" s="1"/>
  <c r="E402" i="1"/>
  <c r="H402" i="1"/>
  <c r="AC402" i="1"/>
  <c r="AD402" i="1" s="1"/>
  <c r="G402" i="1"/>
  <c r="E377" i="1"/>
  <c r="AC377" i="1"/>
  <c r="AD377" i="1" s="1"/>
  <c r="H377" i="1"/>
  <c r="G377" i="1"/>
  <c r="E380" i="1"/>
  <c r="AC380" i="1"/>
  <c r="AD380" i="1" s="1"/>
  <c r="H380" i="1"/>
  <c r="G380" i="1"/>
  <c r="E376" i="1"/>
  <c r="AC376" i="1"/>
  <c r="AD376" i="1" s="1"/>
  <c r="H376" i="1"/>
  <c r="G376" i="1"/>
  <c r="E401" i="1"/>
  <c r="AC401" i="1"/>
  <c r="AD401" i="1" s="1"/>
  <c r="H401" i="1"/>
  <c r="G401" i="1"/>
  <c r="E378" i="1"/>
  <c r="H378" i="1"/>
  <c r="AC378" i="1"/>
  <c r="AD378" i="1" s="1"/>
  <c r="G378" i="1"/>
  <c r="E385" i="1"/>
  <c r="H385" i="1"/>
  <c r="G385" i="1"/>
  <c r="AC385" i="1"/>
  <c r="AD385" i="1" s="1"/>
  <c r="E367" i="1"/>
  <c r="H367" i="1"/>
  <c r="G367" i="1"/>
  <c r="AC367" i="1"/>
  <c r="AD367" i="1" s="1"/>
  <c r="E381" i="1"/>
  <c r="AC381" i="1"/>
  <c r="AD381" i="1" s="1"/>
  <c r="H381" i="1"/>
  <c r="G381" i="1"/>
  <c r="E391" i="1"/>
  <c r="H391" i="1"/>
  <c r="G391" i="1"/>
  <c r="AC391" i="1"/>
  <c r="AD391" i="1" s="1"/>
  <c r="E375" i="1"/>
  <c r="AC375" i="1"/>
  <c r="AD375" i="1" s="1"/>
  <c r="H375" i="1"/>
  <c r="G375" i="1"/>
  <c r="E393" i="1"/>
  <c r="AC393" i="1"/>
  <c r="AD393" i="1" s="1"/>
  <c r="H393" i="1"/>
  <c r="G393" i="1"/>
  <c r="E369" i="1"/>
  <c r="AC369" i="1"/>
  <c r="AD369" i="1" s="1"/>
  <c r="H369" i="1"/>
  <c r="G369" i="1"/>
  <c r="E390" i="1"/>
  <c r="H390" i="1"/>
  <c r="AC390" i="1"/>
  <c r="AD390" i="1" s="1"/>
  <c r="G390" i="1"/>
  <c r="E387" i="1"/>
  <c r="AC387" i="1"/>
  <c r="AD387" i="1" s="1"/>
  <c r="H387" i="1"/>
  <c r="G387" i="1"/>
  <c r="E389" i="1"/>
  <c r="AC389" i="1"/>
  <c r="AD389" i="1" s="1"/>
  <c r="H389" i="1"/>
  <c r="G389" i="1"/>
  <c r="E365" i="1"/>
  <c r="AC365" i="1"/>
  <c r="AD365" i="1" s="1"/>
  <c r="H365" i="1"/>
  <c r="G365" i="1"/>
  <c r="A365" i="1"/>
  <c r="AE374" i="1"/>
  <c r="AE372" i="1"/>
  <c r="AE358" i="1"/>
  <c r="AE356" i="1"/>
  <c r="AE383" i="1"/>
  <c r="AE382" i="1"/>
  <c r="AE354" i="1"/>
  <c r="AE360" i="1"/>
  <c r="AE361" i="1"/>
  <c r="AE362" i="1"/>
  <c r="AE357" i="1"/>
  <c r="AE359" i="1"/>
  <c r="A378" i="1"/>
  <c r="A376" i="1"/>
  <c r="A381" i="1"/>
  <c r="A375" i="1"/>
  <c r="A380" i="1"/>
  <c r="A373" i="1"/>
  <c r="A379" i="1"/>
  <c r="A369" i="1"/>
  <c r="A387" i="1"/>
  <c r="A367" i="1"/>
  <c r="A393" i="1"/>
  <c r="A401" i="1"/>
  <c r="A390" i="1"/>
  <c r="A391" i="1"/>
  <c r="A385" i="1"/>
  <c r="A389" i="1"/>
  <c r="A402" i="1"/>
  <c r="A377" i="1"/>
  <c r="E400" i="1" l="1"/>
  <c r="AC400" i="1"/>
  <c r="AD400" i="1" s="1"/>
  <c r="H400" i="1"/>
  <c r="G400" i="1"/>
  <c r="E397" i="1"/>
  <c r="H397" i="1"/>
  <c r="G397" i="1"/>
  <c r="AC397" i="1"/>
  <c r="AD397" i="1" s="1"/>
  <c r="E406" i="1"/>
  <c r="H406" i="1"/>
  <c r="G406" i="1"/>
  <c r="AC406" i="1"/>
  <c r="AD406" i="1" s="1"/>
  <c r="E388" i="1"/>
  <c r="AC388" i="1"/>
  <c r="AD388" i="1" s="1"/>
  <c r="H388" i="1"/>
  <c r="G388" i="1"/>
  <c r="E421" i="1"/>
  <c r="H421" i="1"/>
  <c r="G421" i="1"/>
  <c r="AC421" i="1"/>
  <c r="AD421" i="1" s="1"/>
  <c r="E420" i="1"/>
  <c r="H420" i="1"/>
  <c r="G420" i="1"/>
  <c r="AC420" i="1"/>
  <c r="AD420" i="1" s="1"/>
  <c r="E392" i="1"/>
  <c r="AC392" i="1"/>
  <c r="AD392" i="1" s="1"/>
  <c r="H392" i="1"/>
  <c r="G392" i="1"/>
  <c r="E384" i="1"/>
  <c r="H384" i="1"/>
  <c r="G384" i="1"/>
  <c r="AC384" i="1"/>
  <c r="AD384" i="1" s="1"/>
  <c r="A384" i="1"/>
  <c r="E408" i="1"/>
  <c r="H408" i="1"/>
  <c r="G408" i="1"/>
  <c r="AC408" i="1"/>
  <c r="AD408" i="1" s="1"/>
  <c r="E412" i="1"/>
  <c r="AC412" i="1"/>
  <c r="AD412" i="1" s="1"/>
  <c r="H412" i="1"/>
  <c r="G412" i="1"/>
  <c r="E399" i="1"/>
  <c r="AC399" i="1"/>
  <c r="AD399" i="1" s="1"/>
  <c r="H399" i="1"/>
  <c r="G399" i="1"/>
  <c r="E398" i="1"/>
  <c r="AC398" i="1"/>
  <c r="AD398" i="1" s="1"/>
  <c r="H398" i="1"/>
  <c r="G398" i="1"/>
  <c r="E395" i="1"/>
  <c r="H395" i="1"/>
  <c r="G395" i="1"/>
  <c r="AC395" i="1"/>
  <c r="AD395" i="1" s="1"/>
  <c r="E396" i="1"/>
  <c r="H396" i="1"/>
  <c r="G396" i="1"/>
  <c r="AC396" i="1"/>
  <c r="AD396" i="1" s="1"/>
  <c r="E409" i="1"/>
  <c r="H409" i="1"/>
  <c r="G409" i="1"/>
  <c r="AC409" i="1"/>
  <c r="AD409" i="1" s="1"/>
  <c r="E404" i="1"/>
  <c r="AC404" i="1"/>
  <c r="AD404" i="1" s="1"/>
  <c r="H404" i="1"/>
  <c r="G404" i="1"/>
  <c r="E410" i="1"/>
  <c r="AC410" i="1"/>
  <c r="AD410" i="1" s="1"/>
  <c r="H410" i="1"/>
  <c r="G410" i="1"/>
  <c r="E394" i="1"/>
  <c r="H394" i="1"/>
  <c r="G394" i="1"/>
  <c r="AC394" i="1"/>
  <c r="AD394" i="1" s="1"/>
  <c r="E386" i="1"/>
  <c r="AC386" i="1"/>
  <c r="AD386" i="1" s="1"/>
  <c r="H386" i="1"/>
  <c r="G386" i="1"/>
  <c r="AE402" i="1"/>
  <c r="AE376" i="1"/>
  <c r="AE375" i="1"/>
  <c r="AE377" i="1"/>
  <c r="AE373" i="1"/>
  <c r="AE380" i="1"/>
  <c r="AE378" i="1"/>
  <c r="AE381" i="1"/>
  <c r="AE379" i="1"/>
  <c r="AE391" i="1"/>
  <c r="AE401" i="1"/>
  <c r="AE393" i="1"/>
  <c r="A398" i="1"/>
  <c r="A392" i="1"/>
  <c r="A399" i="1"/>
  <c r="A397" i="1"/>
  <c r="A400" i="1"/>
  <c r="A394" i="1"/>
  <c r="A395" i="1"/>
  <c r="A386" i="1"/>
  <c r="A408" i="1"/>
  <c r="A409" i="1"/>
  <c r="A420" i="1"/>
  <c r="A406" i="1"/>
  <c r="A404" i="1"/>
  <c r="A421" i="1"/>
  <c r="A396" i="1"/>
  <c r="A410" i="1"/>
  <c r="A412" i="1"/>
  <c r="A388" i="1"/>
  <c r="AC423" i="1" l="1"/>
  <c r="AD423" i="1" s="1"/>
  <c r="H423" i="1"/>
  <c r="G423" i="1"/>
  <c r="E407" i="1"/>
  <c r="H407" i="1"/>
  <c r="G407" i="1"/>
  <c r="AC407" i="1"/>
  <c r="AD407" i="1" s="1"/>
  <c r="E413" i="1"/>
  <c r="AC413" i="1"/>
  <c r="AD413" i="1" s="1"/>
  <c r="H413" i="1"/>
  <c r="G413" i="1"/>
  <c r="E417" i="1"/>
  <c r="AC417" i="1"/>
  <c r="AD417" i="1" s="1"/>
  <c r="H417" i="1"/>
  <c r="G417" i="1"/>
  <c r="AC425" i="1"/>
  <c r="AD425" i="1" s="1"/>
  <c r="H425" i="1"/>
  <c r="G425" i="1"/>
  <c r="E403" i="1"/>
  <c r="H403" i="1"/>
  <c r="G403" i="1"/>
  <c r="AC403" i="1"/>
  <c r="AD403" i="1" s="1"/>
  <c r="A403" i="1"/>
  <c r="E416" i="1"/>
  <c r="AC416" i="1"/>
  <c r="AD416" i="1" s="1"/>
  <c r="H416" i="1"/>
  <c r="G416" i="1"/>
  <c r="E418" i="1"/>
  <c r="H418" i="1"/>
  <c r="G418" i="1"/>
  <c r="AC418" i="1"/>
  <c r="AD418" i="1" s="1"/>
  <c r="H439" i="1"/>
  <c r="G439" i="1"/>
  <c r="AC439" i="1"/>
  <c r="AD439" i="1" s="1"/>
  <c r="E419" i="1"/>
  <c r="H419" i="1"/>
  <c r="G419" i="1"/>
  <c r="AC419" i="1"/>
  <c r="AD419" i="1" s="1"/>
  <c r="E415" i="1"/>
  <c r="H415" i="1"/>
  <c r="G415" i="1"/>
  <c r="AC415" i="1"/>
  <c r="AD415" i="1" s="1"/>
  <c r="AC440" i="1"/>
  <c r="AD440" i="1" s="1"/>
  <c r="H440" i="1"/>
  <c r="G440" i="1"/>
  <c r="E405" i="1"/>
  <c r="AC405" i="1"/>
  <c r="AD405" i="1" s="1"/>
  <c r="H405" i="1"/>
  <c r="G405" i="1"/>
  <c r="E411" i="1"/>
  <c r="AC411" i="1"/>
  <c r="AD411" i="1" s="1"/>
  <c r="H411" i="1"/>
  <c r="G411" i="1"/>
  <c r="H431" i="1"/>
  <c r="G431" i="1"/>
  <c r="AC431" i="1"/>
  <c r="AD431" i="1" s="1"/>
  <c r="AC429" i="1"/>
  <c r="AD429" i="1" s="1"/>
  <c r="H429" i="1"/>
  <c r="G429" i="1"/>
  <c r="AC428" i="1"/>
  <c r="AD428" i="1" s="1"/>
  <c r="H428" i="1"/>
  <c r="G428" i="1"/>
  <c r="H427" i="1"/>
  <c r="G427" i="1"/>
  <c r="AC427" i="1"/>
  <c r="AD427" i="1" s="1"/>
  <c r="E414" i="1"/>
  <c r="H414" i="1"/>
  <c r="AC414" i="1"/>
  <c r="AD414" i="1" s="1"/>
  <c r="G414" i="1"/>
  <c r="A444" i="1"/>
  <c r="E425" i="1"/>
  <c r="E439" i="1"/>
  <c r="E431" i="1"/>
  <c r="E423" i="1"/>
  <c r="E429" i="1"/>
  <c r="E428" i="1"/>
  <c r="A446" i="1"/>
  <c r="E427" i="1"/>
  <c r="E440" i="1"/>
  <c r="A459" i="1"/>
  <c r="A442" i="1"/>
  <c r="A458" i="1"/>
  <c r="A450" i="1"/>
  <c r="A448" i="1"/>
  <c r="AE400" i="1"/>
  <c r="AE399" i="1"/>
  <c r="AE410" i="1"/>
  <c r="AE398" i="1"/>
  <c r="AE395" i="1"/>
  <c r="AE392" i="1"/>
  <c r="AE420" i="1"/>
  <c r="AE394" i="1"/>
  <c r="AE397" i="1"/>
  <c r="AE412" i="1"/>
  <c r="AE421" i="1"/>
  <c r="AE396" i="1"/>
  <c r="A428" i="1"/>
  <c r="A440" i="1"/>
  <c r="A413" i="1"/>
  <c r="A416" i="1"/>
  <c r="A411" i="1"/>
  <c r="A427" i="1"/>
  <c r="A429" i="1"/>
  <c r="A414" i="1"/>
  <c r="A423" i="1"/>
  <c r="A419" i="1"/>
  <c r="A418" i="1"/>
  <c r="A417" i="1"/>
  <c r="A431" i="1"/>
  <c r="A425" i="1"/>
  <c r="A439" i="1"/>
  <c r="A407" i="1"/>
  <c r="A415" i="1"/>
  <c r="A405" i="1"/>
  <c r="E461" i="1" l="1"/>
  <c r="AC461" i="1"/>
  <c r="AD461" i="1" s="1"/>
  <c r="H461" i="1"/>
  <c r="G461" i="1"/>
  <c r="AC424" i="1"/>
  <c r="AD424" i="1" s="1"/>
  <c r="H424" i="1"/>
  <c r="G424" i="1"/>
  <c r="H432" i="1"/>
  <c r="G432" i="1"/>
  <c r="AC432" i="1"/>
  <c r="AD432" i="1" s="1"/>
  <c r="A463" i="1"/>
  <c r="E447" i="1"/>
  <c r="AC447" i="1"/>
  <c r="AD447" i="1" s="1"/>
  <c r="H447" i="1"/>
  <c r="G447" i="1"/>
  <c r="AC437" i="1"/>
  <c r="AD437" i="1" s="1"/>
  <c r="H437" i="1"/>
  <c r="G437" i="1"/>
  <c r="E448" i="1"/>
  <c r="AC448" i="1"/>
  <c r="AD448" i="1" s="1"/>
  <c r="H448" i="1"/>
  <c r="G448" i="1"/>
  <c r="AC422" i="1"/>
  <c r="AD422" i="1" s="1"/>
  <c r="H422" i="1"/>
  <c r="G422" i="1"/>
  <c r="A422" i="1"/>
  <c r="E422" i="1"/>
  <c r="E467" i="1"/>
  <c r="H467" i="1"/>
  <c r="G467" i="1"/>
  <c r="AC467" i="1"/>
  <c r="AD467" i="1" s="1"/>
  <c r="H426" i="1"/>
  <c r="AC426" i="1"/>
  <c r="AD426" i="1" s="1"/>
  <c r="G426" i="1"/>
  <c r="E442" i="1"/>
  <c r="H442" i="1"/>
  <c r="G442" i="1"/>
  <c r="AC442" i="1"/>
  <c r="AD442" i="1" s="1"/>
  <c r="E469" i="1"/>
  <c r="H469" i="1"/>
  <c r="G469" i="1"/>
  <c r="AC469" i="1"/>
  <c r="AD469" i="1" s="1"/>
  <c r="E478" i="1"/>
  <c r="H478" i="1"/>
  <c r="G478" i="1"/>
  <c r="AC478" i="1"/>
  <c r="AD478" i="1" s="1"/>
  <c r="E450" i="1"/>
  <c r="H450" i="1"/>
  <c r="AC450" i="1"/>
  <c r="AD450" i="1" s="1"/>
  <c r="G450" i="1"/>
  <c r="AC435" i="1"/>
  <c r="AD435" i="1" s="1"/>
  <c r="H435" i="1"/>
  <c r="G435" i="1"/>
  <c r="E465" i="1"/>
  <c r="AC465" i="1"/>
  <c r="AD465" i="1" s="1"/>
  <c r="H465" i="1"/>
  <c r="G465" i="1"/>
  <c r="E446" i="1"/>
  <c r="AC446" i="1"/>
  <c r="AD446" i="1" s="1"/>
  <c r="H446" i="1"/>
  <c r="G446" i="1"/>
  <c r="E444" i="1"/>
  <c r="H444" i="1"/>
  <c r="G444" i="1"/>
  <c r="AC444" i="1"/>
  <c r="AD444" i="1" s="1"/>
  <c r="H430" i="1"/>
  <c r="G430" i="1"/>
  <c r="AC430" i="1"/>
  <c r="AD430" i="1" s="1"/>
  <c r="H438" i="1"/>
  <c r="AC438" i="1"/>
  <c r="AD438" i="1" s="1"/>
  <c r="G438" i="1"/>
  <c r="AC434" i="1"/>
  <c r="AD434" i="1" s="1"/>
  <c r="H434" i="1"/>
  <c r="G434" i="1"/>
  <c r="H433" i="1"/>
  <c r="G433" i="1"/>
  <c r="AC433" i="1"/>
  <c r="AD433" i="1" s="1"/>
  <c r="AC436" i="1"/>
  <c r="AD436" i="1" s="1"/>
  <c r="H436" i="1"/>
  <c r="G436" i="1"/>
  <c r="E477" i="1"/>
  <c r="AC477" i="1"/>
  <c r="AD477" i="1" s="1"/>
  <c r="H477" i="1"/>
  <c r="G477" i="1"/>
  <c r="E459" i="1"/>
  <c r="AC459" i="1"/>
  <c r="AD459" i="1" s="1"/>
  <c r="H459" i="1"/>
  <c r="G459" i="1"/>
  <c r="E458" i="1"/>
  <c r="AC458" i="1"/>
  <c r="AD458" i="1" s="1"/>
  <c r="H458" i="1"/>
  <c r="G458" i="1"/>
  <c r="AE458" i="1" s="1"/>
  <c r="A447" i="1"/>
  <c r="E430" i="1"/>
  <c r="E435" i="1"/>
  <c r="E438" i="1"/>
  <c r="E437" i="1"/>
  <c r="E433" i="1"/>
  <c r="E424" i="1"/>
  <c r="E434" i="1"/>
  <c r="E426" i="1"/>
  <c r="E436" i="1"/>
  <c r="E432" i="1"/>
  <c r="A449" i="1"/>
  <c r="A461" i="1"/>
  <c r="A467" i="1"/>
  <c r="A477" i="1"/>
  <c r="A469" i="1"/>
  <c r="A465" i="1"/>
  <c r="A478" i="1"/>
  <c r="AE439" i="1"/>
  <c r="AE415" i="1"/>
  <c r="AE413" i="1"/>
  <c r="AE411" i="1"/>
  <c r="AE440" i="1"/>
  <c r="AE416" i="1"/>
  <c r="AE431" i="1"/>
  <c r="AE417" i="1"/>
  <c r="AE418" i="1"/>
  <c r="AE414" i="1"/>
  <c r="AE429" i="1"/>
  <c r="AE419" i="1"/>
  <c r="A426" i="1"/>
  <c r="A436" i="1"/>
  <c r="A432" i="1"/>
  <c r="A437" i="1"/>
  <c r="A433" i="1"/>
  <c r="A435" i="1"/>
  <c r="A430" i="1"/>
  <c r="A424" i="1"/>
  <c r="A438" i="1"/>
  <c r="A434" i="1"/>
  <c r="AE450" i="1" l="1"/>
  <c r="AE459" i="1"/>
  <c r="AE448" i="1"/>
  <c r="E472" i="1"/>
  <c r="AC472" i="1"/>
  <c r="AD472" i="1" s="1"/>
  <c r="H472" i="1"/>
  <c r="G472" i="1"/>
  <c r="H488" i="1"/>
  <c r="AC488" i="1"/>
  <c r="AD488" i="1" s="1"/>
  <c r="G488" i="1"/>
  <c r="E488" i="1"/>
  <c r="A488" i="1"/>
  <c r="E449" i="1"/>
  <c r="AC449" i="1"/>
  <c r="AD449" i="1" s="1"/>
  <c r="H449" i="1"/>
  <c r="G449" i="1"/>
  <c r="E455" i="1"/>
  <c r="H455" i="1"/>
  <c r="G455" i="1"/>
  <c r="AC455" i="1"/>
  <c r="AD455" i="1" s="1"/>
  <c r="E453" i="1"/>
  <c r="AC453" i="1"/>
  <c r="AD453" i="1" s="1"/>
  <c r="H453" i="1"/>
  <c r="G453" i="1"/>
  <c r="H480" i="1"/>
  <c r="G480" i="1"/>
  <c r="AC480" i="1"/>
  <c r="AD480" i="1" s="1"/>
  <c r="A480" i="1"/>
  <c r="E480" i="1"/>
  <c r="E457" i="1"/>
  <c r="H457" i="1"/>
  <c r="G457" i="1"/>
  <c r="AC457" i="1"/>
  <c r="AD457" i="1" s="1"/>
  <c r="AC496" i="1"/>
  <c r="AD496" i="1" s="1"/>
  <c r="H496" i="1"/>
  <c r="G496" i="1"/>
  <c r="A496" i="1"/>
  <c r="E496" i="1"/>
  <c r="A457" i="1"/>
  <c r="A453" i="1"/>
  <c r="E443" i="1"/>
  <c r="H443" i="1"/>
  <c r="G443" i="1"/>
  <c r="AC443" i="1"/>
  <c r="AD443" i="1" s="1"/>
  <c r="E441" i="1"/>
  <c r="AC441" i="1"/>
  <c r="AD441" i="1" s="1"/>
  <c r="H441" i="1"/>
  <c r="G441" i="1"/>
  <c r="A441" i="1"/>
  <c r="E454" i="1"/>
  <c r="H454" i="1"/>
  <c r="G454" i="1"/>
  <c r="AC454" i="1"/>
  <c r="AD454" i="1" s="1"/>
  <c r="E466" i="1"/>
  <c r="H466" i="1"/>
  <c r="G466" i="1"/>
  <c r="AC466" i="1"/>
  <c r="AD466" i="1" s="1"/>
  <c r="E452" i="1"/>
  <c r="AC452" i="1"/>
  <c r="AD452" i="1" s="1"/>
  <c r="H452" i="1"/>
  <c r="G452" i="1"/>
  <c r="A443" i="1"/>
  <c r="AC497" i="1"/>
  <c r="AD497" i="1" s="1"/>
  <c r="H497" i="1"/>
  <c r="G497" i="1"/>
  <c r="E497" i="1"/>
  <c r="A497" i="1"/>
  <c r="AC486" i="1"/>
  <c r="AD486" i="1" s="1"/>
  <c r="H486" i="1"/>
  <c r="G486" i="1"/>
  <c r="E486" i="1"/>
  <c r="A486" i="1"/>
  <c r="E451" i="1"/>
  <c r="H451" i="1"/>
  <c r="G451" i="1"/>
  <c r="AC451" i="1"/>
  <c r="AD451" i="1" s="1"/>
  <c r="E456" i="1"/>
  <c r="H456" i="1"/>
  <c r="G456" i="1"/>
  <c r="AC456" i="1"/>
  <c r="AD456" i="1" s="1"/>
  <c r="AC484" i="1"/>
  <c r="AD484" i="1" s="1"/>
  <c r="H484" i="1"/>
  <c r="G484" i="1"/>
  <c r="E484" i="1"/>
  <c r="A484" i="1"/>
  <c r="E463" i="1"/>
  <c r="H463" i="1"/>
  <c r="G463" i="1"/>
  <c r="AC463" i="1"/>
  <c r="AD463" i="1" s="1"/>
  <c r="E445" i="1"/>
  <c r="H445" i="1"/>
  <c r="G445" i="1"/>
  <c r="AC445" i="1"/>
  <c r="AD445" i="1" s="1"/>
  <c r="A454" i="1"/>
  <c r="A452" i="1"/>
  <c r="A451" i="1"/>
  <c r="A455" i="1"/>
  <c r="A445" i="1"/>
  <c r="A456" i="1"/>
  <c r="A466" i="1"/>
  <c r="AE467" i="1"/>
  <c r="AE477" i="1"/>
  <c r="AE469" i="1"/>
  <c r="A472" i="1"/>
  <c r="A471" i="1"/>
  <c r="A473" i="1"/>
  <c r="A468" i="1"/>
  <c r="AE449" i="1"/>
  <c r="AE478" i="1"/>
  <c r="AE437" i="1"/>
  <c r="AE432" i="1"/>
  <c r="AE430" i="1"/>
  <c r="AE434" i="1"/>
  <c r="AE435" i="1"/>
  <c r="AE436" i="1"/>
  <c r="AE433" i="1"/>
  <c r="AE438" i="1"/>
  <c r="AE454" i="1" l="1"/>
  <c r="AE457" i="1"/>
  <c r="AE452" i="1"/>
  <c r="AE497" i="1"/>
  <c r="AE453" i="1"/>
  <c r="AE488" i="1"/>
  <c r="AC485" i="1"/>
  <c r="AD485" i="1" s="1"/>
  <c r="H485" i="1"/>
  <c r="G485" i="1"/>
  <c r="A485" i="1"/>
  <c r="E485" i="1"/>
  <c r="AC507" i="1"/>
  <c r="AD507" i="1" s="1"/>
  <c r="H507" i="1"/>
  <c r="A507" i="1"/>
  <c r="G507" i="1"/>
  <c r="E507" i="1"/>
  <c r="E476" i="1"/>
  <c r="AC476" i="1"/>
  <c r="AD476" i="1" s="1"/>
  <c r="H476" i="1"/>
  <c r="G476" i="1"/>
  <c r="AC516" i="1"/>
  <c r="AD516" i="1" s="1"/>
  <c r="A516" i="1"/>
  <c r="G516" i="1"/>
  <c r="E516" i="1"/>
  <c r="H516" i="1"/>
  <c r="E462" i="1"/>
  <c r="H462" i="1"/>
  <c r="AC462" i="1"/>
  <c r="AD462" i="1" s="1"/>
  <c r="G462" i="1"/>
  <c r="E475" i="1"/>
  <c r="H475" i="1"/>
  <c r="G475" i="1"/>
  <c r="AC475" i="1"/>
  <c r="AD475" i="1" s="1"/>
  <c r="H491" i="1"/>
  <c r="G491" i="1"/>
  <c r="AC491" i="1"/>
  <c r="AD491" i="1" s="1"/>
  <c r="E491" i="1"/>
  <c r="A491" i="1"/>
  <c r="E468" i="1"/>
  <c r="H468" i="1"/>
  <c r="G468" i="1"/>
  <c r="AC468" i="1"/>
  <c r="AD468" i="1" s="1"/>
  <c r="AC505" i="1"/>
  <c r="AD505" i="1" s="1"/>
  <c r="A505" i="1"/>
  <c r="E505" i="1"/>
  <c r="H505" i="1"/>
  <c r="G505" i="1"/>
  <c r="A476" i="1"/>
  <c r="E474" i="1"/>
  <c r="H474" i="1"/>
  <c r="AC474" i="1"/>
  <c r="AD474" i="1" s="1"/>
  <c r="G474" i="1"/>
  <c r="E473" i="1"/>
  <c r="AC473" i="1"/>
  <c r="AD473" i="1" s="1"/>
  <c r="H473" i="1"/>
  <c r="G473" i="1"/>
  <c r="AC503" i="1"/>
  <c r="AD503" i="1" s="1"/>
  <c r="A503" i="1"/>
  <c r="G503" i="1"/>
  <c r="E503" i="1"/>
  <c r="H503" i="1"/>
  <c r="AE486" i="1"/>
  <c r="E460" i="1"/>
  <c r="AC460" i="1"/>
  <c r="AD460" i="1" s="1"/>
  <c r="H460" i="1"/>
  <c r="G460" i="1"/>
  <c r="A460" i="1"/>
  <c r="AC515" i="1"/>
  <c r="AD515" i="1" s="1"/>
  <c r="E515" i="1"/>
  <c r="H515" i="1"/>
  <c r="A515" i="1"/>
  <c r="G515" i="1"/>
  <c r="E471" i="1"/>
  <c r="AC471" i="1"/>
  <c r="AD471" i="1" s="1"/>
  <c r="H471" i="1"/>
  <c r="G471" i="1"/>
  <c r="AC499" i="1"/>
  <c r="AD499" i="1" s="1"/>
  <c r="H499" i="1"/>
  <c r="A499" i="1"/>
  <c r="E499" i="1"/>
  <c r="G499" i="1"/>
  <c r="A462" i="1"/>
  <c r="E464" i="1"/>
  <c r="AC464" i="1"/>
  <c r="AD464" i="1" s="1"/>
  <c r="H464" i="1"/>
  <c r="G464" i="1"/>
  <c r="E470" i="1"/>
  <c r="AC470" i="1"/>
  <c r="AD470" i="1" s="1"/>
  <c r="H470" i="1"/>
  <c r="G470" i="1"/>
  <c r="H482" i="1"/>
  <c r="G482" i="1"/>
  <c r="AC482" i="1"/>
  <c r="AD482" i="1" s="1"/>
  <c r="A482" i="1"/>
  <c r="E482" i="1"/>
  <c r="AE496" i="1"/>
  <c r="A464" i="1"/>
  <c r="A475" i="1"/>
  <c r="AE456" i="1"/>
  <c r="A470" i="1"/>
  <c r="AE468" i="1"/>
  <c r="A474" i="1"/>
  <c r="AE455" i="1"/>
  <c r="AE451" i="1"/>
  <c r="AE472" i="1"/>
  <c r="A4" i="10"/>
  <c r="S4" i="10" s="1"/>
  <c r="AE475" i="1" l="1"/>
  <c r="AE505" i="1"/>
  <c r="AE516" i="1"/>
  <c r="AE476" i="1"/>
  <c r="AE470" i="1"/>
  <c r="AE471" i="1"/>
  <c r="AE473" i="1"/>
  <c r="AE491" i="1"/>
  <c r="AC490" i="1"/>
  <c r="AD490" i="1" s="1"/>
  <c r="H490" i="1"/>
  <c r="G490" i="1"/>
  <c r="E490" i="1"/>
  <c r="A490" i="1"/>
  <c r="AE507" i="1"/>
  <c r="AE515" i="1"/>
  <c r="H493" i="1"/>
  <c r="G493" i="1"/>
  <c r="AE493" i="1" s="1"/>
  <c r="AC493" i="1"/>
  <c r="AD493" i="1" s="1"/>
  <c r="E493" i="1"/>
  <c r="A493" i="1"/>
  <c r="AC526" i="1"/>
  <c r="AD526" i="1" s="1"/>
  <c r="H526" i="1"/>
  <c r="G526" i="1"/>
  <c r="AE526" i="1" s="1"/>
  <c r="A526" i="1"/>
  <c r="E526" i="1"/>
  <c r="AC487" i="1"/>
  <c r="AD487" i="1" s="1"/>
  <c r="H487" i="1"/>
  <c r="G487" i="1"/>
  <c r="A487" i="1"/>
  <c r="E487" i="1"/>
  <c r="AC535" i="1"/>
  <c r="AD535" i="1" s="1"/>
  <c r="G535" i="1"/>
  <c r="A535" i="1"/>
  <c r="E535" i="1"/>
  <c r="H535" i="1"/>
  <c r="AC524" i="1"/>
  <c r="AD524" i="1" s="1"/>
  <c r="E524" i="1"/>
  <c r="G524" i="1"/>
  <c r="H524" i="1"/>
  <c r="A524" i="1"/>
  <c r="H494" i="1"/>
  <c r="G494" i="1"/>
  <c r="AC494" i="1"/>
  <c r="AD494" i="1" s="1"/>
  <c r="E494" i="1"/>
  <c r="A494" i="1"/>
  <c r="AC510" i="1"/>
  <c r="AD510" i="1" s="1"/>
  <c r="E510" i="1"/>
  <c r="G510" i="1"/>
  <c r="H510" i="1"/>
  <c r="A510" i="1"/>
  <c r="AC489" i="1"/>
  <c r="AD489" i="1" s="1"/>
  <c r="H489" i="1"/>
  <c r="G489" i="1"/>
  <c r="E489" i="1"/>
  <c r="A489" i="1"/>
  <c r="AC495" i="1"/>
  <c r="AD495" i="1" s="1"/>
  <c r="H495" i="1"/>
  <c r="G495" i="1"/>
  <c r="E495" i="1"/>
  <c r="A495" i="1"/>
  <c r="AC534" i="1"/>
  <c r="AD534" i="1" s="1"/>
  <c r="E534" i="1"/>
  <c r="G534" i="1"/>
  <c r="A534" i="1"/>
  <c r="H534" i="1"/>
  <c r="H481" i="1"/>
  <c r="G481" i="1"/>
  <c r="AC481" i="1"/>
  <c r="AD481" i="1" s="1"/>
  <c r="A481" i="1"/>
  <c r="E481" i="1"/>
  <c r="AC504" i="1"/>
  <c r="AD504" i="1" s="1"/>
  <c r="E504" i="1"/>
  <c r="G504" i="1"/>
  <c r="H504" i="1"/>
  <c r="A504" i="1"/>
  <c r="AC518" i="1"/>
  <c r="AD518" i="1" s="1"/>
  <c r="H518" i="1"/>
  <c r="A518" i="1"/>
  <c r="E518" i="1"/>
  <c r="G518" i="1"/>
  <c r="AC501" i="1"/>
  <c r="AD501" i="1" s="1"/>
  <c r="E501" i="1"/>
  <c r="A501" i="1"/>
  <c r="H501" i="1"/>
  <c r="G501" i="1"/>
  <c r="AC522" i="1"/>
  <c r="AD522" i="1" s="1"/>
  <c r="A522" i="1"/>
  <c r="E522" i="1"/>
  <c r="H522" i="1"/>
  <c r="G522" i="1"/>
  <c r="AC483" i="1"/>
  <c r="AD483" i="1" s="1"/>
  <c r="H483" i="1"/>
  <c r="G483" i="1"/>
  <c r="E483" i="1"/>
  <c r="A483" i="1"/>
  <c r="H479" i="1"/>
  <c r="G479" i="1"/>
  <c r="AC479" i="1"/>
  <c r="AD479" i="1" s="1"/>
  <c r="A479" i="1"/>
  <c r="E479" i="1"/>
  <c r="H492" i="1"/>
  <c r="G492" i="1"/>
  <c r="AC492" i="1"/>
  <c r="AD492" i="1" s="1"/>
  <c r="A492" i="1"/>
  <c r="E492" i="1"/>
  <c r="AE474" i="1"/>
  <c r="R36" i="10"/>
  <c r="S13" i="10"/>
  <c r="S12" i="10"/>
  <c r="R50" i="10"/>
  <c r="S26" i="10"/>
  <c r="R43" i="10"/>
  <c r="R69" i="10"/>
  <c r="S51" i="10"/>
  <c r="R70" i="10"/>
  <c r="S64" i="10"/>
  <c r="R53" i="10"/>
  <c r="S53" i="10"/>
  <c r="S46" i="10"/>
  <c r="R57" i="10"/>
  <c r="S41" i="10"/>
  <c r="R63" i="10"/>
  <c r="S71" i="10"/>
  <c r="S19" i="10"/>
  <c r="S54" i="10"/>
  <c r="R56" i="10"/>
  <c r="R67" i="10"/>
  <c r="R60" i="10"/>
  <c r="S60" i="10"/>
  <c r="S70" i="10"/>
  <c r="R59" i="10"/>
  <c r="S59" i="10"/>
  <c r="R65" i="10"/>
  <c r="S5" i="10"/>
  <c r="R34" i="10"/>
  <c r="S27" i="10"/>
  <c r="R55" i="10"/>
  <c r="R41" i="10"/>
  <c r="R44" i="10"/>
  <c r="S58" i="10"/>
  <c r="S57" i="10"/>
  <c r="S25" i="10"/>
  <c r="R7" i="10"/>
  <c r="R62" i="10"/>
  <c r="S38" i="10"/>
  <c r="S21" i="10"/>
  <c r="R42" i="10"/>
  <c r="S65" i="10"/>
  <c r="R17" i="10"/>
  <c r="R45" i="10"/>
  <c r="S14" i="10"/>
  <c r="S7" i="10"/>
  <c r="S45" i="10"/>
  <c r="R12" i="10"/>
  <c r="S31" i="10"/>
  <c r="R31" i="10"/>
  <c r="R68" i="10"/>
  <c r="S44" i="10"/>
  <c r="R15" i="10"/>
  <c r="S63" i="10"/>
  <c r="R16" i="10"/>
  <c r="S24" i="10"/>
  <c r="R71" i="10"/>
  <c r="S16" i="10"/>
  <c r="S22" i="10"/>
  <c r="S17" i="10"/>
  <c r="S23" i="10"/>
  <c r="R37" i="10"/>
  <c r="S52" i="10"/>
  <c r="R13" i="10"/>
  <c r="R54" i="10"/>
  <c r="S37" i="10"/>
  <c r="R6" i="10"/>
  <c r="S50" i="10"/>
  <c r="R21" i="10"/>
  <c r="S69" i="10"/>
  <c r="R22" i="10"/>
  <c r="R5" i="10"/>
  <c r="R40" i="10"/>
  <c r="R23" i="10"/>
  <c r="R51" i="10"/>
  <c r="R38" i="10"/>
  <c r="S6" i="10"/>
  <c r="S43" i="10"/>
  <c r="R8" i="10"/>
  <c r="R48" i="10"/>
  <c r="S56" i="10"/>
  <c r="R27" i="10"/>
  <c r="R24" i="10"/>
  <c r="R28" i="10"/>
  <c r="S34" i="10"/>
  <c r="S40" i="10"/>
  <c r="S18" i="10"/>
  <c r="S35" i="10"/>
  <c r="S39" i="10"/>
  <c r="S47" i="10"/>
  <c r="S36" i="10"/>
  <c r="S49" i="10"/>
  <c r="R14" i="10"/>
  <c r="S42" i="10"/>
  <c r="S62" i="10"/>
  <c r="S28" i="10"/>
  <c r="R18" i="10"/>
  <c r="S66" i="10"/>
  <c r="S55" i="10"/>
  <c r="R20" i="10"/>
  <c r="R25" i="10"/>
  <c r="S68" i="10"/>
  <c r="R39" i="10"/>
  <c r="S15" i="10"/>
  <c r="S67" i="10"/>
  <c r="R35" i="10"/>
  <c r="R58" i="10"/>
  <c r="R64" i="10"/>
  <c r="R19" i="10"/>
  <c r="R26" i="10"/>
  <c r="R49" i="10"/>
  <c r="R66" i="10"/>
  <c r="R46" i="10"/>
  <c r="S8" i="10"/>
  <c r="R52" i="10"/>
  <c r="S48" i="10"/>
  <c r="S20" i="10"/>
  <c r="R47" i="10"/>
  <c r="AE492" i="1" l="1"/>
  <c r="AE489" i="1"/>
  <c r="AE524" i="1"/>
  <c r="AE534" i="1"/>
  <c r="AE494" i="1"/>
  <c r="AE490" i="1"/>
  <c r="AE510" i="1"/>
  <c r="AE495" i="1"/>
  <c r="AC506" i="1"/>
  <c r="AD506" i="1" s="1"/>
  <c r="A506" i="1"/>
  <c r="G506" i="1"/>
  <c r="E506" i="1"/>
  <c r="H506" i="1"/>
  <c r="AC512" i="1"/>
  <c r="AD512" i="1" s="1"/>
  <c r="E512" i="1"/>
  <c r="A512" i="1"/>
  <c r="G512" i="1"/>
  <c r="H512" i="1"/>
  <c r="AC500" i="1"/>
  <c r="AD500" i="1" s="1"/>
  <c r="E500" i="1"/>
  <c r="H500" i="1"/>
  <c r="G500" i="1"/>
  <c r="A500" i="1"/>
  <c r="AC514" i="1"/>
  <c r="AD514" i="1" s="1"/>
  <c r="E514" i="1"/>
  <c r="A514" i="1"/>
  <c r="G514" i="1"/>
  <c r="H514" i="1"/>
  <c r="AE487" i="1"/>
  <c r="AC498" i="1"/>
  <c r="AD498" i="1" s="1"/>
  <c r="G498" i="1"/>
  <c r="H498" i="1"/>
  <c r="E498" i="1"/>
  <c r="A498" i="1"/>
  <c r="AC541" i="1"/>
  <c r="AD541" i="1" s="1"/>
  <c r="A541" i="1"/>
  <c r="H541" i="1"/>
  <c r="E541" i="1"/>
  <c r="G541" i="1"/>
  <c r="AC529" i="1"/>
  <c r="AD529" i="1" s="1"/>
  <c r="A529" i="1"/>
  <c r="E529" i="1"/>
  <c r="H529" i="1"/>
  <c r="G529" i="1"/>
  <c r="AC537" i="1"/>
  <c r="AD537" i="1" s="1"/>
  <c r="H537" i="1"/>
  <c r="G537" i="1"/>
  <c r="E537" i="1"/>
  <c r="A537" i="1"/>
  <c r="AE535" i="1"/>
  <c r="AC553" i="1"/>
  <c r="AD553" i="1" s="1"/>
  <c r="H553" i="1"/>
  <c r="A553" i="1"/>
  <c r="E553" i="1"/>
  <c r="G553" i="1"/>
  <c r="AC508" i="1"/>
  <c r="AD508" i="1" s="1"/>
  <c r="H508" i="1"/>
  <c r="G508" i="1"/>
  <c r="A508" i="1"/>
  <c r="E508" i="1"/>
  <c r="AC554" i="1"/>
  <c r="AD554" i="1" s="1"/>
  <c r="G554" i="1"/>
  <c r="H554" i="1"/>
  <c r="A554" i="1"/>
  <c r="E554" i="1"/>
  <c r="AC520" i="1"/>
  <c r="AD520" i="1" s="1"/>
  <c r="E520" i="1"/>
  <c r="H520" i="1"/>
  <c r="G520" i="1"/>
  <c r="A520" i="1"/>
  <c r="AC511" i="1"/>
  <c r="AD511" i="1" s="1"/>
  <c r="H511" i="1"/>
  <c r="A511" i="1"/>
  <c r="E511" i="1"/>
  <c r="G511" i="1"/>
  <c r="AC502" i="1"/>
  <c r="AD502" i="1" s="1"/>
  <c r="E502" i="1"/>
  <c r="G502" i="1"/>
  <c r="A502" i="1"/>
  <c r="H502" i="1"/>
  <c r="AC523" i="1"/>
  <c r="AD523" i="1" s="1"/>
  <c r="A523" i="1"/>
  <c r="H523" i="1"/>
  <c r="E523" i="1"/>
  <c r="G523" i="1"/>
  <c r="AC545" i="1"/>
  <c r="AD545" i="1" s="1"/>
  <c r="E545" i="1"/>
  <c r="G545" i="1"/>
  <c r="H545" i="1"/>
  <c r="A545" i="1"/>
  <c r="AC513" i="1"/>
  <c r="AD513" i="1" s="1"/>
  <c r="E513" i="1"/>
  <c r="A513" i="1"/>
  <c r="G513" i="1"/>
  <c r="H513" i="1"/>
  <c r="AC543" i="1"/>
  <c r="AD543" i="1" s="1"/>
  <c r="E543" i="1"/>
  <c r="G543" i="1"/>
  <c r="H543" i="1"/>
  <c r="A543" i="1"/>
  <c r="AC509" i="1"/>
  <c r="AD509" i="1" s="1"/>
  <c r="H509" i="1"/>
  <c r="G509" i="1"/>
  <c r="E509" i="1"/>
  <c r="A509" i="1"/>
  <c r="AE509" i="1" l="1"/>
  <c r="AE513" i="1"/>
  <c r="AE529" i="1"/>
  <c r="AE514" i="1"/>
  <c r="AE512" i="1"/>
  <c r="AC527" i="1"/>
  <c r="AD527" i="1" s="1"/>
  <c r="E527" i="1"/>
  <c r="G527" i="1"/>
  <c r="A527" i="1"/>
  <c r="H527" i="1"/>
  <c r="AE511" i="1"/>
  <c r="AE553" i="1"/>
  <c r="AC531" i="1"/>
  <c r="AD531" i="1" s="1"/>
  <c r="A531" i="1"/>
  <c r="H531" i="1"/>
  <c r="E531" i="1"/>
  <c r="G531" i="1"/>
  <c r="AC533" i="1"/>
  <c r="AD533" i="1" s="1"/>
  <c r="G533" i="1"/>
  <c r="A533" i="1"/>
  <c r="E533" i="1"/>
  <c r="H533" i="1"/>
  <c r="AC564" i="1"/>
  <c r="AD564" i="1" s="1"/>
  <c r="H564" i="1"/>
  <c r="E564" i="1"/>
  <c r="A564" i="1"/>
  <c r="G564" i="1"/>
  <c r="AC539" i="1"/>
  <c r="AD539" i="1" s="1"/>
  <c r="H539" i="1"/>
  <c r="A539" i="1"/>
  <c r="G539" i="1"/>
  <c r="E539" i="1"/>
  <c r="AC556" i="1"/>
  <c r="AD556" i="1" s="1"/>
  <c r="A556" i="1"/>
  <c r="G556" i="1"/>
  <c r="E556" i="1"/>
  <c r="H556" i="1"/>
  <c r="AC562" i="1"/>
  <c r="AD562" i="1" s="1"/>
  <c r="G562" i="1"/>
  <c r="A562" i="1"/>
  <c r="H562" i="1"/>
  <c r="E562" i="1"/>
  <c r="AC521" i="1"/>
  <c r="AD521" i="1" s="1"/>
  <c r="A521" i="1"/>
  <c r="E521" i="1"/>
  <c r="H521" i="1"/>
  <c r="G521" i="1"/>
  <c r="AE554" i="1"/>
  <c r="A528" i="1"/>
  <c r="AC528" i="1"/>
  <c r="AD528" i="1" s="1"/>
  <c r="E528" i="1"/>
  <c r="H528" i="1"/>
  <c r="G528" i="1"/>
  <c r="AC542" i="1"/>
  <c r="AD542" i="1" s="1"/>
  <c r="G542" i="1"/>
  <c r="A542" i="1"/>
  <c r="E542" i="1"/>
  <c r="H542" i="1"/>
  <c r="AC530" i="1"/>
  <c r="AD530" i="1" s="1"/>
  <c r="H530" i="1"/>
  <c r="A530" i="1"/>
  <c r="G530" i="1"/>
  <c r="E530" i="1"/>
  <c r="AE506" i="1"/>
  <c r="AC573" i="1"/>
  <c r="AD573" i="1" s="1"/>
  <c r="A573" i="1"/>
  <c r="G573" i="1"/>
  <c r="H573" i="1"/>
  <c r="E573" i="1"/>
  <c r="AC572" i="1"/>
  <c r="AD572" i="1" s="1"/>
  <c r="H572" i="1"/>
  <c r="E572" i="1"/>
  <c r="G572" i="1"/>
  <c r="A572" i="1"/>
  <c r="AC517" i="1"/>
  <c r="AD517" i="1" s="1"/>
  <c r="H517" i="1"/>
  <c r="G517" i="1"/>
  <c r="A517" i="1"/>
  <c r="E517" i="1"/>
  <c r="AC532" i="1"/>
  <c r="AD532" i="1" s="1"/>
  <c r="A532" i="1"/>
  <c r="E532" i="1"/>
  <c r="G532" i="1"/>
  <c r="H532" i="1"/>
  <c r="AC548" i="1"/>
  <c r="AD548" i="1" s="1"/>
  <c r="E548" i="1"/>
  <c r="H548" i="1"/>
  <c r="G548" i="1"/>
  <c r="A548" i="1"/>
  <c r="AC519" i="1"/>
  <c r="AD519" i="1" s="1"/>
  <c r="G519" i="1"/>
  <c r="E519" i="1"/>
  <c r="A519" i="1"/>
  <c r="H519" i="1"/>
  <c r="AC525" i="1"/>
  <c r="AD525" i="1" s="1"/>
  <c r="A525" i="1"/>
  <c r="E525" i="1"/>
  <c r="G525" i="1"/>
  <c r="H525" i="1"/>
  <c r="AC560" i="1"/>
  <c r="AD560" i="1" s="1"/>
  <c r="H560" i="1"/>
  <c r="E560" i="1"/>
  <c r="A560" i="1"/>
  <c r="G560" i="1"/>
  <c r="AE543" i="1"/>
  <c r="AE545" i="1"/>
  <c r="AE508" i="1"/>
  <c r="AE572" i="1" l="1"/>
  <c r="AE573" i="1"/>
  <c r="AE528" i="1"/>
  <c r="AE562" i="1"/>
  <c r="AE533" i="1"/>
  <c r="AE527" i="1"/>
  <c r="AC567" i="1"/>
  <c r="AD567" i="1" s="1"/>
  <c r="H567" i="1"/>
  <c r="E567" i="1"/>
  <c r="A567" i="1"/>
  <c r="G567" i="1"/>
  <c r="AE567" i="1" s="1"/>
  <c r="AC536" i="1"/>
  <c r="AD536" i="1" s="1"/>
  <c r="A536" i="1"/>
  <c r="G536" i="1"/>
  <c r="H536" i="1"/>
  <c r="E536" i="1"/>
  <c r="AC592" i="1"/>
  <c r="AD592" i="1" s="1"/>
  <c r="E592" i="1"/>
  <c r="G592" i="1"/>
  <c r="A592" i="1"/>
  <c r="H592" i="1"/>
  <c r="AC561" i="1"/>
  <c r="AD561" i="1" s="1"/>
  <c r="A561" i="1"/>
  <c r="G561" i="1"/>
  <c r="E561" i="1"/>
  <c r="H561" i="1"/>
  <c r="AC540" i="1"/>
  <c r="AD540" i="1" s="1"/>
  <c r="H540" i="1"/>
  <c r="G540" i="1"/>
  <c r="A540" i="1"/>
  <c r="E540" i="1"/>
  <c r="AE530" i="1"/>
  <c r="AE532" i="1"/>
  <c r="AC549" i="1"/>
  <c r="AD549" i="1" s="1"/>
  <c r="A549" i="1"/>
  <c r="G549" i="1"/>
  <c r="E549" i="1"/>
  <c r="H549" i="1"/>
  <c r="AC547" i="1"/>
  <c r="AD547" i="1" s="1"/>
  <c r="G547" i="1"/>
  <c r="E547" i="1"/>
  <c r="H547" i="1"/>
  <c r="A547" i="1"/>
  <c r="AC552" i="1"/>
  <c r="AD552" i="1" s="1"/>
  <c r="H552" i="1"/>
  <c r="G552" i="1"/>
  <c r="E552" i="1"/>
  <c r="A552" i="1"/>
  <c r="AC544" i="1"/>
  <c r="AD544" i="1" s="1"/>
  <c r="E544" i="1"/>
  <c r="H544" i="1"/>
  <c r="A544" i="1"/>
  <c r="G544" i="1"/>
  <c r="AE544" i="1" s="1"/>
  <c r="AE525" i="1"/>
  <c r="AE548" i="1"/>
  <c r="AC581" i="1"/>
  <c r="AD581" i="1" s="1"/>
  <c r="E581" i="1"/>
  <c r="A581" i="1"/>
  <c r="G581" i="1"/>
  <c r="H581" i="1"/>
  <c r="AC558" i="1"/>
  <c r="AD558" i="1" s="1"/>
  <c r="G558" i="1"/>
  <c r="A558" i="1"/>
  <c r="H558" i="1"/>
  <c r="E558" i="1"/>
  <c r="AE564" i="1"/>
  <c r="AE531" i="1"/>
  <c r="AC575" i="1"/>
  <c r="AD575" i="1" s="1"/>
  <c r="E575" i="1"/>
  <c r="H575" i="1"/>
  <c r="G575" i="1"/>
  <c r="A575" i="1"/>
  <c r="AC583" i="1"/>
  <c r="AD583" i="1" s="1"/>
  <c r="G583" i="1"/>
  <c r="E583" i="1"/>
  <c r="H583" i="1"/>
  <c r="A583" i="1"/>
  <c r="AC550" i="1"/>
  <c r="AD550" i="1" s="1"/>
  <c r="H550" i="1"/>
  <c r="G550" i="1"/>
  <c r="A550" i="1"/>
  <c r="E550" i="1"/>
  <c r="AC538" i="1"/>
  <c r="AD538" i="1" s="1"/>
  <c r="E538" i="1"/>
  <c r="G538" i="1"/>
  <c r="A538" i="1"/>
  <c r="H538" i="1"/>
  <c r="AC551" i="1"/>
  <c r="AD551" i="1" s="1"/>
  <c r="A551" i="1"/>
  <c r="H551" i="1"/>
  <c r="E551" i="1"/>
  <c r="G551" i="1"/>
  <c r="AE551" i="1" s="1"/>
  <c r="AC579" i="1"/>
  <c r="AD579" i="1" s="1"/>
  <c r="E579" i="1"/>
  <c r="H579" i="1"/>
  <c r="A579" i="1"/>
  <c r="G579" i="1"/>
  <c r="AC591" i="1"/>
  <c r="AD591" i="1" s="1"/>
  <c r="G591" i="1"/>
  <c r="A591" i="1"/>
  <c r="E591" i="1"/>
  <c r="H591" i="1"/>
  <c r="AC546" i="1"/>
  <c r="AD546" i="1" s="1"/>
  <c r="A546" i="1"/>
  <c r="E546" i="1"/>
  <c r="H546" i="1"/>
  <c r="G546" i="1"/>
  <c r="AE546" i="1" s="1"/>
  <c r="AE550" i="1" l="1"/>
  <c r="AE547" i="1"/>
  <c r="AE552" i="1"/>
  <c r="AE549" i="1"/>
  <c r="H600" i="1"/>
  <c r="G600" i="1"/>
  <c r="AE600" i="1" s="1"/>
  <c r="AC600" i="1"/>
  <c r="AD600" i="1" s="1"/>
  <c r="A600" i="1"/>
  <c r="E600" i="1"/>
  <c r="AE583" i="1"/>
  <c r="AC571" i="1"/>
  <c r="AD571" i="1" s="1"/>
  <c r="H571" i="1"/>
  <c r="G571" i="1"/>
  <c r="E571" i="1"/>
  <c r="A571" i="1"/>
  <c r="E602" i="1"/>
  <c r="G602" i="1"/>
  <c r="A602" i="1"/>
  <c r="AC602" i="1"/>
  <c r="AD602" i="1" s="1"/>
  <c r="H602" i="1"/>
  <c r="AC565" i="1"/>
  <c r="AD565" i="1" s="1"/>
  <c r="E565" i="1"/>
  <c r="H565" i="1"/>
  <c r="A565" i="1"/>
  <c r="G565" i="1"/>
  <c r="E598" i="1"/>
  <c r="A598" i="1"/>
  <c r="H598" i="1"/>
  <c r="G598" i="1"/>
  <c r="AC598" i="1"/>
  <c r="AD598" i="1" s="1"/>
  <c r="AC557" i="1"/>
  <c r="AD557" i="1" s="1"/>
  <c r="H557" i="1"/>
  <c r="A557" i="1"/>
  <c r="G557" i="1"/>
  <c r="E557" i="1"/>
  <c r="AC580" i="1"/>
  <c r="AD580" i="1" s="1"/>
  <c r="H580" i="1"/>
  <c r="G580" i="1"/>
  <c r="A580" i="1"/>
  <c r="E580" i="1"/>
  <c r="AC555" i="1"/>
  <c r="AD555" i="1" s="1"/>
  <c r="H555" i="1"/>
  <c r="G555" i="1"/>
  <c r="E555" i="1"/>
  <c r="A555" i="1"/>
  <c r="AC577" i="1"/>
  <c r="AD577" i="1" s="1"/>
  <c r="H577" i="1"/>
  <c r="A577" i="1"/>
  <c r="G577" i="1"/>
  <c r="E577" i="1"/>
  <c r="AC568" i="1"/>
  <c r="AD568" i="1" s="1"/>
  <c r="A568" i="1"/>
  <c r="E568" i="1"/>
  <c r="H568" i="1"/>
  <c r="G568" i="1"/>
  <c r="AC566" i="1"/>
  <c r="AD566" i="1" s="1"/>
  <c r="H566" i="1"/>
  <c r="E566" i="1"/>
  <c r="G566" i="1"/>
  <c r="A566" i="1"/>
  <c r="AE592" i="1"/>
  <c r="AE581" i="1"/>
  <c r="AC563" i="1"/>
  <c r="AD563" i="1" s="1"/>
  <c r="A563" i="1"/>
  <c r="E563" i="1"/>
  <c r="G563" i="1"/>
  <c r="H563" i="1"/>
  <c r="H594" i="1"/>
  <c r="A594" i="1"/>
  <c r="AC594" i="1"/>
  <c r="AD594" i="1" s="1"/>
  <c r="G594" i="1"/>
  <c r="E594" i="1"/>
  <c r="AC559" i="1"/>
  <c r="AD559" i="1" s="1"/>
  <c r="E559" i="1"/>
  <c r="G559" i="1"/>
  <c r="H559" i="1"/>
  <c r="A559" i="1"/>
  <c r="AC586" i="1"/>
  <c r="AD586" i="1" s="1"/>
  <c r="E586" i="1"/>
  <c r="G586" i="1"/>
  <c r="H586" i="1"/>
  <c r="A586" i="1"/>
  <c r="AE591" i="1"/>
  <c r="AC569" i="1"/>
  <c r="AD569" i="1" s="1"/>
  <c r="E569" i="1"/>
  <c r="G569" i="1"/>
  <c r="A569" i="1"/>
  <c r="H569" i="1"/>
  <c r="E610" i="1"/>
  <c r="G610" i="1"/>
  <c r="AC610" i="1"/>
  <c r="AD610" i="1" s="1"/>
  <c r="H610" i="1"/>
  <c r="A610" i="1"/>
  <c r="AC570" i="1"/>
  <c r="AD570" i="1" s="1"/>
  <c r="G570" i="1"/>
  <c r="H570" i="1"/>
  <c r="E570" i="1"/>
  <c r="A570" i="1"/>
  <c r="H611" i="1"/>
  <c r="AC611" i="1"/>
  <c r="AD611" i="1" s="1"/>
  <c r="E611" i="1"/>
  <c r="A611" i="1"/>
  <c r="G611" i="1"/>
  <c r="AE568" i="1" l="1"/>
  <c r="AE602" i="1"/>
  <c r="AE570" i="1"/>
  <c r="AE611" i="1"/>
  <c r="AC589" i="1"/>
  <c r="AD589" i="1" s="1"/>
  <c r="H589" i="1"/>
  <c r="E589" i="1"/>
  <c r="G589" i="1"/>
  <c r="AE589" i="1" s="1"/>
  <c r="A589" i="1"/>
  <c r="AC588" i="1"/>
  <c r="AD588" i="1" s="1"/>
  <c r="A588" i="1"/>
  <c r="H588" i="1"/>
  <c r="E588" i="1"/>
  <c r="G588" i="1"/>
  <c r="AC582" i="1"/>
  <c r="AD582" i="1" s="1"/>
  <c r="G582" i="1"/>
  <c r="A582" i="1"/>
  <c r="E582" i="1"/>
  <c r="H582" i="1"/>
  <c r="AC578" i="1"/>
  <c r="AD578" i="1" s="1"/>
  <c r="A578" i="1"/>
  <c r="G578" i="1"/>
  <c r="H578" i="1"/>
  <c r="E578" i="1"/>
  <c r="AE571" i="1"/>
  <c r="AC587" i="1"/>
  <c r="AD587" i="1" s="1"/>
  <c r="H587" i="1"/>
  <c r="G587" i="1"/>
  <c r="A587" i="1"/>
  <c r="E587" i="1"/>
  <c r="AC574" i="1"/>
  <c r="AD574" i="1" s="1"/>
  <c r="H574" i="1"/>
  <c r="A574" i="1"/>
  <c r="G574" i="1"/>
  <c r="E574" i="1"/>
  <c r="AC576" i="1"/>
  <c r="AD576" i="1" s="1"/>
  <c r="E576" i="1"/>
  <c r="H576" i="1"/>
  <c r="G576" i="1"/>
  <c r="A576" i="1"/>
  <c r="AC584" i="1"/>
  <c r="AD584" i="1" s="1"/>
  <c r="H584" i="1"/>
  <c r="E584" i="1"/>
  <c r="G584" i="1"/>
  <c r="A584" i="1"/>
  <c r="AC590" i="1"/>
  <c r="AD590" i="1" s="1"/>
  <c r="E590" i="1"/>
  <c r="H590" i="1"/>
  <c r="A590" i="1"/>
  <c r="G590" i="1"/>
  <c r="AE610" i="1"/>
  <c r="AE586" i="1"/>
  <c r="H613" i="1"/>
  <c r="A613" i="1"/>
  <c r="AC613" i="1"/>
  <c r="AD613" i="1" s="1"/>
  <c r="E613" i="1"/>
  <c r="G613" i="1"/>
  <c r="H630" i="1"/>
  <c r="A630" i="1"/>
  <c r="AC630" i="1"/>
  <c r="AD630" i="1" s="1"/>
  <c r="E630" i="1"/>
  <c r="G630" i="1"/>
  <c r="H629" i="1"/>
  <c r="A629" i="1"/>
  <c r="E629" i="1"/>
  <c r="G629" i="1"/>
  <c r="AC629" i="1"/>
  <c r="AD629" i="1" s="1"/>
  <c r="AE566" i="1"/>
  <c r="AC585" i="1"/>
  <c r="AD585" i="1" s="1"/>
  <c r="A585" i="1"/>
  <c r="H585" i="1"/>
  <c r="G585" i="1"/>
  <c r="E585" i="1"/>
  <c r="E596" i="1"/>
  <c r="A596" i="1"/>
  <c r="H596" i="1"/>
  <c r="G596" i="1"/>
  <c r="AC596" i="1"/>
  <c r="AD596" i="1" s="1"/>
  <c r="H617" i="1"/>
  <c r="A617" i="1"/>
  <c r="G617" i="1"/>
  <c r="AC617" i="1"/>
  <c r="AD617" i="1" s="1"/>
  <c r="E617" i="1"/>
  <c r="H621" i="1"/>
  <c r="A621" i="1"/>
  <c r="G621" i="1"/>
  <c r="E621" i="1"/>
  <c r="AC621" i="1"/>
  <c r="AD621" i="1" s="1"/>
  <c r="H605" i="1"/>
  <c r="E605" i="1"/>
  <c r="A605" i="1"/>
  <c r="G605" i="1"/>
  <c r="AC605" i="1"/>
  <c r="AD605" i="1" s="1"/>
  <c r="AE569" i="1"/>
  <c r="AE563" i="1"/>
  <c r="H599" i="1"/>
  <c r="E599" i="1"/>
  <c r="AC599" i="1"/>
  <c r="AD599" i="1" s="1"/>
  <c r="A599" i="1"/>
  <c r="G599" i="1"/>
  <c r="H619" i="1"/>
  <c r="A619" i="1"/>
  <c r="G619" i="1"/>
  <c r="E619" i="1"/>
  <c r="AC619" i="1"/>
  <c r="AD619" i="1" s="1"/>
  <c r="AE565" i="1"/>
  <c r="AE619" i="1" l="1"/>
  <c r="AE605" i="1"/>
  <c r="AE585" i="1"/>
  <c r="AE584" i="1"/>
  <c r="AE588" i="1"/>
  <c r="A648" i="1"/>
  <c r="G648" i="1"/>
  <c r="AC648" i="1"/>
  <c r="AD648" i="1" s="1"/>
  <c r="H648" i="1"/>
  <c r="E648" i="1"/>
  <c r="AE630" i="1"/>
  <c r="H603" i="1"/>
  <c r="AC603" i="1"/>
  <c r="AD603" i="1" s="1"/>
  <c r="E603" i="1"/>
  <c r="G603" i="1"/>
  <c r="A603" i="1"/>
  <c r="H638" i="1"/>
  <c r="A638" i="1"/>
  <c r="G638" i="1"/>
  <c r="AE638" i="1" s="1"/>
  <c r="AC638" i="1"/>
  <c r="AD638" i="1" s="1"/>
  <c r="E638" i="1"/>
  <c r="H593" i="1"/>
  <c r="AC593" i="1"/>
  <c r="AD593" i="1" s="1"/>
  <c r="A593" i="1"/>
  <c r="E593" i="1"/>
  <c r="G593" i="1"/>
  <c r="H597" i="1"/>
  <c r="A597" i="1"/>
  <c r="G597" i="1"/>
  <c r="AC597" i="1"/>
  <c r="AD597" i="1" s="1"/>
  <c r="E597" i="1"/>
  <c r="H640" i="1"/>
  <c r="A640" i="1"/>
  <c r="AC640" i="1"/>
  <c r="AD640" i="1" s="1"/>
  <c r="G640" i="1"/>
  <c r="E640" i="1"/>
  <c r="H632" i="1"/>
  <c r="G632" i="1"/>
  <c r="A632" i="1"/>
  <c r="AC632" i="1"/>
  <c r="AD632" i="1" s="1"/>
  <c r="E632" i="1"/>
  <c r="H636" i="1"/>
  <c r="A636" i="1"/>
  <c r="G636" i="1"/>
  <c r="AC636" i="1"/>
  <c r="AD636" i="1" s="1"/>
  <c r="E636" i="1"/>
  <c r="AE590" i="1"/>
  <c r="H607" i="1"/>
  <c r="E607" i="1"/>
  <c r="A607" i="1"/>
  <c r="AC607" i="1"/>
  <c r="AD607" i="1" s="1"/>
  <c r="G607" i="1"/>
  <c r="H624" i="1"/>
  <c r="A624" i="1"/>
  <c r="E624" i="1"/>
  <c r="G624" i="1"/>
  <c r="AE624" i="1" s="1"/>
  <c r="AC624" i="1"/>
  <c r="AD624" i="1" s="1"/>
  <c r="H649" i="1"/>
  <c r="E649" i="1"/>
  <c r="A649" i="1"/>
  <c r="G649" i="1"/>
  <c r="AC649" i="1"/>
  <c r="AD649" i="1" s="1"/>
  <c r="AE587" i="1"/>
  <c r="H615" i="1"/>
  <c r="A615" i="1"/>
  <c r="G615" i="1"/>
  <c r="AC615" i="1"/>
  <c r="AD615" i="1" s="1"/>
  <c r="E615" i="1"/>
  <c r="AE582" i="1"/>
  <c r="E604" i="1"/>
  <c r="A604" i="1"/>
  <c r="G604" i="1"/>
  <c r="AC604" i="1"/>
  <c r="AD604" i="1" s="1"/>
  <c r="H604" i="1"/>
  <c r="H618" i="1"/>
  <c r="A618" i="1"/>
  <c r="E618" i="1"/>
  <c r="AC618" i="1"/>
  <c r="AD618" i="1" s="1"/>
  <c r="G618" i="1"/>
  <c r="AE621" i="1"/>
  <c r="AE629" i="1"/>
  <c r="H609" i="1"/>
  <c r="E609" i="1"/>
  <c r="AC609" i="1"/>
  <c r="AD609" i="1" s="1"/>
  <c r="G609" i="1"/>
  <c r="A609" i="1"/>
  <c r="H595" i="1"/>
  <c r="AC595" i="1"/>
  <c r="AD595" i="1" s="1"/>
  <c r="E595" i="1"/>
  <c r="A595" i="1"/>
  <c r="G595" i="1"/>
  <c r="H606" i="1"/>
  <c r="E606" i="1"/>
  <c r="A606" i="1"/>
  <c r="G606" i="1"/>
  <c r="AC606" i="1"/>
  <c r="AD606" i="1" s="1"/>
  <c r="H601" i="1"/>
  <c r="E601" i="1"/>
  <c r="G601" i="1"/>
  <c r="AC601" i="1"/>
  <c r="AD601" i="1" s="1"/>
  <c r="A601" i="1"/>
  <c r="E608" i="1"/>
  <c r="A608" i="1"/>
  <c r="H608" i="1"/>
  <c r="G608" i="1"/>
  <c r="AC608" i="1"/>
  <c r="AD608" i="1" s="1"/>
  <c r="AE608" i="1" l="1"/>
  <c r="AE607" i="1"/>
  <c r="AE609" i="1"/>
  <c r="AE606" i="1"/>
  <c r="AE601" i="1"/>
  <c r="AE640" i="1"/>
  <c r="AE603" i="1"/>
  <c r="H626" i="1"/>
  <c r="A626" i="1"/>
  <c r="E626" i="1"/>
  <c r="AC626" i="1"/>
  <c r="AD626" i="1" s="1"/>
  <c r="G626" i="1"/>
  <c r="AE626" i="1" s="1"/>
  <c r="H627" i="1"/>
  <c r="A627" i="1"/>
  <c r="E627" i="1"/>
  <c r="G627" i="1"/>
  <c r="AC627" i="1"/>
  <c r="AD627" i="1" s="1"/>
  <c r="H625" i="1"/>
  <c r="A625" i="1"/>
  <c r="G625" i="1"/>
  <c r="AC625" i="1"/>
  <c r="AD625" i="1" s="1"/>
  <c r="E625" i="1"/>
  <c r="H628" i="1"/>
  <c r="A628" i="1"/>
  <c r="E628" i="1"/>
  <c r="AC628" i="1"/>
  <c r="AD628" i="1" s="1"/>
  <c r="G628" i="1"/>
  <c r="AE604" i="1"/>
  <c r="H623" i="1"/>
  <c r="A623" i="1"/>
  <c r="G623" i="1"/>
  <c r="AE623" i="1" s="1"/>
  <c r="E623" i="1"/>
  <c r="AC623" i="1"/>
  <c r="AD623" i="1" s="1"/>
  <c r="H612" i="1"/>
  <c r="AC612" i="1"/>
  <c r="AD612" i="1" s="1"/>
  <c r="A612" i="1"/>
  <c r="E612" i="1"/>
  <c r="G612" i="1"/>
  <c r="H622" i="1"/>
  <c r="A622" i="1"/>
  <c r="E622" i="1"/>
  <c r="G622" i="1"/>
  <c r="AE622" i="1" s="1"/>
  <c r="AC622" i="1"/>
  <c r="AD622" i="1" s="1"/>
  <c r="H637" i="1"/>
  <c r="A637" i="1"/>
  <c r="G637" i="1"/>
  <c r="E637" i="1"/>
  <c r="AC637" i="1"/>
  <c r="AD637" i="1" s="1"/>
  <c r="H620" i="1"/>
  <c r="A620" i="1"/>
  <c r="E620" i="1"/>
  <c r="G620" i="1"/>
  <c r="AC620" i="1"/>
  <c r="AD620" i="1" s="1"/>
  <c r="H614" i="1"/>
  <c r="A614" i="1"/>
  <c r="AC614" i="1"/>
  <c r="AD614" i="1" s="1"/>
  <c r="E614" i="1"/>
  <c r="G614" i="1"/>
  <c r="H634" i="1"/>
  <c r="A634" i="1"/>
  <c r="G634" i="1"/>
  <c r="AC634" i="1"/>
  <c r="AD634" i="1" s="1"/>
  <c r="E634" i="1"/>
  <c r="H643" i="1"/>
  <c r="E643" i="1"/>
  <c r="G643" i="1"/>
  <c r="A643" i="1"/>
  <c r="AC643" i="1"/>
  <c r="AD643" i="1" s="1"/>
  <c r="AE648" i="1"/>
  <c r="AE649" i="1"/>
  <c r="H616" i="1"/>
  <c r="A616" i="1"/>
  <c r="AC616" i="1"/>
  <c r="AD616" i="1" s="1"/>
  <c r="G616" i="1"/>
  <c r="E616" i="1"/>
  <c r="AE625" i="1" l="1"/>
  <c r="AE620" i="1"/>
  <c r="AE627" i="1"/>
  <c r="AE628" i="1"/>
  <c r="H633" i="1"/>
  <c r="G633" i="1"/>
  <c r="AC633" i="1"/>
  <c r="AD633" i="1" s="1"/>
  <c r="A633" i="1"/>
  <c r="E633" i="1"/>
  <c r="H631" i="1"/>
  <c r="AC631" i="1"/>
  <c r="AD631" i="1" s="1"/>
  <c r="A631" i="1"/>
  <c r="G631" i="1"/>
  <c r="H647" i="1"/>
  <c r="E647" i="1"/>
  <c r="A647" i="1"/>
  <c r="G647" i="1"/>
  <c r="AC647" i="1"/>
  <c r="AD647" i="1" s="1"/>
  <c r="H646" i="1"/>
  <c r="A646" i="1"/>
  <c r="G646" i="1"/>
  <c r="AC646" i="1"/>
  <c r="AD646" i="1" s="1"/>
  <c r="E646" i="1"/>
  <c r="AE643" i="1"/>
  <c r="H641" i="1"/>
  <c r="G641" i="1"/>
  <c r="AC641" i="1"/>
  <c r="AD641" i="1" s="1"/>
  <c r="A641" i="1"/>
  <c r="E641" i="1"/>
  <c r="H642" i="1"/>
  <c r="A642" i="1"/>
  <c r="E642" i="1"/>
  <c r="G642" i="1"/>
  <c r="AE642" i="1" s="1"/>
  <c r="AC642" i="1"/>
  <c r="AD642" i="1" s="1"/>
  <c r="H635" i="1"/>
  <c r="G635" i="1"/>
  <c r="E635" i="1"/>
  <c r="AC635" i="1"/>
  <c r="AD635" i="1" s="1"/>
  <c r="A635" i="1"/>
  <c r="H645" i="1"/>
  <c r="G645" i="1"/>
  <c r="E645" i="1"/>
  <c r="A645" i="1"/>
  <c r="AC645" i="1"/>
  <c r="AD645" i="1" s="1"/>
  <c r="H639" i="1"/>
  <c r="A639" i="1"/>
  <c r="E639" i="1"/>
  <c r="G639" i="1"/>
  <c r="AE639" i="1" s="1"/>
  <c r="AC639" i="1"/>
  <c r="AD639" i="1" s="1"/>
  <c r="H644" i="1"/>
  <c r="A644" i="1"/>
  <c r="E644" i="1"/>
  <c r="G644" i="1"/>
  <c r="AC644" i="1"/>
  <c r="AD644" i="1" s="1"/>
  <c r="AE646" i="1" l="1"/>
  <c r="AE641" i="1"/>
  <c r="AE644" i="1"/>
  <c r="AE645" i="1"/>
  <c r="AE647" i="1"/>
</calcChain>
</file>

<file path=xl/sharedStrings.xml><?xml version="1.0" encoding="utf-8"?>
<sst xmlns="http://schemas.openxmlformats.org/spreadsheetml/2006/main" count="8477" uniqueCount="436">
  <si>
    <t>Id</t>
    <phoneticPr fontId="1" type="noConversion"/>
  </si>
  <si>
    <t>Grade</t>
    <phoneticPr fontId="1" type="noConversion"/>
  </si>
  <si>
    <t>Default</t>
    <phoneticPr fontId="1" type="noConversion"/>
  </si>
  <si>
    <t>Value</t>
    <phoneticPr fontId="1" type="noConversion"/>
  </si>
  <si>
    <t>Name</t>
    <phoneticPr fontId="1" type="noConversion"/>
  </si>
  <si>
    <t>Common1</t>
  </si>
  <si>
    <t>Common2</t>
  </si>
  <si>
    <t>Common3</t>
  </si>
  <si>
    <t>Uncommon1</t>
  </si>
  <si>
    <t>Uncommon2</t>
  </si>
  <si>
    <t>Uncommon3</t>
  </si>
  <si>
    <t>Rare1</t>
  </si>
  <si>
    <t>Rare2</t>
  </si>
  <si>
    <t>Rare3</t>
  </si>
  <si>
    <t>Unique1</t>
  </si>
  <si>
    <t>Unique2</t>
  </si>
  <si>
    <t>Unique3</t>
  </si>
  <si>
    <t>Epic1</t>
  </si>
  <si>
    <t>Epic2</t>
  </si>
  <si>
    <t>Epic3</t>
  </si>
  <si>
    <t>Legendary1</t>
  </si>
  <si>
    <t>Legendary2</t>
  </si>
  <si>
    <t>Legendary3</t>
  </si>
  <si>
    <t>ChildStatus</t>
    <phoneticPr fontId="1" type="noConversion"/>
  </si>
  <si>
    <t>RandomRange</t>
  </si>
  <si>
    <t>RandomRange</t>
    <phoneticPr fontId="1" type="noConversion"/>
  </si>
  <si>
    <t>RequireCategoty</t>
    <phoneticPr fontId="1" type="noConversion"/>
  </si>
  <si>
    <t>RequireId</t>
    <phoneticPr fontId="1" type="noConversion"/>
  </si>
  <si>
    <t>RequireCount</t>
    <phoneticPr fontId="1" type="noConversion"/>
  </si>
  <si>
    <t>Tier</t>
    <phoneticPr fontId="1" type="noConversion"/>
  </si>
  <si>
    <t>#TierSort</t>
    <phoneticPr fontId="1" type="noConversion"/>
  </si>
  <si>
    <t>Default</t>
  </si>
  <si>
    <t>Uncommon1</t>
    <phoneticPr fontId="1" type="noConversion"/>
  </si>
  <si>
    <t>Rare1</t>
    <phoneticPr fontId="1" type="noConversion"/>
  </si>
  <si>
    <t>Unique1</t>
    <phoneticPr fontId="1" type="noConversion"/>
  </si>
  <si>
    <t>Epic1</t>
    <phoneticPr fontId="1" type="noConversion"/>
  </si>
  <si>
    <t>Legendary1</t>
    <phoneticPr fontId="1" type="noConversion"/>
  </si>
  <si>
    <t>Atlas</t>
    <phoneticPr fontId="1" type="noConversion"/>
  </si>
  <si>
    <t>SoulType</t>
    <phoneticPr fontId="1" type="noConversion"/>
  </si>
  <si>
    <t>#sort</t>
    <phoneticPr fontId="1" type="noConversion"/>
  </si>
  <si>
    <t>Level</t>
    <phoneticPr fontId="1" type="noConversion"/>
  </si>
  <si>
    <t>RequireCategroyType</t>
    <phoneticPr fontId="1" type="noConversion"/>
  </si>
  <si>
    <t>RequireValue</t>
    <phoneticPr fontId="1" type="noConversion"/>
  </si>
  <si>
    <t>StatValue</t>
    <phoneticPr fontId="1" type="noConversion"/>
  </si>
  <si>
    <t>Fire</t>
    <phoneticPr fontId="1" type="noConversion"/>
  </si>
  <si>
    <t>Water</t>
    <phoneticPr fontId="1" type="noConversion"/>
  </si>
  <si>
    <t>Forest</t>
    <phoneticPr fontId="1" type="noConversion"/>
  </si>
  <si>
    <t>Light</t>
    <phoneticPr fontId="1" type="noConversion"/>
  </si>
  <si>
    <t>Dark</t>
    <phoneticPr fontId="1" type="noConversion"/>
  </si>
  <si>
    <t>Attacker</t>
    <phoneticPr fontId="1" type="noConversion"/>
  </si>
  <si>
    <t>Defender</t>
    <phoneticPr fontId="1" type="noConversion"/>
  </si>
  <si>
    <t>Magician</t>
  </si>
  <si>
    <t>Supporter</t>
  </si>
  <si>
    <t>Healer</t>
    <phoneticPr fontId="1" type="noConversion"/>
  </si>
  <si>
    <t>#ChildGrade</t>
    <phoneticPr fontId="1" type="noConversion"/>
  </si>
  <si>
    <t>CommonGrade</t>
    <phoneticPr fontId="1" type="noConversion"/>
  </si>
  <si>
    <t>SoulHp</t>
    <phoneticPr fontId="1" type="noConversion"/>
  </si>
  <si>
    <t>SoulAtk</t>
    <phoneticPr fontId="1" type="noConversion"/>
  </si>
  <si>
    <t>SoulDef</t>
    <phoneticPr fontId="1" type="noConversion"/>
  </si>
  <si>
    <t>&lt;color=#5E5A66&gt;</t>
    <phoneticPr fontId="1" type="noConversion"/>
  </si>
  <si>
    <t>&lt;color=#E1E1E1&gt;</t>
    <phoneticPr fontId="1" type="noConversion"/>
  </si>
  <si>
    <t>&lt;color=#62C261&gt;</t>
    <phoneticPr fontId="1" type="noConversion"/>
  </si>
  <si>
    <t>&lt;color=#3C98FF&gt;</t>
    <phoneticPr fontId="1" type="noConversion"/>
  </si>
  <si>
    <t>&lt;color=#BF64FD&gt;</t>
    <phoneticPr fontId="1" type="noConversion"/>
  </si>
  <si>
    <t>&lt;color=#FFDC0A&gt;</t>
    <phoneticPr fontId="1" type="noConversion"/>
  </si>
  <si>
    <t>&lt;color=#FF7158&gt;</t>
    <phoneticPr fontId="1" type="noConversion"/>
  </si>
  <si>
    <t>ChildStat</t>
  </si>
  <si>
    <t>DevilStat</t>
  </si>
  <si>
    <t>DevilHpRatio</t>
  </si>
  <si>
    <t>DevilAtkRatio</t>
  </si>
  <si>
    <t>DevilDefRatio</t>
  </si>
  <si>
    <t>아르테미스의 영혼</t>
  </si>
  <si>
    <t>쿠바바의 영혼</t>
  </si>
  <si>
    <t>ChildStat</t>
    <phoneticPr fontId="1" type="noConversion"/>
  </si>
  <si>
    <t>#이름</t>
    <phoneticPr fontId="1" type="noConversion"/>
  </si>
  <si>
    <t>Skill</t>
    <phoneticPr fontId="1" type="noConversion"/>
  </si>
  <si>
    <t>선제공격</t>
  </si>
  <si>
    <t>최후의일격</t>
  </si>
  <si>
    <t>기본기마스터</t>
  </si>
  <si>
    <t>주력기연마</t>
  </si>
  <si>
    <t>궁극의힘</t>
  </si>
  <si>
    <t>폭주</t>
  </si>
  <si>
    <t>천적</t>
  </si>
  <si>
    <t>약점포착</t>
  </si>
  <si>
    <t>막판스퍼트</t>
  </si>
  <si>
    <t>역경</t>
  </si>
  <si>
    <t>{0}사냥꾼</t>
  </si>
  <si>
    <t>선택과집중</t>
  </si>
  <si>
    <t>활력의 힘</t>
  </si>
  <si>
    <t>억압해방</t>
  </si>
  <si>
    <t>유지</t>
  </si>
  <si>
    <t>강철관통</t>
  </si>
  <si>
    <t>만전의준비</t>
  </si>
  <si>
    <t>전선돌파</t>
  </si>
  <si>
    <t>방벽</t>
  </si>
  <si>
    <t>타입내성</t>
  </si>
  <si>
    <t>상성무시</t>
  </si>
  <si>
    <t>내열강화</t>
  </si>
  <si>
    <t>{0}의수호</t>
  </si>
  <si>
    <t>{0}경감</t>
  </si>
  <si>
    <t>이중경감</t>
  </si>
  <si>
    <t>{0}단련</t>
  </si>
  <si>
    <t>긴급방어</t>
  </si>
  <si>
    <t>가시</t>
  </si>
  <si>
    <t>불굴의의지</t>
  </si>
  <si>
    <t>자동회복</t>
  </si>
  <si>
    <t>재생</t>
  </si>
  <si>
    <t>흡수공격</t>
  </si>
  <si>
    <t>대회복</t>
  </si>
  <si>
    <t>생명의대리</t>
  </si>
  <si>
    <t>위기감지</t>
  </si>
  <si>
    <t>치유력</t>
  </si>
  <si>
    <t>두꺼운갑옷</t>
  </si>
  <si>
    <t>탈출본능</t>
  </si>
  <si>
    <t>전우애</t>
  </si>
  <si>
    <t>승부사</t>
  </si>
  <si>
    <t>화신</t>
  </si>
  <si>
    <t>{0}내성</t>
  </si>
  <si>
    <t>{0}담당</t>
  </si>
  <si>
    <t>{0}전문</t>
  </si>
  <si>
    <t>직업킬러</t>
  </si>
  <si>
    <t>상성단련</t>
  </si>
  <si>
    <t>{0}의지휘</t>
  </si>
  <si>
    <t>기술봉쇄</t>
  </si>
  <si>
    <t>궁극봉쇄</t>
  </si>
  <si>
    <t>마나차단</t>
  </si>
  <si>
    <t>자원약탈</t>
  </si>
  <si>
    <t>정밀조준</t>
  </si>
  <si>
    <t>동족상잔</t>
  </si>
  <si>
    <t>화상 전문가</t>
  </si>
  <si>
    <t>중독 전문가</t>
  </si>
  <si>
    <t>출혈 전문가</t>
  </si>
  <si>
    <t>실명 전문가</t>
  </si>
  <si>
    <t>질병 전문가</t>
  </si>
  <si>
    <t>둔화 전문가</t>
  </si>
  <si>
    <t>약자공격</t>
  </si>
  <si>
    <t>강한정신력</t>
  </si>
  <si>
    <t>{0}의장막</t>
  </si>
  <si>
    <t>정화</t>
  </si>
  <si>
    <t>위기의힘</t>
  </si>
  <si>
    <t>정신차려</t>
  </si>
  <si>
    <t>반격의기회</t>
  </si>
  <si>
    <t>자원분배</t>
  </si>
  <si>
    <t>지원가</t>
  </si>
  <si>
    <t>가속</t>
  </si>
  <si>
    <t>자원격려</t>
  </si>
  <si>
    <t>성장</t>
  </si>
  <si>
    <t>반작용</t>
  </si>
  <si>
    <t>반격회피</t>
  </si>
  <si>
    <t>{0}의재능</t>
  </si>
  <si>
    <t>{0}의본능</t>
  </si>
  <si>
    <t>반격준비</t>
  </si>
  <si>
    <t>반격면역</t>
  </si>
  <si>
    <t>#TierId</t>
    <phoneticPr fontId="1" type="noConversion"/>
  </si>
  <si>
    <t>Dialogue</t>
    <phoneticPr fontId="1" type="noConversion"/>
  </si>
  <si>
    <t>Desc</t>
    <phoneticPr fontId="1" type="noConversion"/>
  </si>
  <si>
    <t>Icon</t>
    <phoneticPr fontId="1" type="noConversion"/>
  </si>
  <si>
    <t>드미테르의 영혼</t>
  </si>
  <si>
    <t>힐드의 영혼</t>
  </si>
  <si>
    <t>다비의 영혼</t>
  </si>
  <si>
    <t>아라한의 영혼</t>
  </si>
  <si>
    <t>샤를의 영혼</t>
  </si>
  <si>
    <t>브라우니의 영혼</t>
  </si>
  <si>
    <t>맘몬의 영혼</t>
  </si>
  <si>
    <t>다나의 영혼</t>
  </si>
  <si>
    <t>프레이의 영혼</t>
  </si>
  <si>
    <t>시트리의 영혼</t>
  </si>
  <si>
    <t>리자의 영혼</t>
  </si>
  <si>
    <t>구미호의 영혼</t>
  </si>
  <si>
    <t>바토리의 영혼</t>
  </si>
  <si>
    <t>AtkRatio</t>
    <phoneticPr fontId="1" type="noConversion"/>
  </si>
  <si>
    <t>DefRatio</t>
    <phoneticPr fontId="1" type="noConversion"/>
  </si>
  <si>
    <t>HpRatio</t>
    <phoneticPr fontId="1" type="noConversion"/>
  </si>
  <si>
    <t>Hit</t>
    <phoneticPr fontId="4" type="noConversion"/>
  </si>
  <si>
    <t>Spd</t>
  </si>
  <si>
    <t>ChoiceSuccess</t>
    <phoneticPr fontId="1" type="noConversion"/>
  </si>
  <si>
    <t>ContractProb</t>
    <phoneticPr fontId="1" type="noConversion"/>
  </si>
  <si>
    <t>Num</t>
    <phoneticPr fontId="1" type="noConversion"/>
  </si>
  <si>
    <t>PersonaGrade</t>
    <phoneticPr fontId="1" type="noConversion"/>
  </si>
  <si>
    <t>드미테르</t>
    <phoneticPr fontId="1" type="noConversion"/>
  </si>
  <si>
    <t>힐드</t>
  </si>
  <si>
    <t>다비</t>
  </si>
  <si>
    <t>아라한</t>
  </si>
  <si>
    <t>샤를</t>
  </si>
  <si>
    <t>브라우니</t>
  </si>
  <si>
    <t>맘몬</t>
  </si>
  <si>
    <t>다나</t>
  </si>
  <si>
    <t>프레이</t>
  </si>
  <si>
    <t>시트리</t>
  </si>
  <si>
    <t>리자</t>
  </si>
  <si>
    <t>구미호</t>
  </si>
  <si>
    <t>아르테미스</t>
  </si>
  <si>
    <t>쿠바바</t>
  </si>
  <si>
    <t>바토리</t>
  </si>
  <si>
    <t>SoulHp</t>
  </si>
  <si>
    <t>SoulAtk</t>
  </si>
  <si>
    <t>SoulDef</t>
  </si>
  <si>
    <t>라가라자</t>
  </si>
  <si>
    <t>모나</t>
  </si>
  <si>
    <t>도계화</t>
  </si>
  <si>
    <t>카인</t>
  </si>
  <si>
    <t>#차일드</t>
    <phoneticPr fontId="1" type="noConversion"/>
  </si>
  <si>
    <t>#등급차일드</t>
    <phoneticPr fontId="1" type="noConversion"/>
  </si>
  <si>
    <t>Group</t>
    <phoneticPr fontId="1" type="noConversion"/>
  </si>
  <si>
    <t>TalentGroup</t>
    <phoneticPr fontId="1" type="noConversion"/>
  </si>
  <si>
    <t>#Grade</t>
    <phoneticPr fontId="1" type="noConversion"/>
  </si>
  <si>
    <t>#idx</t>
    <phoneticPr fontId="1" type="noConversion"/>
  </si>
  <si>
    <t>Weight</t>
    <phoneticPr fontId="1" type="noConversion"/>
  </si>
  <si>
    <t>Common</t>
  </si>
  <si>
    <t>Uncommon</t>
  </si>
  <si>
    <t>Rare</t>
  </si>
  <si>
    <t>Unique</t>
  </si>
  <si>
    <t>Epic</t>
  </si>
  <si>
    <t>Legendary</t>
  </si>
  <si>
    <t>Hero</t>
  </si>
  <si>
    <t>Ancient</t>
  </si>
  <si>
    <t>Mythical</t>
  </si>
  <si>
    <t>Ultra</t>
  </si>
  <si>
    <t>그릴라</t>
  </si>
  <si>
    <t>니르티</t>
  </si>
  <si>
    <t>#Element</t>
    <phoneticPr fontId="1" type="noConversion"/>
  </si>
  <si>
    <t>#role</t>
    <phoneticPr fontId="1" type="noConversion"/>
  </si>
  <si>
    <t>Rare</t>
    <phoneticPr fontId="1" type="noConversion"/>
  </si>
  <si>
    <t>Uncommon</t>
    <phoneticPr fontId="1" type="noConversion"/>
  </si>
  <si>
    <t>#Role</t>
    <phoneticPr fontId="1" type="noConversion"/>
  </si>
  <si>
    <t>Fire</t>
  </si>
  <si>
    <t>Attacker</t>
  </si>
  <si>
    <t>Water</t>
  </si>
  <si>
    <t>Defender</t>
  </si>
  <si>
    <t>Forest</t>
  </si>
  <si>
    <t>Light</t>
  </si>
  <si>
    <t>Dark</t>
  </si>
  <si>
    <t>Healer</t>
  </si>
  <si>
    <t>#TalentGrade</t>
    <phoneticPr fontId="1" type="noConversion"/>
  </si>
  <si>
    <t>#ref</t>
    <phoneticPr fontId="1" type="noConversion"/>
  </si>
  <si>
    <t>바리</t>
  </si>
  <si>
    <t>오만</t>
  </si>
  <si>
    <t>인색</t>
  </si>
  <si>
    <t>질투</t>
  </si>
  <si>
    <t>분노</t>
  </si>
  <si>
    <t>색욕</t>
  </si>
  <si>
    <t>탐욕</t>
  </si>
  <si>
    <t>나태</t>
  </si>
  <si>
    <t>집착</t>
  </si>
  <si>
    <t>겸손</t>
  </si>
  <si>
    <t>자선</t>
  </si>
  <si>
    <t>친절</t>
  </si>
  <si>
    <t>인내</t>
  </si>
  <si>
    <t>정결</t>
  </si>
  <si>
    <t>절제</t>
  </si>
  <si>
    <t>근면</t>
  </si>
  <si>
    <t>초연</t>
  </si>
  <si>
    <t>DefRatio</t>
  </si>
  <si>
    <t>AtkRatio</t>
  </si>
  <si>
    <t>Spd</t>
    <phoneticPr fontId="1" type="noConversion"/>
  </si>
  <si>
    <t>HpRatio</t>
  </si>
  <si>
    <t>Dodge</t>
  </si>
  <si>
    <t>Dodge</t>
    <phoneticPr fontId="1" type="noConversion"/>
  </si>
  <si>
    <t>Hit</t>
    <phoneticPr fontId="1" type="noConversion"/>
  </si>
  <si>
    <t>None</t>
  </si>
  <si>
    <t>에르제베트</t>
  </si>
  <si>
    <t>아슈토레스</t>
  </si>
  <si>
    <t>이브</t>
  </si>
  <si>
    <t>DesireType</t>
    <phoneticPr fontId="1" type="noConversion"/>
  </si>
  <si>
    <t>Superbia</t>
  </si>
  <si>
    <t>Avaritia</t>
  </si>
  <si>
    <t>Invidia</t>
  </si>
  <si>
    <t>Ira</t>
  </si>
  <si>
    <t>Gula</t>
  </si>
  <si>
    <t>Pigritia</t>
  </si>
  <si>
    <t>Obsession</t>
  </si>
  <si>
    <t>Humilitas</t>
  </si>
  <si>
    <t>Caritas</t>
  </si>
  <si>
    <t>Benevolentia</t>
  </si>
  <si>
    <t>Patientia</t>
  </si>
  <si>
    <t>Castitas</t>
  </si>
  <si>
    <t>Temperantia</t>
  </si>
  <si>
    <t>Industria</t>
  </si>
  <si>
    <t>Definitio</t>
  </si>
  <si>
    <t>CommonIcon</t>
  </si>
  <si>
    <t>Luxuria</t>
    <phoneticPr fontId="1" type="noConversion"/>
  </si>
  <si>
    <t>ui_persona</t>
  </si>
  <si>
    <t>#vid</t>
    <phoneticPr fontId="1" type="noConversion"/>
  </si>
  <si>
    <t>c354</t>
  </si>
  <si>
    <t>c296</t>
  </si>
  <si>
    <t>c003</t>
  </si>
  <si>
    <t>c464</t>
  </si>
  <si>
    <t>c353</t>
  </si>
  <si>
    <t>c229</t>
  </si>
  <si>
    <t>c180</t>
  </si>
  <si>
    <t>c183</t>
  </si>
  <si>
    <t>c051</t>
  </si>
  <si>
    <t>c364</t>
  </si>
  <si>
    <t>c002</t>
  </si>
  <si>
    <t>c417</t>
  </si>
  <si>
    <t>c432</t>
  </si>
  <si>
    <t>c486</t>
  </si>
  <si>
    <t>c294</t>
  </si>
  <si>
    <t>c501</t>
  </si>
  <si>
    <t>c001</t>
  </si>
  <si>
    <t>c502</t>
  </si>
  <si>
    <t>c412</t>
  </si>
  <si>
    <t>c156</t>
  </si>
  <si>
    <t>c318</t>
  </si>
  <si>
    <t>c525</t>
  </si>
  <si>
    <t>c442</t>
  </si>
  <si>
    <t>c194</t>
  </si>
  <si>
    <t>c124</t>
  </si>
  <si>
    <t>Hit</t>
  </si>
  <si>
    <t>PersonaPortrait</t>
    <phoneticPr fontId="1" type="noConversion"/>
  </si>
  <si>
    <t>드미테르</t>
    <phoneticPr fontId="4" type="noConversion"/>
  </si>
  <si>
    <t>힐드</t>
    <phoneticPr fontId="4" type="noConversion"/>
  </si>
  <si>
    <t>다비</t>
    <phoneticPr fontId="4" type="noConversion"/>
  </si>
  <si>
    <t>아라한</t>
    <phoneticPr fontId="4" type="noConversion"/>
  </si>
  <si>
    <t>샤를</t>
    <phoneticPr fontId="4" type="noConversion"/>
  </si>
  <si>
    <t>브라우니</t>
    <phoneticPr fontId="4" type="noConversion"/>
  </si>
  <si>
    <t>맘몬</t>
    <phoneticPr fontId="4" type="noConversion"/>
  </si>
  <si>
    <t>다나</t>
    <phoneticPr fontId="4" type="noConversion"/>
  </si>
  <si>
    <t>프레이</t>
    <phoneticPr fontId="4" type="noConversion"/>
  </si>
  <si>
    <t>시트리</t>
    <phoneticPr fontId="4" type="noConversion"/>
  </si>
  <si>
    <t>리자</t>
    <phoneticPr fontId="4" type="noConversion"/>
  </si>
  <si>
    <t>구미호</t>
    <phoneticPr fontId="4" type="noConversion"/>
  </si>
  <si>
    <t>아르테미스</t>
    <phoneticPr fontId="4" type="noConversion"/>
  </si>
  <si>
    <t>쿠바바</t>
    <phoneticPr fontId="4" type="noConversion"/>
  </si>
  <si>
    <t>바토리</t>
    <phoneticPr fontId="4" type="noConversion"/>
  </si>
  <si>
    <t>라가라자</t>
    <phoneticPr fontId="4" type="noConversion"/>
  </si>
  <si>
    <t>모나</t>
    <phoneticPr fontId="4" type="noConversion"/>
  </si>
  <si>
    <t>도계화</t>
    <phoneticPr fontId="4" type="noConversion"/>
  </si>
  <si>
    <t>카인</t>
    <phoneticPr fontId="4" type="noConversion"/>
  </si>
  <si>
    <t>에르제베트</t>
    <phoneticPr fontId="4" type="noConversion"/>
  </si>
  <si>
    <t>바리</t>
    <phoneticPr fontId="4" type="noConversion"/>
  </si>
  <si>
    <t>그릴라</t>
    <phoneticPr fontId="4" type="noConversion"/>
  </si>
  <si>
    <t>니르티</t>
    <phoneticPr fontId="4" type="noConversion"/>
  </si>
  <si>
    <t>아슈토레스</t>
    <phoneticPr fontId="4" type="noConversion"/>
  </si>
  <si>
    <t>이브</t>
    <phoneticPr fontId="4" type="noConversion"/>
  </si>
  <si>
    <t>NULL</t>
    <phoneticPr fontId="1" type="noConversion"/>
  </si>
  <si>
    <t>투쟁심</t>
  </si>
  <si>
    <t>원칙주의자</t>
  </si>
  <si>
    <t>기교꾼</t>
  </si>
  <si>
    <t>예리</t>
  </si>
  <si>
    <t>격노</t>
  </si>
  <si>
    <t>광분</t>
  </si>
  <si>
    <t>다혈질</t>
  </si>
  <si>
    <t>광폭화</t>
  </si>
  <si>
    <t>독기</t>
  </si>
  <si>
    <t>자기연소</t>
  </si>
  <si>
    <t>성화</t>
  </si>
  <si>
    <t>열혈한</t>
  </si>
  <si>
    <t>극의 해방</t>
  </si>
  <si>
    <t>정정당당</t>
  </si>
  <si>
    <t>인내심</t>
  </si>
  <si>
    <t>허영심</t>
  </si>
  <si>
    <t>철벽</t>
  </si>
  <si>
    <t>근성</t>
  </si>
  <si>
    <t>지구력</t>
  </si>
  <si>
    <t>애증</t>
  </si>
  <si>
    <t>완벽주의자</t>
  </si>
  <si>
    <t>복수심</t>
  </si>
  <si>
    <t>성급</t>
  </si>
  <si>
    <t>무자비</t>
  </si>
  <si>
    <t>경각심</t>
  </si>
  <si>
    <t>책략가</t>
  </si>
  <si>
    <t>자기 합리화</t>
  </si>
  <si>
    <t>겁쟁이</t>
  </si>
  <si>
    <t>집중</t>
  </si>
  <si>
    <t>만전태세</t>
  </si>
  <si>
    <t>결벽증</t>
  </si>
  <si>
    <t>다재다능</t>
  </si>
  <si>
    <t>기회주의자</t>
  </si>
  <si>
    <t>앙갚음</t>
  </si>
  <si>
    <t>생존본능</t>
  </si>
  <si>
    <t>투지</t>
  </si>
  <si>
    <t>방어기제</t>
  </si>
  <si>
    <t>경계심</t>
  </si>
  <si>
    <t>투정</t>
  </si>
  <si>
    <t>오기</t>
  </si>
  <si>
    <t>착취</t>
  </si>
  <si>
    <t>수완가</t>
  </si>
  <si>
    <t>이기주의</t>
  </si>
  <si>
    <t>독설가</t>
  </si>
  <si>
    <t>난동</t>
  </si>
  <si>
    <t>트러블 메이커</t>
  </si>
  <si>
    <t>혈투</t>
  </si>
  <si>
    <t>폭력성</t>
  </si>
  <si>
    <t>불굴의 의지</t>
  </si>
  <si>
    <t>가학성애</t>
  </si>
  <si>
    <t>기선제압</t>
  </si>
  <si>
    <t>의기투합</t>
  </si>
  <si>
    <t>헌신</t>
  </si>
  <si>
    <t>호승심</t>
  </si>
  <si>
    <t>선발주자</t>
  </si>
  <si>
    <t>자비</t>
  </si>
  <si>
    <t>냉혈한</t>
  </si>
  <si>
    <t>몽상가</t>
  </si>
  <si>
    <t>안정</t>
  </si>
  <si>
    <t>우월감</t>
  </si>
  <si>
    <t>둔감</t>
  </si>
  <si>
    <t>철면피</t>
  </si>
  <si>
    <t>후발주자</t>
  </si>
  <si>
    <t>강박증</t>
  </si>
  <si>
    <t>독선가</t>
  </si>
  <si>
    <t>증오</t>
  </si>
  <si>
    <t>원한</t>
  </si>
  <si>
    <t>계산가</t>
  </si>
  <si>
    <t>표독</t>
  </si>
  <si>
    <t>#min</t>
    <phoneticPr fontId="1" type="noConversion"/>
  </si>
  <si>
    <t>#max</t>
    <phoneticPr fontId="1" type="noConversion"/>
  </si>
  <si>
    <t>DevilSkillDmgRatio</t>
  </si>
  <si>
    <t>판</t>
    <phoneticPr fontId="4" type="noConversion"/>
  </si>
  <si>
    <t>c336</t>
    <phoneticPr fontId="1" type="noConversion"/>
  </si>
  <si>
    <t>판</t>
    <phoneticPr fontId="1" type="noConversion"/>
  </si>
  <si>
    <t>카라라트리</t>
  </si>
  <si>
    <t>카라라트리</t>
    <phoneticPr fontId="1" type="noConversion"/>
  </si>
  <si>
    <t>카라라트리</t>
    <phoneticPr fontId="4" type="noConversion"/>
  </si>
  <si>
    <t>c445</t>
  </si>
  <si>
    <t>c445</t>
    <phoneticPr fontId="1" type="noConversion"/>
  </si>
  <si>
    <t>아우로라</t>
    <phoneticPr fontId="1" type="noConversion"/>
  </si>
  <si>
    <t>c461</t>
    <phoneticPr fontId="1" type="noConversion"/>
  </si>
  <si>
    <t>아우로라</t>
    <phoneticPr fontId="4" type="noConversion"/>
  </si>
  <si>
    <t>모건</t>
    <phoneticPr fontId="4" type="noConversion"/>
  </si>
  <si>
    <t>c283</t>
    <phoneticPr fontId="1" type="noConversion"/>
  </si>
  <si>
    <t>c400</t>
    <phoneticPr fontId="1" type="noConversion"/>
  </si>
  <si>
    <t>c447</t>
    <phoneticPr fontId="1" type="noConversion"/>
  </si>
  <si>
    <t>반시</t>
    <phoneticPr fontId="4" type="noConversion"/>
  </si>
  <si>
    <t>미리암</t>
    <phoneticPr fontId="4" type="noConversion"/>
  </si>
  <si>
    <t>데레사</t>
    <phoneticPr fontId="4" type="noConversion"/>
  </si>
  <si>
    <t>c462</t>
  </si>
  <si>
    <t>c281</t>
  </si>
  <si>
    <t>티스베</t>
    <phoneticPr fontId="4" type="noConversion"/>
  </si>
  <si>
    <t>c514</t>
    <phoneticPr fontId="1" type="noConversion"/>
  </si>
  <si>
    <t>두엣샤</t>
    <phoneticPr fontId="4" type="noConversion"/>
  </si>
  <si>
    <t>데레사</t>
    <phoneticPr fontId="1" type="noConversion"/>
  </si>
  <si>
    <t>티스베</t>
    <phoneticPr fontId="1" type="noConversion"/>
  </si>
  <si>
    <t>두엣샤</t>
    <phoneticPr fontId="1" type="noConversion"/>
  </si>
  <si>
    <t>Item</t>
    <phoneticPr fontId="1" type="noConversion"/>
  </si>
  <si>
    <t>ChildId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</si>
</sst>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2CFF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10" fontId="0" fillId="0" borderId="0" xfId="1" applyNumberFormat="1" applyFont="1" applyAlignment="1"/>
    <xf numFmtId="0" fontId="3" fillId="2" borderId="0" xfId="0" applyFont="1" applyFill="1"/>
    <xf numFmtId="0" fontId="3" fillId="2" borderId="1" xfId="0" applyFont="1" applyFill="1" applyBorder="1"/>
    <xf numFmtId="0" fontId="3" fillId="3" borderId="0" xfId="0" applyFont="1" applyFill="1"/>
    <xf numFmtId="0" fontId="3" fillId="3" borderId="1" xfId="0" applyFont="1" applyFill="1" applyBorder="1"/>
    <xf numFmtId="0" fontId="3" fillId="4" borderId="0" xfId="0" applyFont="1" applyFill="1"/>
    <xf numFmtId="0" fontId="3" fillId="4" borderId="1" xfId="0" applyFont="1" applyFill="1" applyBorder="1"/>
    <xf numFmtId="0" fontId="3" fillId="5" borderId="0" xfId="0" applyFont="1" applyFill="1"/>
    <xf numFmtId="0" fontId="3" fillId="5" borderId="1" xfId="0" applyFont="1" applyFill="1" applyBorder="1"/>
    <xf numFmtId="0" fontId="3" fillId="6" borderId="0" xfId="0" applyFont="1" applyFill="1"/>
    <xf numFmtId="0" fontId="3" fillId="6" borderId="1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</cellXfs>
  <cellStyles count="2">
    <cellStyle name="백분율" xfId="1" builtinId="5"/>
    <cellStyle name="표준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2C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d\Design\Excel\Character.xlsx" TargetMode="External"/><Relationship Id="rId1" Type="http://schemas.openxmlformats.org/officeDocument/2006/relationships/externalLinkPath" Target="Charac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\ProjectD\Design\Excel\Skill.xlsx" TargetMode="External"/><Relationship Id="rId1" Type="http://schemas.openxmlformats.org/officeDocument/2006/relationships/externalLinkPath" Target="Ski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#summury"/>
      <sheetName val="Detail&lt;Child&gt;"/>
      <sheetName val="Detail&lt;Monster&gt;"/>
      <sheetName val="Skin"/>
      <sheetName val="Timeline"/>
      <sheetName val="Level"/>
      <sheetName val="LevelUp"/>
      <sheetName val="GradeUp"/>
      <sheetName val="Info"/>
      <sheetName val="#Base"/>
      <sheetName val="#Skin"/>
      <sheetName val="#등급업 재료 개수"/>
      <sheetName val="#Level 계산"/>
    </sheetNames>
    <sheetDataSet>
      <sheetData sheetId="0"/>
      <sheetData sheetId="1">
        <row r="1">
          <cell r="A1" t="str">
            <v>Id</v>
          </cell>
          <cell r="N1" t="str">
            <v>Element</v>
          </cell>
          <cell r="O1" t="str">
            <v>Role</v>
          </cell>
        </row>
        <row r="3">
          <cell r="N3" t="str">
            <v>속성</v>
          </cell>
          <cell r="O3" t="str">
            <v>직업</v>
          </cell>
        </row>
        <row r="4">
          <cell r="A4">
            <v>10000354</v>
          </cell>
          <cell r="N4" t="str">
            <v>Fire</v>
          </cell>
          <cell r="O4" t="str">
            <v>Attacker</v>
          </cell>
        </row>
        <row r="5">
          <cell r="A5">
            <v>10000296</v>
          </cell>
          <cell r="N5" t="str">
            <v>Light</v>
          </cell>
          <cell r="O5" t="str">
            <v>Attacker</v>
          </cell>
        </row>
        <row r="6">
          <cell r="A6">
            <v>10000003</v>
          </cell>
          <cell r="N6" t="str">
            <v>Fire</v>
          </cell>
          <cell r="O6" t="str">
            <v>Supporter</v>
          </cell>
        </row>
        <row r="7">
          <cell r="A7">
            <v>10000464</v>
          </cell>
          <cell r="N7" t="str">
            <v>Water</v>
          </cell>
          <cell r="O7" t="str">
            <v>Supporter</v>
          </cell>
        </row>
        <row r="8">
          <cell r="A8">
            <v>10000353</v>
          </cell>
          <cell r="N8" t="str">
            <v>Light</v>
          </cell>
          <cell r="O8" t="str">
            <v>Defender</v>
          </cell>
        </row>
        <row r="9">
          <cell r="A9">
            <v>10000229</v>
          </cell>
          <cell r="N9" t="str">
            <v>Forest</v>
          </cell>
          <cell r="O9" t="str">
            <v>Healer</v>
          </cell>
        </row>
        <row r="10">
          <cell r="A10">
            <v>10000180</v>
          </cell>
          <cell r="N10" t="str">
            <v>Forest</v>
          </cell>
          <cell r="O10" t="str">
            <v>Defender</v>
          </cell>
        </row>
        <row r="11">
          <cell r="A11">
            <v>10000183</v>
          </cell>
          <cell r="N11" t="str">
            <v>Light</v>
          </cell>
          <cell r="O11" t="str">
            <v>Healer</v>
          </cell>
        </row>
        <row r="12">
          <cell r="A12">
            <v>10000051</v>
          </cell>
          <cell r="N12" t="str">
            <v>Dark</v>
          </cell>
          <cell r="O12" t="str">
            <v>Defender</v>
          </cell>
        </row>
        <row r="13">
          <cell r="A13">
            <v>10000364</v>
          </cell>
          <cell r="N13" t="str">
            <v>Light</v>
          </cell>
          <cell r="O13" t="str">
            <v>Supporter</v>
          </cell>
        </row>
        <row r="14">
          <cell r="A14">
            <v>10000002</v>
          </cell>
          <cell r="N14" t="str">
            <v>Water</v>
          </cell>
          <cell r="O14" t="str">
            <v>Magician</v>
          </cell>
        </row>
        <row r="15">
          <cell r="A15">
            <v>10000417</v>
          </cell>
          <cell r="N15" t="str">
            <v>Fire</v>
          </cell>
          <cell r="O15" t="str">
            <v>Attacker</v>
          </cell>
        </row>
        <row r="16">
          <cell r="A16">
            <v>10000432</v>
          </cell>
          <cell r="N16" t="str">
            <v>Dark</v>
          </cell>
          <cell r="O16" t="str">
            <v>Attacker</v>
          </cell>
        </row>
        <row r="17">
          <cell r="A17">
            <v>10000486</v>
          </cell>
          <cell r="N17" t="str">
            <v>Dark</v>
          </cell>
          <cell r="O17" t="str">
            <v>Attacker</v>
          </cell>
        </row>
        <row r="18">
          <cell r="A18">
            <v>10000294</v>
          </cell>
          <cell r="N18" t="str">
            <v>Forest</v>
          </cell>
          <cell r="O18" t="str">
            <v>Supporter</v>
          </cell>
        </row>
        <row r="19">
          <cell r="A19">
            <v>10000501</v>
          </cell>
          <cell r="N19" t="str">
            <v>Fire</v>
          </cell>
          <cell r="O19" t="str">
            <v>Defender</v>
          </cell>
        </row>
        <row r="20">
          <cell r="A20">
            <v>10000001</v>
          </cell>
          <cell r="N20" t="str">
            <v>Dark</v>
          </cell>
          <cell r="O20" t="str">
            <v>Defender</v>
          </cell>
        </row>
        <row r="21">
          <cell r="A21">
            <v>10000502</v>
          </cell>
          <cell r="N21" t="str">
            <v>Water</v>
          </cell>
          <cell r="O21" t="str">
            <v>Attacker</v>
          </cell>
        </row>
        <row r="22">
          <cell r="A22">
            <v>10000412</v>
          </cell>
          <cell r="N22" t="str">
            <v>Dark</v>
          </cell>
          <cell r="O22" t="str">
            <v>Attacker</v>
          </cell>
        </row>
        <row r="23">
          <cell r="A23">
            <v>10000156</v>
          </cell>
          <cell r="N23" t="str">
            <v>Dark</v>
          </cell>
          <cell r="O23" t="str">
            <v>Attacker</v>
          </cell>
        </row>
        <row r="24">
          <cell r="A24">
            <v>10000318</v>
          </cell>
          <cell r="N24" t="str">
            <v>Fire</v>
          </cell>
          <cell r="O24" t="str">
            <v>Healer</v>
          </cell>
        </row>
        <row r="25">
          <cell r="A25">
            <v>10000525</v>
          </cell>
          <cell r="N25" t="str">
            <v>Forest</v>
          </cell>
          <cell r="O25" t="str">
            <v>Healer</v>
          </cell>
        </row>
        <row r="26">
          <cell r="A26">
            <v>10000442</v>
          </cell>
          <cell r="N26" t="str">
            <v>Water</v>
          </cell>
          <cell r="O26" t="str">
            <v>Attacker</v>
          </cell>
        </row>
        <row r="27">
          <cell r="A27">
            <v>10000194</v>
          </cell>
          <cell r="N27" t="str">
            <v>Light</v>
          </cell>
          <cell r="O27" t="str">
            <v>Attacker</v>
          </cell>
        </row>
        <row r="28">
          <cell r="A28">
            <v>10000124</v>
          </cell>
          <cell r="N28" t="str">
            <v>Water</v>
          </cell>
          <cell r="O28" t="str">
            <v>Supporter</v>
          </cell>
        </row>
        <row r="29">
          <cell r="A29">
            <v>10000336</v>
          </cell>
          <cell r="N29" t="str">
            <v>Forest</v>
          </cell>
          <cell r="O29" t="str">
            <v>Supporter</v>
          </cell>
        </row>
        <row r="30">
          <cell r="A30">
            <v>10000445</v>
          </cell>
          <cell r="N30" t="str">
            <v>Fire</v>
          </cell>
          <cell r="O30" t="str">
            <v>Attacker</v>
          </cell>
        </row>
        <row r="31">
          <cell r="A31">
            <v>10000461</v>
          </cell>
          <cell r="N31" t="str">
            <v>Forest</v>
          </cell>
          <cell r="O31" t="str">
            <v>Supporter</v>
          </cell>
        </row>
        <row r="32">
          <cell r="A32">
            <v>10000283</v>
          </cell>
          <cell r="N32" t="str">
            <v>Fire</v>
          </cell>
          <cell r="O32" t="str">
            <v>Attacker</v>
          </cell>
        </row>
        <row r="33">
          <cell r="A33">
            <v>10000400</v>
          </cell>
          <cell r="N33" t="str">
            <v>Dark</v>
          </cell>
          <cell r="O33" t="str">
            <v>Attacker</v>
          </cell>
        </row>
        <row r="34">
          <cell r="A34">
            <v>10000447</v>
          </cell>
          <cell r="N34" t="str">
            <v>Forest</v>
          </cell>
          <cell r="O34" t="str">
            <v>Supporter</v>
          </cell>
        </row>
        <row r="35">
          <cell r="A35">
            <v>10000462</v>
          </cell>
          <cell r="N35" t="str">
            <v>Forest</v>
          </cell>
          <cell r="O35" t="str">
            <v>Supporter</v>
          </cell>
        </row>
        <row r="36">
          <cell r="A36">
            <v>10000281</v>
          </cell>
          <cell r="N36" t="str">
            <v>Water</v>
          </cell>
          <cell r="O36" t="str">
            <v>Supporter</v>
          </cell>
        </row>
        <row r="37">
          <cell r="A37">
            <v>10000514</v>
          </cell>
          <cell r="N37" t="str">
            <v>Dark</v>
          </cell>
          <cell r="O37" t="str">
            <v>Attacker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#Outline"/>
      <sheetName val="Skill&lt;Child&gt;"/>
      <sheetName val="BuffValue&lt;Child&gt;"/>
      <sheetName val="Skill&lt;Moster&gt;"/>
      <sheetName val="BuffValue&lt;Monster&gt;"/>
      <sheetName val="Skill&lt;Talent&gt;"/>
      <sheetName val="BuffValue&lt;Talent&gt;"/>
      <sheetName val="Skill&lt;Soulcarta&gt;"/>
      <sheetName val="BuffValue&lt;Soulcarta&gt;"/>
      <sheetName val="Skill&lt;Etc&gt;"/>
      <sheetName val="Skill&lt;Devil&gt;"/>
      <sheetName val="BuffValue&lt;Base&gt;"/>
      <sheetName val="Target"/>
      <sheetName val="Area"/>
      <sheetName val="Trigger"/>
      <sheetName val="BuffValueLevelUp"/>
      <sheetName val="LevelUp"/>
      <sheetName val="#참조"/>
      <sheetName val="#Skill&lt;Child&gt; - Before"/>
      <sheetName val="#BuffValue&lt;Child&gt; - Before"/>
      <sheetName val="#BuffValue (턴제차일드)"/>
      <sheetName val="#Trigger - Backup"/>
      <sheetName val="#Skill&lt;Child&gt; (개편)"/>
      <sheetName val="#BuffValue&lt;Child&gt; (개편)"/>
    </sheetNames>
    <sheetDataSet>
      <sheetData sheetId="0"/>
      <sheetData sheetId="1">
        <row r="1">
          <cell r="A1" t="str">
            <v>id</v>
          </cell>
        </row>
      </sheetData>
      <sheetData sheetId="2"/>
      <sheetData sheetId="3"/>
      <sheetData sheetId="4"/>
      <sheetData sheetId="5">
        <row r="1">
          <cell r="A1" t="str">
            <v>id</v>
          </cell>
          <cell r="C1" t="str">
            <v>#SkillDesc</v>
          </cell>
        </row>
        <row r="2">
          <cell r="A2" t="str">
            <v>int</v>
          </cell>
          <cell r="C2" t="str">
            <v>comment</v>
          </cell>
        </row>
        <row r="4">
          <cell r="A4">
            <v>7000101</v>
          </cell>
          <cell r="C4" t="str">
            <v>매 턴 시작시 공격력이 &lt;color=#87cefa&gt;5%&lt;/color&gt; 증가</v>
          </cell>
        </row>
        <row r="5">
          <cell r="A5">
            <v>7000102</v>
          </cell>
          <cell r="C5" t="str">
            <v>매 턴 시작시 방어력이 &lt;color=#87cefa&gt;5%&lt;/color&gt; 증가</v>
          </cell>
        </row>
        <row r="6">
          <cell r="A6">
            <v>7000103</v>
          </cell>
          <cell r="C6" t="str">
            <v>매 턴 시작시 최대 체력의 &lt;color=#87cefa&gt;7%&lt;/color&gt; 회복</v>
          </cell>
        </row>
        <row r="7">
          <cell r="A7">
            <v>7000104</v>
          </cell>
          <cell r="C7" t="str">
            <v>매 턴 시작시 Sp를 &lt;color=#87cefa&gt;20&lt;/color&gt; 충전</v>
          </cell>
        </row>
        <row r="8">
          <cell r="A8">
            <v>7000105</v>
          </cell>
          <cell r="C8" t="str">
            <v>매 턴 시작시 디버프 1개 해제</v>
          </cell>
        </row>
        <row r="9">
          <cell r="A9">
            <v>7000106</v>
          </cell>
          <cell r="C9" t="str">
            <v>노멀 대미지 &lt;color=#87cefa&gt;{buff:main}_{value:1}%&lt;/color&gt; 증가</v>
          </cell>
        </row>
        <row r="10">
          <cell r="A10">
            <v>7000107</v>
          </cell>
          <cell r="C10" t="str">
            <v>액티브 대미지 &lt;color=#87cefa&gt;{buff:main}_{value:1}%&lt;/color&gt; 증가</v>
          </cell>
        </row>
        <row r="11">
          <cell r="A11">
            <v>7000108</v>
          </cell>
          <cell r="C11" t="str">
            <v>얼티밋 대미지 &lt;color=#87cefa&gt;{buff:main}_{value:1}%&lt;/color&gt; 증가</v>
          </cell>
        </row>
        <row r="12">
          <cell r="A12">
            <v>7000109</v>
          </cell>
          <cell r="C12" t="str">
            <v>약점 대미지 &lt;color=#87cefa&gt;{buff:main}_{value:1}%&lt;/color&gt; 증가</v>
          </cell>
        </row>
        <row r="13">
          <cell r="A13">
            <v>7000110</v>
          </cell>
          <cell r="C13" t="str">
            <v>배틀 시작시 1턴 동안 반격 확률 50% 증가</v>
          </cell>
        </row>
        <row r="14">
          <cell r="A14">
            <v>7000111</v>
          </cell>
          <cell r="C14" t="str">
            <v>배틀 시작시 1턴 동안 면역 부여</v>
          </cell>
        </row>
        <row r="15">
          <cell r="A15">
            <v>7000112</v>
          </cell>
          <cell r="C15" t="str">
            <v>배틀 시작시 가까운 적 1명에게 1턴 동안 도발 부여</v>
          </cell>
        </row>
        <row r="16">
          <cell r="A16">
            <v>7000113</v>
          </cell>
          <cell r="C16" t="str">
            <v>배틀 시작시 1턴 동안 무적 부여</v>
          </cell>
        </row>
        <row r="17">
          <cell r="A17">
            <v>7000114</v>
          </cell>
          <cell r="C17" t="str">
            <v>배틀 시작시 액티브 쿨타임 2턴 감소</v>
          </cell>
        </row>
        <row r="18">
          <cell r="A18">
            <v>7000115</v>
          </cell>
          <cell r="C18" t="str">
            <v>배틀 시작시 Sp &lt;color=#87cefa&gt;150&lt;/color&gt; 충전</v>
          </cell>
        </row>
        <row r="19">
          <cell r="A19">
            <v>7000116</v>
          </cell>
          <cell r="C19" t="str">
            <v>회복 중 공격력 &lt;color=#87cefa&gt;{buff:main}_{value:1}%&lt;/color&gt; 증가</v>
          </cell>
        </row>
        <row r="20">
          <cell r="A20">
            <v>7000117</v>
          </cell>
          <cell r="C20" t="str">
            <v>회복 중 방어력 &lt;color=#87cefa&gt;{buff:main}_{value:1}%&lt;/color&gt; 증가</v>
          </cell>
        </row>
        <row r="21">
          <cell r="A21">
            <v>7000118</v>
          </cell>
          <cell r="C21" t="str">
            <v>회복 중 속도 &lt;color=#87cefa&gt;20&lt;/color&gt; 증가</v>
          </cell>
        </row>
        <row r="22">
          <cell r="A22">
            <v>7000119</v>
          </cell>
          <cell r="C22" t="str">
            <v>보호막 중 공격력 &lt;color=#87cefa&gt;{buff:main}_{value:1}%&lt;/color&gt; 증가</v>
          </cell>
        </row>
        <row r="23">
          <cell r="A23">
            <v>7000120</v>
          </cell>
          <cell r="C23" t="str">
            <v>보호막 중 방어력 &lt;color=#87cefa&gt;{buff:main}_{value:1}%&lt;/color&gt; 증가</v>
          </cell>
        </row>
        <row r="24">
          <cell r="A24">
            <v>7000121</v>
          </cell>
          <cell r="C24" t="str">
            <v>보호막 중 속도 &lt;color=#87cefa&gt;20&lt;/color&gt; 증가</v>
          </cell>
        </row>
        <row r="25">
          <cell r="A25">
            <v>7000122</v>
          </cell>
          <cell r="C25" t="str">
            <v>노멀 공격시 35% 확률로 Sp &lt;color=#87cefa&gt;10&lt;/color&gt; 획득</v>
          </cell>
        </row>
        <row r="26">
          <cell r="A26">
            <v>7000123</v>
          </cell>
          <cell r="C26" t="str">
            <v>액티브 공격시 35% 확률로 Sp &lt;color=#87cefa&gt;10&lt;/color&gt; 획득</v>
          </cell>
        </row>
        <row r="27">
          <cell r="A27">
            <v>7000124</v>
          </cell>
          <cell r="C27" t="str">
            <v>얼티밋 공격시 20% 확률로 Sp &lt;color=#87cefa&gt;5&lt;/color&gt; 획득</v>
          </cell>
        </row>
        <row r="28">
          <cell r="A28">
            <v>7000125</v>
          </cell>
          <cell r="C28" t="str">
            <v>체력이 50% 이하일 때 노멀 대미지 &lt;color=#87cefa&gt;{buff:main}_{value:1}%&lt;/color&gt; 증가</v>
          </cell>
        </row>
        <row r="29">
          <cell r="A29">
            <v>7000126</v>
          </cell>
          <cell r="C29" t="str">
            <v>체력이 50% 이하일 때 액티브 대미지 &lt;color=#87cefa&gt;{buff:main}_{value:1}%&lt;/color&gt; 증가</v>
          </cell>
        </row>
        <row r="30">
          <cell r="A30">
            <v>7000127</v>
          </cell>
          <cell r="C30" t="str">
            <v>체력이 50% 이하일 때 얼티밋 대미지 &lt;color=#87cefa&gt;{buff:main}_{value:1}%&lt;/color&gt; 증가</v>
          </cell>
        </row>
        <row r="31">
          <cell r="A31">
            <v>7000128</v>
          </cell>
          <cell r="C31" t="str">
            <v>체력이 50% 이하일 때 방어력 &lt;color=#87cefa&gt;{buff:main}_{value:1}%&lt;/color&gt; 증가</v>
          </cell>
        </row>
        <row r="32">
          <cell r="A32">
            <v>7000129</v>
          </cell>
          <cell r="C32" t="str">
            <v>체력이 50% 이하일 때 치명타 확률 &lt;color=#87cefa&gt;{buff:main}_{value:1}%&lt;/color&gt; 증가</v>
          </cell>
        </row>
        <row r="33">
          <cell r="A33">
            <v>7000130</v>
          </cell>
          <cell r="C33" t="str">
            <v>체력이 50% 이하일 때 치명타 대미지 &lt;color=#87cefa&gt;{buff:main}_{value:1}%&lt;/color&gt; 증가</v>
          </cell>
        </row>
        <row r="34">
          <cell r="A34">
            <v>7000131</v>
          </cell>
          <cell r="C34" t="str">
            <v>체력이 50% 이하일 때 반격 확률 &lt;color=#87cefa&gt;{buff:main}_{value:1}%&lt;/color&gt; 증가</v>
          </cell>
        </row>
        <row r="35">
          <cell r="A35">
            <v>7000132</v>
          </cell>
          <cell r="C35" t="str">
            <v>체력이 50% 이하일 때 회피율 &lt;color=#87cefa&gt;{buff:main}_{value:1}%&lt;/color&gt; 증가</v>
          </cell>
        </row>
        <row r="36">
          <cell r="A36">
            <v>7000133</v>
          </cell>
          <cell r="C36" t="str">
            <v>노멀 스킬 사용시 20% 확률로 최대 체력의 &lt;color=#87cefa&gt;10%&lt;/color&gt; 회복</v>
          </cell>
        </row>
        <row r="37">
          <cell r="A37">
            <v>7000134</v>
          </cell>
          <cell r="C37" t="str">
            <v>액티브 스킬 사용시 30% 확률로 최대 체력의 &lt;color=#87cefa&gt;10%&lt;/color&gt; 회복</v>
          </cell>
        </row>
        <row r="38">
          <cell r="A38">
            <v>7000135</v>
          </cell>
          <cell r="C38" t="str">
            <v>얼티밋 스킬 사용시 40% 확률로 최대 체력의 &lt;color=#87cefa&gt;10%&lt;/color&gt; 회복</v>
          </cell>
        </row>
        <row r="39">
          <cell r="A39">
            <v>7000136</v>
          </cell>
          <cell r="C39" t="str">
            <v>디버프 중인 대상 대미지 &lt;color=#87cefa&gt;{buff:main}_{value:1}%&lt;/color&gt; 증가</v>
          </cell>
        </row>
        <row r="40">
          <cell r="A40">
            <v>7000137</v>
          </cell>
          <cell r="C40" t="str">
            <v>버프 중 대상 대미지 &lt;color=#87cefa&gt;{buff:main}_{value:1}%&lt;/color&gt; 증가</v>
          </cell>
        </row>
        <row r="41">
          <cell r="A41">
            <v>7000138</v>
          </cell>
          <cell r="C41" t="str">
            <v>피격 시 반격 확률 &lt;color=#87cefa&gt;{buff:main}_{value:1}%&lt;/color&gt; 증가</v>
          </cell>
        </row>
        <row r="42">
          <cell r="A42">
            <v>7000139</v>
          </cell>
          <cell r="C42" t="str">
            <v>피격 시 공격력 &lt;color=#87cefa&gt;{buff:main}_{value:1}%&lt;/color&gt; 증가</v>
          </cell>
        </row>
        <row r="43">
          <cell r="A43">
            <v>7000140</v>
          </cell>
          <cell r="C43" t="str">
            <v>피격 시 방어력 &lt;color=#87cefa&gt;{buff:main}_{value:1}%&lt;/color&gt; 증가</v>
          </cell>
        </row>
        <row r="44">
          <cell r="A44">
            <v>7000141</v>
          </cell>
          <cell r="C44" t="str">
            <v>피격 시 속도 &lt;color=#87cefa&gt;15&lt;/color&gt; 증가</v>
          </cell>
        </row>
        <row r="45">
          <cell r="A45">
            <v>7000142</v>
          </cell>
          <cell r="C45" t="str">
            <v>피격 시 20% 확률로 Sp &lt;color=#87cefa&gt;5&lt;/color&gt; 획득</v>
          </cell>
        </row>
        <row r="46">
          <cell r="A46">
            <v>7000143</v>
          </cell>
          <cell r="C46" t="str">
            <v>반격 시 가까운 적에게 20% 대미지 화상 1턴 부여</v>
          </cell>
        </row>
        <row r="47">
          <cell r="A47">
            <v>7000144</v>
          </cell>
          <cell r="C47" t="str">
            <v>반격 시 가까운 적에게 20% 대미지 중독 1턴 부여</v>
          </cell>
        </row>
        <row r="48">
          <cell r="A48">
            <v>7000145</v>
          </cell>
          <cell r="C48" t="str">
            <v>반격 시 가까운 적에게 20% 대미지 출혈 1턴 부여</v>
          </cell>
        </row>
        <row r="49">
          <cell r="A49">
            <v>7000146</v>
          </cell>
          <cell r="C49" t="str">
            <v>반격 시 가까운 적에게 1턴 동안 기절 부여</v>
          </cell>
        </row>
        <row r="50">
          <cell r="A50">
            <v>7000147</v>
          </cell>
          <cell r="C50" t="str">
            <v>스킬 사용 시 가까운 적에게 15% 대미지 화상 1턴 부여</v>
          </cell>
        </row>
        <row r="51">
          <cell r="A51">
            <v>7000148</v>
          </cell>
          <cell r="C51" t="str">
            <v>스킬 사용 시 가까운 적에게 15% 대미지 중독 1턴 부여</v>
          </cell>
        </row>
        <row r="52">
          <cell r="A52">
            <v>7000149</v>
          </cell>
          <cell r="C52" t="str">
            <v>스킬 사용 시 가까운 적에게 15% 대미지 출혈 1턴 부여</v>
          </cell>
        </row>
        <row r="53">
          <cell r="A53">
            <v>7000150</v>
          </cell>
          <cell r="C53" t="str">
            <v>스킬 사용 시 가까운 적에게 1턴 동안 기절 부여</v>
          </cell>
        </row>
        <row r="54">
          <cell r="A54">
            <v>7000151</v>
          </cell>
          <cell r="C54" t="str">
            <v>배틀 시작시 속도 -15 감소, 매 턴 속도 5 증가</v>
          </cell>
        </row>
        <row r="55">
          <cell r="A55">
            <v>7000152</v>
          </cell>
          <cell r="C55" t="str">
            <v>배틀 시작시 속도 +30 증가, 매 턴 속도 -10 감소</v>
          </cell>
        </row>
        <row r="56">
          <cell r="A56">
            <v>7000153</v>
          </cell>
          <cell r="C56" t="str">
            <v>사망에 이르는 대미지를 받았을 경우 1회 체력 1 상태로 사망하지 않음</v>
          </cell>
        </row>
        <row r="57">
          <cell r="A57">
            <v>7000154</v>
          </cell>
          <cell r="C57" t="str">
            <v>치명타 면역 및 받는 상성피해 30% 증가.</v>
          </cell>
        </row>
        <row r="58">
          <cell r="A58">
            <v>7000155</v>
          </cell>
          <cell r="C58" t="str">
            <v>인접 아군 사망 시, 자신의 최대 체력의 20% 회복</v>
          </cell>
        </row>
        <row r="59">
          <cell r="A59">
            <v>7000156</v>
          </cell>
          <cell r="C59" t="str">
            <v>얼티밋 스킬이 비활성되지만 액티브 스킬의 쿨타임 -50%</v>
          </cell>
        </row>
        <row r="60">
          <cell r="A60">
            <v>7000157</v>
          </cell>
          <cell r="C60" t="str">
            <v>액티브 스킬이 비활성되지만 sp 회복량이 2배</v>
          </cell>
        </row>
        <row r="61">
          <cell r="A61">
            <v>7000158</v>
          </cell>
          <cell r="C61" t="str">
            <v>자신 사망 시, 인접 아군 1명에게 1턴 동안 공격력 20% 증가</v>
          </cell>
        </row>
        <row r="62">
          <cell r="A62">
            <v>7000159</v>
          </cell>
          <cell r="C62" t="str">
            <v>매 배틀턴 받는 모든 피해를 턴 종료 시에 한 번에 120%로 증폭해서 받습니다.</v>
          </cell>
        </row>
        <row r="63">
          <cell r="A63">
            <v>7000160</v>
          </cell>
          <cell r="C63" t="str">
            <v>속도 -10% 감소 및 배틀 시작 후 첫 2턴 동안 받는 모든 피해가 -20% 감소</v>
          </cell>
        </row>
        <row r="64">
          <cell r="A64">
            <v>7000161</v>
          </cell>
          <cell r="C64" t="str">
            <v>피격시 최대 체력의 30%가 넘는 초과 피해는 턴 종료시 나누어 받습니다. (맞을때 최대 30% 담. 초과량은 턴 종료시 한번에 맞음)</v>
          </cell>
        </row>
        <row r="65">
          <cell r="A65">
            <v>7000162</v>
          </cell>
          <cell r="C65" t="str">
            <v>연속으로 같은 대상을 공격 시 명중률이 20% 증가</v>
          </cell>
        </row>
        <row r="66">
          <cell r="A66">
            <v>7000163</v>
          </cell>
          <cell r="C66" t="str">
            <v>빗나갈 때 마다 치명타 확률 10%씩 증가</v>
          </cell>
        </row>
        <row r="67">
          <cell r="A67">
            <v>7000164</v>
          </cell>
          <cell r="C67" t="str">
            <v>회복 효과를 받을 때 Sp 5 충전</v>
          </cell>
        </row>
        <row r="68">
          <cell r="A68">
            <v>7000165</v>
          </cell>
          <cell r="C68" t="str">
            <v>디버프 부여시 자신 속도 5씩 증가</v>
          </cell>
        </row>
        <row r="69">
          <cell r="A69">
            <v>7000166</v>
          </cell>
          <cell r="C69" t="str">
            <v>크리티컬 발동시 피해량의 10% 회복</v>
          </cell>
        </row>
        <row r="70">
          <cell r="A70">
            <v>7000167</v>
          </cell>
          <cell r="C70" t="str">
            <v>치명타 발동 불가, 공격시 SP 회복량 +10</v>
          </cell>
        </row>
        <row r="71">
          <cell r="A71">
            <v>7000168</v>
          </cell>
          <cell r="C71" t="str">
            <v>방어력이 10% 감소, 속성 상성 피해 무시</v>
          </cell>
        </row>
        <row r="72">
          <cell r="A72">
            <v>7000169</v>
          </cell>
          <cell r="C72" t="str">
            <v>보호막 획득 시 SP 5 충전</v>
          </cell>
        </row>
        <row r="73">
          <cell r="A73">
            <v>7000170</v>
          </cell>
          <cell r="C73" t="str">
            <v>배틀 시작 시 SP 100 충전</v>
          </cell>
        </row>
        <row r="74">
          <cell r="A74">
            <v>7000171</v>
          </cell>
          <cell r="C74" t="str">
            <v>얼티밋 사용 시 자신의 양 옆 아군의 sp 10 충전</v>
          </cell>
        </row>
        <row r="75">
          <cell r="A75">
            <v>7000172</v>
          </cell>
          <cell r="C75" t="str">
            <v>사망 시 모든 적에게 3턴동안 받는 피해 증가 10% 부여</v>
          </cell>
        </row>
        <row r="76">
          <cell r="A76">
            <v>7000173</v>
          </cell>
          <cell r="C76" t="str">
            <v>받는 회복 효과 -30% 및 방어력 +30%</v>
          </cell>
        </row>
        <row r="77">
          <cell r="A77">
            <v>7000174</v>
          </cell>
          <cell r="C77" t="str">
            <v>방어력 및 체력 -10%, 공격력 및 속도 +10%</v>
          </cell>
        </row>
        <row r="78">
          <cell r="A78">
            <v>7900110</v>
          </cell>
          <cell r="C78" t="str">
            <v>배틀 시작시 1턴 동안 반격 확률 증가</v>
          </cell>
        </row>
        <row r="79">
          <cell r="A79">
            <v>7900111</v>
          </cell>
          <cell r="C79" t="str">
            <v>배틀 시작시 1턴 동안 면역</v>
          </cell>
        </row>
        <row r="80">
          <cell r="A80">
            <v>7900112</v>
          </cell>
          <cell r="C80" t="str">
            <v>배틀 시작시 1턴 동안 도발 부여</v>
          </cell>
        </row>
        <row r="81">
          <cell r="A81">
            <v>7900113</v>
          </cell>
          <cell r="C81" t="str">
            <v>배틀 시작시 1턴 동안 무적</v>
          </cell>
        </row>
        <row r="82">
          <cell r="A82">
            <v>7900114</v>
          </cell>
          <cell r="C82" t="str">
            <v>배틀 시작시 액티브 쿨타임 감소</v>
          </cell>
        </row>
        <row r="83">
          <cell r="A83">
            <v>7900115</v>
          </cell>
          <cell r="C83" t="str">
            <v>배틀 시작시 Sp 충전</v>
          </cell>
        </row>
        <row r="84">
          <cell r="A84">
            <v>7900143</v>
          </cell>
          <cell r="C84" t="str">
            <v>반격 시 가까운 적에게 화상 부여</v>
          </cell>
        </row>
        <row r="85">
          <cell r="A85">
            <v>7900144</v>
          </cell>
          <cell r="C85" t="str">
            <v>반격 시 가까운 적에게 중독 부여</v>
          </cell>
        </row>
        <row r="86">
          <cell r="A86">
            <v>7900145</v>
          </cell>
          <cell r="C86" t="str">
            <v>반격 시 가까운 적에게 출혈 부여</v>
          </cell>
        </row>
        <row r="87">
          <cell r="A87">
            <v>7900146</v>
          </cell>
          <cell r="C87" t="str">
            <v>반격 시 가까운 적에게 기절 부여</v>
          </cell>
        </row>
        <row r="88">
          <cell r="A88">
            <v>7900147</v>
          </cell>
          <cell r="C88" t="str">
            <v>스킬 사용 시 가까운 적에게 화상 부여</v>
          </cell>
        </row>
        <row r="89">
          <cell r="A89">
            <v>7900148</v>
          </cell>
          <cell r="C89" t="str">
            <v>스킬 사용 시 가까운 적에게 중독 부여</v>
          </cell>
        </row>
        <row r="90">
          <cell r="A90">
            <v>7900149</v>
          </cell>
          <cell r="C90" t="str">
            <v>스킬 사용 시 가까운 적에게 출혈 부여</v>
          </cell>
        </row>
        <row r="91">
          <cell r="A91">
            <v>7900150</v>
          </cell>
          <cell r="C91" t="str">
            <v>스킬 사용 시 가까운 적에게 기절 부여</v>
          </cell>
        </row>
        <row r="92">
          <cell r="A92">
            <v>7900151</v>
          </cell>
          <cell r="C92" t="str">
            <v>배틀 시작시 속도 -15%, 턴마다 속도 5% 증가</v>
          </cell>
        </row>
        <row r="93">
          <cell r="A93">
            <v>7910151</v>
          </cell>
          <cell r="C93" t="str">
            <v>배틀 시작시 속도 -15%, 턴마다 속도 5% 증가</v>
          </cell>
        </row>
        <row r="94">
          <cell r="A94">
            <v>7900152</v>
          </cell>
          <cell r="C94" t="str">
            <v>배틀 시작시 속도 +30%, 턴마다 속도 -10% 감소</v>
          </cell>
        </row>
        <row r="95">
          <cell r="A95">
            <v>7910152</v>
          </cell>
          <cell r="C95" t="str">
            <v>배틀 시작시 속도 +30%, 턴마다 속도 -10% 감소</v>
          </cell>
        </row>
        <row r="96">
          <cell r="A96">
            <v>7900153</v>
          </cell>
          <cell r="C96" t="str">
            <v>한번에 쓰러지지 않음 (체력 1남음)</v>
          </cell>
        </row>
        <row r="97">
          <cell r="A97">
            <v>7910153</v>
          </cell>
          <cell r="C97" t="str">
            <v>한번에 쓰러지지 않음 (체력 1남음)</v>
          </cell>
        </row>
        <row r="98">
          <cell r="A98">
            <v>7900155</v>
          </cell>
          <cell r="C98" t="str">
            <v>인접 아군 사망 시, 자신의 최대 체력의 20% 회복</v>
          </cell>
        </row>
        <row r="99">
          <cell r="A99">
            <v>7900158</v>
          </cell>
          <cell r="C99" t="str">
            <v>사망 시, 인접 아군 1명에게 공격력 10% 버프 1턴 부여</v>
          </cell>
        </row>
        <row r="100">
          <cell r="A100">
            <v>7900163</v>
          </cell>
          <cell r="C100" t="str">
            <v>빗나갈 때마다 치명타 확률이 10%씩 증가합니다 (치명타 발동시 스텍 초기화 초기화/전투단위 초기화)</v>
          </cell>
        </row>
        <row r="101">
          <cell r="A101">
            <v>7900164</v>
          </cell>
          <cell r="C101" t="str">
            <v>회복효과를 받거나 사용하면 Sp +3</v>
          </cell>
        </row>
        <row r="102">
          <cell r="A102">
            <v>7900165</v>
          </cell>
          <cell r="C102" t="str">
            <v>디버프 부여시 자신의 속도 +5 (최대 5스텍)</v>
          </cell>
        </row>
        <row r="103">
          <cell r="A103">
            <v>7900166</v>
          </cell>
          <cell r="C103" t="str">
            <v>크리티컬 발동시 피해량의 10% 회복</v>
          </cell>
        </row>
        <row r="104">
          <cell r="A104">
            <v>7900170</v>
          </cell>
          <cell r="C104" t="str">
            <v>배틀 시작 시, SP+100</v>
          </cell>
        </row>
        <row r="105">
          <cell r="A105">
            <v>7900171</v>
          </cell>
          <cell r="C105" t="str">
            <v>얼티밋 사용 시, 자신의 양 옆 아군의 sp + 10</v>
          </cell>
        </row>
        <row r="106">
          <cell r="A106">
            <v>7900172</v>
          </cell>
          <cell r="C106" t="str">
            <v>사망 시, 살해자에게 저주 디버프 3턴 부여 (받는피해 10% 증가)</v>
          </cell>
        </row>
        <row r="107">
          <cell r="A107">
            <v>7900101</v>
          </cell>
          <cell r="C107" t="str">
            <v>매 턴 시작시 공격력이 &lt;color=#87cefa&gt;5%&lt;/color&gt; 증가</v>
          </cell>
        </row>
        <row r="108">
          <cell r="A108">
            <v>7900102</v>
          </cell>
          <cell r="C108" t="str">
            <v>매 턴 시작시 방어력이 &lt;color=#87cefa&gt;5%&lt;/color&gt; 증가</v>
          </cell>
        </row>
        <row r="109">
          <cell r="A109">
            <v>7900122</v>
          </cell>
          <cell r="C109" t="str">
            <v>기회주의자</v>
          </cell>
        </row>
        <row r="110">
          <cell r="A110">
            <v>7900123</v>
          </cell>
          <cell r="C110" t="str">
            <v>책략가</v>
          </cell>
        </row>
        <row r="111">
          <cell r="A111">
            <v>7900124</v>
          </cell>
          <cell r="C111" t="str">
            <v>착취</v>
          </cell>
        </row>
        <row r="112">
          <cell r="A112">
            <v>7900133</v>
          </cell>
          <cell r="C112" t="str">
            <v>투정</v>
          </cell>
        </row>
        <row r="113">
          <cell r="A113">
            <v>7900134</v>
          </cell>
          <cell r="C113" t="str">
            <v>수완가</v>
          </cell>
        </row>
        <row r="114">
          <cell r="A114">
            <v>7900135</v>
          </cell>
          <cell r="C114" t="str">
            <v>이기주의</v>
          </cell>
        </row>
        <row r="115">
          <cell r="A115">
            <v>7900142</v>
          </cell>
          <cell r="C115" t="str">
            <v>피격 시 {buff:main}_{rate}% 확률로 Sp &lt;color=#87cefa&gt;5&lt;/color&gt; 획득</v>
          </cell>
        </row>
      </sheetData>
      <sheetData sheetId="6"/>
      <sheetData sheetId="7">
        <row r="1">
          <cell r="D1" t="str">
            <v>#SkillDesc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49"/>
  <sheetViews>
    <sheetView tabSelected="1" workbookViewId="0">
      <selection activeCell="E12" sqref="E12"/>
    </sheetView>
  </sheetViews>
  <sheetFormatPr defaultRowHeight="12" x14ac:dyDescent="0.2"/>
  <cols>
    <col min="1" max="2" width="9" style="2"/>
    <col min="3" max="3" width="17.375" style="2" bestFit="1" customWidth="1"/>
    <col min="4" max="4" width="14.125" style="2" bestFit="1" customWidth="1"/>
    <col min="5" max="8" width="12.75" style="2" customWidth="1"/>
    <col min="9" max="12" width="9" style="2"/>
    <col min="13" max="13" width="13.5" style="2" bestFit="1" customWidth="1"/>
    <col min="14" max="17" width="13.5" style="2" customWidth="1"/>
    <col min="18" max="18" width="5.875" style="2" bestFit="1" customWidth="1"/>
    <col min="19" max="19" width="6.75" style="2" bestFit="1" customWidth="1"/>
    <col min="20" max="21" width="13.5" style="2" customWidth="1"/>
    <col min="22" max="22" width="5" style="2" bestFit="1" customWidth="1"/>
    <col min="23" max="23" width="5.25" style="2" bestFit="1" customWidth="1"/>
    <col min="24" max="25" width="13.5" style="2" customWidth="1"/>
    <col min="26" max="26" width="5" style="2" bestFit="1" customWidth="1"/>
    <col min="27" max="27" width="5.25" style="2" bestFit="1" customWidth="1"/>
    <col min="28" max="29" width="9" style="2"/>
    <col min="30" max="30" width="19.375" style="2" bestFit="1" customWidth="1"/>
    <col min="31" max="16384" width="9" style="2"/>
  </cols>
  <sheetData>
    <row r="1" spans="1:31" x14ac:dyDescent="0.2">
      <c r="A1" s="2" t="s">
        <v>0</v>
      </c>
      <c r="B1" s="2" t="s">
        <v>435</v>
      </c>
      <c r="C1" s="2" t="s">
        <v>4</v>
      </c>
      <c r="D1" s="2" t="s">
        <v>37</v>
      </c>
      <c r="E1" s="2" t="s">
        <v>156</v>
      </c>
      <c r="F1" s="2" t="s">
        <v>74</v>
      </c>
      <c r="G1" s="2" t="s">
        <v>220</v>
      </c>
      <c r="H1" s="2" t="s">
        <v>224</v>
      </c>
      <c r="I1" s="2" t="s">
        <v>233</v>
      </c>
      <c r="J1" s="2" t="s">
        <v>54</v>
      </c>
      <c r="K1" s="2" t="s">
        <v>55</v>
      </c>
      <c r="L1" s="2" t="s">
        <v>153</v>
      </c>
      <c r="M1" s="2" t="s">
        <v>178</v>
      </c>
      <c r="N1" s="2" t="s">
        <v>67</v>
      </c>
      <c r="O1" s="2" t="s">
        <v>3</v>
      </c>
      <c r="P1" s="2" t="s">
        <v>66</v>
      </c>
      <c r="Q1" s="2" t="s">
        <v>25</v>
      </c>
      <c r="R1" s="2" t="s">
        <v>405</v>
      </c>
      <c r="S1" s="2" t="s">
        <v>406</v>
      </c>
      <c r="T1" s="2" t="s">
        <v>66</v>
      </c>
      <c r="U1" s="2" t="s">
        <v>24</v>
      </c>
      <c r="V1" s="2" t="s">
        <v>405</v>
      </c>
      <c r="W1" s="2" t="s">
        <v>406</v>
      </c>
      <c r="X1" s="2" t="s">
        <v>66</v>
      </c>
      <c r="Y1" s="2" t="s">
        <v>24</v>
      </c>
      <c r="Z1" s="2" t="s">
        <v>405</v>
      </c>
      <c r="AA1" s="2" t="s">
        <v>406</v>
      </c>
      <c r="AB1" s="2" t="s">
        <v>176</v>
      </c>
      <c r="AC1" s="2" t="s">
        <v>201</v>
      </c>
      <c r="AD1" s="2" t="s">
        <v>202</v>
      </c>
      <c r="AE1" s="2" t="s">
        <v>204</v>
      </c>
    </row>
    <row r="4" spans="1:31" x14ac:dyDescent="0.2">
      <c r="A4" s="2">
        <f t="shared" ref="A4:A67" si="0">INT(1&amp;TEXT(RIGHT(B4,4),"0000")&amp;TEXT(L4,"000"))</f>
        <v>10354000</v>
      </c>
      <c r="B4" s="1">
        <v>10000354</v>
      </c>
      <c r="C4" s="1" t="s">
        <v>281</v>
      </c>
      <c r="D4" s="1" t="s">
        <v>309</v>
      </c>
      <c r="E4" s="1" t="str">
        <f>"Persona_"&amp;_xlfn.XLOOKUP($B4, '#캐릭터'!$A:$A, '#캐릭터'!$C:$C)</f>
        <v>Persona_c354</v>
      </c>
      <c r="F4" s="1"/>
      <c r="G4" s="1">
        <f>_xlfn.XLOOKUP(_xlfn.XLOOKUP(B4,'[1]Detail&lt;Child&gt;'!$A:$A,'[1]Detail&lt;Child&gt;'!$N:$N),'#참조'!P:P,'#참조'!Q:Q)</f>
        <v>1</v>
      </c>
      <c r="H4" s="1">
        <f>_xlfn.XLOOKUP(_xlfn.XLOOKUP(B4,'[1]Detail&lt;Child&gt;'!$A:$A,'[1]Detail&lt;Child&gt;'!$O:$O),'#참조'!R:R,'#참조'!S:S)</f>
        <v>1</v>
      </c>
      <c r="I4" s="1">
        <v>0</v>
      </c>
      <c r="J4" s="1">
        <v>3</v>
      </c>
      <c r="K4" s="1">
        <v>0</v>
      </c>
      <c r="L4" s="1">
        <v>0</v>
      </c>
      <c r="M4" s="2" t="s">
        <v>2</v>
      </c>
      <c r="N4" s="2" t="s">
        <v>407</v>
      </c>
      <c r="O4" s="2">
        <v>0</v>
      </c>
      <c r="P4" s="2" t="s">
        <v>56</v>
      </c>
      <c r="Q4" s="2" t="str">
        <f>R4&amp;","&amp;S4</f>
        <v>1000,1000</v>
      </c>
      <c r="R4" s="2">
        <v>1000</v>
      </c>
      <c r="S4" s="2">
        <f>R4</f>
        <v>1000</v>
      </c>
      <c r="T4" s="2" t="s">
        <v>57</v>
      </c>
      <c r="U4" s="2" t="str">
        <f>V4&amp;","&amp;W4</f>
        <v>100,100</v>
      </c>
      <c r="V4" s="2">
        <v>100</v>
      </c>
      <c r="W4" s="2">
        <f>V4</f>
        <v>100</v>
      </c>
      <c r="X4" s="2" t="s">
        <v>58</v>
      </c>
      <c r="Y4" s="2" t="str">
        <f>Z4&amp;","&amp;AA4</f>
        <v>80,80</v>
      </c>
      <c r="Z4" s="2">
        <v>80</v>
      </c>
      <c r="AA4" s="2">
        <f>Z4</f>
        <v>80</v>
      </c>
      <c r="AB4" s="2">
        <v>100000</v>
      </c>
      <c r="AE4" s="2">
        <f>IF(I4=0,0,INT(G4&amp;H4&amp;TEXT(I4,"00")))</f>
        <v>0</v>
      </c>
    </row>
    <row r="5" spans="1:31" x14ac:dyDescent="0.2">
      <c r="A5" s="2">
        <f t="shared" si="0"/>
        <v>10354001</v>
      </c>
      <c r="B5" s="1">
        <v>10000354</v>
      </c>
      <c r="C5" s="1" t="s">
        <v>281</v>
      </c>
      <c r="D5" s="1" t="s">
        <v>309</v>
      </c>
      <c r="E5" s="1" t="str">
        <f>"Persona_"&amp;_xlfn.XLOOKUP($B5, '#캐릭터'!$A:$A, '#캐릭터'!$C:$C)</f>
        <v>Persona_c354</v>
      </c>
      <c r="F5" s="1"/>
      <c r="G5" s="1">
        <f>_xlfn.XLOOKUP(_xlfn.XLOOKUP(B5,'[1]Detail&lt;Child&gt;'!$A:$A,'[1]Detail&lt;Child&gt;'!$N:$N),'#참조'!P:P,'#참조'!Q:Q)</f>
        <v>1</v>
      </c>
      <c r="H5" s="1">
        <f>_xlfn.XLOOKUP(_xlfn.XLOOKUP(B5,'[1]Detail&lt;Child&gt;'!$A:$A,'[1]Detail&lt;Child&gt;'!$O:$O),'#참조'!R:R,'#참조'!S:S)</f>
        <v>1</v>
      </c>
      <c r="I5" s="1">
        <v>0</v>
      </c>
      <c r="J5" s="1">
        <v>3</v>
      </c>
      <c r="K5" s="1">
        <v>1</v>
      </c>
      <c r="L5" s="1">
        <v>1</v>
      </c>
      <c r="M5" s="2" t="s">
        <v>5</v>
      </c>
      <c r="N5" s="2" t="s">
        <v>407</v>
      </c>
      <c r="O5" s="2">
        <v>2000</v>
      </c>
      <c r="P5" s="2" t="s">
        <v>56</v>
      </c>
      <c r="Q5" s="2" t="str">
        <f t="shared" ref="Q5:Q68" si="1">R5&amp;","&amp;S5</f>
        <v>1000,1200</v>
      </c>
      <c r="R5" s="2">
        <v>1000</v>
      </c>
      <c r="S5" s="2">
        <f>ROUND(R5*1.2, -2)</f>
        <v>1200</v>
      </c>
      <c r="T5" s="2" t="s">
        <v>57</v>
      </c>
      <c r="U5" s="2" t="str">
        <f t="shared" ref="U5:U68" si="2">V5&amp;","&amp;W5</f>
        <v>100,100</v>
      </c>
      <c r="V5" s="2">
        <v>100</v>
      </c>
      <c r="W5" s="2">
        <f>ROUND(V5*1.2, -2)</f>
        <v>100</v>
      </c>
      <c r="X5" s="2" t="s">
        <v>58</v>
      </c>
      <c r="Y5" s="2" t="str">
        <f t="shared" ref="Y5:Y68" si="3">Z5&amp;","&amp;AA5</f>
        <v>80,100</v>
      </c>
      <c r="Z5" s="2">
        <v>80</v>
      </c>
      <c r="AA5" s="2">
        <f>ROUND(Z5*1.2, -2)</f>
        <v>100</v>
      </c>
      <c r="AB5" s="2">
        <v>100000</v>
      </c>
      <c r="AC5" s="2" t="e">
        <f>_xlfn.XLOOKUP($B5, '#참조'!$M:$M, '#참조'!$N:$N)</f>
        <v>#N/A</v>
      </c>
      <c r="AD5" s="2" t="e">
        <f>M5&amp;"_"&amp;AC5</f>
        <v>#N/A</v>
      </c>
      <c r="AE5" s="2">
        <f t="shared" ref="AE5:AE68" si="4">IF(I5=0,0,INT(G5&amp;H5&amp;TEXT(I5,"00")))</f>
        <v>0</v>
      </c>
    </row>
    <row r="6" spans="1:31" x14ac:dyDescent="0.2">
      <c r="A6" s="2">
        <f t="shared" si="0"/>
        <v>10354002</v>
      </c>
      <c r="B6" s="1">
        <v>10000354</v>
      </c>
      <c r="C6" s="1" t="s">
        <v>281</v>
      </c>
      <c r="D6" s="1" t="s">
        <v>309</v>
      </c>
      <c r="E6" s="1" t="str">
        <f>"Persona_"&amp;_xlfn.XLOOKUP($B6, '#캐릭터'!$A:$A, '#캐릭터'!$C:$C)</f>
        <v>Persona_c354</v>
      </c>
      <c r="F6" s="1"/>
      <c r="G6" s="1">
        <f>_xlfn.XLOOKUP(_xlfn.XLOOKUP(B6,'[1]Detail&lt;Child&gt;'!$A:$A,'[1]Detail&lt;Child&gt;'!$N:$N),'#참조'!P:P,'#참조'!Q:Q)</f>
        <v>1</v>
      </c>
      <c r="H6" s="1">
        <f>_xlfn.XLOOKUP(_xlfn.XLOOKUP(B6,'[1]Detail&lt;Child&gt;'!$A:$A,'[1]Detail&lt;Child&gt;'!$O:$O),'#참조'!R:R,'#참조'!S:S)</f>
        <v>1</v>
      </c>
      <c r="I6" s="1">
        <v>0</v>
      </c>
      <c r="J6" s="1">
        <v>3</v>
      </c>
      <c r="K6" s="1">
        <v>1</v>
      </c>
      <c r="L6" s="1">
        <v>2</v>
      </c>
      <c r="M6" s="2" t="s">
        <v>6</v>
      </c>
      <c r="N6" s="2" t="s">
        <v>407</v>
      </c>
      <c r="O6" s="2">
        <f>ROUND(O5*1.1, 0)</f>
        <v>2200</v>
      </c>
      <c r="P6" s="2" t="s">
        <v>56</v>
      </c>
      <c r="Q6" s="2" t="str">
        <f t="shared" si="1"/>
        <v>1300,1600</v>
      </c>
      <c r="R6" s="2">
        <f>ROUND(R5*1.3, 0)</f>
        <v>1300</v>
      </c>
      <c r="S6" s="2">
        <f t="shared" ref="S6:S22" si="5">ROUND(R6*1.2, -2)</f>
        <v>1600</v>
      </c>
      <c r="T6" s="2" t="s">
        <v>57</v>
      </c>
      <c r="U6" s="2" t="str">
        <f t="shared" si="2"/>
        <v>120,100</v>
      </c>
      <c r="V6" s="2">
        <f>ROUND(V5*1.2, 0)</f>
        <v>120</v>
      </c>
      <c r="W6" s="2">
        <f t="shared" ref="W6:W22" si="6">ROUND(V6*1.2, -2)</f>
        <v>100</v>
      </c>
      <c r="X6" s="2" t="s">
        <v>58</v>
      </c>
      <c r="Y6" s="2" t="str">
        <f t="shared" si="3"/>
        <v>104,100</v>
      </c>
      <c r="Z6" s="2">
        <f>ROUND(Z5*1.3, 0)</f>
        <v>104</v>
      </c>
      <c r="AA6" s="2">
        <f t="shared" ref="AA6:AA22" si="7">ROUND(Z6*1.2, -2)</f>
        <v>100</v>
      </c>
      <c r="AB6" s="2">
        <v>100000</v>
      </c>
      <c r="AC6" s="2" t="e">
        <f>_xlfn.XLOOKUP($B6, '#참조'!$M:$M, '#참조'!$N:$N)</f>
        <v>#N/A</v>
      </c>
      <c r="AD6" s="2" t="e">
        <f t="shared" ref="AD6:AD22" si="8">M6&amp;"_"&amp;AC6</f>
        <v>#N/A</v>
      </c>
      <c r="AE6" s="2">
        <f t="shared" si="4"/>
        <v>0</v>
      </c>
    </row>
    <row r="7" spans="1:31" x14ac:dyDescent="0.2">
      <c r="A7" s="2">
        <f t="shared" si="0"/>
        <v>10354003</v>
      </c>
      <c r="B7" s="1">
        <v>10000354</v>
      </c>
      <c r="C7" s="1" t="s">
        <v>281</v>
      </c>
      <c r="D7" s="1" t="s">
        <v>309</v>
      </c>
      <c r="E7" s="1" t="str">
        <f>"Persona_"&amp;_xlfn.XLOOKUP($B7, '#캐릭터'!$A:$A, '#캐릭터'!$C:$C)</f>
        <v>Persona_c354</v>
      </c>
      <c r="F7" s="1"/>
      <c r="G7" s="1">
        <f>_xlfn.XLOOKUP(_xlfn.XLOOKUP(B7,'[1]Detail&lt;Child&gt;'!$A:$A,'[1]Detail&lt;Child&gt;'!$N:$N),'#참조'!P:P,'#참조'!Q:Q)</f>
        <v>1</v>
      </c>
      <c r="H7" s="1">
        <f>_xlfn.XLOOKUP(_xlfn.XLOOKUP(B7,'[1]Detail&lt;Child&gt;'!$A:$A,'[1]Detail&lt;Child&gt;'!$O:$O),'#참조'!R:R,'#참조'!S:S)</f>
        <v>1</v>
      </c>
      <c r="I7" s="1">
        <v>0</v>
      </c>
      <c r="J7" s="1">
        <v>3</v>
      </c>
      <c r="K7" s="1">
        <v>1</v>
      </c>
      <c r="L7" s="1">
        <v>3</v>
      </c>
      <c r="M7" s="2" t="s">
        <v>7</v>
      </c>
      <c r="N7" s="2" t="s">
        <v>407</v>
      </c>
      <c r="O7" s="2">
        <f t="shared" ref="O7:O22" si="9">ROUND(O6*1.1, 0)</f>
        <v>2420</v>
      </c>
      <c r="P7" s="2" t="s">
        <v>56</v>
      </c>
      <c r="Q7" s="2" t="str">
        <f t="shared" si="1"/>
        <v>1690,2000</v>
      </c>
      <c r="R7" s="2">
        <f t="shared" ref="R7:R22" si="10">ROUND(R6*1.3, 0)</f>
        <v>1690</v>
      </c>
      <c r="S7" s="2">
        <f t="shared" si="5"/>
        <v>2000</v>
      </c>
      <c r="T7" s="2" t="s">
        <v>57</v>
      </c>
      <c r="U7" s="2" t="str">
        <f t="shared" si="2"/>
        <v>144,200</v>
      </c>
      <c r="V7" s="2">
        <f t="shared" ref="V7:V22" si="11">ROUND(V6*1.2, 0)</f>
        <v>144</v>
      </c>
      <c r="W7" s="2">
        <f t="shared" si="6"/>
        <v>200</v>
      </c>
      <c r="X7" s="2" t="s">
        <v>58</v>
      </c>
      <c r="Y7" s="2" t="str">
        <f t="shared" si="3"/>
        <v>135,200</v>
      </c>
      <c r="Z7" s="2">
        <f t="shared" ref="Z7:Z22" si="12">ROUND(Z6*1.3, 0)</f>
        <v>135</v>
      </c>
      <c r="AA7" s="2">
        <f t="shared" si="7"/>
        <v>200</v>
      </c>
      <c r="AB7" s="2">
        <v>100000</v>
      </c>
      <c r="AC7" s="2" t="e">
        <f>_xlfn.XLOOKUP($B7, '#참조'!$M:$M, '#참조'!$N:$N)</f>
        <v>#N/A</v>
      </c>
      <c r="AD7" s="2" t="e">
        <f t="shared" si="8"/>
        <v>#N/A</v>
      </c>
      <c r="AE7" s="2">
        <f t="shared" si="4"/>
        <v>0</v>
      </c>
    </row>
    <row r="8" spans="1:31" x14ac:dyDescent="0.2">
      <c r="A8" s="2">
        <f t="shared" si="0"/>
        <v>10354004</v>
      </c>
      <c r="B8" s="1">
        <v>10000354</v>
      </c>
      <c r="C8" s="1" t="s">
        <v>281</v>
      </c>
      <c r="D8" s="1" t="s">
        <v>309</v>
      </c>
      <c r="E8" s="1" t="str">
        <f>"Persona_"&amp;_xlfn.XLOOKUP($B8, '#캐릭터'!$A:$A, '#캐릭터'!$C:$C)</f>
        <v>Persona_c354</v>
      </c>
      <c r="F8" s="1"/>
      <c r="G8" s="1">
        <f>_xlfn.XLOOKUP(_xlfn.XLOOKUP(B8,'[1]Detail&lt;Child&gt;'!$A:$A,'[1]Detail&lt;Child&gt;'!$N:$N),'#참조'!P:P,'#참조'!Q:Q)</f>
        <v>1</v>
      </c>
      <c r="H8" s="1">
        <f>_xlfn.XLOOKUP(_xlfn.XLOOKUP(B8,'[1]Detail&lt;Child&gt;'!$A:$A,'[1]Detail&lt;Child&gt;'!$O:$O),'#참조'!R:R,'#참조'!S:S)</f>
        <v>1</v>
      </c>
      <c r="I8" s="1">
        <v>0</v>
      </c>
      <c r="J8" s="1">
        <v>3</v>
      </c>
      <c r="K8" s="1">
        <v>2</v>
      </c>
      <c r="L8" s="1">
        <v>4</v>
      </c>
      <c r="M8" s="2" t="s">
        <v>32</v>
      </c>
      <c r="N8" s="2" t="s">
        <v>407</v>
      </c>
      <c r="O8" s="2">
        <f t="shared" si="9"/>
        <v>2662</v>
      </c>
      <c r="P8" s="2" t="s">
        <v>56</v>
      </c>
      <c r="Q8" s="2" t="str">
        <f t="shared" si="1"/>
        <v>2197,2600</v>
      </c>
      <c r="R8" s="2">
        <f t="shared" si="10"/>
        <v>2197</v>
      </c>
      <c r="S8" s="2">
        <f t="shared" si="5"/>
        <v>2600</v>
      </c>
      <c r="T8" s="2" t="s">
        <v>57</v>
      </c>
      <c r="U8" s="2" t="str">
        <f t="shared" si="2"/>
        <v>173,200</v>
      </c>
      <c r="V8" s="2">
        <f t="shared" si="11"/>
        <v>173</v>
      </c>
      <c r="W8" s="2">
        <f t="shared" si="6"/>
        <v>200</v>
      </c>
      <c r="X8" s="2" t="s">
        <v>58</v>
      </c>
      <c r="Y8" s="2" t="str">
        <f t="shared" si="3"/>
        <v>176,200</v>
      </c>
      <c r="Z8" s="2">
        <f t="shared" si="12"/>
        <v>176</v>
      </c>
      <c r="AA8" s="2">
        <f t="shared" si="7"/>
        <v>200</v>
      </c>
      <c r="AB8" s="2">
        <v>95000</v>
      </c>
      <c r="AC8" s="2" t="e">
        <f>_xlfn.XLOOKUP($B8, '#참조'!$M:$M, '#참조'!$N:$N)</f>
        <v>#N/A</v>
      </c>
      <c r="AD8" s="2" t="e">
        <f t="shared" si="8"/>
        <v>#N/A</v>
      </c>
      <c r="AE8" s="2">
        <f t="shared" si="4"/>
        <v>0</v>
      </c>
    </row>
    <row r="9" spans="1:31" x14ac:dyDescent="0.2">
      <c r="A9" s="2">
        <f t="shared" si="0"/>
        <v>10354005</v>
      </c>
      <c r="B9" s="1">
        <v>10000354</v>
      </c>
      <c r="C9" s="1" t="s">
        <v>281</v>
      </c>
      <c r="D9" s="1" t="s">
        <v>309</v>
      </c>
      <c r="E9" s="1" t="str">
        <f>"Persona_"&amp;_xlfn.XLOOKUP($B9, '#캐릭터'!$A:$A, '#캐릭터'!$C:$C)</f>
        <v>Persona_c354</v>
      </c>
      <c r="F9" s="1"/>
      <c r="G9" s="1">
        <f>_xlfn.XLOOKUP(_xlfn.XLOOKUP(B9,'[1]Detail&lt;Child&gt;'!$A:$A,'[1]Detail&lt;Child&gt;'!$N:$N),'#참조'!P:P,'#참조'!Q:Q)</f>
        <v>1</v>
      </c>
      <c r="H9" s="1">
        <f>_xlfn.XLOOKUP(_xlfn.XLOOKUP(B9,'[1]Detail&lt;Child&gt;'!$A:$A,'[1]Detail&lt;Child&gt;'!$O:$O),'#참조'!R:R,'#참조'!S:S)</f>
        <v>1</v>
      </c>
      <c r="I9" s="1">
        <v>0</v>
      </c>
      <c r="J9" s="1">
        <v>3</v>
      </c>
      <c r="K9" s="1">
        <v>2</v>
      </c>
      <c r="L9" s="1">
        <v>5</v>
      </c>
      <c r="M9" s="2" t="s">
        <v>9</v>
      </c>
      <c r="N9" s="2" t="s">
        <v>407</v>
      </c>
      <c r="O9" s="2">
        <f t="shared" si="9"/>
        <v>2928</v>
      </c>
      <c r="P9" s="2" t="s">
        <v>56</v>
      </c>
      <c r="Q9" s="2" t="str">
        <f t="shared" si="1"/>
        <v>2856,3400</v>
      </c>
      <c r="R9" s="2">
        <f t="shared" si="10"/>
        <v>2856</v>
      </c>
      <c r="S9" s="2">
        <f t="shared" si="5"/>
        <v>3400</v>
      </c>
      <c r="T9" s="2" t="s">
        <v>57</v>
      </c>
      <c r="U9" s="2" t="str">
        <f t="shared" si="2"/>
        <v>208,200</v>
      </c>
      <c r="V9" s="2">
        <f t="shared" si="11"/>
        <v>208</v>
      </c>
      <c r="W9" s="2">
        <f t="shared" si="6"/>
        <v>200</v>
      </c>
      <c r="X9" s="2" t="s">
        <v>58</v>
      </c>
      <c r="Y9" s="2" t="str">
        <f t="shared" si="3"/>
        <v>229,300</v>
      </c>
      <c r="Z9" s="2">
        <f t="shared" si="12"/>
        <v>229</v>
      </c>
      <c r="AA9" s="2">
        <f t="shared" si="7"/>
        <v>300</v>
      </c>
      <c r="AB9" s="2">
        <v>95000</v>
      </c>
      <c r="AC9" s="2" t="e">
        <f>_xlfn.XLOOKUP($B9, '#참조'!$M:$M, '#참조'!$N:$N)</f>
        <v>#N/A</v>
      </c>
      <c r="AD9" s="2" t="e">
        <f t="shared" si="8"/>
        <v>#N/A</v>
      </c>
      <c r="AE9" s="2">
        <f t="shared" si="4"/>
        <v>0</v>
      </c>
    </row>
    <row r="10" spans="1:31" x14ac:dyDescent="0.2">
      <c r="A10" s="2">
        <f t="shared" si="0"/>
        <v>10354006</v>
      </c>
      <c r="B10" s="1">
        <v>10000354</v>
      </c>
      <c r="C10" s="1" t="s">
        <v>281</v>
      </c>
      <c r="D10" s="1" t="s">
        <v>309</v>
      </c>
      <c r="E10" s="1" t="str">
        <f>"Persona_"&amp;_xlfn.XLOOKUP($B10, '#캐릭터'!$A:$A, '#캐릭터'!$C:$C)</f>
        <v>Persona_c354</v>
      </c>
      <c r="F10" s="1"/>
      <c r="G10" s="1">
        <f>_xlfn.XLOOKUP(_xlfn.XLOOKUP(B10,'[1]Detail&lt;Child&gt;'!$A:$A,'[1]Detail&lt;Child&gt;'!$N:$N),'#참조'!P:P,'#참조'!Q:Q)</f>
        <v>1</v>
      </c>
      <c r="H10" s="1">
        <f>_xlfn.XLOOKUP(_xlfn.XLOOKUP(B10,'[1]Detail&lt;Child&gt;'!$A:$A,'[1]Detail&lt;Child&gt;'!$O:$O),'#참조'!R:R,'#참조'!S:S)</f>
        <v>1</v>
      </c>
      <c r="I10" s="1">
        <v>0</v>
      </c>
      <c r="J10" s="1">
        <v>3</v>
      </c>
      <c r="K10" s="1">
        <v>2</v>
      </c>
      <c r="L10" s="1">
        <v>6</v>
      </c>
      <c r="M10" s="2" t="s">
        <v>10</v>
      </c>
      <c r="N10" s="2" t="s">
        <v>407</v>
      </c>
      <c r="O10" s="2">
        <f t="shared" si="9"/>
        <v>3221</v>
      </c>
      <c r="P10" s="2" t="s">
        <v>56</v>
      </c>
      <c r="Q10" s="2" t="str">
        <f t="shared" si="1"/>
        <v>3713,4500</v>
      </c>
      <c r="R10" s="2">
        <f t="shared" si="10"/>
        <v>3713</v>
      </c>
      <c r="S10" s="2">
        <f t="shared" si="5"/>
        <v>4500</v>
      </c>
      <c r="T10" s="2" t="s">
        <v>57</v>
      </c>
      <c r="U10" s="2" t="str">
        <f t="shared" si="2"/>
        <v>250,300</v>
      </c>
      <c r="V10" s="2">
        <f t="shared" si="11"/>
        <v>250</v>
      </c>
      <c r="W10" s="2">
        <f t="shared" si="6"/>
        <v>300</v>
      </c>
      <c r="X10" s="2" t="s">
        <v>58</v>
      </c>
      <c r="Y10" s="2" t="str">
        <f t="shared" si="3"/>
        <v>298,400</v>
      </c>
      <c r="Z10" s="2">
        <f t="shared" si="12"/>
        <v>298</v>
      </c>
      <c r="AA10" s="2">
        <f t="shared" si="7"/>
        <v>400</v>
      </c>
      <c r="AB10" s="2">
        <v>95000</v>
      </c>
      <c r="AC10" s="2" t="e">
        <f>_xlfn.XLOOKUP($B10, '#참조'!$M:$M, '#참조'!$N:$N)</f>
        <v>#N/A</v>
      </c>
      <c r="AD10" s="2" t="e">
        <f t="shared" si="8"/>
        <v>#N/A</v>
      </c>
      <c r="AE10" s="2">
        <f t="shared" si="4"/>
        <v>0</v>
      </c>
    </row>
    <row r="11" spans="1:31" x14ac:dyDescent="0.2">
      <c r="A11" s="2">
        <f t="shared" si="0"/>
        <v>10354007</v>
      </c>
      <c r="B11" s="1">
        <v>10000354</v>
      </c>
      <c r="C11" s="1" t="s">
        <v>281</v>
      </c>
      <c r="D11" s="1" t="s">
        <v>309</v>
      </c>
      <c r="E11" s="1" t="str">
        <f>"Persona_"&amp;_xlfn.XLOOKUP($B11, '#캐릭터'!$A:$A, '#캐릭터'!$C:$C)</f>
        <v>Persona_c354</v>
      </c>
      <c r="F11" s="1"/>
      <c r="G11" s="1">
        <f>_xlfn.XLOOKUP(_xlfn.XLOOKUP(B11,'[1]Detail&lt;Child&gt;'!$A:$A,'[1]Detail&lt;Child&gt;'!$N:$N),'#참조'!P:P,'#참조'!Q:Q)</f>
        <v>1</v>
      </c>
      <c r="H11" s="1">
        <f>_xlfn.XLOOKUP(_xlfn.XLOOKUP(B11,'[1]Detail&lt;Child&gt;'!$A:$A,'[1]Detail&lt;Child&gt;'!$O:$O),'#참조'!R:R,'#참조'!S:S)</f>
        <v>1</v>
      </c>
      <c r="I11" s="1">
        <v>1</v>
      </c>
      <c r="J11" s="1">
        <v>3</v>
      </c>
      <c r="K11" s="1">
        <v>3</v>
      </c>
      <c r="L11" s="1">
        <v>7</v>
      </c>
      <c r="M11" s="2" t="s">
        <v>33</v>
      </c>
      <c r="N11" s="2" t="s">
        <v>407</v>
      </c>
      <c r="O11" s="2">
        <f t="shared" si="9"/>
        <v>3543</v>
      </c>
      <c r="P11" s="2" t="s">
        <v>56</v>
      </c>
      <c r="Q11" s="2" t="str">
        <f t="shared" si="1"/>
        <v>4827,5800</v>
      </c>
      <c r="R11" s="2">
        <f t="shared" si="10"/>
        <v>4827</v>
      </c>
      <c r="S11" s="2">
        <f t="shared" si="5"/>
        <v>5800</v>
      </c>
      <c r="T11" s="2" t="s">
        <v>57</v>
      </c>
      <c r="U11" s="2" t="str">
        <f t="shared" si="2"/>
        <v>300,400</v>
      </c>
      <c r="V11" s="2">
        <f t="shared" si="11"/>
        <v>300</v>
      </c>
      <c r="W11" s="2">
        <f t="shared" si="6"/>
        <v>400</v>
      </c>
      <c r="X11" s="2" t="s">
        <v>58</v>
      </c>
      <c r="Y11" s="2" t="str">
        <f t="shared" si="3"/>
        <v>387,500</v>
      </c>
      <c r="Z11" s="2">
        <f t="shared" si="12"/>
        <v>387</v>
      </c>
      <c r="AA11" s="2">
        <f t="shared" si="7"/>
        <v>500</v>
      </c>
      <c r="AB11" s="2">
        <v>90000</v>
      </c>
      <c r="AC11" s="2" t="e">
        <f>_xlfn.XLOOKUP($B11, '#참조'!$M:$M, '#참조'!$N:$N)</f>
        <v>#N/A</v>
      </c>
      <c r="AD11" s="2" t="e">
        <f t="shared" si="8"/>
        <v>#N/A</v>
      </c>
      <c r="AE11" s="2">
        <f t="shared" si="4"/>
        <v>1101</v>
      </c>
    </row>
    <row r="12" spans="1:31" x14ac:dyDescent="0.2">
      <c r="A12" s="2">
        <f t="shared" si="0"/>
        <v>10354008</v>
      </c>
      <c r="B12" s="1">
        <v>10000354</v>
      </c>
      <c r="C12" s="1" t="s">
        <v>281</v>
      </c>
      <c r="D12" s="1" t="s">
        <v>309</v>
      </c>
      <c r="E12" s="1" t="str">
        <f>"Persona_"&amp;_xlfn.XLOOKUP($B12, '#캐릭터'!$A:$A, '#캐릭터'!$C:$C)</f>
        <v>Persona_c354</v>
      </c>
      <c r="F12" s="1"/>
      <c r="G12" s="1">
        <f>_xlfn.XLOOKUP(_xlfn.XLOOKUP(B12,'[1]Detail&lt;Child&gt;'!$A:$A,'[1]Detail&lt;Child&gt;'!$N:$N),'#참조'!P:P,'#참조'!Q:Q)</f>
        <v>1</v>
      </c>
      <c r="H12" s="1">
        <f>_xlfn.XLOOKUP(_xlfn.XLOOKUP(B12,'[1]Detail&lt;Child&gt;'!$A:$A,'[1]Detail&lt;Child&gt;'!$O:$O),'#참조'!R:R,'#참조'!S:S)</f>
        <v>1</v>
      </c>
      <c r="I12" s="1">
        <v>1</v>
      </c>
      <c r="J12" s="1">
        <v>3</v>
      </c>
      <c r="K12" s="1">
        <v>3</v>
      </c>
      <c r="L12" s="1">
        <v>8</v>
      </c>
      <c r="M12" s="2" t="s">
        <v>12</v>
      </c>
      <c r="N12" s="2" t="s">
        <v>407</v>
      </c>
      <c r="O12" s="2">
        <f t="shared" si="9"/>
        <v>3897</v>
      </c>
      <c r="P12" s="2" t="s">
        <v>56</v>
      </c>
      <c r="Q12" s="2" t="str">
        <f t="shared" si="1"/>
        <v>6275,7500</v>
      </c>
      <c r="R12" s="2">
        <f t="shared" si="10"/>
        <v>6275</v>
      </c>
      <c r="S12" s="2">
        <f t="shared" si="5"/>
        <v>7500</v>
      </c>
      <c r="T12" s="2" t="s">
        <v>57</v>
      </c>
      <c r="U12" s="2" t="str">
        <f t="shared" si="2"/>
        <v>360,400</v>
      </c>
      <c r="V12" s="2">
        <f t="shared" si="11"/>
        <v>360</v>
      </c>
      <c r="W12" s="2">
        <f t="shared" si="6"/>
        <v>400</v>
      </c>
      <c r="X12" s="2" t="s">
        <v>58</v>
      </c>
      <c r="Y12" s="2" t="str">
        <f t="shared" si="3"/>
        <v>503,600</v>
      </c>
      <c r="Z12" s="2">
        <f t="shared" si="12"/>
        <v>503</v>
      </c>
      <c r="AA12" s="2">
        <f t="shared" si="7"/>
        <v>600</v>
      </c>
      <c r="AB12" s="2">
        <v>90000</v>
      </c>
      <c r="AC12" s="2" t="e">
        <f>_xlfn.XLOOKUP($B12, '#참조'!$M:$M, '#참조'!$N:$N)</f>
        <v>#N/A</v>
      </c>
      <c r="AD12" s="2" t="e">
        <f t="shared" si="8"/>
        <v>#N/A</v>
      </c>
      <c r="AE12" s="2">
        <f t="shared" si="4"/>
        <v>1101</v>
      </c>
    </row>
    <row r="13" spans="1:31" x14ac:dyDescent="0.2">
      <c r="A13" s="2">
        <f t="shared" si="0"/>
        <v>10354009</v>
      </c>
      <c r="B13" s="1">
        <v>10000354</v>
      </c>
      <c r="C13" s="1" t="s">
        <v>281</v>
      </c>
      <c r="D13" s="1" t="s">
        <v>309</v>
      </c>
      <c r="E13" s="1" t="str">
        <f>"Persona_"&amp;_xlfn.XLOOKUP($B13, '#캐릭터'!$A:$A, '#캐릭터'!$C:$C)</f>
        <v>Persona_c354</v>
      </c>
      <c r="F13" s="1"/>
      <c r="G13" s="1">
        <f>_xlfn.XLOOKUP(_xlfn.XLOOKUP(B13,'[1]Detail&lt;Child&gt;'!$A:$A,'[1]Detail&lt;Child&gt;'!$N:$N),'#참조'!P:P,'#참조'!Q:Q)</f>
        <v>1</v>
      </c>
      <c r="H13" s="1">
        <f>_xlfn.XLOOKUP(_xlfn.XLOOKUP(B13,'[1]Detail&lt;Child&gt;'!$A:$A,'[1]Detail&lt;Child&gt;'!$O:$O),'#참조'!R:R,'#참조'!S:S)</f>
        <v>1</v>
      </c>
      <c r="I13" s="1">
        <v>2</v>
      </c>
      <c r="J13" s="1">
        <v>3</v>
      </c>
      <c r="K13" s="1">
        <v>3</v>
      </c>
      <c r="L13" s="1">
        <v>9</v>
      </c>
      <c r="M13" s="2" t="s">
        <v>13</v>
      </c>
      <c r="N13" s="2" t="s">
        <v>407</v>
      </c>
      <c r="O13" s="2">
        <f t="shared" si="9"/>
        <v>4287</v>
      </c>
      <c r="P13" s="2" t="s">
        <v>56</v>
      </c>
      <c r="Q13" s="2" t="str">
        <f t="shared" si="1"/>
        <v>8158,9800</v>
      </c>
      <c r="R13" s="2">
        <f t="shared" si="10"/>
        <v>8158</v>
      </c>
      <c r="S13" s="2">
        <f t="shared" si="5"/>
        <v>9800</v>
      </c>
      <c r="T13" s="2" t="s">
        <v>57</v>
      </c>
      <c r="U13" s="2" t="str">
        <f t="shared" si="2"/>
        <v>432,500</v>
      </c>
      <c r="V13" s="2">
        <f t="shared" si="11"/>
        <v>432</v>
      </c>
      <c r="W13" s="2">
        <f t="shared" si="6"/>
        <v>500</v>
      </c>
      <c r="X13" s="2" t="s">
        <v>58</v>
      </c>
      <c r="Y13" s="2" t="str">
        <f t="shared" si="3"/>
        <v>654,800</v>
      </c>
      <c r="Z13" s="2">
        <f t="shared" si="12"/>
        <v>654</v>
      </c>
      <c r="AA13" s="2">
        <f t="shared" si="7"/>
        <v>800</v>
      </c>
      <c r="AB13" s="2">
        <v>90000</v>
      </c>
      <c r="AC13" s="2" t="e">
        <f>_xlfn.XLOOKUP($B13, '#참조'!$M:$M, '#참조'!$N:$N)</f>
        <v>#N/A</v>
      </c>
      <c r="AD13" s="2" t="e">
        <f t="shared" si="8"/>
        <v>#N/A</v>
      </c>
      <c r="AE13" s="2">
        <f t="shared" si="4"/>
        <v>1102</v>
      </c>
    </row>
    <row r="14" spans="1:31" x14ac:dyDescent="0.2">
      <c r="A14" s="2">
        <f t="shared" si="0"/>
        <v>10354010</v>
      </c>
      <c r="B14" s="1">
        <v>10000354</v>
      </c>
      <c r="C14" s="1" t="s">
        <v>281</v>
      </c>
      <c r="D14" s="1" t="s">
        <v>309</v>
      </c>
      <c r="E14" s="1" t="str">
        <f>"Persona_"&amp;_xlfn.XLOOKUP($B14, '#캐릭터'!$A:$A, '#캐릭터'!$C:$C)</f>
        <v>Persona_c354</v>
      </c>
      <c r="F14" s="1"/>
      <c r="G14" s="1">
        <f>_xlfn.XLOOKUP(_xlfn.XLOOKUP(B14,'[1]Detail&lt;Child&gt;'!$A:$A,'[1]Detail&lt;Child&gt;'!$N:$N),'#참조'!P:P,'#참조'!Q:Q)</f>
        <v>1</v>
      </c>
      <c r="H14" s="1">
        <f>_xlfn.XLOOKUP(_xlfn.XLOOKUP(B14,'[1]Detail&lt;Child&gt;'!$A:$A,'[1]Detail&lt;Child&gt;'!$O:$O),'#참조'!R:R,'#참조'!S:S)</f>
        <v>1</v>
      </c>
      <c r="I14" s="1">
        <v>2</v>
      </c>
      <c r="J14" s="1">
        <v>3</v>
      </c>
      <c r="K14" s="1">
        <v>4</v>
      </c>
      <c r="L14" s="1">
        <v>10</v>
      </c>
      <c r="M14" s="2" t="s">
        <v>34</v>
      </c>
      <c r="N14" s="2" t="s">
        <v>407</v>
      </c>
      <c r="O14" s="2">
        <f t="shared" si="9"/>
        <v>4716</v>
      </c>
      <c r="P14" s="2" t="s">
        <v>56</v>
      </c>
      <c r="Q14" s="2" t="str">
        <f t="shared" si="1"/>
        <v>10605,12700</v>
      </c>
      <c r="R14" s="2">
        <f t="shared" si="10"/>
        <v>10605</v>
      </c>
      <c r="S14" s="2">
        <f t="shared" si="5"/>
        <v>12700</v>
      </c>
      <c r="T14" s="2" t="s">
        <v>57</v>
      </c>
      <c r="U14" s="2" t="str">
        <f t="shared" si="2"/>
        <v>518,600</v>
      </c>
      <c r="V14" s="2">
        <f t="shared" si="11"/>
        <v>518</v>
      </c>
      <c r="W14" s="2">
        <f t="shared" si="6"/>
        <v>600</v>
      </c>
      <c r="X14" s="2" t="s">
        <v>58</v>
      </c>
      <c r="Y14" s="2" t="str">
        <f t="shared" si="3"/>
        <v>850,1000</v>
      </c>
      <c r="Z14" s="2">
        <f t="shared" si="12"/>
        <v>850</v>
      </c>
      <c r="AA14" s="2">
        <f t="shared" si="7"/>
        <v>1000</v>
      </c>
      <c r="AB14" s="2">
        <v>85000</v>
      </c>
      <c r="AC14" s="2" t="e">
        <f>_xlfn.XLOOKUP($B14, '#참조'!$M:$M, '#참조'!$N:$N)</f>
        <v>#N/A</v>
      </c>
      <c r="AD14" s="2" t="e">
        <f t="shared" si="8"/>
        <v>#N/A</v>
      </c>
      <c r="AE14" s="2">
        <f t="shared" si="4"/>
        <v>1102</v>
      </c>
    </row>
    <row r="15" spans="1:31" x14ac:dyDescent="0.2">
      <c r="A15" s="2">
        <f t="shared" si="0"/>
        <v>10354011</v>
      </c>
      <c r="B15" s="1">
        <v>10000354</v>
      </c>
      <c r="C15" s="1" t="s">
        <v>281</v>
      </c>
      <c r="D15" s="1" t="s">
        <v>309</v>
      </c>
      <c r="E15" s="1" t="str">
        <f>"Persona_"&amp;_xlfn.XLOOKUP($B15, '#캐릭터'!$A:$A, '#캐릭터'!$C:$C)</f>
        <v>Persona_c354</v>
      </c>
      <c r="F15" s="1"/>
      <c r="G15" s="1">
        <f>_xlfn.XLOOKUP(_xlfn.XLOOKUP(B15,'[1]Detail&lt;Child&gt;'!$A:$A,'[1]Detail&lt;Child&gt;'!$N:$N),'#참조'!P:P,'#참조'!Q:Q)</f>
        <v>1</v>
      </c>
      <c r="H15" s="1">
        <f>_xlfn.XLOOKUP(_xlfn.XLOOKUP(B15,'[1]Detail&lt;Child&gt;'!$A:$A,'[1]Detail&lt;Child&gt;'!$O:$O),'#참조'!R:R,'#참조'!S:S)</f>
        <v>1</v>
      </c>
      <c r="I15" s="1">
        <v>3</v>
      </c>
      <c r="J15" s="1">
        <v>3</v>
      </c>
      <c r="K15" s="1">
        <v>4</v>
      </c>
      <c r="L15" s="1">
        <v>11</v>
      </c>
      <c r="M15" s="2" t="s">
        <v>15</v>
      </c>
      <c r="N15" s="2" t="s">
        <v>407</v>
      </c>
      <c r="O15" s="2">
        <f t="shared" si="9"/>
        <v>5188</v>
      </c>
      <c r="P15" s="2" t="s">
        <v>56</v>
      </c>
      <c r="Q15" s="2" t="str">
        <f t="shared" si="1"/>
        <v>13787,16500</v>
      </c>
      <c r="R15" s="2">
        <f t="shared" si="10"/>
        <v>13787</v>
      </c>
      <c r="S15" s="2">
        <f t="shared" si="5"/>
        <v>16500</v>
      </c>
      <c r="T15" s="2" t="s">
        <v>57</v>
      </c>
      <c r="U15" s="2" t="str">
        <f t="shared" si="2"/>
        <v>622,700</v>
      </c>
      <c r="V15" s="2">
        <f t="shared" si="11"/>
        <v>622</v>
      </c>
      <c r="W15" s="2">
        <f t="shared" si="6"/>
        <v>700</v>
      </c>
      <c r="X15" s="2" t="s">
        <v>58</v>
      </c>
      <c r="Y15" s="2" t="str">
        <f t="shared" si="3"/>
        <v>1105,1300</v>
      </c>
      <c r="Z15" s="2">
        <f t="shared" si="12"/>
        <v>1105</v>
      </c>
      <c r="AA15" s="2">
        <f t="shared" si="7"/>
        <v>1300</v>
      </c>
      <c r="AB15" s="2">
        <v>85000</v>
      </c>
      <c r="AC15" s="2" t="e">
        <f>_xlfn.XLOOKUP($B15, '#참조'!$M:$M, '#참조'!$N:$N)</f>
        <v>#N/A</v>
      </c>
      <c r="AD15" s="2" t="e">
        <f t="shared" si="8"/>
        <v>#N/A</v>
      </c>
      <c r="AE15" s="2">
        <f t="shared" si="4"/>
        <v>1103</v>
      </c>
    </row>
    <row r="16" spans="1:31" x14ac:dyDescent="0.2">
      <c r="A16" s="2">
        <f t="shared" si="0"/>
        <v>10354012</v>
      </c>
      <c r="B16" s="1">
        <v>10000354</v>
      </c>
      <c r="C16" s="1" t="s">
        <v>281</v>
      </c>
      <c r="D16" s="1" t="s">
        <v>309</v>
      </c>
      <c r="E16" s="1" t="str">
        <f>"Persona_"&amp;_xlfn.XLOOKUP($B16, '#캐릭터'!$A:$A, '#캐릭터'!$C:$C)</f>
        <v>Persona_c354</v>
      </c>
      <c r="F16" s="1"/>
      <c r="G16" s="1">
        <f>_xlfn.XLOOKUP(_xlfn.XLOOKUP(B16,'[1]Detail&lt;Child&gt;'!$A:$A,'[1]Detail&lt;Child&gt;'!$N:$N),'#참조'!P:P,'#참조'!Q:Q)</f>
        <v>1</v>
      </c>
      <c r="H16" s="1">
        <f>_xlfn.XLOOKUP(_xlfn.XLOOKUP(B16,'[1]Detail&lt;Child&gt;'!$A:$A,'[1]Detail&lt;Child&gt;'!$O:$O),'#참조'!R:R,'#참조'!S:S)</f>
        <v>1</v>
      </c>
      <c r="I16" s="1">
        <v>3</v>
      </c>
      <c r="J16" s="1">
        <v>3</v>
      </c>
      <c r="K16" s="1">
        <v>4</v>
      </c>
      <c r="L16" s="1">
        <v>12</v>
      </c>
      <c r="M16" s="2" t="s">
        <v>16</v>
      </c>
      <c r="N16" s="2" t="s">
        <v>407</v>
      </c>
      <c r="O16" s="2">
        <f t="shared" si="9"/>
        <v>5707</v>
      </c>
      <c r="P16" s="2" t="s">
        <v>56</v>
      </c>
      <c r="Q16" s="2" t="str">
        <f t="shared" si="1"/>
        <v>17923,21500</v>
      </c>
      <c r="R16" s="2">
        <f t="shared" si="10"/>
        <v>17923</v>
      </c>
      <c r="S16" s="2">
        <f t="shared" si="5"/>
        <v>21500</v>
      </c>
      <c r="T16" s="2" t="s">
        <v>57</v>
      </c>
      <c r="U16" s="2" t="str">
        <f t="shared" si="2"/>
        <v>746,900</v>
      </c>
      <c r="V16" s="2">
        <f t="shared" si="11"/>
        <v>746</v>
      </c>
      <c r="W16" s="2">
        <f t="shared" si="6"/>
        <v>900</v>
      </c>
      <c r="X16" s="2" t="s">
        <v>58</v>
      </c>
      <c r="Y16" s="2" t="str">
        <f t="shared" si="3"/>
        <v>1437,1700</v>
      </c>
      <c r="Z16" s="2">
        <f t="shared" si="12"/>
        <v>1437</v>
      </c>
      <c r="AA16" s="2">
        <f t="shared" si="7"/>
        <v>1700</v>
      </c>
      <c r="AB16" s="2">
        <v>85000</v>
      </c>
      <c r="AC16" s="2" t="e">
        <f>_xlfn.XLOOKUP($B16, '#참조'!$M:$M, '#참조'!$N:$N)</f>
        <v>#N/A</v>
      </c>
      <c r="AD16" s="2" t="e">
        <f t="shared" si="8"/>
        <v>#N/A</v>
      </c>
      <c r="AE16" s="2">
        <f t="shared" si="4"/>
        <v>1103</v>
      </c>
    </row>
    <row r="17" spans="1:31" x14ac:dyDescent="0.2">
      <c r="A17" s="2">
        <f t="shared" si="0"/>
        <v>10354013</v>
      </c>
      <c r="B17" s="1">
        <v>10000354</v>
      </c>
      <c r="C17" s="1" t="s">
        <v>281</v>
      </c>
      <c r="D17" s="1" t="s">
        <v>309</v>
      </c>
      <c r="E17" s="1" t="str">
        <f>"Persona_"&amp;_xlfn.XLOOKUP($B17, '#캐릭터'!$A:$A, '#캐릭터'!$C:$C)</f>
        <v>Persona_c354</v>
      </c>
      <c r="F17" s="1"/>
      <c r="G17" s="1">
        <f>_xlfn.XLOOKUP(_xlfn.XLOOKUP(B17,'[1]Detail&lt;Child&gt;'!$A:$A,'[1]Detail&lt;Child&gt;'!$N:$N),'#참조'!P:P,'#참조'!Q:Q)</f>
        <v>1</v>
      </c>
      <c r="H17" s="1">
        <f>_xlfn.XLOOKUP(_xlfn.XLOOKUP(B17,'[1]Detail&lt;Child&gt;'!$A:$A,'[1]Detail&lt;Child&gt;'!$O:$O),'#참조'!R:R,'#참조'!S:S)</f>
        <v>1</v>
      </c>
      <c r="I17" s="1">
        <v>4</v>
      </c>
      <c r="J17" s="1">
        <v>3</v>
      </c>
      <c r="K17" s="1">
        <v>5</v>
      </c>
      <c r="L17" s="1">
        <v>13</v>
      </c>
      <c r="M17" s="2" t="s">
        <v>35</v>
      </c>
      <c r="N17" s="2" t="s">
        <v>407</v>
      </c>
      <c r="O17" s="2">
        <f t="shared" si="9"/>
        <v>6278</v>
      </c>
      <c r="P17" s="2" t="s">
        <v>56</v>
      </c>
      <c r="Q17" s="2" t="str">
        <f t="shared" si="1"/>
        <v>23300,28000</v>
      </c>
      <c r="R17" s="2">
        <f t="shared" si="10"/>
        <v>23300</v>
      </c>
      <c r="S17" s="2">
        <f t="shared" si="5"/>
        <v>28000</v>
      </c>
      <c r="T17" s="2" t="s">
        <v>57</v>
      </c>
      <c r="U17" s="2" t="str">
        <f t="shared" si="2"/>
        <v>895,1100</v>
      </c>
      <c r="V17" s="2">
        <f t="shared" si="11"/>
        <v>895</v>
      </c>
      <c r="W17" s="2">
        <f t="shared" si="6"/>
        <v>1100</v>
      </c>
      <c r="X17" s="2" t="s">
        <v>58</v>
      </c>
      <c r="Y17" s="2" t="str">
        <f t="shared" si="3"/>
        <v>1868,2200</v>
      </c>
      <c r="Z17" s="2">
        <f t="shared" si="12"/>
        <v>1868</v>
      </c>
      <c r="AA17" s="2">
        <f t="shared" si="7"/>
        <v>2200</v>
      </c>
      <c r="AB17" s="2">
        <v>80000</v>
      </c>
      <c r="AC17" s="2" t="e">
        <f>_xlfn.XLOOKUP($B17, '#참조'!$M:$M, '#참조'!$N:$N)</f>
        <v>#N/A</v>
      </c>
      <c r="AD17" s="2" t="e">
        <f t="shared" si="8"/>
        <v>#N/A</v>
      </c>
      <c r="AE17" s="2">
        <f t="shared" si="4"/>
        <v>1104</v>
      </c>
    </row>
    <row r="18" spans="1:31" x14ac:dyDescent="0.2">
      <c r="A18" s="2">
        <f t="shared" si="0"/>
        <v>10354014</v>
      </c>
      <c r="B18" s="1">
        <v>10000354</v>
      </c>
      <c r="C18" s="1" t="s">
        <v>281</v>
      </c>
      <c r="D18" s="1" t="s">
        <v>309</v>
      </c>
      <c r="E18" s="1" t="str">
        <f>"Persona_"&amp;_xlfn.XLOOKUP($B18, '#캐릭터'!$A:$A, '#캐릭터'!$C:$C)</f>
        <v>Persona_c354</v>
      </c>
      <c r="F18" s="1"/>
      <c r="G18" s="1">
        <f>_xlfn.XLOOKUP(_xlfn.XLOOKUP(B18,'[1]Detail&lt;Child&gt;'!$A:$A,'[1]Detail&lt;Child&gt;'!$N:$N),'#참조'!P:P,'#참조'!Q:Q)</f>
        <v>1</v>
      </c>
      <c r="H18" s="1">
        <f>_xlfn.XLOOKUP(_xlfn.XLOOKUP(B18,'[1]Detail&lt;Child&gt;'!$A:$A,'[1]Detail&lt;Child&gt;'!$O:$O),'#참조'!R:R,'#참조'!S:S)</f>
        <v>1</v>
      </c>
      <c r="I18" s="1">
        <v>4</v>
      </c>
      <c r="J18" s="1">
        <v>3</v>
      </c>
      <c r="K18" s="1">
        <v>5</v>
      </c>
      <c r="L18" s="1">
        <v>14</v>
      </c>
      <c r="M18" s="2" t="s">
        <v>18</v>
      </c>
      <c r="N18" s="2" t="s">
        <v>407</v>
      </c>
      <c r="O18" s="2">
        <f t="shared" si="9"/>
        <v>6906</v>
      </c>
      <c r="P18" s="2" t="s">
        <v>56</v>
      </c>
      <c r="Q18" s="2" t="str">
        <f t="shared" si="1"/>
        <v>30290,36300</v>
      </c>
      <c r="R18" s="2">
        <f t="shared" si="10"/>
        <v>30290</v>
      </c>
      <c r="S18" s="2">
        <f t="shared" si="5"/>
        <v>36300</v>
      </c>
      <c r="T18" s="2" t="s">
        <v>57</v>
      </c>
      <c r="U18" s="2" t="str">
        <f t="shared" si="2"/>
        <v>1074,1300</v>
      </c>
      <c r="V18" s="2">
        <f t="shared" si="11"/>
        <v>1074</v>
      </c>
      <c r="W18" s="2">
        <f t="shared" si="6"/>
        <v>1300</v>
      </c>
      <c r="X18" s="2" t="s">
        <v>58</v>
      </c>
      <c r="Y18" s="2" t="str">
        <f t="shared" si="3"/>
        <v>2428,2900</v>
      </c>
      <c r="Z18" s="2">
        <f t="shared" si="12"/>
        <v>2428</v>
      </c>
      <c r="AA18" s="2">
        <f t="shared" si="7"/>
        <v>2900</v>
      </c>
      <c r="AB18" s="2">
        <v>80000</v>
      </c>
      <c r="AC18" s="2" t="e">
        <f>_xlfn.XLOOKUP($B18, '#참조'!$M:$M, '#참조'!$N:$N)</f>
        <v>#N/A</v>
      </c>
      <c r="AD18" s="2" t="e">
        <f t="shared" si="8"/>
        <v>#N/A</v>
      </c>
      <c r="AE18" s="2">
        <f t="shared" si="4"/>
        <v>1104</v>
      </c>
    </row>
    <row r="19" spans="1:31" x14ac:dyDescent="0.2">
      <c r="A19" s="2">
        <f t="shared" si="0"/>
        <v>10354015</v>
      </c>
      <c r="B19" s="1">
        <v>10000354</v>
      </c>
      <c r="C19" s="1" t="s">
        <v>281</v>
      </c>
      <c r="D19" s="1" t="s">
        <v>309</v>
      </c>
      <c r="E19" s="1" t="str">
        <f>"Persona_"&amp;_xlfn.XLOOKUP($B19, '#캐릭터'!$A:$A, '#캐릭터'!$C:$C)</f>
        <v>Persona_c354</v>
      </c>
      <c r="F19" s="1"/>
      <c r="G19" s="1">
        <f>_xlfn.XLOOKUP(_xlfn.XLOOKUP(B19,'[1]Detail&lt;Child&gt;'!$A:$A,'[1]Detail&lt;Child&gt;'!$N:$N),'#참조'!P:P,'#참조'!Q:Q)</f>
        <v>1</v>
      </c>
      <c r="H19" s="1">
        <f>_xlfn.XLOOKUP(_xlfn.XLOOKUP(B19,'[1]Detail&lt;Child&gt;'!$A:$A,'[1]Detail&lt;Child&gt;'!$O:$O),'#참조'!R:R,'#참조'!S:S)</f>
        <v>1</v>
      </c>
      <c r="I19" s="1">
        <v>5</v>
      </c>
      <c r="J19" s="1">
        <v>3</v>
      </c>
      <c r="K19" s="1">
        <v>5</v>
      </c>
      <c r="L19" s="1">
        <v>15</v>
      </c>
      <c r="M19" s="2" t="s">
        <v>19</v>
      </c>
      <c r="N19" s="2" t="s">
        <v>407</v>
      </c>
      <c r="O19" s="2">
        <f t="shared" si="9"/>
        <v>7597</v>
      </c>
      <c r="P19" s="2" t="s">
        <v>56</v>
      </c>
      <c r="Q19" s="2" t="str">
        <f t="shared" si="1"/>
        <v>39377,47300</v>
      </c>
      <c r="R19" s="2">
        <f t="shared" si="10"/>
        <v>39377</v>
      </c>
      <c r="S19" s="2">
        <f t="shared" si="5"/>
        <v>47300</v>
      </c>
      <c r="T19" s="2" t="s">
        <v>57</v>
      </c>
      <c r="U19" s="2" t="str">
        <f t="shared" si="2"/>
        <v>1289,1500</v>
      </c>
      <c r="V19" s="2">
        <f t="shared" si="11"/>
        <v>1289</v>
      </c>
      <c r="W19" s="2">
        <f t="shared" si="6"/>
        <v>1500</v>
      </c>
      <c r="X19" s="2" t="s">
        <v>58</v>
      </c>
      <c r="Y19" s="2" t="str">
        <f t="shared" si="3"/>
        <v>3156,3800</v>
      </c>
      <c r="Z19" s="2">
        <f t="shared" si="12"/>
        <v>3156</v>
      </c>
      <c r="AA19" s="2">
        <f t="shared" si="7"/>
        <v>3800</v>
      </c>
      <c r="AB19" s="2">
        <v>80000</v>
      </c>
      <c r="AC19" s="2" t="e">
        <f>_xlfn.XLOOKUP($B19, '#참조'!$M:$M, '#참조'!$N:$N)</f>
        <v>#N/A</v>
      </c>
      <c r="AD19" s="2" t="e">
        <f t="shared" si="8"/>
        <v>#N/A</v>
      </c>
      <c r="AE19" s="2">
        <f t="shared" si="4"/>
        <v>1105</v>
      </c>
    </row>
    <row r="20" spans="1:31" x14ac:dyDescent="0.2">
      <c r="A20" s="2">
        <f t="shared" si="0"/>
        <v>10354016</v>
      </c>
      <c r="B20" s="1">
        <v>10000354</v>
      </c>
      <c r="C20" s="1" t="s">
        <v>281</v>
      </c>
      <c r="D20" s="1" t="s">
        <v>309</v>
      </c>
      <c r="E20" s="1" t="str">
        <f>"Persona_"&amp;_xlfn.XLOOKUP($B20, '#캐릭터'!$A:$A, '#캐릭터'!$C:$C)</f>
        <v>Persona_c354</v>
      </c>
      <c r="F20" s="1"/>
      <c r="G20" s="1">
        <f>_xlfn.XLOOKUP(_xlfn.XLOOKUP(B20,'[1]Detail&lt;Child&gt;'!$A:$A,'[1]Detail&lt;Child&gt;'!$N:$N),'#참조'!P:P,'#참조'!Q:Q)</f>
        <v>1</v>
      </c>
      <c r="H20" s="1">
        <f>_xlfn.XLOOKUP(_xlfn.XLOOKUP(B20,'[1]Detail&lt;Child&gt;'!$A:$A,'[1]Detail&lt;Child&gt;'!$O:$O),'#참조'!R:R,'#참조'!S:S)</f>
        <v>1</v>
      </c>
      <c r="I20" s="1">
        <v>5</v>
      </c>
      <c r="J20" s="1">
        <v>3</v>
      </c>
      <c r="K20" s="1">
        <v>6</v>
      </c>
      <c r="L20" s="1">
        <v>16</v>
      </c>
      <c r="M20" s="2" t="s">
        <v>36</v>
      </c>
      <c r="N20" s="2" t="s">
        <v>407</v>
      </c>
      <c r="O20" s="2">
        <f t="shared" si="9"/>
        <v>8357</v>
      </c>
      <c r="P20" s="2" t="s">
        <v>56</v>
      </c>
      <c r="Q20" s="2" t="str">
        <f t="shared" si="1"/>
        <v>51190,61400</v>
      </c>
      <c r="R20" s="2">
        <f t="shared" si="10"/>
        <v>51190</v>
      </c>
      <c r="S20" s="2">
        <f t="shared" si="5"/>
        <v>61400</v>
      </c>
      <c r="T20" s="2" t="s">
        <v>57</v>
      </c>
      <c r="U20" s="2" t="str">
        <f t="shared" si="2"/>
        <v>1547,1900</v>
      </c>
      <c r="V20" s="2">
        <f t="shared" si="11"/>
        <v>1547</v>
      </c>
      <c r="W20" s="2">
        <f t="shared" si="6"/>
        <v>1900</v>
      </c>
      <c r="X20" s="2" t="s">
        <v>58</v>
      </c>
      <c r="Y20" s="2" t="str">
        <f t="shared" si="3"/>
        <v>4103,4900</v>
      </c>
      <c r="Z20" s="2">
        <f t="shared" si="12"/>
        <v>4103</v>
      </c>
      <c r="AA20" s="2">
        <f t="shared" si="7"/>
        <v>4900</v>
      </c>
      <c r="AB20" s="2">
        <v>75000</v>
      </c>
      <c r="AC20" s="2" t="e">
        <f>_xlfn.XLOOKUP($B20, '#참조'!$M:$M, '#참조'!$N:$N)</f>
        <v>#N/A</v>
      </c>
      <c r="AD20" s="2" t="e">
        <f t="shared" si="8"/>
        <v>#N/A</v>
      </c>
      <c r="AE20" s="2">
        <f t="shared" si="4"/>
        <v>1105</v>
      </c>
    </row>
    <row r="21" spans="1:31" x14ac:dyDescent="0.2">
      <c r="A21" s="2">
        <f t="shared" si="0"/>
        <v>10354017</v>
      </c>
      <c r="B21" s="1">
        <v>10000354</v>
      </c>
      <c r="C21" s="1" t="s">
        <v>281</v>
      </c>
      <c r="D21" s="1" t="s">
        <v>309</v>
      </c>
      <c r="E21" s="1" t="str">
        <f>"Persona_"&amp;_xlfn.XLOOKUP($B21, '#캐릭터'!$A:$A, '#캐릭터'!$C:$C)</f>
        <v>Persona_c354</v>
      </c>
      <c r="F21" s="1"/>
      <c r="G21" s="1">
        <f>_xlfn.XLOOKUP(_xlfn.XLOOKUP(B21,'[1]Detail&lt;Child&gt;'!$A:$A,'[1]Detail&lt;Child&gt;'!$N:$N),'#참조'!P:P,'#참조'!Q:Q)</f>
        <v>1</v>
      </c>
      <c r="H21" s="1">
        <f>_xlfn.XLOOKUP(_xlfn.XLOOKUP(B21,'[1]Detail&lt;Child&gt;'!$A:$A,'[1]Detail&lt;Child&gt;'!$O:$O),'#참조'!R:R,'#참조'!S:S)</f>
        <v>1</v>
      </c>
      <c r="I21" s="1">
        <v>6</v>
      </c>
      <c r="J21" s="1">
        <v>3</v>
      </c>
      <c r="K21" s="1">
        <v>6</v>
      </c>
      <c r="L21" s="1">
        <v>17</v>
      </c>
      <c r="M21" s="2" t="s">
        <v>21</v>
      </c>
      <c r="N21" s="2" t="s">
        <v>407</v>
      </c>
      <c r="O21" s="2">
        <f t="shared" si="9"/>
        <v>9193</v>
      </c>
      <c r="P21" s="2" t="s">
        <v>56</v>
      </c>
      <c r="Q21" s="2" t="str">
        <f t="shared" si="1"/>
        <v>66547,79900</v>
      </c>
      <c r="R21" s="2">
        <f t="shared" si="10"/>
        <v>66547</v>
      </c>
      <c r="S21" s="2">
        <f t="shared" si="5"/>
        <v>79900</v>
      </c>
      <c r="T21" s="2" t="s">
        <v>57</v>
      </c>
      <c r="U21" s="2" t="str">
        <f t="shared" si="2"/>
        <v>1856,2200</v>
      </c>
      <c r="V21" s="2">
        <f t="shared" si="11"/>
        <v>1856</v>
      </c>
      <c r="W21" s="2">
        <f t="shared" si="6"/>
        <v>2200</v>
      </c>
      <c r="X21" s="2" t="s">
        <v>58</v>
      </c>
      <c r="Y21" s="2" t="str">
        <f t="shared" si="3"/>
        <v>5334,6400</v>
      </c>
      <c r="Z21" s="2">
        <f t="shared" si="12"/>
        <v>5334</v>
      </c>
      <c r="AA21" s="2">
        <f t="shared" si="7"/>
        <v>6400</v>
      </c>
      <c r="AB21" s="2">
        <v>75000</v>
      </c>
      <c r="AC21" s="2" t="e">
        <f>_xlfn.XLOOKUP($B21, '#참조'!$M:$M, '#참조'!$N:$N)</f>
        <v>#N/A</v>
      </c>
      <c r="AD21" s="2" t="e">
        <f t="shared" si="8"/>
        <v>#N/A</v>
      </c>
      <c r="AE21" s="2">
        <f t="shared" si="4"/>
        <v>1106</v>
      </c>
    </row>
    <row r="22" spans="1:31" x14ac:dyDescent="0.2">
      <c r="A22" s="2">
        <f t="shared" si="0"/>
        <v>10354018</v>
      </c>
      <c r="B22" s="1">
        <v>10000354</v>
      </c>
      <c r="C22" s="1" t="s">
        <v>281</v>
      </c>
      <c r="D22" s="1" t="s">
        <v>309</v>
      </c>
      <c r="E22" s="1" t="str">
        <f>"Persona_"&amp;_xlfn.XLOOKUP($B22, '#캐릭터'!$A:$A, '#캐릭터'!$C:$C)</f>
        <v>Persona_c354</v>
      </c>
      <c r="F22" s="1"/>
      <c r="G22" s="1">
        <f>_xlfn.XLOOKUP(_xlfn.XLOOKUP(B22,'[1]Detail&lt;Child&gt;'!$A:$A,'[1]Detail&lt;Child&gt;'!$N:$N),'#참조'!P:P,'#참조'!Q:Q)</f>
        <v>1</v>
      </c>
      <c r="H22" s="1">
        <f>_xlfn.XLOOKUP(_xlfn.XLOOKUP(B22,'[1]Detail&lt;Child&gt;'!$A:$A,'[1]Detail&lt;Child&gt;'!$O:$O),'#참조'!R:R,'#참조'!S:S)</f>
        <v>1</v>
      </c>
      <c r="I22" s="1">
        <v>6</v>
      </c>
      <c r="J22" s="1">
        <v>3</v>
      </c>
      <c r="K22" s="1">
        <v>6</v>
      </c>
      <c r="L22" s="1">
        <v>18</v>
      </c>
      <c r="M22" s="2" t="s">
        <v>22</v>
      </c>
      <c r="N22" s="2" t="s">
        <v>407</v>
      </c>
      <c r="O22" s="2">
        <f t="shared" si="9"/>
        <v>10112</v>
      </c>
      <c r="P22" s="2" t="s">
        <v>56</v>
      </c>
      <c r="Q22" s="2" t="str">
        <f t="shared" si="1"/>
        <v>86511,103800</v>
      </c>
      <c r="R22" s="2">
        <f t="shared" si="10"/>
        <v>86511</v>
      </c>
      <c r="S22" s="2">
        <f t="shared" si="5"/>
        <v>103800</v>
      </c>
      <c r="T22" s="2" t="s">
        <v>57</v>
      </c>
      <c r="U22" s="2" t="str">
        <f t="shared" si="2"/>
        <v>2227,2700</v>
      </c>
      <c r="V22" s="2">
        <f t="shared" si="11"/>
        <v>2227</v>
      </c>
      <c r="W22" s="2">
        <f t="shared" si="6"/>
        <v>2700</v>
      </c>
      <c r="X22" s="2" t="s">
        <v>58</v>
      </c>
      <c r="Y22" s="2" t="str">
        <f t="shared" si="3"/>
        <v>6934,8300</v>
      </c>
      <c r="Z22" s="2">
        <f t="shared" si="12"/>
        <v>6934</v>
      </c>
      <c r="AA22" s="2">
        <f t="shared" si="7"/>
        <v>8300</v>
      </c>
      <c r="AB22" s="2">
        <v>75000</v>
      </c>
      <c r="AC22" s="2" t="e">
        <f>_xlfn.XLOOKUP($B22, '#참조'!$M:$M, '#참조'!$N:$N)</f>
        <v>#N/A</v>
      </c>
      <c r="AD22" s="2" t="e">
        <f t="shared" si="8"/>
        <v>#N/A</v>
      </c>
      <c r="AE22" s="2">
        <f t="shared" si="4"/>
        <v>1106</v>
      </c>
    </row>
    <row r="23" spans="1:31" x14ac:dyDescent="0.2">
      <c r="A23" s="2">
        <f t="shared" si="0"/>
        <v>10296000</v>
      </c>
      <c r="B23" s="1">
        <v>10000296</v>
      </c>
      <c r="C23" s="1" t="s">
        <v>281</v>
      </c>
      <c r="D23" s="1" t="s">
        <v>309</v>
      </c>
      <c r="E23" s="1" t="str">
        <f>"Persona_"&amp;_xlfn.XLOOKUP($B23, '#캐릭터'!$A:$A, '#캐릭터'!$C:$C)</f>
        <v>Persona_c296</v>
      </c>
      <c r="F23" s="1"/>
      <c r="G23" s="1">
        <f>_xlfn.XLOOKUP(_xlfn.XLOOKUP(B23,'[1]Detail&lt;Child&gt;'!$A:$A,'[1]Detail&lt;Child&gt;'!$N:$N),'#참조'!P:P,'#참조'!Q:Q)</f>
        <v>4</v>
      </c>
      <c r="H23" s="1">
        <f>_xlfn.XLOOKUP(_xlfn.XLOOKUP(B23,'[1]Detail&lt;Child&gt;'!$A:$A,'[1]Detail&lt;Child&gt;'!$O:$O),'#참조'!R:R,'#참조'!S:S)</f>
        <v>1</v>
      </c>
      <c r="I23" s="1">
        <v>0</v>
      </c>
      <c r="J23" s="1">
        <v>3</v>
      </c>
      <c r="K23" s="1">
        <v>0</v>
      </c>
      <c r="L23" s="1">
        <v>0</v>
      </c>
      <c r="M23" s="2" t="s">
        <v>2</v>
      </c>
      <c r="N23" s="2" t="s">
        <v>407</v>
      </c>
      <c r="O23" s="2">
        <v>0</v>
      </c>
      <c r="P23" s="2" t="s">
        <v>56</v>
      </c>
      <c r="Q23" s="2" t="str">
        <f t="shared" si="1"/>
        <v>1000,1000</v>
      </c>
      <c r="R23" s="2">
        <v>1000</v>
      </c>
      <c r="S23" s="2">
        <f t="shared" ref="S23" si="13">R23</f>
        <v>1000</v>
      </c>
      <c r="T23" s="2" t="s">
        <v>57</v>
      </c>
      <c r="U23" s="2" t="str">
        <f t="shared" si="2"/>
        <v>100,100</v>
      </c>
      <c r="V23" s="2">
        <v>100</v>
      </c>
      <c r="W23" s="2">
        <f t="shared" ref="W23" si="14">V23</f>
        <v>100</v>
      </c>
      <c r="X23" s="2" t="s">
        <v>58</v>
      </c>
      <c r="Y23" s="2" t="str">
        <f t="shared" si="3"/>
        <v>80,80</v>
      </c>
      <c r="Z23" s="2">
        <v>80</v>
      </c>
      <c r="AA23" s="2">
        <f t="shared" ref="AA23" si="15">Z23</f>
        <v>80</v>
      </c>
      <c r="AB23" s="2">
        <v>100000</v>
      </c>
      <c r="AE23" s="2">
        <f t="shared" si="4"/>
        <v>0</v>
      </c>
    </row>
    <row r="24" spans="1:31" x14ac:dyDescent="0.2">
      <c r="A24" s="2">
        <f t="shared" si="0"/>
        <v>10296001</v>
      </c>
      <c r="B24" s="1">
        <v>10000296</v>
      </c>
      <c r="C24" s="1" t="s">
        <v>281</v>
      </c>
      <c r="D24" s="1" t="s">
        <v>309</v>
      </c>
      <c r="E24" s="1" t="str">
        <f>"Persona_"&amp;_xlfn.XLOOKUP($B24, '#캐릭터'!$A:$A, '#캐릭터'!$C:$C)</f>
        <v>Persona_c296</v>
      </c>
      <c r="F24" s="1"/>
      <c r="G24" s="1">
        <f>_xlfn.XLOOKUP(_xlfn.XLOOKUP(B24,'[1]Detail&lt;Child&gt;'!$A:$A,'[1]Detail&lt;Child&gt;'!$N:$N),'#참조'!P:P,'#참조'!Q:Q)</f>
        <v>4</v>
      </c>
      <c r="H24" s="1">
        <f>_xlfn.XLOOKUP(_xlfn.XLOOKUP(B24,'[1]Detail&lt;Child&gt;'!$A:$A,'[1]Detail&lt;Child&gt;'!$O:$O),'#참조'!R:R,'#참조'!S:S)</f>
        <v>1</v>
      </c>
      <c r="I24" s="1">
        <v>0</v>
      </c>
      <c r="J24" s="1">
        <v>3</v>
      </c>
      <c r="K24" s="1">
        <v>1</v>
      </c>
      <c r="L24" s="1">
        <v>1</v>
      </c>
      <c r="M24" s="2" t="s">
        <v>5</v>
      </c>
      <c r="N24" s="2" t="s">
        <v>407</v>
      </c>
      <c r="O24" s="2">
        <v>2000</v>
      </c>
      <c r="P24" s="2" t="s">
        <v>56</v>
      </c>
      <c r="Q24" s="2" t="str">
        <f t="shared" si="1"/>
        <v>1000,1200</v>
      </c>
      <c r="R24" s="2">
        <v>1000</v>
      </c>
      <c r="S24" s="2">
        <f t="shared" ref="S24:S87" si="16">ROUND(R24*1.2, -2)</f>
        <v>1200</v>
      </c>
      <c r="T24" s="2" t="s">
        <v>57</v>
      </c>
      <c r="U24" s="2" t="str">
        <f t="shared" si="2"/>
        <v>100,100</v>
      </c>
      <c r="V24" s="2">
        <v>100</v>
      </c>
      <c r="W24" s="2">
        <f t="shared" ref="W24:W87" si="17">ROUND(V24*1.2, -2)</f>
        <v>100</v>
      </c>
      <c r="X24" s="2" t="s">
        <v>58</v>
      </c>
      <c r="Y24" s="2" t="str">
        <f t="shared" si="3"/>
        <v>80,100</v>
      </c>
      <c r="Z24" s="2">
        <v>80</v>
      </c>
      <c r="AA24" s="2">
        <f t="shared" ref="AA24:AA87" si="18">ROUND(Z24*1.2, -2)</f>
        <v>100</v>
      </c>
      <c r="AB24" s="2">
        <v>100000</v>
      </c>
      <c r="AC24" s="2" t="e">
        <f>_xlfn.XLOOKUP($B24, '#참조'!$M:$M, '#참조'!$N:$N)</f>
        <v>#N/A</v>
      </c>
      <c r="AD24" s="2" t="e">
        <f t="shared" ref="AD24:AD41" si="19">M24&amp;"_"&amp;AC24</f>
        <v>#N/A</v>
      </c>
      <c r="AE24" s="2">
        <f t="shared" si="4"/>
        <v>0</v>
      </c>
    </row>
    <row r="25" spans="1:31" x14ac:dyDescent="0.2">
      <c r="A25" s="2">
        <f t="shared" si="0"/>
        <v>10296002</v>
      </c>
      <c r="B25" s="1">
        <v>10000296</v>
      </c>
      <c r="C25" s="1" t="s">
        <v>281</v>
      </c>
      <c r="D25" s="1" t="s">
        <v>309</v>
      </c>
      <c r="E25" s="1" t="str">
        <f>"Persona_"&amp;_xlfn.XLOOKUP($B25, '#캐릭터'!$A:$A, '#캐릭터'!$C:$C)</f>
        <v>Persona_c296</v>
      </c>
      <c r="F25" s="1"/>
      <c r="G25" s="1">
        <f>_xlfn.XLOOKUP(_xlfn.XLOOKUP(B25,'[1]Detail&lt;Child&gt;'!$A:$A,'[1]Detail&lt;Child&gt;'!$N:$N),'#참조'!P:P,'#참조'!Q:Q)</f>
        <v>4</v>
      </c>
      <c r="H25" s="1">
        <f>_xlfn.XLOOKUP(_xlfn.XLOOKUP(B25,'[1]Detail&lt;Child&gt;'!$A:$A,'[1]Detail&lt;Child&gt;'!$O:$O),'#참조'!R:R,'#참조'!S:S)</f>
        <v>1</v>
      </c>
      <c r="I25" s="1">
        <v>0</v>
      </c>
      <c r="J25" s="1">
        <v>3</v>
      </c>
      <c r="K25" s="1">
        <v>1</v>
      </c>
      <c r="L25" s="1">
        <v>2</v>
      </c>
      <c r="M25" s="2" t="s">
        <v>6</v>
      </c>
      <c r="N25" s="2" t="s">
        <v>407</v>
      </c>
      <c r="O25" s="2">
        <f t="shared" ref="O25:O88" si="20">ROUND(O24*1.1, 0)</f>
        <v>2200</v>
      </c>
      <c r="P25" s="2" t="s">
        <v>56</v>
      </c>
      <c r="Q25" s="2" t="str">
        <f t="shared" si="1"/>
        <v>1300,1600</v>
      </c>
      <c r="R25" s="2">
        <f t="shared" ref="R25:R88" si="21">ROUND(R24*1.3, 0)</f>
        <v>1300</v>
      </c>
      <c r="S25" s="2">
        <f t="shared" si="16"/>
        <v>1600</v>
      </c>
      <c r="T25" s="2" t="s">
        <v>57</v>
      </c>
      <c r="U25" s="2" t="str">
        <f t="shared" si="2"/>
        <v>120,100</v>
      </c>
      <c r="V25" s="2">
        <f t="shared" ref="V25:V88" si="22">ROUND(V24*1.2, 0)</f>
        <v>120</v>
      </c>
      <c r="W25" s="2">
        <f t="shared" si="17"/>
        <v>100</v>
      </c>
      <c r="X25" s="2" t="s">
        <v>58</v>
      </c>
      <c r="Y25" s="2" t="str">
        <f t="shared" si="3"/>
        <v>104,100</v>
      </c>
      <c r="Z25" s="2">
        <f t="shared" ref="Z25:Z88" si="23">ROUND(Z24*1.3, 0)</f>
        <v>104</v>
      </c>
      <c r="AA25" s="2">
        <f t="shared" si="18"/>
        <v>100</v>
      </c>
      <c r="AB25" s="2">
        <v>100000</v>
      </c>
      <c r="AC25" s="2" t="e">
        <f>_xlfn.XLOOKUP($B25, '#참조'!$M:$M, '#참조'!$N:$N)</f>
        <v>#N/A</v>
      </c>
      <c r="AD25" s="2" t="e">
        <f t="shared" si="19"/>
        <v>#N/A</v>
      </c>
      <c r="AE25" s="2">
        <f t="shared" si="4"/>
        <v>0</v>
      </c>
    </row>
    <row r="26" spans="1:31" x14ac:dyDescent="0.2">
      <c r="A26" s="2">
        <f t="shared" si="0"/>
        <v>10296003</v>
      </c>
      <c r="B26" s="1">
        <v>10000296</v>
      </c>
      <c r="C26" s="1" t="s">
        <v>281</v>
      </c>
      <c r="D26" s="1" t="s">
        <v>309</v>
      </c>
      <c r="E26" s="1" t="str">
        <f>"Persona_"&amp;_xlfn.XLOOKUP($B26, '#캐릭터'!$A:$A, '#캐릭터'!$C:$C)</f>
        <v>Persona_c296</v>
      </c>
      <c r="F26" s="1"/>
      <c r="G26" s="1">
        <f>_xlfn.XLOOKUP(_xlfn.XLOOKUP(B26,'[1]Detail&lt;Child&gt;'!$A:$A,'[1]Detail&lt;Child&gt;'!$N:$N),'#참조'!P:P,'#참조'!Q:Q)</f>
        <v>4</v>
      </c>
      <c r="H26" s="1">
        <f>_xlfn.XLOOKUP(_xlfn.XLOOKUP(B26,'[1]Detail&lt;Child&gt;'!$A:$A,'[1]Detail&lt;Child&gt;'!$O:$O),'#참조'!R:R,'#참조'!S:S)</f>
        <v>1</v>
      </c>
      <c r="I26" s="1">
        <v>0</v>
      </c>
      <c r="J26" s="1">
        <v>3</v>
      </c>
      <c r="K26" s="1">
        <v>1</v>
      </c>
      <c r="L26" s="1">
        <v>3</v>
      </c>
      <c r="M26" s="2" t="s">
        <v>7</v>
      </c>
      <c r="N26" s="2" t="s">
        <v>407</v>
      </c>
      <c r="O26" s="2">
        <f t="shared" si="20"/>
        <v>2420</v>
      </c>
      <c r="P26" s="2" t="s">
        <v>56</v>
      </c>
      <c r="Q26" s="2" t="str">
        <f t="shared" si="1"/>
        <v>1690,2000</v>
      </c>
      <c r="R26" s="2">
        <f t="shared" si="21"/>
        <v>1690</v>
      </c>
      <c r="S26" s="2">
        <f t="shared" si="16"/>
        <v>2000</v>
      </c>
      <c r="T26" s="2" t="s">
        <v>57</v>
      </c>
      <c r="U26" s="2" t="str">
        <f t="shared" si="2"/>
        <v>144,200</v>
      </c>
      <c r="V26" s="2">
        <f t="shared" si="22"/>
        <v>144</v>
      </c>
      <c r="W26" s="2">
        <f t="shared" si="17"/>
        <v>200</v>
      </c>
      <c r="X26" s="2" t="s">
        <v>58</v>
      </c>
      <c r="Y26" s="2" t="str">
        <f t="shared" si="3"/>
        <v>135,200</v>
      </c>
      <c r="Z26" s="2">
        <f t="shared" si="23"/>
        <v>135</v>
      </c>
      <c r="AA26" s="2">
        <f t="shared" si="18"/>
        <v>200</v>
      </c>
      <c r="AB26" s="2">
        <v>100000</v>
      </c>
      <c r="AC26" s="2" t="e">
        <f>_xlfn.XLOOKUP($B26, '#참조'!$M:$M, '#참조'!$N:$N)</f>
        <v>#N/A</v>
      </c>
      <c r="AD26" s="2" t="e">
        <f t="shared" si="19"/>
        <v>#N/A</v>
      </c>
      <c r="AE26" s="2">
        <f t="shared" si="4"/>
        <v>0</v>
      </c>
    </row>
    <row r="27" spans="1:31" x14ac:dyDescent="0.2">
      <c r="A27" s="2">
        <f t="shared" si="0"/>
        <v>10296004</v>
      </c>
      <c r="B27" s="1">
        <v>10000296</v>
      </c>
      <c r="C27" s="1" t="s">
        <v>281</v>
      </c>
      <c r="D27" s="1" t="s">
        <v>309</v>
      </c>
      <c r="E27" s="1" t="str">
        <f>"Persona_"&amp;_xlfn.XLOOKUP($B27, '#캐릭터'!$A:$A, '#캐릭터'!$C:$C)</f>
        <v>Persona_c296</v>
      </c>
      <c r="F27" s="1"/>
      <c r="G27" s="1">
        <f>_xlfn.XLOOKUP(_xlfn.XLOOKUP(B27,'[1]Detail&lt;Child&gt;'!$A:$A,'[1]Detail&lt;Child&gt;'!$N:$N),'#참조'!P:P,'#참조'!Q:Q)</f>
        <v>4</v>
      </c>
      <c r="H27" s="1">
        <f>_xlfn.XLOOKUP(_xlfn.XLOOKUP(B27,'[1]Detail&lt;Child&gt;'!$A:$A,'[1]Detail&lt;Child&gt;'!$O:$O),'#참조'!R:R,'#참조'!S:S)</f>
        <v>1</v>
      </c>
      <c r="I27" s="1">
        <v>0</v>
      </c>
      <c r="J27" s="1">
        <v>3</v>
      </c>
      <c r="K27" s="1">
        <v>2</v>
      </c>
      <c r="L27" s="1">
        <v>4</v>
      </c>
      <c r="M27" s="2" t="s">
        <v>8</v>
      </c>
      <c r="N27" s="2" t="s">
        <v>407</v>
      </c>
      <c r="O27" s="2">
        <f t="shared" si="20"/>
        <v>2662</v>
      </c>
      <c r="P27" s="2" t="s">
        <v>56</v>
      </c>
      <c r="Q27" s="2" t="str">
        <f t="shared" si="1"/>
        <v>2197,2600</v>
      </c>
      <c r="R27" s="2">
        <f t="shared" si="21"/>
        <v>2197</v>
      </c>
      <c r="S27" s="2">
        <f t="shared" si="16"/>
        <v>2600</v>
      </c>
      <c r="T27" s="2" t="s">
        <v>57</v>
      </c>
      <c r="U27" s="2" t="str">
        <f t="shared" si="2"/>
        <v>173,200</v>
      </c>
      <c r="V27" s="2">
        <f t="shared" si="22"/>
        <v>173</v>
      </c>
      <c r="W27" s="2">
        <f t="shared" si="17"/>
        <v>200</v>
      </c>
      <c r="X27" s="2" t="s">
        <v>58</v>
      </c>
      <c r="Y27" s="2" t="str">
        <f t="shared" si="3"/>
        <v>176,200</v>
      </c>
      <c r="Z27" s="2">
        <f t="shared" si="23"/>
        <v>176</v>
      </c>
      <c r="AA27" s="2">
        <f t="shared" si="18"/>
        <v>200</v>
      </c>
      <c r="AB27" s="2">
        <v>95000</v>
      </c>
      <c r="AC27" s="2" t="e">
        <f>_xlfn.XLOOKUP($B27, '#참조'!$M:$M, '#참조'!$N:$N)</f>
        <v>#N/A</v>
      </c>
      <c r="AD27" s="2" t="e">
        <f t="shared" si="19"/>
        <v>#N/A</v>
      </c>
      <c r="AE27" s="2">
        <f t="shared" si="4"/>
        <v>0</v>
      </c>
    </row>
    <row r="28" spans="1:31" x14ac:dyDescent="0.2">
      <c r="A28" s="2">
        <f t="shared" si="0"/>
        <v>10296005</v>
      </c>
      <c r="B28" s="1">
        <v>10000296</v>
      </c>
      <c r="C28" s="1" t="s">
        <v>281</v>
      </c>
      <c r="D28" s="1" t="s">
        <v>309</v>
      </c>
      <c r="E28" s="1" t="str">
        <f>"Persona_"&amp;_xlfn.XLOOKUP($B28, '#캐릭터'!$A:$A, '#캐릭터'!$C:$C)</f>
        <v>Persona_c296</v>
      </c>
      <c r="F28" s="1"/>
      <c r="G28" s="1">
        <f>_xlfn.XLOOKUP(_xlfn.XLOOKUP(B28,'[1]Detail&lt;Child&gt;'!$A:$A,'[1]Detail&lt;Child&gt;'!$N:$N),'#참조'!P:P,'#참조'!Q:Q)</f>
        <v>4</v>
      </c>
      <c r="H28" s="1">
        <f>_xlfn.XLOOKUP(_xlfn.XLOOKUP(B28,'[1]Detail&lt;Child&gt;'!$A:$A,'[1]Detail&lt;Child&gt;'!$O:$O),'#참조'!R:R,'#참조'!S:S)</f>
        <v>1</v>
      </c>
      <c r="I28" s="1">
        <v>0</v>
      </c>
      <c r="J28" s="1">
        <v>3</v>
      </c>
      <c r="K28" s="1">
        <v>2</v>
      </c>
      <c r="L28" s="1">
        <v>5</v>
      </c>
      <c r="M28" s="2" t="s">
        <v>9</v>
      </c>
      <c r="N28" s="2" t="s">
        <v>407</v>
      </c>
      <c r="O28" s="2">
        <f t="shared" si="20"/>
        <v>2928</v>
      </c>
      <c r="P28" s="2" t="s">
        <v>56</v>
      </c>
      <c r="Q28" s="2" t="str">
        <f t="shared" si="1"/>
        <v>2856,3400</v>
      </c>
      <c r="R28" s="2">
        <f t="shared" si="21"/>
        <v>2856</v>
      </c>
      <c r="S28" s="2">
        <f t="shared" si="16"/>
        <v>3400</v>
      </c>
      <c r="T28" s="2" t="s">
        <v>57</v>
      </c>
      <c r="U28" s="2" t="str">
        <f t="shared" si="2"/>
        <v>208,200</v>
      </c>
      <c r="V28" s="2">
        <f t="shared" si="22"/>
        <v>208</v>
      </c>
      <c r="W28" s="2">
        <f t="shared" si="17"/>
        <v>200</v>
      </c>
      <c r="X28" s="2" t="s">
        <v>58</v>
      </c>
      <c r="Y28" s="2" t="str">
        <f t="shared" si="3"/>
        <v>229,300</v>
      </c>
      <c r="Z28" s="2">
        <f t="shared" si="23"/>
        <v>229</v>
      </c>
      <c r="AA28" s="2">
        <f t="shared" si="18"/>
        <v>300</v>
      </c>
      <c r="AB28" s="2">
        <v>95000</v>
      </c>
      <c r="AC28" s="2" t="e">
        <f>_xlfn.XLOOKUP($B28, '#참조'!$M:$M, '#참조'!$N:$N)</f>
        <v>#N/A</v>
      </c>
      <c r="AD28" s="2" t="e">
        <f t="shared" si="19"/>
        <v>#N/A</v>
      </c>
      <c r="AE28" s="2">
        <f t="shared" si="4"/>
        <v>0</v>
      </c>
    </row>
    <row r="29" spans="1:31" x14ac:dyDescent="0.2">
      <c r="A29" s="2">
        <f t="shared" si="0"/>
        <v>10296006</v>
      </c>
      <c r="B29" s="1">
        <v>10000296</v>
      </c>
      <c r="C29" s="1" t="s">
        <v>281</v>
      </c>
      <c r="D29" s="1" t="s">
        <v>309</v>
      </c>
      <c r="E29" s="1" t="str">
        <f>"Persona_"&amp;_xlfn.XLOOKUP($B29, '#캐릭터'!$A:$A, '#캐릭터'!$C:$C)</f>
        <v>Persona_c296</v>
      </c>
      <c r="F29" s="1"/>
      <c r="G29" s="1">
        <f>_xlfn.XLOOKUP(_xlfn.XLOOKUP(B29,'[1]Detail&lt;Child&gt;'!$A:$A,'[1]Detail&lt;Child&gt;'!$N:$N),'#참조'!P:P,'#참조'!Q:Q)</f>
        <v>4</v>
      </c>
      <c r="H29" s="1">
        <f>_xlfn.XLOOKUP(_xlfn.XLOOKUP(B29,'[1]Detail&lt;Child&gt;'!$A:$A,'[1]Detail&lt;Child&gt;'!$O:$O),'#참조'!R:R,'#참조'!S:S)</f>
        <v>1</v>
      </c>
      <c r="I29" s="1">
        <v>0</v>
      </c>
      <c r="J29" s="1">
        <v>3</v>
      </c>
      <c r="K29" s="1">
        <v>2</v>
      </c>
      <c r="L29" s="1">
        <v>6</v>
      </c>
      <c r="M29" s="2" t="s">
        <v>10</v>
      </c>
      <c r="N29" s="2" t="s">
        <v>407</v>
      </c>
      <c r="O29" s="2">
        <f t="shared" si="20"/>
        <v>3221</v>
      </c>
      <c r="P29" s="2" t="s">
        <v>56</v>
      </c>
      <c r="Q29" s="2" t="str">
        <f t="shared" si="1"/>
        <v>3713,4500</v>
      </c>
      <c r="R29" s="2">
        <f t="shared" si="21"/>
        <v>3713</v>
      </c>
      <c r="S29" s="2">
        <f t="shared" si="16"/>
        <v>4500</v>
      </c>
      <c r="T29" s="2" t="s">
        <v>57</v>
      </c>
      <c r="U29" s="2" t="str">
        <f t="shared" si="2"/>
        <v>250,300</v>
      </c>
      <c r="V29" s="2">
        <f t="shared" si="22"/>
        <v>250</v>
      </c>
      <c r="W29" s="2">
        <f t="shared" si="17"/>
        <v>300</v>
      </c>
      <c r="X29" s="2" t="s">
        <v>58</v>
      </c>
      <c r="Y29" s="2" t="str">
        <f t="shared" si="3"/>
        <v>298,400</v>
      </c>
      <c r="Z29" s="2">
        <f t="shared" si="23"/>
        <v>298</v>
      </c>
      <c r="AA29" s="2">
        <f t="shared" si="18"/>
        <v>400</v>
      </c>
      <c r="AB29" s="2">
        <v>95000</v>
      </c>
      <c r="AC29" s="2" t="e">
        <f>_xlfn.XLOOKUP($B29, '#참조'!$M:$M, '#참조'!$N:$N)</f>
        <v>#N/A</v>
      </c>
      <c r="AD29" s="2" t="e">
        <f t="shared" si="19"/>
        <v>#N/A</v>
      </c>
      <c r="AE29" s="2">
        <f t="shared" si="4"/>
        <v>0</v>
      </c>
    </row>
    <row r="30" spans="1:31" x14ac:dyDescent="0.2">
      <c r="A30" s="2">
        <f t="shared" si="0"/>
        <v>10296007</v>
      </c>
      <c r="B30" s="1">
        <v>10000296</v>
      </c>
      <c r="C30" s="1" t="s">
        <v>281</v>
      </c>
      <c r="D30" s="1" t="s">
        <v>309</v>
      </c>
      <c r="E30" s="1" t="str">
        <f>"Persona_"&amp;_xlfn.XLOOKUP($B30, '#캐릭터'!$A:$A, '#캐릭터'!$C:$C)</f>
        <v>Persona_c296</v>
      </c>
      <c r="F30" s="1"/>
      <c r="G30" s="1">
        <f>_xlfn.XLOOKUP(_xlfn.XLOOKUP(B30,'[1]Detail&lt;Child&gt;'!$A:$A,'[1]Detail&lt;Child&gt;'!$N:$N),'#참조'!P:P,'#참조'!Q:Q)</f>
        <v>4</v>
      </c>
      <c r="H30" s="1">
        <f>_xlfn.XLOOKUP(_xlfn.XLOOKUP(B30,'[1]Detail&lt;Child&gt;'!$A:$A,'[1]Detail&lt;Child&gt;'!$O:$O),'#참조'!R:R,'#참조'!S:S)</f>
        <v>1</v>
      </c>
      <c r="I30" s="1">
        <v>1</v>
      </c>
      <c r="J30" s="1">
        <v>3</v>
      </c>
      <c r="K30" s="1">
        <v>3</v>
      </c>
      <c r="L30" s="1">
        <v>7</v>
      </c>
      <c r="M30" s="2" t="s">
        <v>11</v>
      </c>
      <c r="N30" s="2" t="s">
        <v>407</v>
      </c>
      <c r="O30" s="2">
        <f t="shared" si="20"/>
        <v>3543</v>
      </c>
      <c r="P30" s="2" t="s">
        <v>56</v>
      </c>
      <c r="Q30" s="2" t="str">
        <f t="shared" si="1"/>
        <v>4827,5800</v>
      </c>
      <c r="R30" s="2">
        <f t="shared" si="21"/>
        <v>4827</v>
      </c>
      <c r="S30" s="2">
        <f t="shared" si="16"/>
        <v>5800</v>
      </c>
      <c r="T30" s="2" t="s">
        <v>57</v>
      </c>
      <c r="U30" s="2" t="str">
        <f t="shared" si="2"/>
        <v>300,400</v>
      </c>
      <c r="V30" s="2">
        <f t="shared" si="22"/>
        <v>300</v>
      </c>
      <c r="W30" s="2">
        <f t="shared" si="17"/>
        <v>400</v>
      </c>
      <c r="X30" s="2" t="s">
        <v>58</v>
      </c>
      <c r="Y30" s="2" t="str">
        <f t="shared" si="3"/>
        <v>387,500</v>
      </c>
      <c r="Z30" s="2">
        <f t="shared" si="23"/>
        <v>387</v>
      </c>
      <c r="AA30" s="2">
        <f t="shared" si="18"/>
        <v>500</v>
      </c>
      <c r="AB30" s="2">
        <v>90000</v>
      </c>
      <c r="AC30" s="2" t="e">
        <f>_xlfn.XLOOKUP($B30, '#참조'!$M:$M, '#참조'!$N:$N)</f>
        <v>#N/A</v>
      </c>
      <c r="AD30" s="2" t="e">
        <f t="shared" si="19"/>
        <v>#N/A</v>
      </c>
      <c r="AE30" s="2">
        <f t="shared" si="4"/>
        <v>4101</v>
      </c>
    </row>
    <row r="31" spans="1:31" x14ac:dyDescent="0.2">
      <c r="A31" s="2">
        <f t="shared" si="0"/>
        <v>10296008</v>
      </c>
      <c r="B31" s="1">
        <v>10000296</v>
      </c>
      <c r="C31" s="1" t="s">
        <v>281</v>
      </c>
      <c r="D31" s="1" t="s">
        <v>309</v>
      </c>
      <c r="E31" s="1" t="str">
        <f>"Persona_"&amp;_xlfn.XLOOKUP($B31, '#캐릭터'!$A:$A, '#캐릭터'!$C:$C)</f>
        <v>Persona_c296</v>
      </c>
      <c r="F31" s="1"/>
      <c r="G31" s="1">
        <f>_xlfn.XLOOKUP(_xlfn.XLOOKUP(B31,'[1]Detail&lt;Child&gt;'!$A:$A,'[1]Detail&lt;Child&gt;'!$N:$N),'#참조'!P:P,'#참조'!Q:Q)</f>
        <v>4</v>
      </c>
      <c r="H31" s="1">
        <f>_xlfn.XLOOKUP(_xlfn.XLOOKUP(B31,'[1]Detail&lt;Child&gt;'!$A:$A,'[1]Detail&lt;Child&gt;'!$O:$O),'#참조'!R:R,'#참조'!S:S)</f>
        <v>1</v>
      </c>
      <c r="I31" s="1">
        <v>1</v>
      </c>
      <c r="J31" s="1">
        <v>3</v>
      </c>
      <c r="K31" s="1">
        <v>3</v>
      </c>
      <c r="L31" s="1">
        <v>8</v>
      </c>
      <c r="M31" s="2" t="s">
        <v>12</v>
      </c>
      <c r="N31" s="2" t="s">
        <v>407</v>
      </c>
      <c r="O31" s="2">
        <f t="shared" si="20"/>
        <v>3897</v>
      </c>
      <c r="P31" s="2" t="s">
        <v>56</v>
      </c>
      <c r="Q31" s="2" t="str">
        <f t="shared" si="1"/>
        <v>6275,7500</v>
      </c>
      <c r="R31" s="2">
        <f t="shared" si="21"/>
        <v>6275</v>
      </c>
      <c r="S31" s="2">
        <f t="shared" si="16"/>
        <v>7500</v>
      </c>
      <c r="T31" s="2" t="s">
        <v>57</v>
      </c>
      <c r="U31" s="2" t="str">
        <f t="shared" si="2"/>
        <v>360,400</v>
      </c>
      <c r="V31" s="2">
        <f t="shared" si="22"/>
        <v>360</v>
      </c>
      <c r="W31" s="2">
        <f t="shared" si="17"/>
        <v>400</v>
      </c>
      <c r="X31" s="2" t="s">
        <v>58</v>
      </c>
      <c r="Y31" s="2" t="str">
        <f t="shared" si="3"/>
        <v>503,600</v>
      </c>
      <c r="Z31" s="2">
        <f t="shared" si="23"/>
        <v>503</v>
      </c>
      <c r="AA31" s="2">
        <f t="shared" si="18"/>
        <v>600</v>
      </c>
      <c r="AB31" s="2">
        <v>90000</v>
      </c>
      <c r="AC31" s="2" t="e">
        <f>_xlfn.XLOOKUP($B31, '#참조'!$M:$M, '#참조'!$N:$N)</f>
        <v>#N/A</v>
      </c>
      <c r="AD31" s="2" t="e">
        <f t="shared" si="19"/>
        <v>#N/A</v>
      </c>
      <c r="AE31" s="2">
        <f t="shared" si="4"/>
        <v>4101</v>
      </c>
    </row>
    <row r="32" spans="1:31" x14ac:dyDescent="0.2">
      <c r="A32" s="2">
        <f t="shared" si="0"/>
        <v>10296009</v>
      </c>
      <c r="B32" s="1">
        <v>10000296</v>
      </c>
      <c r="C32" s="1" t="s">
        <v>281</v>
      </c>
      <c r="D32" s="1" t="s">
        <v>309</v>
      </c>
      <c r="E32" s="1" t="str">
        <f>"Persona_"&amp;_xlfn.XLOOKUP($B32, '#캐릭터'!$A:$A, '#캐릭터'!$C:$C)</f>
        <v>Persona_c296</v>
      </c>
      <c r="F32" s="1"/>
      <c r="G32" s="1">
        <f>_xlfn.XLOOKUP(_xlfn.XLOOKUP(B32,'[1]Detail&lt;Child&gt;'!$A:$A,'[1]Detail&lt;Child&gt;'!$N:$N),'#참조'!P:P,'#참조'!Q:Q)</f>
        <v>4</v>
      </c>
      <c r="H32" s="1">
        <f>_xlfn.XLOOKUP(_xlfn.XLOOKUP(B32,'[1]Detail&lt;Child&gt;'!$A:$A,'[1]Detail&lt;Child&gt;'!$O:$O),'#참조'!R:R,'#참조'!S:S)</f>
        <v>1</v>
      </c>
      <c r="I32" s="1">
        <v>2</v>
      </c>
      <c r="J32" s="1">
        <v>3</v>
      </c>
      <c r="K32" s="1">
        <v>3</v>
      </c>
      <c r="L32" s="1">
        <v>9</v>
      </c>
      <c r="M32" s="2" t="s">
        <v>13</v>
      </c>
      <c r="N32" s="2" t="s">
        <v>407</v>
      </c>
      <c r="O32" s="2">
        <f t="shared" si="20"/>
        <v>4287</v>
      </c>
      <c r="P32" s="2" t="s">
        <v>56</v>
      </c>
      <c r="Q32" s="2" t="str">
        <f t="shared" si="1"/>
        <v>8158,9800</v>
      </c>
      <c r="R32" s="2">
        <f t="shared" si="21"/>
        <v>8158</v>
      </c>
      <c r="S32" s="2">
        <f t="shared" si="16"/>
        <v>9800</v>
      </c>
      <c r="T32" s="2" t="s">
        <v>57</v>
      </c>
      <c r="U32" s="2" t="str">
        <f t="shared" si="2"/>
        <v>432,500</v>
      </c>
      <c r="V32" s="2">
        <f t="shared" si="22"/>
        <v>432</v>
      </c>
      <c r="W32" s="2">
        <f t="shared" si="17"/>
        <v>500</v>
      </c>
      <c r="X32" s="2" t="s">
        <v>58</v>
      </c>
      <c r="Y32" s="2" t="str">
        <f t="shared" si="3"/>
        <v>654,800</v>
      </c>
      <c r="Z32" s="2">
        <f t="shared" si="23"/>
        <v>654</v>
      </c>
      <c r="AA32" s="2">
        <f t="shared" si="18"/>
        <v>800</v>
      </c>
      <c r="AB32" s="2">
        <v>90000</v>
      </c>
      <c r="AC32" s="2" t="e">
        <f>_xlfn.XLOOKUP($B32, '#참조'!$M:$M, '#참조'!$N:$N)</f>
        <v>#N/A</v>
      </c>
      <c r="AD32" s="2" t="e">
        <f t="shared" si="19"/>
        <v>#N/A</v>
      </c>
      <c r="AE32" s="2">
        <f t="shared" si="4"/>
        <v>4102</v>
      </c>
    </row>
    <row r="33" spans="1:31" x14ac:dyDescent="0.2">
      <c r="A33" s="2">
        <f t="shared" si="0"/>
        <v>10296010</v>
      </c>
      <c r="B33" s="1">
        <v>10000296</v>
      </c>
      <c r="C33" s="1" t="s">
        <v>281</v>
      </c>
      <c r="D33" s="1" t="s">
        <v>309</v>
      </c>
      <c r="E33" s="1" t="str">
        <f>"Persona_"&amp;_xlfn.XLOOKUP($B33, '#캐릭터'!$A:$A, '#캐릭터'!$C:$C)</f>
        <v>Persona_c296</v>
      </c>
      <c r="F33" s="1"/>
      <c r="G33" s="1">
        <f>_xlfn.XLOOKUP(_xlfn.XLOOKUP(B33,'[1]Detail&lt;Child&gt;'!$A:$A,'[1]Detail&lt;Child&gt;'!$N:$N),'#참조'!P:P,'#참조'!Q:Q)</f>
        <v>4</v>
      </c>
      <c r="H33" s="1">
        <f>_xlfn.XLOOKUP(_xlfn.XLOOKUP(B33,'[1]Detail&lt;Child&gt;'!$A:$A,'[1]Detail&lt;Child&gt;'!$O:$O),'#참조'!R:R,'#참조'!S:S)</f>
        <v>1</v>
      </c>
      <c r="I33" s="1">
        <v>2</v>
      </c>
      <c r="J33" s="1">
        <v>3</v>
      </c>
      <c r="K33" s="1">
        <v>4</v>
      </c>
      <c r="L33" s="1">
        <v>10</v>
      </c>
      <c r="M33" s="2" t="s">
        <v>14</v>
      </c>
      <c r="N33" s="2" t="s">
        <v>407</v>
      </c>
      <c r="O33" s="2">
        <f t="shared" si="20"/>
        <v>4716</v>
      </c>
      <c r="P33" s="2" t="s">
        <v>56</v>
      </c>
      <c r="Q33" s="2" t="str">
        <f t="shared" si="1"/>
        <v>10605,12700</v>
      </c>
      <c r="R33" s="2">
        <f t="shared" si="21"/>
        <v>10605</v>
      </c>
      <c r="S33" s="2">
        <f t="shared" si="16"/>
        <v>12700</v>
      </c>
      <c r="T33" s="2" t="s">
        <v>57</v>
      </c>
      <c r="U33" s="2" t="str">
        <f t="shared" si="2"/>
        <v>518,600</v>
      </c>
      <c r="V33" s="2">
        <f t="shared" si="22"/>
        <v>518</v>
      </c>
      <c r="W33" s="2">
        <f t="shared" si="17"/>
        <v>600</v>
      </c>
      <c r="X33" s="2" t="s">
        <v>58</v>
      </c>
      <c r="Y33" s="2" t="str">
        <f t="shared" si="3"/>
        <v>850,1000</v>
      </c>
      <c r="Z33" s="2">
        <f t="shared" si="23"/>
        <v>850</v>
      </c>
      <c r="AA33" s="2">
        <f t="shared" si="18"/>
        <v>1000</v>
      </c>
      <c r="AB33" s="2">
        <v>85000</v>
      </c>
      <c r="AC33" s="2" t="e">
        <f>_xlfn.XLOOKUP($B33, '#참조'!$M:$M, '#참조'!$N:$N)</f>
        <v>#N/A</v>
      </c>
      <c r="AD33" s="2" t="e">
        <f t="shared" si="19"/>
        <v>#N/A</v>
      </c>
      <c r="AE33" s="2">
        <f t="shared" si="4"/>
        <v>4102</v>
      </c>
    </row>
    <row r="34" spans="1:31" x14ac:dyDescent="0.2">
      <c r="A34" s="2">
        <f t="shared" si="0"/>
        <v>10296011</v>
      </c>
      <c r="B34" s="1">
        <v>10000296</v>
      </c>
      <c r="C34" s="1" t="s">
        <v>281</v>
      </c>
      <c r="D34" s="1" t="s">
        <v>309</v>
      </c>
      <c r="E34" s="1" t="str">
        <f>"Persona_"&amp;_xlfn.XLOOKUP($B34, '#캐릭터'!$A:$A, '#캐릭터'!$C:$C)</f>
        <v>Persona_c296</v>
      </c>
      <c r="F34" s="1"/>
      <c r="G34" s="1">
        <f>_xlfn.XLOOKUP(_xlfn.XLOOKUP(B34,'[1]Detail&lt;Child&gt;'!$A:$A,'[1]Detail&lt;Child&gt;'!$N:$N),'#참조'!P:P,'#참조'!Q:Q)</f>
        <v>4</v>
      </c>
      <c r="H34" s="1">
        <f>_xlfn.XLOOKUP(_xlfn.XLOOKUP(B34,'[1]Detail&lt;Child&gt;'!$A:$A,'[1]Detail&lt;Child&gt;'!$O:$O),'#참조'!R:R,'#참조'!S:S)</f>
        <v>1</v>
      </c>
      <c r="I34" s="1">
        <v>3</v>
      </c>
      <c r="J34" s="1">
        <v>3</v>
      </c>
      <c r="K34" s="1">
        <v>4</v>
      </c>
      <c r="L34" s="1">
        <v>11</v>
      </c>
      <c r="M34" s="2" t="s">
        <v>15</v>
      </c>
      <c r="N34" s="2" t="s">
        <v>407</v>
      </c>
      <c r="O34" s="2">
        <f t="shared" si="20"/>
        <v>5188</v>
      </c>
      <c r="P34" s="2" t="s">
        <v>56</v>
      </c>
      <c r="Q34" s="2" t="str">
        <f t="shared" si="1"/>
        <v>13787,16500</v>
      </c>
      <c r="R34" s="2">
        <f t="shared" si="21"/>
        <v>13787</v>
      </c>
      <c r="S34" s="2">
        <f t="shared" si="16"/>
        <v>16500</v>
      </c>
      <c r="T34" s="2" t="s">
        <v>57</v>
      </c>
      <c r="U34" s="2" t="str">
        <f t="shared" si="2"/>
        <v>622,700</v>
      </c>
      <c r="V34" s="2">
        <f t="shared" si="22"/>
        <v>622</v>
      </c>
      <c r="W34" s="2">
        <f t="shared" si="17"/>
        <v>700</v>
      </c>
      <c r="X34" s="2" t="s">
        <v>58</v>
      </c>
      <c r="Y34" s="2" t="str">
        <f t="shared" si="3"/>
        <v>1105,1300</v>
      </c>
      <c r="Z34" s="2">
        <f t="shared" si="23"/>
        <v>1105</v>
      </c>
      <c r="AA34" s="2">
        <f t="shared" si="18"/>
        <v>1300</v>
      </c>
      <c r="AB34" s="2">
        <v>85000</v>
      </c>
      <c r="AC34" s="2" t="e">
        <f>_xlfn.XLOOKUP($B34, '#참조'!$M:$M, '#참조'!$N:$N)</f>
        <v>#N/A</v>
      </c>
      <c r="AD34" s="2" t="e">
        <f t="shared" si="19"/>
        <v>#N/A</v>
      </c>
      <c r="AE34" s="2">
        <f t="shared" si="4"/>
        <v>4103</v>
      </c>
    </row>
    <row r="35" spans="1:31" x14ac:dyDescent="0.2">
      <c r="A35" s="2">
        <f t="shared" si="0"/>
        <v>10296012</v>
      </c>
      <c r="B35" s="1">
        <v>10000296</v>
      </c>
      <c r="C35" s="1" t="s">
        <v>281</v>
      </c>
      <c r="D35" s="1" t="s">
        <v>309</v>
      </c>
      <c r="E35" s="1" t="str">
        <f>"Persona_"&amp;_xlfn.XLOOKUP($B35, '#캐릭터'!$A:$A, '#캐릭터'!$C:$C)</f>
        <v>Persona_c296</v>
      </c>
      <c r="F35" s="1"/>
      <c r="G35" s="1">
        <f>_xlfn.XLOOKUP(_xlfn.XLOOKUP(B35,'[1]Detail&lt;Child&gt;'!$A:$A,'[1]Detail&lt;Child&gt;'!$N:$N),'#참조'!P:P,'#참조'!Q:Q)</f>
        <v>4</v>
      </c>
      <c r="H35" s="1">
        <f>_xlfn.XLOOKUP(_xlfn.XLOOKUP(B35,'[1]Detail&lt;Child&gt;'!$A:$A,'[1]Detail&lt;Child&gt;'!$O:$O),'#참조'!R:R,'#참조'!S:S)</f>
        <v>1</v>
      </c>
      <c r="I35" s="1">
        <v>3</v>
      </c>
      <c r="J35" s="1">
        <v>3</v>
      </c>
      <c r="K35" s="1">
        <v>4</v>
      </c>
      <c r="L35" s="1">
        <v>12</v>
      </c>
      <c r="M35" s="2" t="s">
        <v>16</v>
      </c>
      <c r="N35" s="2" t="s">
        <v>407</v>
      </c>
      <c r="O35" s="2">
        <f t="shared" si="20"/>
        <v>5707</v>
      </c>
      <c r="P35" s="2" t="s">
        <v>56</v>
      </c>
      <c r="Q35" s="2" t="str">
        <f t="shared" si="1"/>
        <v>17923,21500</v>
      </c>
      <c r="R35" s="2">
        <f t="shared" si="21"/>
        <v>17923</v>
      </c>
      <c r="S35" s="2">
        <f t="shared" si="16"/>
        <v>21500</v>
      </c>
      <c r="T35" s="2" t="s">
        <v>57</v>
      </c>
      <c r="U35" s="2" t="str">
        <f t="shared" si="2"/>
        <v>746,900</v>
      </c>
      <c r="V35" s="2">
        <f t="shared" si="22"/>
        <v>746</v>
      </c>
      <c r="W35" s="2">
        <f t="shared" si="17"/>
        <v>900</v>
      </c>
      <c r="X35" s="2" t="s">
        <v>58</v>
      </c>
      <c r="Y35" s="2" t="str">
        <f t="shared" si="3"/>
        <v>1437,1700</v>
      </c>
      <c r="Z35" s="2">
        <f t="shared" si="23"/>
        <v>1437</v>
      </c>
      <c r="AA35" s="2">
        <f t="shared" si="18"/>
        <v>1700</v>
      </c>
      <c r="AB35" s="2">
        <v>85000</v>
      </c>
      <c r="AC35" s="2" t="e">
        <f>_xlfn.XLOOKUP($B35, '#참조'!$M:$M, '#참조'!$N:$N)</f>
        <v>#N/A</v>
      </c>
      <c r="AD35" s="2" t="e">
        <f t="shared" si="19"/>
        <v>#N/A</v>
      </c>
      <c r="AE35" s="2">
        <f t="shared" si="4"/>
        <v>4103</v>
      </c>
    </row>
    <row r="36" spans="1:31" x14ac:dyDescent="0.2">
      <c r="A36" s="2">
        <f t="shared" si="0"/>
        <v>10296013</v>
      </c>
      <c r="B36" s="1">
        <v>10000296</v>
      </c>
      <c r="C36" s="1" t="s">
        <v>281</v>
      </c>
      <c r="D36" s="1" t="s">
        <v>309</v>
      </c>
      <c r="E36" s="1" t="str">
        <f>"Persona_"&amp;_xlfn.XLOOKUP($B36, '#캐릭터'!$A:$A, '#캐릭터'!$C:$C)</f>
        <v>Persona_c296</v>
      </c>
      <c r="F36" s="1"/>
      <c r="G36" s="1">
        <f>_xlfn.XLOOKUP(_xlfn.XLOOKUP(B36,'[1]Detail&lt;Child&gt;'!$A:$A,'[1]Detail&lt;Child&gt;'!$N:$N),'#참조'!P:P,'#참조'!Q:Q)</f>
        <v>4</v>
      </c>
      <c r="H36" s="1">
        <f>_xlfn.XLOOKUP(_xlfn.XLOOKUP(B36,'[1]Detail&lt;Child&gt;'!$A:$A,'[1]Detail&lt;Child&gt;'!$O:$O),'#참조'!R:R,'#참조'!S:S)</f>
        <v>1</v>
      </c>
      <c r="I36" s="1">
        <v>4</v>
      </c>
      <c r="J36" s="1">
        <v>3</v>
      </c>
      <c r="K36" s="1">
        <v>5</v>
      </c>
      <c r="L36" s="1">
        <v>13</v>
      </c>
      <c r="M36" s="2" t="s">
        <v>17</v>
      </c>
      <c r="N36" s="2" t="s">
        <v>407</v>
      </c>
      <c r="O36" s="2">
        <f t="shared" si="20"/>
        <v>6278</v>
      </c>
      <c r="P36" s="2" t="s">
        <v>56</v>
      </c>
      <c r="Q36" s="2" t="str">
        <f t="shared" si="1"/>
        <v>23300,28000</v>
      </c>
      <c r="R36" s="2">
        <f t="shared" si="21"/>
        <v>23300</v>
      </c>
      <c r="S36" s="2">
        <f t="shared" si="16"/>
        <v>28000</v>
      </c>
      <c r="T36" s="2" t="s">
        <v>57</v>
      </c>
      <c r="U36" s="2" t="str">
        <f t="shared" si="2"/>
        <v>895,1100</v>
      </c>
      <c r="V36" s="2">
        <f t="shared" si="22"/>
        <v>895</v>
      </c>
      <c r="W36" s="2">
        <f t="shared" si="17"/>
        <v>1100</v>
      </c>
      <c r="X36" s="2" t="s">
        <v>58</v>
      </c>
      <c r="Y36" s="2" t="str">
        <f t="shared" si="3"/>
        <v>1868,2200</v>
      </c>
      <c r="Z36" s="2">
        <f t="shared" si="23"/>
        <v>1868</v>
      </c>
      <c r="AA36" s="2">
        <f t="shared" si="18"/>
        <v>2200</v>
      </c>
      <c r="AB36" s="2">
        <v>80000</v>
      </c>
      <c r="AC36" s="2" t="e">
        <f>_xlfn.XLOOKUP($B36, '#참조'!$M:$M, '#참조'!$N:$N)</f>
        <v>#N/A</v>
      </c>
      <c r="AD36" s="2" t="e">
        <f t="shared" si="19"/>
        <v>#N/A</v>
      </c>
      <c r="AE36" s="2">
        <f t="shared" si="4"/>
        <v>4104</v>
      </c>
    </row>
    <row r="37" spans="1:31" x14ac:dyDescent="0.2">
      <c r="A37" s="2">
        <f t="shared" si="0"/>
        <v>10296014</v>
      </c>
      <c r="B37" s="1">
        <v>10000296</v>
      </c>
      <c r="C37" s="1" t="s">
        <v>281</v>
      </c>
      <c r="D37" s="1" t="s">
        <v>309</v>
      </c>
      <c r="E37" s="1" t="str">
        <f>"Persona_"&amp;_xlfn.XLOOKUP($B37, '#캐릭터'!$A:$A, '#캐릭터'!$C:$C)</f>
        <v>Persona_c296</v>
      </c>
      <c r="F37" s="1"/>
      <c r="G37" s="1">
        <f>_xlfn.XLOOKUP(_xlfn.XLOOKUP(B37,'[1]Detail&lt;Child&gt;'!$A:$A,'[1]Detail&lt;Child&gt;'!$N:$N),'#참조'!P:P,'#참조'!Q:Q)</f>
        <v>4</v>
      </c>
      <c r="H37" s="1">
        <f>_xlfn.XLOOKUP(_xlfn.XLOOKUP(B37,'[1]Detail&lt;Child&gt;'!$A:$A,'[1]Detail&lt;Child&gt;'!$O:$O),'#참조'!R:R,'#참조'!S:S)</f>
        <v>1</v>
      </c>
      <c r="I37" s="1">
        <v>4</v>
      </c>
      <c r="J37" s="1">
        <v>3</v>
      </c>
      <c r="K37" s="1">
        <v>5</v>
      </c>
      <c r="L37" s="1">
        <v>14</v>
      </c>
      <c r="M37" s="2" t="s">
        <v>18</v>
      </c>
      <c r="N37" s="2" t="s">
        <v>407</v>
      </c>
      <c r="O37" s="2">
        <f t="shared" si="20"/>
        <v>6906</v>
      </c>
      <c r="P37" s="2" t="s">
        <v>56</v>
      </c>
      <c r="Q37" s="2" t="str">
        <f t="shared" si="1"/>
        <v>30290,36300</v>
      </c>
      <c r="R37" s="2">
        <f t="shared" si="21"/>
        <v>30290</v>
      </c>
      <c r="S37" s="2">
        <f t="shared" si="16"/>
        <v>36300</v>
      </c>
      <c r="T37" s="2" t="s">
        <v>57</v>
      </c>
      <c r="U37" s="2" t="str">
        <f t="shared" si="2"/>
        <v>1074,1300</v>
      </c>
      <c r="V37" s="2">
        <f t="shared" si="22"/>
        <v>1074</v>
      </c>
      <c r="W37" s="2">
        <f t="shared" si="17"/>
        <v>1300</v>
      </c>
      <c r="X37" s="2" t="s">
        <v>58</v>
      </c>
      <c r="Y37" s="2" t="str">
        <f t="shared" si="3"/>
        <v>2428,2900</v>
      </c>
      <c r="Z37" s="2">
        <f t="shared" si="23"/>
        <v>2428</v>
      </c>
      <c r="AA37" s="2">
        <f t="shared" si="18"/>
        <v>2900</v>
      </c>
      <c r="AB37" s="2">
        <v>80000</v>
      </c>
      <c r="AC37" s="2" t="e">
        <f>_xlfn.XLOOKUP($B37, '#참조'!$M:$M, '#참조'!$N:$N)</f>
        <v>#N/A</v>
      </c>
      <c r="AD37" s="2" t="e">
        <f t="shared" si="19"/>
        <v>#N/A</v>
      </c>
      <c r="AE37" s="2">
        <f t="shared" si="4"/>
        <v>4104</v>
      </c>
    </row>
    <row r="38" spans="1:31" x14ac:dyDescent="0.2">
      <c r="A38" s="2">
        <f t="shared" si="0"/>
        <v>10296015</v>
      </c>
      <c r="B38" s="1">
        <v>10000296</v>
      </c>
      <c r="C38" s="1" t="s">
        <v>281</v>
      </c>
      <c r="D38" s="1" t="s">
        <v>309</v>
      </c>
      <c r="E38" s="1" t="str">
        <f>"Persona_"&amp;_xlfn.XLOOKUP($B38, '#캐릭터'!$A:$A, '#캐릭터'!$C:$C)</f>
        <v>Persona_c296</v>
      </c>
      <c r="F38" s="1"/>
      <c r="G38" s="1">
        <f>_xlfn.XLOOKUP(_xlfn.XLOOKUP(B38,'[1]Detail&lt;Child&gt;'!$A:$A,'[1]Detail&lt;Child&gt;'!$N:$N),'#참조'!P:P,'#참조'!Q:Q)</f>
        <v>4</v>
      </c>
      <c r="H38" s="1">
        <f>_xlfn.XLOOKUP(_xlfn.XLOOKUP(B38,'[1]Detail&lt;Child&gt;'!$A:$A,'[1]Detail&lt;Child&gt;'!$O:$O),'#참조'!R:R,'#참조'!S:S)</f>
        <v>1</v>
      </c>
      <c r="I38" s="1">
        <v>5</v>
      </c>
      <c r="J38" s="1">
        <v>3</v>
      </c>
      <c r="K38" s="1">
        <v>5</v>
      </c>
      <c r="L38" s="1">
        <v>15</v>
      </c>
      <c r="M38" s="2" t="s">
        <v>19</v>
      </c>
      <c r="N38" s="2" t="s">
        <v>407</v>
      </c>
      <c r="O38" s="2">
        <f t="shared" si="20"/>
        <v>7597</v>
      </c>
      <c r="P38" s="2" t="s">
        <v>56</v>
      </c>
      <c r="Q38" s="2" t="str">
        <f t="shared" si="1"/>
        <v>39377,47300</v>
      </c>
      <c r="R38" s="2">
        <f t="shared" si="21"/>
        <v>39377</v>
      </c>
      <c r="S38" s="2">
        <f t="shared" si="16"/>
        <v>47300</v>
      </c>
      <c r="T38" s="2" t="s">
        <v>57</v>
      </c>
      <c r="U38" s="2" t="str">
        <f t="shared" si="2"/>
        <v>1289,1500</v>
      </c>
      <c r="V38" s="2">
        <f t="shared" si="22"/>
        <v>1289</v>
      </c>
      <c r="W38" s="2">
        <f t="shared" si="17"/>
        <v>1500</v>
      </c>
      <c r="X38" s="2" t="s">
        <v>58</v>
      </c>
      <c r="Y38" s="2" t="str">
        <f t="shared" si="3"/>
        <v>3156,3800</v>
      </c>
      <c r="Z38" s="2">
        <f t="shared" si="23"/>
        <v>3156</v>
      </c>
      <c r="AA38" s="2">
        <f t="shared" si="18"/>
        <v>3800</v>
      </c>
      <c r="AB38" s="2">
        <v>80000</v>
      </c>
      <c r="AC38" s="2" t="e">
        <f>_xlfn.XLOOKUP($B38, '#참조'!$M:$M, '#참조'!$N:$N)</f>
        <v>#N/A</v>
      </c>
      <c r="AD38" s="2" t="e">
        <f t="shared" si="19"/>
        <v>#N/A</v>
      </c>
      <c r="AE38" s="2">
        <f t="shared" si="4"/>
        <v>4105</v>
      </c>
    </row>
    <row r="39" spans="1:31" x14ac:dyDescent="0.2">
      <c r="A39" s="2">
        <f t="shared" si="0"/>
        <v>10296016</v>
      </c>
      <c r="B39" s="1">
        <v>10000296</v>
      </c>
      <c r="C39" s="1" t="s">
        <v>281</v>
      </c>
      <c r="D39" s="1" t="s">
        <v>309</v>
      </c>
      <c r="E39" s="1" t="str">
        <f>"Persona_"&amp;_xlfn.XLOOKUP($B39, '#캐릭터'!$A:$A, '#캐릭터'!$C:$C)</f>
        <v>Persona_c296</v>
      </c>
      <c r="F39" s="1"/>
      <c r="G39" s="1">
        <f>_xlfn.XLOOKUP(_xlfn.XLOOKUP(B39,'[1]Detail&lt;Child&gt;'!$A:$A,'[1]Detail&lt;Child&gt;'!$N:$N),'#참조'!P:P,'#참조'!Q:Q)</f>
        <v>4</v>
      </c>
      <c r="H39" s="1">
        <f>_xlfn.XLOOKUP(_xlfn.XLOOKUP(B39,'[1]Detail&lt;Child&gt;'!$A:$A,'[1]Detail&lt;Child&gt;'!$O:$O),'#참조'!R:R,'#참조'!S:S)</f>
        <v>1</v>
      </c>
      <c r="I39" s="1">
        <v>5</v>
      </c>
      <c r="J39" s="1">
        <v>3</v>
      </c>
      <c r="K39" s="1">
        <v>6</v>
      </c>
      <c r="L39" s="1">
        <v>16</v>
      </c>
      <c r="M39" s="2" t="s">
        <v>20</v>
      </c>
      <c r="N39" s="2" t="s">
        <v>407</v>
      </c>
      <c r="O39" s="2">
        <f t="shared" si="20"/>
        <v>8357</v>
      </c>
      <c r="P39" s="2" t="s">
        <v>56</v>
      </c>
      <c r="Q39" s="2" t="str">
        <f t="shared" si="1"/>
        <v>51190,61400</v>
      </c>
      <c r="R39" s="2">
        <f t="shared" si="21"/>
        <v>51190</v>
      </c>
      <c r="S39" s="2">
        <f t="shared" si="16"/>
        <v>61400</v>
      </c>
      <c r="T39" s="2" t="s">
        <v>57</v>
      </c>
      <c r="U39" s="2" t="str">
        <f t="shared" si="2"/>
        <v>1547,1900</v>
      </c>
      <c r="V39" s="2">
        <f t="shared" si="22"/>
        <v>1547</v>
      </c>
      <c r="W39" s="2">
        <f t="shared" si="17"/>
        <v>1900</v>
      </c>
      <c r="X39" s="2" t="s">
        <v>58</v>
      </c>
      <c r="Y39" s="2" t="str">
        <f t="shared" si="3"/>
        <v>4103,4900</v>
      </c>
      <c r="Z39" s="2">
        <f t="shared" si="23"/>
        <v>4103</v>
      </c>
      <c r="AA39" s="2">
        <f t="shared" si="18"/>
        <v>4900</v>
      </c>
      <c r="AB39" s="2">
        <v>75000</v>
      </c>
      <c r="AC39" s="2" t="e">
        <f>_xlfn.XLOOKUP($B39, '#참조'!$M:$M, '#참조'!$N:$N)</f>
        <v>#N/A</v>
      </c>
      <c r="AD39" s="2" t="e">
        <f t="shared" si="19"/>
        <v>#N/A</v>
      </c>
      <c r="AE39" s="2">
        <f t="shared" si="4"/>
        <v>4105</v>
      </c>
    </row>
    <row r="40" spans="1:31" x14ac:dyDescent="0.2">
      <c r="A40" s="2">
        <f t="shared" si="0"/>
        <v>10296017</v>
      </c>
      <c r="B40" s="1">
        <v>10000296</v>
      </c>
      <c r="C40" s="1" t="s">
        <v>281</v>
      </c>
      <c r="D40" s="1" t="s">
        <v>309</v>
      </c>
      <c r="E40" s="1" t="str">
        <f>"Persona_"&amp;_xlfn.XLOOKUP($B40, '#캐릭터'!$A:$A, '#캐릭터'!$C:$C)</f>
        <v>Persona_c296</v>
      </c>
      <c r="F40" s="1"/>
      <c r="G40" s="1">
        <f>_xlfn.XLOOKUP(_xlfn.XLOOKUP(B40,'[1]Detail&lt;Child&gt;'!$A:$A,'[1]Detail&lt;Child&gt;'!$N:$N),'#참조'!P:P,'#참조'!Q:Q)</f>
        <v>4</v>
      </c>
      <c r="H40" s="1">
        <f>_xlfn.XLOOKUP(_xlfn.XLOOKUP(B40,'[1]Detail&lt;Child&gt;'!$A:$A,'[1]Detail&lt;Child&gt;'!$O:$O),'#참조'!R:R,'#참조'!S:S)</f>
        <v>1</v>
      </c>
      <c r="I40" s="1">
        <v>6</v>
      </c>
      <c r="J40" s="1">
        <v>3</v>
      </c>
      <c r="K40" s="1">
        <v>6</v>
      </c>
      <c r="L40" s="1">
        <v>17</v>
      </c>
      <c r="M40" s="2" t="s">
        <v>21</v>
      </c>
      <c r="N40" s="2" t="s">
        <v>407</v>
      </c>
      <c r="O40" s="2">
        <f t="shared" si="20"/>
        <v>9193</v>
      </c>
      <c r="P40" s="2" t="s">
        <v>56</v>
      </c>
      <c r="Q40" s="2" t="str">
        <f t="shared" si="1"/>
        <v>66547,79900</v>
      </c>
      <c r="R40" s="2">
        <f t="shared" si="21"/>
        <v>66547</v>
      </c>
      <c r="S40" s="2">
        <f t="shared" si="16"/>
        <v>79900</v>
      </c>
      <c r="T40" s="2" t="s">
        <v>57</v>
      </c>
      <c r="U40" s="2" t="str">
        <f t="shared" si="2"/>
        <v>1856,2200</v>
      </c>
      <c r="V40" s="2">
        <f t="shared" si="22"/>
        <v>1856</v>
      </c>
      <c r="W40" s="2">
        <f t="shared" si="17"/>
        <v>2200</v>
      </c>
      <c r="X40" s="2" t="s">
        <v>58</v>
      </c>
      <c r="Y40" s="2" t="str">
        <f t="shared" si="3"/>
        <v>5334,6400</v>
      </c>
      <c r="Z40" s="2">
        <f t="shared" si="23"/>
        <v>5334</v>
      </c>
      <c r="AA40" s="2">
        <f t="shared" si="18"/>
        <v>6400</v>
      </c>
      <c r="AB40" s="2">
        <v>75000</v>
      </c>
      <c r="AC40" s="2" t="e">
        <f>_xlfn.XLOOKUP($B40, '#참조'!$M:$M, '#참조'!$N:$N)</f>
        <v>#N/A</v>
      </c>
      <c r="AD40" s="2" t="e">
        <f t="shared" si="19"/>
        <v>#N/A</v>
      </c>
      <c r="AE40" s="2">
        <f t="shared" si="4"/>
        <v>4106</v>
      </c>
    </row>
    <row r="41" spans="1:31" x14ac:dyDescent="0.2">
      <c r="A41" s="2">
        <f t="shared" si="0"/>
        <v>10296018</v>
      </c>
      <c r="B41" s="1">
        <v>10000296</v>
      </c>
      <c r="C41" s="1" t="s">
        <v>281</v>
      </c>
      <c r="D41" s="1" t="s">
        <v>309</v>
      </c>
      <c r="E41" s="1" t="str">
        <f>"Persona_"&amp;_xlfn.XLOOKUP($B41, '#캐릭터'!$A:$A, '#캐릭터'!$C:$C)</f>
        <v>Persona_c296</v>
      </c>
      <c r="F41" s="1"/>
      <c r="G41" s="1">
        <f>_xlfn.XLOOKUP(_xlfn.XLOOKUP(B41,'[1]Detail&lt;Child&gt;'!$A:$A,'[1]Detail&lt;Child&gt;'!$N:$N),'#참조'!P:P,'#참조'!Q:Q)</f>
        <v>4</v>
      </c>
      <c r="H41" s="1">
        <f>_xlfn.XLOOKUP(_xlfn.XLOOKUP(B41,'[1]Detail&lt;Child&gt;'!$A:$A,'[1]Detail&lt;Child&gt;'!$O:$O),'#참조'!R:R,'#참조'!S:S)</f>
        <v>1</v>
      </c>
      <c r="I41" s="1">
        <v>6</v>
      </c>
      <c r="J41" s="1">
        <v>3</v>
      </c>
      <c r="K41" s="1">
        <v>6</v>
      </c>
      <c r="L41" s="1">
        <v>18</v>
      </c>
      <c r="M41" s="2" t="s">
        <v>22</v>
      </c>
      <c r="N41" s="2" t="s">
        <v>407</v>
      </c>
      <c r="O41" s="2">
        <f t="shared" si="20"/>
        <v>10112</v>
      </c>
      <c r="P41" s="2" t="s">
        <v>56</v>
      </c>
      <c r="Q41" s="2" t="str">
        <f t="shared" si="1"/>
        <v>86511,103800</v>
      </c>
      <c r="R41" s="2">
        <f t="shared" si="21"/>
        <v>86511</v>
      </c>
      <c r="S41" s="2">
        <f t="shared" si="16"/>
        <v>103800</v>
      </c>
      <c r="T41" s="2" t="s">
        <v>57</v>
      </c>
      <c r="U41" s="2" t="str">
        <f t="shared" si="2"/>
        <v>2227,2700</v>
      </c>
      <c r="V41" s="2">
        <f t="shared" si="22"/>
        <v>2227</v>
      </c>
      <c r="W41" s="2">
        <f t="shared" si="17"/>
        <v>2700</v>
      </c>
      <c r="X41" s="2" t="s">
        <v>58</v>
      </c>
      <c r="Y41" s="2" t="str">
        <f t="shared" si="3"/>
        <v>6934,8300</v>
      </c>
      <c r="Z41" s="2">
        <f t="shared" si="23"/>
        <v>6934</v>
      </c>
      <c r="AA41" s="2">
        <f t="shared" si="18"/>
        <v>8300</v>
      </c>
      <c r="AB41" s="2">
        <v>75000</v>
      </c>
      <c r="AC41" s="2" t="e">
        <f>_xlfn.XLOOKUP($B41, '#참조'!$M:$M, '#참조'!$N:$N)</f>
        <v>#N/A</v>
      </c>
      <c r="AD41" s="2" t="e">
        <f t="shared" si="19"/>
        <v>#N/A</v>
      </c>
      <c r="AE41" s="2">
        <f t="shared" si="4"/>
        <v>4106</v>
      </c>
    </row>
    <row r="42" spans="1:31" x14ac:dyDescent="0.2">
      <c r="A42" s="2">
        <f t="shared" si="0"/>
        <v>10003000</v>
      </c>
      <c r="B42" s="1">
        <v>10000003</v>
      </c>
      <c r="C42" s="1" t="s">
        <v>281</v>
      </c>
      <c r="D42" s="1" t="s">
        <v>309</v>
      </c>
      <c r="E42" s="1" t="str">
        <f>"Persona_"&amp;_xlfn.XLOOKUP($B42, '#캐릭터'!$A:$A, '#캐릭터'!$C:$C)</f>
        <v>Persona_c003</v>
      </c>
      <c r="F42" s="1"/>
      <c r="G42" s="1">
        <f>_xlfn.XLOOKUP(_xlfn.XLOOKUP(B42,'[1]Detail&lt;Child&gt;'!$A:$A,'[1]Detail&lt;Child&gt;'!$N:$N),'#참조'!P:P,'#참조'!Q:Q)</f>
        <v>1</v>
      </c>
      <c r="H42" s="1">
        <f>_xlfn.XLOOKUP(_xlfn.XLOOKUP(B42,'[1]Detail&lt;Child&gt;'!$A:$A,'[1]Detail&lt;Child&gt;'!$O:$O),'#참조'!R:R,'#참조'!S:S)</f>
        <v>4</v>
      </c>
      <c r="I42" s="1">
        <v>0</v>
      </c>
      <c r="J42" s="1">
        <v>3</v>
      </c>
      <c r="K42" s="1">
        <v>0</v>
      </c>
      <c r="L42" s="1">
        <v>0</v>
      </c>
      <c r="M42" s="2" t="s">
        <v>2</v>
      </c>
      <c r="N42" s="2" t="s">
        <v>407</v>
      </c>
      <c r="O42" s="2">
        <v>0</v>
      </c>
      <c r="P42" s="2" t="s">
        <v>56</v>
      </c>
      <c r="Q42" s="2" t="str">
        <f t="shared" si="1"/>
        <v>1000,1000</v>
      </c>
      <c r="R42" s="2">
        <v>1000</v>
      </c>
      <c r="S42" s="2">
        <f t="shared" ref="S42" si="24">R42</f>
        <v>1000</v>
      </c>
      <c r="T42" s="2" t="s">
        <v>57</v>
      </c>
      <c r="U42" s="2" t="str">
        <f t="shared" si="2"/>
        <v>100,100</v>
      </c>
      <c r="V42" s="2">
        <v>100</v>
      </c>
      <c r="W42" s="2">
        <f t="shared" ref="W42" si="25">V42</f>
        <v>100</v>
      </c>
      <c r="X42" s="2" t="s">
        <v>58</v>
      </c>
      <c r="Y42" s="2" t="str">
        <f t="shared" si="3"/>
        <v>80,80</v>
      </c>
      <c r="Z42" s="2">
        <v>80</v>
      </c>
      <c r="AA42" s="2">
        <f t="shared" ref="AA42" si="26">Z42</f>
        <v>80</v>
      </c>
      <c r="AB42" s="2">
        <v>100000</v>
      </c>
      <c r="AE42" s="2">
        <f t="shared" si="4"/>
        <v>0</v>
      </c>
    </row>
    <row r="43" spans="1:31" x14ac:dyDescent="0.2">
      <c r="A43" s="2">
        <f t="shared" si="0"/>
        <v>10003001</v>
      </c>
      <c r="B43" s="1">
        <v>10000003</v>
      </c>
      <c r="C43" s="1" t="s">
        <v>281</v>
      </c>
      <c r="D43" s="1" t="s">
        <v>309</v>
      </c>
      <c r="E43" s="1" t="str">
        <f>"Persona_"&amp;_xlfn.XLOOKUP($B43, '#캐릭터'!$A:$A, '#캐릭터'!$C:$C)</f>
        <v>Persona_c003</v>
      </c>
      <c r="F43" s="1"/>
      <c r="G43" s="1">
        <f>_xlfn.XLOOKUP(_xlfn.XLOOKUP(B43,'[1]Detail&lt;Child&gt;'!$A:$A,'[1]Detail&lt;Child&gt;'!$N:$N),'#참조'!P:P,'#참조'!Q:Q)</f>
        <v>1</v>
      </c>
      <c r="H43" s="1">
        <f>_xlfn.XLOOKUP(_xlfn.XLOOKUP(B43,'[1]Detail&lt;Child&gt;'!$A:$A,'[1]Detail&lt;Child&gt;'!$O:$O),'#참조'!R:R,'#참조'!S:S)</f>
        <v>4</v>
      </c>
      <c r="I43" s="1">
        <v>0</v>
      </c>
      <c r="J43" s="1">
        <v>1</v>
      </c>
      <c r="K43" s="1">
        <v>1</v>
      </c>
      <c r="L43" s="1">
        <v>1</v>
      </c>
      <c r="M43" s="2" t="s">
        <v>5</v>
      </c>
      <c r="N43" s="2" t="s">
        <v>407</v>
      </c>
      <c r="O43" s="2">
        <v>2000</v>
      </c>
      <c r="P43" s="2" t="s">
        <v>56</v>
      </c>
      <c r="Q43" s="2" t="str">
        <f t="shared" si="1"/>
        <v>1000,1200</v>
      </c>
      <c r="R43" s="2">
        <v>1000</v>
      </c>
      <c r="S43" s="2">
        <f t="shared" ref="S43" si="27">ROUND(R43*1.2, -2)</f>
        <v>1200</v>
      </c>
      <c r="T43" s="2" t="s">
        <v>57</v>
      </c>
      <c r="U43" s="2" t="str">
        <f t="shared" si="2"/>
        <v>100,100</v>
      </c>
      <c r="V43" s="2">
        <v>100</v>
      </c>
      <c r="W43" s="2">
        <f t="shared" ref="W43" si="28">ROUND(V43*1.2, -2)</f>
        <v>100</v>
      </c>
      <c r="X43" s="2" t="s">
        <v>58</v>
      </c>
      <c r="Y43" s="2" t="str">
        <f t="shared" si="3"/>
        <v>80,100</v>
      </c>
      <c r="Z43" s="2">
        <v>80</v>
      </c>
      <c r="AA43" s="2">
        <f t="shared" ref="AA43" si="29">ROUND(Z43*1.2, -2)</f>
        <v>100</v>
      </c>
      <c r="AB43" s="2">
        <v>100000</v>
      </c>
      <c r="AC43" s="2" t="str">
        <f>_xlfn.XLOOKUP($B43, '#참조'!$M:$M, '#참조'!$N:$N)</f>
        <v>다비</v>
      </c>
      <c r="AD43" s="2" t="str">
        <f t="shared" ref="AD43:AD60" si="30">M43&amp;"_"&amp;AC43</f>
        <v>Common1_다비</v>
      </c>
      <c r="AE43" s="2">
        <f t="shared" si="4"/>
        <v>0</v>
      </c>
    </row>
    <row r="44" spans="1:31" x14ac:dyDescent="0.2">
      <c r="A44" s="2">
        <f t="shared" si="0"/>
        <v>10003002</v>
      </c>
      <c r="B44" s="1">
        <v>10000003</v>
      </c>
      <c r="C44" s="1" t="s">
        <v>281</v>
      </c>
      <c r="D44" s="1" t="s">
        <v>309</v>
      </c>
      <c r="E44" s="1" t="str">
        <f>"Persona_"&amp;_xlfn.XLOOKUP($B44, '#캐릭터'!$A:$A, '#캐릭터'!$C:$C)</f>
        <v>Persona_c003</v>
      </c>
      <c r="F44" s="1"/>
      <c r="G44" s="1">
        <f>_xlfn.XLOOKUP(_xlfn.XLOOKUP(B44,'[1]Detail&lt;Child&gt;'!$A:$A,'[1]Detail&lt;Child&gt;'!$N:$N),'#참조'!P:P,'#참조'!Q:Q)</f>
        <v>1</v>
      </c>
      <c r="H44" s="1">
        <f>_xlfn.XLOOKUP(_xlfn.XLOOKUP(B44,'[1]Detail&lt;Child&gt;'!$A:$A,'[1]Detail&lt;Child&gt;'!$O:$O),'#참조'!R:R,'#참조'!S:S)</f>
        <v>4</v>
      </c>
      <c r="I44" s="1">
        <v>0</v>
      </c>
      <c r="J44" s="1">
        <v>1</v>
      </c>
      <c r="K44" s="1">
        <v>1</v>
      </c>
      <c r="L44" s="1">
        <v>2</v>
      </c>
      <c r="M44" s="2" t="s">
        <v>6</v>
      </c>
      <c r="N44" s="2" t="s">
        <v>407</v>
      </c>
      <c r="O44" s="2">
        <f t="shared" ref="O44" si="31">ROUND(O43*1.1, 0)</f>
        <v>2200</v>
      </c>
      <c r="P44" s="2" t="s">
        <v>56</v>
      </c>
      <c r="Q44" s="2" t="str">
        <f t="shared" si="1"/>
        <v>1300,1600</v>
      </c>
      <c r="R44" s="2">
        <f t="shared" ref="R44" si="32">ROUND(R43*1.3, 0)</f>
        <v>1300</v>
      </c>
      <c r="S44" s="2">
        <f t="shared" si="16"/>
        <v>1600</v>
      </c>
      <c r="T44" s="2" t="s">
        <v>57</v>
      </c>
      <c r="U44" s="2" t="str">
        <f t="shared" si="2"/>
        <v>120,100</v>
      </c>
      <c r="V44" s="2">
        <f t="shared" ref="V44" si="33">ROUND(V43*1.2, 0)</f>
        <v>120</v>
      </c>
      <c r="W44" s="2">
        <f t="shared" si="17"/>
        <v>100</v>
      </c>
      <c r="X44" s="2" t="s">
        <v>58</v>
      </c>
      <c r="Y44" s="2" t="str">
        <f t="shared" si="3"/>
        <v>104,100</v>
      </c>
      <c r="Z44" s="2">
        <f t="shared" ref="Z44" si="34">ROUND(Z43*1.3, 0)</f>
        <v>104</v>
      </c>
      <c r="AA44" s="2">
        <f t="shared" si="18"/>
        <v>100</v>
      </c>
      <c r="AB44" s="2">
        <v>100000</v>
      </c>
      <c r="AC44" s="2" t="str">
        <f>_xlfn.XLOOKUP($B44, '#참조'!$M:$M, '#참조'!$N:$N)</f>
        <v>다비</v>
      </c>
      <c r="AD44" s="2" t="str">
        <f t="shared" si="30"/>
        <v>Common2_다비</v>
      </c>
      <c r="AE44" s="2">
        <f t="shared" si="4"/>
        <v>0</v>
      </c>
    </row>
    <row r="45" spans="1:31" x14ac:dyDescent="0.2">
      <c r="A45" s="2">
        <f t="shared" si="0"/>
        <v>10003003</v>
      </c>
      <c r="B45" s="1">
        <v>10000003</v>
      </c>
      <c r="C45" s="1" t="s">
        <v>281</v>
      </c>
      <c r="D45" s="1" t="s">
        <v>309</v>
      </c>
      <c r="E45" s="1" t="str">
        <f>"Persona_"&amp;_xlfn.XLOOKUP($B45, '#캐릭터'!$A:$A, '#캐릭터'!$C:$C)</f>
        <v>Persona_c003</v>
      </c>
      <c r="F45" s="1"/>
      <c r="G45" s="1">
        <f>_xlfn.XLOOKUP(_xlfn.XLOOKUP(B45,'[1]Detail&lt;Child&gt;'!$A:$A,'[1]Detail&lt;Child&gt;'!$N:$N),'#참조'!P:P,'#참조'!Q:Q)</f>
        <v>1</v>
      </c>
      <c r="H45" s="1">
        <f>_xlfn.XLOOKUP(_xlfn.XLOOKUP(B45,'[1]Detail&lt;Child&gt;'!$A:$A,'[1]Detail&lt;Child&gt;'!$O:$O),'#참조'!R:R,'#참조'!S:S)</f>
        <v>4</v>
      </c>
      <c r="I45" s="1">
        <v>0</v>
      </c>
      <c r="J45" s="1">
        <v>1</v>
      </c>
      <c r="K45" s="1">
        <v>1</v>
      </c>
      <c r="L45" s="1">
        <v>3</v>
      </c>
      <c r="M45" s="2" t="s">
        <v>7</v>
      </c>
      <c r="N45" s="2" t="s">
        <v>407</v>
      </c>
      <c r="O45" s="2">
        <f t="shared" si="20"/>
        <v>2420</v>
      </c>
      <c r="P45" s="2" t="s">
        <v>56</v>
      </c>
      <c r="Q45" s="2" t="str">
        <f t="shared" si="1"/>
        <v>1690,2000</v>
      </c>
      <c r="R45" s="2">
        <f t="shared" si="21"/>
        <v>1690</v>
      </c>
      <c r="S45" s="2">
        <f t="shared" si="16"/>
        <v>2000</v>
      </c>
      <c r="T45" s="2" t="s">
        <v>57</v>
      </c>
      <c r="U45" s="2" t="str">
        <f t="shared" si="2"/>
        <v>144,200</v>
      </c>
      <c r="V45" s="2">
        <f t="shared" si="22"/>
        <v>144</v>
      </c>
      <c r="W45" s="2">
        <f t="shared" si="17"/>
        <v>200</v>
      </c>
      <c r="X45" s="2" t="s">
        <v>58</v>
      </c>
      <c r="Y45" s="2" t="str">
        <f t="shared" si="3"/>
        <v>135,200</v>
      </c>
      <c r="Z45" s="2">
        <f t="shared" si="23"/>
        <v>135</v>
      </c>
      <c r="AA45" s="2">
        <f t="shared" si="18"/>
        <v>200</v>
      </c>
      <c r="AB45" s="2">
        <v>100000</v>
      </c>
      <c r="AC45" s="2" t="str">
        <f>_xlfn.XLOOKUP($B45, '#참조'!$M:$M, '#참조'!$N:$N)</f>
        <v>다비</v>
      </c>
      <c r="AD45" s="2" t="str">
        <f t="shared" si="30"/>
        <v>Common3_다비</v>
      </c>
      <c r="AE45" s="2">
        <f t="shared" si="4"/>
        <v>0</v>
      </c>
    </row>
    <row r="46" spans="1:31" x14ac:dyDescent="0.2">
      <c r="A46" s="2">
        <f t="shared" si="0"/>
        <v>10003004</v>
      </c>
      <c r="B46" s="1">
        <v>10000003</v>
      </c>
      <c r="C46" s="1" t="s">
        <v>281</v>
      </c>
      <c r="D46" s="1" t="s">
        <v>309</v>
      </c>
      <c r="E46" s="1" t="str">
        <f>"Persona_"&amp;_xlfn.XLOOKUP($B46, '#캐릭터'!$A:$A, '#캐릭터'!$C:$C)</f>
        <v>Persona_c003</v>
      </c>
      <c r="F46" s="1"/>
      <c r="G46" s="1">
        <f>_xlfn.XLOOKUP(_xlfn.XLOOKUP(B46,'[1]Detail&lt;Child&gt;'!$A:$A,'[1]Detail&lt;Child&gt;'!$N:$N),'#참조'!P:P,'#참조'!Q:Q)</f>
        <v>1</v>
      </c>
      <c r="H46" s="1">
        <f>_xlfn.XLOOKUP(_xlfn.XLOOKUP(B46,'[1]Detail&lt;Child&gt;'!$A:$A,'[1]Detail&lt;Child&gt;'!$O:$O),'#참조'!R:R,'#참조'!S:S)</f>
        <v>4</v>
      </c>
      <c r="I46" s="1">
        <v>0</v>
      </c>
      <c r="J46" s="1">
        <v>1</v>
      </c>
      <c r="K46" s="1">
        <v>2</v>
      </c>
      <c r="L46" s="1">
        <v>4</v>
      </c>
      <c r="M46" s="2" t="s">
        <v>8</v>
      </c>
      <c r="N46" s="2" t="s">
        <v>407</v>
      </c>
      <c r="O46" s="2">
        <f t="shared" si="20"/>
        <v>2662</v>
      </c>
      <c r="P46" s="2" t="s">
        <v>56</v>
      </c>
      <c r="Q46" s="2" t="str">
        <f t="shared" si="1"/>
        <v>2197,2600</v>
      </c>
      <c r="R46" s="2">
        <f t="shared" si="21"/>
        <v>2197</v>
      </c>
      <c r="S46" s="2">
        <f t="shared" si="16"/>
        <v>2600</v>
      </c>
      <c r="T46" s="2" t="s">
        <v>57</v>
      </c>
      <c r="U46" s="2" t="str">
        <f t="shared" si="2"/>
        <v>173,200</v>
      </c>
      <c r="V46" s="2">
        <f t="shared" si="22"/>
        <v>173</v>
      </c>
      <c r="W46" s="2">
        <f t="shared" si="17"/>
        <v>200</v>
      </c>
      <c r="X46" s="2" t="s">
        <v>58</v>
      </c>
      <c r="Y46" s="2" t="str">
        <f t="shared" si="3"/>
        <v>176,200</v>
      </c>
      <c r="Z46" s="2">
        <f t="shared" si="23"/>
        <v>176</v>
      </c>
      <c r="AA46" s="2">
        <f t="shared" si="18"/>
        <v>200</v>
      </c>
      <c r="AB46" s="2">
        <v>95000</v>
      </c>
      <c r="AC46" s="2" t="str">
        <f>_xlfn.XLOOKUP($B46, '#참조'!$M:$M, '#참조'!$N:$N)</f>
        <v>다비</v>
      </c>
      <c r="AD46" s="2" t="str">
        <f t="shared" si="30"/>
        <v>Uncommon1_다비</v>
      </c>
      <c r="AE46" s="2">
        <f t="shared" si="4"/>
        <v>0</v>
      </c>
    </row>
    <row r="47" spans="1:31" x14ac:dyDescent="0.2">
      <c r="A47" s="2">
        <f t="shared" si="0"/>
        <v>10003005</v>
      </c>
      <c r="B47" s="1">
        <v>10000003</v>
      </c>
      <c r="C47" s="1" t="s">
        <v>281</v>
      </c>
      <c r="D47" s="1" t="s">
        <v>309</v>
      </c>
      <c r="E47" s="1" t="str">
        <f>"Persona_"&amp;_xlfn.XLOOKUP($B47, '#캐릭터'!$A:$A, '#캐릭터'!$C:$C)</f>
        <v>Persona_c003</v>
      </c>
      <c r="F47" s="1"/>
      <c r="G47" s="1">
        <f>_xlfn.XLOOKUP(_xlfn.XLOOKUP(B47,'[1]Detail&lt;Child&gt;'!$A:$A,'[1]Detail&lt;Child&gt;'!$N:$N),'#참조'!P:P,'#참조'!Q:Q)</f>
        <v>1</v>
      </c>
      <c r="H47" s="1">
        <f>_xlfn.XLOOKUP(_xlfn.XLOOKUP(B47,'[1]Detail&lt;Child&gt;'!$A:$A,'[1]Detail&lt;Child&gt;'!$O:$O),'#참조'!R:R,'#참조'!S:S)</f>
        <v>4</v>
      </c>
      <c r="I47" s="1">
        <v>0</v>
      </c>
      <c r="J47" s="1">
        <v>1</v>
      </c>
      <c r="K47" s="1">
        <v>2</v>
      </c>
      <c r="L47" s="1">
        <v>5</v>
      </c>
      <c r="M47" s="2" t="s">
        <v>9</v>
      </c>
      <c r="N47" s="2" t="s">
        <v>407</v>
      </c>
      <c r="O47" s="2">
        <f t="shared" si="20"/>
        <v>2928</v>
      </c>
      <c r="P47" s="2" t="s">
        <v>56</v>
      </c>
      <c r="Q47" s="2" t="str">
        <f t="shared" si="1"/>
        <v>2856,3400</v>
      </c>
      <c r="R47" s="2">
        <f t="shared" si="21"/>
        <v>2856</v>
      </c>
      <c r="S47" s="2">
        <f t="shared" si="16"/>
        <v>3400</v>
      </c>
      <c r="T47" s="2" t="s">
        <v>57</v>
      </c>
      <c r="U47" s="2" t="str">
        <f t="shared" si="2"/>
        <v>208,200</v>
      </c>
      <c r="V47" s="2">
        <f t="shared" si="22"/>
        <v>208</v>
      </c>
      <c r="W47" s="2">
        <f t="shared" si="17"/>
        <v>200</v>
      </c>
      <c r="X47" s="2" t="s">
        <v>58</v>
      </c>
      <c r="Y47" s="2" t="str">
        <f t="shared" si="3"/>
        <v>229,300</v>
      </c>
      <c r="Z47" s="2">
        <f t="shared" si="23"/>
        <v>229</v>
      </c>
      <c r="AA47" s="2">
        <f t="shared" si="18"/>
        <v>300</v>
      </c>
      <c r="AB47" s="2">
        <v>95000</v>
      </c>
      <c r="AC47" s="2" t="str">
        <f>_xlfn.XLOOKUP($B47, '#참조'!$M:$M, '#참조'!$N:$N)</f>
        <v>다비</v>
      </c>
      <c r="AD47" s="2" t="str">
        <f t="shared" si="30"/>
        <v>Uncommon2_다비</v>
      </c>
      <c r="AE47" s="2">
        <f t="shared" si="4"/>
        <v>0</v>
      </c>
    </row>
    <row r="48" spans="1:31" x14ac:dyDescent="0.2">
      <c r="A48" s="2">
        <f t="shared" si="0"/>
        <v>10003006</v>
      </c>
      <c r="B48" s="1">
        <v>10000003</v>
      </c>
      <c r="C48" s="1" t="s">
        <v>281</v>
      </c>
      <c r="D48" s="1" t="s">
        <v>309</v>
      </c>
      <c r="E48" s="1" t="str">
        <f>"Persona_"&amp;_xlfn.XLOOKUP($B48, '#캐릭터'!$A:$A, '#캐릭터'!$C:$C)</f>
        <v>Persona_c003</v>
      </c>
      <c r="F48" s="1"/>
      <c r="G48" s="1">
        <f>_xlfn.XLOOKUP(_xlfn.XLOOKUP(B48,'[1]Detail&lt;Child&gt;'!$A:$A,'[1]Detail&lt;Child&gt;'!$N:$N),'#참조'!P:P,'#참조'!Q:Q)</f>
        <v>1</v>
      </c>
      <c r="H48" s="1">
        <f>_xlfn.XLOOKUP(_xlfn.XLOOKUP(B48,'[1]Detail&lt;Child&gt;'!$A:$A,'[1]Detail&lt;Child&gt;'!$O:$O),'#참조'!R:R,'#참조'!S:S)</f>
        <v>4</v>
      </c>
      <c r="I48" s="1">
        <v>0</v>
      </c>
      <c r="J48" s="1">
        <v>1</v>
      </c>
      <c r="K48" s="1">
        <v>2</v>
      </c>
      <c r="L48" s="1">
        <v>6</v>
      </c>
      <c r="M48" s="2" t="s">
        <v>10</v>
      </c>
      <c r="N48" s="2" t="s">
        <v>407</v>
      </c>
      <c r="O48" s="2">
        <f t="shared" si="20"/>
        <v>3221</v>
      </c>
      <c r="P48" s="2" t="s">
        <v>56</v>
      </c>
      <c r="Q48" s="2" t="str">
        <f t="shared" si="1"/>
        <v>3713,4500</v>
      </c>
      <c r="R48" s="2">
        <f t="shared" si="21"/>
        <v>3713</v>
      </c>
      <c r="S48" s="2">
        <f t="shared" si="16"/>
        <v>4500</v>
      </c>
      <c r="T48" s="2" t="s">
        <v>57</v>
      </c>
      <c r="U48" s="2" t="str">
        <f t="shared" si="2"/>
        <v>250,300</v>
      </c>
      <c r="V48" s="2">
        <f t="shared" si="22"/>
        <v>250</v>
      </c>
      <c r="W48" s="2">
        <f t="shared" si="17"/>
        <v>300</v>
      </c>
      <c r="X48" s="2" t="s">
        <v>58</v>
      </c>
      <c r="Y48" s="2" t="str">
        <f t="shared" si="3"/>
        <v>298,400</v>
      </c>
      <c r="Z48" s="2">
        <f t="shared" si="23"/>
        <v>298</v>
      </c>
      <c r="AA48" s="2">
        <f t="shared" si="18"/>
        <v>400</v>
      </c>
      <c r="AB48" s="2">
        <v>95000</v>
      </c>
      <c r="AC48" s="2" t="str">
        <f>_xlfn.XLOOKUP($B48, '#참조'!$M:$M, '#참조'!$N:$N)</f>
        <v>다비</v>
      </c>
      <c r="AD48" s="2" t="str">
        <f t="shared" si="30"/>
        <v>Uncommon3_다비</v>
      </c>
      <c r="AE48" s="2">
        <f t="shared" si="4"/>
        <v>0</v>
      </c>
    </row>
    <row r="49" spans="1:31" x14ac:dyDescent="0.2">
      <c r="A49" s="2">
        <f t="shared" si="0"/>
        <v>10003007</v>
      </c>
      <c r="B49" s="1">
        <v>10000003</v>
      </c>
      <c r="C49" s="1" t="s">
        <v>281</v>
      </c>
      <c r="D49" s="1" t="s">
        <v>309</v>
      </c>
      <c r="E49" s="1" t="str">
        <f>"Persona_"&amp;_xlfn.XLOOKUP($B49, '#캐릭터'!$A:$A, '#캐릭터'!$C:$C)</f>
        <v>Persona_c003</v>
      </c>
      <c r="F49" s="1"/>
      <c r="G49" s="1">
        <f>_xlfn.XLOOKUP(_xlfn.XLOOKUP(B49,'[1]Detail&lt;Child&gt;'!$A:$A,'[1]Detail&lt;Child&gt;'!$N:$N),'#참조'!P:P,'#참조'!Q:Q)</f>
        <v>1</v>
      </c>
      <c r="H49" s="1">
        <f>_xlfn.XLOOKUP(_xlfn.XLOOKUP(B49,'[1]Detail&lt;Child&gt;'!$A:$A,'[1]Detail&lt;Child&gt;'!$O:$O),'#참조'!R:R,'#참조'!S:S)</f>
        <v>4</v>
      </c>
      <c r="I49" s="1">
        <v>1</v>
      </c>
      <c r="J49" s="1">
        <v>1</v>
      </c>
      <c r="K49" s="1">
        <v>3</v>
      </c>
      <c r="L49" s="1">
        <v>7</v>
      </c>
      <c r="M49" s="2" t="s">
        <v>11</v>
      </c>
      <c r="N49" s="2" t="s">
        <v>407</v>
      </c>
      <c r="O49" s="2">
        <f t="shared" si="20"/>
        <v>3543</v>
      </c>
      <c r="P49" s="2" t="s">
        <v>56</v>
      </c>
      <c r="Q49" s="2" t="str">
        <f t="shared" si="1"/>
        <v>4827,5800</v>
      </c>
      <c r="R49" s="2">
        <f t="shared" si="21"/>
        <v>4827</v>
      </c>
      <c r="S49" s="2">
        <f t="shared" si="16"/>
        <v>5800</v>
      </c>
      <c r="T49" s="2" t="s">
        <v>57</v>
      </c>
      <c r="U49" s="2" t="str">
        <f t="shared" si="2"/>
        <v>300,400</v>
      </c>
      <c r="V49" s="2">
        <f t="shared" si="22"/>
        <v>300</v>
      </c>
      <c r="W49" s="2">
        <f t="shared" si="17"/>
        <v>400</v>
      </c>
      <c r="X49" s="2" t="s">
        <v>58</v>
      </c>
      <c r="Y49" s="2" t="str">
        <f t="shared" si="3"/>
        <v>387,500</v>
      </c>
      <c r="Z49" s="2">
        <f t="shared" si="23"/>
        <v>387</v>
      </c>
      <c r="AA49" s="2">
        <f t="shared" si="18"/>
        <v>500</v>
      </c>
      <c r="AB49" s="2">
        <v>90000</v>
      </c>
      <c r="AC49" s="2" t="str">
        <f>_xlfn.XLOOKUP($B49, '#참조'!$M:$M, '#참조'!$N:$N)</f>
        <v>다비</v>
      </c>
      <c r="AD49" s="2" t="str">
        <f t="shared" si="30"/>
        <v>Rare1_다비</v>
      </c>
      <c r="AE49" s="2">
        <f t="shared" si="4"/>
        <v>1401</v>
      </c>
    </row>
    <row r="50" spans="1:31" x14ac:dyDescent="0.2">
      <c r="A50" s="2">
        <f t="shared" si="0"/>
        <v>10003008</v>
      </c>
      <c r="B50" s="1">
        <v>10000003</v>
      </c>
      <c r="C50" s="1" t="s">
        <v>281</v>
      </c>
      <c r="D50" s="1" t="s">
        <v>309</v>
      </c>
      <c r="E50" s="1" t="str">
        <f>"Persona_"&amp;_xlfn.XLOOKUP($B50, '#캐릭터'!$A:$A, '#캐릭터'!$C:$C)</f>
        <v>Persona_c003</v>
      </c>
      <c r="F50" s="1"/>
      <c r="G50" s="1">
        <f>_xlfn.XLOOKUP(_xlfn.XLOOKUP(B50,'[1]Detail&lt;Child&gt;'!$A:$A,'[1]Detail&lt;Child&gt;'!$N:$N),'#참조'!P:P,'#참조'!Q:Q)</f>
        <v>1</v>
      </c>
      <c r="H50" s="1">
        <f>_xlfn.XLOOKUP(_xlfn.XLOOKUP(B50,'[1]Detail&lt;Child&gt;'!$A:$A,'[1]Detail&lt;Child&gt;'!$O:$O),'#참조'!R:R,'#참조'!S:S)</f>
        <v>4</v>
      </c>
      <c r="I50" s="1">
        <v>1</v>
      </c>
      <c r="J50" s="1">
        <v>1</v>
      </c>
      <c r="K50" s="1">
        <v>3</v>
      </c>
      <c r="L50" s="1">
        <v>8</v>
      </c>
      <c r="M50" s="2" t="s">
        <v>12</v>
      </c>
      <c r="N50" s="2" t="s">
        <v>407</v>
      </c>
      <c r="O50" s="2">
        <f t="shared" si="20"/>
        <v>3897</v>
      </c>
      <c r="P50" s="2" t="s">
        <v>56</v>
      </c>
      <c r="Q50" s="2" t="str">
        <f t="shared" si="1"/>
        <v>6275,7500</v>
      </c>
      <c r="R50" s="2">
        <f t="shared" si="21"/>
        <v>6275</v>
      </c>
      <c r="S50" s="2">
        <f t="shared" si="16"/>
        <v>7500</v>
      </c>
      <c r="T50" s="2" t="s">
        <v>57</v>
      </c>
      <c r="U50" s="2" t="str">
        <f t="shared" si="2"/>
        <v>360,400</v>
      </c>
      <c r="V50" s="2">
        <f t="shared" si="22"/>
        <v>360</v>
      </c>
      <c r="W50" s="2">
        <f t="shared" si="17"/>
        <v>400</v>
      </c>
      <c r="X50" s="2" t="s">
        <v>58</v>
      </c>
      <c r="Y50" s="2" t="str">
        <f t="shared" si="3"/>
        <v>503,600</v>
      </c>
      <c r="Z50" s="2">
        <f t="shared" si="23"/>
        <v>503</v>
      </c>
      <c r="AA50" s="2">
        <f t="shared" si="18"/>
        <v>600</v>
      </c>
      <c r="AB50" s="2">
        <v>90000</v>
      </c>
      <c r="AC50" s="2" t="str">
        <f>_xlfn.XLOOKUP($B50, '#참조'!$M:$M, '#참조'!$N:$N)</f>
        <v>다비</v>
      </c>
      <c r="AD50" s="2" t="str">
        <f t="shared" si="30"/>
        <v>Rare2_다비</v>
      </c>
      <c r="AE50" s="2">
        <f t="shared" si="4"/>
        <v>1401</v>
      </c>
    </row>
    <row r="51" spans="1:31" x14ac:dyDescent="0.2">
      <c r="A51" s="2">
        <f t="shared" si="0"/>
        <v>10003009</v>
      </c>
      <c r="B51" s="1">
        <v>10000003</v>
      </c>
      <c r="C51" s="1" t="s">
        <v>281</v>
      </c>
      <c r="D51" s="1" t="s">
        <v>309</v>
      </c>
      <c r="E51" s="1" t="str">
        <f>"Persona_"&amp;_xlfn.XLOOKUP($B51, '#캐릭터'!$A:$A, '#캐릭터'!$C:$C)</f>
        <v>Persona_c003</v>
      </c>
      <c r="F51" s="1"/>
      <c r="G51" s="1">
        <f>_xlfn.XLOOKUP(_xlfn.XLOOKUP(B51,'[1]Detail&lt;Child&gt;'!$A:$A,'[1]Detail&lt;Child&gt;'!$N:$N),'#참조'!P:P,'#참조'!Q:Q)</f>
        <v>1</v>
      </c>
      <c r="H51" s="1">
        <f>_xlfn.XLOOKUP(_xlfn.XLOOKUP(B51,'[1]Detail&lt;Child&gt;'!$A:$A,'[1]Detail&lt;Child&gt;'!$O:$O),'#참조'!R:R,'#참조'!S:S)</f>
        <v>4</v>
      </c>
      <c r="I51" s="1">
        <v>2</v>
      </c>
      <c r="J51" s="1">
        <v>1</v>
      </c>
      <c r="K51" s="1">
        <v>3</v>
      </c>
      <c r="L51" s="1">
        <v>9</v>
      </c>
      <c r="M51" s="2" t="s">
        <v>13</v>
      </c>
      <c r="N51" s="2" t="s">
        <v>407</v>
      </c>
      <c r="O51" s="2">
        <f t="shared" si="20"/>
        <v>4287</v>
      </c>
      <c r="P51" s="2" t="s">
        <v>56</v>
      </c>
      <c r="Q51" s="2" t="str">
        <f t="shared" si="1"/>
        <v>8158,9800</v>
      </c>
      <c r="R51" s="2">
        <f t="shared" si="21"/>
        <v>8158</v>
      </c>
      <c r="S51" s="2">
        <f t="shared" si="16"/>
        <v>9800</v>
      </c>
      <c r="T51" s="2" t="s">
        <v>57</v>
      </c>
      <c r="U51" s="2" t="str">
        <f t="shared" si="2"/>
        <v>432,500</v>
      </c>
      <c r="V51" s="2">
        <f t="shared" si="22"/>
        <v>432</v>
      </c>
      <c r="W51" s="2">
        <f t="shared" si="17"/>
        <v>500</v>
      </c>
      <c r="X51" s="2" t="s">
        <v>58</v>
      </c>
      <c r="Y51" s="2" t="str">
        <f t="shared" si="3"/>
        <v>654,800</v>
      </c>
      <c r="Z51" s="2">
        <f t="shared" si="23"/>
        <v>654</v>
      </c>
      <c r="AA51" s="2">
        <f t="shared" si="18"/>
        <v>800</v>
      </c>
      <c r="AB51" s="2">
        <v>90000</v>
      </c>
      <c r="AC51" s="2" t="str">
        <f>_xlfn.XLOOKUP($B51, '#참조'!$M:$M, '#참조'!$N:$N)</f>
        <v>다비</v>
      </c>
      <c r="AD51" s="2" t="str">
        <f t="shared" si="30"/>
        <v>Rare3_다비</v>
      </c>
      <c r="AE51" s="2">
        <f t="shared" si="4"/>
        <v>1402</v>
      </c>
    </row>
    <row r="52" spans="1:31" x14ac:dyDescent="0.2">
      <c r="A52" s="2">
        <f t="shared" si="0"/>
        <v>10003010</v>
      </c>
      <c r="B52" s="1">
        <v>10000003</v>
      </c>
      <c r="C52" s="1" t="s">
        <v>281</v>
      </c>
      <c r="D52" s="1" t="s">
        <v>309</v>
      </c>
      <c r="E52" s="1" t="str">
        <f>"Persona_"&amp;_xlfn.XLOOKUP($B52, '#캐릭터'!$A:$A, '#캐릭터'!$C:$C)</f>
        <v>Persona_c003</v>
      </c>
      <c r="F52" s="1"/>
      <c r="G52" s="1">
        <f>_xlfn.XLOOKUP(_xlfn.XLOOKUP(B52,'[1]Detail&lt;Child&gt;'!$A:$A,'[1]Detail&lt;Child&gt;'!$N:$N),'#참조'!P:P,'#참조'!Q:Q)</f>
        <v>1</v>
      </c>
      <c r="H52" s="1">
        <f>_xlfn.XLOOKUP(_xlfn.XLOOKUP(B52,'[1]Detail&lt;Child&gt;'!$A:$A,'[1]Detail&lt;Child&gt;'!$O:$O),'#참조'!R:R,'#참조'!S:S)</f>
        <v>4</v>
      </c>
      <c r="I52" s="1">
        <v>2</v>
      </c>
      <c r="J52" s="1">
        <v>1</v>
      </c>
      <c r="K52" s="1">
        <v>4</v>
      </c>
      <c r="L52" s="1">
        <v>10</v>
      </c>
      <c r="M52" s="2" t="s">
        <v>14</v>
      </c>
      <c r="N52" s="2" t="s">
        <v>407</v>
      </c>
      <c r="O52" s="2">
        <f t="shared" si="20"/>
        <v>4716</v>
      </c>
      <c r="P52" s="2" t="s">
        <v>56</v>
      </c>
      <c r="Q52" s="2" t="str">
        <f t="shared" si="1"/>
        <v>10605,12700</v>
      </c>
      <c r="R52" s="2">
        <f t="shared" si="21"/>
        <v>10605</v>
      </c>
      <c r="S52" s="2">
        <f t="shared" si="16"/>
        <v>12700</v>
      </c>
      <c r="T52" s="2" t="s">
        <v>57</v>
      </c>
      <c r="U52" s="2" t="str">
        <f t="shared" si="2"/>
        <v>518,600</v>
      </c>
      <c r="V52" s="2">
        <f t="shared" si="22"/>
        <v>518</v>
      </c>
      <c r="W52" s="2">
        <f t="shared" si="17"/>
        <v>600</v>
      </c>
      <c r="X52" s="2" t="s">
        <v>58</v>
      </c>
      <c r="Y52" s="2" t="str">
        <f t="shared" si="3"/>
        <v>850,1000</v>
      </c>
      <c r="Z52" s="2">
        <f t="shared" si="23"/>
        <v>850</v>
      </c>
      <c r="AA52" s="2">
        <f t="shared" si="18"/>
        <v>1000</v>
      </c>
      <c r="AB52" s="2">
        <v>85000</v>
      </c>
      <c r="AC52" s="2" t="str">
        <f>_xlfn.XLOOKUP($B52, '#참조'!$M:$M, '#참조'!$N:$N)</f>
        <v>다비</v>
      </c>
      <c r="AD52" s="2" t="str">
        <f t="shared" si="30"/>
        <v>Unique1_다비</v>
      </c>
      <c r="AE52" s="2">
        <f t="shared" si="4"/>
        <v>1402</v>
      </c>
    </row>
    <row r="53" spans="1:31" x14ac:dyDescent="0.2">
      <c r="A53" s="2">
        <f t="shared" si="0"/>
        <v>10003011</v>
      </c>
      <c r="B53" s="1">
        <v>10000003</v>
      </c>
      <c r="C53" s="1" t="s">
        <v>281</v>
      </c>
      <c r="D53" s="1" t="s">
        <v>309</v>
      </c>
      <c r="E53" s="1" t="str">
        <f>"Persona_"&amp;_xlfn.XLOOKUP($B53, '#캐릭터'!$A:$A, '#캐릭터'!$C:$C)</f>
        <v>Persona_c003</v>
      </c>
      <c r="F53" s="1"/>
      <c r="G53" s="1">
        <f>_xlfn.XLOOKUP(_xlfn.XLOOKUP(B53,'[1]Detail&lt;Child&gt;'!$A:$A,'[1]Detail&lt;Child&gt;'!$N:$N),'#참조'!P:P,'#참조'!Q:Q)</f>
        <v>1</v>
      </c>
      <c r="H53" s="1">
        <f>_xlfn.XLOOKUP(_xlfn.XLOOKUP(B53,'[1]Detail&lt;Child&gt;'!$A:$A,'[1]Detail&lt;Child&gt;'!$O:$O),'#참조'!R:R,'#참조'!S:S)</f>
        <v>4</v>
      </c>
      <c r="I53" s="1">
        <v>3</v>
      </c>
      <c r="J53" s="1">
        <v>1</v>
      </c>
      <c r="K53" s="1">
        <v>4</v>
      </c>
      <c r="L53" s="1">
        <v>11</v>
      </c>
      <c r="M53" s="2" t="s">
        <v>15</v>
      </c>
      <c r="N53" s="2" t="s">
        <v>407</v>
      </c>
      <c r="O53" s="2">
        <f t="shared" si="20"/>
        <v>5188</v>
      </c>
      <c r="P53" s="2" t="s">
        <v>56</v>
      </c>
      <c r="Q53" s="2" t="str">
        <f t="shared" si="1"/>
        <v>13787,16500</v>
      </c>
      <c r="R53" s="2">
        <f t="shared" si="21"/>
        <v>13787</v>
      </c>
      <c r="S53" s="2">
        <f t="shared" si="16"/>
        <v>16500</v>
      </c>
      <c r="T53" s="2" t="s">
        <v>57</v>
      </c>
      <c r="U53" s="2" t="str">
        <f t="shared" si="2"/>
        <v>622,700</v>
      </c>
      <c r="V53" s="2">
        <f t="shared" si="22"/>
        <v>622</v>
      </c>
      <c r="W53" s="2">
        <f t="shared" si="17"/>
        <v>700</v>
      </c>
      <c r="X53" s="2" t="s">
        <v>58</v>
      </c>
      <c r="Y53" s="2" t="str">
        <f t="shared" si="3"/>
        <v>1105,1300</v>
      </c>
      <c r="Z53" s="2">
        <f t="shared" si="23"/>
        <v>1105</v>
      </c>
      <c r="AA53" s="2">
        <f t="shared" si="18"/>
        <v>1300</v>
      </c>
      <c r="AB53" s="2">
        <v>85000</v>
      </c>
      <c r="AC53" s="2" t="str">
        <f>_xlfn.XLOOKUP($B53, '#참조'!$M:$M, '#참조'!$N:$N)</f>
        <v>다비</v>
      </c>
      <c r="AD53" s="2" t="str">
        <f t="shared" si="30"/>
        <v>Unique2_다비</v>
      </c>
      <c r="AE53" s="2">
        <f t="shared" si="4"/>
        <v>1403</v>
      </c>
    </row>
    <row r="54" spans="1:31" x14ac:dyDescent="0.2">
      <c r="A54" s="2">
        <f t="shared" si="0"/>
        <v>10003012</v>
      </c>
      <c r="B54" s="1">
        <v>10000003</v>
      </c>
      <c r="C54" s="1" t="s">
        <v>281</v>
      </c>
      <c r="D54" s="1" t="s">
        <v>309</v>
      </c>
      <c r="E54" s="1" t="str">
        <f>"Persona_"&amp;_xlfn.XLOOKUP($B54, '#캐릭터'!$A:$A, '#캐릭터'!$C:$C)</f>
        <v>Persona_c003</v>
      </c>
      <c r="F54" s="1"/>
      <c r="G54" s="1">
        <f>_xlfn.XLOOKUP(_xlfn.XLOOKUP(B54,'[1]Detail&lt;Child&gt;'!$A:$A,'[1]Detail&lt;Child&gt;'!$N:$N),'#참조'!P:P,'#참조'!Q:Q)</f>
        <v>1</v>
      </c>
      <c r="H54" s="1">
        <f>_xlfn.XLOOKUP(_xlfn.XLOOKUP(B54,'[1]Detail&lt;Child&gt;'!$A:$A,'[1]Detail&lt;Child&gt;'!$O:$O),'#참조'!R:R,'#참조'!S:S)</f>
        <v>4</v>
      </c>
      <c r="I54" s="1">
        <v>3</v>
      </c>
      <c r="J54" s="1">
        <v>1</v>
      </c>
      <c r="K54" s="1">
        <v>4</v>
      </c>
      <c r="L54" s="1">
        <v>12</v>
      </c>
      <c r="M54" s="2" t="s">
        <v>16</v>
      </c>
      <c r="N54" s="2" t="s">
        <v>407</v>
      </c>
      <c r="O54" s="2">
        <f t="shared" si="20"/>
        <v>5707</v>
      </c>
      <c r="P54" s="2" t="s">
        <v>56</v>
      </c>
      <c r="Q54" s="2" t="str">
        <f t="shared" si="1"/>
        <v>17923,21500</v>
      </c>
      <c r="R54" s="2">
        <f t="shared" si="21"/>
        <v>17923</v>
      </c>
      <c r="S54" s="2">
        <f t="shared" si="16"/>
        <v>21500</v>
      </c>
      <c r="T54" s="2" t="s">
        <v>57</v>
      </c>
      <c r="U54" s="2" t="str">
        <f t="shared" si="2"/>
        <v>746,900</v>
      </c>
      <c r="V54" s="2">
        <f t="shared" si="22"/>
        <v>746</v>
      </c>
      <c r="W54" s="2">
        <f t="shared" si="17"/>
        <v>900</v>
      </c>
      <c r="X54" s="2" t="s">
        <v>58</v>
      </c>
      <c r="Y54" s="2" t="str">
        <f t="shared" si="3"/>
        <v>1437,1700</v>
      </c>
      <c r="Z54" s="2">
        <f t="shared" si="23"/>
        <v>1437</v>
      </c>
      <c r="AA54" s="2">
        <f t="shared" si="18"/>
        <v>1700</v>
      </c>
      <c r="AB54" s="2">
        <v>85000</v>
      </c>
      <c r="AC54" s="2" t="str">
        <f>_xlfn.XLOOKUP($B54, '#참조'!$M:$M, '#참조'!$N:$N)</f>
        <v>다비</v>
      </c>
      <c r="AD54" s="2" t="str">
        <f t="shared" si="30"/>
        <v>Unique3_다비</v>
      </c>
      <c r="AE54" s="2">
        <f t="shared" si="4"/>
        <v>1403</v>
      </c>
    </row>
    <row r="55" spans="1:31" x14ac:dyDescent="0.2">
      <c r="A55" s="2">
        <f t="shared" si="0"/>
        <v>10003013</v>
      </c>
      <c r="B55" s="1">
        <v>10000003</v>
      </c>
      <c r="C55" s="1" t="s">
        <v>281</v>
      </c>
      <c r="D55" s="1" t="s">
        <v>309</v>
      </c>
      <c r="E55" s="1" t="str">
        <f>"Persona_"&amp;_xlfn.XLOOKUP($B55, '#캐릭터'!$A:$A, '#캐릭터'!$C:$C)</f>
        <v>Persona_c003</v>
      </c>
      <c r="F55" s="1"/>
      <c r="G55" s="1">
        <f>_xlfn.XLOOKUP(_xlfn.XLOOKUP(B55,'[1]Detail&lt;Child&gt;'!$A:$A,'[1]Detail&lt;Child&gt;'!$N:$N),'#참조'!P:P,'#참조'!Q:Q)</f>
        <v>1</v>
      </c>
      <c r="H55" s="1">
        <f>_xlfn.XLOOKUP(_xlfn.XLOOKUP(B55,'[1]Detail&lt;Child&gt;'!$A:$A,'[1]Detail&lt;Child&gt;'!$O:$O),'#참조'!R:R,'#참조'!S:S)</f>
        <v>4</v>
      </c>
      <c r="I55" s="1">
        <v>4</v>
      </c>
      <c r="J55" s="1">
        <v>1</v>
      </c>
      <c r="K55" s="1">
        <v>5</v>
      </c>
      <c r="L55" s="1">
        <v>13</v>
      </c>
      <c r="M55" s="2" t="s">
        <v>17</v>
      </c>
      <c r="N55" s="2" t="s">
        <v>407</v>
      </c>
      <c r="O55" s="2">
        <f t="shared" si="20"/>
        <v>6278</v>
      </c>
      <c r="P55" s="2" t="s">
        <v>56</v>
      </c>
      <c r="Q55" s="2" t="str">
        <f t="shared" si="1"/>
        <v>23300,28000</v>
      </c>
      <c r="R55" s="2">
        <f t="shared" si="21"/>
        <v>23300</v>
      </c>
      <c r="S55" s="2">
        <f t="shared" si="16"/>
        <v>28000</v>
      </c>
      <c r="T55" s="2" t="s">
        <v>57</v>
      </c>
      <c r="U55" s="2" t="str">
        <f t="shared" si="2"/>
        <v>895,1100</v>
      </c>
      <c r="V55" s="2">
        <f t="shared" si="22"/>
        <v>895</v>
      </c>
      <c r="W55" s="2">
        <f t="shared" si="17"/>
        <v>1100</v>
      </c>
      <c r="X55" s="2" t="s">
        <v>58</v>
      </c>
      <c r="Y55" s="2" t="str">
        <f t="shared" si="3"/>
        <v>1868,2200</v>
      </c>
      <c r="Z55" s="2">
        <f t="shared" si="23"/>
        <v>1868</v>
      </c>
      <c r="AA55" s="2">
        <f t="shared" si="18"/>
        <v>2200</v>
      </c>
      <c r="AB55" s="2">
        <v>80000</v>
      </c>
      <c r="AC55" s="2" t="str">
        <f>_xlfn.XLOOKUP($B55, '#참조'!$M:$M, '#참조'!$N:$N)</f>
        <v>다비</v>
      </c>
      <c r="AD55" s="2" t="str">
        <f t="shared" si="30"/>
        <v>Epic1_다비</v>
      </c>
      <c r="AE55" s="2">
        <f t="shared" si="4"/>
        <v>1404</v>
      </c>
    </row>
    <row r="56" spans="1:31" x14ac:dyDescent="0.2">
      <c r="A56" s="2">
        <f t="shared" si="0"/>
        <v>10003014</v>
      </c>
      <c r="B56" s="1">
        <v>10000003</v>
      </c>
      <c r="C56" s="1" t="s">
        <v>281</v>
      </c>
      <c r="D56" s="1" t="s">
        <v>309</v>
      </c>
      <c r="E56" s="1" t="str">
        <f>"Persona_"&amp;_xlfn.XLOOKUP($B56, '#캐릭터'!$A:$A, '#캐릭터'!$C:$C)</f>
        <v>Persona_c003</v>
      </c>
      <c r="F56" s="1"/>
      <c r="G56" s="1">
        <f>_xlfn.XLOOKUP(_xlfn.XLOOKUP(B56,'[1]Detail&lt;Child&gt;'!$A:$A,'[1]Detail&lt;Child&gt;'!$N:$N),'#참조'!P:P,'#참조'!Q:Q)</f>
        <v>1</v>
      </c>
      <c r="H56" s="1">
        <f>_xlfn.XLOOKUP(_xlfn.XLOOKUP(B56,'[1]Detail&lt;Child&gt;'!$A:$A,'[1]Detail&lt;Child&gt;'!$O:$O),'#참조'!R:R,'#참조'!S:S)</f>
        <v>4</v>
      </c>
      <c r="I56" s="1">
        <v>4</v>
      </c>
      <c r="J56" s="1">
        <v>1</v>
      </c>
      <c r="K56" s="1">
        <v>5</v>
      </c>
      <c r="L56" s="1">
        <v>14</v>
      </c>
      <c r="M56" s="2" t="s">
        <v>18</v>
      </c>
      <c r="N56" s="2" t="s">
        <v>407</v>
      </c>
      <c r="O56" s="2">
        <f t="shared" si="20"/>
        <v>6906</v>
      </c>
      <c r="P56" s="2" t="s">
        <v>56</v>
      </c>
      <c r="Q56" s="2" t="str">
        <f t="shared" si="1"/>
        <v>30290,36300</v>
      </c>
      <c r="R56" s="2">
        <f t="shared" si="21"/>
        <v>30290</v>
      </c>
      <c r="S56" s="2">
        <f t="shared" si="16"/>
        <v>36300</v>
      </c>
      <c r="T56" s="2" t="s">
        <v>57</v>
      </c>
      <c r="U56" s="2" t="str">
        <f t="shared" si="2"/>
        <v>1074,1300</v>
      </c>
      <c r="V56" s="2">
        <f t="shared" si="22"/>
        <v>1074</v>
      </c>
      <c r="W56" s="2">
        <f t="shared" si="17"/>
        <v>1300</v>
      </c>
      <c r="X56" s="2" t="s">
        <v>58</v>
      </c>
      <c r="Y56" s="2" t="str">
        <f t="shared" si="3"/>
        <v>2428,2900</v>
      </c>
      <c r="Z56" s="2">
        <f t="shared" si="23"/>
        <v>2428</v>
      </c>
      <c r="AA56" s="2">
        <f t="shared" si="18"/>
        <v>2900</v>
      </c>
      <c r="AB56" s="2">
        <v>80000</v>
      </c>
      <c r="AC56" s="2" t="str">
        <f>_xlfn.XLOOKUP($B56, '#참조'!$M:$M, '#참조'!$N:$N)</f>
        <v>다비</v>
      </c>
      <c r="AD56" s="2" t="str">
        <f t="shared" si="30"/>
        <v>Epic2_다비</v>
      </c>
      <c r="AE56" s="2">
        <f t="shared" si="4"/>
        <v>1404</v>
      </c>
    </row>
    <row r="57" spans="1:31" x14ac:dyDescent="0.2">
      <c r="A57" s="2">
        <f t="shared" si="0"/>
        <v>10003015</v>
      </c>
      <c r="B57" s="1">
        <v>10000003</v>
      </c>
      <c r="C57" s="1" t="s">
        <v>281</v>
      </c>
      <c r="D57" s="1" t="s">
        <v>309</v>
      </c>
      <c r="E57" s="1" t="str">
        <f>"Persona_"&amp;_xlfn.XLOOKUP($B57, '#캐릭터'!$A:$A, '#캐릭터'!$C:$C)</f>
        <v>Persona_c003</v>
      </c>
      <c r="F57" s="1"/>
      <c r="G57" s="1">
        <f>_xlfn.XLOOKUP(_xlfn.XLOOKUP(B57,'[1]Detail&lt;Child&gt;'!$A:$A,'[1]Detail&lt;Child&gt;'!$N:$N),'#참조'!P:P,'#참조'!Q:Q)</f>
        <v>1</v>
      </c>
      <c r="H57" s="1">
        <f>_xlfn.XLOOKUP(_xlfn.XLOOKUP(B57,'[1]Detail&lt;Child&gt;'!$A:$A,'[1]Detail&lt;Child&gt;'!$O:$O),'#참조'!R:R,'#참조'!S:S)</f>
        <v>4</v>
      </c>
      <c r="I57" s="1">
        <v>5</v>
      </c>
      <c r="J57" s="1">
        <v>1</v>
      </c>
      <c r="K57" s="1">
        <v>5</v>
      </c>
      <c r="L57" s="1">
        <v>15</v>
      </c>
      <c r="M57" s="2" t="s">
        <v>19</v>
      </c>
      <c r="N57" s="2" t="s">
        <v>407</v>
      </c>
      <c r="O57" s="2">
        <f t="shared" si="20"/>
        <v>7597</v>
      </c>
      <c r="P57" s="2" t="s">
        <v>56</v>
      </c>
      <c r="Q57" s="2" t="str">
        <f t="shared" si="1"/>
        <v>39377,47300</v>
      </c>
      <c r="R57" s="2">
        <f t="shared" si="21"/>
        <v>39377</v>
      </c>
      <c r="S57" s="2">
        <f t="shared" si="16"/>
        <v>47300</v>
      </c>
      <c r="T57" s="2" t="s">
        <v>57</v>
      </c>
      <c r="U57" s="2" t="str">
        <f t="shared" si="2"/>
        <v>1289,1500</v>
      </c>
      <c r="V57" s="2">
        <f t="shared" si="22"/>
        <v>1289</v>
      </c>
      <c r="W57" s="2">
        <f t="shared" si="17"/>
        <v>1500</v>
      </c>
      <c r="X57" s="2" t="s">
        <v>58</v>
      </c>
      <c r="Y57" s="2" t="str">
        <f t="shared" si="3"/>
        <v>3156,3800</v>
      </c>
      <c r="Z57" s="2">
        <f t="shared" si="23"/>
        <v>3156</v>
      </c>
      <c r="AA57" s="2">
        <f t="shared" si="18"/>
        <v>3800</v>
      </c>
      <c r="AB57" s="2">
        <v>80000</v>
      </c>
      <c r="AC57" s="2" t="str">
        <f>_xlfn.XLOOKUP($B57, '#참조'!$M:$M, '#참조'!$N:$N)</f>
        <v>다비</v>
      </c>
      <c r="AD57" s="2" t="str">
        <f t="shared" si="30"/>
        <v>Epic3_다비</v>
      </c>
      <c r="AE57" s="2">
        <f t="shared" si="4"/>
        <v>1405</v>
      </c>
    </row>
    <row r="58" spans="1:31" x14ac:dyDescent="0.2">
      <c r="A58" s="2">
        <f t="shared" si="0"/>
        <v>10003016</v>
      </c>
      <c r="B58" s="1">
        <v>10000003</v>
      </c>
      <c r="C58" s="1" t="s">
        <v>281</v>
      </c>
      <c r="D58" s="1" t="s">
        <v>309</v>
      </c>
      <c r="E58" s="1" t="str">
        <f>"Persona_"&amp;_xlfn.XLOOKUP($B58, '#캐릭터'!$A:$A, '#캐릭터'!$C:$C)</f>
        <v>Persona_c003</v>
      </c>
      <c r="F58" s="1"/>
      <c r="G58" s="1">
        <f>_xlfn.XLOOKUP(_xlfn.XLOOKUP(B58,'[1]Detail&lt;Child&gt;'!$A:$A,'[1]Detail&lt;Child&gt;'!$N:$N),'#참조'!P:P,'#참조'!Q:Q)</f>
        <v>1</v>
      </c>
      <c r="H58" s="1">
        <f>_xlfn.XLOOKUP(_xlfn.XLOOKUP(B58,'[1]Detail&lt;Child&gt;'!$A:$A,'[1]Detail&lt;Child&gt;'!$O:$O),'#참조'!R:R,'#참조'!S:S)</f>
        <v>4</v>
      </c>
      <c r="I58" s="1">
        <v>5</v>
      </c>
      <c r="J58" s="1">
        <v>1</v>
      </c>
      <c r="K58" s="1">
        <v>6</v>
      </c>
      <c r="L58" s="1">
        <v>16</v>
      </c>
      <c r="M58" s="2" t="s">
        <v>20</v>
      </c>
      <c r="N58" s="2" t="s">
        <v>407</v>
      </c>
      <c r="O58" s="2">
        <f t="shared" si="20"/>
        <v>8357</v>
      </c>
      <c r="P58" s="2" t="s">
        <v>56</v>
      </c>
      <c r="Q58" s="2" t="str">
        <f t="shared" si="1"/>
        <v>51190,61400</v>
      </c>
      <c r="R58" s="2">
        <f t="shared" si="21"/>
        <v>51190</v>
      </c>
      <c r="S58" s="2">
        <f t="shared" si="16"/>
        <v>61400</v>
      </c>
      <c r="T58" s="2" t="s">
        <v>57</v>
      </c>
      <c r="U58" s="2" t="str">
        <f t="shared" si="2"/>
        <v>1547,1900</v>
      </c>
      <c r="V58" s="2">
        <f t="shared" si="22"/>
        <v>1547</v>
      </c>
      <c r="W58" s="2">
        <f t="shared" si="17"/>
        <v>1900</v>
      </c>
      <c r="X58" s="2" t="s">
        <v>58</v>
      </c>
      <c r="Y58" s="2" t="str">
        <f t="shared" si="3"/>
        <v>4103,4900</v>
      </c>
      <c r="Z58" s="2">
        <f t="shared" si="23"/>
        <v>4103</v>
      </c>
      <c r="AA58" s="2">
        <f t="shared" si="18"/>
        <v>4900</v>
      </c>
      <c r="AB58" s="2">
        <v>75000</v>
      </c>
      <c r="AC58" s="2" t="str">
        <f>_xlfn.XLOOKUP($B58, '#참조'!$M:$M, '#참조'!$N:$N)</f>
        <v>다비</v>
      </c>
      <c r="AD58" s="2" t="str">
        <f t="shared" si="30"/>
        <v>Legendary1_다비</v>
      </c>
      <c r="AE58" s="2">
        <f t="shared" si="4"/>
        <v>1405</v>
      </c>
    </row>
    <row r="59" spans="1:31" x14ac:dyDescent="0.2">
      <c r="A59" s="2">
        <f t="shared" si="0"/>
        <v>10003017</v>
      </c>
      <c r="B59" s="1">
        <v>10000003</v>
      </c>
      <c r="C59" s="1" t="s">
        <v>281</v>
      </c>
      <c r="D59" s="1" t="s">
        <v>309</v>
      </c>
      <c r="E59" s="1" t="str">
        <f>"Persona_"&amp;_xlfn.XLOOKUP($B59, '#캐릭터'!$A:$A, '#캐릭터'!$C:$C)</f>
        <v>Persona_c003</v>
      </c>
      <c r="F59" s="1"/>
      <c r="G59" s="1">
        <f>_xlfn.XLOOKUP(_xlfn.XLOOKUP(B59,'[1]Detail&lt;Child&gt;'!$A:$A,'[1]Detail&lt;Child&gt;'!$N:$N),'#참조'!P:P,'#참조'!Q:Q)</f>
        <v>1</v>
      </c>
      <c r="H59" s="1">
        <f>_xlfn.XLOOKUP(_xlfn.XLOOKUP(B59,'[1]Detail&lt;Child&gt;'!$A:$A,'[1]Detail&lt;Child&gt;'!$O:$O),'#참조'!R:R,'#참조'!S:S)</f>
        <v>4</v>
      </c>
      <c r="I59" s="1">
        <v>6</v>
      </c>
      <c r="J59" s="1">
        <v>1</v>
      </c>
      <c r="K59" s="1">
        <v>6</v>
      </c>
      <c r="L59" s="1">
        <v>17</v>
      </c>
      <c r="M59" s="2" t="s">
        <v>21</v>
      </c>
      <c r="N59" s="2" t="s">
        <v>407</v>
      </c>
      <c r="O59" s="2">
        <f t="shared" si="20"/>
        <v>9193</v>
      </c>
      <c r="P59" s="2" t="s">
        <v>56</v>
      </c>
      <c r="Q59" s="2" t="str">
        <f t="shared" si="1"/>
        <v>66547,79900</v>
      </c>
      <c r="R59" s="2">
        <f t="shared" si="21"/>
        <v>66547</v>
      </c>
      <c r="S59" s="2">
        <f t="shared" si="16"/>
        <v>79900</v>
      </c>
      <c r="T59" s="2" t="s">
        <v>57</v>
      </c>
      <c r="U59" s="2" t="str">
        <f t="shared" si="2"/>
        <v>1856,2200</v>
      </c>
      <c r="V59" s="2">
        <f t="shared" si="22"/>
        <v>1856</v>
      </c>
      <c r="W59" s="2">
        <f t="shared" si="17"/>
        <v>2200</v>
      </c>
      <c r="X59" s="2" t="s">
        <v>58</v>
      </c>
      <c r="Y59" s="2" t="str">
        <f t="shared" si="3"/>
        <v>5334,6400</v>
      </c>
      <c r="Z59" s="2">
        <f t="shared" si="23"/>
        <v>5334</v>
      </c>
      <c r="AA59" s="2">
        <f t="shared" si="18"/>
        <v>6400</v>
      </c>
      <c r="AB59" s="2">
        <v>75000</v>
      </c>
      <c r="AC59" s="2" t="str">
        <f>_xlfn.XLOOKUP($B59, '#참조'!$M:$M, '#참조'!$N:$N)</f>
        <v>다비</v>
      </c>
      <c r="AD59" s="2" t="str">
        <f t="shared" si="30"/>
        <v>Legendary2_다비</v>
      </c>
      <c r="AE59" s="2">
        <f t="shared" si="4"/>
        <v>1406</v>
      </c>
    </row>
    <row r="60" spans="1:31" x14ac:dyDescent="0.2">
      <c r="A60" s="2">
        <f t="shared" si="0"/>
        <v>10003018</v>
      </c>
      <c r="B60" s="1">
        <v>10000003</v>
      </c>
      <c r="C60" s="1" t="s">
        <v>281</v>
      </c>
      <c r="D60" s="1" t="s">
        <v>309</v>
      </c>
      <c r="E60" s="1" t="str">
        <f>"Persona_"&amp;_xlfn.XLOOKUP($B60, '#캐릭터'!$A:$A, '#캐릭터'!$C:$C)</f>
        <v>Persona_c003</v>
      </c>
      <c r="F60" s="1"/>
      <c r="G60" s="1">
        <f>_xlfn.XLOOKUP(_xlfn.XLOOKUP(B60,'[1]Detail&lt;Child&gt;'!$A:$A,'[1]Detail&lt;Child&gt;'!$N:$N),'#참조'!P:P,'#참조'!Q:Q)</f>
        <v>1</v>
      </c>
      <c r="H60" s="1">
        <f>_xlfn.XLOOKUP(_xlfn.XLOOKUP(B60,'[1]Detail&lt;Child&gt;'!$A:$A,'[1]Detail&lt;Child&gt;'!$O:$O),'#참조'!R:R,'#참조'!S:S)</f>
        <v>4</v>
      </c>
      <c r="I60" s="1">
        <v>6</v>
      </c>
      <c r="J60" s="1">
        <v>1</v>
      </c>
      <c r="K60" s="1">
        <v>6</v>
      </c>
      <c r="L60" s="1">
        <v>18</v>
      </c>
      <c r="M60" s="2" t="s">
        <v>22</v>
      </c>
      <c r="N60" s="2" t="s">
        <v>407</v>
      </c>
      <c r="O60" s="2">
        <f t="shared" si="20"/>
        <v>10112</v>
      </c>
      <c r="P60" s="2" t="s">
        <v>56</v>
      </c>
      <c r="Q60" s="2" t="str">
        <f t="shared" si="1"/>
        <v>86511,103800</v>
      </c>
      <c r="R60" s="2">
        <f t="shared" si="21"/>
        <v>86511</v>
      </c>
      <c r="S60" s="2">
        <f t="shared" si="16"/>
        <v>103800</v>
      </c>
      <c r="T60" s="2" t="s">
        <v>57</v>
      </c>
      <c r="U60" s="2" t="str">
        <f t="shared" si="2"/>
        <v>2227,2700</v>
      </c>
      <c r="V60" s="2">
        <f t="shared" si="22"/>
        <v>2227</v>
      </c>
      <c r="W60" s="2">
        <f t="shared" si="17"/>
        <v>2700</v>
      </c>
      <c r="X60" s="2" t="s">
        <v>58</v>
      </c>
      <c r="Y60" s="2" t="str">
        <f t="shared" si="3"/>
        <v>6934,8300</v>
      </c>
      <c r="Z60" s="2">
        <f t="shared" si="23"/>
        <v>6934</v>
      </c>
      <c r="AA60" s="2">
        <f t="shared" si="18"/>
        <v>8300</v>
      </c>
      <c r="AB60" s="2">
        <v>75000</v>
      </c>
      <c r="AC60" s="2" t="str">
        <f>_xlfn.XLOOKUP($B60, '#참조'!$M:$M, '#참조'!$N:$N)</f>
        <v>다비</v>
      </c>
      <c r="AD60" s="2" t="str">
        <f t="shared" si="30"/>
        <v>Legendary3_다비</v>
      </c>
      <c r="AE60" s="2">
        <f t="shared" si="4"/>
        <v>1406</v>
      </c>
    </row>
    <row r="61" spans="1:31" x14ac:dyDescent="0.2">
      <c r="A61" s="2">
        <f t="shared" si="0"/>
        <v>10464000</v>
      </c>
      <c r="B61" s="1">
        <v>10000464</v>
      </c>
      <c r="C61" s="1" t="s">
        <v>281</v>
      </c>
      <c r="D61" s="1" t="s">
        <v>309</v>
      </c>
      <c r="E61" s="1" t="str">
        <f>"Persona_"&amp;_xlfn.XLOOKUP($B61, '#캐릭터'!$A:$A, '#캐릭터'!$C:$C)</f>
        <v>Persona_c464</v>
      </c>
      <c r="F61" s="1"/>
      <c r="G61" s="1">
        <f>_xlfn.XLOOKUP(_xlfn.XLOOKUP(B61,'[1]Detail&lt;Child&gt;'!$A:$A,'[1]Detail&lt;Child&gt;'!$N:$N),'#참조'!P:P,'#참조'!Q:Q)</f>
        <v>2</v>
      </c>
      <c r="H61" s="1">
        <f>_xlfn.XLOOKUP(_xlfn.XLOOKUP(B61,'[1]Detail&lt;Child&gt;'!$A:$A,'[1]Detail&lt;Child&gt;'!$O:$O),'#참조'!R:R,'#참조'!S:S)</f>
        <v>4</v>
      </c>
      <c r="I61" s="1">
        <v>0</v>
      </c>
      <c r="J61" s="1">
        <v>3</v>
      </c>
      <c r="K61" s="1">
        <v>0</v>
      </c>
      <c r="L61" s="1">
        <v>0</v>
      </c>
      <c r="M61" s="2" t="s">
        <v>2</v>
      </c>
      <c r="N61" s="2" t="s">
        <v>407</v>
      </c>
      <c r="O61" s="2">
        <v>0</v>
      </c>
      <c r="P61" s="2" t="s">
        <v>56</v>
      </c>
      <c r="Q61" s="2" t="str">
        <f t="shared" si="1"/>
        <v>1000,1000</v>
      </c>
      <c r="R61" s="2">
        <v>1000</v>
      </c>
      <c r="S61" s="2">
        <f t="shared" ref="S61" si="35">R61</f>
        <v>1000</v>
      </c>
      <c r="T61" s="2" t="s">
        <v>57</v>
      </c>
      <c r="U61" s="2" t="str">
        <f t="shared" si="2"/>
        <v>100,100</v>
      </c>
      <c r="V61" s="2">
        <v>100</v>
      </c>
      <c r="W61" s="2">
        <f t="shared" ref="W61" si="36">V61</f>
        <v>100</v>
      </c>
      <c r="X61" s="2" t="s">
        <v>58</v>
      </c>
      <c r="Y61" s="2" t="str">
        <f t="shared" si="3"/>
        <v>80,80</v>
      </c>
      <c r="Z61" s="2">
        <v>80</v>
      </c>
      <c r="AA61" s="2">
        <f t="shared" ref="AA61" si="37">Z61</f>
        <v>80</v>
      </c>
      <c r="AB61" s="2">
        <v>100000</v>
      </c>
      <c r="AE61" s="2">
        <f t="shared" si="4"/>
        <v>0</v>
      </c>
    </row>
    <row r="62" spans="1:31" x14ac:dyDescent="0.2">
      <c r="A62" s="2">
        <f t="shared" si="0"/>
        <v>10464001</v>
      </c>
      <c r="B62" s="1">
        <v>10000464</v>
      </c>
      <c r="C62" s="1" t="s">
        <v>281</v>
      </c>
      <c r="D62" s="1" t="s">
        <v>309</v>
      </c>
      <c r="E62" s="1" t="str">
        <f>"Persona_"&amp;_xlfn.XLOOKUP($B62, '#캐릭터'!$A:$A, '#캐릭터'!$C:$C)</f>
        <v>Persona_c464</v>
      </c>
      <c r="F62" s="1"/>
      <c r="G62" s="1">
        <f>_xlfn.XLOOKUP(_xlfn.XLOOKUP(B62,'[1]Detail&lt;Child&gt;'!$A:$A,'[1]Detail&lt;Child&gt;'!$N:$N),'#참조'!P:P,'#참조'!Q:Q)</f>
        <v>2</v>
      </c>
      <c r="H62" s="1">
        <f>_xlfn.XLOOKUP(_xlfn.XLOOKUP(B62,'[1]Detail&lt;Child&gt;'!$A:$A,'[1]Detail&lt;Child&gt;'!$O:$O),'#참조'!R:R,'#참조'!S:S)</f>
        <v>4</v>
      </c>
      <c r="I62" s="1">
        <v>0</v>
      </c>
      <c r="J62" s="1">
        <v>3</v>
      </c>
      <c r="K62" s="1">
        <v>1</v>
      </c>
      <c r="L62" s="1">
        <v>1</v>
      </c>
      <c r="M62" s="2" t="s">
        <v>5</v>
      </c>
      <c r="N62" s="2" t="s">
        <v>407</v>
      </c>
      <c r="O62" s="2">
        <v>2000</v>
      </c>
      <c r="P62" s="2" t="s">
        <v>56</v>
      </c>
      <c r="Q62" s="2" t="str">
        <f t="shared" si="1"/>
        <v>1000,1200</v>
      </c>
      <c r="R62" s="2">
        <v>1000</v>
      </c>
      <c r="S62" s="2">
        <f t="shared" ref="S62" si="38">ROUND(R62*1.2, -2)</f>
        <v>1200</v>
      </c>
      <c r="T62" s="2" t="s">
        <v>57</v>
      </c>
      <c r="U62" s="2" t="str">
        <f t="shared" si="2"/>
        <v>100,100</v>
      </c>
      <c r="V62" s="2">
        <v>100</v>
      </c>
      <c r="W62" s="2">
        <f t="shared" ref="W62" si="39">ROUND(V62*1.2, -2)</f>
        <v>100</v>
      </c>
      <c r="X62" s="2" t="s">
        <v>58</v>
      </c>
      <c r="Y62" s="2" t="str">
        <f t="shared" si="3"/>
        <v>80,100</v>
      </c>
      <c r="Z62" s="2">
        <v>80</v>
      </c>
      <c r="AA62" s="2">
        <f t="shared" ref="AA62" si="40">ROUND(Z62*1.2, -2)</f>
        <v>100</v>
      </c>
      <c r="AB62" s="2">
        <v>100000</v>
      </c>
      <c r="AC62" s="2" t="e">
        <f>_xlfn.XLOOKUP($B62, '#참조'!$M:$M, '#참조'!$N:$N)</f>
        <v>#N/A</v>
      </c>
      <c r="AD62" s="2" t="e">
        <f t="shared" ref="AD62:AD79" si="41">M62&amp;"_"&amp;AC62</f>
        <v>#N/A</v>
      </c>
      <c r="AE62" s="2">
        <f t="shared" si="4"/>
        <v>0</v>
      </c>
    </row>
    <row r="63" spans="1:31" x14ac:dyDescent="0.2">
      <c r="A63" s="2">
        <f t="shared" si="0"/>
        <v>10464002</v>
      </c>
      <c r="B63" s="1">
        <v>10000464</v>
      </c>
      <c r="C63" s="1" t="s">
        <v>281</v>
      </c>
      <c r="D63" s="1" t="s">
        <v>309</v>
      </c>
      <c r="E63" s="1" t="str">
        <f>"Persona_"&amp;_xlfn.XLOOKUP($B63, '#캐릭터'!$A:$A, '#캐릭터'!$C:$C)</f>
        <v>Persona_c464</v>
      </c>
      <c r="F63" s="1"/>
      <c r="G63" s="1">
        <f>_xlfn.XLOOKUP(_xlfn.XLOOKUP(B63,'[1]Detail&lt;Child&gt;'!$A:$A,'[1]Detail&lt;Child&gt;'!$N:$N),'#참조'!P:P,'#참조'!Q:Q)</f>
        <v>2</v>
      </c>
      <c r="H63" s="1">
        <f>_xlfn.XLOOKUP(_xlfn.XLOOKUP(B63,'[1]Detail&lt;Child&gt;'!$A:$A,'[1]Detail&lt;Child&gt;'!$O:$O),'#참조'!R:R,'#참조'!S:S)</f>
        <v>4</v>
      </c>
      <c r="I63" s="1">
        <v>0</v>
      </c>
      <c r="J63" s="1">
        <v>3</v>
      </c>
      <c r="K63" s="1">
        <v>1</v>
      </c>
      <c r="L63" s="1">
        <v>2</v>
      </c>
      <c r="M63" s="2" t="s">
        <v>6</v>
      </c>
      <c r="N63" s="2" t="s">
        <v>407</v>
      </c>
      <c r="O63" s="2">
        <f t="shared" ref="O63" si="42">ROUND(O62*1.1, 0)</f>
        <v>2200</v>
      </c>
      <c r="P63" s="2" t="s">
        <v>56</v>
      </c>
      <c r="Q63" s="2" t="str">
        <f t="shared" si="1"/>
        <v>1300,1600</v>
      </c>
      <c r="R63" s="2">
        <f t="shared" ref="R63" si="43">ROUND(R62*1.3, 0)</f>
        <v>1300</v>
      </c>
      <c r="S63" s="2">
        <f t="shared" si="16"/>
        <v>1600</v>
      </c>
      <c r="T63" s="2" t="s">
        <v>57</v>
      </c>
      <c r="U63" s="2" t="str">
        <f t="shared" si="2"/>
        <v>120,100</v>
      </c>
      <c r="V63" s="2">
        <f t="shared" ref="V63" si="44">ROUND(V62*1.2, 0)</f>
        <v>120</v>
      </c>
      <c r="W63" s="2">
        <f t="shared" si="17"/>
        <v>100</v>
      </c>
      <c r="X63" s="2" t="s">
        <v>58</v>
      </c>
      <c r="Y63" s="2" t="str">
        <f t="shared" si="3"/>
        <v>104,100</v>
      </c>
      <c r="Z63" s="2">
        <f t="shared" ref="Z63" si="45">ROUND(Z62*1.3, 0)</f>
        <v>104</v>
      </c>
      <c r="AA63" s="2">
        <f t="shared" si="18"/>
        <v>100</v>
      </c>
      <c r="AB63" s="2">
        <v>100000</v>
      </c>
      <c r="AC63" s="2" t="e">
        <f>_xlfn.XLOOKUP($B63, '#참조'!$M:$M, '#참조'!$N:$N)</f>
        <v>#N/A</v>
      </c>
      <c r="AD63" s="2" t="e">
        <f t="shared" si="41"/>
        <v>#N/A</v>
      </c>
      <c r="AE63" s="2">
        <f t="shared" si="4"/>
        <v>0</v>
      </c>
    </row>
    <row r="64" spans="1:31" x14ac:dyDescent="0.2">
      <c r="A64" s="2">
        <f t="shared" si="0"/>
        <v>10464003</v>
      </c>
      <c r="B64" s="1">
        <v>10000464</v>
      </c>
      <c r="C64" s="1" t="s">
        <v>281</v>
      </c>
      <c r="D64" s="1" t="s">
        <v>309</v>
      </c>
      <c r="E64" s="1" t="str">
        <f>"Persona_"&amp;_xlfn.XLOOKUP($B64, '#캐릭터'!$A:$A, '#캐릭터'!$C:$C)</f>
        <v>Persona_c464</v>
      </c>
      <c r="F64" s="1"/>
      <c r="G64" s="1">
        <f>_xlfn.XLOOKUP(_xlfn.XLOOKUP(B64,'[1]Detail&lt;Child&gt;'!$A:$A,'[1]Detail&lt;Child&gt;'!$N:$N),'#참조'!P:P,'#참조'!Q:Q)</f>
        <v>2</v>
      </c>
      <c r="H64" s="1">
        <f>_xlfn.XLOOKUP(_xlfn.XLOOKUP(B64,'[1]Detail&lt;Child&gt;'!$A:$A,'[1]Detail&lt;Child&gt;'!$O:$O),'#참조'!R:R,'#참조'!S:S)</f>
        <v>4</v>
      </c>
      <c r="I64" s="1">
        <v>0</v>
      </c>
      <c r="J64" s="1">
        <v>3</v>
      </c>
      <c r="K64" s="1">
        <v>1</v>
      </c>
      <c r="L64" s="1">
        <v>3</v>
      </c>
      <c r="M64" s="2" t="s">
        <v>7</v>
      </c>
      <c r="N64" s="2" t="s">
        <v>407</v>
      </c>
      <c r="O64" s="2">
        <f t="shared" si="20"/>
        <v>2420</v>
      </c>
      <c r="P64" s="2" t="s">
        <v>56</v>
      </c>
      <c r="Q64" s="2" t="str">
        <f t="shared" si="1"/>
        <v>1690,2000</v>
      </c>
      <c r="R64" s="2">
        <f t="shared" si="21"/>
        <v>1690</v>
      </c>
      <c r="S64" s="2">
        <f t="shared" si="16"/>
        <v>2000</v>
      </c>
      <c r="T64" s="2" t="s">
        <v>57</v>
      </c>
      <c r="U64" s="2" t="str">
        <f t="shared" si="2"/>
        <v>144,200</v>
      </c>
      <c r="V64" s="2">
        <f t="shared" si="22"/>
        <v>144</v>
      </c>
      <c r="W64" s="2">
        <f t="shared" si="17"/>
        <v>200</v>
      </c>
      <c r="X64" s="2" t="s">
        <v>58</v>
      </c>
      <c r="Y64" s="2" t="str">
        <f t="shared" si="3"/>
        <v>135,200</v>
      </c>
      <c r="Z64" s="2">
        <f t="shared" si="23"/>
        <v>135</v>
      </c>
      <c r="AA64" s="2">
        <f t="shared" si="18"/>
        <v>200</v>
      </c>
      <c r="AB64" s="2">
        <v>100000</v>
      </c>
      <c r="AC64" s="2" t="e">
        <f>_xlfn.XLOOKUP($B64, '#참조'!$M:$M, '#참조'!$N:$N)</f>
        <v>#N/A</v>
      </c>
      <c r="AD64" s="2" t="e">
        <f t="shared" si="41"/>
        <v>#N/A</v>
      </c>
      <c r="AE64" s="2">
        <f t="shared" si="4"/>
        <v>0</v>
      </c>
    </row>
    <row r="65" spans="1:31" x14ac:dyDescent="0.2">
      <c r="A65" s="2">
        <f t="shared" si="0"/>
        <v>10464004</v>
      </c>
      <c r="B65" s="1">
        <v>10000464</v>
      </c>
      <c r="C65" s="1" t="s">
        <v>281</v>
      </c>
      <c r="D65" s="1" t="s">
        <v>309</v>
      </c>
      <c r="E65" s="1" t="str">
        <f>"Persona_"&amp;_xlfn.XLOOKUP($B65, '#캐릭터'!$A:$A, '#캐릭터'!$C:$C)</f>
        <v>Persona_c464</v>
      </c>
      <c r="F65" s="1"/>
      <c r="G65" s="1">
        <f>_xlfn.XLOOKUP(_xlfn.XLOOKUP(B65,'[1]Detail&lt;Child&gt;'!$A:$A,'[1]Detail&lt;Child&gt;'!$N:$N),'#참조'!P:P,'#참조'!Q:Q)</f>
        <v>2</v>
      </c>
      <c r="H65" s="1">
        <f>_xlfn.XLOOKUP(_xlfn.XLOOKUP(B65,'[1]Detail&lt;Child&gt;'!$A:$A,'[1]Detail&lt;Child&gt;'!$O:$O),'#참조'!R:R,'#참조'!S:S)</f>
        <v>4</v>
      </c>
      <c r="I65" s="1">
        <v>0</v>
      </c>
      <c r="J65" s="1">
        <v>3</v>
      </c>
      <c r="K65" s="1">
        <v>2</v>
      </c>
      <c r="L65" s="1">
        <v>4</v>
      </c>
      <c r="M65" s="2" t="s">
        <v>8</v>
      </c>
      <c r="N65" s="2" t="s">
        <v>407</v>
      </c>
      <c r="O65" s="2">
        <f t="shared" si="20"/>
        <v>2662</v>
      </c>
      <c r="P65" s="2" t="s">
        <v>56</v>
      </c>
      <c r="Q65" s="2" t="str">
        <f t="shared" si="1"/>
        <v>2197,2600</v>
      </c>
      <c r="R65" s="2">
        <f t="shared" si="21"/>
        <v>2197</v>
      </c>
      <c r="S65" s="2">
        <f t="shared" si="16"/>
        <v>2600</v>
      </c>
      <c r="T65" s="2" t="s">
        <v>57</v>
      </c>
      <c r="U65" s="2" t="str">
        <f t="shared" si="2"/>
        <v>173,200</v>
      </c>
      <c r="V65" s="2">
        <f t="shared" si="22"/>
        <v>173</v>
      </c>
      <c r="W65" s="2">
        <f t="shared" si="17"/>
        <v>200</v>
      </c>
      <c r="X65" s="2" t="s">
        <v>58</v>
      </c>
      <c r="Y65" s="2" t="str">
        <f t="shared" si="3"/>
        <v>176,200</v>
      </c>
      <c r="Z65" s="2">
        <f t="shared" si="23"/>
        <v>176</v>
      </c>
      <c r="AA65" s="2">
        <f t="shared" si="18"/>
        <v>200</v>
      </c>
      <c r="AB65" s="2">
        <v>95000</v>
      </c>
      <c r="AC65" s="2" t="e">
        <f>_xlfn.XLOOKUP($B65, '#참조'!$M:$M, '#참조'!$N:$N)</f>
        <v>#N/A</v>
      </c>
      <c r="AD65" s="2" t="e">
        <f t="shared" si="41"/>
        <v>#N/A</v>
      </c>
      <c r="AE65" s="2">
        <f t="shared" si="4"/>
        <v>0</v>
      </c>
    </row>
    <row r="66" spans="1:31" x14ac:dyDescent="0.2">
      <c r="A66" s="2">
        <f t="shared" si="0"/>
        <v>10464005</v>
      </c>
      <c r="B66" s="1">
        <v>10000464</v>
      </c>
      <c r="C66" s="1" t="s">
        <v>281</v>
      </c>
      <c r="D66" s="1" t="s">
        <v>309</v>
      </c>
      <c r="E66" s="1" t="str">
        <f>"Persona_"&amp;_xlfn.XLOOKUP($B66, '#캐릭터'!$A:$A, '#캐릭터'!$C:$C)</f>
        <v>Persona_c464</v>
      </c>
      <c r="F66" s="1"/>
      <c r="G66" s="1">
        <f>_xlfn.XLOOKUP(_xlfn.XLOOKUP(B66,'[1]Detail&lt;Child&gt;'!$A:$A,'[1]Detail&lt;Child&gt;'!$N:$N),'#참조'!P:P,'#참조'!Q:Q)</f>
        <v>2</v>
      </c>
      <c r="H66" s="1">
        <f>_xlfn.XLOOKUP(_xlfn.XLOOKUP(B66,'[1]Detail&lt;Child&gt;'!$A:$A,'[1]Detail&lt;Child&gt;'!$O:$O),'#참조'!R:R,'#참조'!S:S)</f>
        <v>4</v>
      </c>
      <c r="I66" s="1">
        <v>0</v>
      </c>
      <c r="J66" s="1">
        <v>3</v>
      </c>
      <c r="K66" s="1">
        <v>2</v>
      </c>
      <c r="L66" s="1">
        <v>5</v>
      </c>
      <c r="M66" s="2" t="s">
        <v>9</v>
      </c>
      <c r="N66" s="2" t="s">
        <v>407</v>
      </c>
      <c r="O66" s="2">
        <f t="shared" si="20"/>
        <v>2928</v>
      </c>
      <c r="P66" s="2" t="s">
        <v>56</v>
      </c>
      <c r="Q66" s="2" t="str">
        <f t="shared" si="1"/>
        <v>2856,3400</v>
      </c>
      <c r="R66" s="2">
        <f t="shared" si="21"/>
        <v>2856</v>
      </c>
      <c r="S66" s="2">
        <f t="shared" si="16"/>
        <v>3400</v>
      </c>
      <c r="T66" s="2" t="s">
        <v>57</v>
      </c>
      <c r="U66" s="2" t="str">
        <f t="shared" si="2"/>
        <v>208,200</v>
      </c>
      <c r="V66" s="2">
        <f t="shared" si="22"/>
        <v>208</v>
      </c>
      <c r="W66" s="2">
        <f t="shared" si="17"/>
        <v>200</v>
      </c>
      <c r="X66" s="2" t="s">
        <v>58</v>
      </c>
      <c r="Y66" s="2" t="str">
        <f t="shared" si="3"/>
        <v>229,300</v>
      </c>
      <c r="Z66" s="2">
        <f t="shared" si="23"/>
        <v>229</v>
      </c>
      <c r="AA66" s="2">
        <f t="shared" si="18"/>
        <v>300</v>
      </c>
      <c r="AB66" s="2">
        <v>95000</v>
      </c>
      <c r="AC66" s="2" t="e">
        <f>_xlfn.XLOOKUP($B66, '#참조'!$M:$M, '#참조'!$N:$N)</f>
        <v>#N/A</v>
      </c>
      <c r="AD66" s="2" t="e">
        <f t="shared" si="41"/>
        <v>#N/A</v>
      </c>
      <c r="AE66" s="2">
        <f t="shared" si="4"/>
        <v>0</v>
      </c>
    </row>
    <row r="67" spans="1:31" x14ac:dyDescent="0.2">
      <c r="A67" s="2">
        <f t="shared" si="0"/>
        <v>10464006</v>
      </c>
      <c r="B67" s="1">
        <v>10000464</v>
      </c>
      <c r="C67" s="1" t="s">
        <v>281</v>
      </c>
      <c r="D67" s="1" t="s">
        <v>309</v>
      </c>
      <c r="E67" s="1" t="str">
        <f>"Persona_"&amp;_xlfn.XLOOKUP($B67, '#캐릭터'!$A:$A, '#캐릭터'!$C:$C)</f>
        <v>Persona_c464</v>
      </c>
      <c r="F67" s="1"/>
      <c r="G67" s="1">
        <f>_xlfn.XLOOKUP(_xlfn.XLOOKUP(B67,'[1]Detail&lt;Child&gt;'!$A:$A,'[1]Detail&lt;Child&gt;'!$N:$N),'#참조'!P:P,'#참조'!Q:Q)</f>
        <v>2</v>
      </c>
      <c r="H67" s="1">
        <f>_xlfn.XLOOKUP(_xlfn.XLOOKUP(B67,'[1]Detail&lt;Child&gt;'!$A:$A,'[1]Detail&lt;Child&gt;'!$O:$O),'#참조'!R:R,'#참조'!S:S)</f>
        <v>4</v>
      </c>
      <c r="I67" s="1">
        <v>0</v>
      </c>
      <c r="J67" s="1">
        <v>3</v>
      </c>
      <c r="K67" s="1">
        <v>2</v>
      </c>
      <c r="L67" s="1">
        <v>6</v>
      </c>
      <c r="M67" s="2" t="s">
        <v>10</v>
      </c>
      <c r="N67" s="2" t="s">
        <v>407</v>
      </c>
      <c r="O67" s="2">
        <f t="shared" si="20"/>
        <v>3221</v>
      </c>
      <c r="P67" s="2" t="s">
        <v>56</v>
      </c>
      <c r="Q67" s="2" t="str">
        <f t="shared" si="1"/>
        <v>3713,4500</v>
      </c>
      <c r="R67" s="2">
        <f t="shared" si="21"/>
        <v>3713</v>
      </c>
      <c r="S67" s="2">
        <f t="shared" si="16"/>
        <v>4500</v>
      </c>
      <c r="T67" s="2" t="s">
        <v>57</v>
      </c>
      <c r="U67" s="2" t="str">
        <f t="shared" si="2"/>
        <v>250,300</v>
      </c>
      <c r="V67" s="2">
        <f t="shared" si="22"/>
        <v>250</v>
      </c>
      <c r="W67" s="2">
        <f t="shared" si="17"/>
        <v>300</v>
      </c>
      <c r="X67" s="2" t="s">
        <v>58</v>
      </c>
      <c r="Y67" s="2" t="str">
        <f t="shared" si="3"/>
        <v>298,400</v>
      </c>
      <c r="Z67" s="2">
        <f t="shared" si="23"/>
        <v>298</v>
      </c>
      <c r="AA67" s="2">
        <f t="shared" si="18"/>
        <v>400</v>
      </c>
      <c r="AB67" s="2">
        <v>95000</v>
      </c>
      <c r="AC67" s="2" t="e">
        <f>_xlfn.XLOOKUP($B67, '#참조'!$M:$M, '#참조'!$N:$N)</f>
        <v>#N/A</v>
      </c>
      <c r="AD67" s="2" t="e">
        <f t="shared" si="41"/>
        <v>#N/A</v>
      </c>
      <c r="AE67" s="2">
        <f t="shared" si="4"/>
        <v>0</v>
      </c>
    </row>
    <row r="68" spans="1:31" x14ac:dyDescent="0.2">
      <c r="A68" s="2">
        <f t="shared" ref="A68:A131" si="46">INT(1&amp;TEXT(RIGHT(B68,4),"0000")&amp;TEXT(L68,"000"))</f>
        <v>10464007</v>
      </c>
      <c r="B68" s="1">
        <v>10000464</v>
      </c>
      <c r="C68" s="1" t="s">
        <v>281</v>
      </c>
      <c r="D68" s="1" t="s">
        <v>309</v>
      </c>
      <c r="E68" s="1" t="str">
        <f>"Persona_"&amp;_xlfn.XLOOKUP($B68, '#캐릭터'!$A:$A, '#캐릭터'!$C:$C)</f>
        <v>Persona_c464</v>
      </c>
      <c r="F68" s="1"/>
      <c r="G68" s="1">
        <f>_xlfn.XLOOKUP(_xlfn.XLOOKUP(B68,'[1]Detail&lt;Child&gt;'!$A:$A,'[1]Detail&lt;Child&gt;'!$N:$N),'#참조'!P:P,'#참조'!Q:Q)</f>
        <v>2</v>
      </c>
      <c r="H68" s="1">
        <f>_xlfn.XLOOKUP(_xlfn.XLOOKUP(B68,'[1]Detail&lt;Child&gt;'!$A:$A,'[1]Detail&lt;Child&gt;'!$O:$O),'#참조'!R:R,'#참조'!S:S)</f>
        <v>4</v>
      </c>
      <c r="I68" s="1">
        <v>1</v>
      </c>
      <c r="J68" s="1">
        <v>3</v>
      </c>
      <c r="K68" s="1">
        <v>3</v>
      </c>
      <c r="L68" s="1">
        <v>7</v>
      </c>
      <c r="M68" s="2" t="s">
        <v>11</v>
      </c>
      <c r="N68" s="2" t="s">
        <v>407</v>
      </c>
      <c r="O68" s="2">
        <f t="shared" si="20"/>
        <v>3543</v>
      </c>
      <c r="P68" s="2" t="s">
        <v>56</v>
      </c>
      <c r="Q68" s="2" t="str">
        <f t="shared" si="1"/>
        <v>4827,5800</v>
      </c>
      <c r="R68" s="2">
        <f t="shared" si="21"/>
        <v>4827</v>
      </c>
      <c r="S68" s="2">
        <f t="shared" si="16"/>
        <v>5800</v>
      </c>
      <c r="T68" s="2" t="s">
        <v>57</v>
      </c>
      <c r="U68" s="2" t="str">
        <f t="shared" si="2"/>
        <v>300,400</v>
      </c>
      <c r="V68" s="2">
        <f t="shared" si="22"/>
        <v>300</v>
      </c>
      <c r="W68" s="2">
        <f t="shared" si="17"/>
        <v>400</v>
      </c>
      <c r="X68" s="2" t="s">
        <v>58</v>
      </c>
      <c r="Y68" s="2" t="str">
        <f t="shared" si="3"/>
        <v>387,500</v>
      </c>
      <c r="Z68" s="2">
        <f t="shared" si="23"/>
        <v>387</v>
      </c>
      <c r="AA68" s="2">
        <f t="shared" si="18"/>
        <v>500</v>
      </c>
      <c r="AB68" s="2">
        <v>90000</v>
      </c>
      <c r="AC68" s="2" t="e">
        <f>_xlfn.XLOOKUP($B68, '#참조'!$M:$M, '#참조'!$N:$N)</f>
        <v>#N/A</v>
      </c>
      <c r="AD68" s="2" t="e">
        <f t="shared" si="41"/>
        <v>#N/A</v>
      </c>
      <c r="AE68" s="2">
        <f t="shared" si="4"/>
        <v>2401</v>
      </c>
    </row>
    <row r="69" spans="1:31" x14ac:dyDescent="0.2">
      <c r="A69" s="2">
        <f t="shared" si="46"/>
        <v>10464008</v>
      </c>
      <c r="B69" s="1">
        <v>10000464</v>
      </c>
      <c r="C69" s="1" t="s">
        <v>281</v>
      </c>
      <c r="D69" s="1" t="s">
        <v>309</v>
      </c>
      <c r="E69" s="1" t="str">
        <f>"Persona_"&amp;_xlfn.XLOOKUP($B69, '#캐릭터'!$A:$A, '#캐릭터'!$C:$C)</f>
        <v>Persona_c464</v>
      </c>
      <c r="F69" s="1"/>
      <c r="G69" s="1">
        <f>_xlfn.XLOOKUP(_xlfn.XLOOKUP(B69,'[1]Detail&lt;Child&gt;'!$A:$A,'[1]Detail&lt;Child&gt;'!$N:$N),'#참조'!P:P,'#참조'!Q:Q)</f>
        <v>2</v>
      </c>
      <c r="H69" s="1">
        <f>_xlfn.XLOOKUP(_xlfn.XLOOKUP(B69,'[1]Detail&lt;Child&gt;'!$A:$A,'[1]Detail&lt;Child&gt;'!$O:$O),'#참조'!R:R,'#참조'!S:S)</f>
        <v>4</v>
      </c>
      <c r="I69" s="1">
        <v>1</v>
      </c>
      <c r="J69" s="1">
        <v>3</v>
      </c>
      <c r="K69" s="1">
        <v>3</v>
      </c>
      <c r="L69" s="1">
        <v>8</v>
      </c>
      <c r="M69" s="2" t="s">
        <v>12</v>
      </c>
      <c r="N69" s="2" t="s">
        <v>407</v>
      </c>
      <c r="O69" s="2">
        <f t="shared" si="20"/>
        <v>3897</v>
      </c>
      <c r="P69" s="2" t="s">
        <v>56</v>
      </c>
      <c r="Q69" s="2" t="str">
        <f t="shared" ref="Q69:Q132" si="47">R69&amp;","&amp;S69</f>
        <v>6275,7500</v>
      </c>
      <c r="R69" s="2">
        <f t="shared" si="21"/>
        <v>6275</v>
      </c>
      <c r="S69" s="2">
        <f t="shared" si="16"/>
        <v>7500</v>
      </c>
      <c r="T69" s="2" t="s">
        <v>57</v>
      </c>
      <c r="U69" s="2" t="str">
        <f t="shared" ref="U69:U132" si="48">V69&amp;","&amp;W69</f>
        <v>360,400</v>
      </c>
      <c r="V69" s="2">
        <f t="shared" si="22"/>
        <v>360</v>
      </c>
      <c r="W69" s="2">
        <f t="shared" si="17"/>
        <v>400</v>
      </c>
      <c r="X69" s="2" t="s">
        <v>58</v>
      </c>
      <c r="Y69" s="2" t="str">
        <f t="shared" ref="Y69:Y132" si="49">Z69&amp;","&amp;AA69</f>
        <v>503,600</v>
      </c>
      <c r="Z69" s="2">
        <f t="shared" si="23"/>
        <v>503</v>
      </c>
      <c r="AA69" s="2">
        <f t="shared" si="18"/>
        <v>600</v>
      </c>
      <c r="AB69" s="2">
        <v>90000</v>
      </c>
      <c r="AC69" s="2" t="e">
        <f>_xlfn.XLOOKUP($B69, '#참조'!$M:$M, '#참조'!$N:$N)</f>
        <v>#N/A</v>
      </c>
      <c r="AD69" s="2" t="e">
        <f t="shared" si="41"/>
        <v>#N/A</v>
      </c>
      <c r="AE69" s="2">
        <f t="shared" ref="AE69:AE132" si="50">IF(I69=0,0,INT(G69&amp;H69&amp;TEXT(I69,"00")))</f>
        <v>2401</v>
      </c>
    </row>
    <row r="70" spans="1:31" x14ac:dyDescent="0.2">
      <c r="A70" s="2">
        <f t="shared" si="46"/>
        <v>10464009</v>
      </c>
      <c r="B70" s="1">
        <v>10000464</v>
      </c>
      <c r="C70" s="1" t="s">
        <v>281</v>
      </c>
      <c r="D70" s="1" t="s">
        <v>309</v>
      </c>
      <c r="E70" s="1" t="str">
        <f>"Persona_"&amp;_xlfn.XLOOKUP($B70, '#캐릭터'!$A:$A, '#캐릭터'!$C:$C)</f>
        <v>Persona_c464</v>
      </c>
      <c r="F70" s="1"/>
      <c r="G70" s="1">
        <f>_xlfn.XLOOKUP(_xlfn.XLOOKUP(B70,'[1]Detail&lt;Child&gt;'!$A:$A,'[1]Detail&lt;Child&gt;'!$N:$N),'#참조'!P:P,'#참조'!Q:Q)</f>
        <v>2</v>
      </c>
      <c r="H70" s="1">
        <f>_xlfn.XLOOKUP(_xlfn.XLOOKUP(B70,'[1]Detail&lt;Child&gt;'!$A:$A,'[1]Detail&lt;Child&gt;'!$O:$O),'#참조'!R:R,'#참조'!S:S)</f>
        <v>4</v>
      </c>
      <c r="I70" s="1">
        <v>2</v>
      </c>
      <c r="J70" s="1">
        <v>3</v>
      </c>
      <c r="K70" s="1">
        <v>3</v>
      </c>
      <c r="L70" s="1">
        <v>9</v>
      </c>
      <c r="M70" s="2" t="s">
        <v>13</v>
      </c>
      <c r="N70" s="2" t="s">
        <v>407</v>
      </c>
      <c r="O70" s="2">
        <f t="shared" si="20"/>
        <v>4287</v>
      </c>
      <c r="P70" s="2" t="s">
        <v>56</v>
      </c>
      <c r="Q70" s="2" t="str">
        <f t="shared" si="47"/>
        <v>8158,9800</v>
      </c>
      <c r="R70" s="2">
        <f t="shared" si="21"/>
        <v>8158</v>
      </c>
      <c r="S70" s="2">
        <f t="shared" si="16"/>
        <v>9800</v>
      </c>
      <c r="T70" s="2" t="s">
        <v>57</v>
      </c>
      <c r="U70" s="2" t="str">
        <f t="shared" si="48"/>
        <v>432,500</v>
      </c>
      <c r="V70" s="2">
        <f t="shared" si="22"/>
        <v>432</v>
      </c>
      <c r="W70" s="2">
        <f t="shared" si="17"/>
        <v>500</v>
      </c>
      <c r="X70" s="2" t="s">
        <v>58</v>
      </c>
      <c r="Y70" s="2" t="str">
        <f t="shared" si="49"/>
        <v>654,800</v>
      </c>
      <c r="Z70" s="2">
        <f t="shared" si="23"/>
        <v>654</v>
      </c>
      <c r="AA70" s="2">
        <f t="shared" si="18"/>
        <v>800</v>
      </c>
      <c r="AB70" s="2">
        <v>90000</v>
      </c>
      <c r="AC70" s="2" t="e">
        <f>_xlfn.XLOOKUP($B70, '#참조'!$M:$M, '#참조'!$N:$N)</f>
        <v>#N/A</v>
      </c>
      <c r="AD70" s="2" t="e">
        <f t="shared" si="41"/>
        <v>#N/A</v>
      </c>
      <c r="AE70" s="2">
        <f t="shared" si="50"/>
        <v>2402</v>
      </c>
    </row>
    <row r="71" spans="1:31" x14ac:dyDescent="0.2">
      <c r="A71" s="2">
        <f t="shared" si="46"/>
        <v>10464010</v>
      </c>
      <c r="B71" s="1">
        <v>10000464</v>
      </c>
      <c r="C71" s="1" t="s">
        <v>281</v>
      </c>
      <c r="D71" s="1" t="s">
        <v>309</v>
      </c>
      <c r="E71" s="1" t="str">
        <f>"Persona_"&amp;_xlfn.XLOOKUP($B71, '#캐릭터'!$A:$A, '#캐릭터'!$C:$C)</f>
        <v>Persona_c464</v>
      </c>
      <c r="F71" s="1"/>
      <c r="G71" s="1">
        <f>_xlfn.XLOOKUP(_xlfn.XLOOKUP(B71,'[1]Detail&lt;Child&gt;'!$A:$A,'[1]Detail&lt;Child&gt;'!$N:$N),'#참조'!P:P,'#참조'!Q:Q)</f>
        <v>2</v>
      </c>
      <c r="H71" s="1">
        <f>_xlfn.XLOOKUP(_xlfn.XLOOKUP(B71,'[1]Detail&lt;Child&gt;'!$A:$A,'[1]Detail&lt;Child&gt;'!$O:$O),'#참조'!R:R,'#참조'!S:S)</f>
        <v>4</v>
      </c>
      <c r="I71" s="1">
        <v>2</v>
      </c>
      <c r="J71" s="1">
        <v>3</v>
      </c>
      <c r="K71" s="1">
        <v>4</v>
      </c>
      <c r="L71" s="1">
        <v>10</v>
      </c>
      <c r="M71" s="2" t="s">
        <v>14</v>
      </c>
      <c r="N71" s="2" t="s">
        <v>407</v>
      </c>
      <c r="O71" s="2">
        <f t="shared" si="20"/>
        <v>4716</v>
      </c>
      <c r="P71" s="2" t="s">
        <v>56</v>
      </c>
      <c r="Q71" s="2" t="str">
        <f t="shared" si="47"/>
        <v>10605,12700</v>
      </c>
      <c r="R71" s="2">
        <f t="shared" si="21"/>
        <v>10605</v>
      </c>
      <c r="S71" s="2">
        <f t="shared" si="16"/>
        <v>12700</v>
      </c>
      <c r="T71" s="2" t="s">
        <v>57</v>
      </c>
      <c r="U71" s="2" t="str">
        <f t="shared" si="48"/>
        <v>518,600</v>
      </c>
      <c r="V71" s="2">
        <f t="shared" si="22"/>
        <v>518</v>
      </c>
      <c r="W71" s="2">
        <f t="shared" si="17"/>
        <v>600</v>
      </c>
      <c r="X71" s="2" t="s">
        <v>58</v>
      </c>
      <c r="Y71" s="2" t="str">
        <f t="shared" si="49"/>
        <v>850,1000</v>
      </c>
      <c r="Z71" s="2">
        <f t="shared" si="23"/>
        <v>850</v>
      </c>
      <c r="AA71" s="2">
        <f t="shared" si="18"/>
        <v>1000</v>
      </c>
      <c r="AB71" s="2">
        <v>85000</v>
      </c>
      <c r="AC71" s="2" t="e">
        <f>_xlfn.XLOOKUP($B71, '#참조'!$M:$M, '#참조'!$N:$N)</f>
        <v>#N/A</v>
      </c>
      <c r="AD71" s="2" t="e">
        <f t="shared" si="41"/>
        <v>#N/A</v>
      </c>
      <c r="AE71" s="2">
        <f t="shared" si="50"/>
        <v>2402</v>
      </c>
    </row>
    <row r="72" spans="1:31" x14ac:dyDescent="0.2">
      <c r="A72" s="2">
        <f t="shared" si="46"/>
        <v>10464011</v>
      </c>
      <c r="B72" s="1">
        <v>10000464</v>
      </c>
      <c r="C72" s="1" t="s">
        <v>281</v>
      </c>
      <c r="D72" s="1" t="s">
        <v>309</v>
      </c>
      <c r="E72" s="1" t="str">
        <f>"Persona_"&amp;_xlfn.XLOOKUP($B72, '#캐릭터'!$A:$A, '#캐릭터'!$C:$C)</f>
        <v>Persona_c464</v>
      </c>
      <c r="F72" s="1"/>
      <c r="G72" s="1">
        <f>_xlfn.XLOOKUP(_xlfn.XLOOKUP(B72,'[1]Detail&lt;Child&gt;'!$A:$A,'[1]Detail&lt;Child&gt;'!$N:$N),'#참조'!P:P,'#참조'!Q:Q)</f>
        <v>2</v>
      </c>
      <c r="H72" s="1">
        <f>_xlfn.XLOOKUP(_xlfn.XLOOKUP(B72,'[1]Detail&lt;Child&gt;'!$A:$A,'[1]Detail&lt;Child&gt;'!$O:$O),'#참조'!R:R,'#참조'!S:S)</f>
        <v>4</v>
      </c>
      <c r="I72" s="1">
        <v>3</v>
      </c>
      <c r="J72" s="1">
        <v>3</v>
      </c>
      <c r="K72" s="1">
        <v>4</v>
      </c>
      <c r="L72" s="1">
        <v>11</v>
      </c>
      <c r="M72" s="2" t="s">
        <v>15</v>
      </c>
      <c r="N72" s="2" t="s">
        <v>407</v>
      </c>
      <c r="O72" s="2">
        <f t="shared" si="20"/>
        <v>5188</v>
      </c>
      <c r="P72" s="2" t="s">
        <v>56</v>
      </c>
      <c r="Q72" s="2" t="str">
        <f t="shared" si="47"/>
        <v>13787,16500</v>
      </c>
      <c r="R72" s="2">
        <f t="shared" si="21"/>
        <v>13787</v>
      </c>
      <c r="S72" s="2">
        <f t="shared" si="16"/>
        <v>16500</v>
      </c>
      <c r="T72" s="2" t="s">
        <v>57</v>
      </c>
      <c r="U72" s="2" t="str">
        <f t="shared" si="48"/>
        <v>622,700</v>
      </c>
      <c r="V72" s="2">
        <f t="shared" si="22"/>
        <v>622</v>
      </c>
      <c r="W72" s="2">
        <f t="shared" si="17"/>
        <v>700</v>
      </c>
      <c r="X72" s="2" t="s">
        <v>58</v>
      </c>
      <c r="Y72" s="2" t="str">
        <f t="shared" si="49"/>
        <v>1105,1300</v>
      </c>
      <c r="Z72" s="2">
        <f t="shared" si="23"/>
        <v>1105</v>
      </c>
      <c r="AA72" s="2">
        <f t="shared" si="18"/>
        <v>1300</v>
      </c>
      <c r="AB72" s="2">
        <v>85000</v>
      </c>
      <c r="AC72" s="2" t="e">
        <f>_xlfn.XLOOKUP($B72, '#참조'!$M:$M, '#참조'!$N:$N)</f>
        <v>#N/A</v>
      </c>
      <c r="AD72" s="2" t="e">
        <f t="shared" si="41"/>
        <v>#N/A</v>
      </c>
      <c r="AE72" s="2">
        <f t="shared" si="50"/>
        <v>2403</v>
      </c>
    </row>
    <row r="73" spans="1:31" x14ac:dyDescent="0.2">
      <c r="A73" s="2">
        <f t="shared" si="46"/>
        <v>10464012</v>
      </c>
      <c r="B73" s="1">
        <v>10000464</v>
      </c>
      <c r="C73" s="1" t="s">
        <v>281</v>
      </c>
      <c r="D73" s="1" t="s">
        <v>309</v>
      </c>
      <c r="E73" s="1" t="str">
        <f>"Persona_"&amp;_xlfn.XLOOKUP($B73, '#캐릭터'!$A:$A, '#캐릭터'!$C:$C)</f>
        <v>Persona_c464</v>
      </c>
      <c r="F73" s="1"/>
      <c r="G73" s="1">
        <f>_xlfn.XLOOKUP(_xlfn.XLOOKUP(B73,'[1]Detail&lt;Child&gt;'!$A:$A,'[1]Detail&lt;Child&gt;'!$N:$N),'#참조'!P:P,'#참조'!Q:Q)</f>
        <v>2</v>
      </c>
      <c r="H73" s="1">
        <f>_xlfn.XLOOKUP(_xlfn.XLOOKUP(B73,'[1]Detail&lt;Child&gt;'!$A:$A,'[1]Detail&lt;Child&gt;'!$O:$O),'#참조'!R:R,'#참조'!S:S)</f>
        <v>4</v>
      </c>
      <c r="I73" s="1">
        <v>3</v>
      </c>
      <c r="J73" s="1">
        <v>3</v>
      </c>
      <c r="K73" s="1">
        <v>4</v>
      </c>
      <c r="L73" s="1">
        <v>12</v>
      </c>
      <c r="M73" s="2" t="s">
        <v>16</v>
      </c>
      <c r="N73" s="2" t="s">
        <v>407</v>
      </c>
      <c r="O73" s="2">
        <f t="shared" si="20"/>
        <v>5707</v>
      </c>
      <c r="P73" s="2" t="s">
        <v>56</v>
      </c>
      <c r="Q73" s="2" t="str">
        <f t="shared" si="47"/>
        <v>17923,21500</v>
      </c>
      <c r="R73" s="2">
        <f t="shared" si="21"/>
        <v>17923</v>
      </c>
      <c r="S73" s="2">
        <f t="shared" si="16"/>
        <v>21500</v>
      </c>
      <c r="T73" s="2" t="s">
        <v>57</v>
      </c>
      <c r="U73" s="2" t="str">
        <f t="shared" si="48"/>
        <v>746,900</v>
      </c>
      <c r="V73" s="2">
        <f t="shared" si="22"/>
        <v>746</v>
      </c>
      <c r="W73" s="2">
        <f t="shared" si="17"/>
        <v>900</v>
      </c>
      <c r="X73" s="2" t="s">
        <v>58</v>
      </c>
      <c r="Y73" s="2" t="str">
        <f t="shared" si="49"/>
        <v>1437,1700</v>
      </c>
      <c r="Z73" s="2">
        <f t="shared" si="23"/>
        <v>1437</v>
      </c>
      <c r="AA73" s="2">
        <f t="shared" si="18"/>
        <v>1700</v>
      </c>
      <c r="AB73" s="2">
        <v>85000</v>
      </c>
      <c r="AC73" s="2" t="e">
        <f>_xlfn.XLOOKUP($B73, '#참조'!$M:$M, '#참조'!$N:$N)</f>
        <v>#N/A</v>
      </c>
      <c r="AD73" s="2" t="e">
        <f t="shared" si="41"/>
        <v>#N/A</v>
      </c>
      <c r="AE73" s="2">
        <f t="shared" si="50"/>
        <v>2403</v>
      </c>
    </row>
    <row r="74" spans="1:31" x14ac:dyDescent="0.2">
      <c r="A74" s="2">
        <f t="shared" si="46"/>
        <v>10464013</v>
      </c>
      <c r="B74" s="1">
        <v>10000464</v>
      </c>
      <c r="C74" s="1" t="s">
        <v>281</v>
      </c>
      <c r="D74" s="1" t="s">
        <v>309</v>
      </c>
      <c r="E74" s="1" t="str">
        <f>"Persona_"&amp;_xlfn.XLOOKUP($B74, '#캐릭터'!$A:$A, '#캐릭터'!$C:$C)</f>
        <v>Persona_c464</v>
      </c>
      <c r="F74" s="1"/>
      <c r="G74" s="1">
        <f>_xlfn.XLOOKUP(_xlfn.XLOOKUP(B74,'[1]Detail&lt;Child&gt;'!$A:$A,'[1]Detail&lt;Child&gt;'!$N:$N),'#참조'!P:P,'#참조'!Q:Q)</f>
        <v>2</v>
      </c>
      <c r="H74" s="1">
        <f>_xlfn.XLOOKUP(_xlfn.XLOOKUP(B74,'[1]Detail&lt;Child&gt;'!$A:$A,'[1]Detail&lt;Child&gt;'!$O:$O),'#참조'!R:R,'#참조'!S:S)</f>
        <v>4</v>
      </c>
      <c r="I74" s="1">
        <v>4</v>
      </c>
      <c r="J74" s="1">
        <v>3</v>
      </c>
      <c r="K74" s="1">
        <v>5</v>
      </c>
      <c r="L74" s="1">
        <v>13</v>
      </c>
      <c r="M74" s="2" t="s">
        <v>17</v>
      </c>
      <c r="N74" s="2" t="s">
        <v>407</v>
      </c>
      <c r="O74" s="2">
        <f t="shared" si="20"/>
        <v>6278</v>
      </c>
      <c r="P74" s="2" t="s">
        <v>56</v>
      </c>
      <c r="Q74" s="2" t="str">
        <f t="shared" si="47"/>
        <v>23300,28000</v>
      </c>
      <c r="R74" s="2">
        <f t="shared" si="21"/>
        <v>23300</v>
      </c>
      <c r="S74" s="2">
        <f t="shared" si="16"/>
        <v>28000</v>
      </c>
      <c r="T74" s="2" t="s">
        <v>57</v>
      </c>
      <c r="U74" s="2" t="str">
        <f t="shared" si="48"/>
        <v>895,1100</v>
      </c>
      <c r="V74" s="2">
        <f t="shared" si="22"/>
        <v>895</v>
      </c>
      <c r="W74" s="2">
        <f t="shared" si="17"/>
        <v>1100</v>
      </c>
      <c r="X74" s="2" t="s">
        <v>58</v>
      </c>
      <c r="Y74" s="2" t="str">
        <f t="shared" si="49"/>
        <v>1868,2200</v>
      </c>
      <c r="Z74" s="2">
        <f t="shared" si="23"/>
        <v>1868</v>
      </c>
      <c r="AA74" s="2">
        <f t="shared" si="18"/>
        <v>2200</v>
      </c>
      <c r="AB74" s="2">
        <v>80000</v>
      </c>
      <c r="AC74" s="2" t="e">
        <f>_xlfn.XLOOKUP($B74, '#참조'!$M:$M, '#참조'!$N:$N)</f>
        <v>#N/A</v>
      </c>
      <c r="AD74" s="2" t="e">
        <f t="shared" si="41"/>
        <v>#N/A</v>
      </c>
      <c r="AE74" s="2">
        <f t="shared" si="50"/>
        <v>2404</v>
      </c>
    </row>
    <row r="75" spans="1:31" x14ac:dyDescent="0.2">
      <c r="A75" s="2">
        <f t="shared" si="46"/>
        <v>10464014</v>
      </c>
      <c r="B75" s="1">
        <v>10000464</v>
      </c>
      <c r="C75" s="1" t="s">
        <v>281</v>
      </c>
      <c r="D75" s="1" t="s">
        <v>309</v>
      </c>
      <c r="E75" s="1" t="str">
        <f>"Persona_"&amp;_xlfn.XLOOKUP($B75, '#캐릭터'!$A:$A, '#캐릭터'!$C:$C)</f>
        <v>Persona_c464</v>
      </c>
      <c r="F75" s="1"/>
      <c r="G75" s="1">
        <f>_xlfn.XLOOKUP(_xlfn.XLOOKUP(B75,'[1]Detail&lt;Child&gt;'!$A:$A,'[1]Detail&lt;Child&gt;'!$N:$N),'#참조'!P:P,'#참조'!Q:Q)</f>
        <v>2</v>
      </c>
      <c r="H75" s="1">
        <f>_xlfn.XLOOKUP(_xlfn.XLOOKUP(B75,'[1]Detail&lt;Child&gt;'!$A:$A,'[1]Detail&lt;Child&gt;'!$O:$O),'#참조'!R:R,'#참조'!S:S)</f>
        <v>4</v>
      </c>
      <c r="I75" s="1">
        <v>4</v>
      </c>
      <c r="J75" s="1">
        <v>3</v>
      </c>
      <c r="K75" s="1">
        <v>5</v>
      </c>
      <c r="L75" s="1">
        <v>14</v>
      </c>
      <c r="M75" s="2" t="s">
        <v>18</v>
      </c>
      <c r="N75" s="2" t="s">
        <v>407</v>
      </c>
      <c r="O75" s="2">
        <f t="shared" si="20"/>
        <v>6906</v>
      </c>
      <c r="P75" s="2" t="s">
        <v>56</v>
      </c>
      <c r="Q75" s="2" t="str">
        <f t="shared" si="47"/>
        <v>30290,36300</v>
      </c>
      <c r="R75" s="2">
        <f t="shared" si="21"/>
        <v>30290</v>
      </c>
      <c r="S75" s="2">
        <f t="shared" si="16"/>
        <v>36300</v>
      </c>
      <c r="T75" s="2" t="s">
        <v>57</v>
      </c>
      <c r="U75" s="2" t="str">
        <f t="shared" si="48"/>
        <v>1074,1300</v>
      </c>
      <c r="V75" s="2">
        <f t="shared" si="22"/>
        <v>1074</v>
      </c>
      <c r="W75" s="2">
        <f t="shared" si="17"/>
        <v>1300</v>
      </c>
      <c r="X75" s="2" t="s">
        <v>58</v>
      </c>
      <c r="Y75" s="2" t="str">
        <f t="shared" si="49"/>
        <v>2428,2900</v>
      </c>
      <c r="Z75" s="2">
        <f t="shared" si="23"/>
        <v>2428</v>
      </c>
      <c r="AA75" s="2">
        <f t="shared" si="18"/>
        <v>2900</v>
      </c>
      <c r="AB75" s="2">
        <v>80000</v>
      </c>
      <c r="AC75" s="2" t="e">
        <f>_xlfn.XLOOKUP($B75, '#참조'!$M:$M, '#참조'!$N:$N)</f>
        <v>#N/A</v>
      </c>
      <c r="AD75" s="2" t="e">
        <f t="shared" si="41"/>
        <v>#N/A</v>
      </c>
      <c r="AE75" s="2">
        <f t="shared" si="50"/>
        <v>2404</v>
      </c>
    </row>
    <row r="76" spans="1:31" x14ac:dyDescent="0.2">
      <c r="A76" s="2">
        <f t="shared" si="46"/>
        <v>10464015</v>
      </c>
      <c r="B76" s="1">
        <v>10000464</v>
      </c>
      <c r="C76" s="1" t="s">
        <v>281</v>
      </c>
      <c r="D76" s="1" t="s">
        <v>309</v>
      </c>
      <c r="E76" s="1" t="str">
        <f>"Persona_"&amp;_xlfn.XLOOKUP($B76, '#캐릭터'!$A:$A, '#캐릭터'!$C:$C)</f>
        <v>Persona_c464</v>
      </c>
      <c r="F76" s="1"/>
      <c r="G76" s="1">
        <f>_xlfn.XLOOKUP(_xlfn.XLOOKUP(B76,'[1]Detail&lt;Child&gt;'!$A:$A,'[1]Detail&lt;Child&gt;'!$N:$N),'#참조'!P:P,'#참조'!Q:Q)</f>
        <v>2</v>
      </c>
      <c r="H76" s="1">
        <f>_xlfn.XLOOKUP(_xlfn.XLOOKUP(B76,'[1]Detail&lt;Child&gt;'!$A:$A,'[1]Detail&lt;Child&gt;'!$O:$O),'#참조'!R:R,'#참조'!S:S)</f>
        <v>4</v>
      </c>
      <c r="I76" s="1">
        <v>5</v>
      </c>
      <c r="J76" s="1">
        <v>3</v>
      </c>
      <c r="K76" s="1">
        <v>5</v>
      </c>
      <c r="L76" s="1">
        <v>15</v>
      </c>
      <c r="M76" s="2" t="s">
        <v>19</v>
      </c>
      <c r="N76" s="2" t="s">
        <v>407</v>
      </c>
      <c r="O76" s="2">
        <f t="shared" si="20"/>
        <v>7597</v>
      </c>
      <c r="P76" s="2" t="s">
        <v>56</v>
      </c>
      <c r="Q76" s="2" t="str">
        <f t="shared" si="47"/>
        <v>39377,47300</v>
      </c>
      <c r="R76" s="2">
        <f t="shared" si="21"/>
        <v>39377</v>
      </c>
      <c r="S76" s="2">
        <f t="shared" si="16"/>
        <v>47300</v>
      </c>
      <c r="T76" s="2" t="s">
        <v>57</v>
      </c>
      <c r="U76" s="2" t="str">
        <f t="shared" si="48"/>
        <v>1289,1500</v>
      </c>
      <c r="V76" s="2">
        <f t="shared" si="22"/>
        <v>1289</v>
      </c>
      <c r="W76" s="2">
        <f t="shared" si="17"/>
        <v>1500</v>
      </c>
      <c r="X76" s="2" t="s">
        <v>58</v>
      </c>
      <c r="Y76" s="2" t="str">
        <f t="shared" si="49"/>
        <v>3156,3800</v>
      </c>
      <c r="Z76" s="2">
        <f t="shared" si="23"/>
        <v>3156</v>
      </c>
      <c r="AA76" s="2">
        <f t="shared" si="18"/>
        <v>3800</v>
      </c>
      <c r="AB76" s="2">
        <v>80000</v>
      </c>
      <c r="AC76" s="2" t="e">
        <f>_xlfn.XLOOKUP($B76, '#참조'!$M:$M, '#참조'!$N:$N)</f>
        <v>#N/A</v>
      </c>
      <c r="AD76" s="2" t="e">
        <f t="shared" si="41"/>
        <v>#N/A</v>
      </c>
      <c r="AE76" s="2">
        <f t="shared" si="50"/>
        <v>2405</v>
      </c>
    </row>
    <row r="77" spans="1:31" x14ac:dyDescent="0.2">
      <c r="A77" s="2">
        <f t="shared" si="46"/>
        <v>10464016</v>
      </c>
      <c r="B77" s="1">
        <v>10000464</v>
      </c>
      <c r="C77" s="1" t="s">
        <v>281</v>
      </c>
      <c r="D77" s="1" t="s">
        <v>309</v>
      </c>
      <c r="E77" s="1" t="str">
        <f>"Persona_"&amp;_xlfn.XLOOKUP($B77, '#캐릭터'!$A:$A, '#캐릭터'!$C:$C)</f>
        <v>Persona_c464</v>
      </c>
      <c r="F77" s="1"/>
      <c r="G77" s="1">
        <f>_xlfn.XLOOKUP(_xlfn.XLOOKUP(B77,'[1]Detail&lt;Child&gt;'!$A:$A,'[1]Detail&lt;Child&gt;'!$N:$N),'#참조'!P:P,'#참조'!Q:Q)</f>
        <v>2</v>
      </c>
      <c r="H77" s="1">
        <f>_xlfn.XLOOKUP(_xlfn.XLOOKUP(B77,'[1]Detail&lt;Child&gt;'!$A:$A,'[1]Detail&lt;Child&gt;'!$O:$O),'#참조'!R:R,'#참조'!S:S)</f>
        <v>4</v>
      </c>
      <c r="I77" s="1">
        <v>5</v>
      </c>
      <c r="J77" s="1">
        <v>3</v>
      </c>
      <c r="K77" s="1">
        <v>6</v>
      </c>
      <c r="L77" s="1">
        <v>16</v>
      </c>
      <c r="M77" s="2" t="s">
        <v>20</v>
      </c>
      <c r="N77" s="2" t="s">
        <v>407</v>
      </c>
      <c r="O77" s="2">
        <f t="shared" si="20"/>
        <v>8357</v>
      </c>
      <c r="P77" s="2" t="s">
        <v>56</v>
      </c>
      <c r="Q77" s="2" t="str">
        <f t="shared" si="47"/>
        <v>51190,61400</v>
      </c>
      <c r="R77" s="2">
        <f t="shared" si="21"/>
        <v>51190</v>
      </c>
      <c r="S77" s="2">
        <f t="shared" si="16"/>
        <v>61400</v>
      </c>
      <c r="T77" s="2" t="s">
        <v>57</v>
      </c>
      <c r="U77" s="2" t="str">
        <f t="shared" si="48"/>
        <v>1547,1900</v>
      </c>
      <c r="V77" s="2">
        <f t="shared" si="22"/>
        <v>1547</v>
      </c>
      <c r="W77" s="2">
        <f t="shared" si="17"/>
        <v>1900</v>
      </c>
      <c r="X77" s="2" t="s">
        <v>58</v>
      </c>
      <c r="Y77" s="2" t="str">
        <f t="shared" si="49"/>
        <v>4103,4900</v>
      </c>
      <c r="Z77" s="2">
        <f t="shared" si="23"/>
        <v>4103</v>
      </c>
      <c r="AA77" s="2">
        <f t="shared" si="18"/>
        <v>4900</v>
      </c>
      <c r="AB77" s="2">
        <v>75000</v>
      </c>
      <c r="AC77" s="2" t="e">
        <f>_xlfn.XLOOKUP($B77, '#참조'!$M:$M, '#참조'!$N:$N)</f>
        <v>#N/A</v>
      </c>
      <c r="AD77" s="2" t="e">
        <f t="shared" si="41"/>
        <v>#N/A</v>
      </c>
      <c r="AE77" s="2">
        <f t="shared" si="50"/>
        <v>2405</v>
      </c>
    </row>
    <row r="78" spans="1:31" x14ac:dyDescent="0.2">
      <c r="A78" s="2">
        <f t="shared" si="46"/>
        <v>10464017</v>
      </c>
      <c r="B78" s="1">
        <v>10000464</v>
      </c>
      <c r="C78" s="1" t="s">
        <v>281</v>
      </c>
      <c r="D78" s="1" t="s">
        <v>309</v>
      </c>
      <c r="E78" s="1" t="str">
        <f>"Persona_"&amp;_xlfn.XLOOKUP($B78, '#캐릭터'!$A:$A, '#캐릭터'!$C:$C)</f>
        <v>Persona_c464</v>
      </c>
      <c r="F78" s="1"/>
      <c r="G78" s="1">
        <f>_xlfn.XLOOKUP(_xlfn.XLOOKUP(B78,'[1]Detail&lt;Child&gt;'!$A:$A,'[1]Detail&lt;Child&gt;'!$N:$N),'#참조'!P:P,'#참조'!Q:Q)</f>
        <v>2</v>
      </c>
      <c r="H78" s="1">
        <f>_xlfn.XLOOKUP(_xlfn.XLOOKUP(B78,'[1]Detail&lt;Child&gt;'!$A:$A,'[1]Detail&lt;Child&gt;'!$O:$O),'#참조'!R:R,'#참조'!S:S)</f>
        <v>4</v>
      </c>
      <c r="I78" s="1">
        <v>6</v>
      </c>
      <c r="J78" s="1">
        <v>3</v>
      </c>
      <c r="K78" s="1">
        <v>6</v>
      </c>
      <c r="L78" s="1">
        <v>17</v>
      </c>
      <c r="M78" s="2" t="s">
        <v>21</v>
      </c>
      <c r="N78" s="2" t="s">
        <v>407</v>
      </c>
      <c r="O78" s="2">
        <f t="shared" si="20"/>
        <v>9193</v>
      </c>
      <c r="P78" s="2" t="s">
        <v>56</v>
      </c>
      <c r="Q78" s="2" t="str">
        <f t="shared" si="47"/>
        <v>66547,79900</v>
      </c>
      <c r="R78" s="2">
        <f t="shared" si="21"/>
        <v>66547</v>
      </c>
      <c r="S78" s="2">
        <f t="shared" si="16"/>
        <v>79900</v>
      </c>
      <c r="T78" s="2" t="s">
        <v>57</v>
      </c>
      <c r="U78" s="2" t="str">
        <f t="shared" si="48"/>
        <v>1856,2200</v>
      </c>
      <c r="V78" s="2">
        <f t="shared" si="22"/>
        <v>1856</v>
      </c>
      <c r="W78" s="2">
        <f t="shared" si="17"/>
        <v>2200</v>
      </c>
      <c r="X78" s="2" t="s">
        <v>58</v>
      </c>
      <c r="Y78" s="2" t="str">
        <f t="shared" si="49"/>
        <v>5334,6400</v>
      </c>
      <c r="Z78" s="2">
        <f t="shared" si="23"/>
        <v>5334</v>
      </c>
      <c r="AA78" s="2">
        <f t="shared" si="18"/>
        <v>6400</v>
      </c>
      <c r="AB78" s="2">
        <v>75000</v>
      </c>
      <c r="AC78" s="2" t="e">
        <f>_xlfn.XLOOKUP($B78, '#참조'!$M:$M, '#참조'!$N:$N)</f>
        <v>#N/A</v>
      </c>
      <c r="AD78" s="2" t="e">
        <f t="shared" si="41"/>
        <v>#N/A</v>
      </c>
      <c r="AE78" s="2">
        <f t="shared" si="50"/>
        <v>2406</v>
      </c>
    </row>
    <row r="79" spans="1:31" x14ac:dyDescent="0.2">
      <c r="A79" s="2">
        <f t="shared" si="46"/>
        <v>10464018</v>
      </c>
      <c r="B79" s="1">
        <v>10000464</v>
      </c>
      <c r="C79" s="1" t="s">
        <v>281</v>
      </c>
      <c r="D79" s="1" t="s">
        <v>309</v>
      </c>
      <c r="E79" s="1" t="str">
        <f>"Persona_"&amp;_xlfn.XLOOKUP($B79, '#캐릭터'!$A:$A, '#캐릭터'!$C:$C)</f>
        <v>Persona_c464</v>
      </c>
      <c r="F79" s="1"/>
      <c r="G79" s="1">
        <f>_xlfn.XLOOKUP(_xlfn.XLOOKUP(B79,'[1]Detail&lt;Child&gt;'!$A:$A,'[1]Detail&lt;Child&gt;'!$N:$N),'#참조'!P:P,'#참조'!Q:Q)</f>
        <v>2</v>
      </c>
      <c r="H79" s="1">
        <f>_xlfn.XLOOKUP(_xlfn.XLOOKUP(B79,'[1]Detail&lt;Child&gt;'!$A:$A,'[1]Detail&lt;Child&gt;'!$O:$O),'#참조'!R:R,'#참조'!S:S)</f>
        <v>4</v>
      </c>
      <c r="I79" s="1">
        <v>6</v>
      </c>
      <c r="J79" s="1">
        <v>3</v>
      </c>
      <c r="K79" s="1">
        <v>6</v>
      </c>
      <c r="L79" s="1">
        <v>18</v>
      </c>
      <c r="M79" s="2" t="s">
        <v>22</v>
      </c>
      <c r="N79" s="2" t="s">
        <v>407</v>
      </c>
      <c r="O79" s="2">
        <f t="shared" si="20"/>
        <v>10112</v>
      </c>
      <c r="P79" s="2" t="s">
        <v>56</v>
      </c>
      <c r="Q79" s="2" t="str">
        <f t="shared" si="47"/>
        <v>86511,103800</v>
      </c>
      <c r="R79" s="2">
        <f t="shared" si="21"/>
        <v>86511</v>
      </c>
      <c r="S79" s="2">
        <f t="shared" si="16"/>
        <v>103800</v>
      </c>
      <c r="T79" s="2" t="s">
        <v>57</v>
      </c>
      <c r="U79" s="2" t="str">
        <f t="shared" si="48"/>
        <v>2227,2700</v>
      </c>
      <c r="V79" s="2">
        <f t="shared" si="22"/>
        <v>2227</v>
      </c>
      <c r="W79" s="2">
        <f t="shared" si="17"/>
        <v>2700</v>
      </c>
      <c r="X79" s="2" t="s">
        <v>58</v>
      </c>
      <c r="Y79" s="2" t="str">
        <f t="shared" si="49"/>
        <v>6934,8300</v>
      </c>
      <c r="Z79" s="2">
        <f t="shared" si="23"/>
        <v>6934</v>
      </c>
      <c r="AA79" s="2">
        <f t="shared" si="18"/>
        <v>8300</v>
      </c>
      <c r="AB79" s="2">
        <v>75000</v>
      </c>
      <c r="AC79" s="2" t="e">
        <f>_xlfn.XLOOKUP($B79, '#참조'!$M:$M, '#참조'!$N:$N)</f>
        <v>#N/A</v>
      </c>
      <c r="AD79" s="2" t="e">
        <f t="shared" si="41"/>
        <v>#N/A</v>
      </c>
      <c r="AE79" s="2">
        <f t="shared" si="50"/>
        <v>2406</v>
      </c>
    </row>
    <row r="80" spans="1:31" x14ac:dyDescent="0.2">
      <c r="A80" s="2">
        <f t="shared" si="46"/>
        <v>10353000</v>
      </c>
      <c r="B80" s="1">
        <v>10000353</v>
      </c>
      <c r="C80" s="1" t="s">
        <v>281</v>
      </c>
      <c r="D80" s="1" t="s">
        <v>309</v>
      </c>
      <c r="E80" s="1" t="str">
        <f>"Persona_"&amp;_xlfn.XLOOKUP($B80, '#캐릭터'!$A:$A, '#캐릭터'!$C:$C)</f>
        <v>Persona_c353</v>
      </c>
      <c r="F80" s="1"/>
      <c r="G80" s="1">
        <f>_xlfn.XLOOKUP(_xlfn.XLOOKUP(B80,'[1]Detail&lt;Child&gt;'!$A:$A,'[1]Detail&lt;Child&gt;'!$N:$N),'#참조'!P:P,'#참조'!Q:Q)</f>
        <v>4</v>
      </c>
      <c r="H80" s="1">
        <f>_xlfn.XLOOKUP(_xlfn.XLOOKUP(B80,'[1]Detail&lt;Child&gt;'!$A:$A,'[1]Detail&lt;Child&gt;'!$O:$O),'#참조'!R:R,'#참조'!S:S)</f>
        <v>2</v>
      </c>
      <c r="I80" s="1">
        <v>0</v>
      </c>
      <c r="J80" s="1">
        <v>3</v>
      </c>
      <c r="K80" s="1">
        <v>0</v>
      </c>
      <c r="L80" s="1">
        <v>0</v>
      </c>
      <c r="M80" s="2" t="s">
        <v>2</v>
      </c>
      <c r="N80" s="2" t="s">
        <v>407</v>
      </c>
      <c r="O80" s="2">
        <v>0</v>
      </c>
      <c r="P80" s="2" t="s">
        <v>56</v>
      </c>
      <c r="Q80" s="2" t="str">
        <f t="shared" si="47"/>
        <v>1000,1000</v>
      </c>
      <c r="R80" s="2">
        <v>1000</v>
      </c>
      <c r="S80" s="2">
        <f t="shared" ref="S80" si="51">R80</f>
        <v>1000</v>
      </c>
      <c r="T80" s="2" t="s">
        <v>57</v>
      </c>
      <c r="U80" s="2" t="str">
        <f t="shared" si="48"/>
        <v>100,100</v>
      </c>
      <c r="V80" s="2">
        <v>100</v>
      </c>
      <c r="W80" s="2">
        <f t="shared" ref="W80" si="52">V80</f>
        <v>100</v>
      </c>
      <c r="X80" s="2" t="s">
        <v>58</v>
      </c>
      <c r="Y80" s="2" t="str">
        <f t="shared" si="49"/>
        <v>80,80</v>
      </c>
      <c r="Z80" s="2">
        <v>80</v>
      </c>
      <c r="AA80" s="2">
        <f t="shared" ref="AA80" si="53">Z80</f>
        <v>80</v>
      </c>
      <c r="AB80" s="2">
        <v>100000</v>
      </c>
      <c r="AE80" s="2">
        <f t="shared" si="50"/>
        <v>0</v>
      </c>
    </row>
    <row r="81" spans="1:31" x14ac:dyDescent="0.2">
      <c r="A81" s="2">
        <f t="shared" si="46"/>
        <v>10353001</v>
      </c>
      <c r="B81" s="1">
        <v>10000353</v>
      </c>
      <c r="C81" s="1" t="s">
        <v>281</v>
      </c>
      <c r="D81" s="1" t="s">
        <v>309</v>
      </c>
      <c r="E81" s="1" t="str">
        <f>"Persona_"&amp;_xlfn.XLOOKUP($B81, '#캐릭터'!$A:$A, '#캐릭터'!$C:$C)</f>
        <v>Persona_c353</v>
      </c>
      <c r="F81" s="1"/>
      <c r="G81" s="1">
        <f>_xlfn.XLOOKUP(_xlfn.XLOOKUP(B81,'[1]Detail&lt;Child&gt;'!$A:$A,'[1]Detail&lt;Child&gt;'!$N:$N),'#참조'!P:P,'#참조'!Q:Q)</f>
        <v>4</v>
      </c>
      <c r="H81" s="1">
        <f>_xlfn.XLOOKUP(_xlfn.XLOOKUP(B81,'[1]Detail&lt;Child&gt;'!$A:$A,'[1]Detail&lt;Child&gt;'!$O:$O),'#참조'!R:R,'#참조'!S:S)</f>
        <v>2</v>
      </c>
      <c r="I81" s="1">
        <v>0</v>
      </c>
      <c r="J81" s="1">
        <v>3</v>
      </c>
      <c r="K81" s="1">
        <v>1</v>
      </c>
      <c r="L81" s="1">
        <v>1</v>
      </c>
      <c r="M81" s="2" t="s">
        <v>5</v>
      </c>
      <c r="N81" s="2" t="s">
        <v>407</v>
      </c>
      <c r="O81" s="2">
        <v>2000</v>
      </c>
      <c r="P81" s="2" t="s">
        <v>56</v>
      </c>
      <c r="Q81" s="2" t="str">
        <f t="shared" si="47"/>
        <v>1000,1200</v>
      </c>
      <c r="R81" s="2">
        <v>1000</v>
      </c>
      <c r="S81" s="2">
        <f t="shared" ref="S81" si="54">ROUND(R81*1.2, -2)</f>
        <v>1200</v>
      </c>
      <c r="T81" s="2" t="s">
        <v>57</v>
      </c>
      <c r="U81" s="2" t="str">
        <f t="shared" si="48"/>
        <v>100,100</v>
      </c>
      <c r="V81" s="2">
        <v>100</v>
      </c>
      <c r="W81" s="2">
        <f t="shared" ref="W81" si="55">ROUND(V81*1.2, -2)</f>
        <v>100</v>
      </c>
      <c r="X81" s="2" t="s">
        <v>58</v>
      </c>
      <c r="Y81" s="2" t="str">
        <f t="shared" si="49"/>
        <v>80,100</v>
      </c>
      <c r="Z81" s="2">
        <v>80</v>
      </c>
      <c r="AA81" s="2">
        <f t="shared" ref="AA81" si="56">ROUND(Z81*1.2, -2)</f>
        <v>100</v>
      </c>
      <c r="AB81" s="2">
        <v>100000</v>
      </c>
      <c r="AC81" s="2" t="e">
        <f>_xlfn.XLOOKUP($B81, '#참조'!$M:$M, '#참조'!$N:$N)</f>
        <v>#N/A</v>
      </c>
      <c r="AD81" s="2" t="e">
        <f t="shared" ref="AD81:AD98" si="57">M81&amp;"_"&amp;AC81</f>
        <v>#N/A</v>
      </c>
      <c r="AE81" s="2">
        <f t="shared" si="50"/>
        <v>0</v>
      </c>
    </row>
    <row r="82" spans="1:31" x14ac:dyDescent="0.2">
      <c r="A82" s="2">
        <f t="shared" si="46"/>
        <v>10353002</v>
      </c>
      <c r="B82" s="1">
        <v>10000353</v>
      </c>
      <c r="C82" s="1" t="s">
        <v>281</v>
      </c>
      <c r="D82" s="1" t="s">
        <v>309</v>
      </c>
      <c r="E82" s="1" t="str">
        <f>"Persona_"&amp;_xlfn.XLOOKUP($B82, '#캐릭터'!$A:$A, '#캐릭터'!$C:$C)</f>
        <v>Persona_c353</v>
      </c>
      <c r="F82" s="1"/>
      <c r="G82" s="1">
        <f>_xlfn.XLOOKUP(_xlfn.XLOOKUP(B82,'[1]Detail&lt;Child&gt;'!$A:$A,'[1]Detail&lt;Child&gt;'!$N:$N),'#참조'!P:P,'#참조'!Q:Q)</f>
        <v>4</v>
      </c>
      <c r="H82" s="1">
        <f>_xlfn.XLOOKUP(_xlfn.XLOOKUP(B82,'[1]Detail&lt;Child&gt;'!$A:$A,'[1]Detail&lt;Child&gt;'!$O:$O),'#참조'!R:R,'#참조'!S:S)</f>
        <v>2</v>
      </c>
      <c r="I82" s="1">
        <v>0</v>
      </c>
      <c r="J82" s="1">
        <v>3</v>
      </c>
      <c r="K82" s="1">
        <v>1</v>
      </c>
      <c r="L82" s="1">
        <v>2</v>
      </c>
      <c r="M82" s="2" t="s">
        <v>6</v>
      </c>
      <c r="N82" s="2" t="s">
        <v>407</v>
      </c>
      <c r="O82" s="2">
        <f t="shared" ref="O82" si="58">ROUND(O81*1.1, 0)</f>
        <v>2200</v>
      </c>
      <c r="P82" s="2" t="s">
        <v>56</v>
      </c>
      <c r="Q82" s="2" t="str">
        <f t="shared" si="47"/>
        <v>1300,1600</v>
      </c>
      <c r="R82" s="2">
        <f t="shared" ref="R82" si="59">ROUND(R81*1.3, 0)</f>
        <v>1300</v>
      </c>
      <c r="S82" s="2">
        <f t="shared" si="16"/>
        <v>1600</v>
      </c>
      <c r="T82" s="2" t="s">
        <v>57</v>
      </c>
      <c r="U82" s="2" t="str">
        <f t="shared" si="48"/>
        <v>120,100</v>
      </c>
      <c r="V82" s="2">
        <f t="shared" ref="V82" si="60">ROUND(V81*1.2, 0)</f>
        <v>120</v>
      </c>
      <c r="W82" s="2">
        <f t="shared" si="17"/>
        <v>100</v>
      </c>
      <c r="X82" s="2" t="s">
        <v>58</v>
      </c>
      <c r="Y82" s="2" t="str">
        <f t="shared" si="49"/>
        <v>104,100</v>
      </c>
      <c r="Z82" s="2">
        <f t="shared" ref="Z82" si="61">ROUND(Z81*1.3, 0)</f>
        <v>104</v>
      </c>
      <c r="AA82" s="2">
        <f t="shared" si="18"/>
        <v>100</v>
      </c>
      <c r="AB82" s="2">
        <v>100000</v>
      </c>
      <c r="AC82" s="2" t="e">
        <f>_xlfn.XLOOKUP($B82, '#참조'!$M:$M, '#참조'!$N:$N)</f>
        <v>#N/A</v>
      </c>
      <c r="AD82" s="2" t="e">
        <f t="shared" si="57"/>
        <v>#N/A</v>
      </c>
      <c r="AE82" s="2">
        <f t="shared" si="50"/>
        <v>0</v>
      </c>
    </row>
    <row r="83" spans="1:31" x14ac:dyDescent="0.2">
      <c r="A83" s="2">
        <f t="shared" si="46"/>
        <v>10353003</v>
      </c>
      <c r="B83" s="1">
        <v>10000353</v>
      </c>
      <c r="C83" s="1" t="s">
        <v>281</v>
      </c>
      <c r="D83" s="1" t="s">
        <v>309</v>
      </c>
      <c r="E83" s="1" t="str">
        <f>"Persona_"&amp;_xlfn.XLOOKUP($B83, '#캐릭터'!$A:$A, '#캐릭터'!$C:$C)</f>
        <v>Persona_c353</v>
      </c>
      <c r="F83" s="1"/>
      <c r="G83" s="1">
        <f>_xlfn.XLOOKUP(_xlfn.XLOOKUP(B83,'[1]Detail&lt;Child&gt;'!$A:$A,'[1]Detail&lt;Child&gt;'!$N:$N),'#참조'!P:P,'#참조'!Q:Q)</f>
        <v>4</v>
      </c>
      <c r="H83" s="1">
        <f>_xlfn.XLOOKUP(_xlfn.XLOOKUP(B83,'[1]Detail&lt;Child&gt;'!$A:$A,'[1]Detail&lt;Child&gt;'!$O:$O),'#참조'!R:R,'#참조'!S:S)</f>
        <v>2</v>
      </c>
      <c r="I83" s="1">
        <v>0</v>
      </c>
      <c r="J83" s="1">
        <v>3</v>
      </c>
      <c r="K83" s="1">
        <v>1</v>
      </c>
      <c r="L83" s="1">
        <v>3</v>
      </c>
      <c r="M83" s="2" t="s">
        <v>7</v>
      </c>
      <c r="N83" s="2" t="s">
        <v>407</v>
      </c>
      <c r="O83" s="2">
        <f t="shared" si="20"/>
        <v>2420</v>
      </c>
      <c r="P83" s="2" t="s">
        <v>56</v>
      </c>
      <c r="Q83" s="2" t="str">
        <f t="shared" si="47"/>
        <v>1690,2000</v>
      </c>
      <c r="R83" s="2">
        <f t="shared" si="21"/>
        <v>1690</v>
      </c>
      <c r="S83" s="2">
        <f t="shared" si="16"/>
        <v>2000</v>
      </c>
      <c r="T83" s="2" t="s">
        <v>57</v>
      </c>
      <c r="U83" s="2" t="str">
        <f t="shared" si="48"/>
        <v>144,200</v>
      </c>
      <c r="V83" s="2">
        <f t="shared" si="22"/>
        <v>144</v>
      </c>
      <c r="W83" s="2">
        <f t="shared" si="17"/>
        <v>200</v>
      </c>
      <c r="X83" s="2" t="s">
        <v>58</v>
      </c>
      <c r="Y83" s="2" t="str">
        <f t="shared" si="49"/>
        <v>135,200</v>
      </c>
      <c r="Z83" s="2">
        <f t="shared" si="23"/>
        <v>135</v>
      </c>
      <c r="AA83" s="2">
        <f t="shared" si="18"/>
        <v>200</v>
      </c>
      <c r="AB83" s="2">
        <v>100000</v>
      </c>
      <c r="AC83" s="2" t="e">
        <f>_xlfn.XLOOKUP($B83, '#참조'!$M:$M, '#참조'!$N:$N)</f>
        <v>#N/A</v>
      </c>
      <c r="AD83" s="2" t="e">
        <f t="shared" si="57"/>
        <v>#N/A</v>
      </c>
      <c r="AE83" s="2">
        <f t="shared" si="50"/>
        <v>0</v>
      </c>
    </row>
    <row r="84" spans="1:31" x14ac:dyDescent="0.2">
      <c r="A84" s="2">
        <f t="shared" si="46"/>
        <v>10353004</v>
      </c>
      <c r="B84" s="1">
        <v>10000353</v>
      </c>
      <c r="C84" s="1" t="s">
        <v>281</v>
      </c>
      <c r="D84" s="1" t="s">
        <v>309</v>
      </c>
      <c r="E84" s="1" t="str">
        <f>"Persona_"&amp;_xlfn.XLOOKUP($B84, '#캐릭터'!$A:$A, '#캐릭터'!$C:$C)</f>
        <v>Persona_c353</v>
      </c>
      <c r="F84" s="1"/>
      <c r="G84" s="1">
        <f>_xlfn.XLOOKUP(_xlfn.XLOOKUP(B84,'[1]Detail&lt;Child&gt;'!$A:$A,'[1]Detail&lt;Child&gt;'!$N:$N),'#참조'!P:P,'#참조'!Q:Q)</f>
        <v>4</v>
      </c>
      <c r="H84" s="1">
        <f>_xlfn.XLOOKUP(_xlfn.XLOOKUP(B84,'[1]Detail&lt;Child&gt;'!$A:$A,'[1]Detail&lt;Child&gt;'!$O:$O),'#참조'!R:R,'#참조'!S:S)</f>
        <v>2</v>
      </c>
      <c r="I84" s="1">
        <v>0</v>
      </c>
      <c r="J84" s="1">
        <v>3</v>
      </c>
      <c r="K84" s="1">
        <v>2</v>
      </c>
      <c r="L84" s="1">
        <v>4</v>
      </c>
      <c r="M84" s="2" t="s">
        <v>8</v>
      </c>
      <c r="N84" s="2" t="s">
        <v>407</v>
      </c>
      <c r="O84" s="2">
        <f t="shared" si="20"/>
        <v>2662</v>
      </c>
      <c r="P84" s="2" t="s">
        <v>56</v>
      </c>
      <c r="Q84" s="2" t="str">
        <f t="shared" si="47"/>
        <v>2197,2600</v>
      </c>
      <c r="R84" s="2">
        <f t="shared" si="21"/>
        <v>2197</v>
      </c>
      <c r="S84" s="2">
        <f t="shared" si="16"/>
        <v>2600</v>
      </c>
      <c r="T84" s="2" t="s">
        <v>57</v>
      </c>
      <c r="U84" s="2" t="str">
        <f t="shared" si="48"/>
        <v>173,200</v>
      </c>
      <c r="V84" s="2">
        <f t="shared" si="22"/>
        <v>173</v>
      </c>
      <c r="W84" s="2">
        <f t="shared" si="17"/>
        <v>200</v>
      </c>
      <c r="X84" s="2" t="s">
        <v>58</v>
      </c>
      <c r="Y84" s="2" t="str">
        <f t="shared" si="49"/>
        <v>176,200</v>
      </c>
      <c r="Z84" s="2">
        <f t="shared" si="23"/>
        <v>176</v>
      </c>
      <c r="AA84" s="2">
        <f t="shared" si="18"/>
        <v>200</v>
      </c>
      <c r="AB84" s="2">
        <v>95000</v>
      </c>
      <c r="AC84" s="2" t="e">
        <f>_xlfn.XLOOKUP($B84, '#참조'!$M:$M, '#참조'!$N:$N)</f>
        <v>#N/A</v>
      </c>
      <c r="AD84" s="2" t="e">
        <f t="shared" si="57"/>
        <v>#N/A</v>
      </c>
      <c r="AE84" s="2">
        <f t="shared" si="50"/>
        <v>0</v>
      </c>
    </row>
    <row r="85" spans="1:31" x14ac:dyDescent="0.2">
      <c r="A85" s="2">
        <f t="shared" si="46"/>
        <v>10353005</v>
      </c>
      <c r="B85" s="1">
        <v>10000353</v>
      </c>
      <c r="C85" s="1" t="s">
        <v>281</v>
      </c>
      <c r="D85" s="1" t="s">
        <v>309</v>
      </c>
      <c r="E85" s="1" t="str">
        <f>"Persona_"&amp;_xlfn.XLOOKUP($B85, '#캐릭터'!$A:$A, '#캐릭터'!$C:$C)</f>
        <v>Persona_c353</v>
      </c>
      <c r="F85" s="1"/>
      <c r="G85" s="1">
        <f>_xlfn.XLOOKUP(_xlfn.XLOOKUP(B85,'[1]Detail&lt;Child&gt;'!$A:$A,'[1]Detail&lt;Child&gt;'!$N:$N),'#참조'!P:P,'#참조'!Q:Q)</f>
        <v>4</v>
      </c>
      <c r="H85" s="1">
        <f>_xlfn.XLOOKUP(_xlfn.XLOOKUP(B85,'[1]Detail&lt;Child&gt;'!$A:$A,'[1]Detail&lt;Child&gt;'!$O:$O),'#참조'!R:R,'#참조'!S:S)</f>
        <v>2</v>
      </c>
      <c r="I85" s="1">
        <v>0</v>
      </c>
      <c r="J85" s="1">
        <v>3</v>
      </c>
      <c r="K85" s="1">
        <v>2</v>
      </c>
      <c r="L85" s="1">
        <v>5</v>
      </c>
      <c r="M85" s="2" t="s">
        <v>9</v>
      </c>
      <c r="N85" s="2" t="s">
        <v>407</v>
      </c>
      <c r="O85" s="2">
        <f t="shared" si="20"/>
        <v>2928</v>
      </c>
      <c r="P85" s="2" t="s">
        <v>56</v>
      </c>
      <c r="Q85" s="2" t="str">
        <f t="shared" si="47"/>
        <v>2856,3400</v>
      </c>
      <c r="R85" s="2">
        <f t="shared" si="21"/>
        <v>2856</v>
      </c>
      <c r="S85" s="2">
        <f t="shared" si="16"/>
        <v>3400</v>
      </c>
      <c r="T85" s="2" t="s">
        <v>57</v>
      </c>
      <c r="U85" s="2" t="str">
        <f t="shared" si="48"/>
        <v>208,200</v>
      </c>
      <c r="V85" s="2">
        <f t="shared" si="22"/>
        <v>208</v>
      </c>
      <c r="W85" s="2">
        <f t="shared" si="17"/>
        <v>200</v>
      </c>
      <c r="X85" s="2" t="s">
        <v>58</v>
      </c>
      <c r="Y85" s="2" t="str">
        <f t="shared" si="49"/>
        <v>229,300</v>
      </c>
      <c r="Z85" s="2">
        <f t="shared" si="23"/>
        <v>229</v>
      </c>
      <c r="AA85" s="2">
        <f t="shared" si="18"/>
        <v>300</v>
      </c>
      <c r="AB85" s="2">
        <v>95000</v>
      </c>
      <c r="AC85" s="2" t="e">
        <f>_xlfn.XLOOKUP($B85, '#참조'!$M:$M, '#참조'!$N:$N)</f>
        <v>#N/A</v>
      </c>
      <c r="AD85" s="2" t="e">
        <f t="shared" si="57"/>
        <v>#N/A</v>
      </c>
      <c r="AE85" s="2">
        <f t="shared" si="50"/>
        <v>0</v>
      </c>
    </row>
    <row r="86" spans="1:31" x14ac:dyDescent="0.2">
      <c r="A86" s="2">
        <f t="shared" si="46"/>
        <v>10353006</v>
      </c>
      <c r="B86" s="1">
        <v>10000353</v>
      </c>
      <c r="C86" s="1" t="s">
        <v>281</v>
      </c>
      <c r="D86" s="1" t="s">
        <v>309</v>
      </c>
      <c r="E86" s="1" t="str">
        <f>"Persona_"&amp;_xlfn.XLOOKUP($B86, '#캐릭터'!$A:$A, '#캐릭터'!$C:$C)</f>
        <v>Persona_c353</v>
      </c>
      <c r="F86" s="1"/>
      <c r="G86" s="1">
        <f>_xlfn.XLOOKUP(_xlfn.XLOOKUP(B86,'[1]Detail&lt;Child&gt;'!$A:$A,'[1]Detail&lt;Child&gt;'!$N:$N),'#참조'!P:P,'#참조'!Q:Q)</f>
        <v>4</v>
      </c>
      <c r="H86" s="1">
        <f>_xlfn.XLOOKUP(_xlfn.XLOOKUP(B86,'[1]Detail&lt;Child&gt;'!$A:$A,'[1]Detail&lt;Child&gt;'!$O:$O),'#참조'!R:R,'#참조'!S:S)</f>
        <v>2</v>
      </c>
      <c r="I86" s="1">
        <v>0</v>
      </c>
      <c r="J86" s="1">
        <v>3</v>
      </c>
      <c r="K86" s="1">
        <v>2</v>
      </c>
      <c r="L86" s="1">
        <v>6</v>
      </c>
      <c r="M86" s="2" t="s">
        <v>10</v>
      </c>
      <c r="N86" s="2" t="s">
        <v>407</v>
      </c>
      <c r="O86" s="2">
        <f t="shared" si="20"/>
        <v>3221</v>
      </c>
      <c r="P86" s="2" t="s">
        <v>56</v>
      </c>
      <c r="Q86" s="2" t="str">
        <f t="shared" si="47"/>
        <v>3713,4500</v>
      </c>
      <c r="R86" s="2">
        <f t="shared" si="21"/>
        <v>3713</v>
      </c>
      <c r="S86" s="2">
        <f t="shared" si="16"/>
        <v>4500</v>
      </c>
      <c r="T86" s="2" t="s">
        <v>57</v>
      </c>
      <c r="U86" s="2" t="str">
        <f t="shared" si="48"/>
        <v>250,300</v>
      </c>
      <c r="V86" s="2">
        <f t="shared" si="22"/>
        <v>250</v>
      </c>
      <c r="W86" s="2">
        <f t="shared" si="17"/>
        <v>300</v>
      </c>
      <c r="X86" s="2" t="s">
        <v>58</v>
      </c>
      <c r="Y86" s="2" t="str">
        <f t="shared" si="49"/>
        <v>298,400</v>
      </c>
      <c r="Z86" s="2">
        <f t="shared" si="23"/>
        <v>298</v>
      </c>
      <c r="AA86" s="2">
        <f t="shared" si="18"/>
        <v>400</v>
      </c>
      <c r="AB86" s="2">
        <v>95000</v>
      </c>
      <c r="AC86" s="2" t="e">
        <f>_xlfn.XLOOKUP($B86, '#참조'!$M:$M, '#참조'!$N:$N)</f>
        <v>#N/A</v>
      </c>
      <c r="AD86" s="2" t="e">
        <f t="shared" si="57"/>
        <v>#N/A</v>
      </c>
      <c r="AE86" s="2">
        <f t="shared" si="50"/>
        <v>0</v>
      </c>
    </row>
    <row r="87" spans="1:31" x14ac:dyDescent="0.2">
      <c r="A87" s="2">
        <f t="shared" si="46"/>
        <v>10353007</v>
      </c>
      <c r="B87" s="1">
        <v>10000353</v>
      </c>
      <c r="C87" s="1" t="s">
        <v>281</v>
      </c>
      <c r="D87" s="1" t="s">
        <v>309</v>
      </c>
      <c r="E87" s="1" t="str">
        <f>"Persona_"&amp;_xlfn.XLOOKUP($B87, '#캐릭터'!$A:$A, '#캐릭터'!$C:$C)</f>
        <v>Persona_c353</v>
      </c>
      <c r="F87" s="1"/>
      <c r="G87" s="1">
        <f>_xlfn.XLOOKUP(_xlfn.XLOOKUP(B87,'[1]Detail&lt;Child&gt;'!$A:$A,'[1]Detail&lt;Child&gt;'!$N:$N),'#참조'!P:P,'#참조'!Q:Q)</f>
        <v>4</v>
      </c>
      <c r="H87" s="1">
        <f>_xlfn.XLOOKUP(_xlfn.XLOOKUP(B87,'[1]Detail&lt;Child&gt;'!$A:$A,'[1]Detail&lt;Child&gt;'!$O:$O),'#참조'!R:R,'#참조'!S:S)</f>
        <v>2</v>
      </c>
      <c r="I87" s="1">
        <v>1</v>
      </c>
      <c r="J87" s="1">
        <v>3</v>
      </c>
      <c r="K87" s="1">
        <v>3</v>
      </c>
      <c r="L87" s="1">
        <v>7</v>
      </c>
      <c r="M87" s="2" t="s">
        <v>11</v>
      </c>
      <c r="N87" s="2" t="s">
        <v>407</v>
      </c>
      <c r="O87" s="2">
        <f t="shared" si="20"/>
        <v>3543</v>
      </c>
      <c r="P87" s="2" t="s">
        <v>56</v>
      </c>
      <c r="Q87" s="2" t="str">
        <f t="shared" si="47"/>
        <v>4827,5800</v>
      </c>
      <c r="R87" s="2">
        <f t="shared" si="21"/>
        <v>4827</v>
      </c>
      <c r="S87" s="2">
        <f t="shared" si="16"/>
        <v>5800</v>
      </c>
      <c r="T87" s="2" t="s">
        <v>57</v>
      </c>
      <c r="U87" s="2" t="str">
        <f t="shared" si="48"/>
        <v>300,400</v>
      </c>
      <c r="V87" s="2">
        <f t="shared" si="22"/>
        <v>300</v>
      </c>
      <c r="W87" s="2">
        <f t="shared" si="17"/>
        <v>400</v>
      </c>
      <c r="X87" s="2" t="s">
        <v>58</v>
      </c>
      <c r="Y87" s="2" t="str">
        <f t="shared" si="49"/>
        <v>387,500</v>
      </c>
      <c r="Z87" s="2">
        <f t="shared" si="23"/>
        <v>387</v>
      </c>
      <c r="AA87" s="2">
        <f t="shared" si="18"/>
        <v>500</v>
      </c>
      <c r="AB87" s="2">
        <v>90000</v>
      </c>
      <c r="AC87" s="2" t="e">
        <f>_xlfn.XLOOKUP($B87, '#참조'!$M:$M, '#참조'!$N:$N)</f>
        <v>#N/A</v>
      </c>
      <c r="AD87" s="2" t="e">
        <f t="shared" si="57"/>
        <v>#N/A</v>
      </c>
      <c r="AE87" s="2">
        <f t="shared" si="50"/>
        <v>4201</v>
      </c>
    </row>
    <row r="88" spans="1:31" x14ac:dyDescent="0.2">
      <c r="A88" s="2">
        <f t="shared" si="46"/>
        <v>10353008</v>
      </c>
      <c r="B88" s="1">
        <v>10000353</v>
      </c>
      <c r="C88" s="1" t="s">
        <v>281</v>
      </c>
      <c r="D88" s="1" t="s">
        <v>309</v>
      </c>
      <c r="E88" s="1" t="str">
        <f>"Persona_"&amp;_xlfn.XLOOKUP($B88, '#캐릭터'!$A:$A, '#캐릭터'!$C:$C)</f>
        <v>Persona_c353</v>
      </c>
      <c r="F88" s="1"/>
      <c r="G88" s="1">
        <f>_xlfn.XLOOKUP(_xlfn.XLOOKUP(B88,'[1]Detail&lt;Child&gt;'!$A:$A,'[1]Detail&lt;Child&gt;'!$N:$N),'#참조'!P:P,'#참조'!Q:Q)</f>
        <v>4</v>
      </c>
      <c r="H88" s="1">
        <f>_xlfn.XLOOKUP(_xlfn.XLOOKUP(B88,'[1]Detail&lt;Child&gt;'!$A:$A,'[1]Detail&lt;Child&gt;'!$O:$O),'#참조'!R:R,'#참조'!S:S)</f>
        <v>2</v>
      </c>
      <c r="I88" s="1">
        <v>1</v>
      </c>
      <c r="J88" s="1">
        <v>3</v>
      </c>
      <c r="K88" s="1">
        <v>3</v>
      </c>
      <c r="L88" s="1">
        <v>8</v>
      </c>
      <c r="M88" s="2" t="s">
        <v>12</v>
      </c>
      <c r="N88" s="2" t="s">
        <v>407</v>
      </c>
      <c r="O88" s="2">
        <f t="shared" si="20"/>
        <v>3897</v>
      </c>
      <c r="P88" s="2" t="s">
        <v>56</v>
      </c>
      <c r="Q88" s="2" t="str">
        <f t="shared" si="47"/>
        <v>6275,7500</v>
      </c>
      <c r="R88" s="2">
        <f t="shared" si="21"/>
        <v>6275</v>
      </c>
      <c r="S88" s="2">
        <f t="shared" ref="S88:S151" si="62">ROUND(R88*1.2, -2)</f>
        <v>7500</v>
      </c>
      <c r="T88" s="2" t="s">
        <v>57</v>
      </c>
      <c r="U88" s="2" t="str">
        <f t="shared" si="48"/>
        <v>360,400</v>
      </c>
      <c r="V88" s="2">
        <f t="shared" si="22"/>
        <v>360</v>
      </c>
      <c r="W88" s="2">
        <f t="shared" ref="W88:W151" si="63">ROUND(V88*1.2, -2)</f>
        <v>400</v>
      </c>
      <c r="X88" s="2" t="s">
        <v>58</v>
      </c>
      <c r="Y88" s="2" t="str">
        <f t="shared" si="49"/>
        <v>503,600</v>
      </c>
      <c r="Z88" s="2">
        <f t="shared" si="23"/>
        <v>503</v>
      </c>
      <c r="AA88" s="2">
        <f t="shared" ref="AA88:AA151" si="64">ROUND(Z88*1.2, -2)</f>
        <v>600</v>
      </c>
      <c r="AB88" s="2">
        <v>90000</v>
      </c>
      <c r="AC88" s="2" t="e">
        <f>_xlfn.XLOOKUP($B88, '#참조'!$M:$M, '#참조'!$N:$N)</f>
        <v>#N/A</v>
      </c>
      <c r="AD88" s="2" t="e">
        <f t="shared" si="57"/>
        <v>#N/A</v>
      </c>
      <c r="AE88" s="2">
        <f t="shared" si="50"/>
        <v>4201</v>
      </c>
    </row>
    <row r="89" spans="1:31" x14ac:dyDescent="0.2">
      <c r="A89" s="2">
        <f t="shared" si="46"/>
        <v>10353009</v>
      </c>
      <c r="B89" s="1">
        <v>10000353</v>
      </c>
      <c r="C89" s="1" t="s">
        <v>281</v>
      </c>
      <c r="D89" s="1" t="s">
        <v>309</v>
      </c>
      <c r="E89" s="1" t="str">
        <f>"Persona_"&amp;_xlfn.XLOOKUP($B89, '#캐릭터'!$A:$A, '#캐릭터'!$C:$C)</f>
        <v>Persona_c353</v>
      </c>
      <c r="F89" s="1"/>
      <c r="G89" s="1">
        <f>_xlfn.XLOOKUP(_xlfn.XLOOKUP(B89,'[1]Detail&lt;Child&gt;'!$A:$A,'[1]Detail&lt;Child&gt;'!$N:$N),'#참조'!P:P,'#참조'!Q:Q)</f>
        <v>4</v>
      </c>
      <c r="H89" s="1">
        <f>_xlfn.XLOOKUP(_xlfn.XLOOKUP(B89,'[1]Detail&lt;Child&gt;'!$A:$A,'[1]Detail&lt;Child&gt;'!$O:$O),'#참조'!R:R,'#참조'!S:S)</f>
        <v>2</v>
      </c>
      <c r="I89" s="1">
        <v>2</v>
      </c>
      <c r="J89" s="1">
        <v>3</v>
      </c>
      <c r="K89" s="1">
        <v>3</v>
      </c>
      <c r="L89" s="1">
        <v>9</v>
      </c>
      <c r="M89" s="2" t="s">
        <v>13</v>
      </c>
      <c r="N89" s="2" t="s">
        <v>407</v>
      </c>
      <c r="O89" s="2">
        <f t="shared" ref="O89:O152" si="65">ROUND(O88*1.1, 0)</f>
        <v>4287</v>
      </c>
      <c r="P89" s="2" t="s">
        <v>56</v>
      </c>
      <c r="Q89" s="2" t="str">
        <f t="shared" si="47"/>
        <v>8158,9800</v>
      </c>
      <c r="R89" s="2">
        <f t="shared" ref="R89:R152" si="66">ROUND(R88*1.3, 0)</f>
        <v>8158</v>
      </c>
      <c r="S89" s="2">
        <f t="shared" si="62"/>
        <v>9800</v>
      </c>
      <c r="T89" s="2" t="s">
        <v>57</v>
      </c>
      <c r="U89" s="2" t="str">
        <f t="shared" si="48"/>
        <v>432,500</v>
      </c>
      <c r="V89" s="2">
        <f t="shared" ref="V89:V152" si="67">ROUND(V88*1.2, 0)</f>
        <v>432</v>
      </c>
      <c r="W89" s="2">
        <f t="shared" si="63"/>
        <v>500</v>
      </c>
      <c r="X89" s="2" t="s">
        <v>58</v>
      </c>
      <c r="Y89" s="2" t="str">
        <f t="shared" si="49"/>
        <v>654,800</v>
      </c>
      <c r="Z89" s="2">
        <f t="shared" ref="Z89:Z152" si="68">ROUND(Z88*1.3, 0)</f>
        <v>654</v>
      </c>
      <c r="AA89" s="2">
        <f t="shared" si="64"/>
        <v>800</v>
      </c>
      <c r="AB89" s="2">
        <v>90000</v>
      </c>
      <c r="AC89" s="2" t="e">
        <f>_xlfn.XLOOKUP($B89, '#참조'!$M:$M, '#참조'!$N:$N)</f>
        <v>#N/A</v>
      </c>
      <c r="AD89" s="2" t="e">
        <f t="shared" si="57"/>
        <v>#N/A</v>
      </c>
      <c r="AE89" s="2">
        <f t="shared" si="50"/>
        <v>4202</v>
      </c>
    </row>
    <row r="90" spans="1:31" x14ac:dyDescent="0.2">
      <c r="A90" s="2">
        <f t="shared" si="46"/>
        <v>10353010</v>
      </c>
      <c r="B90" s="1">
        <v>10000353</v>
      </c>
      <c r="C90" s="1" t="s">
        <v>281</v>
      </c>
      <c r="D90" s="1" t="s">
        <v>309</v>
      </c>
      <c r="E90" s="1" t="str">
        <f>"Persona_"&amp;_xlfn.XLOOKUP($B90, '#캐릭터'!$A:$A, '#캐릭터'!$C:$C)</f>
        <v>Persona_c353</v>
      </c>
      <c r="F90" s="1"/>
      <c r="G90" s="1">
        <f>_xlfn.XLOOKUP(_xlfn.XLOOKUP(B90,'[1]Detail&lt;Child&gt;'!$A:$A,'[1]Detail&lt;Child&gt;'!$N:$N),'#참조'!P:P,'#참조'!Q:Q)</f>
        <v>4</v>
      </c>
      <c r="H90" s="1">
        <f>_xlfn.XLOOKUP(_xlfn.XLOOKUP(B90,'[1]Detail&lt;Child&gt;'!$A:$A,'[1]Detail&lt;Child&gt;'!$O:$O),'#참조'!R:R,'#참조'!S:S)</f>
        <v>2</v>
      </c>
      <c r="I90" s="1">
        <v>2</v>
      </c>
      <c r="J90" s="1">
        <v>3</v>
      </c>
      <c r="K90" s="1">
        <v>4</v>
      </c>
      <c r="L90" s="1">
        <v>10</v>
      </c>
      <c r="M90" s="2" t="s">
        <v>14</v>
      </c>
      <c r="N90" s="2" t="s">
        <v>407</v>
      </c>
      <c r="O90" s="2">
        <f t="shared" si="65"/>
        <v>4716</v>
      </c>
      <c r="P90" s="2" t="s">
        <v>56</v>
      </c>
      <c r="Q90" s="2" t="str">
        <f t="shared" si="47"/>
        <v>10605,12700</v>
      </c>
      <c r="R90" s="2">
        <f t="shared" si="66"/>
        <v>10605</v>
      </c>
      <c r="S90" s="2">
        <f t="shared" si="62"/>
        <v>12700</v>
      </c>
      <c r="T90" s="2" t="s">
        <v>57</v>
      </c>
      <c r="U90" s="2" t="str">
        <f t="shared" si="48"/>
        <v>518,600</v>
      </c>
      <c r="V90" s="2">
        <f t="shared" si="67"/>
        <v>518</v>
      </c>
      <c r="W90" s="2">
        <f t="shared" si="63"/>
        <v>600</v>
      </c>
      <c r="X90" s="2" t="s">
        <v>58</v>
      </c>
      <c r="Y90" s="2" t="str">
        <f t="shared" si="49"/>
        <v>850,1000</v>
      </c>
      <c r="Z90" s="2">
        <f t="shared" si="68"/>
        <v>850</v>
      </c>
      <c r="AA90" s="2">
        <f t="shared" si="64"/>
        <v>1000</v>
      </c>
      <c r="AB90" s="2">
        <v>85000</v>
      </c>
      <c r="AC90" s="2" t="e">
        <f>_xlfn.XLOOKUP($B90, '#참조'!$M:$M, '#참조'!$N:$N)</f>
        <v>#N/A</v>
      </c>
      <c r="AD90" s="2" t="e">
        <f t="shared" si="57"/>
        <v>#N/A</v>
      </c>
      <c r="AE90" s="2">
        <f t="shared" si="50"/>
        <v>4202</v>
      </c>
    </row>
    <row r="91" spans="1:31" x14ac:dyDescent="0.2">
      <c r="A91" s="2">
        <f t="shared" si="46"/>
        <v>10353011</v>
      </c>
      <c r="B91" s="1">
        <v>10000353</v>
      </c>
      <c r="C91" s="1" t="s">
        <v>281</v>
      </c>
      <c r="D91" s="1" t="s">
        <v>309</v>
      </c>
      <c r="E91" s="1" t="str">
        <f>"Persona_"&amp;_xlfn.XLOOKUP($B91, '#캐릭터'!$A:$A, '#캐릭터'!$C:$C)</f>
        <v>Persona_c353</v>
      </c>
      <c r="F91" s="1"/>
      <c r="G91" s="1">
        <f>_xlfn.XLOOKUP(_xlfn.XLOOKUP(B91,'[1]Detail&lt;Child&gt;'!$A:$A,'[1]Detail&lt;Child&gt;'!$N:$N),'#참조'!P:P,'#참조'!Q:Q)</f>
        <v>4</v>
      </c>
      <c r="H91" s="1">
        <f>_xlfn.XLOOKUP(_xlfn.XLOOKUP(B91,'[1]Detail&lt;Child&gt;'!$A:$A,'[1]Detail&lt;Child&gt;'!$O:$O),'#참조'!R:R,'#참조'!S:S)</f>
        <v>2</v>
      </c>
      <c r="I91" s="1">
        <v>3</v>
      </c>
      <c r="J91" s="1">
        <v>3</v>
      </c>
      <c r="K91" s="1">
        <v>4</v>
      </c>
      <c r="L91" s="1">
        <v>11</v>
      </c>
      <c r="M91" s="2" t="s">
        <v>15</v>
      </c>
      <c r="N91" s="2" t="s">
        <v>407</v>
      </c>
      <c r="O91" s="2">
        <f t="shared" si="65"/>
        <v>5188</v>
      </c>
      <c r="P91" s="2" t="s">
        <v>56</v>
      </c>
      <c r="Q91" s="2" t="str">
        <f t="shared" si="47"/>
        <v>13787,16500</v>
      </c>
      <c r="R91" s="2">
        <f t="shared" si="66"/>
        <v>13787</v>
      </c>
      <c r="S91" s="2">
        <f t="shared" si="62"/>
        <v>16500</v>
      </c>
      <c r="T91" s="2" t="s">
        <v>57</v>
      </c>
      <c r="U91" s="2" t="str">
        <f t="shared" si="48"/>
        <v>622,700</v>
      </c>
      <c r="V91" s="2">
        <f t="shared" si="67"/>
        <v>622</v>
      </c>
      <c r="W91" s="2">
        <f t="shared" si="63"/>
        <v>700</v>
      </c>
      <c r="X91" s="2" t="s">
        <v>58</v>
      </c>
      <c r="Y91" s="2" t="str">
        <f t="shared" si="49"/>
        <v>1105,1300</v>
      </c>
      <c r="Z91" s="2">
        <f t="shared" si="68"/>
        <v>1105</v>
      </c>
      <c r="AA91" s="2">
        <f t="shared" si="64"/>
        <v>1300</v>
      </c>
      <c r="AB91" s="2">
        <v>85000</v>
      </c>
      <c r="AC91" s="2" t="e">
        <f>_xlfn.XLOOKUP($B91, '#참조'!$M:$M, '#참조'!$N:$N)</f>
        <v>#N/A</v>
      </c>
      <c r="AD91" s="2" t="e">
        <f t="shared" si="57"/>
        <v>#N/A</v>
      </c>
      <c r="AE91" s="2">
        <f t="shared" si="50"/>
        <v>4203</v>
      </c>
    </row>
    <row r="92" spans="1:31" x14ac:dyDescent="0.2">
      <c r="A92" s="2">
        <f t="shared" si="46"/>
        <v>10353012</v>
      </c>
      <c r="B92" s="1">
        <v>10000353</v>
      </c>
      <c r="C92" s="1" t="s">
        <v>281</v>
      </c>
      <c r="D92" s="1" t="s">
        <v>309</v>
      </c>
      <c r="E92" s="1" t="str">
        <f>"Persona_"&amp;_xlfn.XLOOKUP($B92, '#캐릭터'!$A:$A, '#캐릭터'!$C:$C)</f>
        <v>Persona_c353</v>
      </c>
      <c r="F92" s="1"/>
      <c r="G92" s="1">
        <f>_xlfn.XLOOKUP(_xlfn.XLOOKUP(B92,'[1]Detail&lt;Child&gt;'!$A:$A,'[1]Detail&lt;Child&gt;'!$N:$N),'#참조'!P:P,'#참조'!Q:Q)</f>
        <v>4</v>
      </c>
      <c r="H92" s="1">
        <f>_xlfn.XLOOKUP(_xlfn.XLOOKUP(B92,'[1]Detail&lt;Child&gt;'!$A:$A,'[1]Detail&lt;Child&gt;'!$O:$O),'#참조'!R:R,'#참조'!S:S)</f>
        <v>2</v>
      </c>
      <c r="I92" s="1">
        <v>3</v>
      </c>
      <c r="J92" s="1">
        <v>3</v>
      </c>
      <c r="K92" s="1">
        <v>4</v>
      </c>
      <c r="L92" s="1">
        <v>12</v>
      </c>
      <c r="M92" s="2" t="s">
        <v>16</v>
      </c>
      <c r="N92" s="2" t="s">
        <v>407</v>
      </c>
      <c r="O92" s="2">
        <f t="shared" si="65"/>
        <v>5707</v>
      </c>
      <c r="P92" s="2" t="s">
        <v>56</v>
      </c>
      <c r="Q92" s="2" t="str">
        <f t="shared" si="47"/>
        <v>17923,21500</v>
      </c>
      <c r="R92" s="2">
        <f t="shared" si="66"/>
        <v>17923</v>
      </c>
      <c r="S92" s="2">
        <f t="shared" si="62"/>
        <v>21500</v>
      </c>
      <c r="T92" s="2" t="s">
        <v>57</v>
      </c>
      <c r="U92" s="2" t="str">
        <f t="shared" si="48"/>
        <v>746,900</v>
      </c>
      <c r="V92" s="2">
        <f t="shared" si="67"/>
        <v>746</v>
      </c>
      <c r="W92" s="2">
        <f t="shared" si="63"/>
        <v>900</v>
      </c>
      <c r="X92" s="2" t="s">
        <v>58</v>
      </c>
      <c r="Y92" s="2" t="str">
        <f t="shared" si="49"/>
        <v>1437,1700</v>
      </c>
      <c r="Z92" s="2">
        <f t="shared" si="68"/>
        <v>1437</v>
      </c>
      <c r="AA92" s="2">
        <f t="shared" si="64"/>
        <v>1700</v>
      </c>
      <c r="AB92" s="2">
        <v>85000</v>
      </c>
      <c r="AC92" s="2" t="e">
        <f>_xlfn.XLOOKUP($B92, '#참조'!$M:$M, '#참조'!$N:$N)</f>
        <v>#N/A</v>
      </c>
      <c r="AD92" s="2" t="e">
        <f t="shared" si="57"/>
        <v>#N/A</v>
      </c>
      <c r="AE92" s="2">
        <f t="shared" si="50"/>
        <v>4203</v>
      </c>
    </row>
    <row r="93" spans="1:31" x14ac:dyDescent="0.2">
      <c r="A93" s="2">
        <f t="shared" si="46"/>
        <v>10353013</v>
      </c>
      <c r="B93" s="1">
        <v>10000353</v>
      </c>
      <c r="C93" s="1" t="s">
        <v>281</v>
      </c>
      <c r="D93" s="1" t="s">
        <v>309</v>
      </c>
      <c r="E93" s="1" t="str">
        <f>"Persona_"&amp;_xlfn.XLOOKUP($B93, '#캐릭터'!$A:$A, '#캐릭터'!$C:$C)</f>
        <v>Persona_c353</v>
      </c>
      <c r="F93" s="1"/>
      <c r="G93" s="1">
        <f>_xlfn.XLOOKUP(_xlfn.XLOOKUP(B93,'[1]Detail&lt;Child&gt;'!$A:$A,'[1]Detail&lt;Child&gt;'!$N:$N),'#참조'!P:P,'#참조'!Q:Q)</f>
        <v>4</v>
      </c>
      <c r="H93" s="1">
        <f>_xlfn.XLOOKUP(_xlfn.XLOOKUP(B93,'[1]Detail&lt;Child&gt;'!$A:$A,'[1]Detail&lt;Child&gt;'!$O:$O),'#참조'!R:R,'#참조'!S:S)</f>
        <v>2</v>
      </c>
      <c r="I93" s="1">
        <v>4</v>
      </c>
      <c r="J93" s="1">
        <v>3</v>
      </c>
      <c r="K93" s="1">
        <v>5</v>
      </c>
      <c r="L93" s="1">
        <v>13</v>
      </c>
      <c r="M93" s="2" t="s">
        <v>17</v>
      </c>
      <c r="N93" s="2" t="s">
        <v>407</v>
      </c>
      <c r="O93" s="2">
        <f t="shared" si="65"/>
        <v>6278</v>
      </c>
      <c r="P93" s="2" t="s">
        <v>56</v>
      </c>
      <c r="Q93" s="2" t="str">
        <f t="shared" si="47"/>
        <v>23300,28000</v>
      </c>
      <c r="R93" s="2">
        <f t="shared" si="66"/>
        <v>23300</v>
      </c>
      <c r="S93" s="2">
        <f t="shared" si="62"/>
        <v>28000</v>
      </c>
      <c r="T93" s="2" t="s">
        <v>57</v>
      </c>
      <c r="U93" s="2" t="str">
        <f t="shared" si="48"/>
        <v>895,1100</v>
      </c>
      <c r="V93" s="2">
        <f t="shared" si="67"/>
        <v>895</v>
      </c>
      <c r="W93" s="2">
        <f t="shared" si="63"/>
        <v>1100</v>
      </c>
      <c r="X93" s="2" t="s">
        <v>58</v>
      </c>
      <c r="Y93" s="2" t="str">
        <f t="shared" si="49"/>
        <v>1868,2200</v>
      </c>
      <c r="Z93" s="2">
        <f t="shared" si="68"/>
        <v>1868</v>
      </c>
      <c r="AA93" s="2">
        <f t="shared" si="64"/>
        <v>2200</v>
      </c>
      <c r="AB93" s="2">
        <v>80000</v>
      </c>
      <c r="AC93" s="2" t="e">
        <f>_xlfn.XLOOKUP($B93, '#참조'!$M:$M, '#참조'!$N:$N)</f>
        <v>#N/A</v>
      </c>
      <c r="AD93" s="2" t="e">
        <f t="shared" si="57"/>
        <v>#N/A</v>
      </c>
      <c r="AE93" s="2">
        <f t="shared" si="50"/>
        <v>4204</v>
      </c>
    </row>
    <row r="94" spans="1:31" x14ac:dyDescent="0.2">
      <c r="A94" s="2">
        <f t="shared" si="46"/>
        <v>10353014</v>
      </c>
      <c r="B94" s="1">
        <v>10000353</v>
      </c>
      <c r="C94" s="1" t="s">
        <v>281</v>
      </c>
      <c r="D94" s="1" t="s">
        <v>309</v>
      </c>
      <c r="E94" s="1" t="str">
        <f>"Persona_"&amp;_xlfn.XLOOKUP($B94, '#캐릭터'!$A:$A, '#캐릭터'!$C:$C)</f>
        <v>Persona_c353</v>
      </c>
      <c r="F94" s="1"/>
      <c r="G94" s="1">
        <f>_xlfn.XLOOKUP(_xlfn.XLOOKUP(B94,'[1]Detail&lt;Child&gt;'!$A:$A,'[1]Detail&lt;Child&gt;'!$N:$N),'#참조'!P:P,'#참조'!Q:Q)</f>
        <v>4</v>
      </c>
      <c r="H94" s="1">
        <f>_xlfn.XLOOKUP(_xlfn.XLOOKUP(B94,'[1]Detail&lt;Child&gt;'!$A:$A,'[1]Detail&lt;Child&gt;'!$O:$O),'#참조'!R:R,'#참조'!S:S)</f>
        <v>2</v>
      </c>
      <c r="I94" s="1">
        <v>4</v>
      </c>
      <c r="J94" s="1">
        <v>3</v>
      </c>
      <c r="K94" s="1">
        <v>5</v>
      </c>
      <c r="L94" s="1">
        <v>14</v>
      </c>
      <c r="M94" s="2" t="s">
        <v>18</v>
      </c>
      <c r="N94" s="2" t="s">
        <v>407</v>
      </c>
      <c r="O94" s="2">
        <f t="shared" si="65"/>
        <v>6906</v>
      </c>
      <c r="P94" s="2" t="s">
        <v>56</v>
      </c>
      <c r="Q94" s="2" t="str">
        <f t="shared" si="47"/>
        <v>30290,36300</v>
      </c>
      <c r="R94" s="2">
        <f t="shared" si="66"/>
        <v>30290</v>
      </c>
      <c r="S94" s="2">
        <f t="shared" si="62"/>
        <v>36300</v>
      </c>
      <c r="T94" s="2" t="s">
        <v>57</v>
      </c>
      <c r="U94" s="2" t="str">
        <f t="shared" si="48"/>
        <v>1074,1300</v>
      </c>
      <c r="V94" s="2">
        <f t="shared" si="67"/>
        <v>1074</v>
      </c>
      <c r="W94" s="2">
        <f t="shared" si="63"/>
        <v>1300</v>
      </c>
      <c r="X94" s="2" t="s">
        <v>58</v>
      </c>
      <c r="Y94" s="2" t="str">
        <f t="shared" si="49"/>
        <v>2428,2900</v>
      </c>
      <c r="Z94" s="2">
        <f t="shared" si="68"/>
        <v>2428</v>
      </c>
      <c r="AA94" s="2">
        <f t="shared" si="64"/>
        <v>2900</v>
      </c>
      <c r="AB94" s="2">
        <v>80000</v>
      </c>
      <c r="AC94" s="2" t="e">
        <f>_xlfn.XLOOKUP($B94, '#참조'!$M:$M, '#참조'!$N:$N)</f>
        <v>#N/A</v>
      </c>
      <c r="AD94" s="2" t="e">
        <f t="shared" si="57"/>
        <v>#N/A</v>
      </c>
      <c r="AE94" s="2">
        <f t="shared" si="50"/>
        <v>4204</v>
      </c>
    </row>
    <row r="95" spans="1:31" x14ac:dyDescent="0.2">
      <c r="A95" s="2">
        <f t="shared" si="46"/>
        <v>10353015</v>
      </c>
      <c r="B95" s="1">
        <v>10000353</v>
      </c>
      <c r="C95" s="1" t="s">
        <v>281</v>
      </c>
      <c r="D95" s="1" t="s">
        <v>309</v>
      </c>
      <c r="E95" s="1" t="str">
        <f>"Persona_"&amp;_xlfn.XLOOKUP($B95, '#캐릭터'!$A:$A, '#캐릭터'!$C:$C)</f>
        <v>Persona_c353</v>
      </c>
      <c r="F95" s="1"/>
      <c r="G95" s="1">
        <f>_xlfn.XLOOKUP(_xlfn.XLOOKUP(B95,'[1]Detail&lt;Child&gt;'!$A:$A,'[1]Detail&lt;Child&gt;'!$N:$N),'#참조'!P:P,'#참조'!Q:Q)</f>
        <v>4</v>
      </c>
      <c r="H95" s="1">
        <f>_xlfn.XLOOKUP(_xlfn.XLOOKUP(B95,'[1]Detail&lt;Child&gt;'!$A:$A,'[1]Detail&lt;Child&gt;'!$O:$O),'#참조'!R:R,'#참조'!S:S)</f>
        <v>2</v>
      </c>
      <c r="I95" s="1">
        <v>5</v>
      </c>
      <c r="J95" s="1">
        <v>3</v>
      </c>
      <c r="K95" s="1">
        <v>5</v>
      </c>
      <c r="L95" s="1">
        <v>15</v>
      </c>
      <c r="M95" s="2" t="s">
        <v>19</v>
      </c>
      <c r="N95" s="2" t="s">
        <v>407</v>
      </c>
      <c r="O95" s="2">
        <f t="shared" si="65"/>
        <v>7597</v>
      </c>
      <c r="P95" s="2" t="s">
        <v>56</v>
      </c>
      <c r="Q95" s="2" t="str">
        <f t="shared" si="47"/>
        <v>39377,47300</v>
      </c>
      <c r="R95" s="2">
        <f t="shared" si="66"/>
        <v>39377</v>
      </c>
      <c r="S95" s="2">
        <f t="shared" si="62"/>
        <v>47300</v>
      </c>
      <c r="T95" s="2" t="s">
        <v>57</v>
      </c>
      <c r="U95" s="2" t="str">
        <f t="shared" si="48"/>
        <v>1289,1500</v>
      </c>
      <c r="V95" s="2">
        <f t="shared" si="67"/>
        <v>1289</v>
      </c>
      <c r="W95" s="2">
        <f t="shared" si="63"/>
        <v>1500</v>
      </c>
      <c r="X95" s="2" t="s">
        <v>58</v>
      </c>
      <c r="Y95" s="2" t="str">
        <f t="shared" si="49"/>
        <v>3156,3800</v>
      </c>
      <c r="Z95" s="2">
        <f t="shared" si="68"/>
        <v>3156</v>
      </c>
      <c r="AA95" s="2">
        <f t="shared" si="64"/>
        <v>3800</v>
      </c>
      <c r="AB95" s="2">
        <v>80000</v>
      </c>
      <c r="AC95" s="2" t="e">
        <f>_xlfn.XLOOKUP($B95, '#참조'!$M:$M, '#참조'!$N:$N)</f>
        <v>#N/A</v>
      </c>
      <c r="AD95" s="2" t="e">
        <f t="shared" si="57"/>
        <v>#N/A</v>
      </c>
      <c r="AE95" s="2">
        <f t="shared" si="50"/>
        <v>4205</v>
      </c>
    </row>
    <row r="96" spans="1:31" x14ac:dyDescent="0.2">
      <c r="A96" s="2">
        <f t="shared" si="46"/>
        <v>10353016</v>
      </c>
      <c r="B96" s="1">
        <v>10000353</v>
      </c>
      <c r="C96" s="1" t="s">
        <v>281</v>
      </c>
      <c r="D96" s="1" t="s">
        <v>309</v>
      </c>
      <c r="E96" s="1" t="str">
        <f>"Persona_"&amp;_xlfn.XLOOKUP($B96, '#캐릭터'!$A:$A, '#캐릭터'!$C:$C)</f>
        <v>Persona_c353</v>
      </c>
      <c r="F96" s="1"/>
      <c r="G96" s="1">
        <f>_xlfn.XLOOKUP(_xlfn.XLOOKUP(B96,'[1]Detail&lt;Child&gt;'!$A:$A,'[1]Detail&lt;Child&gt;'!$N:$N),'#참조'!P:P,'#참조'!Q:Q)</f>
        <v>4</v>
      </c>
      <c r="H96" s="1">
        <f>_xlfn.XLOOKUP(_xlfn.XLOOKUP(B96,'[1]Detail&lt;Child&gt;'!$A:$A,'[1]Detail&lt;Child&gt;'!$O:$O),'#참조'!R:R,'#참조'!S:S)</f>
        <v>2</v>
      </c>
      <c r="I96" s="1">
        <v>5</v>
      </c>
      <c r="J96" s="1">
        <v>3</v>
      </c>
      <c r="K96" s="1">
        <v>6</v>
      </c>
      <c r="L96" s="1">
        <v>16</v>
      </c>
      <c r="M96" s="2" t="s">
        <v>20</v>
      </c>
      <c r="N96" s="2" t="s">
        <v>407</v>
      </c>
      <c r="O96" s="2">
        <f t="shared" si="65"/>
        <v>8357</v>
      </c>
      <c r="P96" s="2" t="s">
        <v>56</v>
      </c>
      <c r="Q96" s="2" t="str">
        <f t="shared" si="47"/>
        <v>51190,61400</v>
      </c>
      <c r="R96" s="2">
        <f t="shared" si="66"/>
        <v>51190</v>
      </c>
      <c r="S96" s="2">
        <f t="shared" si="62"/>
        <v>61400</v>
      </c>
      <c r="T96" s="2" t="s">
        <v>57</v>
      </c>
      <c r="U96" s="2" t="str">
        <f t="shared" si="48"/>
        <v>1547,1900</v>
      </c>
      <c r="V96" s="2">
        <f t="shared" si="67"/>
        <v>1547</v>
      </c>
      <c r="W96" s="2">
        <f t="shared" si="63"/>
        <v>1900</v>
      </c>
      <c r="X96" s="2" t="s">
        <v>58</v>
      </c>
      <c r="Y96" s="2" t="str">
        <f t="shared" si="49"/>
        <v>4103,4900</v>
      </c>
      <c r="Z96" s="2">
        <f t="shared" si="68"/>
        <v>4103</v>
      </c>
      <c r="AA96" s="2">
        <f t="shared" si="64"/>
        <v>4900</v>
      </c>
      <c r="AB96" s="2">
        <v>75000</v>
      </c>
      <c r="AC96" s="2" t="e">
        <f>_xlfn.XLOOKUP($B96, '#참조'!$M:$M, '#참조'!$N:$N)</f>
        <v>#N/A</v>
      </c>
      <c r="AD96" s="2" t="e">
        <f t="shared" si="57"/>
        <v>#N/A</v>
      </c>
      <c r="AE96" s="2">
        <f t="shared" si="50"/>
        <v>4205</v>
      </c>
    </row>
    <row r="97" spans="1:31" x14ac:dyDescent="0.2">
      <c r="A97" s="2">
        <f t="shared" si="46"/>
        <v>10353017</v>
      </c>
      <c r="B97" s="1">
        <v>10000353</v>
      </c>
      <c r="C97" s="1" t="s">
        <v>281</v>
      </c>
      <c r="D97" s="1" t="s">
        <v>309</v>
      </c>
      <c r="E97" s="1" t="str">
        <f>"Persona_"&amp;_xlfn.XLOOKUP($B97, '#캐릭터'!$A:$A, '#캐릭터'!$C:$C)</f>
        <v>Persona_c353</v>
      </c>
      <c r="F97" s="1"/>
      <c r="G97" s="1">
        <f>_xlfn.XLOOKUP(_xlfn.XLOOKUP(B97,'[1]Detail&lt;Child&gt;'!$A:$A,'[1]Detail&lt;Child&gt;'!$N:$N),'#참조'!P:P,'#참조'!Q:Q)</f>
        <v>4</v>
      </c>
      <c r="H97" s="1">
        <f>_xlfn.XLOOKUP(_xlfn.XLOOKUP(B97,'[1]Detail&lt;Child&gt;'!$A:$A,'[1]Detail&lt;Child&gt;'!$O:$O),'#참조'!R:R,'#참조'!S:S)</f>
        <v>2</v>
      </c>
      <c r="I97" s="1">
        <v>6</v>
      </c>
      <c r="J97" s="1">
        <v>3</v>
      </c>
      <c r="K97" s="1">
        <v>6</v>
      </c>
      <c r="L97" s="1">
        <v>17</v>
      </c>
      <c r="M97" s="2" t="s">
        <v>21</v>
      </c>
      <c r="N97" s="2" t="s">
        <v>407</v>
      </c>
      <c r="O97" s="2">
        <f t="shared" si="65"/>
        <v>9193</v>
      </c>
      <c r="P97" s="2" t="s">
        <v>56</v>
      </c>
      <c r="Q97" s="2" t="str">
        <f t="shared" si="47"/>
        <v>66547,79900</v>
      </c>
      <c r="R97" s="2">
        <f t="shared" si="66"/>
        <v>66547</v>
      </c>
      <c r="S97" s="2">
        <f t="shared" si="62"/>
        <v>79900</v>
      </c>
      <c r="T97" s="2" t="s">
        <v>57</v>
      </c>
      <c r="U97" s="2" t="str">
        <f t="shared" si="48"/>
        <v>1856,2200</v>
      </c>
      <c r="V97" s="2">
        <f t="shared" si="67"/>
        <v>1856</v>
      </c>
      <c r="W97" s="2">
        <f t="shared" si="63"/>
        <v>2200</v>
      </c>
      <c r="X97" s="2" t="s">
        <v>58</v>
      </c>
      <c r="Y97" s="2" t="str">
        <f t="shared" si="49"/>
        <v>5334,6400</v>
      </c>
      <c r="Z97" s="2">
        <f t="shared" si="68"/>
        <v>5334</v>
      </c>
      <c r="AA97" s="2">
        <f t="shared" si="64"/>
        <v>6400</v>
      </c>
      <c r="AB97" s="2">
        <v>75000</v>
      </c>
      <c r="AC97" s="2" t="e">
        <f>_xlfn.XLOOKUP($B97, '#참조'!$M:$M, '#참조'!$N:$N)</f>
        <v>#N/A</v>
      </c>
      <c r="AD97" s="2" t="e">
        <f t="shared" si="57"/>
        <v>#N/A</v>
      </c>
      <c r="AE97" s="2">
        <f t="shared" si="50"/>
        <v>4206</v>
      </c>
    </row>
    <row r="98" spans="1:31" x14ac:dyDescent="0.2">
      <c r="A98" s="2">
        <f t="shared" si="46"/>
        <v>10353018</v>
      </c>
      <c r="B98" s="1">
        <v>10000353</v>
      </c>
      <c r="C98" s="1" t="s">
        <v>281</v>
      </c>
      <c r="D98" s="1" t="s">
        <v>309</v>
      </c>
      <c r="E98" s="1" t="str">
        <f>"Persona_"&amp;_xlfn.XLOOKUP($B98, '#캐릭터'!$A:$A, '#캐릭터'!$C:$C)</f>
        <v>Persona_c353</v>
      </c>
      <c r="F98" s="1"/>
      <c r="G98" s="1">
        <f>_xlfn.XLOOKUP(_xlfn.XLOOKUP(B98,'[1]Detail&lt;Child&gt;'!$A:$A,'[1]Detail&lt;Child&gt;'!$N:$N),'#참조'!P:P,'#참조'!Q:Q)</f>
        <v>4</v>
      </c>
      <c r="H98" s="1">
        <f>_xlfn.XLOOKUP(_xlfn.XLOOKUP(B98,'[1]Detail&lt;Child&gt;'!$A:$A,'[1]Detail&lt;Child&gt;'!$O:$O),'#참조'!R:R,'#참조'!S:S)</f>
        <v>2</v>
      </c>
      <c r="I98" s="1">
        <v>6</v>
      </c>
      <c r="J98" s="1">
        <v>3</v>
      </c>
      <c r="K98" s="1">
        <v>6</v>
      </c>
      <c r="L98" s="1">
        <v>18</v>
      </c>
      <c r="M98" s="2" t="s">
        <v>22</v>
      </c>
      <c r="N98" s="2" t="s">
        <v>407</v>
      </c>
      <c r="O98" s="2">
        <f t="shared" si="65"/>
        <v>10112</v>
      </c>
      <c r="P98" s="2" t="s">
        <v>56</v>
      </c>
      <c r="Q98" s="2" t="str">
        <f t="shared" si="47"/>
        <v>86511,103800</v>
      </c>
      <c r="R98" s="2">
        <f t="shared" si="66"/>
        <v>86511</v>
      </c>
      <c r="S98" s="2">
        <f t="shared" si="62"/>
        <v>103800</v>
      </c>
      <c r="T98" s="2" t="s">
        <v>57</v>
      </c>
      <c r="U98" s="2" t="str">
        <f t="shared" si="48"/>
        <v>2227,2700</v>
      </c>
      <c r="V98" s="2">
        <f t="shared" si="67"/>
        <v>2227</v>
      </c>
      <c r="W98" s="2">
        <f t="shared" si="63"/>
        <v>2700</v>
      </c>
      <c r="X98" s="2" t="s">
        <v>58</v>
      </c>
      <c r="Y98" s="2" t="str">
        <f t="shared" si="49"/>
        <v>6934,8300</v>
      </c>
      <c r="Z98" s="2">
        <f t="shared" si="68"/>
        <v>6934</v>
      </c>
      <c r="AA98" s="2">
        <f t="shared" si="64"/>
        <v>8300</v>
      </c>
      <c r="AB98" s="2">
        <v>75000</v>
      </c>
      <c r="AC98" s="2" t="e">
        <f>_xlfn.XLOOKUP($B98, '#참조'!$M:$M, '#참조'!$N:$N)</f>
        <v>#N/A</v>
      </c>
      <c r="AD98" s="2" t="e">
        <f t="shared" si="57"/>
        <v>#N/A</v>
      </c>
      <c r="AE98" s="2">
        <f t="shared" si="50"/>
        <v>4206</v>
      </c>
    </row>
    <row r="99" spans="1:31" x14ac:dyDescent="0.2">
      <c r="A99" s="2">
        <f t="shared" si="46"/>
        <v>10229000</v>
      </c>
      <c r="B99" s="1">
        <v>10000229</v>
      </c>
      <c r="C99" s="1" t="s">
        <v>281</v>
      </c>
      <c r="D99" s="1" t="s">
        <v>309</v>
      </c>
      <c r="E99" s="1" t="str">
        <f>"Persona_"&amp;_xlfn.XLOOKUP($B99, '#캐릭터'!$A:$A, '#캐릭터'!$C:$C)</f>
        <v>Persona_c229</v>
      </c>
      <c r="F99" s="1"/>
      <c r="G99" s="1">
        <f>_xlfn.XLOOKUP(_xlfn.XLOOKUP(B99,'[1]Detail&lt;Child&gt;'!$A:$A,'[1]Detail&lt;Child&gt;'!$N:$N),'#참조'!P:P,'#참조'!Q:Q)</f>
        <v>3</v>
      </c>
      <c r="H99" s="1">
        <f>_xlfn.XLOOKUP(_xlfn.XLOOKUP(B99,'[1]Detail&lt;Child&gt;'!$A:$A,'[1]Detail&lt;Child&gt;'!$O:$O),'#참조'!R:R,'#참조'!S:S)</f>
        <v>5</v>
      </c>
      <c r="I99" s="1">
        <v>0</v>
      </c>
      <c r="J99" s="1">
        <v>3</v>
      </c>
      <c r="K99" s="1">
        <v>0</v>
      </c>
      <c r="L99" s="1">
        <v>0</v>
      </c>
      <c r="M99" s="2" t="s">
        <v>2</v>
      </c>
      <c r="N99" s="2" t="s">
        <v>407</v>
      </c>
      <c r="O99" s="2">
        <v>0</v>
      </c>
      <c r="P99" s="2" t="s">
        <v>56</v>
      </c>
      <c r="Q99" s="2" t="str">
        <f t="shared" si="47"/>
        <v>1000,1000</v>
      </c>
      <c r="R99" s="2">
        <v>1000</v>
      </c>
      <c r="S99" s="2">
        <f t="shared" ref="S99" si="69">R99</f>
        <v>1000</v>
      </c>
      <c r="T99" s="2" t="s">
        <v>57</v>
      </c>
      <c r="U99" s="2" t="str">
        <f t="shared" si="48"/>
        <v>100,100</v>
      </c>
      <c r="V99" s="2">
        <v>100</v>
      </c>
      <c r="W99" s="2">
        <f t="shared" ref="W99" si="70">V99</f>
        <v>100</v>
      </c>
      <c r="X99" s="2" t="s">
        <v>58</v>
      </c>
      <c r="Y99" s="2" t="str">
        <f t="shared" si="49"/>
        <v>80,80</v>
      </c>
      <c r="Z99" s="2">
        <v>80</v>
      </c>
      <c r="AA99" s="2">
        <f t="shared" ref="AA99" si="71">Z99</f>
        <v>80</v>
      </c>
      <c r="AB99" s="2">
        <v>100000</v>
      </c>
      <c r="AE99" s="2">
        <f t="shared" si="50"/>
        <v>0</v>
      </c>
    </row>
    <row r="100" spans="1:31" x14ac:dyDescent="0.2">
      <c r="A100" s="2">
        <f t="shared" si="46"/>
        <v>10229001</v>
      </c>
      <c r="B100" s="1">
        <v>10000229</v>
      </c>
      <c r="C100" s="1" t="s">
        <v>281</v>
      </c>
      <c r="D100" s="1" t="s">
        <v>309</v>
      </c>
      <c r="E100" s="1" t="str">
        <f>"Persona_"&amp;_xlfn.XLOOKUP($B100, '#캐릭터'!$A:$A, '#캐릭터'!$C:$C)</f>
        <v>Persona_c229</v>
      </c>
      <c r="F100" s="1"/>
      <c r="G100" s="1">
        <f>_xlfn.XLOOKUP(_xlfn.XLOOKUP(B100,'[1]Detail&lt;Child&gt;'!$A:$A,'[1]Detail&lt;Child&gt;'!$N:$N),'#참조'!P:P,'#참조'!Q:Q)</f>
        <v>3</v>
      </c>
      <c r="H100" s="1">
        <f>_xlfn.XLOOKUP(_xlfn.XLOOKUP(B100,'[1]Detail&lt;Child&gt;'!$A:$A,'[1]Detail&lt;Child&gt;'!$O:$O),'#참조'!R:R,'#참조'!S:S)</f>
        <v>5</v>
      </c>
      <c r="I100" s="1">
        <v>0</v>
      </c>
      <c r="J100" s="1">
        <v>3</v>
      </c>
      <c r="K100" s="1">
        <v>1</v>
      </c>
      <c r="L100" s="1">
        <v>1</v>
      </c>
      <c r="M100" s="2" t="s">
        <v>5</v>
      </c>
      <c r="N100" s="2" t="s">
        <v>407</v>
      </c>
      <c r="O100" s="2">
        <v>2000</v>
      </c>
      <c r="P100" s="2" t="s">
        <v>56</v>
      </c>
      <c r="Q100" s="2" t="str">
        <f t="shared" si="47"/>
        <v>1000,1200</v>
      </c>
      <c r="R100" s="2">
        <v>1000</v>
      </c>
      <c r="S100" s="2">
        <f t="shared" ref="S100" si="72">ROUND(R100*1.2, -2)</f>
        <v>1200</v>
      </c>
      <c r="T100" s="2" t="s">
        <v>57</v>
      </c>
      <c r="U100" s="2" t="str">
        <f t="shared" si="48"/>
        <v>100,100</v>
      </c>
      <c r="V100" s="2">
        <v>100</v>
      </c>
      <c r="W100" s="2">
        <f t="shared" ref="W100" si="73">ROUND(V100*1.2, -2)</f>
        <v>100</v>
      </c>
      <c r="X100" s="2" t="s">
        <v>58</v>
      </c>
      <c r="Y100" s="2" t="str">
        <f t="shared" si="49"/>
        <v>80,100</v>
      </c>
      <c r="Z100" s="2">
        <v>80</v>
      </c>
      <c r="AA100" s="2">
        <f t="shared" ref="AA100" si="74">ROUND(Z100*1.2, -2)</f>
        <v>100</v>
      </c>
      <c r="AB100" s="2">
        <v>100000</v>
      </c>
      <c r="AC100" s="2" t="e">
        <f>_xlfn.XLOOKUP($B100, '#참조'!$M:$M, '#참조'!$N:$N)</f>
        <v>#N/A</v>
      </c>
      <c r="AD100" s="2" t="e">
        <f t="shared" ref="AD100:AD117" si="75">M100&amp;"_"&amp;AC100</f>
        <v>#N/A</v>
      </c>
      <c r="AE100" s="2">
        <f t="shared" si="50"/>
        <v>0</v>
      </c>
    </row>
    <row r="101" spans="1:31" x14ac:dyDescent="0.2">
      <c r="A101" s="2">
        <f t="shared" si="46"/>
        <v>10229002</v>
      </c>
      <c r="B101" s="1">
        <v>10000229</v>
      </c>
      <c r="C101" s="1" t="s">
        <v>281</v>
      </c>
      <c r="D101" s="1" t="s">
        <v>309</v>
      </c>
      <c r="E101" s="1" t="str">
        <f>"Persona_"&amp;_xlfn.XLOOKUP($B101, '#캐릭터'!$A:$A, '#캐릭터'!$C:$C)</f>
        <v>Persona_c229</v>
      </c>
      <c r="F101" s="1"/>
      <c r="G101" s="1">
        <f>_xlfn.XLOOKUP(_xlfn.XLOOKUP(B101,'[1]Detail&lt;Child&gt;'!$A:$A,'[1]Detail&lt;Child&gt;'!$N:$N),'#참조'!P:P,'#참조'!Q:Q)</f>
        <v>3</v>
      </c>
      <c r="H101" s="1">
        <f>_xlfn.XLOOKUP(_xlfn.XLOOKUP(B101,'[1]Detail&lt;Child&gt;'!$A:$A,'[1]Detail&lt;Child&gt;'!$O:$O),'#참조'!R:R,'#참조'!S:S)</f>
        <v>5</v>
      </c>
      <c r="I101" s="1">
        <v>0</v>
      </c>
      <c r="J101" s="1">
        <v>3</v>
      </c>
      <c r="K101" s="1">
        <v>1</v>
      </c>
      <c r="L101" s="1">
        <v>2</v>
      </c>
      <c r="M101" s="2" t="s">
        <v>6</v>
      </c>
      <c r="N101" s="2" t="s">
        <v>407</v>
      </c>
      <c r="O101" s="2">
        <f t="shared" ref="O101" si="76">ROUND(O100*1.1, 0)</f>
        <v>2200</v>
      </c>
      <c r="P101" s="2" t="s">
        <v>56</v>
      </c>
      <c r="Q101" s="2" t="str">
        <f t="shared" si="47"/>
        <v>1300,1600</v>
      </c>
      <c r="R101" s="2">
        <f t="shared" ref="R101" si="77">ROUND(R100*1.3, 0)</f>
        <v>1300</v>
      </c>
      <c r="S101" s="2">
        <f t="shared" si="62"/>
        <v>1600</v>
      </c>
      <c r="T101" s="2" t="s">
        <v>57</v>
      </c>
      <c r="U101" s="2" t="str">
        <f t="shared" si="48"/>
        <v>120,100</v>
      </c>
      <c r="V101" s="2">
        <f t="shared" ref="V101" si="78">ROUND(V100*1.2, 0)</f>
        <v>120</v>
      </c>
      <c r="W101" s="2">
        <f t="shared" si="63"/>
        <v>100</v>
      </c>
      <c r="X101" s="2" t="s">
        <v>58</v>
      </c>
      <c r="Y101" s="2" t="str">
        <f t="shared" si="49"/>
        <v>104,100</v>
      </c>
      <c r="Z101" s="2">
        <f t="shared" ref="Z101" si="79">ROUND(Z100*1.3, 0)</f>
        <v>104</v>
      </c>
      <c r="AA101" s="2">
        <f t="shared" si="64"/>
        <v>100</v>
      </c>
      <c r="AB101" s="2">
        <v>100000</v>
      </c>
      <c r="AC101" s="2" t="e">
        <f>_xlfn.XLOOKUP($B101, '#참조'!$M:$M, '#참조'!$N:$N)</f>
        <v>#N/A</v>
      </c>
      <c r="AD101" s="2" t="e">
        <f t="shared" si="75"/>
        <v>#N/A</v>
      </c>
      <c r="AE101" s="2">
        <f t="shared" si="50"/>
        <v>0</v>
      </c>
    </row>
    <row r="102" spans="1:31" x14ac:dyDescent="0.2">
      <c r="A102" s="2">
        <f t="shared" si="46"/>
        <v>10229003</v>
      </c>
      <c r="B102" s="1">
        <v>10000229</v>
      </c>
      <c r="C102" s="1" t="s">
        <v>281</v>
      </c>
      <c r="D102" s="1" t="s">
        <v>309</v>
      </c>
      <c r="E102" s="1" t="str">
        <f>"Persona_"&amp;_xlfn.XLOOKUP($B102, '#캐릭터'!$A:$A, '#캐릭터'!$C:$C)</f>
        <v>Persona_c229</v>
      </c>
      <c r="F102" s="1"/>
      <c r="G102" s="1">
        <f>_xlfn.XLOOKUP(_xlfn.XLOOKUP(B102,'[1]Detail&lt;Child&gt;'!$A:$A,'[1]Detail&lt;Child&gt;'!$N:$N),'#참조'!P:P,'#참조'!Q:Q)</f>
        <v>3</v>
      </c>
      <c r="H102" s="1">
        <f>_xlfn.XLOOKUP(_xlfn.XLOOKUP(B102,'[1]Detail&lt;Child&gt;'!$A:$A,'[1]Detail&lt;Child&gt;'!$O:$O),'#참조'!R:R,'#참조'!S:S)</f>
        <v>5</v>
      </c>
      <c r="I102" s="1">
        <v>0</v>
      </c>
      <c r="J102" s="1">
        <v>3</v>
      </c>
      <c r="K102" s="1">
        <v>1</v>
      </c>
      <c r="L102" s="1">
        <v>3</v>
      </c>
      <c r="M102" s="2" t="s">
        <v>7</v>
      </c>
      <c r="N102" s="2" t="s">
        <v>407</v>
      </c>
      <c r="O102" s="2">
        <f t="shared" si="65"/>
        <v>2420</v>
      </c>
      <c r="P102" s="2" t="s">
        <v>56</v>
      </c>
      <c r="Q102" s="2" t="str">
        <f t="shared" si="47"/>
        <v>1690,2000</v>
      </c>
      <c r="R102" s="2">
        <f t="shared" si="66"/>
        <v>1690</v>
      </c>
      <c r="S102" s="2">
        <f t="shared" si="62"/>
        <v>2000</v>
      </c>
      <c r="T102" s="2" t="s">
        <v>57</v>
      </c>
      <c r="U102" s="2" t="str">
        <f t="shared" si="48"/>
        <v>144,200</v>
      </c>
      <c r="V102" s="2">
        <f t="shared" si="67"/>
        <v>144</v>
      </c>
      <c r="W102" s="2">
        <f t="shared" si="63"/>
        <v>200</v>
      </c>
      <c r="X102" s="2" t="s">
        <v>58</v>
      </c>
      <c r="Y102" s="2" t="str">
        <f t="shared" si="49"/>
        <v>135,200</v>
      </c>
      <c r="Z102" s="2">
        <f t="shared" si="68"/>
        <v>135</v>
      </c>
      <c r="AA102" s="2">
        <f t="shared" si="64"/>
        <v>200</v>
      </c>
      <c r="AB102" s="2">
        <v>100000</v>
      </c>
      <c r="AC102" s="2" t="e">
        <f>_xlfn.XLOOKUP($B102, '#참조'!$M:$M, '#참조'!$N:$N)</f>
        <v>#N/A</v>
      </c>
      <c r="AD102" s="2" t="e">
        <f t="shared" si="75"/>
        <v>#N/A</v>
      </c>
      <c r="AE102" s="2">
        <f t="shared" si="50"/>
        <v>0</v>
      </c>
    </row>
    <row r="103" spans="1:31" x14ac:dyDescent="0.2">
      <c r="A103" s="2">
        <f t="shared" si="46"/>
        <v>10229004</v>
      </c>
      <c r="B103" s="1">
        <v>10000229</v>
      </c>
      <c r="C103" s="1" t="s">
        <v>281</v>
      </c>
      <c r="D103" s="1" t="s">
        <v>309</v>
      </c>
      <c r="E103" s="1" t="str">
        <f>"Persona_"&amp;_xlfn.XLOOKUP($B103, '#캐릭터'!$A:$A, '#캐릭터'!$C:$C)</f>
        <v>Persona_c229</v>
      </c>
      <c r="F103" s="1"/>
      <c r="G103" s="1">
        <f>_xlfn.XLOOKUP(_xlfn.XLOOKUP(B103,'[1]Detail&lt;Child&gt;'!$A:$A,'[1]Detail&lt;Child&gt;'!$N:$N),'#참조'!P:P,'#참조'!Q:Q)</f>
        <v>3</v>
      </c>
      <c r="H103" s="1">
        <f>_xlfn.XLOOKUP(_xlfn.XLOOKUP(B103,'[1]Detail&lt;Child&gt;'!$A:$A,'[1]Detail&lt;Child&gt;'!$O:$O),'#참조'!R:R,'#참조'!S:S)</f>
        <v>5</v>
      </c>
      <c r="I103" s="1">
        <v>0</v>
      </c>
      <c r="J103" s="1">
        <v>3</v>
      </c>
      <c r="K103" s="1">
        <v>2</v>
      </c>
      <c r="L103" s="1">
        <v>4</v>
      </c>
      <c r="M103" s="2" t="s">
        <v>8</v>
      </c>
      <c r="N103" s="2" t="s">
        <v>407</v>
      </c>
      <c r="O103" s="2">
        <f t="shared" si="65"/>
        <v>2662</v>
      </c>
      <c r="P103" s="2" t="s">
        <v>56</v>
      </c>
      <c r="Q103" s="2" t="str">
        <f t="shared" si="47"/>
        <v>2197,2600</v>
      </c>
      <c r="R103" s="2">
        <f t="shared" si="66"/>
        <v>2197</v>
      </c>
      <c r="S103" s="2">
        <f t="shared" si="62"/>
        <v>2600</v>
      </c>
      <c r="T103" s="2" t="s">
        <v>57</v>
      </c>
      <c r="U103" s="2" t="str">
        <f t="shared" si="48"/>
        <v>173,200</v>
      </c>
      <c r="V103" s="2">
        <f t="shared" si="67"/>
        <v>173</v>
      </c>
      <c r="W103" s="2">
        <f t="shared" si="63"/>
        <v>200</v>
      </c>
      <c r="X103" s="2" t="s">
        <v>58</v>
      </c>
      <c r="Y103" s="2" t="str">
        <f t="shared" si="49"/>
        <v>176,200</v>
      </c>
      <c r="Z103" s="2">
        <f t="shared" si="68"/>
        <v>176</v>
      </c>
      <c r="AA103" s="2">
        <f t="shared" si="64"/>
        <v>200</v>
      </c>
      <c r="AB103" s="2">
        <v>95000</v>
      </c>
      <c r="AC103" s="2" t="e">
        <f>_xlfn.XLOOKUP($B103, '#참조'!$M:$M, '#참조'!$N:$N)</f>
        <v>#N/A</v>
      </c>
      <c r="AD103" s="2" t="e">
        <f t="shared" si="75"/>
        <v>#N/A</v>
      </c>
      <c r="AE103" s="2">
        <f t="shared" si="50"/>
        <v>0</v>
      </c>
    </row>
    <row r="104" spans="1:31" x14ac:dyDescent="0.2">
      <c r="A104" s="2">
        <f t="shared" si="46"/>
        <v>10229005</v>
      </c>
      <c r="B104" s="1">
        <v>10000229</v>
      </c>
      <c r="C104" s="1" t="s">
        <v>281</v>
      </c>
      <c r="D104" s="1" t="s">
        <v>309</v>
      </c>
      <c r="E104" s="1" t="str">
        <f>"Persona_"&amp;_xlfn.XLOOKUP($B104, '#캐릭터'!$A:$A, '#캐릭터'!$C:$C)</f>
        <v>Persona_c229</v>
      </c>
      <c r="F104" s="1"/>
      <c r="G104" s="1">
        <f>_xlfn.XLOOKUP(_xlfn.XLOOKUP(B104,'[1]Detail&lt;Child&gt;'!$A:$A,'[1]Detail&lt;Child&gt;'!$N:$N),'#참조'!P:P,'#참조'!Q:Q)</f>
        <v>3</v>
      </c>
      <c r="H104" s="1">
        <f>_xlfn.XLOOKUP(_xlfn.XLOOKUP(B104,'[1]Detail&lt;Child&gt;'!$A:$A,'[1]Detail&lt;Child&gt;'!$O:$O),'#참조'!R:R,'#참조'!S:S)</f>
        <v>5</v>
      </c>
      <c r="I104" s="1">
        <v>0</v>
      </c>
      <c r="J104" s="1">
        <v>3</v>
      </c>
      <c r="K104" s="1">
        <v>2</v>
      </c>
      <c r="L104" s="1">
        <v>5</v>
      </c>
      <c r="M104" s="2" t="s">
        <v>9</v>
      </c>
      <c r="N104" s="2" t="s">
        <v>407</v>
      </c>
      <c r="O104" s="2">
        <f t="shared" si="65"/>
        <v>2928</v>
      </c>
      <c r="P104" s="2" t="s">
        <v>56</v>
      </c>
      <c r="Q104" s="2" t="str">
        <f t="shared" si="47"/>
        <v>2856,3400</v>
      </c>
      <c r="R104" s="2">
        <f t="shared" si="66"/>
        <v>2856</v>
      </c>
      <c r="S104" s="2">
        <f t="shared" si="62"/>
        <v>3400</v>
      </c>
      <c r="T104" s="2" t="s">
        <v>57</v>
      </c>
      <c r="U104" s="2" t="str">
        <f t="shared" si="48"/>
        <v>208,200</v>
      </c>
      <c r="V104" s="2">
        <f t="shared" si="67"/>
        <v>208</v>
      </c>
      <c r="W104" s="2">
        <f t="shared" si="63"/>
        <v>200</v>
      </c>
      <c r="X104" s="2" t="s">
        <v>58</v>
      </c>
      <c r="Y104" s="2" t="str">
        <f t="shared" si="49"/>
        <v>229,300</v>
      </c>
      <c r="Z104" s="2">
        <f t="shared" si="68"/>
        <v>229</v>
      </c>
      <c r="AA104" s="2">
        <f t="shared" si="64"/>
        <v>300</v>
      </c>
      <c r="AB104" s="2">
        <v>95000</v>
      </c>
      <c r="AC104" s="2" t="e">
        <f>_xlfn.XLOOKUP($B104, '#참조'!$M:$M, '#참조'!$N:$N)</f>
        <v>#N/A</v>
      </c>
      <c r="AD104" s="2" t="e">
        <f t="shared" si="75"/>
        <v>#N/A</v>
      </c>
      <c r="AE104" s="2">
        <f t="shared" si="50"/>
        <v>0</v>
      </c>
    </row>
    <row r="105" spans="1:31" x14ac:dyDescent="0.2">
      <c r="A105" s="2">
        <f t="shared" si="46"/>
        <v>10229006</v>
      </c>
      <c r="B105" s="1">
        <v>10000229</v>
      </c>
      <c r="C105" s="1" t="s">
        <v>281</v>
      </c>
      <c r="D105" s="1" t="s">
        <v>309</v>
      </c>
      <c r="E105" s="1" t="str">
        <f>"Persona_"&amp;_xlfn.XLOOKUP($B105, '#캐릭터'!$A:$A, '#캐릭터'!$C:$C)</f>
        <v>Persona_c229</v>
      </c>
      <c r="F105" s="1"/>
      <c r="G105" s="1">
        <f>_xlfn.XLOOKUP(_xlfn.XLOOKUP(B105,'[1]Detail&lt;Child&gt;'!$A:$A,'[1]Detail&lt;Child&gt;'!$N:$N),'#참조'!P:P,'#참조'!Q:Q)</f>
        <v>3</v>
      </c>
      <c r="H105" s="1">
        <f>_xlfn.XLOOKUP(_xlfn.XLOOKUP(B105,'[1]Detail&lt;Child&gt;'!$A:$A,'[1]Detail&lt;Child&gt;'!$O:$O),'#참조'!R:R,'#참조'!S:S)</f>
        <v>5</v>
      </c>
      <c r="I105" s="1">
        <v>0</v>
      </c>
      <c r="J105" s="1">
        <v>3</v>
      </c>
      <c r="K105" s="1">
        <v>2</v>
      </c>
      <c r="L105" s="1">
        <v>6</v>
      </c>
      <c r="M105" s="2" t="s">
        <v>10</v>
      </c>
      <c r="N105" s="2" t="s">
        <v>407</v>
      </c>
      <c r="O105" s="2">
        <f t="shared" si="65"/>
        <v>3221</v>
      </c>
      <c r="P105" s="2" t="s">
        <v>56</v>
      </c>
      <c r="Q105" s="2" t="str">
        <f t="shared" si="47"/>
        <v>3713,4500</v>
      </c>
      <c r="R105" s="2">
        <f t="shared" si="66"/>
        <v>3713</v>
      </c>
      <c r="S105" s="2">
        <f t="shared" si="62"/>
        <v>4500</v>
      </c>
      <c r="T105" s="2" t="s">
        <v>57</v>
      </c>
      <c r="U105" s="2" t="str">
        <f t="shared" si="48"/>
        <v>250,300</v>
      </c>
      <c r="V105" s="2">
        <f t="shared" si="67"/>
        <v>250</v>
      </c>
      <c r="W105" s="2">
        <f t="shared" si="63"/>
        <v>300</v>
      </c>
      <c r="X105" s="2" t="s">
        <v>58</v>
      </c>
      <c r="Y105" s="2" t="str">
        <f t="shared" si="49"/>
        <v>298,400</v>
      </c>
      <c r="Z105" s="2">
        <f t="shared" si="68"/>
        <v>298</v>
      </c>
      <c r="AA105" s="2">
        <f t="shared" si="64"/>
        <v>400</v>
      </c>
      <c r="AB105" s="2">
        <v>95000</v>
      </c>
      <c r="AC105" s="2" t="e">
        <f>_xlfn.XLOOKUP($B105, '#참조'!$M:$M, '#참조'!$N:$N)</f>
        <v>#N/A</v>
      </c>
      <c r="AD105" s="2" t="e">
        <f t="shared" si="75"/>
        <v>#N/A</v>
      </c>
      <c r="AE105" s="2">
        <f t="shared" si="50"/>
        <v>0</v>
      </c>
    </row>
    <row r="106" spans="1:31" x14ac:dyDescent="0.2">
      <c r="A106" s="2">
        <f t="shared" si="46"/>
        <v>10229007</v>
      </c>
      <c r="B106" s="1">
        <v>10000229</v>
      </c>
      <c r="C106" s="1" t="s">
        <v>281</v>
      </c>
      <c r="D106" s="1" t="s">
        <v>309</v>
      </c>
      <c r="E106" s="1" t="str">
        <f>"Persona_"&amp;_xlfn.XLOOKUP($B106, '#캐릭터'!$A:$A, '#캐릭터'!$C:$C)</f>
        <v>Persona_c229</v>
      </c>
      <c r="F106" s="1"/>
      <c r="G106" s="1">
        <f>_xlfn.XLOOKUP(_xlfn.XLOOKUP(B106,'[1]Detail&lt;Child&gt;'!$A:$A,'[1]Detail&lt;Child&gt;'!$N:$N),'#참조'!P:P,'#참조'!Q:Q)</f>
        <v>3</v>
      </c>
      <c r="H106" s="1">
        <f>_xlfn.XLOOKUP(_xlfn.XLOOKUP(B106,'[1]Detail&lt;Child&gt;'!$A:$A,'[1]Detail&lt;Child&gt;'!$O:$O),'#참조'!R:R,'#참조'!S:S)</f>
        <v>5</v>
      </c>
      <c r="I106" s="1">
        <v>1</v>
      </c>
      <c r="J106" s="1">
        <v>3</v>
      </c>
      <c r="K106" s="1">
        <v>3</v>
      </c>
      <c r="L106" s="1">
        <v>7</v>
      </c>
      <c r="M106" s="2" t="s">
        <v>11</v>
      </c>
      <c r="N106" s="2" t="s">
        <v>407</v>
      </c>
      <c r="O106" s="2">
        <f t="shared" si="65"/>
        <v>3543</v>
      </c>
      <c r="P106" s="2" t="s">
        <v>56</v>
      </c>
      <c r="Q106" s="2" t="str">
        <f t="shared" si="47"/>
        <v>4827,5800</v>
      </c>
      <c r="R106" s="2">
        <f t="shared" si="66"/>
        <v>4827</v>
      </c>
      <c r="S106" s="2">
        <f t="shared" si="62"/>
        <v>5800</v>
      </c>
      <c r="T106" s="2" t="s">
        <v>57</v>
      </c>
      <c r="U106" s="2" t="str">
        <f t="shared" si="48"/>
        <v>300,400</v>
      </c>
      <c r="V106" s="2">
        <f t="shared" si="67"/>
        <v>300</v>
      </c>
      <c r="W106" s="2">
        <f t="shared" si="63"/>
        <v>400</v>
      </c>
      <c r="X106" s="2" t="s">
        <v>58</v>
      </c>
      <c r="Y106" s="2" t="str">
        <f t="shared" si="49"/>
        <v>387,500</v>
      </c>
      <c r="Z106" s="2">
        <f t="shared" si="68"/>
        <v>387</v>
      </c>
      <c r="AA106" s="2">
        <f t="shared" si="64"/>
        <v>500</v>
      </c>
      <c r="AB106" s="2">
        <v>90000</v>
      </c>
      <c r="AC106" s="2" t="e">
        <f>_xlfn.XLOOKUP($B106, '#참조'!$M:$M, '#참조'!$N:$N)</f>
        <v>#N/A</v>
      </c>
      <c r="AD106" s="2" t="e">
        <f t="shared" si="75"/>
        <v>#N/A</v>
      </c>
      <c r="AE106" s="2">
        <f t="shared" si="50"/>
        <v>3501</v>
      </c>
    </row>
    <row r="107" spans="1:31" x14ac:dyDescent="0.2">
      <c r="A107" s="2">
        <f t="shared" si="46"/>
        <v>10229008</v>
      </c>
      <c r="B107" s="1">
        <v>10000229</v>
      </c>
      <c r="C107" s="1" t="s">
        <v>281</v>
      </c>
      <c r="D107" s="1" t="s">
        <v>309</v>
      </c>
      <c r="E107" s="1" t="str">
        <f>"Persona_"&amp;_xlfn.XLOOKUP($B107, '#캐릭터'!$A:$A, '#캐릭터'!$C:$C)</f>
        <v>Persona_c229</v>
      </c>
      <c r="F107" s="1"/>
      <c r="G107" s="1">
        <f>_xlfn.XLOOKUP(_xlfn.XLOOKUP(B107,'[1]Detail&lt;Child&gt;'!$A:$A,'[1]Detail&lt;Child&gt;'!$N:$N),'#참조'!P:P,'#참조'!Q:Q)</f>
        <v>3</v>
      </c>
      <c r="H107" s="1">
        <f>_xlfn.XLOOKUP(_xlfn.XLOOKUP(B107,'[1]Detail&lt;Child&gt;'!$A:$A,'[1]Detail&lt;Child&gt;'!$O:$O),'#참조'!R:R,'#참조'!S:S)</f>
        <v>5</v>
      </c>
      <c r="I107" s="1">
        <v>1</v>
      </c>
      <c r="J107" s="1">
        <v>3</v>
      </c>
      <c r="K107" s="1">
        <v>3</v>
      </c>
      <c r="L107" s="1">
        <v>8</v>
      </c>
      <c r="M107" s="2" t="s">
        <v>12</v>
      </c>
      <c r="N107" s="2" t="s">
        <v>407</v>
      </c>
      <c r="O107" s="2">
        <f t="shared" si="65"/>
        <v>3897</v>
      </c>
      <c r="P107" s="2" t="s">
        <v>56</v>
      </c>
      <c r="Q107" s="2" t="str">
        <f t="shared" si="47"/>
        <v>6275,7500</v>
      </c>
      <c r="R107" s="2">
        <f t="shared" si="66"/>
        <v>6275</v>
      </c>
      <c r="S107" s="2">
        <f t="shared" si="62"/>
        <v>7500</v>
      </c>
      <c r="T107" s="2" t="s">
        <v>57</v>
      </c>
      <c r="U107" s="2" t="str">
        <f t="shared" si="48"/>
        <v>360,400</v>
      </c>
      <c r="V107" s="2">
        <f t="shared" si="67"/>
        <v>360</v>
      </c>
      <c r="W107" s="2">
        <f t="shared" si="63"/>
        <v>400</v>
      </c>
      <c r="X107" s="2" t="s">
        <v>58</v>
      </c>
      <c r="Y107" s="2" t="str">
        <f t="shared" si="49"/>
        <v>503,600</v>
      </c>
      <c r="Z107" s="2">
        <f t="shared" si="68"/>
        <v>503</v>
      </c>
      <c r="AA107" s="2">
        <f t="shared" si="64"/>
        <v>600</v>
      </c>
      <c r="AB107" s="2">
        <v>90000</v>
      </c>
      <c r="AC107" s="2" t="e">
        <f>_xlfn.XLOOKUP($B107, '#참조'!$M:$M, '#참조'!$N:$N)</f>
        <v>#N/A</v>
      </c>
      <c r="AD107" s="2" t="e">
        <f t="shared" si="75"/>
        <v>#N/A</v>
      </c>
      <c r="AE107" s="2">
        <f t="shared" si="50"/>
        <v>3501</v>
      </c>
    </row>
    <row r="108" spans="1:31" x14ac:dyDescent="0.2">
      <c r="A108" s="2">
        <f t="shared" si="46"/>
        <v>10229009</v>
      </c>
      <c r="B108" s="1">
        <v>10000229</v>
      </c>
      <c r="C108" s="1" t="s">
        <v>281</v>
      </c>
      <c r="D108" s="1" t="s">
        <v>309</v>
      </c>
      <c r="E108" s="1" t="str">
        <f>"Persona_"&amp;_xlfn.XLOOKUP($B108, '#캐릭터'!$A:$A, '#캐릭터'!$C:$C)</f>
        <v>Persona_c229</v>
      </c>
      <c r="F108" s="1"/>
      <c r="G108" s="1">
        <f>_xlfn.XLOOKUP(_xlfn.XLOOKUP(B108,'[1]Detail&lt;Child&gt;'!$A:$A,'[1]Detail&lt;Child&gt;'!$N:$N),'#참조'!P:P,'#참조'!Q:Q)</f>
        <v>3</v>
      </c>
      <c r="H108" s="1">
        <f>_xlfn.XLOOKUP(_xlfn.XLOOKUP(B108,'[1]Detail&lt;Child&gt;'!$A:$A,'[1]Detail&lt;Child&gt;'!$O:$O),'#참조'!R:R,'#참조'!S:S)</f>
        <v>5</v>
      </c>
      <c r="I108" s="1">
        <v>2</v>
      </c>
      <c r="J108" s="1">
        <v>3</v>
      </c>
      <c r="K108" s="1">
        <v>3</v>
      </c>
      <c r="L108" s="1">
        <v>9</v>
      </c>
      <c r="M108" s="2" t="s">
        <v>13</v>
      </c>
      <c r="N108" s="2" t="s">
        <v>407</v>
      </c>
      <c r="O108" s="2">
        <f t="shared" si="65"/>
        <v>4287</v>
      </c>
      <c r="P108" s="2" t="s">
        <v>56</v>
      </c>
      <c r="Q108" s="2" t="str">
        <f t="shared" si="47"/>
        <v>8158,9800</v>
      </c>
      <c r="R108" s="2">
        <f t="shared" si="66"/>
        <v>8158</v>
      </c>
      <c r="S108" s="2">
        <f t="shared" si="62"/>
        <v>9800</v>
      </c>
      <c r="T108" s="2" t="s">
        <v>57</v>
      </c>
      <c r="U108" s="2" t="str">
        <f t="shared" si="48"/>
        <v>432,500</v>
      </c>
      <c r="V108" s="2">
        <f t="shared" si="67"/>
        <v>432</v>
      </c>
      <c r="W108" s="2">
        <f t="shared" si="63"/>
        <v>500</v>
      </c>
      <c r="X108" s="2" t="s">
        <v>58</v>
      </c>
      <c r="Y108" s="2" t="str">
        <f t="shared" si="49"/>
        <v>654,800</v>
      </c>
      <c r="Z108" s="2">
        <f t="shared" si="68"/>
        <v>654</v>
      </c>
      <c r="AA108" s="2">
        <f t="shared" si="64"/>
        <v>800</v>
      </c>
      <c r="AB108" s="2">
        <v>90000</v>
      </c>
      <c r="AC108" s="2" t="e">
        <f>_xlfn.XLOOKUP($B108, '#참조'!$M:$M, '#참조'!$N:$N)</f>
        <v>#N/A</v>
      </c>
      <c r="AD108" s="2" t="e">
        <f t="shared" si="75"/>
        <v>#N/A</v>
      </c>
      <c r="AE108" s="2">
        <f t="shared" si="50"/>
        <v>3502</v>
      </c>
    </row>
    <row r="109" spans="1:31" x14ac:dyDescent="0.2">
      <c r="A109" s="2">
        <f t="shared" si="46"/>
        <v>10229010</v>
      </c>
      <c r="B109" s="1">
        <v>10000229</v>
      </c>
      <c r="C109" s="1" t="s">
        <v>281</v>
      </c>
      <c r="D109" s="1" t="s">
        <v>309</v>
      </c>
      <c r="E109" s="1" t="str">
        <f>"Persona_"&amp;_xlfn.XLOOKUP($B109, '#캐릭터'!$A:$A, '#캐릭터'!$C:$C)</f>
        <v>Persona_c229</v>
      </c>
      <c r="F109" s="1"/>
      <c r="G109" s="1">
        <f>_xlfn.XLOOKUP(_xlfn.XLOOKUP(B109,'[1]Detail&lt;Child&gt;'!$A:$A,'[1]Detail&lt;Child&gt;'!$N:$N),'#참조'!P:P,'#참조'!Q:Q)</f>
        <v>3</v>
      </c>
      <c r="H109" s="1">
        <f>_xlfn.XLOOKUP(_xlfn.XLOOKUP(B109,'[1]Detail&lt;Child&gt;'!$A:$A,'[1]Detail&lt;Child&gt;'!$O:$O),'#참조'!R:R,'#참조'!S:S)</f>
        <v>5</v>
      </c>
      <c r="I109" s="1">
        <v>2</v>
      </c>
      <c r="J109" s="1">
        <v>3</v>
      </c>
      <c r="K109" s="1">
        <v>4</v>
      </c>
      <c r="L109" s="1">
        <v>10</v>
      </c>
      <c r="M109" s="2" t="s">
        <v>14</v>
      </c>
      <c r="N109" s="2" t="s">
        <v>407</v>
      </c>
      <c r="O109" s="2">
        <f t="shared" si="65"/>
        <v>4716</v>
      </c>
      <c r="P109" s="2" t="s">
        <v>56</v>
      </c>
      <c r="Q109" s="2" t="str">
        <f t="shared" si="47"/>
        <v>10605,12700</v>
      </c>
      <c r="R109" s="2">
        <f t="shared" si="66"/>
        <v>10605</v>
      </c>
      <c r="S109" s="2">
        <f t="shared" si="62"/>
        <v>12700</v>
      </c>
      <c r="T109" s="2" t="s">
        <v>57</v>
      </c>
      <c r="U109" s="2" t="str">
        <f t="shared" si="48"/>
        <v>518,600</v>
      </c>
      <c r="V109" s="2">
        <f t="shared" si="67"/>
        <v>518</v>
      </c>
      <c r="W109" s="2">
        <f t="shared" si="63"/>
        <v>600</v>
      </c>
      <c r="X109" s="2" t="s">
        <v>58</v>
      </c>
      <c r="Y109" s="2" t="str">
        <f t="shared" si="49"/>
        <v>850,1000</v>
      </c>
      <c r="Z109" s="2">
        <f t="shared" si="68"/>
        <v>850</v>
      </c>
      <c r="AA109" s="2">
        <f t="shared" si="64"/>
        <v>1000</v>
      </c>
      <c r="AB109" s="2">
        <v>85000</v>
      </c>
      <c r="AC109" s="2" t="e">
        <f>_xlfn.XLOOKUP($B109, '#참조'!$M:$M, '#참조'!$N:$N)</f>
        <v>#N/A</v>
      </c>
      <c r="AD109" s="2" t="e">
        <f t="shared" si="75"/>
        <v>#N/A</v>
      </c>
      <c r="AE109" s="2">
        <f t="shared" si="50"/>
        <v>3502</v>
      </c>
    </row>
    <row r="110" spans="1:31" x14ac:dyDescent="0.2">
      <c r="A110" s="2">
        <f t="shared" si="46"/>
        <v>10229011</v>
      </c>
      <c r="B110" s="1">
        <v>10000229</v>
      </c>
      <c r="C110" s="1" t="s">
        <v>281</v>
      </c>
      <c r="D110" s="1" t="s">
        <v>309</v>
      </c>
      <c r="E110" s="1" t="str">
        <f>"Persona_"&amp;_xlfn.XLOOKUP($B110, '#캐릭터'!$A:$A, '#캐릭터'!$C:$C)</f>
        <v>Persona_c229</v>
      </c>
      <c r="F110" s="1"/>
      <c r="G110" s="1">
        <f>_xlfn.XLOOKUP(_xlfn.XLOOKUP(B110,'[1]Detail&lt;Child&gt;'!$A:$A,'[1]Detail&lt;Child&gt;'!$N:$N),'#참조'!P:P,'#참조'!Q:Q)</f>
        <v>3</v>
      </c>
      <c r="H110" s="1">
        <f>_xlfn.XLOOKUP(_xlfn.XLOOKUP(B110,'[1]Detail&lt;Child&gt;'!$A:$A,'[1]Detail&lt;Child&gt;'!$O:$O),'#참조'!R:R,'#참조'!S:S)</f>
        <v>5</v>
      </c>
      <c r="I110" s="1">
        <v>3</v>
      </c>
      <c r="J110" s="1">
        <v>3</v>
      </c>
      <c r="K110" s="1">
        <v>4</v>
      </c>
      <c r="L110" s="1">
        <v>11</v>
      </c>
      <c r="M110" s="2" t="s">
        <v>15</v>
      </c>
      <c r="N110" s="2" t="s">
        <v>407</v>
      </c>
      <c r="O110" s="2">
        <f t="shared" si="65"/>
        <v>5188</v>
      </c>
      <c r="P110" s="2" t="s">
        <v>56</v>
      </c>
      <c r="Q110" s="2" t="str">
        <f t="shared" si="47"/>
        <v>13787,16500</v>
      </c>
      <c r="R110" s="2">
        <f t="shared" si="66"/>
        <v>13787</v>
      </c>
      <c r="S110" s="2">
        <f t="shared" si="62"/>
        <v>16500</v>
      </c>
      <c r="T110" s="2" t="s">
        <v>57</v>
      </c>
      <c r="U110" s="2" t="str">
        <f t="shared" si="48"/>
        <v>622,700</v>
      </c>
      <c r="V110" s="2">
        <f t="shared" si="67"/>
        <v>622</v>
      </c>
      <c r="W110" s="2">
        <f t="shared" si="63"/>
        <v>700</v>
      </c>
      <c r="X110" s="2" t="s">
        <v>58</v>
      </c>
      <c r="Y110" s="2" t="str">
        <f t="shared" si="49"/>
        <v>1105,1300</v>
      </c>
      <c r="Z110" s="2">
        <f t="shared" si="68"/>
        <v>1105</v>
      </c>
      <c r="AA110" s="2">
        <f t="shared" si="64"/>
        <v>1300</v>
      </c>
      <c r="AB110" s="2">
        <v>85000</v>
      </c>
      <c r="AC110" s="2" t="e">
        <f>_xlfn.XLOOKUP($B110, '#참조'!$M:$M, '#참조'!$N:$N)</f>
        <v>#N/A</v>
      </c>
      <c r="AD110" s="2" t="e">
        <f t="shared" si="75"/>
        <v>#N/A</v>
      </c>
      <c r="AE110" s="2">
        <f t="shared" si="50"/>
        <v>3503</v>
      </c>
    </row>
    <row r="111" spans="1:31" x14ac:dyDescent="0.2">
      <c r="A111" s="2">
        <f t="shared" si="46"/>
        <v>10229012</v>
      </c>
      <c r="B111" s="1">
        <v>10000229</v>
      </c>
      <c r="C111" s="1" t="s">
        <v>281</v>
      </c>
      <c r="D111" s="1" t="s">
        <v>309</v>
      </c>
      <c r="E111" s="1" t="str">
        <f>"Persona_"&amp;_xlfn.XLOOKUP($B111, '#캐릭터'!$A:$A, '#캐릭터'!$C:$C)</f>
        <v>Persona_c229</v>
      </c>
      <c r="F111" s="1"/>
      <c r="G111" s="1">
        <f>_xlfn.XLOOKUP(_xlfn.XLOOKUP(B111,'[1]Detail&lt;Child&gt;'!$A:$A,'[1]Detail&lt;Child&gt;'!$N:$N),'#참조'!P:P,'#참조'!Q:Q)</f>
        <v>3</v>
      </c>
      <c r="H111" s="1">
        <f>_xlfn.XLOOKUP(_xlfn.XLOOKUP(B111,'[1]Detail&lt;Child&gt;'!$A:$A,'[1]Detail&lt;Child&gt;'!$O:$O),'#참조'!R:R,'#참조'!S:S)</f>
        <v>5</v>
      </c>
      <c r="I111" s="1">
        <v>3</v>
      </c>
      <c r="J111" s="1">
        <v>3</v>
      </c>
      <c r="K111" s="1">
        <v>4</v>
      </c>
      <c r="L111" s="1">
        <v>12</v>
      </c>
      <c r="M111" s="2" t="s">
        <v>16</v>
      </c>
      <c r="N111" s="2" t="s">
        <v>407</v>
      </c>
      <c r="O111" s="2">
        <f t="shared" si="65"/>
        <v>5707</v>
      </c>
      <c r="P111" s="2" t="s">
        <v>56</v>
      </c>
      <c r="Q111" s="2" t="str">
        <f t="shared" si="47"/>
        <v>17923,21500</v>
      </c>
      <c r="R111" s="2">
        <f t="shared" si="66"/>
        <v>17923</v>
      </c>
      <c r="S111" s="2">
        <f t="shared" si="62"/>
        <v>21500</v>
      </c>
      <c r="T111" s="2" t="s">
        <v>57</v>
      </c>
      <c r="U111" s="2" t="str">
        <f t="shared" si="48"/>
        <v>746,900</v>
      </c>
      <c r="V111" s="2">
        <f t="shared" si="67"/>
        <v>746</v>
      </c>
      <c r="W111" s="2">
        <f t="shared" si="63"/>
        <v>900</v>
      </c>
      <c r="X111" s="2" t="s">
        <v>58</v>
      </c>
      <c r="Y111" s="2" t="str">
        <f t="shared" si="49"/>
        <v>1437,1700</v>
      </c>
      <c r="Z111" s="2">
        <f t="shared" si="68"/>
        <v>1437</v>
      </c>
      <c r="AA111" s="2">
        <f t="shared" si="64"/>
        <v>1700</v>
      </c>
      <c r="AB111" s="2">
        <v>85000</v>
      </c>
      <c r="AC111" s="2" t="e">
        <f>_xlfn.XLOOKUP($B111, '#참조'!$M:$M, '#참조'!$N:$N)</f>
        <v>#N/A</v>
      </c>
      <c r="AD111" s="2" t="e">
        <f t="shared" si="75"/>
        <v>#N/A</v>
      </c>
      <c r="AE111" s="2">
        <f t="shared" si="50"/>
        <v>3503</v>
      </c>
    </row>
    <row r="112" spans="1:31" x14ac:dyDescent="0.2">
      <c r="A112" s="2">
        <f t="shared" si="46"/>
        <v>10229013</v>
      </c>
      <c r="B112" s="1">
        <v>10000229</v>
      </c>
      <c r="C112" s="1" t="s">
        <v>281</v>
      </c>
      <c r="D112" s="1" t="s">
        <v>309</v>
      </c>
      <c r="E112" s="1" t="str">
        <f>"Persona_"&amp;_xlfn.XLOOKUP($B112, '#캐릭터'!$A:$A, '#캐릭터'!$C:$C)</f>
        <v>Persona_c229</v>
      </c>
      <c r="F112" s="1"/>
      <c r="G112" s="1">
        <f>_xlfn.XLOOKUP(_xlfn.XLOOKUP(B112,'[1]Detail&lt;Child&gt;'!$A:$A,'[1]Detail&lt;Child&gt;'!$N:$N),'#참조'!P:P,'#참조'!Q:Q)</f>
        <v>3</v>
      </c>
      <c r="H112" s="1">
        <f>_xlfn.XLOOKUP(_xlfn.XLOOKUP(B112,'[1]Detail&lt;Child&gt;'!$A:$A,'[1]Detail&lt;Child&gt;'!$O:$O),'#참조'!R:R,'#참조'!S:S)</f>
        <v>5</v>
      </c>
      <c r="I112" s="1">
        <v>4</v>
      </c>
      <c r="J112" s="1">
        <v>3</v>
      </c>
      <c r="K112" s="1">
        <v>5</v>
      </c>
      <c r="L112" s="1">
        <v>13</v>
      </c>
      <c r="M112" s="2" t="s">
        <v>17</v>
      </c>
      <c r="N112" s="2" t="s">
        <v>407</v>
      </c>
      <c r="O112" s="2">
        <f t="shared" si="65"/>
        <v>6278</v>
      </c>
      <c r="P112" s="2" t="s">
        <v>56</v>
      </c>
      <c r="Q112" s="2" t="str">
        <f t="shared" si="47"/>
        <v>23300,28000</v>
      </c>
      <c r="R112" s="2">
        <f t="shared" si="66"/>
        <v>23300</v>
      </c>
      <c r="S112" s="2">
        <f t="shared" si="62"/>
        <v>28000</v>
      </c>
      <c r="T112" s="2" t="s">
        <v>57</v>
      </c>
      <c r="U112" s="2" t="str">
        <f t="shared" si="48"/>
        <v>895,1100</v>
      </c>
      <c r="V112" s="2">
        <f t="shared" si="67"/>
        <v>895</v>
      </c>
      <c r="W112" s="2">
        <f t="shared" si="63"/>
        <v>1100</v>
      </c>
      <c r="X112" s="2" t="s">
        <v>58</v>
      </c>
      <c r="Y112" s="2" t="str">
        <f t="shared" si="49"/>
        <v>1868,2200</v>
      </c>
      <c r="Z112" s="2">
        <f t="shared" si="68"/>
        <v>1868</v>
      </c>
      <c r="AA112" s="2">
        <f t="shared" si="64"/>
        <v>2200</v>
      </c>
      <c r="AB112" s="2">
        <v>80000</v>
      </c>
      <c r="AC112" s="2" t="e">
        <f>_xlfn.XLOOKUP($B112, '#참조'!$M:$M, '#참조'!$N:$N)</f>
        <v>#N/A</v>
      </c>
      <c r="AD112" s="2" t="e">
        <f t="shared" si="75"/>
        <v>#N/A</v>
      </c>
      <c r="AE112" s="2">
        <f t="shared" si="50"/>
        <v>3504</v>
      </c>
    </row>
    <row r="113" spans="1:31" x14ac:dyDescent="0.2">
      <c r="A113" s="2">
        <f t="shared" si="46"/>
        <v>10229014</v>
      </c>
      <c r="B113" s="1">
        <v>10000229</v>
      </c>
      <c r="C113" s="1" t="s">
        <v>281</v>
      </c>
      <c r="D113" s="1" t="s">
        <v>309</v>
      </c>
      <c r="E113" s="1" t="str">
        <f>"Persona_"&amp;_xlfn.XLOOKUP($B113, '#캐릭터'!$A:$A, '#캐릭터'!$C:$C)</f>
        <v>Persona_c229</v>
      </c>
      <c r="F113" s="1"/>
      <c r="G113" s="1">
        <f>_xlfn.XLOOKUP(_xlfn.XLOOKUP(B113,'[1]Detail&lt;Child&gt;'!$A:$A,'[1]Detail&lt;Child&gt;'!$N:$N),'#참조'!P:P,'#참조'!Q:Q)</f>
        <v>3</v>
      </c>
      <c r="H113" s="1">
        <f>_xlfn.XLOOKUP(_xlfn.XLOOKUP(B113,'[1]Detail&lt;Child&gt;'!$A:$A,'[1]Detail&lt;Child&gt;'!$O:$O),'#참조'!R:R,'#참조'!S:S)</f>
        <v>5</v>
      </c>
      <c r="I113" s="1">
        <v>4</v>
      </c>
      <c r="J113" s="1">
        <v>3</v>
      </c>
      <c r="K113" s="1">
        <v>5</v>
      </c>
      <c r="L113" s="1">
        <v>14</v>
      </c>
      <c r="M113" s="2" t="s">
        <v>18</v>
      </c>
      <c r="N113" s="2" t="s">
        <v>407</v>
      </c>
      <c r="O113" s="2">
        <f t="shared" si="65"/>
        <v>6906</v>
      </c>
      <c r="P113" s="2" t="s">
        <v>56</v>
      </c>
      <c r="Q113" s="2" t="str">
        <f t="shared" si="47"/>
        <v>30290,36300</v>
      </c>
      <c r="R113" s="2">
        <f t="shared" si="66"/>
        <v>30290</v>
      </c>
      <c r="S113" s="2">
        <f t="shared" si="62"/>
        <v>36300</v>
      </c>
      <c r="T113" s="2" t="s">
        <v>57</v>
      </c>
      <c r="U113" s="2" t="str">
        <f t="shared" si="48"/>
        <v>1074,1300</v>
      </c>
      <c r="V113" s="2">
        <f t="shared" si="67"/>
        <v>1074</v>
      </c>
      <c r="W113" s="2">
        <f t="shared" si="63"/>
        <v>1300</v>
      </c>
      <c r="X113" s="2" t="s">
        <v>58</v>
      </c>
      <c r="Y113" s="2" t="str">
        <f t="shared" si="49"/>
        <v>2428,2900</v>
      </c>
      <c r="Z113" s="2">
        <f t="shared" si="68"/>
        <v>2428</v>
      </c>
      <c r="AA113" s="2">
        <f t="shared" si="64"/>
        <v>2900</v>
      </c>
      <c r="AB113" s="2">
        <v>80000</v>
      </c>
      <c r="AC113" s="2" t="e">
        <f>_xlfn.XLOOKUP($B113, '#참조'!$M:$M, '#참조'!$N:$N)</f>
        <v>#N/A</v>
      </c>
      <c r="AD113" s="2" t="e">
        <f t="shared" si="75"/>
        <v>#N/A</v>
      </c>
      <c r="AE113" s="2">
        <f t="shared" si="50"/>
        <v>3504</v>
      </c>
    </row>
    <row r="114" spans="1:31" x14ac:dyDescent="0.2">
      <c r="A114" s="2">
        <f t="shared" si="46"/>
        <v>10229015</v>
      </c>
      <c r="B114" s="1">
        <v>10000229</v>
      </c>
      <c r="C114" s="1" t="s">
        <v>281</v>
      </c>
      <c r="D114" s="1" t="s">
        <v>309</v>
      </c>
      <c r="E114" s="1" t="str">
        <f>"Persona_"&amp;_xlfn.XLOOKUP($B114, '#캐릭터'!$A:$A, '#캐릭터'!$C:$C)</f>
        <v>Persona_c229</v>
      </c>
      <c r="F114" s="1"/>
      <c r="G114" s="1">
        <f>_xlfn.XLOOKUP(_xlfn.XLOOKUP(B114,'[1]Detail&lt;Child&gt;'!$A:$A,'[1]Detail&lt;Child&gt;'!$N:$N),'#참조'!P:P,'#참조'!Q:Q)</f>
        <v>3</v>
      </c>
      <c r="H114" s="1">
        <f>_xlfn.XLOOKUP(_xlfn.XLOOKUP(B114,'[1]Detail&lt;Child&gt;'!$A:$A,'[1]Detail&lt;Child&gt;'!$O:$O),'#참조'!R:R,'#참조'!S:S)</f>
        <v>5</v>
      </c>
      <c r="I114" s="1">
        <v>5</v>
      </c>
      <c r="J114" s="1">
        <v>3</v>
      </c>
      <c r="K114" s="1">
        <v>5</v>
      </c>
      <c r="L114" s="1">
        <v>15</v>
      </c>
      <c r="M114" s="2" t="s">
        <v>19</v>
      </c>
      <c r="N114" s="2" t="s">
        <v>407</v>
      </c>
      <c r="O114" s="2">
        <f t="shared" si="65"/>
        <v>7597</v>
      </c>
      <c r="P114" s="2" t="s">
        <v>56</v>
      </c>
      <c r="Q114" s="2" t="str">
        <f t="shared" si="47"/>
        <v>39377,47300</v>
      </c>
      <c r="R114" s="2">
        <f t="shared" si="66"/>
        <v>39377</v>
      </c>
      <c r="S114" s="2">
        <f t="shared" si="62"/>
        <v>47300</v>
      </c>
      <c r="T114" s="2" t="s">
        <v>57</v>
      </c>
      <c r="U114" s="2" t="str">
        <f t="shared" si="48"/>
        <v>1289,1500</v>
      </c>
      <c r="V114" s="2">
        <f t="shared" si="67"/>
        <v>1289</v>
      </c>
      <c r="W114" s="2">
        <f t="shared" si="63"/>
        <v>1500</v>
      </c>
      <c r="X114" s="2" t="s">
        <v>58</v>
      </c>
      <c r="Y114" s="2" t="str">
        <f t="shared" si="49"/>
        <v>3156,3800</v>
      </c>
      <c r="Z114" s="2">
        <f t="shared" si="68"/>
        <v>3156</v>
      </c>
      <c r="AA114" s="2">
        <f t="shared" si="64"/>
        <v>3800</v>
      </c>
      <c r="AB114" s="2">
        <v>80000</v>
      </c>
      <c r="AC114" s="2" t="e">
        <f>_xlfn.XLOOKUP($B114, '#참조'!$M:$M, '#참조'!$N:$N)</f>
        <v>#N/A</v>
      </c>
      <c r="AD114" s="2" t="e">
        <f t="shared" si="75"/>
        <v>#N/A</v>
      </c>
      <c r="AE114" s="2">
        <f t="shared" si="50"/>
        <v>3505</v>
      </c>
    </row>
    <row r="115" spans="1:31" x14ac:dyDescent="0.2">
      <c r="A115" s="2">
        <f t="shared" si="46"/>
        <v>10229016</v>
      </c>
      <c r="B115" s="1">
        <v>10000229</v>
      </c>
      <c r="C115" s="1" t="s">
        <v>281</v>
      </c>
      <c r="D115" s="1" t="s">
        <v>309</v>
      </c>
      <c r="E115" s="1" t="str">
        <f>"Persona_"&amp;_xlfn.XLOOKUP($B115, '#캐릭터'!$A:$A, '#캐릭터'!$C:$C)</f>
        <v>Persona_c229</v>
      </c>
      <c r="F115" s="1"/>
      <c r="G115" s="1">
        <f>_xlfn.XLOOKUP(_xlfn.XLOOKUP(B115,'[1]Detail&lt;Child&gt;'!$A:$A,'[1]Detail&lt;Child&gt;'!$N:$N),'#참조'!P:P,'#참조'!Q:Q)</f>
        <v>3</v>
      </c>
      <c r="H115" s="1">
        <f>_xlfn.XLOOKUP(_xlfn.XLOOKUP(B115,'[1]Detail&lt;Child&gt;'!$A:$A,'[1]Detail&lt;Child&gt;'!$O:$O),'#참조'!R:R,'#참조'!S:S)</f>
        <v>5</v>
      </c>
      <c r="I115" s="1">
        <v>5</v>
      </c>
      <c r="J115" s="1">
        <v>3</v>
      </c>
      <c r="K115" s="1">
        <v>6</v>
      </c>
      <c r="L115" s="1">
        <v>16</v>
      </c>
      <c r="M115" s="2" t="s">
        <v>20</v>
      </c>
      <c r="N115" s="2" t="s">
        <v>407</v>
      </c>
      <c r="O115" s="2">
        <f t="shared" si="65"/>
        <v>8357</v>
      </c>
      <c r="P115" s="2" t="s">
        <v>56</v>
      </c>
      <c r="Q115" s="2" t="str">
        <f t="shared" si="47"/>
        <v>51190,61400</v>
      </c>
      <c r="R115" s="2">
        <f t="shared" si="66"/>
        <v>51190</v>
      </c>
      <c r="S115" s="2">
        <f t="shared" si="62"/>
        <v>61400</v>
      </c>
      <c r="T115" s="2" t="s">
        <v>57</v>
      </c>
      <c r="U115" s="2" t="str">
        <f t="shared" si="48"/>
        <v>1547,1900</v>
      </c>
      <c r="V115" s="2">
        <f t="shared" si="67"/>
        <v>1547</v>
      </c>
      <c r="W115" s="2">
        <f t="shared" si="63"/>
        <v>1900</v>
      </c>
      <c r="X115" s="2" t="s">
        <v>58</v>
      </c>
      <c r="Y115" s="2" t="str">
        <f t="shared" si="49"/>
        <v>4103,4900</v>
      </c>
      <c r="Z115" s="2">
        <f t="shared" si="68"/>
        <v>4103</v>
      </c>
      <c r="AA115" s="2">
        <f t="shared" si="64"/>
        <v>4900</v>
      </c>
      <c r="AB115" s="2">
        <v>75000</v>
      </c>
      <c r="AC115" s="2" t="e">
        <f>_xlfn.XLOOKUP($B115, '#참조'!$M:$M, '#참조'!$N:$N)</f>
        <v>#N/A</v>
      </c>
      <c r="AD115" s="2" t="e">
        <f t="shared" si="75"/>
        <v>#N/A</v>
      </c>
      <c r="AE115" s="2">
        <f t="shared" si="50"/>
        <v>3505</v>
      </c>
    </row>
    <row r="116" spans="1:31" x14ac:dyDescent="0.2">
      <c r="A116" s="2">
        <f t="shared" si="46"/>
        <v>10229017</v>
      </c>
      <c r="B116" s="1">
        <v>10000229</v>
      </c>
      <c r="C116" s="1" t="s">
        <v>281</v>
      </c>
      <c r="D116" s="1" t="s">
        <v>309</v>
      </c>
      <c r="E116" s="1" t="str">
        <f>"Persona_"&amp;_xlfn.XLOOKUP($B116, '#캐릭터'!$A:$A, '#캐릭터'!$C:$C)</f>
        <v>Persona_c229</v>
      </c>
      <c r="F116" s="1"/>
      <c r="G116" s="1">
        <f>_xlfn.XLOOKUP(_xlfn.XLOOKUP(B116,'[1]Detail&lt;Child&gt;'!$A:$A,'[1]Detail&lt;Child&gt;'!$N:$N),'#참조'!P:P,'#참조'!Q:Q)</f>
        <v>3</v>
      </c>
      <c r="H116" s="1">
        <f>_xlfn.XLOOKUP(_xlfn.XLOOKUP(B116,'[1]Detail&lt;Child&gt;'!$A:$A,'[1]Detail&lt;Child&gt;'!$O:$O),'#참조'!R:R,'#참조'!S:S)</f>
        <v>5</v>
      </c>
      <c r="I116" s="1">
        <v>6</v>
      </c>
      <c r="J116" s="1">
        <v>3</v>
      </c>
      <c r="K116" s="1">
        <v>6</v>
      </c>
      <c r="L116" s="1">
        <v>17</v>
      </c>
      <c r="M116" s="2" t="s">
        <v>21</v>
      </c>
      <c r="N116" s="2" t="s">
        <v>407</v>
      </c>
      <c r="O116" s="2">
        <f t="shared" si="65"/>
        <v>9193</v>
      </c>
      <c r="P116" s="2" t="s">
        <v>56</v>
      </c>
      <c r="Q116" s="2" t="str">
        <f t="shared" si="47"/>
        <v>66547,79900</v>
      </c>
      <c r="R116" s="2">
        <f t="shared" si="66"/>
        <v>66547</v>
      </c>
      <c r="S116" s="2">
        <f t="shared" si="62"/>
        <v>79900</v>
      </c>
      <c r="T116" s="2" t="s">
        <v>57</v>
      </c>
      <c r="U116" s="2" t="str">
        <f t="shared" si="48"/>
        <v>1856,2200</v>
      </c>
      <c r="V116" s="2">
        <f t="shared" si="67"/>
        <v>1856</v>
      </c>
      <c r="W116" s="2">
        <f t="shared" si="63"/>
        <v>2200</v>
      </c>
      <c r="X116" s="2" t="s">
        <v>58</v>
      </c>
      <c r="Y116" s="2" t="str">
        <f t="shared" si="49"/>
        <v>5334,6400</v>
      </c>
      <c r="Z116" s="2">
        <f t="shared" si="68"/>
        <v>5334</v>
      </c>
      <c r="AA116" s="2">
        <f t="shared" si="64"/>
        <v>6400</v>
      </c>
      <c r="AB116" s="2">
        <v>75000</v>
      </c>
      <c r="AC116" s="2" t="e">
        <f>_xlfn.XLOOKUP($B116, '#참조'!$M:$M, '#참조'!$N:$N)</f>
        <v>#N/A</v>
      </c>
      <c r="AD116" s="2" t="e">
        <f t="shared" si="75"/>
        <v>#N/A</v>
      </c>
      <c r="AE116" s="2">
        <f t="shared" si="50"/>
        <v>3506</v>
      </c>
    </row>
    <row r="117" spans="1:31" x14ac:dyDescent="0.2">
      <c r="A117" s="2">
        <f t="shared" si="46"/>
        <v>10229018</v>
      </c>
      <c r="B117" s="1">
        <v>10000229</v>
      </c>
      <c r="C117" s="1" t="s">
        <v>281</v>
      </c>
      <c r="D117" s="1" t="s">
        <v>309</v>
      </c>
      <c r="E117" s="1" t="str">
        <f>"Persona_"&amp;_xlfn.XLOOKUP($B117, '#캐릭터'!$A:$A, '#캐릭터'!$C:$C)</f>
        <v>Persona_c229</v>
      </c>
      <c r="F117" s="1"/>
      <c r="G117" s="1">
        <f>_xlfn.XLOOKUP(_xlfn.XLOOKUP(B117,'[1]Detail&lt;Child&gt;'!$A:$A,'[1]Detail&lt;Child&gt;'!$N:$N),'#참조'!P:P,'#참조'!Q:Q)</f>
        <v>3</v>
      </c>
      <c r="H117" s="1">
        <f>_xlfn.XLOOKUP(_xlfn.XLOOKUP(B117,'[1]Detail&lt;Child&gt;'!$A:$A,'[1]Detail&lt;Child&gt;'!$O:$O),'#참조'!R:R,'#참조'!S:S)</f>
        <v>5</v>
      </c>
      <c r="I117" s="1">
        <v>6</v>
      </c>
      <c r="J117" s="1">
        <v>3</v>
      </c>
      <c r="K117" s="1">
        <v>6</v>
      </c>
      <c r="L117" s="1">
        <v>18</v>
      </c>
      <c r="M117" s="2" t="s">
        <v>22</v>
      </c>
      <c r="N117" s="2" t="s">
        <v>407</v>
      </c>
      <c r="O117" s="2">
        <f t="shared" si="65"/>
        <v>10112</v>
      </c>
      <c r="P117" s="2" t="s">
        <v>56</v>
      </c>
      <c r="Q117" s="2" t="str">
        <f t="shared" si="47"/>
        <v>86511,103800</v>
      </c>
      <c r="R117" s="2">
        <f t="shared" si="66"/>
        <v>86511</v>
      </c>
      <c r="S117" s="2">
        <f t="shared" si="62"/>
        <v>103800</v>
      </c>
      <c r="T117" s="2" t="s">
        <v>57</v>
      </c>
      <c r="U117" s="2" t="str">
        <f t="shared" si="48"/>
        <v>2227,2700</v>
      </c>
      <c r="V117" s="2">
        <f t="shared" si="67"/>
        <v>2227</v>
      </c>
      <c r="W117" s="2">
        <f t="shared" si="63"/>
        <v>2700</v>
      </c>
      <c r="X117" s="2" t="s">
        <v>58</v>
      </c>
      <c r="Y117" s="2" t="str">
        <f t="shared" si="49"/>
        <v>6934,8300</v>
      </c>
      <c r="Z117" s="2">
        <f t="shared" si="68"/>
        <v>6934</v>
      </c>
      <c r="AA117" s="2">
        <f t="shared" si="64"/>
        <v>8300</v>
      </c>
      <c r="AB117" s="2">
        <v>75000</v>
      </c>
      <c r="AC117" s="2" t="e">
        <f>_xlfn.XLOOKUP($B117, '#참조'!$M:$M, '#참조'!$N:$N)</f>
        <v>#N/A</v>
      </c>
      <c r="AD117" s="2" t="e">
        <f t="shared" si="75"/>
        <v>#N/A</v>
      </c>
      <c r="AE117" s="2">
        <f t="shared" si="50"/>
        <v>3506</v>
      </c>
    </row>
    <row r="118" spans="1:31" x14ac:dyDescent="0.2">
      <c r="A118" s="2">
        <f t="shared" si="46"/>
        <v>10180000</v>
      </c>
      <c r="B118" s="1">
        <v>10000180</v>
      </c>
      <c r="C118" s="1" t="s">
        <v>281</v>
      </c>
      <c r="D118" s="1" t="s">
        <v>309</v>
      </c>
      <c r="E118" s="1" t="str">
        <f>"Persona_"&amp;_xlfn.XLOOKUP($B118, '#캐릭터'!$A:$A, '#캐릭터'!$C:$C)</f>
        <v>Persona_c180</v>
      </c>
      <c r="F118" s="1"/>
      <c r="G118" s="1">
        <f>_xlfn.XLOOKUP(_xlfn.XLOOKUP(B118,'[1]Detail&lt;Child&gt;'!$A:$A,'[1]Detail&lt;Child&gt;'!$N:$N),'#참조'!P:P,'#참조'!Q:Q)</f>
        <v>3</v>
      </c>
      <c r="H118" s="1">
        <f>_xlfn.XLOOKUP(_xlfn.XLOOKUP(B118,'[1]Detail&lt;Child&gt;'!$A:$A,'[1]Detail&lt;Child&gt;'!$O:$O),'#참조'!R:R,'#참조'!S:S)</f>
        <v>2</v>
      </c>
      <c r="I118" s="1">
        <v>0</v>
      </c>
      <c r="J118" s="1">
        <v>3</v>
      </c>
      <c r="K118" s="1">
        <v>0</v>
      </c>
      <c r="L118" s="1">
        <v>0</v>
      </c>
      <c r="M118" s="2" t="s">
        <v>2</v>
      </c>
      <c r="N118" s="2" t="s">
        <v>407</v>
      </c>
      <c r="O118" s="2">
        <v>0</v>
      </c>
      <c r="P118" s="2" t="s">
        <v>56</v>
      </c>
      <c r="Q118" s="2" t="str">
        <f t="shared" si="47"/>
        <v>1000,1000</v>
      </c>
      <c r="R118" s="2">
        <v>1000</v>
      </c>
      <c r="S118" s="2">
        <f t="shared" ref="S118" si="80">R118</f>
        <v>1000</v>
      </c>
      <c r="T118" s="2" t="s">
        <v>57</v>
      </c>
      <c r="U118" s="2" t="str">
        <f t="shared" si="48"/>
        <v>100,100</v>
      </c>
      <c r="V118" s="2">
        <v>100</v>
      </c>
      <c r="W118" s="2">
        <f t="shared" ref="W118" si="81">V118</f>
        <v>100</v>
      </c>
      <c r="X118" s="2" t="s">
        <v>58</v>
      </c>
      <c r="Y118" s="2" t="str">
        <f t="shared" si="49"/>
        <v>80,80</v>
      </c>
      <c r="Z118" s="2">
        <v>80</v>
      </c>
      <c r="AA118" s="2">
        <f t="shared" ref="AA118" si="82">Z118</f>
        <v>80</v>
      </c>
      <c r="AB118" s="2">
        <v>100000</v>
      </c>
      <c r="AE118" s="2">
        <f t="shared" si="50"/>
        <v>0</v>
      </c>
    </row>
    <row r="119" spans="1:31" x14ac:dyDescent="0.2">
      <c r="A119" s="2">
        <f t="shared" si="46"/>
        <v>10180001</v>
      </c>
      <c r="B119" s="1">
        <v>10000180</v>
      </c>
      <c r="C119" s="1" t="s">
        <v>281</v>
      </c>
      <c r="D119" s="1" t="s">
        <v>309</v>
      </c>
      <c r="E119" s="1" t="str">
        <f>"Persona_"&amp;_xlfn.XLOOKUP($B119, '#캐릭터'!$A:$A, '#캐릭터'!$C:$C)</f>
        <v>Persona_c180</v>
      </c>
      <c r="F119" s="1"/>
      <c r="G119" s="1">
        <f>_xlfn.XLOOKUP(_xlfn.XLOOKUP(B119,'[1]Detail&lt;Child&gt;'!$A:$A,'[1]Detail&lt;Child&gt;'!$N:$N),'#참조'!P:P,'#참조'!Q:Q)</f>
        <v>3</v>
      </c>
      <c r="H119" s="1">
        <f>_xlfn.XLOOKUP(_xlfn.XLOOKUP(B119,'[1]Detail&lt;Child&gt;'!$A:$A,'[1]Detail&lt;Child&gt;'!$O:$O),'#참조'!R:R,'#참조'!S:S)</f>
        <v>2</v>
      </c>
      <c r="I119" s="1">
        <v>0</v>
      </c>
      <c r="J119" s="1">
        <v>3</v>
      </c>
      <c r="K119" s="1">
        <v>1</v>
      </c>
      <c r="L119" s="1">
        <v>1</v>
      </c>
      <c r="M119" s="2" t="s">
        <v>5</v>
      </c>
      <c r="N119" s="2" t="s">
        <v>407</v>
      </c>
      <c r="O119" s="2">
        <v>2000</v>
      </c>
      <c r="P119" s="2" t="s">
        <v>56</v>
      </c>
      <c r="Q119" s="2" t="str">
        <f t="shared" si="47"/>
        <v>1000,1200</v>
      </c>
      <c r="R119" s="2">
        <v>1000</v>
      </c>
      <c r="S119" s="2">
        <f t="shared" ref="S119" si="83">ROUND(R119*1.2, -2)</f>
        <v>1200</v>
      </c>
      <c r="T119" s="2" t="s">
        <v>57</v>
      </c>
      <c r="U119" s="2" t="str">
        <f t="shared" si="48"/>
        <v>100,100</v>
      </c>
      <c r="V119" s="2">
        <v>100</v>
      </c>
      <c r="W119" s="2">
        <f t="shared" ref="W119" si="84">ROUND(V119*1.2, -2)</f>
        <v>100</v>
      </c>
      <c r="X119" s="2" t="s">
        <v>58</v>
      </c>
      <c r="Y119" s="2" t="str">
        <f t="shared" si="49"/>
        <v>80,100</v>
      </c>
      <c r="Z119" s="2">
        <v>80</v>
      </c>
      <c r="AA119" s="2">
        <f t="shared" ref="AA119" si="85">ROUND(Z119*1.2, -2)</f>
        <v>100</v>
      </c>
      <c r="AB119" s="2">
        <v>100000</v>
      </c>
      <c r="AC119" s="2" t="e">
        <f>_xlfn.XLOOKUP($B119, '#참조'!$M:$M, '#참조'!$N:$N)</f>
        <v>#N/A</v>
      </c>
      <c r="AD119" s="2" t="e">
        <f t="shared" ref="AD119:AD136" si="86">M119&amp;"_"&amp;AC119</f>
        <v>#N/A</v>
      </c>
      <c r="AE119" s="2">
        <f t="shared" si="50"/>
        <v>0</v>
      </c>
    </row>
    <row r="120" spans="1:31" x14ac:dyDescent="0.2">
      <c r="A120" s="2">
        <f t="shared" si="46"/>
        <v>10180002</v>
      </c>
      <c r="B120" s="1">
        <v>10000180</v>
      </c>
      <c r="C120" s="1" t="s">
        <v>281</v>
      </c>
      <c r="D120" s="1" t="s">
        <v>309</v>
      </c>
      <c r="E120" s="1" t="str">
        <f>"Persona_"&amp;_xlfn.XLOOKUP($B120, '#캐릭터'!$A:$A, '#캐릭터'!$C:$C)</f>
        <v>Persona_c180</v>
      </c>
      <c r="F120" s="1"/>
      <c r="G120" s="1">
        <f>_xlfn.XLOOKUP(_xlfn.XLOOKUP(B120,'[1]Detail&lt;Child&gt;'!$A:$A,'[1]Detail&lt;Child&gt;'!$N:$N),'#참조'!P:P,'#참조'!Q:Q)</f>
        <v>3</v>
      </c>
      <c r="H120" s="1">
        <f>_xlfn.XLOOKUP(_xlfn.XLOOKUP(B120,'[1]Detail&lt;Child&gt;'!$A:$A,'[1]Detail&lt;Child&gt;'!$O:$O),'#참조'!R:R,'#참조'!S:S)</f>
        <v>2</v>
      </c>
      <c r="I120" s="1">
        <v>0</v>
      </c>
      <c r="J120" s="1">
        <v>3</v>
      </c>
      <c r="K120" s="1">
        <v>1</v>
      </c>
      <c r="L120" s="1">
        <v>2</v>
      </c>
      <c r="M120" s="2" t="s">
        <v>6</v>
      </c>
      <c r="N120" s="2" t="s">
        <v>407</v>
      </c>
      <c r="O120" s="2">
        <f t="shared" ref="O120" si="87">ROUND(O119*1.1, 0)</f>
        <v>2200</v>
      </c>
      <c r="P120" s="2" t="s">
        <v>56</v>
      </c>
      <c r="Q120" s="2" t="str">
        <f t="shared" si="47"/>
        <v>1300,1600</v>
      </c>
      <c r="R120" s="2">
        <f t="shared" ref="R120" si="88">ROUND(R119*1.3, 0)</f>
        <v>1300</v>
      </c>
      <c r="S120" s="2">
        <f t="shared" si="62"/>
        <v>1600</v>
      </c>
      <c r="T120" s="2" t="s">
        <v>57</v>
      </c>
      <c r="U120" s="2" t="str">
        <f t="shared" si="48"/>
        <v>120,100</v>
      </c>
      <c r="V120" s="2">
        <f t="shared" ref="V120" si="89">ROUND(V119*1.2, 0)</f>
        <v>120</v>
      </c>
      <c r="W120" s="2">
        <f t="shared" si="63"/>
        <v>100</v>
      </c>
      <c r="X120" s="2" t="s">
        <v>58</v>
      </c>
      <c r="Y120" s="2" t="str">
        <f t="shared" si="49"/>
        <v>104,100</v>
      </c>
      <c r="Z120" s="2">
        <f t="shared" ref="Z120" si="90">ROUND(Z119*1.3, 0)</f>
        <v>104</v>
      </c>
      <c r="AA120" s="2">
        <f t="shared" si="64"/>
        <v>100</v>
      </c>
      <c r="AB120" s="2">
        <v>100000</v>
      </c>
      <c r="AC120" s="2" t="e">
        <f>_xlfn.XLOOKUP($B120, '#참조'!$M:$M, '#참조'!$N:$N)</f>
        <v>#N/A</v>
      </c>
      <c r="AD120" s="2" t="e">
        <f t="shared" si="86"/>
        <v>#N/A</v>
      </c>
      <c r="AE120" s="2">
        <f t="shared" si="50"/>
        <v>0</v>
      </c>
    </row>
    <row r="121" spans="1:31" x14ac:dyDescent="0.2">
      <c r="A121" s="2">
        <f t="shared" si="46"/>
        <v>10180003</v>
      </c>
      <c r="B121" s="1">
        <v>10000180</v>
      </c>
      <c r="C121" s="1" t="s">
        <v>281</v>
      </c>
      <c r="D121" s="1" t="s">
        <v>309</v>
      </c>
      <c r="E121" s="1" t="str">
        <f>"Persona_"&amp;_xlfn.XLOOKUP($B121, '#캐릭터'!$A:$A, '#캐릭터'!$C:$C)</f>
        <v>Persona_c180</v>
      </c>
      <c r="F121" s="1"/>
      <c r="G121" s="1">
        <f>_xlfn.XLOOKUP(_xlfn.XLOOKUP(B121,'[1]Detail&lt;Child&gt;'!$A:$A,'[1]Detail&lt;Child&gt;'!$N:$N),'#참조'!P:P,'#참조'!Q:Q)</f>
        <v>3</v>
      </c>
      <c r="H121" s="1">
        <f>_xlfn.XLOOKUP(_xlfn.XLOOKUP(B121,'[1]Detail&lt;Child&gt;'!$A:$A,'[1]Detail&lt;Child&gt;'!$O:$O),'#참조'!R:R,'#참조'!S:S)</f>
        <v>2</v>
      </c>
      <c r="I121" s="1">
        <v>0</v>
      </c>
      <c r="J121" s="1">
        <v>3</v>
      </c>
      <c r="K121" s="1">
        <v>1</v>
      </c>
      <c r="L121" s="1">
        <v>3</v>
      </c>
      <c r="M121" s="2" t="s">
        <v>7</v>
      </c>
      <c r="N121" s="2" t="s">
        <v>407</v>
      </c>
      <c r="O121" s="2">
        <f t="shared" si="65"/>
        <v>2420</v>
      </c>
      <c r="P121" s="2" t="s">
        <v>56</v>
      </c>
      <c r="Q121" s="2" t="str">
        <f t="shared" si="47"/>
        <v>1690,2000</v>
      </c>
      <c r="R121" s="2">
        <f t="shared" si="66"/>
        <v>1690</v>
      </c>
      <c r="S121" s="2">
        <f t="shared" si="62"/>
        <v>2000</v>
      </c>
      <c r="T121" s="2" t="s">
        <v>57</v>
      </c>
      <c r="U121" s="2" t="str">
        <f t="shared" si="48"/>
        <v>144,200</v>
      </c>
      <c r="V121" s="2">
        <f t="shared" si="67"/>
        <v>144</v>
      </c>
      <c r="W121" s="2">
        <f t="shared" si="63"/>
        <v>200</v>
      </c>
      <c r="X121" s="2" t="s">
        <v>58</v>
      </c>
      <c r="Y121" s="2" t="str">
        <f t="shared" si="49"/>
        <v>135,200</v>
      </c>
      <c r="Z121" s="2">
        <f t="shared" si="68"/>
        <v>135</v>
      </c>
      <c r="AA121" s="2">
        <f t="shared" si="64"/>
        <v>200</v>
      </c>
      <c r="AB121" s="2">
        <v>100000</v>
      </c>
      <c r="AC121" s="2" t="e">
        <f>_xlfn.XLOOKUP($B121, '#참조'!$M:$M, '#참조'!$N:$N)</f>
        <v>#N/A</v>
      </c>
      <c r="AD121" s="2" t="e">
        <f t="shared" si="86"/>
        <v>#N/A</v>
      </c>
      <c r="AE121" s="2">
        <f t="shared" si="50"/>
        <v>0</v>
      </c>
    </row>
    <row r="122" spans="1:31" x14ac:dyDescent="0.2">
      <c r="A122" s="2">
        <f t="shared" si="46"/>
        <v>10180004</v>
      </c>
      <c r="B122" s="1">
        <v>10000180</v>
      </c>
      <c r="C122" s="1" t="s">
        <v>281</v>
      </c>
      <c r="D122" s="1" t="s">
        <v>309</v>
      </c>
      <c r="E122" s="1" t="str">
        <f>"Persona_"&amp;_xlfn.XLOOKUP($B122, '#캐릭터'!$A:$A, '#캐릭터'!$C:$C)</f>
        <v>Persona_c180</v>
      </c>
      <c r="F122" s="1"/>
      <c r="G122" s="1">
        <f>_xlfn.XLOOKUP(_xlfn.XLOOKUP(B122,'[1]Detail&lt;Child&gt;'!$A:$A,'[1]Detail&lt;Child&gt;'!$N:$N),'#참조'!P:P,'#참조'!Q:Q)</f>
        <v>3</v>
      </c>
      <c r="H122" s="1">
        <f>_xlfn.XLOOKUP(_xlfn.XLOOKUP(B122,'[1]Detail&lt;Child&gt;'!$A:$A,'[1]Detail&lt;Child&gt;'!$O:$O),'#참조'!R:R,'#참조'!S:S)</f>
        <v>2</v>
      </c>
      <c r="I122" s="1">
        <v>0</v>
      </c>
      <c r="J122" s="1">
        <v>3</v>
      </c>
      <c r="K122" s="1">
        <v>2</v>
      </c>
      <c r="L122" s="1">
        <v>4</v>
      </c>
      <c r="M122" s="2" t="s">
        <v>8</v>
      </c>
      <c r="N122" s="2" t="s">
        <v>407</v>
      </c>
      <c r="O122" s="2">
        <f t="shared" si="65"/>
        <v>2662</v>
      </c>
      <c r="P122" s="2" t="s">
        <v>56</v>
      </c>
      <c r="Q122" s="2" t="str">
        <f t="shared" si="47"/>
        <v>2197,2600</v>
      </c>
      <c r="R122" s="2">
        <f t="shared" si="66"/>
        <v>2197</v>
      </c>
      <c r="S122" s="2">
        <f t="shared" si="62"/>
        <v>2600</v>
      </c>
      <c r="T122" s="2" t="s">
        <v>57</v>
      </c>
      <c r="U122" s="2" t="str">
        <f t="shared" si="48"/>
        <v>173,200</v>
      </c>
      <c r="V122" s="2">
        <f t="shared" si="67"/>
        <v>173</v>
      </c>
      <c r="W122" s="2">
        <f t="shared" si="63"/>
        <v>200</v>
      </c>
      <c r="X122" s="2" t="s">
        <v>58</v>
      </c>
      <c r="Y122" s="2" t="str">
        <f t="shared" si="49"/>
        <v>176,200</v>
      </c>
      <c r="Z122" s="2">
        <f t="shared" si="68"/>
        <v>176</v>
      </c>
      <c r="AA122" s="2">
        <f t="shared" si="64"/>
        <v>200</v>
      </c>
      <c r="AB122" s="2">
        <v>95000</v>
      </c>
      <c r="AC122" s="2" t="e">
        <f>_xlfn.XLOOKUP($B122, '#참조'!$M:$M, '#참조'!$N:$N)</f>
        <v>#N/A</v>
      </c>
      <c r="AD122" s="2" t="e">
        <f t="shared" si="86"/>
        <v>#N/A</v>
      </c>
      <c r="AE122" s="2">
        <f t="shared" si="50"/>
        <v>0</v>
      </c>
    </row>
    <row r="123" spans="1:31" x14ac:dyDescent="0.2">
      <c r="A123" s="2">
        <f t="shared" si="46"/>
        <v>10180005</v>
      </c>
      <c r="B123" s="1">
        <v>10000180</v>
      </c>
      <c r="C123" s="1" t="s">
        <v>281</v>
      </c>
      <c r="D123" s="1" t="s">
        <v>309</v>
      </c>
      <c r="E123" s="1" t="str">
        <f>"Persona_"&amp;_xlfn.XLOOKUP($B123, '#캐릭터'!$A:$A, '#캐릭터'!$C:$C)</f>
        <v>Persona_c180</v>
      </c>
      <c r="F123" s="1"/>
      <c r="G123" s="1">
        <f>_xlfn.XLOOKUP(_xlfn.XLOOKUP(B123,'[1]Detail&lt;Child&gt;'!$A:$A,'[1]Detail&lt;Child&gt;'!$N:$N),'#참조'!P:P,'#참조'!Q:Q)</f>
        <v>3</v>
      </c>
      <c r="H123" s="1">
        <f>_xlfn.XLOOKUP(_xlfn.XLOOKUP(B123,'[1]Detail&lt;Child&gt;'!$A:$A,'[1]Detail&lt;Child&gt;'!$O:$O),'#참조'!R:R,'#참조'!S:S)</f>
        <v>2</v>
      </c>
      <c r="I123" s="1">
        <v>0</v>
      </c>
      <c r="J123" s="1">
        <v>3</v>
      </c>
      <c r="K123" s="1">
        <v>2</v>
      </c>
      <c r="L123" s="1">
        <v>5</v>
      </c>
      <c r="M123" s="2" t="s">
        <v>9</v>
      </c>
      <c r="N123" s="2" t="s">
        <v>407</v>
      </c>
      <c r="O123" s="2">
        <f t="shared" si="65"/>
        <v>2928</v>
      </c>
      <c r="P123" s="2" t="s">
        <v>56</v>
      </c>
      <c r="Q123" s="2" t="str">
        <f t="shared" si="47"/>
        <v>2856,3400</v>
      </c>
      <c r="R123" s="2">
        <f t="shared" si="66"/>
        <v>2856</v>
      </c>
      <c r="S123" s="2">
        <f t="shared" si="62"/>
        <v>3400</v>
      </c>
      <c r="T123" s="2" t="s">
        <v>57</v>
      </c>
      <c r="U123" s="2" t="str">
        <f t="shared" si="48"/>
        <v>208,200</v>
      </c>
      <c r="V123" s="2">
        <f t="shared" si="67"/>
        <v>208</v>
      </c>
      <c r="W123" s="2">
        <f t="shared" si="63"/>
        <v>200</v>
      </c>
      <c r="X123" s="2" t="s">
        <v>58</v>
      </c>
      <c r="Y123" s="2" t="str">
        <f t="shared" si="49"/>
        <v>229,300</v>
      </c>
      <c r="Z123" s="2">
        <f t="shared" si="68"/>
        <v>229</v>
      </c>
      <c r="AA123" s="2">
        <f t="shared" si="64"/>
        <v>300</v>
      </c>
      <c r="AB123" s="2">
        <v>95000</v>
      </c>
      <c r="AC123" s="2" t="e">
        <f>_xlfn.XLOOKUP($B123, '#참조'!$M:$M, '#참조'!$N:$N)</f>
        <v>#N/A</v>
      </c>
      <c r="AD123" s="2" t="e">
        <f t="shared" si="86"/>
        <v>#N/A</v>
      </c>
      <c r="AE123" s="2">
        <f t="shared" si="50"/>
        <v>0</v>
      </c>
    </row>
    <row r="124" spans="1:31" x14ac:dyDescent="0.2">
      <c r="A124" s="2">
        <f t="shared" si="46"/>
        <v>10180006</v>
      </c>
      <c r="B124" s="1">
        <v>10000180</v>
      </c>
      <c r="C124" s="1" t="s">
        <v>281</v>
      </c>
      <c r="D124" s="1" t="s">
        <v>309</v>
      </c>
      <c r="E124" s="1" t="str">
        <f>"Persona_"&amp;_xlfn.XLOOKUP($B124, '#캐릭터'!$A:$A, '#캐릭터'!$C:$C)</f>
        <v>Persona_c180</v>
      </c>
      <c r="F124" s="1"/>
      <c r="G124" s="1">
        <f>_xlfn.XLOOKUP(_xlfn.XLOOKUP(B124,'[1]Detail&lt;Child&gt;'!$A:$A,'[1]Detail&lt;Child&gt;'!$N:$N),'#참조'!P:P,'#참조'!Q:Q)</f>
        <v>3</v>
      </c>
      <c r="H124" s="1">
        <f>_xlfn.XLOOKUP(_xlfn.XLOOKUP(B124,'[1]Detail&lt;Child&gt;'!$A:$A,'[1]Detail&lt;Child&gt;'!$O:$O),'#참조'!R:R,'#참조'!S:S)</f>
        <v>2</v>
      </c>
      <c r="I124" s="1">
        <v>0</v>
      </c>
      <c r="J124" s="1">
        <v>3</v>
      </c>
      <c r="K124" s="1">
        <v>2</v>
      </c>
      <c r="L124" s="1">
        <v>6</v>
      </c>
      <c r="M124" s="2" t="s">
        <v>10</v>
      </c>
      <c r="N124" s="2" t="s">
        <v>407</v>
      </c>
      <c r="O124" s="2">
        <f t="shared" si="65"/>
        <v>3221</v>
      </c>
      <c r="P124" s="2" t="s">
        <v>56</v>
      </c>
      <c r="Q124" s="2" t="str">
        <f t="shared" si="47"/>
        <v>3713,4500</v>
      </c>
      <c r="R124" s="2">
        <f t="shared" si="66"/>
        <v>3713</v>
      </c>
      <c r="S124" s="2">
        <f t="shared" si="62"/>
        <v>4500</v>
      </c>
      <c r="T124" s="2" t="s">
        <v>57</v>
      </c>
      <c r="U124" s="2" t="str">
        <f t="shared" si="48"/>
        <v>250,300</v>
      </c>
      <c r="V124" s="2">
        <f t="shared" si="67"/>
        <v>250</v>
      </c>
      <c r="W124" s="2">
        <f t="shared" si="63"/>
        <v>300</v>
      </c>
      <c r="X124" s="2" t="s">
        <v>58</v>
      </c>
      <c r="Y124" s="2" t="str">
        <f t="shared" si="49"/>
        <v>298,400</v>
      </c>
      <c r="Z124" s="2">
        <f t="shared" si="68"/>
        <v>298</v>
      </c>
      <c r="AA124" s="2">
        <f t="shared" si="64"/>
        <v>400</v>
      </c>
      <c r="AB124" s="2">
        <v>95000</v>
      </c>
      <c r="AC124" s="2" t="e">
        <f>_xlfn.XLOOKUP($B124, '#참조'!$M:$M, '#참조'!$N:$N)</f>
        <v>#N/A</v>
      </c>
      <c r="AD124" s="2" t="e">
        <f t="shared" si="86"/>
        <v>#N/A</v>
      </c>
      <c r="AE124" s="2">
        <f t="shared" si="50"/>
        <v>0</v>
      </c>
    </row>
    <row r="125" spans="1:31" x14ac:dyDescent="0.2">
      <c r="A125" s="2">
        <f t="shared" si="46"/>
        <v>10180007</v>
      </c>
      <c r="B125" s="1">
        <v>10000180</v>
      </c>
      <c r="C125" s="1" t="s">
        <v>281</v>
      </c>
      <c r="D125" s="1" t="s">
        <v>309</v>
      </c>
      <c r="E125" s="1" t="str">
        <f>"Persona_"&amp;_xlfn.XLOOKUP($B125, '#캐릭터'!$A:$A, '#캐릭터'!$C:$C)</f>
        <v>Persona_c180</v>
      </c>
      <c r="F125" s="1"/>
      <c r="G125" s="1">
        <f>_xlfn.XLOOKUP(_xlfn.XLOOKUP(B125,'[1]Detail&lt;Child&gt;'!$A:$A,'[1]Detail&lt;Child&gt;'!$N:$N),'#참조'!P:P,'#참조'!Q:Q)</f>
        <v>3</v>
      </c>
      <c r="H125" s="1">
        <f>_xlfn.XLOOKUP(_xlfn.XLOOKUP(B125,'[1]Detail&lt;Child&gt;'!$A:$A,'[1]Detail&lt;Child&gt;'!$O:$O),'#참조'!R:R,'#참조'!S:S)</f>
        <v>2</v>
      </c>
      <c r="I125" s="1">
        <v>1</v>
      </c>
      <c r="J125" s="1">
        <v>3</v>
      </c>
      <c r="K125" s="1">
        <v>3</v>
      </c>
      <c r="L125" s="1">
        <v>7</v>
      </c>
      <c r="M125" s="2" t="s">
        <v>11</v>
      </c>
      <c r="N125" s="2" t="s">
        <v>407</v>
      </c>
      <c r="O125" s="2">
        <f t="shared" si="65"/>
        <v>3543</v>
      </c>
      <c r="P125" s="2" t="s">
        <v>56</v>
      </c>
      <c r="Q125" s="2" t="str">
        <f t="shared" si="47"/>
        <v>4827,5800</v>
      </c>
      <c r="R125" s="2">
        <f t="shared" si="66"/>
        <v>4827</v>
      </c>
      <c r="S125" s="2">
        <f t="shared" si="62"/>
        <v>5800</v>
      </c>
      <c r="T125" s="2" t="s">
        <v>57</v>
      </c>
      <c r="U125" s="2" t="str">
        <f t="shared" si="48"/>
        <v>300,400</v>
      </c>
      <c r="V125" s="2">
        <f t="shared" si="67"/>
        <v>300</v>
      </c>
      <c r="W125" s="2">
        <f t="shared" si="63"/>
        <v>400</v>
      </c>
      <c r="X125" s="2" t="s">
        <v>58</v>
      </c>
      <c r="Y125" s="2" t="str">
        <f t="shared" si="49"/>
        <v>387,500</v>
      </c>
      <c r="Z125" s="2">
        <f t="shared" si="68"/>
        <v>387</v>
      </c>
      <c r="AA125" s="2">
        <f t="shared" si="64"/>
        <v>500</v>
      </c>
      <c r="AB125" s="2">
        <v>90000</v>
      </c>
      <c r="AC125" s="2" t="e">
        <f>_xlfn.XLOOKUP($B125, '#참조'!$M:$M, '#참조'!$N:$N)</f>
        <v>#N/A</v>
      </c>
      <c r="AD125" s="2" t="e">
        <f t="shared" si="86"/>
        <v>#N/A</v>
      </c>
      <c r="AE125" s="2">
        <f t="shared" si="50"/>
        <v>3201</v>
      </c>
    </row>
    <row r="126" spans="1:31" x14ac:dyDescent="0.2">
      <c r="A126" s="2">
        <f t="shared" si="46"/>
        <v>10180008</v>
      </c>
      <c r="B126" s="1">
        <v>10000180</v>
      </c>
      <c r="C126" s="1" t="s">
        <v>281</v>
      </c>
      <c r="D126" s="1" t="s">
        <v>309</v>
      </c>
      <c r="E126" s="1" t="str">
        <f>"Persona_"&amp;_xlfn.XLOOKUP($B126, '#캐릭터'!$A:$A, '#캐릭터'!$C:$C)</f>
        <v>Persona_c180</v>
      </c>
      <c r="F126" s="1"/>
      <c r="G126" s="1">
        <f>_xlfn.XLOOKUP(_xlfn.XLOOKUP(B126,'[1]Detail&lt;Child&gt;'!$A:$A,'[1]Detail&lt;Child&gt;'!$N:$N),'#참조'!P:P,'#참조'!Q:Q)</f>
        <v>3</v>
      </c>
      <c r="H126" s="1">
        <f>_xlfn.XLOOKUP(_xlfn.XLOOKUP(B126,'[1]Detail&lt;Child&gt;'!$A:$A,'[1]Detail&lt;Child&gt;'!$O:$O),'#참조'!R:R,'#참조'!S:S)</f>
        <v>2</v>
      </c>
      <c r="I126" s="1">
        <v>1</v>
      </c>
      <c r="J126" s="1">
        <v>3</v>
      </c>
      <c r="K126" s="1">
        <v>3</v>
      </c>
      <c r="L126" s="1">
        <v>8</v>
      </c>
      <c r="M126" s="2" t="s">
        <v>12</v>
      </c>
      <c r="N126" s="2" t="s">
        <v>407</v>
      </c>
      <c r="O126" s="2">
        <f t="shared" si="65"/>
        <v>3897</v>
      </c>
      <c r="P126" s="2" t="s">
        <v>56</v>
      </c>
      <c r="Q126" s="2" t="str">
        <f t="shared" si="47"/>
        <v>6275,7500</v>
      </c>
      <c r="R126" s="2">
        <f t="shared" si="66"/>
        <v>6275</v>
      </c>
      <c r="S126" s="2">
        <f t="shared" si="62"/>
        <v>7500</v>
      </c>
      <c r="T126" s="2" t="s">
        <v>57</v>
      </c>
      <c r="U126" s="2" t="str">
        <f t="shared" si="48"/>
        <v>360,400</v>
      </c>
      <c r="V126" s="2">
        <f t="shared" si="67"/>
        <v>360</v>
      </c>
      <c r="W126" s="2">
        <f t="shared" si="63"/>
        <v>400</v>
      </c>
      <c r="X126" s="2" t="s">
        <v>58</v>
      </c>
      <c r="Y126" s="2" t="str">
        <f t="shared" si="49"/>
        <v>503,600</v>
      </c>
      <c r="Z126" s="2">
        <f t="shared" si="68"/>
        <v>503</v>
      </c>
      <c r="AA126" s="2">
        <f t="shared" si="64"/>
        <v>600</v>
      </c>
      <c r="AB126" s="2">
        <v>90000</v>
      </c>
      <c r="AC126" s="2" t="e">
        <f>_xlfn.XLOOKUP($B126, '#참조'!$M:$M, '#참조'!$N:$N)</f>
        <v>#N/A</v>
      </c>
      <c r="AD126" s="2" t="e">
        <f t="shared" si="86"/>
        <v>#N/A</v>
      </c>
      <c r="AE126" s="2">
        <f t="shared" si="50"/>
        <v>3201</v>
      </c>
    </row>
    <row r="127" spans="1:31" x14ac:dyDescent="0.2">
      <c r="A127" s="2">
        <f t="shared" si="46"/>
        <v>10180009</v>
      </c>
      <c r="B127" s="1">
        <v>10000180</v>
      </c>
      <c r="C127" s="1" t="s">
        <v>281</v>
      </c>
      <c r="D127" s="1" t="s">
        <v>309</v>
      </c>
      <c r="E127" s="1" t="str">
        <f>"Persona_"&amp;_xlfn.XLOOKUP($B127, '#캐릭터'!$A:$A, '#캐릭터'!$C:$C)</f>
        <v>Persona_c180</v>
      </c>
      <c r="F127" s="1"/>
      <c r="G127" s="1">
        <f>_xlfn.XLOOKUP(_xlfn.XLOOKUP(B127,'[1]Detail&lt;Child&gt;'!$A:$A,'[1]Detail&lt;Child&gt;'!$N:$N),'#참조'!P:P,'#참조'!Q:Q)</f>
        <v>3</v>
      </c>
      <c r="H127" s="1">
        <f>_xlfn.XLOOKUP(_xlfn.XLOOKUP(B127,'[1]Detail&lt;Child&gt;'!$A:$A,'[1]Detail&lt;Child&gt;'!$O:$O),'#참조'!R:R,'#참조'!S:S)</f>
        <v>2</v>
      </c>
      <c r="I127" s="1">
        <v>2</v>
      </c>
      <c r="J127" s="1">
        <v>3</v>
      </c>
      <c r="K127" s="1">
        <v>3</v>
      </c>
      <c r="L127" s="1">
        <v>9</v>
      </c>
      <c r="M127" s="2" t="s">
        <v>13</v>
      </c>
      <c r="N127" s="2" t="s">
        <v>407</v>
      </c>
      <c r="O127" s="2">
        <f t="shared" si="65"/>
        <v>4287</v>
      </c>
      <c r="P127" s="2" t="s">
        <v>56</v>
      </c>
      <c r="Q127" s="2" t="str">
        <f t="shared" si="47"/>
        <v>8158,9800</v>
      </c>
      <c r="R127" s="2">
        <f t="shared" si="66"/>
        <v>8158</v>
      </c>
      <c r="S127" s="2">
        <f t="shared" si="62"/>
        <v>9800</v>
      </c>
      <c r="T127" s="2" t="s">
        <v>57</v>
      </c>
      <c r="U127" s="2" t="str">
        <f t="shared" si="48"/>
        <v>432,500</v>
      </c>
      <c r="V127" s="2">
        <f t="shared" si="67"/>
        <v>432</v>
      </c>
      <c r="W127" s="2">
        <f t="shared" si="63"/>
        <v>500</v>
      </c>
      <c r="X127" s="2" t="s">
        <v>58</v>
      </c>
      <c r="Y127" s="2" t="str">
        <f t="shared" si="49"/>
        <v>654,800</v>
      </c>
      <c r="Z127" s="2">
        <f t="shared" si="68"/>
        <v>654</v>
      </c>
      <c r="AA127" s="2">
        <f t="shared" si="64"/>
        <v>800</v>
      </c>
      <c r="AB127" s="2">
        <v>90000</v>
      </c>
      <c r="AC127" s="2" t="e">
        <f>_xlfn.XLOOKUP($B127, '#참조'!$M:$M, '#참조'!$N:$N)</f>
        <v>#N/A</v>
      </c>
      <c r="AD127" s="2" t="e">
        <f t="shared" si="86"/>
        <v>#N/A</v>
      </c>
      <c r="AE127" s="2">
        <f t="shared" si="50"/>
        <v>3202</v>
      </c>
    </row>
    <row r="128" spans="1:31" x14ac:dyDescent="0.2">
      <c r="A128" s="2">
        <f t="shared" si="46"/>
        <v>10180010</v>
      </c>
      <c r="B128" s="1">
        <v>10000180</v>
      </c>
      <c r="C128" s="1" t="s">
        <v>281</v>
      </c>
      <c r="D128" s="1" t="s">
        <v>309</v>
      </c>
      <c r="E128" s="1" t="str">
        <f>"Persona_"&amp;_xlfn.XLOOKUP($B128, '#캐릭터'!$A:$A, '#캐릭터'!$C:$C)</f>
        <v>Persona_c180</v>
      </c>
      <c r="F128" s="1"/>
      <c r="G128" s="1">
        <f>_xlfn.XLOOKUP(_xlfn.XLOOKUP(B128,'[1]Detail&lt;Child&gt;'!$A:$A,'[1]Detail&lt;Child&gt;'!$N:$N),'#참조'!P:P,'#참조'!Q:Q)</f>
        <v>3</v>
      </c>
      <c r="H128" s="1">
        <f>_xlfn.XLOOKUP(_xlfn.XLOOKUP(B128,'[1]Detail&lt;Child&gt;'!$A:$A,'[1]Detail&lt;Child&gt;'!$O:$O),'#참조'!R:R,'#참조'!S:S)</f>
        <v>2</v>
      </c>
      <c r="I128" s="1">
        <v>2</v>
      </c>
      <c r="J128" s="1">
        <v>3</v>
      </c>
      <c r="K128" s="1">
        <v>4</v>
      </c>
      <c r="L128" s="1">
        <v>10</v>
      </c>
      <c r="M128" s="2" t="s">
        <v>14</v>
      </c>
      <c r="N128" s="2" t="s">
        <v>407</v>
      </c>
      <c r="O128" s="2">
        <f t="shared" si="65"/>
        <v>4716</v>
      </c>
      <c r="P128" s="2" t="s">
        <v>56</v>
      </c>
      <c r="Q128" s="2" t="str">
        <f t="shared" si="47"/>
        <v>10605,12700</v>
      </c>
      <c r="R128" s="2">
        <f t="shared" si="66"/>
        <v>10605</v>
      </c>
      <c r="S128" s="2">
        <f t="shared" si="62"/>
        <v>12700</v>
      </c>
      <c r="T128" s="2" t="s">
        <v>57</v>
      </c>
      <c r="U128" s="2" t="str">
        <f t="shared" si="48"/>
        <v>518,600</v>
      </c>
      <c r="V128" s="2">
        <f t="shared" si="67"/>
        <v>518</v>
      </c>
      <c r="W128" s="2">
        <f t="shared" si="63"/>
        <v>600</v>
      </c>
      <c r="X128" s="2" t="s">
        <v>58</v>
      </c>
      <c r="Y128" s="2" t="str">
        <f t="shared" si="49"/>
        <v>850,1000</v>
      </c>
      <c r="Z128" s="2">
        <f t="shared" si="68"/>
        <v>850</v>
      </c>
      <c r="AA128" s="2">
        <f t="shared" si="64"/>
        <v>1000</v>
      </c>
      <c r="AB128" s="2">
        <v>85000</v>
      </c>
      <c r="AC128" s="2" t="e">
        <f>_xlfn.XLOOKUP($B128, '#참조'!$M:$M, '#참조'!$N:$N)</f>
        <v>#N/A</v>
      </c>
      <c r="AD128" s="2" t="e">
        <f t="shared" si="86"/>
        <v>#N/A</v>
      </c>
      <c r="AE128" s="2">
        <f t="shared" si="50"/>
        <v>3202</v>
      </c>
    </row>
    <row r="129" spans="1:31" x14ac:dyDescent="0.2">
      <c r="A129" s="2">
        <f t="shared" si="46"/>
        <v>10180011</v>
      </c>
      <c r="B129" s="1">
        <v>10000180</v>
      </c>
      <c r="C129" s="1" t="s">
        <v>281</v>
      </c>
      <c r="D129" s="1" t="s">
        <v>309</v>
      </c>
      <c r="E129" s="1" t="str">
        <f>"Persona_"&amp;_xlfn.XLOOKUP($B129, '#캐릭터'!$A:$A, '#캐릭터'!$C:$C)</f>
        <v>Persona_c180</v>
      </c>
      <c r="F129" s="1"/>
      <c r="G129" s="1">
        <f>_xlfn.XLOOKUP(_xlfn.XLOOKUP(B129,'[1]Detail&lt;Child&gt;'!$A:$A,'[1]Detail&lt;Child&gt;'!$N:$N),'#참조'!P:P,'#참조'!Q:Q)</f>
        <v>3</v>
      </c>
      <c r="H129" s="1">
        <f>_xlfn.XLOOKUP(_xlfn.XLOOKUP(B129,'[1]Detail&lt;Child&gt;'!$A:$A,'[1]Detail&lt;Child&gt;'!$O:$O),'#참조'!R:R,'#참조'!S:S)</f>
        <v>2</v>
      </c>
      <c r="I129" s="1">
        <v>3</v>
      </c>
      <c r="J129" s="1">
        <v>3</v>
      </c>
      <c r="K129" s="1">
        <v>4</v>
      </c>
      <c r="L129" s="1">
        <v>11</v>
      </c>
      <c r="M129" s="2" t="s">
        <v>15</v>
      </c>
      <c r="N129" s="2" t="s">
        <v>407</v>
      </c>
      <c r="O129" s="2">
        <f t="shared" si="65"/>
        <v>5188</v>
      </c>
      <c r="P129" s="2" t="s">
        <v>56</v>
      </c>
      <c r="Q129" s="2" t="str">
        <f t="shared" si="47"/>
        <v>13787,16500</v>
      </c>
      <c r="R129" s="2">
        <f t="shared" si="66"/>
        <v>13787</v>
      </c>
      <c r="S129" s="2">
        <f t="shared" si="62"/>
        <v>16500</v>
      </c>
      <c r="T129" s="2" t="s">
        <v>57</v>
      </c>
      <c r="U129" s="2" t="str">
        <f t="shared" si="48"/>
        <v>622,700</v>
      </c>
      <c r="V129" s="2">
        <f t="shared" si="67"/>
        <v>622</v>
      </c>
      <c r="W129" s="2">
        <f t="shared" si="63"/>
        <v>700</v>
      </c>
      <c r="X129" s="2" t="s">
        <v>58</v>
      </c>
      <c r="Y129" s="2" t="str">
        <f t="shared" si="49"/>
        <v>1105,1300</v>
      </c>
      <c r="Z129" s="2">
        <f t="shared" si="68"/>
        <v>1105</v>
      </c>
      <c r="AA129" s="2">
        <f t="shared" si="64"/>
        <v>1300</v>
      </c>
      <c r="AB129" s="2">
        <v>85000</v>
      </c>
      <c r="AC129" s="2" t="e">
        <f>_xlfn.XLOOKUP($B129, '#참조'!$M:$M, '#참조'!$N:$N)</f>
        <v>#N/A</v>
      </c>
      <c r="AD129" s="2" t="e">
        <f t="shared" si="86"/>
        <v>#N/A</v>
      </c>
      <c r="AE129" s="2">
        <f t="shared" si="50"/>
        <v>3203</v>
      </c>
    </row>
    <row r="130" spans="1:31" x14ac:dyDescent="0.2">
      <c r="A130" s="2">
        <f t="shared" si="46"/>
        <v>10180012</v>
      </c>
      <c r="B130" s="1">
        <v>10000180</v>
      </c>
      <c r="C130" s="1" t="s">
        <v>281</v>
      </c>
      <c r="D130" s="1" t="s">
        <v>309</v>
      </c>
      <c r="E130" s="1" t="str">
        <f>"Persona_"&amp;_xlfn.XLOOKUP($B130, '#캐릭터'!$A:$A, '#캐릭터'!$C:$C)</f>
        <v>Persona_c180</v>
      </c>
      <c r="F130" s="1"/>
      <c r="G130" s="1">
        <f>_xlfn.XLOOKUP(_xlfn.XLOOKUP(B130,'[1]Detail&lt;Child&gt;'!$A:$A,'[1]Detail&lt;Child&gt;'!$N:$N),'#참조'!P:P,'#참조'!Q:Q)</f>
        <v>3</v>
      </c>
      <c r="H130" s="1">
        <f>_xlfn.XLOOKUP(_xlfn.XLOOKUP(B130,'[1]Detail&lt;Child&gt;'!$A:$A,'[1]Detail&lt;Child&gt;'!$O:$O),'#참조'!R:R,'#참조'!S:S)</f>
        <v>2</v>
      </c>
      <c r="I130" s="1">
        <v>3</v>
      </c>
      <c r="J130" s="1">
        <v>3</v>
      </c>
      <c r="K130" s="1">
        <v>4</v>
      </c>
      <c r="L130" s="1">
        <v>12</v>
      </c>
      <c r="M130" s="2" t="s">
        <v>16</v>
      </c>
      <c r="N130" s="2" t="s">
        <v>407</v>
      </c>
      <c r="O130" s="2">
        <f t="shared" si="65"/>
        <v>5707</v>
      </c>
      <c r="P130" s="2" t="s">
        <v>56</v>
      </c>
      <c r="Q130" s="2" t="str">
        <f t="shared" si="47"/>
        <v>17923,21500</v>
      </c>
      <c r="R130" s="2">
        <f t="shared" si="66"/>
        <v>17923</v>
      </c>
      <c r="S130" s="2">
        <f t="shared" si="62"/>
        <v>21500</v>
      </c>
      <c r="T130" s="2" t="s">
        <v>57</v>
      </c>
      <c r="U130" s="2" t="str">
        <f t="shared" si="48"/>
        <v>746,900</v>
      </c>
      <c r="V130" s="2">
        <f t="shared" si="67"/>
        <v>746</v>
      </c>
      <c r="W130" s="2">
        <f t="shared" si="63"/>
        <v>900</v>
      </c>
      <c r="X130" s="2" t="s">
        <v>58</v>
      </c>
      <c r="Y130" s="2" t="str">
        <f t="shared" si="49"/>
        <v>1437,1700</v>
      </c>
      <c r="Z130" s="2">
        <f t="shared" si="68"/>
        <v>1437</v>
      </c>
      <c r="AA130" s="2">
        <f t="shared" si="64"/>
        <v>1700</v>
      </c>
      <c r="AB130" s="2">
        <v>85000</v>
      </c>
      <c r="AC130" s="2" t="e">
        <f>_xlfn.XLOOKUP($B130, '#참조'!$M:$M, '#참조'!$N:$N)</f>
        <v>#N/A</v>
      </c>
      <c r="AD130" s="2" t="e">
        <f t="shared" si="86"/>
        <v>#N/A</v>
      </c>
      <c r="AE130" s="2">
        <f t="shared" si="50"/>
        <v>3203</v>
      </c>
    </row>
    <row r="131" spans="1:31" x14ac:dyDescent="0.2">
      <c r="A131" s="2">
        <f t="shared" si="46"/>
        <v>10180013</v>
      </c>
      <c r="B131" s="1">
        <v>10000180</v>
      </c>
      <c r="C131" s="1" t="s">
        <v>281</v>
      </c>
      <c r="D131" s="1" t="s">
        <v>309</v>
      </c>
      <c r="E131" s="1" t="str">
        <f>"Persona_"&amp;_xlfn.XLOOKUP($B131, '#캐릭터'!$A:$A, '#캐릭터'!$C:$C)</f>
        <v>Persona_c180</v>
      </c>
      <c r="F131" s="1"/>
      <c r="G131" s="1">
        <f>_xlfn.XLOOKUP(_xlfn.XLOOKUP(B131,'[1]Detail&lt;Child&gt;'!$A:$A,'[1]Detail&lt;Child&gt;'!$N:$N),'#참조'!P:P,'#참조'!Q:Q)</f>
        <v>3</v>
      </c>
      <c r="H131" s="1">
        <f>_xlfn.XLOOKUP(_xlfn.XLOOKUP(B131,'[1]Detail&lt;Child&gt;'!$A:$A,'[1]Detail&lt;Child&gt;'!$O:$O),'#참조'!R:R,'#참조'!S:S)</f>
        <v>2</v>
      </c>
      <c r="I131" s="1">
        <v>4</v>
      </c>
      <c r="J131" s="1">
        <v>3</v>
      </c>
      <c r="K131" s="1">
        <v>5</v>
      </c>
      <c r="L131" s="1">
        <v>13</v>
      </c>
      <c r="M131" s="2" t="s">
        <v>17</v>
      </c>
      <c r="N131" s="2" t="s">
        <v>407</v>
      </c>
      <c r="O131" s="2">
        <f t="shared" si="65"/>
        <v>6278</v>
      </c>
      <c r="P131" s="2" t="s">
        <v>56</v>
      </c>
      <c r="Q131" s="2" t="str">
        <f t="shared" si="47"/>
        <v>23300,28000</v>
      </c>
      <c r="R131" s="2">
        <f t="shared" si="66"/>
        <v>23300</v>
      </c>
      <c r="S131" s="2">
        <f t="shared" si="62"/>
        <v>28000</v>
      </c>
      <c r="T131" s="2" t="s">
        <v>57</v>
      </c>
      <c r="U131" s="2" t="str">
        <f t="shared" si="48"/>
        <v>895,1100</v>
      </c>
      <c r="V131" s="2">
        <f t="shared" si="67"/>
        <v>895</v>
      </c>
      <c r="W131" s="2">
        <f t="shared" si="63"/>
        <v>1100</v>
      </c>
      <c r="X131" s="2" t="s">
        <v>58</v>
      </c>
      <c r="Y131" s="2" t="str">
        <f t="shared" si="49"/>
        <v>1868,2200</v>
      </c>
      <c r="Z131" s="2">
        <f t="shared" si="68"/>
        <v>1868</v>
      </c>
      <c r="AA131" s="2">
        <f t="shared" si="64"/>
        <v>2200</v>
      </c>
      <c r="AB131" s="2">
        <v>80000</v>
      </c>
      <c r="AC131" s="2" t="e">
        <f>_xlfn.XLOOKUP($B131, '#참조'!$M:$M, '#참조'!$N:$N)</f>
        <v>#N/A</v>
      </c>
      <c r="AD131" s="2" t="e">
        <f t="shared" si="86"/>
        <v>#N/A</v>
      </c>
      <c r="AE131" s="2">
        <f t="shared" si="50"/>
        <v>3204</v>
      </c>
    </row>
    <row r="132" spans="1:31" x14ac:dyDescent="0.2">
      <c r="A132" s="2">
        <f t="shared" ref="A132:A195" si="91">INT(1&amp;TEXT(RIGHT(B132,4),"0000")&amp;TEXT(L132,"000"))</f>
        <v>10180014</v>
      </c>
      <c r="B132" s="1">
        <v>10000180</v>
      </c>
      <c r="C132" s="1" t="s">
        <v>281</v>
      </c>
      <c r="D132" s="1" t="s">
        <v>309</v>
      </c>
      <c r="E132" s="1" t="str">
        <f>"Persona_"&amp;_xlfn.XLOOKUP($B132, '#캐릭터'!$A:$A, '#캐릭터'!$C:$C)</f>
        <v>Persona_c180</v>
      </c>
      <c r="F132" s="1"/>
      <c r="G132" s="1">
        <f>_xlfn.XLOOKUP(_xlfn.XLOOKUP(B132,'[1]Detail&lt;Child&gt;'!$A:$A,'[1]Detail&lt;Child&gt;'!$N:$N),'#참조'!P:P,'#참조'!Q:Q)</f>
        <v>3</v>
      </c>
      <c r="H132" s="1">
        <f>_xlfn.XLOOKUP(_xlfn.XLOOKUP(B132,'[1]Detail&lt;Child&gt;'!$A:$A,'[1]Detail&lt;Child&gt;'!$O:$O),'#참조'!R:R,'#참조'!S:S)</f>
        <v>2</v>
      </c>
      <c r="I132" s="1">
        <v>4</v>
      </c>
      <c r="J132" s="1">
        <v>3</v>
      </c>
      <c r="K132" s="1">
        <v>5</v>
      </c>
      <c r="L132" s="1">
        <v>14</v>
      </c>
      <c r="M132" s="2" t="s">
        <v>18</v>
      </c>
      <c r="N132" s="2" t="s">
        <v>407</v>
      </c>
      <c r="O132" s="2">
        <f t="shared" si="65"/>
        <v>6906</v>
      </c>
      <c r="P132" s="2" t="s">
        <v>56</v>
      </c>
      <c r="Q132" s="2" t="str">
        <f t="shared" si="47"/>
        <v>30290,36300</v>
      </c>
      <c r="R132" s="2">
        <f t="shared" si="66"/>
        <v>30290</v>
      </c>
      <c r="S132" s="2">
        <f t="shared" si="62"/>
        <v>36300</v>
      </c>
      <c r="T132" s="2" t="s">
        <v>57</v>
      </c>
      <c r="U132" s="2" t="str">
        <f t="shared" si="48"/>
        <v>1074,1300</v>
      </c>
      <c r="V132" s="2">
        <f t="shared" si="67"/>
        <v>1074</v>
      </c>
      <c r="W132" s="2">
        <f t="shared" si="63"/>
        <v>1300</v>
      </c>
      <c r="X132" s="2" t="s">
        <v>58</v>
      </c>
      <c r="Y132" s="2" t="str">
        <f t="shared" si="49"/>
        <v>2428,2900</v>
      </c>
      <c r="Z132" s="2">
        <f t="shared" si="68"/>
        <v>2428</v>
      </c>
      <c r="AA132" s="2">
        <f t="shared" si="64"/>
        <v>2900</v>
      </c>
      <c r="AB132" s="2">
        <v>80000</v>
      </c>
      <c r="AC132" s="2" t="e">
        <f>_xlfn.XLOOKUP($B132, '#참조'!$M:$M, '#참조'!$N:$N)</f>
        <v>#N/A</v>
      </c>
      <c r="AD132" s="2" t="e">
        <f t="shared" si="86"/>
        <v>#N/A</v>
      </c>
      <c r="AE132" s="2">
        <f t="shared" si="50"/>
        <v>3204</v>
      </c>
    </row>
    <row r="133" spans="1:31" x14ac:dyDescent="0.2">
      <c r="A133" s="2">
        <f t="shared" si="91"/>
        <v>10180015</v>
      </c>
      <c r="B133" s="1">
        <v>10000180</v>
      </c>
      <c r="C133" s="1" t="s">
        <v>281</v>
      </c>
      <c r="D133" s="1" t="s">
        <v>309</v>
      </c>
      <c r="E133" s="1" t="str">
        <f>"Persona_"&amp;_xlfn.XLOOKUP($B133, '#캐릭터'!$A:$A, '#캐릭터'!$C:$C)</f>
        <v>Persona_c180</v>
      </c>
      <c r="F133" s="1"/>
      <c r="G133" s="1">
        <f>_xlfn.XLOOKUP(_xlfn.XLOOKUP(B133,'[1]Detail&lt;Child&gt;'!$A:$A,'[1]Detail&lt;Child&gt;'!$N:$N),'#참조'!P:P,'#참조'!Q:Q)</f>
        <v>3</v>
      </c>
      <c r="H133" s="1">
        <f>_xlfn.XLOOKUP(_xlfn.XLOOKUP(B133,'[1]Detail&lt;Child&gt;'!$A:$A,'[1]Detail&lt;Child&gt;'!$O:$O),'#참조'!R:R,'#참조'!S:S)</f>
        <v>2</v>
      </c>
      <c r="I133" s="1">
        <v>5</v>
      </c>
      <c r="J133" s="1">
        <v>3</v>
      </c>
      <c r="K133" s="1">
        <v>5</v>
      </c>
      <c r="L133" s="1">
        <v>15</v>
      </c>
      <c r="M133" s="2" t="s">
        <v>19</v>
      </c>
      <c r="N133" s="2" t="s">
        <v>407</v>
      </c>
      <c r="O133" s="2">
        <f t="shared" si="65"/>
        <v>7597</v>
      </c>
      <c r="P133" s="2" t="s">
        <v>56</v>
      </c>
      <c r="Q133" s="2" t="str">
        <f t="shared" ref="Q133:Q196" si="92">R133&amp;","&amp;S133</f>
        <v>39377,47300</v>
      </c>
      <c r="R133" s="2">
        <f t="shared" si="66"/>
        <v>39377</v>
      </c>
      <c r="S133" s="2">
        <f t="shared" si="62"/>
        <v>47300</v>
      </c>
      <c r="T133" s="2" t="s">
        <v>57</v>
      </c>
      <c r="U133" s="2" t="str">
        <f t="shared" ref="U133:U196" si="93">V133&amp;","&amp;W133</f>
        <v>1289,1500</v>
      </c>
      <c r="V133" s="2">
        <f t="shared" si="67"/>
        <v>1289</v>
      </c>
      <c r="W133" s="2">
        <f t="shared" si="63"/>
        <v>1500</v>
      </c>
      <c r="X133" s="2" t="s">
        <v>58</v>
      </c>
      <c r="Y133" s="2" t="str">
        <f t="shared" ref="Y133:Y196" si="94">Z133&amp;","&amp;AA133</f>
        <v>3156,3800</v>
      </c>
      <c r="Z133" s="2">
        <f t="shared" si="68"/>
        <v>3156</v>
      </c>
      <c r="AA133" s="2">
        <f t="shared" si="64"/>
        <v>3800</v>
      </c>
      <c r="AB133" s="2">
        <v>80000</v>
      </c>
      <c r="AC133" s="2" t="e">
        <f>_xlfn.XLOOKUP($B133, '#참조'!$M:$M, '#참조'!$N:$N)</f>
        <v>#N/A</v>
      </c>
      <c r="AD133" s="2" t="e">
        <f t="shared" si="86"/>
        <v>#N/A</v>
      </c>
      <c r="AE133" s="2">
        <f t="shared" ref="AE133:AE196" si="95">IF(I133=0,0,INT(G133&amp;H133&amp;TEXT(I133,"00")))</f>
        <v>3205</v>
      </c>
    </row>
    <row r="134" spans="1:31" x14ac:dyDescent="0.2">
      <c r="A134" s="2">
        <f t="shared" si="91"/>
        <v>10180016</v>
      </c>
      <c r="B134" s="1">
        <v>10000180</v>
      </c>
      <c r="C134" s="1" t="s">
        <v>281</v>
      </c>
      <c r="D134" s="1" t="s">
        <v>309</v>
      </c>
      <c r="E134" s="1" t="str">
        <f>"Persona_"&amp;_xlfn.XLOOKUP($B134, '#캐릭터'!$A:$A, '#캐릭터'!$C:$C)</f>
        <v>Persona_c180</v>
      </c>
      <c r="F134" s="1"/>
      <c r="G134" s="1">
        <f>_xlfn.XLOOKUP(_xlfn.XLOOKUP(B134,'[1]Detail&lt;Child&gt;'!$A:$A,'[1]Detail&lt;Child&gt;'!$N:$N),'#참조'!P:P,'#참조'!Q:Q)</f>
        <v>3</v>
      </c>
      <c r="H134" s="1">
        <f>_xlfn.XLOOKUP(_xlfn.XLOOKUP(B134,'[1]Detail&lt;Child&gt;'!$A:$A,'[1]Detail&lt;Child&gt;'!$O:$O),'#참조'!R:R,'#참조'!S:S)</f>
        <v>2</v>
      </c>
      <c r="I134" s="1">
        <v>5</v>
      </c>
      <c r="J134" s="1">
        <v>3</v>
      </c>
      <c r="K134" s="1">
        <v>6</v>
      </c>
      <c r="L134" s="1">
        <v>16</v>
      </c>
      <c r="M134" s="2" t="s">
        <v>20</v>
      </c>
      <c r="N134" s="2" t="s">
        <v>407</v>
      </c>
      <c r="O134" s="2">
        <f t="shared" si="65"/>
        <v>8357</v>
      </c>
      <c r="P134" s="2" t="s">
        <v>56</v>
      </c>
      <c r="Q134" s="2" t="str">
        <f t="shared" si="92"/>
        <v>51190,61400</v>
      </c>
      <c r="R134" s="2">
        <f t="shared" si="66"/>
        <v>51190</v>
      </c>
      <c r="S134" s="2">
        <f t="shared" si="62"/>
        <v>61400</v>
      </c>
      <c r="T134" s="2" t="s">
        <v>57</v>
      </c>
      <c r="U134" s="2" t="str">
        <f t="shared" si="93"/>
        <v>1547,1900</v>
      </c>
      <c r="V134" s="2">
        <f t="shared" si="67"/>
        <v>1547</v>
      </c>
      <c r="W134" s="2">
        <f t="shared" si="63"/>
        <v>1900</v>
      </c>
      <c r="X134" s="2" t="s">
        <v>58</v>
      </c>
      <c r="Y134" s="2" t="str">
        <f t="shared" si="94"/>
        <v>4103,4900</v>
      </c>
      <c r="Z134" s="2">
        <f t="shared" si="68"/>
        <v>4103</v>
      </c>
      <c r="AA134" s="2">
        <f t="shared" si="64"/>
        <v>4900</v>
      </c>
      <c r="AB134" s="2">
        <v>75000</v>
      </c>
      <c r="AC134" s="2" t="e">
        <f>_xlfn.XLOOKUP($B134, '#참조'!$M:$M, '#참조'!$N:$N)</f>
        <v>#N/A</v>
      </c>
      <c r="AD134" s="2" t="e">
        <f t="shared" si="86"/>
        <v>#N/A</v>
      </c>
      <c r="AE134" s="2">
        <f t="shared" si="95"/>
        <v>3205</v>
      </c>
    </row>
    <row r="135" spans="1:31" x14ac:dyDescent="0.2">
      <c r="A135" s="2">
        <f t="shared" si="91"/>
        <v>10180017</v>
      </c>
      <c r="B135" s="1">
        <v>10000180</v>
      </c>
      <c r="C135" s="1" t="s">
        <v>281</v>
      </c>
      <c r="D135" s="1" t="s">
        <v>309</v>
      </c>
      <c r="E135" s="1" t="str">
        <f>"Persona_"&amp;_xlfn.XLOOKUP($B135, '#캐릭터'!$A:$A, '#캐릭터'!$C:$C)</f>
        <v>Persona_c180</v>
      </c>
      <c r="F135" s="1"/>
      <c r="G135" s="1">
        <f>_xlfn.XLOOKUP(_xlfn.XLOOKUP(B135,'[1]Detail&lt;Child&gt;'!$A:$A,'[1]Detail&lt;Child&gt;'!$N:$N),'#참조'!P:P,'#참조'!Q:Q)</f>
        <v>3</v>
      </c>
      <c r="H135" s="1">
        <f>_xlfn.XLOOKUP(_xlfn.XLOOKUP(B135,'[1]Detail&lt;Child&gt;'!$A:$A,'[1]Detail&lt;Child&gt;'!$O:$O),'#참조'!R:R,'#참조'!S:S)</f>
        <v>2</v>
      </c>
      <c r="I135" s="1">
        <v>6</v>
      </c>
      <c r="J135" s="1">
        <v>3</v>
      </c>
      <c r="K135" s="1">
        <v>6</v>
      </c>
      <c r="L135" s="1">
        <v>17</v>
      </c>
      <c r="M135" s="2" t="s">
        <v>21</v>
      </c>
      <c r="N135" s="2" t="s">
        <v>407</v>
      </c>
      <c r="O135" s="2">
        <f t="shared" si="65"/>
        <v>9193</v>
      </c>
      <c r="P135" s="2" t="s">
        <v>56</v>
      </c>
      <c r="Q135" s="2" t="str">
        <f t="shared" si="92"/>
        <v>66547,79900</v>
      </c>
      <c r="R135" s="2">
        <f t="shared" si="66"/>
        <v>66547</v>
      </c>
      <c r="S135" s="2">
        <f t="shared" si="62"/>
        <v>79900</v>
      </c>
      <c r="T135" s="2" t="s">
        <v>57</v>
      </c>
      <c r="U135" s="2" t="str">
        <f t="shared" si="93"/>
        <v>1856,2200</v>
      </c>
      <c r="V135" s="2">
        <f t="shared" si="67"/>
        <v>1856</v>
      </c>
      <c r="W135" s="2">
        <f t="shared" si="63"/>
        <v>2200</v>
      </c>
      <c r="X135" s="2" t="s">
        <v>58</v>
      </c>
      <c r="Y135" s="2" t="str">
        <f t="shared" si="94"/>
        <v>5334,6400</v>
      </c>
      <c r="Z135" s="2">
        <f t="shared" si="68"/>
        <v>5334</v>
      </c>
      <c r="AA135" s="2">
        <f t="shared" si="64"/>
        <v>6400</v>
      </c>
      <c r="AB135" s="2">
        <v>75000</v>
      </c>
      <c r="AC135" s="2" t="e">
        <f>_xlfn.XLOOKUP($B135, '#참조'!$M:$M, '#참조'!$N:$N)</f>
        <v>#N/A</v>
      </c>
      <c r="AD135" s="2" t="e">
        <f t="shared" si="86"/>
        <v>#N/A</v>
      </c>
      <c r="AE135" s="2">
        <f t="shared" si="95"/>
        <v>3206</v>
      </c>
    </row>
    <row r="136" spans="1:31" x14ac:dyDescent="0.2">
      <c r="A136" s="2">
        <f t="shared" si="91"/>
        <v>10180018</v>
      </c>
      <c r="B136" s="1">
        <v>10000180</v>
      </c>
      <c r="C136" s="1" t="s">
        <v>281</v>
      </c>
      <c r="D136" s="1" t="s">
        <v>309</v>
      </c>
      <c r="E136" s="1" t="str">
        <f>"Persona_"&amp;_xlfn.XLOOKUP($B136, '#캐릭터'!$A:$A, '#캐릭터'!$C:$C)</f>
        <v>Persona_c180</v>
      </c>
      <c r="F136" s="1"/>
      <c r="G136" s="1">
        <f>_xlfn.XLOOKUP(_xlfn.XLOOKUP(B136,'[1]Detail&lt;Child&gt;'!$A:$A,'[1]Detail&lt;Child&gt;'!$N:$N),'#참조'!P:P,'#참조'!Q:Q)</f>
        <v>3</v>
      </c>
      <c r="H136" s="1">
        <f>_xlfn.XLOOKUP(_xlfn.XLOOKUP(B136,'[1]Detail&lt;Child&gt;'!$A:$A,'[1]Detail&lt;Child&gt;'!$O:$O),'#참조'!R:R,'#참조'!S:S)</f>
        <v>2</v>
      </c>
      <c r="I136" s="1">
        <v>6</v>
      </c>
      <c r="J136" s="1">
        <v>3</v>
      </c>
      <c r="K136" s="1">
        <v>6</v>
      </c>
      <c r="L136" s="1">
        <v>18</v>
      </c>
      <c r="M136" s="2" t="s">
        <v>22</v>
      </c>
      <c r="N136" s="2" t="s">
        <v>407</v>
      </c>
      <c r="O136" s="2">
        <f t="shared" si="65"/>
        <v>10112</v>
      </c>
      <c r="P136" s="2" t="s">
        <v>56</v>
      </c>
      <c r="Q136" s="2" t="str">
        <f t="shared" si="92"/>
        <v>86511,103800</v>
      </c>
      <c r="R136" s="2">
        <f t="shared" si="66"/>
        <v>86511</v>
      </c>
      <c r="S136" s="2">
        <f t="shared" si="62"/>
        <v>103800</v>
      </c>
      <c r="T136" s="2" t="s">
        <v>57</v>
      </c>
      <c r="U136" s="2" t="str">
        <f t="shared" si="93"/>
        <v>2227,2700</v>
      </c>
      <c r="V136" s="2">
        <f t="shared" si="67"/>
        <v>2227</v>
      </c>
      <c r="W136" s="2">
        <f t="shared" si="63"/>
        <v>2700</v>
      </c>
      <c r="X136" s="2" t="s">
        <v>58</v>
      </c>
      <c r="Y136" s="2" t="str">
        <f t="shared" si="94"/>
        <v>6934,8300</v>
      </c>
      <c r="Z136" s="2">
        <f t="shared" si="68"/>
        <v>6934</v>
      </c>
      <c r="AA136" s="2">
        <f t="shared" si="64"/>
        <v>8300</v>
      </c>
      <c r="AB136" s="2">
        <v>75000</v>
      </c>
      <c r="AC136" s="2" t="e">
        <f>_xlfn.XLOOKUP($B136, '#참조'!$M:$M, '#참조'!$N:$N)</f>
        <v>#N/A</v>
      </c>
      <c r="AD136" s="2" t="e">
        <f t="shared" si="86"/>
        <v>#N/A</v>
      </c>
      <c r="AE136" s="2">
        <f t="shared" si="95"/>
        <v>3206</v>
      </c>
    </row>
    <row r="137" spans="1:31" x14ac:dyDescent="0.2">
      <c r="A137" s="2">
        <f t="shared" si="91"/>
        <v>10183000</v>
      </c>
      <c r="B137" s="1">
        <v>10000183</v>
      </c>
      <c r="C137" s="1" t="s">
        <v>281</v>
      </c>
      <c r="D137" s="1" t="s">
        <v>309</v>
      </c>
      <c r="E137" s="1" t="str">
        <f>"Persona_"&amp;_xlfn.XLOOKUP($B137, '#캐릭터'!$A:$A, '#캐릭터'!$C:$C)</f>
        <v>Persona_c183</v>
      </c>
      <c r="F137" s="1"/>
      <c r="G137" s="1">
        <f>_xlfn.XLOOKUP(_xlfn.XLOOKUP(B137,'[1]Detail&lt;Child&gt;'!$A:$A,'[1]Detail&lt;Child&gt;'!$N:$N),'#참조'!P:P,'#참조'!Q:Q)</f>
        <v>4</v>
      </c>
      <c r="H137" s="1">
        <f>_xlfn.XLOOKUP(_xlfn.XLOOKUP(B137,'[1]Detail&lt;Child&gt;'!$A:$A,'[1]Detail&lt;Child&gt;'!$O:$O),'#참조'!R:R,'#참조'!S:S)</f>
        <v>5</v>
      </c>
      <c r="I137" s="1">
        <v>0</v>
      </c>
      <c r="J137" s="1">
        <v>3</v>
      </c>
      <c r="K137" s="1">
        <v>0</v>
      </c>
      <c r="L137" s="1">
        <v>0</v>
      </c>
      <c r="M137" s="2" t="s">
        <v>2</v>
      </c>
      <c r="N137" s="2" t="s">
        <v>407</v>
      </c>
      <c r="O137" s="2">
        <v>0</v>
      </c>
      <c r="P137" s="2" t="s">
        <v>56</v>
      </c>
      <c r="Q137" s="2" t="str">
        <f t="shared" si="92"/>
        <v>1000,1000</v>
      </c>
      <c r="R137" s="2">
        <v>1000</v>
      </c>
      <c r="S137" s="2">
        <f t="shared" ref="S137" si="96">R137</f>
        <v>1000</v>
      </c>
      <c r="T137" s="2" t="s">
        <v>57</v>
      </c>
      <c r="U137" s="2" t="str">
        <f t="shared" si="93"/>
        <v>100,100</v>
      </c>
      <c r="V137" s="2">
        <v>100</v>
      </c>
      <c r="W137" s="2">
        <f t="shared" ref="W137" si="97">V137</f>
        <v>100</v>
      </c>
      <c r="X137" s="2" t="s">
        <v>58</v>
      </c>
      <c r="Y137" s="2" t="str">
        <f t="shared" si="94"/>
        <v>80,80</v>
      </c>
      <c r="Z137" s="2">
        <v>80</v>
      </c>
      <c r="AA137" s="2">
        <f t="shared" ref="AA137" si="98">Z137</f>
        <v>80</v>
      </c>
      <c r="AB137" s="2">
        <v>100000</v>
      </c>
      <c r="AE137" s="2">
        <f t="shared" si="95"/>
        <v>0</v>
      </c>
    </row>
    <row r="138" spans="1:31" x14ac:dyDescent="0.2">
      <c r="A138" s="2">
        <f t="shared" si="91"/>
        <v>10183001</v>
      </c>
      <c r="B138" s="1">
        <v>10000183</v>
      </c>
      <c r="C138" s="1" t="s">
        <v>281</v>
      </c>
      <c r="D138" s="1" t="s">
        <v>309</v>
      </c>
      <c r="E138" s="1" t="str">
        <f>"Persona_"&amp;_xlfn.XLOOKUP($B138, '#캐릭터'!$A:$A, '#캐릭터'!$C:$C)</f>
        <v>Persona_c183</v>
      </c>
      <c r="F138" s="1"/>
      <c r="G138" s="1">
        <f>_xlfn.XLOOKUP(_xlfn.XLOOKUP(B138,'[1]Detail&lt;Child&gt;'!$A:$A,'[1]Detail&lt;Child&gt;'!$N:$N),'#참조'!P:P,'#참조'!Q:Q)</f>
        <v>4</v>
      </c>
      <c r="H138" s="1">
        <f>_xlfn.XLOOKUP(_xlfn.XLOOKUP(B138,'[1]Detail&lt;Child&gt;'!$A:$A,'[1]Detail&lt;Child&gt;'!$O:$O),'#참조'!R:R,'#참조'!S:S)</f>
        <v>5</v>
      </c>
      <c r="I138" s="1">
        <v>0</v>
      </c>
      <c r="J138" s="1">
        <v>3</v>
      </c>
      <c r="K138" s="1">
        <v>1</v>
      </c>
      <c r="L138" s="1">
        <v>1</v>
      </c>
      <c r="M138" s="2" t="s">
        <v>5</v>
      </c>
      <c r="N138" s="2" t="s">
        <v>407</v>
      </c>
      <c r="O138" s="2">
        <v>2000</v>
      </c>
      <c r="P138" s="2" t="s">
        <v>56</v>
      </c>
      <c r="Q138" s="2" t="str">
        <f t="shared" si="92"/>
        <v>1000,1200</v>
      </c>
      <c r="R138" s="2">
        <v>1000</v>
      </c>
      <c r="S138" s="2">
        <f t="shared" ref="S138" si="99">ROUND(R138*1.2, -2)</f>
        <v>1200</v>
      </c>
      <c r="T138" s="2" t="s">
        <v>57</v>
      </c>
      <c r="U138" s="2" t="str">
        <f t="shared" si="93"/>
        <v>100,100</v>
      </c>
      <c r="V138" s="2">
        <v>100</v>
      </c>
      <c r="W138" s="2">
        <f t="shared" ref="W138" si="100">ROUND(V138*1.2, -2)</f>
        <v>100</v>
      </c>
      <c r="X138" s="2" t="s">
        <v>58</v>
      </c>
      <c r="Y138" s="2" t="str">
        <f t="shared" si="94"/>
        <v>80,100</v>
      </c>
      <c r="Z138" s="2">
        <v>80</v>
      </c>
      <c r="AA138" s="2">
        <f t="shared" ref="AA138" si="101">ROUND(Z138*1.2, -2)</f>
        <v>100</v>
      </c>
      <c r="AB138" s="2">
        <v>100000</v>
      </c>
      <c r="AC138" s="2" t="e">
        <f>_xlfn.XLOOKUP($B138, '#참조'!$M:$M, '#참조'!$N:$N)</f>
        <v>#N/A</v>
      </c>
      <c r="AD138" s="2" t="e">
        <f t="shared" ref="AD138:AD155" si="102">M138&amp;"_"&amp;AC138</f>
        <v>#N/A</v>
      </c>
      <c r="AE138" s="2">
        <f t="shared" si="95"/>
        <v>0</v>
      </c>
    </row>
    <row r="139" spans="1:31" x14ac:dyDescent="0.2">
      <c r="A139" s="2">
        <f t="shared" si="91"/>
        <v>10183002</v>
      </c>
      <c r="B139" s="1">
        <v>10000183</v>
      </c>
      <c r="C139" s="1" t="s">
        <v>281</v>
      </c>
      <c r="D139" s="1" t="s">
        <v>309</v>
      </c>
      <c r="E139" s="1" t="str">
        <f>"Persona_"&amp;_xlfn.XLOOKUP($B139, '#캐릭터'!$A:$A, '#캐릭터'!$C:$C)</f>
        <v>Persona_c183</v>
      </c>
      <c r="F139" s="1"/>
      <c r="G139" s="1">
        <f>_xlfn.XLOOKUP(_xlfn.XLOOKUP(B139,'[1]Detail&lt;Child&gt;'!$A:$A,'[1]Detail&lt;Child&gt;'!$N:$N),'#참조'!P:P,'#참조'!Q:Q)</f>
        <v>4</v>
      </c>
      <c r="H139" s="1">
        <f>_xlfn.XLOOKUP(_xlfn.XLOOKUP(B139,'[1]Detail&lt;Child&gt;'!$A:$A,'[1]Detail&lt;Child&gt;'!$O:$O),'#참조'!R:R,'#참조'!S:S)</f>
        <v>5</v>
      </c>
      <c r="I139" s="1">
        <v>0</v>
      </c>
      <c r="J139" s="1">
        <v>3</v>
      </c>
      <c r="K139" s="1">
        <v>1</v>
      </c>
      <c r="L139" s="1">
        <v>2</v>
      </c>
      <c r="M139" s="2" t="s">
        <v>6</v>
      </c>
      <c r="N139" s="2" t="s">
        <v>407</v>
      </c>
      <c r="O139" s="2">
        <f t="shared" ref="O139" si="103">ROUND(O138*1.1, 0)</f>
        <v>2200</v>
      </c>
      <c r="P139" s="2" t="s">
        <v>56</v>
      </c>
      <c r="Q139" s="2" t="str">
        <f t="shared" si="92"/>
        <v>1300,1600</v>
      </c>
      <c r="R139" s="2">
        <f t="shared" ref="R139" si="104">ROUND(R138*1.3, 0)</f>
        <v>1300</v>
      </c>
      <c r="S139" s="2">
        <f t="shared" si="62"/>
        <v>1600</v>
      </c>
      <c r="T139" s="2" t="s">
        <v>57</v>
      </c>
      <c r="U139" s="2" t="str">
        <f t="shared" si="93"/>
        <v>120,100</v>
      </c>
      <c r="V139" s="2">
        <f t="shared" ref="V139" si="105">ROUND(V138*1.2, 0)</f>
        <v>120</v>
      </c>
      <c r="W139" s="2">
        <f t="shared" si="63"/>
        <v>100</v>
      </c>
      <c r="X139" s="2" t="s">
        <v>58</v>
      </c>
      <c r="Y139" s="2" t="str">
        <f t="shared" si="94"/>
        <v>104,100</v>
      </c>
      <c r="Z139" s="2">
        <f t="shared" ref="Z139" si="106">ROUND(Z138*1.3, 0)</f>
        <v>104</v>
      </c>
      <c r="AA139" s="2">
        <f t="shared" si="64"/>
        <v>100</v>
      </c>
      <c r="AB139" s="2">
        <v>100000</v>
      </c>
      <c r="AC139" s="2" t="e">
        <f>_xlfn.XLOOKUP($B139, '#참조'!$M:$M, '#참조'!$N:$N)</f>
        <v>#N/A</v>
      </c>
      <c r="AD139" s="2" t="e">
        <f t="shared" si="102"/>
        <v>#N/A</v>
      </c>
      <c r="AE139" s="2">
        <f t="shared" si="95"/>
        <v>0</v>
      </c>
    </row>
    <row r="140" spans="1:31" x14ac:dyDescent="0.2">
      <c r="A140" s="2">
        <f t="shared" si="91"/>
        <v>10183003</v>
      </c>
      <c r="B140" s="1">
        <v>10000183</v>
      </c>
      <c r="C140" s="1" t="s">
        <v>281</v>
      </c>
      <c r="D140" s="1" t="s">
        <v>309</v>
      </c>
      <c r="E140" s="1" t="str">
        <f>"Persona_"&amp;_xlfn.XLOOKUP($B140, '#캐릭터'!$A:$A, '#캐릭터'!$C:$C)</f>
        <v>Persona_c183</v>
      </c>
      <c r="F140" s="1"/>
      <c r="G140" s="1">
        <f>_xlfn.XLOOKUP(_xlfn.XLOOKUP(B140,'[1]Detail&lt;Child&gt;'!$A:$A,'[1]Detail&lt;Child&gt;'!$N:$N),'#참조'!P:P,'#참조'!Q:Q)</f>
        <v>4</v>
      </c>
      <c r="H140" s="1">
        <f>_xlfn.XLOOKUP(_xlfn.XLOOKUP(B140,'[1]Detail&lt;Child&gt;'!$A:$A,'[1]Detail&lt;Child&gt;'!$O:$O),'#참조'!R:R,'#참조'!S:S)</f>
        <v>5</v>
      </c>
      <c r="I140" s="1">
        <v>0</v>
      </c>
      <c r="J140" s="1">
        <v>3</v>
      </c>
      <c r="K140" s="1">
        <v>1</v>
      </c>
      <c r="L140" s="1">
        <v>3</v>
      </c>
      <c r="M140" s="2" t="s">
        <v>7</v>
      </c>
      <c r="N140" s="2" t="s">
        <v>407</v>
      </c>
      <c r="O140" s="2">
        <f t="shared" si="65"/>
        <v>2420</v>
      </c>
      <c r="P140" s="2" t="s">
        <v>56</v>
      </c>
      <c r="Q140" s="2" t="str">
        <f t="shared" si="92"/>
        <v>1690,2000</v>
      </c>
      <c r="R140" s="2">
        <f t="shared" si="66"/>
        <v>1690</v>
      </c>
      <c r="S140" s="2">
        <f t="shared" si="62"/>
        <v>2000</v>
      </c>
      <c r="T140" s="2" t="s">
        <v>57</v>
      </c>
      <c r="U140" s="2" t="str">
        <f t="shared" si="93"/>
        <v>144,200</v>
      </c>
      <c r="V140" s="2">
        <f t="shared" si="67"/>
        <v>144</v>
      </c>
      <c r="W140" s="2">
        <f t="shared" si="63"/>
        <v>200</v>
      </c>
      <c r="X140" s="2" t="s">
        <v>58</v>
      </c>
      <c r="Y140" s="2" t="str">
        <f t="shared" si="94"/>
        <v>135,200</v>
      </c>
      <c r="Z140" s="2">
        <f t="shared" si="68"/>
        <v>135</v>
      </c>
      <c r="AA140" s="2">
        <f t="shared" si="64"/>
        <v>200</v>
      </c>
      <c r="AB140" s="2">
        <v>100000</v>
      </c>
      <c r="AC140" s="2" t="e">
        <f>_xlfn.XLOOKUP($B140, '#참조'!$M:$M, '#참조'!$N:$N)</f>
        <v>#N/A</v>
      </c>
      <c r="AD140" s="2" t="e">
        <f t="shared" si="102"/>
        <v>#N/A</v>
      </c>
      <c r="AE140" s="2">
        <f t="shared" si="95"/>
        <v>0</v>
      </c>
    </row>
    <row r="141" spans="1:31" x14ac:dyDescent="0.2">
      <c r="A141" s="2">
        <f t="shared" si="91"/>
        <v>10183004</v>
      </c>
      <c r="B141" s="1">
        <v>10000183</v>
      </c>
      <c r="C141" s="1" t="s">
        <v>281</v>
      </c>
      <c r="D141" s="1" t="s">
        <v>309</v>
      </c>
      <c r="E141" s="1" t="str">
        <f>"Persona_"&amp;_xlfn.XLOOKUP($B141, '#캐릭터'!$A:$A, '#캐릭터'!$C:$C)</f>
        <v>Persona_c183</v>
      </c>
      <c r="F141" s="1"/>
      <c r="G141" s="1">
        <f>_xlfn.XLOOKUP(_xlfn.XLOOKUP(B141,'[1]Detail&lt;Child&gt;'!$A:$A,'[1]Detail&lt;Child&gt;'!$N:$N),'#참조'!P:P,'#참조'!Q:Q)</f>
        <v>4</v>
      </c>
      <c r="H141" s="1">
        <f>_xlfn.XLOOKUP(_xlfn.XLOOKUP(B141,'[1]Detail&lt;Child&gt;'!$A:$A,'[1]Detail&lt;Child&gt;'!$O:$O),'#참조'!R:R,'#참조'!S:S)</f>
        <v>5</v>
      </c>
      <c r="I141" s="1">
        <v>0</v>
      </c>
      <c r="J141" s="1">
        <v>3</v>
      </c>
      <c r="K141" s="1">
        <v>2</v>
      </c>
      <c r="L141" s="1">
        <v>4</v>
      </c>
      <c r="M141" s="2" t="s">
        <v>8</v>
      </c>
      <c r="N141" s="2" t="s">
        <v>407</v>
      </c>
      <c r="O141" s="2">
        <f t="shared" si="65"/>
        <v>2662</v>
      </c>
      <c r="P141" s="2" t="s">
        <v>56</v>
      </c>
      <c r="Q141" s="2" t="str">
        <f t="shared" si="92"/>
        <v>2197,2600</v>
      </c>
      <c r="R141" s="2">
        <f t="shared" si="66"/>
        <v>2197</v>
      </c>
      <c r="S141" s="2">
        <f t="shared" si="62"/>
        <v>2600</v>
      </c>
      <c r="T141" s="2" t="s">
        <v>57</v>
      </c>
      <c r="U141" s="2" t="str">
        <f t="shared" si="93"/>
        <v>173,200</v>
      </c>
      <c r="V141" s="2">
        <f t="shared" si="67"/>
        <v>173</v>
      </c>
      <c r="W141" s="2">
        <f t="shared" si="63"/>
        <v>200</v>
      </c>
      <c r="X141" s="2" t="s">
        <v>58</v>
      </c>
      <c r="Y141" s="2" t="str">
        <f t="shared" si="94"/>
        <v>176,200</v>
      </c>
      <c r="Z141" s="2">
        <f t="shared" si="68"/>
        <v>176</v>
      </c>
      <c r="AA141" s="2">
        <f t="shared" si="64"/>
        <v>200</v>
      </c>
      <c r="AB141" s="2">
        <v>95000</v>
      </c>
      <c r="AC141" s="2" t="e">
        <f>_xlfn.XLOOKUP($B141, '#참조'!$M:$M, '#참조'!$N:$N)</f>
        <v>#N/A</v>
      </c>
      <c r="AD141" s="2" t="e">
        <f t="shared" si="102"/>
        <v>#N/A</v>
      </c>
      <c r="AE141" s="2">
        <f t="shared" si="95"/>
        <v>0</v>
      </c>
    </row>
    <row r="142" spans="1:31" x14ac:dyDescent="0.2">
      <c r="A142" s="2">
        <f t="shared" si="91"/>
        <v>10183005</v>
      </c>
      <c r="B142" s="1">
        <v>10000183</v>
      </c>
      <c r="C142" s="1" t="s">
        <v>281</v>
      </c>
      <c r="D142" s="1" t="s">
        <v>309</v>
      </c>
      <c r="E142" s="1" t="str">
        <f>"Persona_"&amp;_xlfn.XLOOKUP($B142, '#캐릭터'!$A:$A, '#캐릭터'!$C:$C)</f>
        <v>Persona_c183</v>
      </c>
      <c r="F142" s="1"/>
      <c r="G142" s="1">
        <f>_xlfn.XLOOKUP(_xlfn.XLOOKUP(B142,'[1]Detail&lt;Child&gt;'!$A:$A,'[1]Detail&lt;Child&gt;'!$N:$N),'#참조'!P:P,'#참조'!Q:Q)</f>
        <v>4</v>
      </c>
      <c r="H142" s="1">
        <f>_xlfn.XLOOKUP(_xlfn.XLOOKUP(B142,'[1]Detail&lt;Child&gt;'!$A:$A,'[1]Detail&lt;Child&gt;'!$O:$O),'#참조'!R:R,'#참조'!S:S)</f>
        <v>5</v>
      </c>
      <c r="I142" s="1">
        <v>0</v>
      </c>
      <c r="J142" s="1">
        <v>3</v>
      </c>
      <c r="K142" s="1">
        <v>2</v>
      </c>
      <c r="L142" s="1">
        <v>5</v>
      </c>
      <c r="M142" s="2" t="s">
        <v>9</v>
      </c>
      <c r="N142" s="2" t="s">
        <v>407</v>
      </c>
      <c r="O142" s="2">
        <f t="shared" si="65"/>
        <v>2928</v>
      </c>
      <c r="P142" s="2" t="s">
        <v>56</v>
      </c>
      <c r="Q142" s="2" t="str">
        <f t="shared" si="92"/>
        <v>2856,3400</v>
      </c>
      <c r="R142" s="2">
        <f t="shared" si="66"/>
        <v>2856</v>
      </c>
      <c r="S142" s="2">
        <f t="shared" si="62"/>
        <v>3400</v>
      </c>
      <c r="T142" s="2" t="s">
        <v>57</v>
      </c>
      <c r="U142" s="2" t="str">
        <f t="shared" si="93"/>
        <v>208,200</v>
      </c>
      <c r="V142" s="2">
        <f t="shared" si="67"/>
        <v>208</v>
      </c>
      <c r="W142" s="2">
        <f t="shared" si="63"/>
        <v>200</v>
      </c>
      <c r="X142" s="2" t="s">
        <v>58</v>
      </c>
      <c r="Y142" s="2" t="str">
        <f t="shared" si="94"/>
        <v>229,300</v>
      </c>
      <c r="Z142" s="2">
        <f t="shared" si="68"/>
        <v>229</v>
      </c>
      <c r="AA142" s="2">
        <f t="shared" si="64"/>
        <v>300</v>
      </c>
      <c r="AB142" s="2">
        <v>95000</v>
      </c>
      <c r="AC142" s="2" t="e">
        <f>_xlfn.XLOOKUP($B142, '#참조'!$M:$M, '#참조'!$N:$N)</f>
        <v>#N/A</v>
      </c>
      <c r="AD142" s="2" t="e">
        <f t="shared" si="102"/>
        <v>#N/A</v>
      </c>
      <c r="AE142" s="2">
        <f t="shared" si="95"/>
        <v>0</v>
      </c>
    </row>
    <row r="143" spans="1:31" x14ac:dyDescent="0.2">
      <c r="A143" s="2">
        <f t="shared" si="91"/>
        <v>10183006</v>
      </c>
      <c r="B143" s="1">
        <v>10000183</v>
      </c>
      <c r="C143" s="1" t="s">
        <v>281</v>
      </c>
      <c r="D143" s="1" t="s">
        <v>309</v>
      </c>
      <c r="E143" s="1" t="str">
        <f>"Persona_"&amp;_xlfn.XLOOKUP($B143, '#캐릭터'!$A:$A, '#캐릭터'!$C:$C)</f>
        <v>Persona_c183</v>
      </c>
      <c r="F143" s="1"/>
      <c r="G143" s="1">
        <f>_xlfn.XLOOKUP(_xlfn.XLOOKUP(B143,'[1]Detail&lt;Child&gt;'!$A:$A,'[1]Detail&lt;Child&gt;'!$N:$N),'#참조'!P:P,'#참조'!Q:Q)</f>
        <v>4</v>
      </c>
      <c r="H143" s="1">
        <f>_xlfn.XLOOKUP(_xlfn.XLOOKUP(B143,'[1]Detail&lt;Child&gt;'!$A:$A,'[1]Detail&lt;Child&gt;'!$O:$O),'#참조'!R:R,'#참조'!S:S)</f>
        <v>5</v>
      </c>
      <c r="I143" s="1">
        <v>0</v>
      </c>
      <c r="J143" s="1">
        <v>3</v>
      </c>
      <c r="K143" s="1">
        <v>2</v>
      </c>
      <c r="L143" s="1">
        <v>6</v>
      </c>
      <c r="M143" s="2" t="s">
        <v>10</v>
      </c>
      <c r="N143" s="2" t="s">
        <v>407</v>
      </c>
      <c r="O143" s="2">
        <f t="shared" si="65"/>
        <v>3221</v>
      </c>
      <c r="P143" s="2" t="s">
        <v>56</v>
      </c>
      <c r="Q143" s="2" t="str">
        <f t="shared" si="92"/>
        <v>3713,4500</v>
      </c>
      <c r="R143" s="2">
        <f t="shared" si="66"/>
        <v>3713</v>
      </c>
      <c r="S143" s="2">
        <f t="shared" si="62"/>
        <v>4500</v>
      </c>
      <c r="T143" s="2" t="s">
        <v>57</v>
      </c>
      <c r="U143" s="2" t="str">
        <f t="shared" si="93"/>
        <v>250,300</v>
      </c>
      <c r="V143" s="2">
        <f t="shared" si="67"/>
        <v>250</v>
      </c>
      <c r="W143" s="2">
        <f t="shared" si="63"/>
        <v>300</v>
      </c>
      <c r="X143" s="2" t="s">
        <v>58</v>
      </c>
      <c r="Y143" s="2" t="str">
        <f t="shared" si="94"/>
        <v>298,400</v>
      </c>
      <c r="Z143" s="2">
        <f t="shared" si="68"/>
        <v>298</v>
      </c>
      <c r="AA143" s="2">
        <f t="shared" si="64"/>
        <v>400</v>
      </c>
      <c r="AB143" s="2">
        <v>95000</v>
      </c>
      <c r="AC143" s="2" t="e">
        <f>_xlfn.XLOOKUP($B143, '#참조'!$M:$M, '#참조'!$N:$N)</f>
        <v>#N/A</v>
      </c>
      <c r="AD143" s="2" t="e">
        <f t="shared" si="102"/>
        <v>#N/A</v>
      </c>
      <c r="AE143" s="2">
        <f t="shared" si="95"/>
        <v>0</v>
      </c>
    </row>
    <row r="144" spans="1:31" x14ac:dyDescent="0.2">
      <c r="A144" s="2">
        <f t="shared" si="91"/>
        <v>10183007</v>
      </c>
      <c r="B144" s="1">
        <v>10000183</v>
      </c>
      <c r="C144" s="1" t="s">
        <v>281</v>
      </c>
      <c r="D144" s="1" t="s">
        <v>309</v>
      </c>
      <c r="E144" s="1" t="str">
        <f>"Persona_"&amp;_xlfn.XLOOKUP($B144, '#캐릭터'!$A:$A, '#캐릭터'!$C:$C)</f>
        <v>Persona_c183</v>
      </c>
      <c r="F144" s="1"/>
      <c r="G144" s="1">
        <f>_xlfn.XLOOKUP(_xlfn.XLOOKUP(B144,'[1]Detail&lt;Child&gt;'!$A:$A,'[1]Detail&lt;Child&gt;'!$N:$N),'#참조'!P:P,'#참조'!Q:Q)</f>
        <v>4</v>
      </c>
      <c r="H144" s="1">
        <f>_xlfn.XLOOKUP(_xlfn.XLOOKUP(B144,'[1]Detail&lt;Child&gt;'!$A:$A,'[1]Detail&lt;Child&gt;'!$O:$O),'#참조'!R:R,'#참조'!S:S)</f>
        <v>5</v>
      </c>
      <c r="I144" s="1">
        <v>1</v>
      </c>
      <c r="J144" s="1">
        <v>3</v>
      </c>
      <c r="K144" s="1">
        <v>3</v>
      </c>
      <c r="L144" s="1">
        <v>7</v>
      </c>
      <c r="M144" s="2" t="s">
        <v>11</v>
      </c>
      <c r="N144" s="2" t="s">
        <v>407</v>
      </c>
      <c r="O144" s="2">
        <f t="shared" si="65"/>
        <v>3543</v>
      </c>
      <c r="P144" s="2" t="s">
        <v>56</v>
      </c>
      <c r="Q144" s="2" t="str">
        <f t="shared" si="92"/>
        <v>4827,5800</v>
      </c>
      <c r="R144" s="2">
        <f t="shared" si="66"/>
        <v>4827</v>
      </c>
      <c r="S144" s="2">
        <f t="shared" si="62"/>
        <v>5800</v>
      </c>
      <c r="T144" s="2" t="s">
        <v>57</v>
      </c>
      <c r="U144" s="2" t="str">
        <f t="shared" si="93"/>
        <v>300,400</v>
      </c>
      <c r="V144" s="2">
        <f t="shared" si="67"/>
        <v>300</v>
      </c>
      <c r="W144" s="2">
        <f t="shared" si="63"/>
        <v>400</v>
      </c>
      <c r="X144" s="2" t="s">
        <v>58</v>
      </c>
      <c r="Y144" s="2" t="str">
        <f t="shared" si="94"/>
        <v>387,500</v>
      </c>
      <c r="Z144" s="2">
        <f t="shared" si="68"/>
        <v>387</v>
      </c>
      <c r="AA144" s="2">
        <f t="shared" si="64"/>
        <v>500</v>
      </c>
      <c r="AB144" s="2">
        <v>90000</v>
      </c>
      <c r="AC144" s="2" t="e">
        <f>_xlfn.XLOOKUP($B144, '#참조'!$M:$M, '#참조'!$N:$N)</f>
        <v>#N/A</v>
      </c>
      <c r="AD144" s="2" t="e">
        <f t="shared" si="102"/>
        <v>#N/A</v>
      </c>
      <c r="AE144" s="2">
        <f t="shared" si="95"/>
        <v>4501</v>
      </c>
    </row>
    <row r="145" spans="1:31" x14ac:dyDescent="0.2">
      <c r="A145" s="2">
        <f t="shared" si="91"/>
        <v>10183008</v>
      </c>
      <c r="B145" s="1">
        <v>10000183</v>
      </c>
      <c r="C145" s="1" t="s">
        <v>281</v>
      </c>
      <c r="D145" s="1" t="s">
        <v>309</v>
      </c>
      <c r="E145" s="1" t="str">
        <f>"Persona_"&amp;_xlfn.XLOOKUP($B145, '#캐릭터'!$A:$A, '#캐릭터'!$C:$C)</f>
        <v>Persona_c183</v>
      </c>
      <c r="F145" s="1"/>
      <c r="G145" s="1">
        <f>_xlfn.XLOOKUP(_xlfn.XLOOKUP(B145,'[1]Detail&lt;Child&gt;'!$A:$A,'[1]Detail&lt;Child&gt;'!$N:$N),'#참조'!P:P,'#참조'!Q:Q)</f>
        <v>4</v>
      </c>
      <c r="H145" s="1">
        <f>_xlfn.XLOOKUP(_xlfn.XLOOKUP(B145,'[1]Detail&lt;Child&gt;'!$A:$A,'[1]Detail&lt;Child&gt;'!$O:$O),'#참조'!R:R,'#참조'!S:S)</f>
        <v>5</v>
      </c>
      <c r="I145" s="1">
        <v>1</v>
      </c>
      <c r="J145" s="1">
        <v>3</v>
      </c>
      <c r="K145" s="1">
        <v>3</v>
      </c>
      <c r="L145" s="1">
        <v>8</v>
      </c>
      <c r="M145" s="2" t="s">
        <v>12</v>
      </c>
      <c r="N145" s="2" t="s">
        <v>407</v>
      </c>
      <c r="O145" s="2">
        <f t="shared" si="65"/>
        <v>3897</v>
      </c>
      <c r="P145" s="2" t="s">
        <v>56</v>
      </c>
      <c r="Q145" s="2" t="str">
        <f t="shared" si="92"/>
        <v>6275,7500</v>
      </c>
      <c r="R145" s="2">
        <f t="shared" si="66"/>
        <v>6275</v>
      </c>
      <c r="S145" s="2">
        <f t="shared" si="62"/>
        <v>7500</v>
      </c>
      <c r="T145" s="2" t="s">
        <v>57</v>
      </c>
      <c r="U145" s="2" t="str">
        <f t="shared" si="93"/>
        <v>360,400</v>
      </c>
      <c r="V145" s="2">
        <f t="shared" si="67"/>
        <v>360</v>
      </c>
      <c r="W145" s="2">
        <f t="shared" si="63"/>
        <v>400</v>
      </c>
      <c r="X145" s="2" t="s">
        <v>58</v>
      </c>
      <c r="Y145" s="2" t="str">
        <f t="shared" si="94"/>
        <v>503,600</v>
      </c>
      <c r="Z145" s="2">
        <f t="shared" si="68"/>
        <v>503</v>
      </c>
      <c r="AA145" s="2">
        <f t="shared" si="64"/>
        <v>600</v>
      </c>
      <c r="AB145" s="2">
        <v>90000</v>
      </c>
      <c r="AC145" s="2" t="e">
        <f>_xlfn.XLOOKUP($B145, '#참조'!$M:$M, '#참조'!$N:$N)</f>
        <v>#N/A</v>
      </c>
      <c r="AD145" s="2" t="e">
        <f t="shared" si="102"/>
        <v>#N/A</v>
      </c>
      <c r="AE145" s="2">
        <f t="shared" si="95"/>
        <v>4501</v>
      </c>
    </row>
    <row r="146" spans="1:31" x14ac:dyDescent="0.2">
      <c r="A146" s="2">
        <f t="shared" si="91"/>
        <v>10183009</v>
      </c>
      <c r="B146" s="1">
        <v>10000183</v>
      </c>
      <c r="C146" s="1" t="s">
        <v>281</v>
      </c>
      <c r="D146" s="1" t="s">
        <v>309</v>
      </c>
      <c r="E146" s="1" t="str">
        <f>"Persona_"&amp;_xlfn.XLOOKUP($B146, '#캐릭터'!$A:$A, '#캐릭터'!$C:$C)</f>
        <v>Persona_c183</v>
      </c>
      <c r="F146" s="1"/>
      <c r="G146" s="1">
        <f>_xlfn.XLOOKUP(_xlfn.XLOOKUP(B146,'[1]Detail&lt;Child&gt;'!$A:$A,'[1]Detail&lt;Child&gt;'!$N:$N),'#참조'!P:P,'#참조'!Q:Q)</f>
        <v>4</v>
      </c>
      <c r="H146" s="1">
        <f>_xlfn.XLOOKUP(_xlfn.XLOOKUP(B146,'[1]Detail&lt;Child&gt;'!$A:$A,'[1]Detail&lt;Child&gt;'!$O:$O),'#참조'!R:R,'#참조'!S:S)</f>
        <v>5</v>
      </c>
      <c r="I146" s="1">
        <v>2</v>
      </c>
      <c r="J146" s="1">
        <v>3</v>
      </c>
      <c r="K146" s="1">
        <v>3</v>
      </c>
      <c r="L146" s="1">
        <v>9</v>
      </c>
      <c r="M146" s="2" t="s">
        <v>13</v>
      </c>
      <c r="N146" s="2" t="s">
        <v>407</v>
      </c>
      <c r="O146" s="2">
        <f t="shared" si="65"/>
        <v>4287</v>
      </c>
      <c r="P146" s="2" t="s">
        <v>56</v>
      </c>
      <c r="Q146" s="2" t="str">
        <f t="shared" si="92"/>
        <v>8158,9800</v>
      </c>
      <c r="R146" s="2">
        <f t="shared" si="66"/>
        <v>8158</v>
      </c>
      <c r="S146" s="2">
        <f t="shared" si="62"/>
        <v>9800</v>
      </c>
      <c r="T146" s="2" t="s">
        <v>57</v>
      </c>
      <c r="U146" s="2" t="str">
        <f t="shared" si="93"/>
        <v>432,500</v>
      </c>
      <c r="V146" s="2">
        <f t="shared" si="67"/>
        <v>432</v>
      </c>
      <c r="W146" s="2">
        <f t="shared" si="63"/>
        <v>500</v>
      </c>
      <c r="X146" s="2" t="s">
        <v>58</v>
      </c>
      <c r="Y146" s="2" t="str">
        <f t="shared" si="94"/>
        <v>654,800</v>
      </c>
      <c r="Z146" s="2">
        <f t="shared" si="68"/>
        <v>654</v>
      </c>
      <c r="AA146" s="2">
        <f t="shared" si="64"/>
        <v>800</v>
      </c>
      <c r="AB146" s="2">
        <v>90000</v>
      </c>
      <c r="AC146" s="2" t="e">
        <f>_xlfn.XLOOKUP($B146, '#참조'!$M:$M, '#참조'!$N:$N)</f>
        <v>#N/A</v>
      </c>
      <c r="AD146" s="2" t="e">
        <f t="shared" si="102"/>
        <v>#N/A</v>
      </c>
      <c r="AE146" s="2">
        <f t="shared" si="95"/>
        <v>4502</v>
      </c>
    </row>
    <row r="147" spans="1:31" x14ac:dyDescent="0.2">
      <c r="A147" s="2">
        <f t="shared" si="91"/>
        <v>10183010</v>
      </c>
      <c r="B147" s="1">
        <v>10000183</v>
      </c>
      <c r="C147" s="1" t="s">
        <v>281</v>
      </c>
      <c r="D147" s="1" t="s">
        <v>309</v>
      </c>
      <c r="E147" s="1" t="str">
        <f>"Persona_"&amp;_xlfn.XLOOKUP($B147, '#캐릭터'!$A:$A, '#캐릭터'!$C:$C)</f>
        <v>Persona_c183</v>
      </c>
      <c r="F147" s="1"/>
      <c r="G147" s="1">
        <f>_xlfn.XLOOKUP(_xlfn.XLOOKUP(B147,'[1]Detail&lt;Child&gt;'!$A:$A,'[1]Detail&lt;Child&gt;'!$N:$N),'#참조'!P:P,'#참조'!Q:Q)</f>
        <v>4</v>
      </c>
      <c r="H147" s="1">
        <f>_xlfn.XLOOKUP(_xlfn.XLOOKUP(B147,'[1]Detail&lt;Child&gt;'!$A:$A,'[1]Detail&lt;Child&gt;'!$O:$O),'#참조'!R:R,'#참조'!S:S)</f>
        <v>5</v>
      </c>
      <c r="I147" s="1">
        <v>2</v>
      </c>
      <c r="J147" s="1">
        <v>3</v>
      </c>
      <c r="K147" s="1">
        <v>4</v>
      </c>
      <c r="L147" s="1">
        <v>10</v>
      </c>
      <c r="M147" s="2" t="s">
        <v>14</v>
      </c>
      <c r="N147" s="2" t="s">
        <v>407</v>
      </c>
      <c r="O147" s="2">
        <f t="shared" si="65"/>
        <v>4716</v>
      </c>
      <c r="P147" s="2" t="s">
        <v>56</v>
      </c>
      <c r="Q147" s="2" t="str">
        <f t="shared" si="92"/>
        <v>10605,12700</v>
      </c>
      <c r="R147" s="2">
        <f t="shared" si="66"/>
        <v>10605</v>
      </c>
      <c r="S147" s="2">
        <f t="shared" si="62"/>
        <v>12700</v>
      </c>
      <c r="T147" s="2" t="s">
        <v>57</v>
      </c>
      <c r="U147" s="2" t="str">
        <f t="shared" si="93"/>
        <v>518,600</v>
      </c>
      <c r="V147" s="2">
        <f t="shared" si="67"/>
        <v>518</v>
      </c>
      <c r="W147" s="2">
        <f t="shared" si="63"/>
        <v>600</v>
      </c>
      <c r="X147" s="2" t="s">
        <v>58</v>
      </c>
      <c r="Y147" s="2" t="str">
        <f t="shared" si="94"/>
        <v>850,1000</v>
      </c>
      <c r="Z147" s="2">
        <f t="shared" si="68"/>
        <v>850</v>
      </c>
      <c r="AA147" s="2">
        <f t="shared" si="64"/>
        <v>1000</v>
      </c>
      <c r="AB147" s="2">
        <v>85000</v>
      </c>
      <c r="AC147" s="2" t="e">
        <f>_xlfn.XLOOKUP($B147, '#참조'!$M:$M, '#참조'!$N:$N)</f>
        <v>#N/A</v>
      </c>
      <c r="AD147" s="2" t="e">
        <f t="shared" si="102"/>
        <v>#N/A</v>
      </c>
      <c r="AE147" s="2">
        <f t="shared" si="95"/>
        <v>4502</v>
      </c>
    </row>
    <row r="148" spans="1:31" x14ac:dyDescent="0.2">
      <c r="A148" s="2">
        <f t="shared" si="91"/>
        <v>10183011</v>
      </c>
      <c r="B148" s="1">
        <v>10000183</v>
      </c>
      <c r="C148" s="1" t="s">
        <v>281</v>
      </c>
      <c r="D148" s="1" t="s">
        <v>309</v>
      </c>
      <c r="E148" s="1" t="str">
        <f>"Persona_"&amp;_xlfn.XLOOKUP($B148, '#캐릭터'!$A:$A, '#캐릭터'!$C:$C)</f>
        <v>Persona_c183</v>
      </c>
      <c r="F148" s="1"/>
      <c r="G148" s="1">
        <f>_xlfn.XLOOKUP(_xlfn.XLOOKUP(B148,'[1]Detail&lt;Child&gt;'!$A:$A,'[1]Detail&lt;Child&gt;'!$N:$N),'#참조'!P:P,'#참조'!Q:Q)</f>
        <v>4</v>
      </c>
      <c r="H148" s="1">
        <f>_xlfn.XLOOKUP(_xlfn.XLOOKUP(B148,'[1]Detail&lt;Child&gt;'!$A:$A,'[1]Detail&lt;Child&gt;'!$O:$O),'#참조'!R:R,'#참조'!S:S)</f>
        <v>5</v>
      </c>
      <c r="I148" s="1">
        <v>3</v>
      </c>
      <c r="J148" s="1">
        <v>3</v>
      </c>
      <c r="K148" s="1">
        <v>4</v>
      </c>
      <c r="L148" s="1">
        <v>11</v>
      </c>
      <c r="M148" s="2" t="s">
        <v>15</v>
      </c>
      <c r="N148" s="2" t="s">
        <v>407</v>
      </c>
      <c r="O148" s="2">
        <f t="shared" si="65"/>
        <v>5188</v>
      </c>
      <c r="P148" s="2" t="s">
        <v>56</v>
      </c>
      <c r="Q148" s="2" t="str">
        <f t="shared" si="92"/>
        <v>13787,16500</v>
      </c>
      <c r="R148" s="2">
        <f t="shared" si="66"/>
        <v>13787</v>
      </c>
      <c r="S148" s="2">
        <f t="shared" si="62"/>
        <v>16500</v>
      </c>
      <c r="T148" s="2" t="s">
        <v>57</v>
      </c>
      <c r="U148" s="2" t="str">
        <f t="shared" si="93"/>
        <v>622,700</v>
      </c>
      <c r="V148" s="2">
        <f t="shared" si="67"/>
        <v>622</v>
      </c>
      <c r="W148" s="2">
        <f t="shared" si="63"/>
        <v>700</v>
      </c>
      <c r="X148" s="2" t="s">
        <v>58</v>
      </c>
      <c r="Y148" s="2" t="str">
        <f t="shared" si="94"/>
        <v>1105,1300</v>
      </c>
      <c r="Z148" s="2">
        <f t="shared" si="68"/>
        <v>1105</v>
      </c>
      <c r="AA148" s="2">
        <f t="shared" si="64"/>
        <v>1300</v>
      </c>
      <c r="AB148" s="2">
        <v>85000</v>
      </c>
      <c r="AC148" s="2" t="e">
        <f>_xlfn.XLOOKUP($B148, '#참조'!$M:$M, '#참조'!$N:$N)</f>
        <v>#N/A</v>
      </c>
      <c r="AD148" s="2" t="e">
        <f t="shared" si="102"/>
        <v>#N/A</v>
      </c>
      <c r="AE148" s="2">
        <f t="shared" si="95"/>
        <v>4503</v>
      </c>
    </row>
    <row r="149" spans="1:31" x14ac:dyDescent="0.2">
      <c r="A149" s="2">
        <f t="shared" si="91"/>
        <v>10183012</v>
      </c>
      <c r="B149" s="1">
        <v>10000183</v>
      </c>
      <c r="C149" s="1" t="s">
        <v>281</v>
      </c>
      <c r="D149" s="1" t="s">
        <v>309</v>
      </c>
      <c r="E149" s="1" t="str">
        <f>"Persona_"&amp;_xlfn.XLOOKUP($B149, '#캐릭터'!$A:$A, '#캐릭터'!$C:$C)</f>
        <v>Persona_c183</v>
      </c>
      <c r="F149" s="1"/>
      <c r="G149" s="1">
        <f>_xlfn.XLOOKUP(_xlfn.XLOOKUP(B149,'[1]Detail&lt;Child&gt;'!$A:$A,'[1]Detail&lt;Child&gt;'!$N:$N),'#참조'!P:P,'#참조'!Q:Q)</f>
        <v>4</v>
      </c>
      <c r="H149" s="1">
        <f>_xlfn.XLOOKUP(_xlfn.XLOOKUP(B149,'[1]Detail&lt;Child&gt;'!$A:$A,'[1]Detail&lt;Child&gt;'!$O:$O),'#참조'!R:R,'#참조'!S:S)</f>
        <v>5</v>
      </c>
      <c r="I149" s="1">
        <v>3</v>
      </c>
      <c r="J149" s="1">
        <v>3</v>
      </c>
      <c r="K149" s="1">
        <v>4</v>
      </c>
      <c r="L149" s="1">
        <v>12</v>
      </c>
      <c r="M149" s="2" t="s">
        <v>16</v>
      </c>
      <c r="N149" s="2" t="s">
        <v>407</v>
      </c>
      <c r="O149" s="2">
        <f t="shared" si="65"/>
        <v>5707</v>
      </c>
      <c r="P149" s="2" t="s">
        <v>56</v>
      </c>
      <c r="Q149" s="2" t="str">
        <f t="shared" si="92"/>
        <v>17923,21500</v>
      </c>
      <c r="R149" s="2">
        <f t="shared" si="66"/>
        <v>17923</v>
      </c>
      <c r="S149" s="2">
        <f t="shared" si="62"/>
        <v>21500</v>
      </c>
      <c r="T149" s="2" t="s">
        <v>57</v>
      </c>
      <c r="U149" s="2" t="str">
        <f t="shared" si="93"/>
        <v>746,900</v>
      </c>
      <c r="V149" s="2">
        <f t="shared" si="67"/>
        <v>746</v>
      </c>
      <c r="W149" s="2">
        <f t="shared" si="63"/>
        <v>900</v>
      </c>
      <c r="X149" s="2" t="s">
        <v>58</v>
      </c>
      <c r="Y149" s="2" t="str">
        <f t="shared" si="94"/>
        <v>1437,1700</v>
      </c>
      <c r="Z149" s="2">
        <f t="shared" si="68"/>
        <v>1437</v>
      </c>
      <c r="AA149" s="2">
        <f t="shared" si="64"/>
        <v>1700</v>
      </c>
      <c r="AB149" s="2">
        <v>85000</v>
      </c>
      <c r="AC149" s="2" t="e">
        <f>_xlfn.XLOOKUP($B149, '#참조'!$M:$M, '#참조'!$N:$N)</f>
        <v>#N/A</v>
      </c>
      <c r="AD149" s="2" t="e">
        <f t="shared" si="102"/>
        <v>#N/A</v>
      </c>
      <c r="AE149" s="2">
        <f t="shared" si="95"/>
        <v>4503</v>
      </c>
    </row>
    <row r="150" spans="1:31" x14ac:dyDescent="0.2">
      <c r="A150" s="2">
        <f t="shared" si="91"/>
        <v>10183013</v>
      </c>
      <c r="B150" s="1">
        <v>10000183</v>
      </c>
      <c r="C150" s="1" t="s">
        <v>281</v>
      </c>
      <c r="D150" s="1" t="s">
        <v>309</v>
      </c>
      <c r="E150" s="1" t="str">
        <f>"Persona_"&amp;_xlfn.XLOOKUP($B150, '#캐릭터'!$A:$A, '#캐릭터'!$C:$C)</f>
        <v>Persona_c183</v>
      </c>
      <c r="F150" s="1"/>
      <c r="G150" s="1">
        <f>_xlfn.XLOOKUP(_xlfn.XLOOKUP(B150,'[1]Detail&lt;Child&gt;'!$A:$A,'[1]Detail&lt;Child&gt;'!$N:$N),'#참조'!P:P,'#참조'!Q:Q)</f>
        <v>4</v>
      </c>
      <c r="H150" s="1">
        <f>_xlfn.XLOOKUP(_xlfn.XLOOKUP(B150,'[1]Detail&lt;Child&gt;'!$A:$A,'[1]Detail&lt;Child&gt;'!$O:$O),'#참조'!R:R,'#참조'!S:S)</f>
        <v>5</v>
      </c>
      <c r="I150" s="1">
        <v>4</v>
      </c>
      <c r="J150" s="1">
        <v>3</v>
      </c>
      <c r="K150" s="1">
        <v>5</v>
      </c>
      <c r="L150" s="1">
        <v>13</v>
      </c>
      <c r="M150" s="2" t="s">
        <v>17</v>
      </c>
      <c r="N150" s="2" t="s">
        <v>407</v>
      </c>
      <c r="O150" s="2">
        <f t="shared" si="65"/>
        <v>6278</v>
      </c>
      <c r="P150" s="2" t="s">
        <v>56</v>
      </c>
      <c r="Q150" s="2" t="str">
        <f t="shared" si="92"/>
        <v>23300,28000</v>
      </c>
      <c r="R150" s="2">
        <f t="shared" si="66"/>
        <v>23300</v>
      </c>
      <c r="S150" s="2">
        <f t="shared" si="62"/>
        <v>28000</v>
      </c>
      <c r="T150" s="2" t="s">
        <v>57</v>
      </c>
      <c r="U150" s="2" t="str">
        <f t="shared" si="93"/>
        <v>895,1100</v>
      </c>
      <c r="V150" s="2">
        <f t="shared" si="67"/>
        <v>895</v>
      </c>
      <c r="W150" s="2">
        <f t="shared" si="63"/>
        <v>1100</v>
      </c>
      <c r="X150" s="2" t="s">
        <v>58</v>
      </c>
      <c r="Y150" s="2" t="str">
        <f t="shared" si="94"/>
        <v>1868,2200</v>
      </c>
      <c r="Z150" s="2">
        <f t="shared" si="68"/>
        <v>1868</v>
      </c>
      <c r="AA150" s="2">
        <f t="shared" si="64"/>
        <v>2200</v>
      </c>
      <c r="AB150" s="2">
        <v>80000</v>
      </c>
      <c r="AC150" s="2" t="e">
        <f>_xlfn.XLOOKUP($B150, '#참조'!$M:$M, '#참조'!$N:$N)</f>
        <v>#N/A</v>
      </c>
      <c r="AD150" s="2" t="e">
        <f t="shared" si="102"/>
        <v>#N/A</v>
      </c>
      <c r="AE150" s="2">
        <f t="shared" si="95"/>
        <v>4504</v>
      </c>
    </row>
    <row r="151" spans="1:31" x14ac:dyDescent="0.2">
      <c r="A151" s="2">
        <f t="shared" si="91"/>
        <v>10183014</v>
      </c>
      <c r="B151" s="1">
        <v>10000183</v>
      </c>
      <c r="C151" s="1" t="s">
        <v>281</v>
      </c>
      <c r="D151" s="1" t="s">
        <v>309</v>
      </c>
      <c r="E151" s="1" t="str">
        <f>"Persona_"&amp;_xlfn.XLOOKUP($B151, '#캐릭터'!$A:$A, '#캐릭터'!$C:$C)</f>
        <v>Persona_c183</v>
      </c>
      <c r="F151" s="1"/>
      <c r="G151" s="1">
        <f>_xlfn.XLOOKUP(_xlfn.XLOOKUP(B151,'[1]Detail&lt;Child&gt;'!$A:$A,'[1]Detail&lt;Child&gt;'!$N:$N),'#참조'!P:P,'#참조'!Q:Q)</f>
        <v>4</v>
      </c>
      <c r="H151" s="1">
        <f>_xlfn.XLOOKUP(_xlfn.XLOOKUP(B151,'[1]Detail&lt;Child&gt;'!$A:$A,'[1]Detail&lt;Child&gt;'!$O:$O),'#참조'!R:R,'#참조'!S:S)</f>
        <v>5</v>
      </c>
      <c r="I151" s="1">
        <v>4</v>
      </c>
      <c r="J151" s="1">
        <v>3</v>
      </c>
      <c r="K151" s="1">
        <v>5</v>
      </c>
      <c r="L151" s="1">
        <v>14</v>
      </c>
      <c r="M151" s="2" t="s">
        <v>18</v>
      </c>
      <c r="N151" s="2" t="s">
        <v>407</v>
      </c>
      <c r="O151" s="2">
        <f t="shared" si="65"/>
        <v>6906</v>
      </c>
      <c r="P151" s="2" t="s">
        <v>56</v>
      </c>
      <c r="Q151" s="2" t="str">
        <f t="shared" si="92"/>
        <v>30290,36300</v>
      </c>
      <c r="R151" s="2">
        <f t="shared" si="66"/>
        <v>30290</v>
      </c>
      <c r="S151" s="2">
        <f t="shared" si="62"/>
        <v>36300</v>
      </c>
      <c r="T151" s="2" t="s">
        <v>57</v>
      </c>
      <c r="U151" s="2" t="str">
        <f t="shared" si="93"/>
        <v>1074,1300</v>
      </c>
      <c r="V151" s="2">
        <f t="shared" si="67"/>
        <v>1074</v>
      </c>
      <c r="W151" s="2">
        <f t="shared" si="63"/>
        <v>1300</v>
      </c>
      <c r="X151" s="2" t="s">
        <v>58</v>
      </c>
      <c r="Y151" s="2" t="str">
        <f t="shared" si="94"/>
        <v>2428,2900</v>
      </c>
      <c r="Z151" s="2">
        <f t="shared" si="68"/>
        <v>2428</v>
      </c>
      <c r="AA151" s="2">
        <f t="shared" si="64"/>
        <v>2900</v>
      </c>
      <c r="AB151" s="2">
        <v>80000</v>
      </c>
      <c r="AC151" s="2" t="e">
        <f>_xlfn.XLOOKUP($B151, '#참조'!$M:$M, '#참조'!$N:$N)</f>
        <v>#N/A</v>
      </c>
      <c r="AD151" s="2" t="e">
        <f t="shared" si="102"/>
        <v>#N/A</v>
      </c>
      <c r="AE151" s="2">
        <f t="shared" si="95"/>
        <v>4504</v>
      </c>
    </row>
    <row r="152" spans="1:31" x14ac:dyDescent="0.2">
      <c r="A152" s="2">
        <f t="shared" si="91"/>
        <v>10183015</v>
      </c>
      <c r="B152" s="1">
        <v>10000183</v>
      </c>
      <c r="C152" s="1" t="s">
        <v>281</v>
      </c>
      <c r="D152" s="1" t="s">
        <v>309</v>
      </c>
      <c r="E152" s="1" t="str">
        <f>"Persona_"&amp;_xlfn.XLOOKUP($B152, '#캐릭터'!$A:$A, '#캐릭터'!$C:$C)</f>
        <v>Persona_c183</v>
      </c>
      <c r="F152" s="1"/>
      <c r="G152" s="1">
        <f>_xlfn.XLOOKUP(_xlfn.XLOOKUP(B152,'[1]Detail&lt;Child&gt;'!$A:$A,'[1]Detail&lt;Child&gt;'!$N:$N),'#참조'!P:P,'#참조'!Q:Q)</f>
        <v>4</v>
      </c>
      <c r="H152" s="1">
        <f>_xlfn.XLOOKUP(_xlfn.XLOOKUP(B152,'[1]Detail&lt;Child&gt;'!$A:$A,'[1]Detail&lt;Child&gt;'!$O:$O),'#참조'!R:R,'#참조'!S:S)</f>
        <v>5</v>
      </c>
      <c r="I152" s="1">
        <v>5</v>
      </c>
      <c r="J152" s="1">
        <v>3</v>
      </c>
      <c r="K152" s="1">
        <v>5</v>
      </c>
      <c r="L152" s="1">
        <v>15</v>
      </c>
      <c r="M152" s="2" t="s">
        <v>19</v>
      </c>
      <c r="N152" s="2" t="s">
        <v>407</v>
      </c>
      <c r="O152" s="2">
        <f t="shared" si="65"/>
        <v>7597</v>
      </c>
      <c r="P152" s="2" t="s">
        <v>56</v>
      </c>
      <c r="Q152" s="2" t="str">
        <f t="shared" si="92"/>
        <v>39377,47300</v>
      </c>
      <c r="R152" s="2">
        <f t="shared" si="66"/>
        <v>39377</v>
      </c>
      <c r="S152" s="2">
        <f t="shared" ref="S152:S215" si="107">ROUND(R152*1.2, -2)</f>
        <v>47300</v>
      </c>
      <c r="T152" s="2" t="s">
        <v>57</v>
      </c>
      <c r="U152" s="2" t="str">
        <f t="shared" si="93"/>
        <v>1289,1500</v>
      </c>
      <c r="V152" s="2">
        <f t="shared" si="67"/>
        <v>1289</v>
      </c>
      <c r="W152" s="2">
        <f t="shared" ref="W152:W215" si="108">ROUND(V152*1.2, -2)</f>
        <v>1500</v>
      </c>
      <c r="X152" s="2" t="s">
        <v>58</v>
      </c>
      <c r="Y152" s="2" t="str">
        <f t="shared" si="94"/>
        <v>3156,3800</v>
      </c>
      <c r="Z152" s="2">
        <f t="shared" si="68"/>
        <v>3156</v>
      </c>
      <c r="AA152" s="2">
        <f t="shared" ref="AA152:AA215" si="109">ROUND(Z152*1.2, -2)</f>
        <v>3800</v>
      </c>
      <c r="AB152" s="2">
        <v>80000</v>
      </c>
      <c r="AC152" s="2" t="e">
        <f>_xlfn.XLOOKUP($B152, '#참조'!$M:$M, '#참조'!$N:$N)</f>
        <v>#N/A</v>
      </c>
      <c r="AD152" s="2" t="e">
        <f t="shared" si="102"/>
        <v>#N/A</v>
      </c>
      <c r="AE152" s="2">
        <f t="shared" si="95"/>
        <v>4505</v>
      </c>
    </row>
    <row r="153" spans="1:31" x14ac:dyDescent="0.2">
      <c r="A153" s="2">
        <f t="shared" si="91"/>
        <v>10183016</v>
      </c>
      <c r="B153" s="1">
        <v>10000183</v>
      </c>
      <c r="C153" s="1" t="s">
        <v>281</v>
      </c>
      <c r="D153" s="1" t="s">
        <v>309</v>
      </c>
      <c r="E153" s="1" t="str">
        <f>"Persona_"&amp;_xlfn.XLOOKUP($B153, '#캐릭터'!$A:$A, '#캐릭터'!$C:$C)</f>
        <v>Persona_c183</v>
      </c>
      <c r="F153" s="1"/>
      <c r="G153" s="1">
        <f>_xlfn.XLOOKUP(_xlfn.XLOOKUP(B153,'[1]Detail&lt;Child&gt;'!$A:$A,'[1]Detail&lt;Child&gt;'!$N:$N),'#참조'!P:P,'#참조'!Q:Q)</f>
        <v>4</v>
      </c>
      <c r="H153" s="1">
        <f>_xlfn.XLOOKUP(_xlfn.XLOOKUP(B153,'[1]Detail&lt;Child&gt;'!$A:$A,'[1]Detail&lt;Child&gt;'!$O:$O),'#참조'!R:R,'#참조'!S:S)</f>
        <v>5</v>
      </c>
      <c r="I153" s="1">
        <v>5</v>
      </c>
      <c r="J153" s="1">
        <v>3</v>
      </c>
      <c r="K153" s="1">
        <v>6</v>
      </c>
      <c r="L153" s="1">
        <v>16</v>
      </c>
      <c r="M153" s="2" t="s">
        <v>20</v>
      </c>
      <c r="N153" s="2" t="s">
        <v>407</v>
      </c>
      <c r="O153" s="2">
        <f t="shared" ref="O153:O216" si="110">ROUND(O152*1.1, 0)</f>
        <v>8357</v>
      </c>
      <c r="P153" s="2" t="s">
        <v>56</v>
      </c>
      <c r="Q153" s="2" t="str">
        <f t="shared" si="92"/>
        <v>51190,61400</v>
      </c>
      <c r="R153" s="2">
        <f t="shared" ref="R153:R216" si="111">ROUND(R152*1.3, 0)</f>
        <v>51190</v>
      </c>
      <c r="S153" s="2">
        <f t="shared" si="107"/>
        <v>61400</v>
      </c>
      <c r="T153" s="2" t="s">
        <v>57</v>
      </c>
      <c r="U153" s="2" t="str">
        <f t="shared" si="93"/>
        <v>1547,1900</v>
      </c>
      <c r="V153" s="2">
        <f t="shared" ref="V153:V216" si="112">ROUND(V152*1.2, 0)</f>
        <v>1547</v>
      </c>
      <c r="W153" s="2">
        <f t="shared" si="108"/>
        <v>1900</v>
      </c>
      <c r="X153" s="2" t="s">
        <v>58</v>
      </c>
      <c r="Y153" s="2" t="str">
        <f t="shared" si="94"/>
        <v>4103,4900</v>
      </c>
      <c r="Z153" s="2">
        <f t="shared" ref="Z153:Z216" si="113">ROUND(Z152*1.3, 0)</f>
        <v>4103</v>
      </c>
      <c r="AA153" s="2">
        <f t="shared" si="109"/>
        <v>4900</v>
      </c>
      <c r="AB153" s="2">
        <v>75000</v>
      </c>
      <c r="AC153" s="2" t="e">
        <f>_xlfn.XLOOKUP($B153, '#참조'!$M:$M, '#참조'!$N:$N)</f>
        <v>#N/A</v>
      </c>
      <c r="AD153" s="2" t="e">
        <f t="shared" si="102"/>
        <v>#N/A</v>
      </c>
      <c r="AE153" s="2">
        <f t="shared" si="95"/>
        <v>4505</v>
      </c>
    </row>
    <row r="154" spans="1:31" x14ac:dyDescent="0.2">
      <c r="A154" s="2">
        <f t="shared" si="91"/>
        <v>10183017</v>
      </c>
      <c r="B154" s="1">
        <v>10000183</v>
      </c>
      <c r="C154" s="1" t="s">
        <v>281</v>
      </c>
      <c r="D154" s="1" t="s">
        <v>309</v>
      </c>
      <c r="E154" s="1" t="str">
        <f>"Persona_"&amp;_xlfn.XLOOKUP($B154, '#캐릭터'!$A:$A, '#캐릭터'!$C:$C)</f>
        <v>Persona_c183</v>
      </c>
      <c r="F154" s="1"/>
      <c r="G154" s="1">
        <f>_xlfn.XLOOKUP(_xlfn.XLOOKUP(B154,'[1]Detail&lt;Child&gt;'!$A:$A,'[1]Detail&lt;Child&gt;'!$N:$N),'#참조'!P:P,'#참조'!Q:Q)</f>
        <v>4</v>
      </c>
      <c r="H154" s="1">
        <f>_xlfn.XLOOKUP(_xlfn.XLOOKUP(B154,'[1]Detail&lt;Child&gt;'!$A:$A,'[1]Detail&lt;Child&gt;'!$O:$O),'#참조'!R:R,'#참조'!S:S)</f>
        <v>5</v>
      </c>
      <c r="I154" s="1">
        <v>6</v>
      </c>
      <c r="J154" s="1">
        <v>3</v>
      </c>
      <c r="K154" s="1">
        <v>6</v>
      </c>
      <c r="L154" s="1">
        <v>17</v>
      </c>
      <c r="M154" s="2" t="s">
        <v>21</v>
      </c>
      <c r="N154" s="2" t="s">
        <v>407</v>
      </c>
      <c r="O154" s="2">
        <f t="shared" si="110"/>
        <v>9193</v>
      </c>
      <c r="P154" s="2" t="s">
        <v>56</v>
      </c>
      <c r="Q154" s="2" t="str">
        <f t="shared" si="92"/>
        <v>66547,79900</v>
      </c>
      <c r="R154" s="2">
        <f t="shared" si="111"/>
        <v>66547</v>
      </c>
      <c r="S154" s="2">
        <f t="shared" si="107"/>
        <v>79900</v>
      </c>
      <c r="T154" s="2" t="s">
        <v>57</v>
      </c>
      <c r="U154" s="2" t="str">
        <f t="shared" si="93"/>
        <v>1856,2200</v>
      </c>
      <c r="V154" s="2">
        <f t="shared" si="112"/>
        <v>1856</v>
      </c>
      <c r="W154" s="2">
        <f t="shared" si="108"/>
        <v>2200</v>
      </c>
      <c r="X154" s="2" t="s">
        <v>58</v>
      </c>
      <c r="Y154" s="2" t="str">
        <f t="shared" si="94"/>
        <v>5334,6400</v>
      </c>
      <c r="Z154" s="2">
        <f t="shared" si="113"/>
        <v>5334</v>
      </c>
      <c r="AA154" s="2">
        <f t="shared" si="109"/>
        <v>6400</v>
      </c>
      <c r="AB154" s="2">
        <v>75000</v>
      </c>
      <c r="AC154" s="2" t="e">
        <f>_xlfn.XLOOKUP($B154, '#참조'!$M:$M, '#참조'!$N:$N)</f>
        <v>#N/A</v>
      </c>
      <c r="AD154" s="2" t="e">
        <f t="shared" si="102"/>
        <v>#N/A</v>
      </c>
      <c r="AE154" s="2">
        <f t="shared" si="95"/>
        <v>4506</v>
      </c>
    </row>
    <row r="155" spans="1:31" x14ac:dyDescent="0.2">
      <c r="A155" s="2">
        <f t="shared" si="91"/>
        <v>10183018</v>
      </c>
      <c r="B155" s="1">
        <v>10000183</v>
      </c>
      <c r="C155" s="1" t="s">
        <v>281</v>
      </c>
      <c r="D155" s="1" t="s">
        <v>309</v>
      </c>
      <c r="E155" s="1" t="str">
        <f>"Persona_"&amp;_xlfn.XLOOKUP($B155, '#캐릭터'!$A:$A, '#캐릭터'!$C:$C)</f>
        <v>Persona_c183</v>
      </c>
      <c r="F155" s="1"/>
      <c r="G155" s="1">
        <f>_xlfn.XLOOKUP(_xlfn.XLOOKUP(B155,'[1]Detail&lt;Child&gt;'!$A:$A,'[1]Detail&lt;Child&gt;'!$N:$N),'#참조'!P:P,'#참조'!Q:Q)</f>
        <v>4</v>
      </c>
      <c r="H155" s="1">
        <f>_xlfn.XLOOKUP(_xlfn.XLOOKUP(B155,'[1]Detail&lt;Child&gt;'!$A:$A,'[1]Detail&lt;Child&gt;'!$O:$O),'#참조'!R:R,'#참조'!S:S)</f>
        <v>5</v>
      </c>
      <c r="I155" s="1">
        <v>6</v>
      </c>
      <c r="J155" s="1">
        <v>3</v>
      </c>
      <c r="K155" s="1">
        <v>6</v>
      </c>
      <c r="L155" s="1">
        <v>18</v>
      </c>
      <c r="M155" s="2" t="s">
        <v>22</v>
      </c>
      <c r="N155" s="2" t="s">
        <v>407</v>
      </c>
      <c r="O155" s="2">
        <f t="shared" si="110"/>
        <v>10112</v>
      </c>
      <c r="P155" s="2" t="s">
        <v>56</v>
      </c>
      <c r="Q155" s="2" t="str">
        <f t="shared" si="92"/>
        <v>86511,103800</v>
      </c>
      <c r="R155" s="2">
        <f t="shared" si="111"/>
        <v>86511</v>
      </c>
      <c r="S155" s="2">
        <f t="shared" si="107"/>
        <v>103800</v>
      </c>
      <c r="T155" s="2" t="s">
        <v>57</v>
      </c>
      <c r="U155" s="2" t="str">
        <f t="shared" si="93"/>
        <v>2227,2700</v>
      </c>
      <c r="V155" s="2">
        <f t="shared" si="112"/>
        <v>2227</v>
      </c>
      <c r="W155" s="2">
        <f t="shared" si="108"/>
        <v>2700</v>
      </c>
      <c r="X155" s="2" t="s">
        <v>58</v>
      </c>
      <c r="Y155" s="2" t="str">
        <f t="shared" si="94"/>
        <v>6934,8300</v>
      </c>
      <c r="Z155" s="2">
        <f t="shared" si="113"/>
        <v>6934</v>
      </c>
      <c r="AA155" s="2">
        <f t="shared" si="109"/>
        <v>8300</v>
      </c>
      <c r="AB155" s="2">
        <v>75000</v>
      </c>
      <c r="AC155" s="2" t="e">
        <f>_xlfn.XLOOKUP($B155, '#참조'!$M:$M, '#참조'!$N:$N)</f>
        <v>#N/A</v>
      </c>
      <c r="AD155" s="2" t="e">
        <f t="shared" si="102"/>
        <v>#N/A</v>
      </c>
      <c r="AE155" s="2">
        <f t="shared" si="95"/>
        <v>4506</v>
      </c>
    </row>
    <row r="156" spans="1:31" x14ac:dyDescent="0.2">
      <c r="A156" s="2">
        <f t="shared" si="91"/>
        <v>10051000</v>
      </c>
      <c r="B156" s="1">
        <v>10000051</v>
      </c>
      <c r="C156" s="1" t="s">
        <v>281</v>
      </c>
      <c r="D156" s="1" t="s">
        <v>309</v>
      </c>
      <c r="E156" s="1" t="str">
        <f>"Persona_"&amp;_xlfn.XLOOKUP($B156, '#캐릭터'!$A:$A, '#캐릭터'!$C:$C)</f>
        <v>Persona_c051</v>
      </c>
      <c r="F156" s="1"/>
      <c r="G156" s="1">
        <f>_xlfn.XLOOKUP(_xlfn.XLOOKUP(B156,'[1]Detail&lt;Child&gt;'!$A:$A,'[1]Detail&lt;Child&gt;'!$N:$N),'#참조'!P:P,'#참조'!Q:Q)</f>
        <v>5</v>
      </c>
      <c r="H156" s="1">
        <f>_xlfn.XLOOKUP(_xlfn.XLOOKUP(B156,'[1]Detail&lt;Child&gt;'!$A:$A,'[1]Detail&lt;Child&gt;'!$O:$O),'#참조'!R:R,'#참조'!S:S)</f>
        <v>2</v>
      </c>
      <c r="I156" s="1">
        <v>0</v>
      </c>
      <c r="J156" s="1">
        <v>3</v>
      </c>
      <c r="K156" s="1">
        <v>0</v>
      </c>
      <c r="L156" s="1">
        <v>0</v>
      </c>
      <c r="M156" s="2" t="s">
        <v>2</v>
      </c>
      <c r="N156" s="2" t="s">
        <v>407</v>
      </c>
      <c r="O156" s="2">
        <v>0</v>
      </c>
      <c r="P156" s="2" t="s">
        <v>56</v>
      </c>
      <c r="Q156" s="2" t="str">
        <f t="shared" si="92"/>
        <v>1000,1000</v>
      </c>
      <c r="R156" s="2">
        <v>1000</v>
      </c>
      <c r="S156" s="2">
        <f t="shared" ref="S156" si="114">R156</f>
        <v>1000</v>
      </c>
      <c r="T156" s="2" t="s">
        <v>57</v>
      </c>
      <c r="U156" s="2" t="str">
        <f t="shared" si="93"/>
        <v>100,100</v>
      </c>
      <c r="V156" s="2">
        <v>100</v>
      </c>
      <c r="W156" s="2">
        <f t="shared" ref="W156" si="115">V156</f>
        <v>100</v>
      </c>
      <c r="X156" s="2" t="s">
        <v>58</v>
      </c>
      <c r="Y156" s="2" t="str">
        <f t="shared" si="94"/>
        <v>80,80</v>
      </c>
      <c r="Z156" s="2">
        <v>80</v>
      </c>
      <c r="AA156" s="2">
        <f t="shared" ref="AA156" si="116">Z156</f>
        <v>80</v>
      </c>
      <c r="AB156" s="2">
        <v>100000</v>
      </c>
      <c r="AE156" s="2">
        <f t="shared" si="95"/>
        <v>0</v>
      </c>
    </row>
    <row r="157" spans="1:31" x14ac:dyDescent="0.2">
      <c r="A157" s="2">
        <f t="shared" si="91"/>
        <v>10051001</v>
      </c>
      <c r="B157" s="1">
        <v>10000051</v>
      </c>
      <c r="C157" s="1" t="s">
        <v>281</v>
      </c>
      <c r="D157" s="1" t="s">
        <v>309</v>
      </c>
      <c r="E157" s="1" t="str">
        <f>"Persona_"&amp;_xlfn.XLOOKUP($B157, '#캐릭터'!$A:$A, '#캐릭터'!$C:$C)</f>
        <v>Persona_c051</v>
      </c>
      <c r="F157" s="1"/>
      <c r="G157" s="1">
        <f>_xlfn.XLOOKUP(_xlfn.XLOOKUP(B157,'[1]Detail&lt;Child&gt;'!$A:$A,'[1]Detail&lt;Child&gt;'!$N:$N),'#참조'!P:P,'#참조'!Q:Q)</f>
        <v>5</v>
      </c>
      <c r="H157" s="1">
        <f>_xlfn.XLOOKUP(_xlfn.XLOOKUP(B157,'[1]Detail&lt;Child&gt;'!$A:$A,'[1]Detail&lt;Child&gt;'!$O:$O),'#참조'!R:R,'#참조'!S:S)</f>
        <v>2</v>
      </c>
      <c r="I157" s="1">
        <v>0</v>
      </c>
      <c r="J157" s="1">
        <v>3</v>
      </c>
      <c r="K157" s="1">
        <v>1</v>
      </c>
      <c r="L157" s="1">
        <v>1</v>
      </c>
      <c r="M157" s="2" t="s">
        <v>5</v>
      </c>
      <c r="N157" s="2" t="s">
        <v>407</v>
      </c>
      <c r="O157" s="2">
        <v>2000</v>
      </c>
      <c r="P157" s="2" t="s">
        <v>56</v>
      </c>
      <c r="Q157" s="2" t="str">
        <f t="shared" si="92"/>
        <v>1000,1200</v>
      </c>
      <c r="R157" s="2">
        <v>1000</v>
      </c>
      <c r="S157" s="2">
        <f t="shared" ref="S157" si="117">ROUND(R157*1.2, -2)</f>
        <v>1200</v>
      </c>
      <c r="T157" s="2" t="s">
        <v>57</v>
      </c>
      <c r="U157" s="2" t="str">
        <f t="shared" si="93"/>
        <v>100,100</v>
      </c>
      <c r="V157" s="2">
        <v>100</v>
      </c>
      <c r="W157" s="2">
        <f t="shared" ref="W157" si="118">ROUND(V157*1.2, -2)</f>
        <v>100</v>
      </c>
      <c r="X157" s="2" t="s">
        <v>58</v>
      </c>
      <c r="Y157" s="2" t="str">
        <f t="shared" si="94"/>
        <v>80,100</v>
      </c>
      <c r="Z157" s="2">
        <v>80</v>
      </c>
      <c r="AA157" s="2">
        <f t="shared" ref="AA157" si="119">ROUND(Z157*1.2, -2)</f>
        <v>100</v>
      </c>
      <c r="AB157" s="2">
        <v>100000</v>
      </c>
      <c r="AC157" s="2" t="e">
        <f>_xlfn.XLOOKUP($B157, '#참조'!$M:$M, '#참조'!$N:$N)</f>
        <v>#N/A</v>
      </c>
      <c r="AD157" s="2" t="e">
        <f t="shared" ref="AD157:AD174" si="120">M157&amp;"_"&amp;AC157</f>
        <v>#N/A</v>
      </c>
      <c r="AE157" s="2">
        <f t="shared" si="95"/>
        <v>0</v>
      </c>
    </row>
    <row r="158" spans="1:31" x14ac:dyDescent="0.2">
      <c r="A158" s="2">
        <f t="shared" si="91"/>
        <v>10051002</v>
      </c>
      <c r="B158" s="1">
        <v>10000051</v>
      </c>
      <c r="C158" s="1" t="s">
        <v>281</v>
      </c>
      <c r="D158" s="1" t="s">
        <v>309</v>
      </c>
      <c r="E158" s="1" t="str">
        <f>"Persona_"&amp;_xlfn.XLOOKUP($B158, '#캐릭터'!$A:$A, '#캐릭터'!$C:$C)</f>
        <v>Persona_c051</v>
      </c>
      <c r="F158" s="1"/>
      <c r="G158" s="1">
        <f>_xlfn.XLOOKUP(_xlfn.XLOOKUP(B158,'[1]Detail&lt;Child&gt;'!$A:$A,'[1]Detail&lt;Child&gt;'!$N:$N),'#참조'!P:P,'#참조'!Q:Q)</f>
        <v>5</v>
      </c>
      <c r="H158" s="1">
        <f>_xlfn.XLOOKUP(_xlfn.XLOOKUP(B158,'[1]Detail&lt;Child&gt;'!$A:$A,'[1]Detail&lt;Child&gt;'!$O:$O),'#참조'!R:R,'#참조'!S:S)</f>
        <v>2</v>
      </c>
      <c r="I158" s="1">
        <v>0</v>
      </c>
      <c r="J158" s="1">
        <v>3</v>
      </c>
      <c r="K158" s="1">
        <v>1</v>
      </c>
      <c r="L158" s="1">
        <v>2</v>
      </c>
      <c r="M158" s="2" t="s">
        <v>6</v>
      </c>
      <c r="N158" s="2" t="s">
        <v>407</v>
      </c>
      <c r="O158" s="2">
        <f t="shared" ref="O158" si="121">ROUND(O157*1.1, 0)</f>
        <v>2200</v>
      </c>
      <c r="P158" s="2" t="s">
        <v>56</v>
      </c>
      <c r="Q158" s="2" t="str">
        <f t="shared" si="92"/>
        <v>1300,1600</v>
      </c>
      <c r="R158" s="2">
        <f t="shared" ref="R158" si="122">ROUND(R157*1.3, 0)</f>
        <v>1300</v>
      </c>
      <c r="S158" s="2">
        <f t="shared" si="107"/>
        <v>1600</v>
      </c>
      <c r="T158" s="2" t="s">
        <v>57</v>
      </c>
      <c r="U158" s="2" t="str">
        <f t="shared" si="93"/>
        <v>120,100</v>
      </c>
      <c r="V158" s="2">
        <f t="shared" ref="V158" si="123">ROUND(V157*1.2, 0)</f>
        <v>120</v>
      </c>
      <c r="W158" s="2">
        <f t="shared" si="108"/>
        <v>100</v>
      </c>
      <c r="X158" s="2" t="s">
        <v>58</v>
      </c>
      <c r="Y158" s="2" t="str">
        <f t="shared" si="94"/>
        <v>104,100</v>
      </c>
      <c r="Z158" s="2">
        <f t="shared" ref="Z158" si="124">ROUND(Z157*1.3, 0)</f>
        <v>104</v>
      </c>
      <c r="AA158" s="2">
        <f t="shared" si="109"/>
        <v>100</v>
      </c>
      <c r="AB158" s="2">
        <v>100000</v>
      </c>
      <c r="AC158" s="2" t="e">
        <f>_xlfn.XLOOKUP($B158, '#참조'!$M:$M, '#참조'!$N:$N)</f>
        <v>#N/A</v>
      </c>
      <c r="AD158" s="2" t="e">
        <f t="shared" si="120"/>
        <v>#N/A</v>
      </c>
      <c r="AE158" s="2">
        <f t="shared" si="95"/>
        <v>0</v>
      </c>
    </row>
    <row r="159" spans="1:31" x14ac:dyDescent="0.2">
      <c r="A159" s="2">
        <f t="shared" si="91"/>
        <v>10051003</v>
      </c>
      <c r="B159" s="1">
        <v>10000051</v>
      </c>
      <c r="C159" s="1" t="s">
        <v>281</v>
      </c>
      <c r="D159" s="1" t="s">
        <v>309</v>
      </c>
      <c r="E159" s="1" t="str">
        <f>"Persona_"&amp;_xlfn.XLOOKUP($B159, '#캐릭터'!$A:$A, '#캐릭터'!$C:$C)</f>
        <v>Persona_c051</v>
      </c>
      <c r="F159" s="1"/>
      <c r="G159" s="1">
        <f>_xlfn.XLOOKUP(_xlfn.XLOOKUP(B159,'[1]Detail&lt;Child&gt;'!$A:$A,'[1]Detail&lt;Child&gt;'!$N:$N),'#참조'!P:P,'#참조'!Q:Q)</f>
        <v>5</v>
      </c>
      <c r="H159" s="1">
        <f>_xlfn.XLOOKUP(_xlfn.XLOOKUP(B159,'[1]Detail&lt;Child&gt;'!$A:$A,'[1]Detail&lt;Child&gt;'!$O:$O),'#참조'!R:R,'#참조'!S:S)</f>
        <v>2</v>
      </c>
      <c r="I159" s="1">
        <v>0</v>
      </c>
      <c r="J159" s="1">
        <v>3</v>
      </c>
      <c r="K159" s="1">
        <v>1</v>
      </c>
      <c r="L159" s="1">
        <v>3</v>
      </c>
      <c r="M159" s="2" t="s">
        <v>7</v>
      </c>
      <c r="N159" s="2" t="s">
        <v>407</v>
      </c>
      <c r="O159" s="2">
        <f t="shared" si="110"/>
        <v>2420</v>
      </c>
      <c r="P159" s="2" t="s">
        <v>56</v>
      </c>
      <c r="Q159" s="2" t="str">
        <f t="shared" si="92"/>
        <v>1690,2000</v>
      </c>
      <c r="R159" s="2">
        <f t="shared" si="111"/>
        <v>1690</v>
      </c>
      <c r="S159" s="2">
        <f t="shared" si="107"/>
        <v>2000</v>
      </c>
      <c r="T159" s="2" t="s">
        <v>57</v>
      </c>
      <c r="U159" s="2" t="str">
        <f t="shared" si="93"/>
        <v>144,200</v>
      </c>
      <c r="V159" s="2">
        <f t="shared" si="112"/>
        <v>144</v>
      </c>
      <c r="W159" s="2">
        <f t="shared" si="108"/>
        <v>200</v>
      </c>
      <c r="X159" s="2" t="s">
        <v>58</v>
      </c>
      <c r="Y159" s="2" t="str">
        <f t="shared" si="94"/>
        <v>135,200</v>
      </c>
      <c r="Z159" s="2">
        <f t="shared" si="113"/>
        <v>135</v>
      </c>
      <c r="AA159" s="2">
        <f t="shared" si="109"/>
        <v>200</v>
      </c>
      <c r="AB159" s="2">
        <v>100000</v>
      </c>
      <c r="AC159" s="2" t="e">
        <f>_xlfn.XLOOKUP($B159, '#참조'!$M:$M, '#참조'!$N:$N)</f>
        <v>#N/A</v>
      </c>
      <c r="AD159" s="2" t="e">
        <f t="shared" si="120"/>
        <v>#N/A</v>
      </c>
      <c r="AE159" s="2">
        <f t="shared" si="95"/>
        <v>0</v>
      </c>
    </row>
    <row r="160" spans="1:31" x14ac:dyDescent="0.2">
      <c r="A160" s="2">
        <f t="shared" si="91"/>
        <v>10051004</v>
      </c>
      <c r="B160" s="1">
        <v>10000051</v>
      </c>
      <c r="C160" s="1" t="s">
        <v>281</v>
      </c>
      <c r="D160" s="1" t="s">
        <v>309</v>
      </c>
      <c r="E160" s="1" t="str">
        <f>"Persona_"&amp;_xlfn.XLOOKUP($B160, '#캐릭터'!$A:$A, '#캐릭터'!$C:$C)</f>
        <v>Persona_c051</v>
      </c>
      <c r="F160" s="1"/>
      <c r="G160" s="1">
        <f>_xlfn.XLOOKUP(_xlfn.XLOOKUP(B160,'[1]Detail&lt;Child&gt;'!$A:$A,'[1]Detail&lt;Child&gt;'!$N:$N),'#참조'!P:P,'#참조'!Q:Q)</f>
        <v>5</v>
      </c>
      <c r="H160" s="1">
        <f>_xlfn.XLOOKUP(_xlfn.XLOOKUP(B160,'[1]Detail&lt;Child&gt;'!$A:$A,'[1]Detail&lt;Child&gt;'!$O:$O),'#참조'!R:R,'#참조'!S:S)</f>
        <v>2</v>
      </c>
      <c r="I160" s="1">
        <v>0</v>
      </c>
      <c r="J160" s="1">
        <v>3</v>
      </c>
      <c r="K160" s="1">
        <v>2</v>
      </c>
      <c r="L160" s="1">
        <v>4</v>
      </c>
      <c r="M160" s="2" t="s">
        <v>8</v>
      </c>
      <c r="N160" s="2" t="s">
        <v>407</v>
      </c>
      <c r="O160" s="2">
        <f t="shared" si="110"/>
        <v>2662</v>
      </c>
      <c r="P160" s="2" t="s">
        <v>56</v>
      </c>
      <c r="Q160" s="2" t="str">
        <f t="shared" si="92"/>
        <v>2197,2600</v>
      </c>
      <c r="R160" s="2">
        <f t="shared" si="111"/>
        <v>2197</v>
      </c>
      <c r="S160" s="2">
        <f t="shared" si="107"/>
        <v>2600</v>
      </c>
      <c r="T160" s="2" t="s">
        <v>57</v>
      </c>
      <c r="U160" s="2" t="str">
        <f t="shared" si="93"/>
        <v>173,200</v>
      </c>
      <c r="V160" s="2">
        <f t="shared" si="112"/>
        <v>173</v>
      </c>
      <c r="W160" s="2">
        <f t="shared" si="108"/>
        <v>200</v>
      </c>
      <c r="X160" s="2" t="s">
        <v>58</v>
      </c>
      <c r="Y160" s="2" t="str">
        <f t="shared" si="94"/>
        <v>176,200</v>
      </c>
      <c r="Z160" s="2">
        <f t="shared" si="113"/>
        <v>176</v>
      </c>
      <c r="AA160" s="2">
        <f t="shared" si="109"/>
        <v>200</v>
      </c>
      <c r="AB160" s="2">
        <v>95000</v>
      </c>
      <c r="AC160" s="2" t="e">
        <f>_xlfn.XLOOKUP($B160, '#참조'!$M:$M, '#참조'!$N:$N)</f>
        <v>#N/A</v>
      </c>
      <c r="AD160" s="2" t="e">
        <f t="shared" si="120"/>
        <v>#N/A</v>
      </c>
      <c r="AE160" s="2">
        <f t="shared" si="95"/>
        <v>0</v>
      </c>
    </row>
    <row r="161" spans="1:31" x14ac:dyDescent="0.2">
      <c r="A161" s="2">
        <f t="shared" si="91"/>
        <v>10051005</v>
      </c>
      <c r="B161" s="1">
        <v>10000051</v>
      </c>
      <c r="C161" s="1" t="s">
        <v>281</v>
      </c>
      <c r="D161" s="1" t="s">
        <v>309</v>
      </c>
      <c r="E161" s="1" t="str">
        <f>"Persona_"&amp;_xlfn.XLOOKUP($B161, '#캐릭터'!$A:$A, '#캐릭터'!$C:$C)</f>
        <v>Persona_c051</v>
      </c>
      <c r="F161" s="1"/>
      <c r="G161" s="1">
        <f>_xlfn.XLOOKUP(_xlfn.XLOOKUP(B161,'[1]Detail&lt;Child&gt;'!$A:$A,'[1]Detail&lt;Child&gt;'!$N:$N),'#참조'!P:P,'#참조'!Q:Q)</f>
        <v>5</v>
      </c>
      <c r="H161" s="1">
        <f>_xlfn.XLOOKUP(_xlfn.XLOOKUP(B161,'[1]Detail&lt;Child&gt;'!$A:$A,'[1]Detail&lt;Child&gt;'!$O:$O),'#참조'!R:R,'#참조'!S:S)</f>
        <v>2</v>
      </c>
      <c r="I161" s="1">
        <v>0</v>
      </c>
      <c r="J161" s="1">
        <v>3</v>
      </c>
      <c r="K161" s="1">
        <v>2</v>
      </c>
      <c r="L161" s="1">
        <v>5</v>
      </c>
      <c r="M161" s="2" t="s">
        <v>9</v>
      </c>
      <c r="N161" s="2" t="s">
        <v>407</v>
      </c>
      <c r="O161" s="2">
        <f t="shared" si="110"/>
        <v>2928</v>
      </c>
      <c r="P161" s="2" t="s">
        <v>56</v>
      </c>
      <c r="Q161" s="2" t="str">
        <f t="shared" si="92"/>
        <v>2856,3400</v>
      </c>
      <c r="R161" s="2">
        <f t="shared" si="111"/>
        <v>2856</v>
      </c>
      <c r="S161" s="2">
        <f t="shared" si="107"/>
        <v>3400</v>
      </c>
      <c r="T161" s="2" t="s">
        <v>57</v>
      </c>
      <c r="U161" s="2" t="str">
        <f t="shared" si="93"/>
        <v>208,200</v>
      </c>
      <c r="V161" s="2">
        <f t="shared" si="112"/>
        <v>208</v>
      </c>
      <c r="W161" s="2">
        <f t="shared" si="108"/>
        <v>200</v>
      </c>
      <c r="X161" s="2" t="s">
        <v>58</v>
      </c>
      <c r="Y161" s="2" t="str">
        <f t="shared" si="94"/>
        <v>229,300</v>
      </c>
      <c r="Z161" s="2">
        <f t="shared" si="113"/>
        <v>229</v>
      </c>
      <c r="AA161" s="2">
        <f t="shared" si="109"/>
        <v>300</v>
      </c>
      <c r="AB161" s="2">
        <v>95000</v>
      </c>
      <c r="AC161" s="2" t="e">
        <f>_xlfn.XLOOKUP($B161, '#참조'!$M:$M, '#참조'!$N:$N)</f>
        <v>#N/A</v>
      </c>
      <c r="AD161" s="2" t="e">
        <f t="shared" si="120"/>
        <v>#N/A</v>
      </c>
      <c r="AE161" s="2">
        <f t="shared" si="95"/>
        <v>0</v>
      </c>
    </row>
    <row r="162" spans="1:31" x14ac:dyDescent="0.2">
      <c r="A162" s="2">
        <f t="shared" si="91"/>
        <v>10051006</v>
      </c>
      <c r="B162" s="1">
        <v>10000051</v>
      </c>
      <c r="C162" s="1" t="s">
        <v>281</v>
      </c>
      <c r="D162" s="1" t="s">
        <v>309</v>
      </c>
      <c r="E162" s="1" t="str">
        <f>"Persona_"&amp;_xlfn.XLOOKUP($B162, '#캐릭터'!$A:$A, '#캐릭터'!$C:$C)</f>
        <v>Persona_c051</v>
      </c>
      <c r="F162" s="1"/>
      <c r="G162" s="1">
        <f>_xlfn.XLOOKUP(_xlfn.XLOOKUP(B162,'[1]Detail&lt;Child&gt;'!$A:$A,'[1]Detail&lt;Child&gt;'!$N:$N),'#참조'!P:P,'#참조'!Q:Q)</f>
        <v>5</v>
      </c>
      <c r="H162" s="1">
        <f>_xlfn.XLOOKUP(_xlfn.XLOOKUP(B162,'[1]Detail&lt;Child&gt;'!$A:$A,'[1]Detail&lt;Child&gt;'!$O:$O),'#참조'!R:R,'#참조'!S:S)</f>
        <v>2</v>
      </c>
      <c r="I162" s="1">
        <v>0</v>
      </c>
      <c r="J162" s="1">
        <v>3</v>
      </c>
      <c r="K162" s="1">
        <v>2</v>
      </c>
      <c r="L162" s="1">
        <v>6</v>
      </c>
      <c r="M162" s="2" t="s">
        <v>10</v>
      </c>
      <c r="N162" s="2" t="s">
        <v>407</v>
      </c>
      <c r="O162" s="2">
        <f t="shared" si="110"/>
        <v>3221</v>
      </c>
      <c r="P162" s="2" t="s">
        <v>56</v>
      </c>
      <c r="Q162" s="2" t="str">
        <f t="shared" si="92"/>
        <v>3713,4500</v>
      </c>
      <c r="R162" s="2">
        <f t="shared" si="111"/>
        <v>3713</v>
      </c>
      <c r="S162" s="2">
        <f t="shared" si="107"/>
        <v>4500</v>
      </c>
      <c r="T162" s="2" t="s">
        <v>57</v>
      </c>
      <c r="U162" s="2" t="str">
        <f t="shared" si="93"/>
        <v>250,300</v>
      </c>
      <c r="V162" s="2">
        <f t="shared" si="112"/>
        <v>250</v>
      </c>
      <c r="W162" s="2">
        <f t="shared" si="108"/>
        <v>300</v>
      </c>
      <c r="X162" s="2" t="s">
        <v>58</v>
      </c>
      <c r="Y162" s="2" t="str">
        <f t="shared" si="94"/>
        <v>298,400</v>
      </c>
      <c r="Z162" s="2">
        <f t="shared" si="113"/>
        <v>298</v>
      </c>
      <c r="AA162" s="2">
        <f t="shared" si="109"/>
        <v>400</v>
      </c>
      <c r="AB162" s="2">
        <v>95000</v>
      </c>
      <c r="AC162" s="2" t="e">
        <f>_xlfn.XLOOKUP($B162, '#참조'!$M:$M, '#참조'!$N:$N)</f>
        <v>#N/A</v>
      </c>
      <c r="AD162" s="2" t="e">
        <f t="shared" si="120"/>
        <v>#N/A</v>
      </c>
      <c r="AE162" s="2">
        <f t="shared" si="95"/>
        <v>0</v>
      </c>
    </row>
    <row r="163" spans="1:31" x14ac:dyDescent="0.2">
      <c r="A163" s="2">
        <f t="shared" si="91"/>
        <v>10051007</v>
      </c>
      <c r="B163" s="1">
        <v>10000051</v>
      </c>
      <c r="C163" s="1" t="s">
        <v>281</v>
      </c>
      <c r="D163" s="1" t="s">
        <v>309</v>
      </c>
      <c r="E163" s="1" t="str">
        <f>"Persona_"&amp;_xlfn.XLOOKUP($B163, '#캐릭터'!$A:$A, '#캐릭터'!$C:$C)</f>
        <v>Persona_c051</v>
      </c>
      <c r="F163" s="1"/>
      <c r="G163" s="1">
        <f>_xlfn.XLOOKUP(_xlfn.XLOOKUP(B163,'[1]Detail&lt;Child&gt;'!$A:$A,'[1]Detail&lt;Child&gt;'!$N:$N),'#참조'!P:P,'#참조'!Q:Q)</f>
        <v>5</v>
      </c>
      <c r="H163" s="1">
        <f>_xlfn.XLOOKUP(_xlfn.XLOOKUP(B163,'[1]Detail&lt;Child&gt;'!$A:$A,'[1]Detail&lt;Child&gt;'!$O:$O),'#참조'!R:R,'#참조'!S:S)</f>
        <v>2</v>
      </c>
      <c r="I163" s="1">
        <v>1</v>
      </c>
      <c r="J163" s="1">
        <v>3</v>
      </c>
      <c r="K163" s="1">
        <v>3</v>
      </c>
      <c r="L163" s="1">
        <v>7</v>
      </c>
      <c r="M163" s="2" t="s">
        <v>11</v>
      </c>
      <c r="N163" s="2" t="s">
        <v>407</v>
      </c>
      <c r="O163" s="2">
        <f t="shared" si="110"/>
        <v>3543</v>
      </c>
      <c r="P163" s="2" t="s">
        <v>56</v>
      </c>
      <c r="Q163" s="2" t="str">
        <f t="shared" si="92"/>
        <v>4827,5800</v>
      </c>
      <c r="R163" s="2">
        <f t="shared" si="111"/>
        <v>4827</v>
      </c>
      <c r="S163" s="2">
        <f t="shared" si="107"/>
        <v>5800</v>
      </c>
      <c r="T163" s="2" t="s">
        <v>57</v>
      </c>
      <c r="U163" s="2" t="str">
        <f t="shared" si="93"/>
        <v>300,400</v>
      </c>
      <c r="V163" s="2">
        <f t="shared" si="112"/>
        <v>300</v>
      </c>
      <c r="W163" s="2">
        <f t="shared" si="108"/>
        <v>400</v>
      </c>
      <c r="X163" s="2" t="s">
        <v>58</v>
      </c>
      <c r="Y163" s="2" t="str">
        <f t="shared" si="94"/>
        <v>387,500</v>
      </c>
      <c r="Z163" s="2">
        <f t="shared" si="113"/>
        <v>387</v>
      </c>
      <c r="AA163" s="2">
        <f t="shared" si="109"/>
        <v>500</v>
      </c>
      <c r="AB163" s="2">
        <v>90000</v>
      </c>
      <c r="AC163" s="2" t="e">
        <f>_xlfn.XLOOKUP($B163, '#참조'!$M:$M, '#참조'!$N:$N)</f>
        <v>#N/A</v>
      </c>
      <c r="AD163" s="2" t="e">
        <f t="shared" si="120"/>
        <v>#N/A</v>
      </c>
      <c r="AE163" s="2">
        <f t="shared" si="95"/>
        <v>5201</v>
      </c>
    </row>
    <row r="164" spans="1:31" x14ac:dyDescent="0.2">
      <c r="A164" s="2">
        <f t="shared" si="91"/>
        <v>10051008</v>
      </c>
      <c r="B164" s="1">
        <v>10000051</v>
      </c>
      <c r="C164" s="1" t="s">
        <v>281</v>
      </c>
      <c r="D164" s="1" t="s">
        <v>309</v>
      </c>
      <c r="E164" s="1" t="str">
        <f>"Persona_"&amp;_xlfn.XLOOKUP($B164, '#캐릭터'!$A:$A, '#캐릭터'!$C:$C)</f>
        <v>Persona_c051</v>
      </c>
      <c r="F164" s="1"/>
      <c r="G164" s="1">
        <f>_xlfn.XLOOKUP(_xlfn.XLOOKUP(B164,'[1]Detail&lt;Child&gt;'!$A:$A,'[1]Detail&lt;Child&gt;'!$N:$N),'#참조'!P:P,'#참조'!Q:Q)</f>
        <v>5</v>
      </c>
      <c r="H164" s="1">
        <f>_xlfn.XLOOKUP(_xlfn.XLOOKUP(B164,'[1]Detail&lt;Child&gt;'!$A:$A,'[1]Detail&lt;Child&gt;'!$O:$O),'#참조'!R:R,'#참조'!S:S)</f>
        <v>2</v>
      </c>
      <c r="I164" s="1">
        <v>1</v>
      </c>
      <c r="J164" s="1">
        <v>3</v>
      </c>
      <c r="K164" s="1">
        <v>3</v>
      </c>
      <c r="L164" s="1">
        <v>8</v>
      </c>
      <c r="M164" s="2" t="s">
        <v>12</v>
      </c>
      <c r="N164" s="2" t="s">
        <v>407</v>
      </c>
      <c r="O164" s="2">
        <f t="shared" si="110"/>
        <v>3897</v>
      </c>
      <c r="P164" s="2" t="s">
        <v>56</v>
      </c>
      <c r="Q164" s="2" t="str">
        <f t="shared" si="92"/>
        <v>6275,7500</v>
      </c>
      <c r="R164" s="2">
        <f t="shared" si="111"/>
        <v>6275</v>
      </c>
      <c r="S164" s="2">
        <f t="shared" si="107"/>
        <v>7500</v>
      </c>
      <c r="T164" s="2" t="s">
        <v>57</v>
      </c>
      <c r="U164" s="2" t="str">
        <f t="shared" si="93"/>
        <v>360,400</v>
      </c>
      <c r="V164" s="2">
        <f t="shared" si="112"/>
        <v>360</v>
      </c>
      <c r="W164" s="2">
        <f t="shared" si="108"/>
        <v>400</v>
      </c>
      <c r="X164" s="2" t="s">
        <v>58</v>
      </c>
      <c r="Y164" s="2" t="str">
        <f t="shared" si="94"/>
        <v>503,600</v>
      </c>
      <c r="Z164" s="2">
        <f t="shared" si="113"/>
        <v>503</v>
      </c>
      <c r="AA164" s="2">
        <f t="shared" si="109"/>
        <v>600</v>
      </c>
      <c r="AB164" s="2">
        <v>90000</v>
      </c>
      <c r="AC164" s="2" t="e">
        <f>_xlfn.XLOOKUP($B164, '#참조'!$M:$M, '#참조'!$N:$N)</f>
        <v>#N/A</v>
      </c>
      <c r="AD164" s="2" t="e">
        <f t="shared" si="120"/>
        <v>#N/A</v>
      </c>
      <c r="AE164" s="2">
        <f t="shared" si="95"/>
        <v>5201</v>
      </c>
    </row>
    <row r="165" spans="1:31" x14ac:dyDescent="0.2">
      <c r="A165" s="2">
        <f t="shared" si="91"/>
        <v>10051009</v>
      </c>
      <c r="B165" s="1">
        <v>10000051</v>
      </c>
      <c r="C165" s="1" t="s">
        <v>281</v>
      </c>
      <c r="D165" s="1" t="s">
        <v>309</v>
      </c>
      <c r="E165" s="1" t="str">
        <f>"Persona_"&amp;_xlfn.XLOOKUP($B165, '#캐릭터'!$A:$A, '#캐릭터'!$C:$C)</f>
        <v>Persona_c051</v>
      </c>
      <c r="F165" s="1"/>
      <c r="G165" s="1">
        <f>_xlfn.XLOOKUP(_xlfn.XLOOKUP(B165,'[1]Detail&lt;Child&gt;'!$A:$A,'[1]Detail&lt;Child&gt;'!$N:$N),'#참조'!P:P,'#참조'!Q:Q)</f>
        <v>5</v>
      </c>
      <c r="H165" s="1">
        <f>_xlfn.XLOOKUP(_xlfn.XLOOKUP(B165,'[1]Detail&lt;Child&gt;'!$A:$A,'[1]Detail&lt;Child&gt;'!$O:$O),'#참조'!R:R,'#참조'!S:S)</f>
        <v>2</v>
      </c>
      <c r="I165" s="1">
        <v>2</v>
      </c>
      <c r="J165" s="1">
        <v>3</v>
      </c>
      <c r="K165" s="1">
        <v>3</v>
      </c>
      <c r="L165" s="1">
        <v>9</v>
      </c>
      <c r="M165" s="2" t="s">
        <v>13</v>
      </c>
      <c r="N165" s="2" t="s">
        <v>407</v>
      </c>
      <c r="O165" s="2">
        <f t="shared" si="110"/>
        <v>4287</v>
      </c>
      <c r="P165" s="2" t="s">
        <v>56</v>
      </c>
      <c r="Q165" s="2" t="str">
        <f t="shared" si="92"/>
        <v>8158,9800</v>
      </c>
      <c r="R165" s="2">
        <f t="shared" si="111"/>
        <v>8158</v>
      </c>
      <c r="S165" s="2">
        <f t="shared" si="107"/>
        <v>9800</v>
      </c>
      <c r="T165" s="2" t="s">
        <v>57</v>
      </c>
      <c r="U165" s="2" t="str">
        <f t="shared" si="93"/>
        <v>432,500</v>
      </c>
      <c r="V165" s="2">
        <f t="shared" si="112"/>
        <v>432</v>
      </c>
      <c r="W165" s="2">
        <f t="shared" si="108"/>
        <v>500</v>
      </c>
      <c r="X165" s="2" t="s">
        <v>58</v>
      </c>
      <c r="Y165" s="2" t="str">
        <f t="shared" si="94"/>
        <v>654,800</v>
      </c>
      <c r="Z165" s="2">
        <f t="shared" si="113"/>
        <v>654</v>
      </c>
      <c r="AA165" s="2">
        <f t="shared" si="109"/>
        <v>800</v>
      </c>
      <c r="AB165" s="2">
        <v>90000</v>
      </c>
      <c r="AC165" s="2" t="e">
        <f>_xlfn.XLOOKUP($B165, '#참조'!$M:$M, '#참조'!$N:$N)</f>
        <v>#N/A</v>
      </c>
      <c r="AD165" s="2" t="e">
        <f t="shared" si="120"/>
        <v>#N/A</v>
      </c>
      <c r="AE165" s="2">
        <f t="shared" si="95"/>
        <v>5202</v>
      </c>
    </row>
    <row r="166" spans="1:31" x14ac:dyDescent="0.2">
      <c r="A166" s="2">
        <f t="shared" si="91"/>
        <v>10051010</v>
      </c>
      <c r="B166" s="1">
        <v>10000051</v>
      </c>
      <c r="C166" s="1" t="s">
        <v>281</v>
      </c>
      <c r="D166" s="1" t="s">
        <v>309</v>
      </c>
      <c r="E166" s="1" t="str">
        <f>"Persona_"&amp;_xlfn.XLOOKUP($B166, '#캐릭터'!$A:$A, '#캐릭터'!$C:$C)</f>
        <v>Persona_c051</v>
      </c>
      <c r="F166" s="1"/>
      <c r="G166" s="1">
        <f>_xlfn.XLOOKUP(_xlfn.XLOOKUP(B166,'[1]Detail&lt;Child&gt;'!$A:$A,'[1]Detail&lt;Child&gt;'!$N:$N),'#참조'!P:P,'#참조'!Q:Q)</f>
        <v>5</v>
      </c>
      <c r="H166" s="1">
        <f>_xlfn.XLOOKUP(_xlfn.XLOOKUP(B166,'[1]Detail&lt;Child&gt;'!$A:$A,'[1]Detail&lt;Child&gt;'!$O:$O),'#참조'!R:R,'#참조'!S:S)</f>
        <v>2</v>
      </c>
      <c r="I166" s="1">
        <v>2</v>
      </c>
      <c r="J166" s="1">
        <v>3</v>
      </c>
      <c r="K166" s="1">
        <v>4</v>
      </c>
      <c r="L166" s="1">
        <v>10</v>
      </c>
      <c r="M166" s="2" t="s">
        <v>14</v>
      </c>
      <c r="N166" s="2" t="s">
        <v>407</v>
      </c>
      <c r="O166" s="2">
        <f t="shared" si="110"/>
        <v>4716</v>
      </c>
      <c r="P166" s="2" t="s">
        <v>56</v>
      </c>
      <c r="Q166" s="2" t="str">
        <f t="shared" si="92"/>
        <v>10605,12700</v>
      </c>
      <c r="R166" s="2">
        <f t="shared" si="111"/>
        <v>10605</v>
      </c>
      <c r="S166" s="2">
        <f t="shared" si="107"/>
        <v>12700</v>
      </c>
      <c r="T166" s="2" t="s">
        <v>57</v>
      </c>
      <c r="U166" s="2" t="str">
        <f t="shared" si="93"/>
        <v>518,600</v>
      </c>
      <c r="V166" s="2">
        <f t="shared" si="112"/>
        <v>518</v>
      </c>
      <c r="W166" s="2">
        <f t="shared" si="108"/>
        <v>600</v>
      </c>
      <c r="X166" s="2" t="s">
        <v>58</v>
      </c>
      <c r="Y166" s="2" t="str">
        <f t="shared" si="94"/>
        <v>850,1000</v>
      </c>
      <c r="Z166" s="2">
        <f t="shared" si="113"/>
        <v>850</v>
      </c>
      <c r="AA166" s="2">
        <f t="shared" si="109"/>
        <v>1000</v>
      </c>
      <c r="AB166" s="2">
        <v>85000</v>
      </c>
      <c r="AC166" s="2" t="e">
        <f>_xlfn.XLOOKUP($B166, '#참조'!$M:$M, '#참조'!$N:$N)</f>
        <v>#N/A</v>
      </c>
      <c r="AD166" s="2" t="e">
        <f t="shared" si="120"/>
        <v>#N/A</v>
      </c>
      <c r="AE166" s="2">
        <f t="shared" si="95"/>
        <v>5202</v>
      </c>
    </row>
    <row r="167" spans="1:31" x14ac:dyDescent="0.2">
      <c r="A167" s="2">
        <f t="shared" si="91"/>
        <v>10051011</v>
      </c>
      <c r="B167" s="1">
        <v>10000051</v>
      </c>
      <c r="C167" s="1" t="s">
        <v>281</v>
      </c>
      <c r="D167" s="1" t="s">
        <v>309</v>
      </c>
      <c r="E167" s="1" t="str">
        <f>"Persona_"&amp;_xlfn.XLOOKUP($B167, '#캐릭터'!$A:$A, '#캐릭터'!$C:$C)</f>
        <v>Persona_c051</v>
      </c>
      <c r="F167" s="1"/>
      <c r="G167" s="1">
        <f>_xlfn.XLOOKUP(_xlfn.XLOOKUP(B167,'[1]Detail&lt;Child&gt;'!$A:$A,'[1]Detail&lt;Child&gt;'!$N:$N),'#참조'!P:P,'#참조'!Q:Q)</f>
        <v>5</v>
      </c>
      <c r="H167" s="1">
        <f>_xlfn.XLOOKUP(_xlfn.XLOOKUP(B167,'[1]Detail&lt;Child&gt;'!$A:$A,'[1]Detail&lt;Child&gt;'!$O:$O),'#참조'!R:R,'#참조'!S:S)</f>
        <v>2</v>
      </c>
      <c r="I167" s="1">
        <v>3</v>
      </c>
      <c r="J167" s="1">
        <v>3</v>
      </c>
      <c r="K167" s="1">
        <v>4</v>
      </c>
      <c r="L167" s="1">
        <v>11</v>
      </c>
      <c r="M167" s="2" t="s">
        <v>15</v>
      </c>
      <c r="N167" s="2" t="s">
        <v>407</v>
      </c>
      <c r="O167" s="2">
        <f t="shared" si="110"/>
        <v>5188</v>
      </c>
      <c r="P167" s="2" t="s">
        <v>56</v>
      </c>
      <c r="Q167" s="2" t="str">
        <f t="shared" si="92"/>
        <v>13787,16500</v>
      </c>
      <c r="R167" s="2">
        <f t="shared" si="111"/>
        <v>13787</v>
      </c>
      <c r="S167" s="2">
        <f t="shared" si="107"/>
        <v>16500</v>
      </c>
      <c r="T167" s="2" t="s">
        <v>57</v>
      </c>
      <c r="U167" s="2" t="str">
        <f t="shared" si="93"/>
        <v>622,700</v>
      </c>
      <c r="V167" s="2">
        <f t="shared" si="112"/>
        <v>622</v>
      </c>
      <c r="W167" s="2">
        <f t="shared" si="108"/>
        <v>700</v>
      </c>
      <c r="X167" s="2" t="s">
        <v>58</v>
      </c>
      <c r="Y167" s="2" t="str">
        <f t="shared" si="94"/>
        <v>1105,1300</v>
      </c>
      <c r="Z167" s="2">
        <f t="shared" si="113"/>
        <v>1105</v>
      </c>
      <c r="AA167" s="2">
        <f t="shared" si="109"/>
        <v>1300</v>
      </c>
      <c r="AB167" s="2">
        <v>85000</v>
      </c>
      <c r="AC167" s="2" t="e">
        <f>_xlfn.XLOOKUP($B167, '#참조'!$M:$M, '#참조'!$N:$N)</f>
        <v>#N/A</v>
      </c>
      <c r="AD167" s="2" t="e">
        <f t="shared" si="120"/>
        <v>#N/A</v>
      </c>
      <c r="AE167" s="2">
        <f t="shared" si="95"/>
        <v>5203</v>
      </c>
    </row>
    <row r="168" spans="1:31" x14ac:dyDescent="0.2">
      <c r="A168" s="2">
        <f t="shared" si="91"/>
        <v>10051012</v>
      </c>
      <c r="B168" s="1">
        <v>10000051</v>
      </c>
      <c r="C168" s="1" t="s">
        <v>281</v>
      </c>
      <c r="D168" s="1" t="s">
        <v>309</v>
      </c>
      <c r="E168" s="1" t="str">
        <f>"Persona_"&amp;_xlfn.XLOOKUP($B168, '#캐릭터'!$A:$A, '#캐릭터'!$C:$C)</f>
        <v>Persona_c051</v>
      </c>
      <c r="F168" s="1"/>
      <c r="G168" s="1">
        <f>_xlfn.XLOOKUP(_xlfn.XLOOKUP(B168,'[1]Detail&lt;Child&gt;'!$A:$A,'[1]Detail&lt;Child&gt;'!$N:$N),'#참조'!P:P,'#참조'!Q:Q)</f>
        <v>5</v>
      </c>
      <c r="H168" s="1">
        <f>_xlfn.XLOOKUP(_xlfn.XLOOKUP(B168,'[1]Detail&lt;Child&gt;'!$A:$A,'[1]Detail&lt;Child&gt;'!$O:$O),'#참조'!R:R,'#참조'!S:S)</f>
        <v>2</v>
      </c>
      <c r="I168" s="1">
        <v>3</v>
      </c>
      <c r="J168" s="1">
        <v>3</v>
      </c>
      <c r="K168" s="1">
        <v>4</v>
      </c>
      <c r="L168" s="1">
        <v>12</v>
      </c>
      <c r="M168" s="2" t="s">
        <v>16</v>
      </c>
      <c r="N168" s="2" t="s">
        <v>407</v>
      </c>
      <c r="O168" s="2">
        <f t="shared" si="110"/>
        <v>5707</v>
      </c>
      <c r="P168" s="2" t="s">
        <v>56</v>
      </c>
      <c r="Q168" s="2" t="str">
        <f t="shared" si="92"/>
        <v>17923,21500</v>
      </c>
      <c r="R168" s="2">
        <f t="shared" si="111"/>
        <v>17923</v>
      </c>
      <c r="S168" s="2">
        <f t="shared" si="107"/>
        <v>21500</v>
      </c>
      <c r="T168" s="2" t="s">
        <v>57</v>
      </c>
      <c r="U168" s="2" t="str">
        <f t="shared" si="93"/>
        <v>746,900</v>
      </c>
      <c r="V168" s="2">
        <f t="shared" si="112"/>
        <v>746</v>
      </c>
      <c r="W168" s="2">
        <f t="shared" si="108"/>
        <v>900</v>
      </c>
      <c r="X168" s="2" t="s">
        <v>58</v>
      </c>
      <c r="Y168" s="2" t="str">
        <f t="shared" si="94"/>
        <v>1437,1700</v>
      </c>
      <c r="Z168" s="2">
        <f t="shared" si="113"/>
        <v>1437</v>
      </c>
      <c r="AA168" s="2">
        <f t="shared" si="109"/>
        <v>1700</v>
      </c>
      <c r="AB168" s="2">
        <v>85000</v>
      </c>
      <c r="AC168" s="2" t="e">
        <f>_xlfn.XLOOKUP($B168, '#참조'!$M:$M, '#참조'!$N:$N)</f>
        <v>#N/A</v>
      </c>
      <c r="AD168" s="2" t="e">
        <f t="shared" si="120"/>
        <v>#N/A</v>
      </c>
      <c r="AE168" s="2">
        <f t="shared" si="95"/>
        <v>5203</v>
      </c>
    </row>
    <row r="169" spans="1:31" x14ac:dyDescent="0.2">
      <c r="A169" s="2">
        <f t="shared" si="91"/>
        <v>10051013</v>
      </c>
      <c r="B169" s="1">
        <v>10000051</v>
      </c>
      <c r="C169" s="1" t="s">
        <v>281</v>
      </c>
      <c r="D169" s="1" t="s">
        <v>309</v>
      </c>
      <c r="E169" s="1" t="str">
        <f>"Persona_"&amp;_xlfn.XLOOKUP($B169, '#캐릭터'!$A:$A, '#캐릭터'!$C:$C)</f>
        <v>Persona_c051</v>
      </c>
      <c r="F169" s="1"/>
      <c r="G169" s="1">
        <f>_xlfn.XLOOKUP(_xlfn.XLOOKUP(B169,'[1]Detail&lt;Child&gt;'!$A:$A,'[1]Detail&lt;Child&gt;'!$N:$N),'#참조'!P:P,'#참조'!Q:Q)</f>
        <v>5</v>
      </c>
      <c r="H169" s="1">
        <f>_xlfn.XLOOKUP(_xlfn.XLOOKUP(B169,'[1]Detail&lt;Child&gt;'!$A:$A,'[1]Detail&lt;Child&gt;'!$O:$O),'#참조'!R:R,'#참조'!S:S)</f>
        <v>2</v>
      </c>
      <c r="I169" s="1">
        <v>4</v>
      </c>
      <c r="J169" s="1">
        <v>3</v>
      </c>
      <c r="K169" s="1">
        <v>5</v>
      </c>
      <c r="L169" s="1">
        <v>13</v>
      </c>
      <c r="M169" s="2" t="s">
        <v>17</v>
      </c>
      <c r="N169" s="2" t="s">
        <v>407</v>
      </c>
      <c r="O169" s="2">
        <f t="shared" si="110"/>
        <v>6278</v>
      </c>
      <c r="P169" s="2" t="s">
        <v>56</v>
      </c>
      <c r="Q169" s="2" t="str">
        <f t="shared" si="92"/>
        <v>23300,28000</v>
      </c>
      <c r="R169" s="2">
        <f t="shared" si="111"/>
        <v>23300</v>
      </c>
      <c r="S169" s="2">
        <f t="shared" si="107"/>
        <v>28000</v>
      </c>
      <c r="T169" s="2" t="s">
        <v>57</v>
      </c>
      <c r="U169" s="2" t="str">
        <f t="shared" si="93"/>
        <v>895,1100</v>
      </c>
      <c r="V169" s="2">
        <f t="shared" si="112"/>
        <v>895</v>
      </c>
      <c r="W169" s="2">
        <f t="shared" si="108"/>
        <v>1100</v>
      </c>
      <c r="X169" s="2" t="s">
        <v>58</v>
      </c>
      <c r="Y169" s="2" t="str">
        <f t="shared" si="94"/>
        <v>1868,2200</v>
      </c>
      <c r="Z169" s="2">
        <f t="shared" si="113"/>
        <v>1868</v>
      </c>
      <c r="AA169" s="2">
        <f t="shared" si="109"/>
        <v>2200</v>
      </c>
      <c r="AB169" s="2">
        <v>80000</v>
      </c>
      <c r="AC169" s="2" t="e">
        <f>_xlfn.XLOOKUP($B169, '#참조'!$M:$M, '#참조'!$N:$N)</f>
        <v>#N/A</v>
      </c>
      <c r="AD169" s="2" t="e">
        <f t="shared" si="120"/>
        <v>#N/A</v>
      </c>
      <c r="AE169" s="2">
        <f t="shared" si="95"/>
        <v>5204</v>
      </c>
    </row>
    <row r="170" spans="1:31" x14ac:dyDescent="0.2">
      <c r="A170" s="2">
        <f t="shared" si="91"/>
        <v>10051014</v>
      </c>
      <c r="B170" s="1">
        <v>10000051</v>
      </c>
      <c r="C170" s="1" t="s">
        <v>281</v>
      </c>
      <c r="D170" s="1" t="s">
        <v>309</v>
      </c>
      <c r="E170" s="1" t="str">
        <f>"Persona_"&amp;_xlfn.XLOOKUP($B170, '#캐릭터'!$A:$A, '#캐릭터'!$C:$C)</f>
        <v>Persona_c051</v>
      </c>
      <c r="F170" s="1"/>
      <c r="G170" s="1">
        <f>_xlfn.XLOOKUP(_xlfn.XLOOKUP(B170,'[1]Detail&lt;Child&gt;'!$A:$A,'[1]Detail&lt;Child&gt;'!$N:$N),'#참조'!P:P,'#참조'!Q:Q)</f>
        <v>5</v>
      </c>
      <c r="H170" s="1">
        <f>_xlfn.XLOOKUP(_xlfn.XLOOKUP(B170,'[1]Detail&lt;Child&gt;'!$A:$A,'[1]Detail&lt;Child&gt;'!$O:$O),'#참조'!R:R,'#참조'!S:S)</f>
        <v>2</v>
      </c>
      <c r="I170" s="1">
        <v>4</v>
      </c>
      <c r="J170" s="1">
        <v>3</v>
      </c>
      <c r="K170" s="1">
        <v>5</v>
      </c>
      <c r="L170" s="1">
        <v>14</v>
      </c>
      <c r="M170" s="2" t="s">
        <v>18</v>
      </c>
      <c r="N170" s="2" t="s">
        <v>407</v>
      </c>
      <c r="O170" s="2">
        <f t="shared" si="110"/>
        <v>6906</v>
      </c>
      <c r="P170" s="2" t="s">
        <v>56</v>
      </c>
      <c r="Q170" s="2" t="str">
        <f t="shared" si="92"/>
        <v>30290,36300</v>
      </c>
      <c r="R170" s="2">
        <f t="shared" si="111"/>
        <v>30290</v>
      </c>
      <c r="S170" s="2">
        <f t="shared" si="107"/>
        <v>36300</v>
      </c>
      <c r="T170" s="2" t="s">
        <v>57</v>
      </c>
      <c r="U170" s="2" t="str">
        <f t="shared" si="93"/>
        <v>1074,1300</v>
      </c>
      <c r="V170" s="2">
        <f t="shared" si="112"/>
        <v>1074</v>
      </c>
      <c r="W170" s="2">
        <f t="shared" si="108"/>
        <v>1300</v>
      </c>
      <c r="X170" s="2" t="s">
        <v>58</v>
      </c>
      <c r="Y170" s="2" t="str">
        <f t="shared" si="94"/>
        <v>2428,2900</v>
      </c>
      <c r="Z170" s="2">
        <f t="shared" si="113"/>
        <v>2428</v>
      </c>
      <c r="AA170" s="2">
        <f t="shared" si="109"/>
        <v>2900</v>
      </c>
      <c r="AB170" s="2">
        <v>80000</v>
      </c>
      <c r="AC170" s="2" t="e">
        <f>_xlfn.XLOOKUP($B170, '#참조'!$M:$M, '#참조'!$N:$N)</f>
        <v>#N/A</v>
      </c>
      <c r="AD170" s="2" t="e">
        <f t="shared" si="120"/>
        <v>#N/A</v>
      </c>
      <c r="AE170" s="2">
        <f t="shared" si="95"/>
        <v>5204</v>
      </c>
    </row>
    <row r="171" spans="1:31" x14ac:dyDescent="0.2">
      <c r="A171" s="2">
        <f t="shared" si="91"/>
        <v>10051015</v>
      </c>
      <c r="B171" s="1">
        <v>10000051</v>
      </c>
      <c r="C171" s="1" t="s">
        <v>281</v>
      </c>
      <c r="D171" s="1" t="s">
        <v>309</v>
      </c>
      <c r="E171" s="1" t="str">
        <f>"Persona_"&amp;_xlfn.XLOOKUP($B171, '#캐릭터'!$A:$A, '#캐릭터'!$C:$C)</f>
        <v>Persona_c051</v>
      </c>
      <c r="F171" s="1"/>
      <c r="G171" s="1">
        <f>_xlfn.XLOOKUP(_xlfn.XLOOKUP(B171,'[1]Detail&lt;Child&gt;'!$A:$A,'[1]Detail&lt;Child&gt;'!$N:$N),'#참조'!P:P,'#참조'!Q:Q)</f>
        <v>5</v>
      </c>
      <c r="H171" s="1">
        <f>_xlfn.XLOOKUP(_xlfn.XLOOKUP(B171,'[1]Detail&lt;Child&gt;'!$A:$A,'[1]Detail&lt;Child&gt;'!$O:$O),'#참조'!R:R,'#참조'!S:S)</f>
        <v>2</v>
      </c>
      <c r="I171" s="1">
        <v>5</v>
      </c>
      <c r="J171" s="1">
        <v>3</v>
      </c>
      <c r="K171" s="1">
        <v>5</v>
      </c>
      <c r="L171" s="1">
        <v>15</v>
      </c>
      <c r="M171" s="2" t="s">
        <v>19</v>
      </c>
      <c r="N171" s="2" t="s">
        <v>407</v>
      </c>
      <c r="O171" s="2">
        <f t="shared" si="110"/>
        <v>7597</v>
      </c>
      <c r="P171" s="2" t="s">
        <v>56</v>
      </c>
      <c r="Q171" s="2" t="str">
        <f t="shared" si="92"/>
        <v>39377,47300</v>
      </c>
      <c r="R171" s="2">
        <f t="shared" si="111"/>
        <v>39377</v>
      </c>
      <c r="S171" s="2">
        <f t="shared" si="107"/>
        <v>47300</v>
      </c>
      <c r="T171" s="2" t="s">
        <v>57</v>
      </c>
      <c r="U171" s="2" t="str">
        <f t="shared" si="93"/>
        <v>1289,1500</v>
      </c>
      <c r="V171" s="2">
        <f t="shared" si="112"/>
        <v>1289</v>
      </c>
      <c r="W171" s="2">
        <f t="shared" si="108"/>
        <v>1500</v>
      </c>
      <c r="X171" s="2" t="s">
        <v>58</v>
      </c>
      <c r="Y171" s="2" t="str">
        <f t="shared" si="94"/>
        <v>3156,3800</v>
      </c>
      <c r="Z171" s="2">
        <f t="shared" si="113"/>
        <v>3156</v>
      </c>
      <c r="AA171" s="2">
        <f t="shared" si="109"/>
        <v>3800</v>
      </c>
      <c r="AB171" s="2">
        <v>80000</v>
      </c>
      <c r="AC171" s="2" t="e">
        <f>_xlfn.XLOOKUP($B171, '#참조'!$M:$M, '#참조'!$N:$N)</f>
        <v>#N/A</v>
      </c>
      <c r="AD171" s="2" t="e">
        <f t="shared" si="120"/>
        <v>#N/A</v>
      </c>
      <c r="AE171" s="2">
        <f t="shared" si="95"/>
        <v>5205</v>
      </c>
    </row>
    <row r="172" spans="1:31" x14ac:dyDescent="0.2">
      <c r="A172" s="2">
        <f t="shared" si="91"/>
        <v>10051016</v>
      </c>
      <c r="B172" s="1">
        <v>10000051</v>
      </c>
      <c r="C172" s="1" t="s">
        <v>281</v>
      </c>
      <c r="D172" s="1" t="s">
        <v>309</v>
      </c>
      <c r="E172" s="1" t="str">
        <f>"Persona_"&amp;_xlfn.XLOOKUP($B172, '#캐릭터'!$A:$A, '#캐릭터'!$C:$C)</f>
        <v>Persona_c051</v>
      </c>
      <c r="F172" s="1"/>
      <c r="G172" s="1">
        <f>_xlfn.XLOOKUP(_xlfn.XLOOKUP(B172,'[1]Detail&lt;Child&gt;'!$A:$A,'[1]Detail&lt;Child&gt;'!$N:$N),'#참조'!P:P,'#참조'!Q:Q)</f>
        <v>5</v>
      </c>
      <c r="H172" s="1">
        <f>_xlfn.XLOOKUP(_xlfn.XLOOKUP(B172,'[1]Detail&lt;Child&gt;'!$A:$A,'[1]Detail&lt;Child&gt;'!$O:$O),'#참조'!R:R,'#참조'!S:S)</f>
        <v>2</v>
      </c>
      <c r="I172" s="1">
        <v>5</v>
      </c>
      <c r="J172" s="1">
        <v>3</v>
      </c>
      <c r="K172" s="1">
        <v>6</v>
      </c>
      <c r="L172" s="1">
        <v>16</v>
      </c>
      <c r="M172" s="2" t="s">
        <v>20</v>
      </c>
      <c r="N172" s="2" t="s">
        <v>407</v>
      </c>
      <c r="O172" s="2">
        <f t="shared" si="110"/>
        <v>8357</v>
      </c>
      <c r="P172" s="2" t="s">
        <v>56</v>
      </c>
      <c r="Q172" s="2" t="str">
        <f t="shared" si="92"/>
        <v>51190,61400</v>
      </c>
      <c r="R172" s="2">
        <f t="shared" si="111"/>
        <v>51190</v>
      </c>
      <c r="S172" s="2">
        <f t="shared" si="107"/>
        <v>61400</v>
      </c>
      <c r="T172" s="2" t="s">
        <v>57</v>
      </c>
      <c r="U172" s="2" t="str">
        <f t="shared" si="93"/>
        <v>1547,1900</v>
      </c>
      <c r="V172" s="2">
        <f t="shared" si="112"/>
        <v>1547</v>
      </c>
      <c r="W172" s="2">
        <f t="shared" si="108"/>
        <v>1900</v>
      </c>
      <c r="X172" s="2" t="s">
        <v>58</v>
      </c>
      <c r="Y172" s="2" t="str">
        <f t="shared" si="94"/>
        <v>4103,4900</v>
      </c>
      <c r="Z172" s="2">
        <f t="shared" si="113"/>
        <v>4103</v>
      </c>
      <c r="AA172" s="2">
        <f t="shared" si="109"/>
        <v>4900</v>
      </c>
      <c r="AB172" s="2">
        <v>75000</v>
      </c>
      <c r="AC172" s="2" t="e">
        <f>_xlfn.XLOOKUP($B172, '#참조'!$M:$M, '#참조'!$N:$N)</f>
        <v>#N/A</v>
      </c>
      <c r="AD172" s="2" t="e">
        <f t="shared" si="120"/>
        <v>#N/A</v>
      </c>
      <c r="AE172" s="2">
        <f t="shared" si="95"/>
        <v>5205</v>
      </c>
    </row>
    <row r="173" spans="1:31" x14ac:dyDescent="0.2">
      <c r="A173" s="2">
        <f t="shared" si="91"/>
        <v>10051017</v>
      </c>
      <c r="B173" s="1">
        <v>10000051</v>
      </c>
      <c r="C173" s="1" t="s">
        <v>281</v>
      </c>
      <c r="D173" s="1" t="s">
        <v>309</v>
      </c>
      <c r="E173" s="1" t="str">
        <f>"Persona_"&amp;_xlfn.XLOOKUP($B173, '#캐릭터'!$A:$A, '#캐릭터'!$C:$C)</f>
        <v>Persona_c051</v>
      </c>
      <c r="F173" s="1"/>
      <c r="G173" s="1">
        <f>_xlfn.XLOOKUP(_xlfn.XLOOKUP(B173,'[1]Detail&lt;Child&gt;'!$A:$A,'[1]Detail&lt;Child&gt;'!$N:$N),'#참조'!P:P,'#참조'!Q:Q)</f>
        <v>5</v>
      </c>
      <c r="H173" s="1">
        <f>_xlfn.XLOOKUP(_xlfn.XLOOKUP(B173,'[1]Detail&lt;Child&gt;'!$A:$A,'[1]Detail&lt;Child&gt;'!$O:$O),'#참조'!R:R,'#참조'!S:S)</f>
        <v>2</v>
      </c>
      <c r="I173" s="1">
        <v>6</v>
      </c>
      <c r="J173" s="1">
        <v>3</v>
      </c>
      <c r="K173" s="1">
        <v>6</v>
      </c>
      <c r="L173" s="1">
        <v>17</v>
      </c>
      <c r="M173" s="2" t="s">
        <v>21</v>
      </c>
      <c r="N173" s="2" t="s">
        <v>407</v>
      </c>
      <c r="O173" s="2">
        <f t="shared" si="110"/>
        <v>9193</v>
      </c>
      <c r="P173" s="2" t="s">
        <v>56</v>
      </c>
      <c r="Q173" s="2" t="str">
        <f t="shared" si="92"/>
        <v>66547,79900</v>
      </c>
      <c r="R173" s="2">
        <f t="shared" si="111"/>
        <v>66547</v>
      </c>
      <c r="S173" s="2">
        <f t="shared" si="107"/>
        <v>79900</v>
      </c>
      <c r="T173" s="2" t="s">
        <v>57</v>
      </c>
      <c r="U173" s="2" t="str">
        <f t="shared" si="93"/>
        <v>1856,2200</v>
      </c>
      <c r="V173" s="2">
        <f t="shared" si="112"/>
        <v>1856</v>
      </c>
      <c r="W173" s="2">
        <f t="shared" si="108"/>
        <v>2200</v>
      </c>
      <c r="X173" s="2" t="s">
        <v>58</v>
      </c>
      <c r="Y173" s="2" t="str">
        <f t="shared" si="94"/>
        <v>5334,6400</v>
      </c>
      <c r="Z173" s="2">
        <f t="shared" si="113"/>
        <v>5334</v>
      </c>
      <c r="AA173" s="2">
        <f t="shared" si="109"/>
        <v>6400</v>
      </c>
      <c r="AB173" s="2">
        <v>75000</v>
      </c>
      <c r="AC173" s="2" t="e">
        <f>_xlfn.XLOOKUP($B173, '#참조'!$M:$M, '#참조'!$N:$N)</f>
        <v>#N/A</v>
      </c>
      <c r="AD173" s="2" t="e">
        <f t="shared" si="120"/>
        <v>#N/A</v>
      </c>
      <c r="AE173" s="2">
        <f t="shared" si="95"/>
        <v>5206</v>
      </c>
    </row>
    <row r="174" spans="1:31" x14ac:dyDescent="0.2">
      <c r="A174" s="2">
        <f t="shared" si="91"/>
        <v>10051018</v>
      </c>
      <c r="B174" s="1">
        <v>10000051</v>
      </c>
      <c r="C174" s="1" t="s">
        <v>281</v>
      </c>
      <c r="D174" s="1" t="s">
        <v>309</v>
      </c>
      <c r="E174" s="1" t="str">
        <f>"Persona_"&amp;_xlfn.XLOOKUP($B174, '#캐릭터'!$A:$A, '#캐릭터'!$C:$C)</f>
        <v>Persona_c051</v>
      </c>
      <c r="F174" s="1"/>
      <c r="G174" s="1">
        <f>_xlfn.XLOOKUP(_xlfn.XLOOKUP(B174,'[1]Detail&lt;Child&gt;'!$A:$A,'[1]Detail&lt;Child&gt;'!$N:$N),'#참조'!P:P,'#참조'!Q:Q)</f>
        <v>5</v>
      </c>
      <c r="H174" s="1">
        <f>_xlfn.XLOOKUP(_xlfn.XLOOKUP(B174,'[1]Detail&lt;Child&gt;'!$A:$A,'[1]Detail&lt;Child&gt;'!$O:$O),'#참조'!R:R,'#참조'!S:S)</f>
        <v>2</v>
      </c>
      <c r="I174" s="1">
        <v>6</v>
      </c>
      <c r="J174" s="1">
        <v>3</v>
      </c>
      <c r="K174" s="1">
        <v>6</v>
      </c>
      <c r="L174" s="1">
        <v>18</v>
      </c>
      <c r="M174" s="2" t="s">
        <v>22</v>
      </c>
      <c r="N174" s="2" t="s">
        <v>407</v>
      </c>
      <c r="O174" s="2">
        <f t="shared" si="110"/>
        <v>10112</v>
      </c>
      <c r="P174" s="2" t="s">
        <v>56</v>
      </c>
      <c r="Q174" s="2" t="str">
        <f t="shared" si="92"/>
        <v>86511,103800</v>
      </c>
      <c r="R174" s="2">
        <f t="shared" si="111"/>
        <v>86511</v>
      </c>
      <c r="S174" s="2">
        <f t="shared" si="107"/>
        <v>103800</v>
      </c>
      <c r="T174" s="2" t="s">
        <v>57</v>
      </c>
      <c r="U174" s="2" t="str">
        <f t="shared" si="93"/>
        <v>2227,2700</v>
      </c>
      <c r="V174" s="2">
        <f t="shared" si="112"/>
        <v>2227</v>
      </c>
      <c r="W174" s="2">
        <f t="shared" si="108"/>
        <v>2700</v>
      </c>
      <c r="X174" s="2" t="s">
        <v>58</v>
      </c>
      <c r="Y174" s="2" t="str">
        <f t="shared" si="94"/>
        <v>6934,8300</v>
      </c>
      <c r="Z174" s="2">
        <f t="shared" si="113"/>
        <v>6934</v>
      </c>
      <c r="AA174" s="2">
        <f t="shared" si="109"/>
        <v>8300</v>
      </c>
      <c r="AB174" s="2">
        <v>75000</v>
      </c>
      <c r="AC174" s="2" t="e">
        <f>_xlfn.XLOOKUP($B174, '#참조'!$M:$M, '#참조'!$N:$N)</f>
        <v>#N/A</v>
      </c>
      <c r="AD174" s="2" t="e">
        <f t="shared" si="120"/>
        <v>#N/A</v>
      </c>
      <c r="AE174" s="2">
        <f t="shared" si="95"/>
        <v>5206</v>
      </c>
    </row>
    <row r="175" spans="1:31" x14ac:dyDescent="0.2">
      <c r="A175" s="2">
        <f t="shared" si="91"/>
        <v>10364000</v>
      </c>
      <c r="B175" s="1">
        <v>10000364</v>
      </c>
      <c r="C175" s="1" t="s">
        <v>281</v>
      </c>
      <c r="D175" s="1" t="s">
        <v>309</v>
      </c>
      <c r="E175" s="1" t="str">
        <f>"Persona_"&amp;_xlfn.XLOOKUP($B175, '#캐릭터'!$A:$A, '#캐릭터'!$C:$C)</f>
        <v>Persona_c364</v>
      </c>
      <c r="F175" s="1"/>
      <c r="G175" s="1">
        <f>_xlfn.XLOOKUP(_xlfn.XLOOKUP(B175,'[1]Detail&lt;Child&gt;'!$A:$A,'[1]Detail&lt;Child&gt;'!$N:$N),'#참조'!P:P,'#참조'!Q:Q)</f>
        <v>4</v>
      </c>
      <c r="H175" s="1">
        <f>_xlfn.XLOOKUP(_xlfn.XLOOKUP(B175,'[1]Detail&lt;Child&gt;'!$A:$A,'[1]Detail&lt;Child&gt;'!$O:$O),'#참조'!R:R,'#참조'!S:S)</f>
        <v>4</v>
      </c>
      <c r="I175" s="1">
        <v>0</v>
      </c>
      <c r="J175" s="1">
        <v>3</v>
      </c>
      <c r="K175" s="1">
        <v>0</v>
      </c>
      <c r="L175" s="1">
        <v>0</v>
      </c>
      <c r="M175" s="2" t="s">
        <v>2</v>
      </c>
      <c r="N175" s="2" t="s">
        <v>407</v>
      </c>
      <c r="O175" s="2">
        <v>0</v>
      </c>
      <c r="P175" s="2" t="s">
        <v>56</v>
      </c>
      <c r="Q175" s="2" t="str">
        <f t="shared" si="92"/>
        <v>1000,1000</v>
      </c>
      <c r="R175" s="2">
        <v>1000</v>
      </c>
      <c r="S175" s="2">
        <f t="shared" ref="S175" si="125">R175</f>
        <v>1000</v>
      </c>
      <c r="T175" s="2" t="s">
        <v>57</v>
      </c>
      <c r="U175" s="2" t="str">
        <f t="shared" si="93"/>
        <v>100,100</v>
      </c>
      <c r="V175" s="2">
        <v>100</v>
      </c>
      <c r="W175" s="2">
        <f t="shared" ref="W175" si="126">V175</f>
        <v>100</v>
      </c>
      <c r="X175" s="2" t="s">
        <v>58</v>
      </c>
      <c r="Y175" s="2" t="str">
        <f t="shared" si="94"/>
        <v>80,80</v>
      </c>
      <c r="Z175" s="2">
        <v>80</v>
      </c>
      <c r="AA175" s="2">
        <f t="shared" ref="AA175" si="127">Z175</f>
        <v>80</v>
      </c>
      <c r="AB175" s="2">
        <v>100000</v>
      </c>
      <c r="AE175" s="2">
        <f t="shared" si="95"/>
        <v>0</v>
      </c>
    </row>
    <row r="176" spans="1:31" x14ac:dyDescent="0.2">
      <c r="A176" s="2">
        <f t="shared" si="91"/>
        <v>10364001</v>
      </c>
      <c r="B176" s="1">
        <v>10000364</v>
      </c>
      <c r="C176" s="1" t="s">
        <v>281</v>
      </c>
      <c r="D176" s="1" t="s">
        <v>309</v>
      </c>
      <c r="E176" s="1" t="str">
        <f>"Persona_"&amp;_xlfn.XLOOKUP($B176, '#캐릭터'!$A:$A, '#캐릭터'!$C:$C)</f>
        <v>Persona_c364</v>
      </c>
      <c r="F176" s="1"/>
      <c r="G176" s="1">
        <f>_xlfn.XLOOKUP(_xlfn.XLOOKUP(B176,'[1]Detail&lt;Child&gt;'!$A:$A,'[1]Detail&lt;Child&gt;'!$N:$N),'#참조'!P:P,'#참조'!Q:Q)</f>
        <v>4</v>
      </c>
      <c r="H176" s="1">
        <f>_xlfn.XLOOKUP(_xlfn.XLOOKUP(B176,'[1]Detail&lt;Child&gt;'!$A:$A,'[1]Detail&lt;Child&gt;'!$O:$O),'#참조'!R:R,'#참조'!S:S)</f>
        <v>4</v>
      </c>
      <c r="I176" s="1">
        <v>0</v>
      </c>
      <c r="J176" s="1">
        <v>3</v>
      </c>
      <c r="K176" s="1">
        <v>1</v>
      </c>
      <c r="L176" s="1">
        <v>1</v>
      </c>
      <c r="M176" s="2" t="s">
        <v>5</v>
      </c>
      <c r="N176" s="2" t="s">
        <v>407</v>
      </c>
      <c r="O176" s="2">
        <v>2000</v>
      </c>
      <c r="P176" s="2" t="s">
        <v>56</v>
      </c>
      <c r="Q176" s="2" t="str">
        <f t="shared" si="92"/>
        <v>1000,1200</v>
      </c>
      <c r="R176" s="2">
        <v>1000</v>
      </c>
      <c r="S176" s="2">
        <f t="shared" ref="S176" si="128">ROUND(R176*1.2, -2)</f>
        <v>1200</v>
      </c>
      <c r="T176" s="2" t="s">
        <v>57</v>
      </c>
      <c r="U176" s="2" t="str">
        <f t="shared" si="93"/>
        <v>100,100</v>
      </c>
      <c r="V176" s="2">
        <v>100</v>
      </c>
      <c r="W176" s="2">
        <f t="shared" ref="W176" si="129">ROUND(V176*1.2, -2)</f>
        <v>100</v>
      </c>
      <c r="X176" s="2" t="s">
        <v>58</v>
      </c>
      <c r="Y176" s="2" t="str">
        <f t="shared" si="94"/>
        <v>80,100</v>
      </c>
      <c r="Z176" s="2">
        <v>80</v>
      </c>
      <c r="AA176" s="2">
        <f t="shared" ref="AA176" si="130">ROUND(Z176*1.2, -2)</f>
        <v>100</v>
      </c>
      <c r="AB176" s="2">
        <v>100000</v>
      </c>
      <c r="AC176" s="2" t="e">
        <f>_xlfn.XLOOKUP($B176, '#참조'!$M:$M, '#참조'!$N:$N)</f>
        <v>#N/A</v>
      </c>
      <c r="AD176" s="2" t="e">
        <f t="shared" ref="AD176:AD193" si="131">M176&amp;"_"&amp;AC176</f>
        <v>#N/A</v>
      </c>
      <c r="AE176" s="2">
        <f t="shared" si="95"/>
        <v>0</v>
      </c>
    </row>
    <row r="177" spans="1:31" x14ac:dyDescent="0.2">
      <c r="A177" s="2">
        <f t="shared" si="91"/>
        <v>10364002</v>
      </c>
      <c r="B177" s="1">
        <v>10000364</v>
      </c>
      <c r="C177" s="1" t="s">
        <v>281</v>
      </c>
      <c r="D177" s="1" t="s">
        <v>309</v>
      </c>
      <c r="E177" s="1" t="str">
        <f>"Persona_"&amp;_xlfn.XLOOKUP($B177, '#캐릭터'!$A:$A, '#캐릭터'!$C:$C)</f>
        <v>Persona_c364</v>
      </c>
      <c r="F177" s="1"/>
      <c r="G177" s="1">
        <f>_xlfn.XLOOKUP(_xlfn.XLOOKUP(B177,'[1]Detail&lt;Child&gt;'!$A:$A,'[1]Detail&lt;Child&gt;'!$N:$N),'#참조'!P:P,'#참조'!Q:Q)</f>
        <v>4</v>
      </c>
      <c r="H177" s="1">
        <f>_xlfn.XLOOKUP(_xlfn.XLOOKUP(B177,'[1]Detail&lt;Child&gt;'!$A:$A,'[1]Detail&lt;Child&gt;'!$O:$O),'#참조'!R:R,'#참조'!S:S)</f>
        <v>4</v>
      </c>
      <c r="I177" s="1">
        <v>0</v>
      </c>
      <c r="J177" s="1">
        <v>3</v>
      </c>
      <c r="K177" s="1">
        <v>1</v>
      </c>
      <c r="L177" s="1">
        <v>2</v>
      </c>
      <c r="M177" s="2" t="s">
        <v>6</v>
      </c>
      <c r="N177" s="2" t="s">
        <v>407</v>
      </c>
      <c r="O177" s="2">
        <f t="shared" ref="O177" si="132">ROUND(O176*1.1, 0)</f>
        <v>2200</v>
      </c>
      <c r="P177" s="2" t="s">
        <v>56</v>
      </c>
      <c r="Q177" s="2" t="str">
        <f t="shared" si="92"/>
        <v>1300,1600</v>
      </c>
      <c r="R177" s="2">
        <f t="shared" ref="R177" si="133">ROUND(R176*1.3, 0)</f>
        <v>1300</v>
      </c>
      <c r="S177" s="2">
        <f t="shared" si="107"/>
        <v>1600</v>
      </c>
      <c r="T177" s="2" t="s">
        <v>57</v>
      </c>
      <c r="U177" s="2" t="str">
        <f t="shared" si="93"/>
        <v>120,100</v>
      </c>
      <c r="V177" s="2">
        <f t="shared" ref="V177" si="134">ROUND(V176*1.2, 0)</f>
        <v>120</v>
      </c>
      <c r="W177" s="2">
        <f t="shared" si="108"/>
        <v>100</v>
      </c>
      <c r="X177" s="2" t="s">
        <v>58</v>
      </c>
      <c r="Y177" s="2" t="str">
        <f t="shared" si="94"/>
        <v>104,100</v>
      </c>
      <c r="Z177" s="2">
        <f t="shared" ref="Z177" si="135">ROUND(Z176*1.3, 0)</f>
        <v>104</v>
      </c>
      <c r="AA177" s="2">
        <f t="shared" si="109"/>
        <v>100</v>
      </c>
      <c r="AB177" s="2">
        <v>100000</v>
      </c>
      <c r="AC177" s="2" t="e">
        <f>_xlfn.XLOOKUP($B177, '#참조'!$M:$M, '#참조'!$N:$N)</f>
        <v>#N/A</v>
      </c>
      <c r="AD177" s="2" t="e">
        <f t="shared" si="131"/>
        <v>#N/A</v>
      </c>
      <c r="AE177" s="2">
        <f t="shared" si="95"/>
        <v>0</v>
      </c>
    </row>
    <row r="178" spans="1:31" x14ac:dyDescent="0.2">
      <c r="A178" s="2">
        <f t="shared" si="91"/>
        <v>10364003</v>
      </c>
      <c r="B178" s="1">
        <v>10000364</v>
      </c>
      <c r="C178" s="1" t="s">
        <v>281</v>
      </c>
      <c r="D178" s="1" t="s">
        <v>309</v>
      </c>
      <c r="E178" s="1" t="str">
        <f>"Persona_"&amp;_xlfn.XLOOKUP($B178, '#캐릭터'!$A:$A, '#캐릭터'!$C:$C)</f>
        <v>Persona_c364</v>
      </c>
      <c r="F178" s="1"/>
      <c r="G178" s="1">
        <f>_xlfn.XLOOKUP(_xlfn.XLOOKUP(B178,'[1]Detail&lt;Child&gt;'!$A:$A,'[1]Detail&lt;Child&gt;'!$N:$N),'#참조'!P:P,'#참조'!Q:Q)</f>
        <v>4</v>
      </c>
      <c r="H178" s="1">
        <f>_xlfn.XLOOKUP(_xlfn.XLOOKUP(B178,'[1]Detail&lt;Child&gt;'!$A:$A,'[1]Detail&lt;Child&gt;'!$O:$O),'#참조'!R:R,'#참조'!S:S)</f>
        <v>4</v>
      </c>
      <c r="I178" s="1">
        <v>0</v>
      </c>
      <c r="J178" s="1">
        <v>3</v>
      </c>
      <c r="K178" s="1">
        <v>1</v>
      </c>
      <c r="L178" s="1">
        <v>3</v>
      </c>
      <c r="M178" s="2" t="s">
        <v>7</v>
      </c>
      <c r="N178" s="2" t="s">
        <v>407</v>
      </c>
      <c r="O178" s="2">
        <f t="shared" si="110"/>
        <v>2420</v>
      </c>
      <c r="P178" s="2" t="s">
        <v>56</v>
      </c>
      <c r="Q178" s="2" t="str">
        <f t="shared" si="92"/>
        <v>1690,2000</v>
      </c>
      <c r="R178" s="2">
        <f t="shared" si="111"/>
        <v>1690</v>
      </c>
      <c r="S178" s="2">
        <f t="shared" si="107"/>
        <v>2000</v>
      </c>
      <c r="T178" s="2" t="s">
        <v>57</v>
      </c>
      <c r="U178" s="2" t="str">
        <f t="shared" si="93"/>
        <v>144,200</v>
      </c>
      <c r="V178" s="2">
        <f t="shared" si="112"/>
        <v>144</v>
      </c>
      <c r="W178" s="2">
        <f t="shared" si="108"/>
        <v>200</v>
      </c>
      <c r="X178" s="2" t="s">
        <v>58</v>
      </c>
      <c r="Y178" s="2" t="str">
        <f t="shared" si="94"/>
        <v>135,200</v>
      </c>
      <c r="Z178" s="2">
        <f t="shared" si="113"/>
        <v>135</v>
      </c>
      <c r="AA178" s="2">
        <f t="shared" si="109"/>
        <v>200</v>
      </c>
      <c r="AB178" s="2">
        <v>100000</v>
      </c>
      <c r="AC178" s="2" t="e">
        <f>_xlfn.XLOOKUP($B178, '#참조'!$M:$M, '#참조'!$N:$N)</f>
        <v>#N/A</v>
      </c>
      <c r="AD178" s="2" t="e">
        <f t="shared" si="131"/>
        <v>#N/A</v>
      </c>
      <c r="AE178" s="2">
        <f t="shared" si="95"/>
        <v>0</v>
      </c>
    </row>
    <row r="179" spans="1:31" x14ac:dyDescent="0.2">
      <c r="A179" s="2">
        <f t="shared" si="91"/>
        <v>10364004</v>
      </c>
      <c r="B179" s="1">
        <v>10000364</v>
      </c>
      <c r="C179" s="1" t="s">
        <v>281</v>
      </c>
      <c r="D179" s="1" t="s">
        <v>309</v>
      </c>
      <c r="E179" s="1" t="str">
        <f>"Persona_"&amp;_xlfn.XLOOKUP($B179, '#캐릭터'!$A:$A, '#캐릭터'!$C:$C)</f>
        <v>Persona_c364</v>
      </c>
      <c r="F179" s="1"/>
      <c r="G179" s="1">
        <f>_xlfn.XLOOKUP(_xlfn.XLOOKUP(B179,'[1]Detail&lt;Child&gt;'!$A:$A,'[1]Detail&lt;Child&gt;'!$N:$N),'#참조'!P:P,'#참조'!Q:Q)</f>
        <v>4</v>
      </c>
      <c r="H179" s="1">
        <f>_xlfn.XLOOKUP(_xlfn.XLOOKUP(B179,'[1]Detail&lt;Child&gt;'!$A:$A,'[1]Detail&lt;Child&gt;'!$O:$O),'#참조'!R:R,'#참조'!S:S)</f>
        <v>4</v>
      </c>
      <c r="I179" s="1">
        <v>0</v>
      </c>
      <c r="J179" s="1">
        <v>3</v>
      </c>
      <c r="K179" s="1">
        <v>2</v>
      </c>
      <c r="L179" s="1">
        <v>4</v>
      </c>
      <c r="M179" s="2" t="s">
        <v>8</v>
      </c>
      <c r="N179" s="2" t="s">
        <v>407</v>
      </c>
      <c r="O179" s="2">
        <f t="shared" si="110"/>
        <v>2662</v>
      </c>
      <c r="P179" s="2" t="s">
        <v>56</v>
      </c>
      <c r="Q179" s="2" t="str">
        <f t="shared" si="92"/>
        <v>2197,2600</v>
      </c>
      <c r="R179" s="2">
        <f t="shared" si="111"/>
        <v>2197</v>
      </c>
      <c r="S179" s="2">
        <f t="shared" si="107"/>
        <v>2600</v>
      </c>
      <c r="T179" s="2" t="s">
        <v>57</v>
      </c>
      <c r="U179" s="2" t="str">
        <f t="shared" si="93"/>
        <v>173,200</v>
      </c>
      <c r="V179" s="2">
        <f t="shared" si="112"/>
        <v>173</v>
      </c>
      <c r="W179" s="2">
        <f t="shared" si="108"/>
        <v>200</v>
      </c>
      <c r="X179" s="2" t="s">
        <v>58</v>
      </c>
      <c r="Y179" s="2" t="str">
        <f t="shared" si="94"/>
        <v>176,200</v>
      </c>
      <c r="Z179" s="2">
        <f t="shared" si="113"/>
        <v>176</v>
      </c>
      <c r="AA179" s="2">
        <f t="shared" si="109"/>
        <v>200</v>
      </c>
      <c r="AB179" s="2">
        <v>95000</v>
      </c>
      <c r="AC179" s="2" t="e">
        <f>_xlfn.XLOOKUP($B179, '#참조'!$M:$M, '#참조'!$N:$N)</f>
        <v>#N/A</v>
      </c>
      <c r="AD179" s="2" t="e">
        <f t="shared" si="131"/>
        <v>#N/A</v>
      </c>
      <c r="AE179" s="2">
        <f t="shared" si="95"/>
        <v>0</v>
      </c>
    </row>
    <row r="180" spans="1:31" x14ac:dyDescent="0.2">
      <c r="A180" s="2">
        <f t="shared" si="91"/>
        <v>10364005</v>
      </c>
      <c r="B180" s="1">
        <v>10000364</v>
      </c>
      <c r="C180" s="1" t="s">
        <v>281</v>
      </c>
      <c r="D180" s="1" t="s">
        <v>309</v>
      </c>
      <c r="E180" s="1" t="str">
        <f>"Persona_"&amp;_xlfn.XLOOKUP($B180, '#캐릭터'!$A:$A, '#캐릭터'!$C:$C)</f>
        <v>Persona_c364</v>
      </c>
      <c r="F180" s="1"/>
      <c r="G180" s="1">
        <f>_xlfn.XLOOKUP(_xlfn.XLOOKUP(B180,'[1]Detail&lt;Child&gt;'!$A:$A,'[1]Detail&lt;Child&gt;'!$N:$N),'#참조'!P:P,'#참조'!Q:Q)</f>
        <v>4</v>
      </c>
      <c r="H180" s="1">
        <f>_xlfn.XLOOKUP(_xlfn.XLOOKUP(B180,'[1]Detail&lt;Child&gt;'!$A:$A,'[1]Detail&lt;Child&gt;'!$O:$O),'#참조'!R:R,'#참조'!S:S)</f>
        <v>4</v>
      </c>
      <c r="I180" s="1">
        <v>0</v>
      </c>
      <c r="J180" s="1">
        <v>3</v>
      </c>
      <c r="K180" s="1">
        <v>2</v>
      </c>
      <c r="L180" s="1">
        <v>5</v>
      </c>
      <c r="M180" s="2" t="s">
        <v>9</v>
      </c>
      <c r="N180" s="2" t="s">
        <v>407</v>
      </c>
      <c r="O180" s="2">
        <f t="shared" si="110"/>
        <v>2928</v>
      </c>
      <c r="P180" s="2" t="s">
        <v>56</v>
      </c>
      <c r="Q180" s="2" t="str">
        <f t="shared" si="92"/>
        <v>2856,3400</v>
      </c>
      <c r="R180" s="2">
        <f t="shared" si="111"/>
        <v>2856</v>
      </c>
      <c r="S180" s="2">
        <f t="shared" si="107"/>
        <v>3400</v>
      </c>
      <c r="T180" s="2" t="s">
        <v>57</v>
      </c>
      <c r="U180" s="2" t="str">
        <f t="shared" si="93"/>
        <v>208,200</v>
      </c>
      <c r="V180" s="2">
        <f t="shared" si="112"/>
        <v>208</v>
      </c>
      <c r="W180" s="2">
        <f t="shared" si="108"/>
        <v>200</v>
      </c>
      <c r="X180" s="2" t="s">
        <v>58</v>
      </c>
      <c r="Y180" s="2" t="str">
        <f t="shared" si="94"/>
        <v>229,300</v>
      </c>
      <c r="Z180" s="2">
        <f t="shared" si="113"/>
        <v>229</v>
      </c>
      <c r="AA180" s="2">
        <f t="shared" si="109"/>
        <v>300</v>
      </c>
      <c r="AB180" s="2">
        <v>95000</v>
      </c>
      <c r="AC180" s="2" t="e">
        <f>_xlfn.XLOOKUP($B180, '#참조'!$M:$M, '#참조'!$N:$N)</f>
        <v>#N/A</v>
      </c>
      <c r="AD180" s="2" t="e">
        <f t="shared" si="131"/>
        <v>#N/A</v>
      </c>
      <c r="AE180" s="2">
        <f t="shared" si="95"/>
        <v>0</v>
      </c>
    </row>
    <row r="181" spans="1:31" x14ac:dyDescent="0.2">
      <c r="A181" s="2">
        <f t="shared" si="91"/>
        <v>10364006</v>
      </c>
      <c r="B181" s="1">
        <v>10000364</v>
      </c>
      <c r="C181" s="1" t="s">
        <v>281</v>
      </c>
      <c r="D181" s="1" t="s">
        <v>309</v>
      </c>
      <c r="E181" s="1" t="str">
        <f>"Persona_"&amp;_xlfn.XLOOKUP($B181, '#캐릭터'!$A:$A, '#캐릭터'!$C:$C)</f>
        <v>Persona_c364</v>
      </c>
      <c r="F181" s="1"/>
      <c r="G181" s="1">
        <f>_xlfn.XLOOKUP(_xlfn.XLOOKUP(B181,'[1]Detail&lt;Child&gt;'!$A:$A,'[1]Detail&lt;Child&gt;'!$N:$N),'#참조'!P:P,'#참조'!Q:Q)</f>
        <v>4</v>
      </c>
      <c r="H181" s="1">
        <f>_xlfn.XLOOKUP(_xlfn.XLOOKUP(B181,'[1]Detail&lt;Child&gt;'!$A:$A,'[1]Detail&lt;Child&gt;'!$O:$O),'#참조'!R:R,'#참조'!S:S)</f>
        <v>4</v>
      </c>
      <c r="I181" s="1">
        <v>0</v>
      </c>
      <c r="J181" s="1">
        <v>3</v>
      </c>
      <c r="K181" s="1">
        <v>2</v>
      </c>
      <c r="L181" s="1">
        <v>6</v>
      </c>
      <c r="M181" s="2" t="s">
        <v>10</v>
      </c>
      <c r="N181" s="2" t="s">
        <v>407</v>
      </c>
      <c r="O181" s="2">
        <f t="shared" si="110"/>
        <v>3221</v>
      </c>
      <c r="P181" s="2" t="s">
        <v>56</v>
      </c>
      <c r="Q181" s="2" t="str">
        <f t="shared" si="92"/>
        <v>3713,4500</v>
      </c>
      <c r="R181" s="2">
        <f t="shared" si="111"/>
        <v>3713</v>
      </c>
      <c r="S181" s="2">
        <f t="shared" si="107"/>
        <v>4500</v>
      </c>
      <c r="T181" s="2" t="s">
        <v>57</v>
      </c>
      <c r="U181" s="2" t="str">
        <f t="shared" si="93"/>
        <v>250,300</v>
      </c>
      <c r="V181" s="2">
        <f t="shared" si="112"/>
        <v>250</v>
      </c>
      <c r="W181" s="2">
        <f t="shared" si="108"/>
        <v>300</v>
      </c>
      <c r="X181" s="2" t="s">
        <v>58</v>
      </c>
      <c r="Y181" s="2" t="str">
        <f t="shared" si="94"/>
        <v>298,400</v>
      </c>
      <c r="Z181" s="2">
        <f t="shared" si="113"/>
        <v>298</v>
      </c>
      <c r="AA181" s="2">
        <f t="shared" si="109"/>
        <v>400</v>
      </c>
      <c r="AB181" s="2">
        <v>95000</v>
      </c>
      <c r="AC181" s="2" t="e">
        <f>_xlfn.XLOOKUP($B181, '#참조'!$M:$M, '#참조'!$N:$N)</f>
        <v>#N/A</v>
      </c>
      <c r="AD181" s="2" t="e">
        <f t="shared" si="131"/>
        <v>#N/A</v>
      </c>
      <c r="AE181" s="2">
        <f t="shared" si="95"/>
        <v>0</v>
      </c>
    </row>
    <row r="182" spans="1:31" x14ac:dyDescent="0.2">
      <c r="A182" s="2">
        <f t="shared" si="91"/>
        <v>10364007</v>
      </c>
      <c r="B182" s="1">
        <v>10000364</v>
      </c>
      <c r="C182" s="1" t="s">
        <v>281</v>
      </c>
      <c r="D182" s="1" t="s">
        <v>309</v>
      </c>
      <c r="E182" s="1" t="str">
        <f>"Persona_"&amp;_xlfn.XLOOKUP($B182, '#캐릭터'!$A:$A, '#캐릭터'!$C:$C)</f>
        <v>Persona_c364</v>
      </c>
      <c r="F182" s="1"/>
      <c r="G182" s="1">
        <f>_xlfn.XLOOKUP(_xlfn.XLOOKUP(B182,'[1]Detail&lt;Child&gt;'!$A:$A,'[1]Detail&lt;Child&gt;'!$N:$N),'#참조'!P:P,'#참조'!Q:Q)</f>
        <v>4</v>
      </c>
      <c r="H182" s="1">
        <f>_xlfn.XLOOKUP(_xlfn.XLOOKUP(B182,'[1]Detail&lt;Child&gt;'!$A:$A,'[1]Detail&lt;Child&gt;'!$O:$O),'#참조'!R:R,'#참조'!S:S)</f>
        <v>4</v>
      </c>
      <c r="I182" s="1">
        <v>1</v>
      </c>
      <c r="J182" s="1">
        <v>3</v>
      </c>
      <c r="K182" s="1">
        <v>3</v>
      </c>
      <c r="L182" s="1">
        <v>7</v>
      </c>
      <c r="M182" s="2" t="s">
        <v>11</v>
      </c>
      <c r="N182" s="2" t="s">
        <v>407</v>
      </c>
      <c r="O182" s="2">
        <f t="shared" si="110"/>
        <v>3543</v>
      </c>
      <c r="P182" s="2" t="s">
        <v>56</v>
      </c>
      <c r="Q182" s="2" t="str">
        <f t="shared" si="92"/>
        <v>4827,5800</v>
      </c>
      <c r="R182" s="2">
        <f t="shared" si="111"/>
        <v>4827</v>
      </c>
      <c r="S182" s="2">
        <f t="shared" si="107"/>
        <v>5800</v>
      </c>
      <c r="T182" s="2" t="s">
        <v>57</v>
      </c>
      <c r="U182" s="2" t="str">
        <f t="shared" si="93"/>
        <v>300,400</v>
      </c>
      <c r="V182" s="2">
        <f t="shared" si="112"/>
        <v>300</v>
      </c>
      <c r="W182" s="2">
        <f t="shared" si="108"/>
        <v>400</v>
      </c>
      <c r="X182" s="2" t="s">
        <v>58</v>
      </c>
      <c r="Y182" s="2" t="str">
        <f t="shared" si="94"/>
        <v>387,500</v>
      </c>
      <c r="Z182" s="2">
        <f t="shared" si="113"/>
        <v>387</v>
      </c>
      <c r="AA182" s="2">
        <f t="shared" si="109"/>
        <v>500</v>
      </c>
      <c r="AB182" s="2">
        <v>90000</v>
      </c>
      <c r="AC182" s="2" t="e">
        <f>_xlfn.XLOOKUP($B182, '#참조'!$M:$M, '#참조'!$N:$N)</f>
        <v>#N/A</v>
      </c>
      <c r="AD182" s="2" t="e">
        <f t="shared" si="131"/>
        <v>#N/A</v>
      </c>
      <c r="AE182" s="2">
        <f t="shared" si="95"/>
        <v>4401</v>
      </c>
    </row>
    <row r="183" spans="1:31" x14ac:dyDescent="0.2">
      <c r="A183" s="2">
        <f t="shared" si="91"/>
        <v>10364008</v>
      </c>
      <c r="B183" s="1">
        <v>10000364</v>
      </c>
      <c r="C183" s="1" t="s">
        <v>281</v>
      </c>
      <c r="D183" s="1" t="s">
        <v>309</v>
      </c>
      <c r="E183" s="1" t="str">
        <f>"Persona_"&amp;_xlfn.XLOOKUP($B183, '#캐릭터'!$A:$A, '#캐릭터'!$C:$C)</f>
        <v>Persona_c364</v>
      </c>
      <c r="F183" s="1"/>
      <c r="G183" s="1">
        <f>_xlfn.XLOOKUP(_xlfn.XLOOKUP(B183,'[1]Detail&lt;Child&gt;'!$A:$A,'[1]Detail&lt;Child&gt;'!$N:$N),'#참조'!P:P,'#참조'!Q:Q)</f>
        <v>4</v>
      </c>
      <c r="H183" s="1">
        <f>_xlfn.XLOOKUP(_xlfn.XLOOKUP(B183,'[1]Detail&lt;Child&gt;'!$A:$A,'[1]Detail&lt;Child&gt;'!$O:$O),'#참조'!R:R,'#참조'!S:S)</f>
        <v>4</v>
      </c>
      <c r="I183" s="1">
        <v>1</v>
      </c>
      <c r="J183" s="1">
        <v>3</v>
      </c>
      <c r="K183" s="1">
        <v>3</v>
      </c>
      <c r="L183" s="1">
        <v>8</v>
      </c>
      <c r="M183" s="2" t="s">
        <v>12</v>
      </c>
      <c r="N183" s="2" t="s">
        <v>407</v>
      </c>
      <c r="O183" s="2">
        <f t="shared" si="110"/>
        <v>3897</v>
      </c>
      <c r="P183" s="2" t="s">
        <v>56</v>
      </c>
      <c r="Q183" s="2" t="str">
        <f t="shared" si="92"/>
        <v>6275,7500</v>
      </c>
      <c r="R183" s="2">
        <f t="shared" si="111"/>
        <v>6275</v>
      </c>
      <c r="S183" s="2">
        <f t="shared" si="107"/>
        <v>7500</v>
      </c>
      <c r="T183" s="2" t="s">
        <v>57</v>
      </c>
      <c r="U183" s="2" t="str">
        <f t="shared" si="93"/>
        <v>360,400</v>
      </c>
      <c r="V183" s="2">
        <f t="shared" si="112"/>
        <v>360</v>
      </c>
      <c r="W183" s="2">
        <f t="shared" si="108"/>
        <v>400</v>
      </c>
      <c r="X183" s="2" t="s">
        <v>58</v>
      </c>
      <c r="Y183" s="2" t="str">
        <f t="shared" si="94"/>
        <v>503,600</v>
      </c>
      <c r="Z183" s="2">
        <f t="shared" si="113"/>
        <v>503</v>
      </c>
      <c r="AA183" s="2">
        <f t="shared" si="109"/>
        <v>600</v>
      </c>
      <c r="AB183" s="2">
        <v>90000</v>
      </c>
      <c r="AC183" s="2" t="e">
        <f>_xlfn.XLOOKUP($B183, '#참조'!$M:$M, '#참조'!$N:$N)</f>
        <v>#N/A</v>
      </c>
      <c r="AD183" s="2" t="e">
        <f t="shared" si="131"/>
        <v>#N/A</v>
      </c>
      <c r="AE183" s="2">
        <f t="shared" si="95"/>
        <v>4401</v>
      </c>
    </row>
    <row r="184" spans="1:31" x14ac:dyDescent="0.2">
      <c r="A184" s="2">
        <f t="shared" si="91"/>
        <v>10364009</v>
      </c>
      <c r="B184" s="1">
        <v>10000364</v>
      </c>
      <c r="C184" s="1" t="s">
        <v>281</v>
      </c>
      <c r="D184" s="1" t="s">
        <v>309</v>
      </c>
      <c r="E184" s="1" t="str">
        <f>"Persona_"&amp;_xlfn.XLOOKUP($B184, '#캐릭터'!$A:$A, '#캐릭터'!$C:$C)</f>
        <v>Persona_c364</v>
      </c>
      <c r="F184" s="1"/>
      <c r="G184" s="1">
        <f>_xlfn.XLOOKUP(_xlfn.XLOOKUP(B184,'[1]Detail&lt;Child&gt;'!$A:$A,'[1]Detail&lt;Child&gt;'!$N:$N),'#참조'!P:P,'#참조'!Q:Q)</f>
        <v>4</v>
      </c>
      <c r="H184" s="1">
        <f>_xlfn.XLOOKUP(_xlfn.XLOOKUP(B184,'[1]Detail&lt;Child&gt;'!$A:$A,'[1]Detail&lt;Child&gt;'!$O:$O),'#참조'!R:R,'#참조'!S:S)</f>
        <v>4</v>
      </c>
      <c r="I184" s="1">
        <v>2</v>
      </c>
      <c r="J184" s="1">
        <v>3</v>
      </c>
      <c r="K184" s="1">
        <v>3</v>
      </c>
      <c r="L184" s="1">
        <v>9</v>
      </c>
      <c r="M184" s="2" t="s">
        <v>13</v>
      </c>
      <c r="N184" s="2" t="s">
        <v>407</v>
      </c>
      <c r="O184" s="2">
        <f t="shared" si="110"/>
        <v>4287</v>
      </c>
      <c r="P184" s="2" t="s">
        <v>56</v>
      </c>
      <c r="Q184" s="2" t="str">
        <f t="shared" si="92"/>
        <v>8158,9800</v>
      </c>
      <c r="R184" s="2">
        <f t="shared" si="111"/>
        <v>8158</v>
      </c>
      <c r="S184" s="2">
        <f t="shared" si="107"/>
        <v>9800</v>
      </c>
      <c r="T184" s="2" t="s">
        <v>57</v>
      </c>
      <c r="U184" s="2" t="str">
        <f t="shared" si="93"/>
        <v>432,500</v>
      </c>
      <c r="V184" s="2">
        <f t="shared" si="112"/>
        <v>432</v>
      </c>
      <c r="W184" s="2">
        <f t="shared" si="108"/>
        <v>500</v>
      </c>
      <c r="X184" s="2" t="s">
        <v>58</v>
      </c>
      <c r="Y184" s="2" t="str">
        <f t="shared" si="94"/>
        <v>654,800</v>
      </c>
      <c r="Z184" s="2">
        <f t="shared" si="113"/>
        <v>654</v>
      </c>
      <c r="AA184" s="2">
        <f t="shared" si="109"/>
        <v>800</v>
      </c>
      <c r="AB184" s="2">
        <v>90000</v>
      </c>
      <c r="AC184" s="2" t="e">
        <f>_xlfn.XLOOKUP($B184, '#참조'!$M:$M, '#참조'!$N:$N)</f>
        <v>#N/A</v>
      </c>
      <c r="AD184" s="2" t="e">
        <f t="shared" si="131"/>
        <v>#N/A</v>
      </c>
      <c r="AE184" s="2">
        <f t="shared" si="95"/>
        <v>4402</v>
      </c>
    </row>
    <row r="185" spans="1:31" x14ac:dyDescent="0.2">
      <c r="A185" s="2">
        <f t="shared" si="91"/>
        <v>10364010</v>
      </c>
      <c r="B185" s="1">
        <v>10000364</v>
      </c>
      <c r="C185" s="1" t="s">
        <v>281</v>
      </c>
      <c r="D185" s="1" t="s">
        <v>309</v>
      </c>
      <c r="E185" s="1" t="str">
        <f>"Persona_"&amp;_xlfn.XLOOKUP($B185, '#캐릭터'!$A:$A, '#캐릭터'!$C:$C)</f>
        <v>Persona_c364</v>
      </c>
      <c r="F185" s="1"/>
      <c r="G185" s="1">
        <f>_xlfn.XLOOKUP(_xlfn.XLOOKUP(B185,'[1]Detail&lt;Child&gt;'!$A:$A,'[1]Detail&lt;Child&gt;'!$N:$N),'#참조'!P:P,'#참조'!Q:Q)</f>
        <v>4</v>
      </c>
      <c r="H185" s="1">
        <f>_xlfn.XLOOKUP(_xlfn.XLOOKUP(B185,'[1]Detail&lt;Child&gt;'!$A:$A,'[1]Detail&lt;Child&gt;'!$O:$O),'#참조'!R:R,'#참조'!S:S)</f>
        <v>4</v>
      </c>
      <c r="I185" s="1">
        <v>2</v>
      </c>
      <c r="J185" s="1">
        <v>3</v>
      </c>
      <c r="K185" s="1">
        <v>4</v>
      </c>
      <c r="L185" s="1">
        <v>10</v>
      </c>
      <c r="M185" s="2" t="s">
        <v>14</v>
      </c>
      <c r="N185" s="2" t="s">
        <v>407</v>
      </c>
      <c r="O185" s="2">
        <f t="shared" si="110"/>
        <v>4716</v>
      </c>
      <c r="P185" s="2" t="s">
        <v>56</v>
      </c>
      <c r="Q185" s="2" t="str">
        <f t="shared" si="92"/>
        <v>10605,12700</v>
      </c>
      <c r="R185" s="2">
        <f t="shared" si="111"/>
        <v>10605</v>
      </c>
      <c r="S185" s="2">
        <f t="shared" si="107"/>
        <v>12700</v>
      </c>
      <c r="T185" s="2" t="s">
        <v>57</v>
      </c>
      <c r="U185" s="2" t="str">
        <f t="shared" si="93"/>
        <v>518,600</v>
      </c>
      <c r="V185" s="2">
        <f t="shared" si="112"/>
        <v>518</v>
      </c>
      <c r="W185" s="2">
        <f t="shared" si="108"/>
        <v>600</v>
      </c>
      <c r="X185" s="2" t="s">
        <v>58</v>
      </c>
      <c r="Y185" s="2" t="str">
        <f t="shared" si="94"/>
        <v>850,1000</v>
      </c>
      <c r="Z185" s="2">
        <f t="shared" si="113"/>
        <v>850</v>
      </c>
      <c r="AA185" s="2">
        <f t="shared" si="109"/>
        <v>1000</v>
      </c>
      <c r="AB185" s="2">
        <v>85000</v>
      </c>
      <c r="AC185" s="2" t="e">
        <f>_xlfn.XLOOKUP($B185, '#참조'!$M:$M, '#참조'!$N:$N)</f>
        <v>#N/A</v>
      </c>
      <c r="AD185" s="2" t="e">
        <f t="shared" si="131"/>
        <v>#N/A</v>
      </c>
      <c r="AE185" s="2">
        <f t="shared" si="95"/>
        <v>4402</v>
      </c>
    </row>
    <row r="186" spans="1:31" x14ac:dyDescent="0.2">
      <c r="A186" s="2">
        <f t="shared" si="91"/>
        <v>10364011</v>
      </c>
      <c r="B186" s="1">
        <v>10000364</v>
      </c>
      <c r="C186" s="1" t="s">
        <v>281</v>
      </c>
      <c r="D186" s="1" t="s">
        <v>309</v>
      </c>
      <c r="E186" s="1" t="str">
        <f>"Persona_"&amp;_xlfn.XLOOKUP($B186, '#캐릭터'!$A:$A, '#캐릭터'!$C:$C)</f>
        <v>Persona_c364</v>
      </c>
      <c r="F186" s="1"/>
      <c r="G186" s="1">
        <f>_xlfn.XLOOKUP(_xlfn.XLOOKUP(B186,'[1]Detail&lt;Child&gt;'!$A:$A,'[1]Detail&lt;Child&gt;'!$N:$N),'#참조'!P:P,'#참조'!Q:Q)</f>
        <v>4</v>
      </c>
      <c r="H186" s="1">
        <f>_xlfn.XLOOKUP(_xlfn.XLOOKUP(B186,'[1]Detail&lt;Child&gt;'!$A:$A,'[1]Detail&lt;Child&gt;'!$O:$O),'#참조'!R:R,'#참조'!S:S)</f>
        <v>4</v>
      </c>
      <c r="I186" s="1">
        <v>3</v>
      </c>
      <c r="J186" s="1">
        <v>3</v>
      </c>
      <c r="K186" s="1">
        <v>4</v>
      </c>
      <c r="L186" s="1">
        <v>11</v>
      </c>
      <c r="M186" s="2" t="s">
        <v>15</v>
      </c>
      <c r="N186" s="2" t="s">
        <v>407</v>
      </c>
      <c r="O186" s="2">
        <f t="shared" si="110"/>
        <v>5188</v>
      </c>
      <c r="P186" s="2" t="s">
        <v>56</v>
      </c>
      <c r="Q186" s="2" t="str">
        <f t="shared" si="92"/>
        <v>13787,16500</v>
      </c>
      <c r="R186" s="2">
        <f t="shared" si="111"/>
        <v>13787</v>
      </c>
      <c r="S186" s="2">
        <f t="shared" si="107"/>
        <v>16500</v>
      </c>
      <c r="T186" s="2" t="s">
        <v>57</v>
      </c>
      <c r="U186" s="2" t="str">
        <f t="shared" si="93"/>
        <v>622,700</v>
      </c>
      <c r="V186" s="2">
        <f t="shared" si="112"/>
        <v>622</v>
      </c>
      <c r="W186" s="2">
        <f t="shared" si="108"/>
        <v>700</v>
      </c>
      <c r="X186" s="2" t="s">
        <v>58</v>
      </c>
      <c r="Y186" s="2" t="str">
        <f t="shared" si="94"/>
        <v>1105,1300</v>
      </c>
      <c r="Z186" s="2">
        <f t="shared" si="113"/>
        <v>1105</v>
      </c>
      <c r="AA186" s="2">
        <f t="shared" si="109"/>
        <v>1300</v>
      </c>
      <c r="AB186" s="2">
        <v>85000</v>
      </c>
      <c r="AC186" s="2" t="e">
        <f>_xlfn.XLOOKUP($B186, '#참조'!$M:$M, '#참조'!$N:$N)</f>
        <v>#N/A</v>
      </c>
      <c r="AD186" s="2" t="e">
        <f t="shared" si="131"/>
        <v>#N/A</v>
      </c>
      <c r="AE186" s="2">
        <f t="shared" si="95"/>
        <v>4403</v>
      </c>
    </row>
    <row r="187" spans="1:31" x14ac:dyDescent="0.2">
      <c r="A187" s="2">
        <f t="shared" si="91"/>
        <v>10364012</v>
      </c>
      <c r="B187" s="1">
        <v>10000364</v>
      </c>
      <c r="C187" s="1" t="s">
        <v>281</v>
      </c>
      <c r="D187" s="1" t="s">
        <v>309</v>
      </c>
      <c r="E187" s="1" t="str">
        <f>"Persona_"&amp;_xlfn.XLOOKUP($B187, '#캐릭터'!$A:$A, '#캐릭터'!$C:$C)</f>
        <v>Persona_c364</v>
      </c>
      <c r="F187" s="1"/>
      <c r="G187" s="1">
        <f>_xlfn.XLOOKUP(_xlfn.XLOOKUP(B187,'[1]Detail&lt;Child&gt;'!$A:$A,'[1]Detail&lt;Child&gt;'!$N:$N),'#참조'!P:P,'#참조'!Q:Q)</f>
        <v>4</v>
      </c>
      <c r="H187" s="1">
        <f>_xlfn.XLOOKUP(_xlfn.XLOOKUP(B187,'[1]Detail&lt;Child&gt;'!$A:$A,'[1]Detail&lt;Child&gt;'!$O:$O),'#참조'!R:R,'#참조'!S:S)</f>
        <v>4</v>
      </c>
      <c r="I187" s="1">
        <v>3</v>
      </c>
      <c r="J187" s="1">
        <v>3</v>
      </c>
      <c r="K187" s="1">
        <v>4</v>
      </c>
      <c r="L187" s="1">
        <v>12</v>
      </c>
      <c r="M187" s="2" t="s">
        <v>16</v>
      </c>
      <c r="N187" s="2" t="s">
        <v>407</v>
      </c>
      <c r="O187" s="2">
        <f t="shared" si="110"/>
        <v>5707</v>
      </c>
      <c r="P187" s="2" t="s">
        <v>56</v>
      </c>
      <c r="Q187" s="2" t="str">
        <f t="shared" si="92"/>
        <v>17923,21500</v>
      </c>
      <c r="R187" s="2">
        <f t="shared" si="111"/>
        <v>17923</v>
      </c>
      <c r="S187" s="2">
        <f t="shared" si="107"/>
        <v>21500</v>
      </c>
      <c r="T187" s="2" t="s">
        <v>57</v>
      </c>
      <c r="U187" s="2" t="str">
        <f t="shared" si="93"/>
        <v>746,900</v>
      </c>
      <c r="V187" s="2">
        <f t="shared" si="112"/>
        <v>746</v>
      </c>
      <c r="W187" s="2">
        <f t="shared" si="108"/>
        <v>900</v>
      </c>
      <c r="X187" s="2" t="s">
        <v>58</v>
      </c>
      <c r="Y187" s="2" t="str">
        <f t="shared" si="94"/>
        <v>1437,1700</v>
      </c>
      <c r="Z187" s="2">
        <f t="shared" si="113"/>
        <v>1437</v>
      </c>
      <c r="AA187" s="2">
        <f t="shared" si="109"/>
        <v>1700</v>
      </c>
      <c r="AB187" s="2">
        <v>85000</v>
      </c>
      <c r="AC187" s="2" t="e">
        <f>_xlfn.XLOOKUP($B187, '#참조'!$M:$M, '#참조'!$N:$N)</f>
        <v>#N/A</v>
      </c>
      <c r="AD187" s="2" t="e">
        <f t="shared" si="131"/>
        <v>#N/A</v>
      </c>
      <c r="AE187" s="2">
        <f t="shared" si="95"/>
        <v>4403</v>
      </c>
    </row>
    <row r="188" spans="1:31" x14ac:dyDescent="0.2">
      <c r="A188" s="2">
        <f t="shared" si="91"/>
        <v>10364013</v>
      </c>
      <c r="B188" s="1">
        <v>10000364</v>
      </c>
      <c r="C188" s="1" t="s">
        <v>281</v>
      </c>
      <c r="D188" s="1" t="s">
        <v>309</v>
      </c>
      <c r="E188" s="1" t="str">
        <f>"Persona_"&amp;_xlfn.XLOOKUP($B188, '#캐릭터'!$A:$A, '#캐릭터'!$C:$C)</f>
        <v>Persona_c364</v>
      </c>
      <c r="F188" s="1"/>
      <c r="G188" s="1">
        <f>_xlfn.XLOOKUP(_xlfn.XLOOKUP(B188,'[1]Detail&lt;Child&gt;'!$A:$A,'[1]Detail&lt;Child&gt;'!$N:$N),'#참조'!P:P,'#참조'!Q:Q)</f>
        <v>4</v>
      </c>
      <c r="H188" s="1">
        <f>_xlfn.XLOOKUP(_xlfn.XLOOKUP(B188,'[1]Detail&lt;Child&gt;'!$A:$A,'[1]Detail&lt;Child&gt;'!$O:$O),'#참조'!R:R,'#참조'!S:S)</f>
        <v>4</v>
      </c>
      <c r="I188" s="1">
        <v>4</v>
      </c>
      <c r="J188" s="1">
        <v>3</v>
      </c>
      <c r="K188" s="1">
        <v>5</v>
      </c>
      <c r="L188" s="1">
        <v>13</v>
      </c>
      <c r="M188" s="2" t="s">
        <v>17</v>
      </c>
      <c r="N188" s="2" t="s">
        <v>407</v>
      </c>
      <c r="O188" s="2">
        <f t="shared" si="110"/>
        <v>6278</v>
      </c>
      <c r="P188" s="2" t="s">
        <v>56</v>
      </c>
      <c r="Q188" s="2" t="str">
        <f t="shared" si="92"/>
        <v>23300,28000</v>
      </c>
      <c r="R188" s="2">
        <f t="shared" si="111"/>
        <v>23300</v>
      </c>
      <c r="S188" s="2">
        <f t="shared" si="107"/>
        <v>28000</v>
      </c>
      <c r="T188" s="2" t="s">
        <v>57</v>
      </c>
      <c r="U188" s="2" t="str">
        <f t="shared" si="93"/>
        <v>895,1100</v>
      </c>
      <c r="V188" s="2">
        <f t="shared" si="112"/>
        <v>895</v>
      </c>
      <c r="W188" s="2">
        <f t="shared" si="108"/>
        <v>1100</v>
      </c>
      <c r="X188" s="2" t="s">
        <v>58</v>
      </c>
      <c r="Y188" s="2" t="str">
        <f t="shared" si="94"/>
        <v>1868,2200</v>
      </c>
      <c r="Z188" s="2">
        <f t="shared" si="113"/>
        <v>1868</v>
      </c>
      <c r="AA188" s="2">
        <f t="shared" si="109"/>
        <v>2200</v>
      </c>
      <c r="AB188" s="2">
        <v>80000</v>
      </c>
      <c r="AC188" s="2" t="e">
        <f>_xlfn.XLOOKUP($B188, '#참조'!$M:$M, '#참조'!$N:$N)</f>
        <v>#N/A</v>
      </c>
      <c r="AD188" s="2" t="e">
        <f t="shared" si="131"/>
        <v>#N/A</v>
      </c>
      <c r="AE188" s="2">
        <f t="shared" si="95"/>
        <v>4404</v>
      </c>
    </row>
    <row r="189" spans="1:31" x14ac:dyDescent="0.2">
      <c r="A189" s="2">
        <f t="shared" si="91"/>
        <v>10364014</v>
      </c>
      <c r="B189" s="1">
        <v>10000364</v>
      </c>
      <c r="C189" s="1" t="s">
        <v>281</v>
      </c>
      <c r="D189" s="1" t="s">
        <v>309</v>
      </c>
      <c r="E189" s="1" t="str">
        <f>"Persona_"&amp;_xlfn.XLOOKUP($B189, '#캐릭터'!$A:$A, '#캐릭터'!$C:$C)</f>
        <v>Persona_c364</v>
      </c>
      <c r="F189" s="1"/>
      <c r="G189" s="1">
        <f>_xlfn.XLOOKUP(_xlfn.XLOOKUP(B189,'[1]Detail&lt;Child&gt;'!$A:$A,'[1]Detail&lt;Child&gt;'!$N:$N),'#참조'!P:P,'#참조'!Q:Q)</f>
        <v>4</v>
      </c>
      <c r="H189" s="1">
        <f>_xlfn.XLOOKUP(_xlfn.XLOOKUP(B189,'[1]Detail&lt;Child&gt;'!$A:$A,'[1]Detail&lt;Child&gt;'!$O:$O),'#참조'!R:R,'#참조'!S:S)</f>
        <v>4</v>
      </c>
      <c r="I189" s="1">
        <v>4</v>
      </c>
      <c r="J189" s="1">
        <v>3</v>
      </c>
      <c r="K189" s="1">
        <v>5</v>
      </c>
      <c r="L189" s="1">
        <v>14</v>
      </c>
      <c r="M189" s="2" t="s">
        <v>18</v>
      </c>
      <c r="N189" s="2" t="s">
        <v>407</v>
      </c>
      <c r="O189" s="2">
        <f t="shared" si="110"/>
        <v>6906</v>
      </c>
      <c r="P189" s="2" t="s">
        <v>56</v>
      </c>
      <c r="Q189" s="2" t="str">
        <f t="shared" si="92"/>
        <v>30290,36300</v>
      </c>
      <c r="R189" s="2">
        <f t="shared" si="111"/>
        <v>30290</v>
      </c>
      <c r="S189" s="2">
        <f t="shared" si="107"/>
        <v>36300</v>
      </c>
      <c r="T189" s="2" t="s">
        <v>57</v>
      </c>
      <c r="U189" s="2" t="str">
        <f t="shared" si="93"/>
        <v>1074,1300</v>
      </c>
      <c r="V189" s="2">
        <f t="shared" si="112"/>
        <v>1074</v>
      </c>
      <c r="W189" s="2">
        <f t="shared" si="108"/>
        <v>1300</v>
      </c>
      <c r="X189" s="2" t="s">
        <v>58</v>
      </c>
      <c r="Y189" s="2" t="str">
        <f t="shared" si="94"/>
        <v>2428,2900</v>
      </c>
      <c r="Z189" s="2">
        <f t="shared" si="113"/>
        <v>2428</v>
      </c>
      <c r="AA189" s="2">
        <f t="shared" si="109"/>
        <v>2900</v>
      </c>
      <c r="AB189" s="2">
        <v>80000</v>
      </c>
      <c r="AC189" s="2" t="e">
        <f>_xlfn.XLOOKUP($B189, '#참조'!$M:$M, '#참조'!$N:$N)</f>
        <v>#N/A</v>
      </c>
      <c r="AD189" s="2" t="e">
        <f t="shared" si="131"/>
        <v>#N/A</v>
      </c>
      <c r="AE189" s="2">
        <f t="shared" si="95"/>
        <v>4404</v>
      </c>
    </row>
    <row r="190" spans="1:31" x14ac:dyDescent="0.2">
      <c r="A190" s="2">
        <f t="shared" si="91"/>
        <v>10364015</v>
      </c>
      <c r="B190" s="1">
        <v>10000364</v>
      </c>
      <c r="C190" s="1" t="s">
        <v>281</v>
      </c>
      <c r="D190" s="1" t="s">
        <v>309</v>
      </c>
      <c r="E190" s="1" t="str">
        <f>"Persona_"&amp;_xlfn.XLOOKUP($B190, '#캐릭터'!$A:$A, '#캐릭터'!$C:$C)</f>
        <v>Persona_c364</v>
      </c>
      <c r="F190" s="1"/>
      <c r="G190" s="1">
        <f>_xlfn.XLOOKUP(_xlfn.XLOOKUP(B190,'[1]Detail&lt;Child&gt;'!$A:$A,'[1]Detail&lt;Child&gt;'!$N:$N),'#참조'!P:P,'#참조'!Q:Q)</f>
        <v>4</v>
      </c>
      <c r="H190" s="1">
        <f>_xlfn.XLOOKUP(_xlfn.XLOOKUP(B190,'[1]Detail&lt;Child&gt;'!$A:$A,'[1]Detail&lt;Child&gt;'!$O:$O),'#참조'!R:R,'#참조'!S:S)</f>
        <v>4</v>
      </c>
      <c r="I190" s="1">
        <v>5</v>
      </c>
      <c r="J190" s="1">
        <v>3</v>
      </c>
      <c r="K190" s="1">
        <v>5</v>
      </c>
      <c r="L190" s="1">
        <v>15</v>
      </c>
      <c r="M190" s="2" t="s">
        <v>19</v>
      </c>
      <c r="N190" s="2" t="s">
        <v>407</v>
      </c>
      <c r="O190" s="2">
        <f t="shared" si="110"/>
        <v>7597</v>
      </c>
      <c r="P190" s="2" t="s">
        <v>56</v>
      </c>
      <c r="Q190" s="2" t="str">
        <f t="shared" si="92"/>
        <v>39377,47300</v>
      </c>
      <c r="R190" s="2">
        <f t="shared" si="111"/>
        <v>39377</v>
      </c>
      <c r="S190" s="2">
        <f t="shared" si="107"/>
        <v>47300</v>
      </c>
      <c r="T190" s="2" t="s">
        <v>57</v>
      </c>
      <c r="U190" s="2" t="str">
        <f t="shared" si="93"/>
        <v>1289,1500</v>
      </c>
      <c r="V190" s="2">
        <f t="shared" si="112"/>
        <v>1289</v>
      </c>
      <c r="W190" s="2">
        <f t="shared" si="108"/>
        <v>1500</v>
      </c>
      <c r="X190" s="2" t="s">
        <v>58</v>
      </c>
      <c r="Y190" s="2" t="str">
        <f t="shared" si="94"/>
        <v>3156,3800</v>
      </c>
      <c r="Z190" s="2">
        <f t="shared" si="113"/>
        <v>3156</v>
      </c>
      <c r="AA190" s="2">
        <f t="shared" si="109"/>
        <v>3800</v>
      </c>
      <c r="AB190" s="2">
        <v>80000</v>
      </c>
      <c r="AC190" s="2" t="e">
        <f>_xlfn.XLOOKUP($B190, '#참조'!$M:$M, '#참조'!$N:$N)</f>
        <v>#N/A</v>
      </c>
      <c r="AD190" s="2" t="e">
        <f t="shared" si="131"/>
        <v>#N/A</v>
      </c>
      <c r="AE190" s="2">
        <f t="shared" si="95"/>
        <v>4405</v>
      </c>
    </row>
    <row r="191" spans="1:31" x14ac:dyDescent="0.2">
      <c r="A191" s="2">
        <f t="shared" si="91"/>
        <v>10364016</v>
      </c>
      <c r="B191" s="1">
        <v>10000364</v>
      </c>
      <c r="C191" s="1" t="s">
        <v>281</v>
      </c>
      <c r="D191" s="1" t="s">
        <v>309</v>
      </c>
      <c r="E191" s="1" t="str">
        <f>"Persona_"&amp;_xlfn.XLOOKUP($B191, '#캐릭터'!$A:$A, '#캐릭터'!$C:$C)</f>
        <v>Persona_c364</v>
      </c>
      <c r="F191" s="1"/>
      <c r="G191" s="1">
        <f>_xlfn.XLOOKUP(_xlfn.XLOOKUP(B191,'[1]Detail&lt;Child&gt;'!$A:$A,'[1]Detail&lt;Child&gt;'!$N:$N),'#참조'!P:P,'#참조'!Q:Q)</f>
        <v>4</v>
      </c>
      <c r="H191" s="1">
        <f>_xlfn.XLOOKUP(_xlfn.XLOOKUP(B191,'[1]Detail&lt;Child&gt;'!$A:$A,'[1]Detail&lt;Child&gt;'!$O:$O),'#참조'!R:R,'#참조'!S:S)</f>
        <v>4</v>
      </c>
      <c r="I191" s="1">
        <v>5</v>
      </c>
      <c r="J191" s="1">
        <v>3</v>
      </c>
      <c r="K191" s="1">
        <v>6</v>
      </c>
      <c r="L191" s="1">
        <v>16</v>
      </c>
      <c r="M191" s="2" t="s">
        <v>20</v>
      </c>
      <c r="N191" s="2" t="s">
        <v>407</v>
      </c>
      <c r="O191" s="2">
        <f t="shared" si="110"/>
        <v>8357</v>
      </c>
      <c r="P191" s="2" t="s">
        <v>56</v>
      </c>
      <c r="Q191" s="2" t="str">
        <f t="shared" si="92"/>
        <v>51190,61400</v>
      </c>
      <c r="R191" s="2">
        <f t="shared" si="111"/>
        <v>51190</v>
      </c>
      <c r="S191" s="2">
        <f t="shared" si="107"/>
        <v>61400</v>
      </c>
      <c r="T191" s="2" t="s">
        <v>57</v>
      </c>
      <c r="U191" s="2" t="str">
        <f t="shared" si="93"/>
        <v>1547,1900</v>
      </c>
      <c r="V191" s="2">
        <f t="shared" si="112"/>
        <v>1547</v>
      </c>
      <c r="W191" s="2">
        <f t="shared" si="108"/>
        <v>1900</v>
      </c>
      <c r="X191" s="2" t="s">
        <v>58</v>
      </c>
      <c r="Y191" s="2" t="str">
        <f t="shared" si="94"/>
        <v>4103,4900</v>
      </c>
      <c r="Z191" s="2">
        <f t="shared" si="113"/>
        <v>4103</v>
      </c>
      <c r="AA191" s="2">
        <f t="shared" si="109"/>
        <v>4900</v>
      </c>
      <c r="AB191" s="2">
        <v>75000</v>
      </c>
      <c r="AC191" s="2" t="e">
        <f>_xlfn.XLOOKUP($B191, '#참조'!$M:$M, '#참조'!$N:$N)</f>
        <v>#N/A</v>
      </c>
      <c r="AD191" s="2" t="e">
        <f t="shared" si="131"/>
        <v>#N/A</v>
      </c>
      <c r="AE191" s="2">
        <f t="shared" si="95"/>
        <v>4405</v>
      </c>
    </row>
    <row r="192" spans="1:31" x14ac:dyDescent="0.2">
      <c r="A192" s="2">
        <f t="shared" si="91"/>
        <v>10364017</v>
      </c>
      <c r="B192" s="1">
        <v>10000364</v>
      </c>
      <c r="C192" s="1" t="s">
        <v>281</v>
      </c>
      <c r="D192" s="1" t="s">
        <v>309</v>
      </c>
      <c r="E192" s="1" t="str">
        <f>"Persona_"&amp;_xlfn.XLOOKUP($B192, '#캐릭터'!$A:$A, '#캐릭터'!$C:$C)</f>
        <v>Persona_c364</v>
      </c>
      <c r="F192" s="1"/>
      <c r="G192" s="1">
        <f>_xlfn.XLOOKUP(_xlfn.XLOOKUP(B192,'[1]Detail&lt;Child&gt;'!$A:$A,'[1]Detail&lt;Child&gt;'!$N:$N),'#참조'!P:P,'#참조'!Q:Q)</f>
        <v>4</v>
      </c>
      <c r="H192" s="1">
        <f>_xlfn.XLOOKUP(_xlfn.XLOOKUP(B192,'[1]Detail&lt;Child&gt;'!$A:$A,'[1]Detail&lt;Child&gt;'!$O:$O),'#참조'!R:R,'#참조'!S:S)</f>
        <v>4</v>
      </c>
      <c r="I192" s="1">
        <v>6</v>
      </c>
      <c r="J192" s="1">
        <v>3</v>
      </c>
      <c r="K192" s="1">
        <v>6</v>
      </c>
      <c r="L192" s="1">
        <v>17</v>
      </c>
      <c r="M192" s="2" t="s">
        <v>21</v>
      </c>
      <c r="N192" s="2" t="s">
        <v>407</v>
      </c>
      <c r="O192" s="2">
        <f t="shared" si="110"/>
        <v>9193</v>
      </c>
      <c r="P192" s="2" t="s">
        <v>56</v>
      </c>
      <c r="Q192" s="2" t="str">
        <f t="shared" si="92"/>
        <v>66547,79900</v>
      </c>
      <c r="R192" s="2">
        <f t="shared" si="111"/>
        <v>66547</v>
      </c>
      <c r="S192" s="2">
        <f t="shared" si="107"/>
        <v>79900</v>
      </c>
      <c r="T192" s="2" t="s">
        <v>57</v>
      </c>
      <c r="U192" s="2" t="str">
        <f t="shared" si="93"/>
        <v>1856,2200</v>
      </c>
      <c r="V192" s="2">
        <f t="shared" si="112"/>
        <v>1856</v>
      </c>
      <c r="W192" s="2">
        <f t="shared" si="108"/>
        <v>2200</v>
      </c>
      <c r="X192" s="2" t="s">
        <v>58</v>
      </c>
      <c r="Y192" s="2" t="str">
        <f t="shared" si="94"/>
        <v>5334,6400</v>
      </c>
      <c r="Z192" s="2">
        <f t="shared" si="113"/>
        <v>5334</v>
      </c>
      <c r="AA192" s="2">
        <f t="shared" si="109"/>
        <v>6400</v>
      </c>
      <c r="AB192" s="2">
        <v>75000</v>
      </c>
      <c r="AC192" s="2" t="e">
        <f>_xlfn.XLOOKUP($B192, '#참조'!$M:$M, '#참조'!$N:$N)</f>
        <v>#N/A</v>
      </c>
      <c r="AD192" s="2" t="e">
        <f t="shared" si="131"/>
        <v>#N/A</v>
      </c>
      <c r="AE192" s="2">
        <f t="shared" si="95"/>
        <v>4406</v>
      </c>
    </row>
    <row r="193" spans="1:31" x14ac:dyDescent="0.2">
      <c r="A193" s="2">
        <f t="shared" si="91"/>
        <v>10364018</v>
      </c>
      <c r="B193" s="1">
        <v>10000364</v>
      </c>
      <c r="C193" s="1" t="s">
        <v>281</v>
      </c>
      <c r="D193" s="1" t="s">
        <v>309</v>
      </c>
      <c r="E193" s="1" t="str">
        <f>"Persona_"&amp;_xlfn.XLOOKUP($B193, '#캐릭터'!$A:$A, '#캐릭터'!$C:$C)</f>
        <v>Persona_c364</v>
      </c>
      <c r="F193" s="1"/>
      <c r="G193" s="1">
        <f>_xlfn.XLOOKUP(_xlfn.XLOOKUP(B193,'[1]Detail&lt;Child&gt;'!$A:$A,'[1]Detail&lt;Child&gt;'!$N:$N),'#참조'!P:P,'#참조'!Q:Q)</f>
        <v>4</v>
      </c>
      <c r="H193" s="1">
        <f>_xlfn.XLOOKUP(_xlfn.XLOOKUP(B193,'[1]Detail&lt;Child&gt;'!$A:$A,'[1]Detail&lt;Child&gt;'!$O:$O),'#참조'!R:R,'#참조'!S:S)</f>
        <v>4</v>
      </c>
      <c r="I193" s="1">
        <v>6</v>
      </c>
      <c r="J193" s="1">
        <v>3</v>
      </c>
      <c r="K193" s="1">
        <v>6</v>
      </c>
      <c r="L193" s="1">
        <v>18</v>
      </c>
      <c r="M193" s="2" t="s">
        <v>22</v>
      </c>
      <c r="N193" s="2" t="s">
        <v>407</v>
      </c>
      <c r="O193" s="2">
        <f t="shared" si="110"/>
        <v>10112</v>
      </c>
      <c r="P193" s="2" t="s">
        <v>56</v>
      </c>
      <c r="Q193" s="2" t="str">
        <f t="shared" si="92"/>
        <v>86511,103800</v>
      </c>
      <c r="R193" s="2">
        <f t="shared" si="111"/>
        <v>86511</v>
      </c>
      <c r="S193" s="2">
        <f t="shared" si="107"/>
        <v>103800</v>
      </c>
      <c r="T193" s="2" t="s">
        <v>57</v>
      </c>
      <c r="U193" s="2" t="str">
        <f t="shared" si="93"/>
        <v>2227,2700</v>
      </c>
      <c r="V193" s="2">
        <f t="shared" si="112"/>
        <v>2227</v>
      </c>
      <c r="W193" s="2">
        <f t="shared" si="108"/>
        <v>2700</v>
      </c>
      <c r="X193" s="2" t="s">
        <v>58</v>
      </c>
      <c r="Y193" s="2" t="str">
        <f t="shared" si="94"/>
        <v>6934,8300</v>
      </c>
      <c r="Z193" s="2">
        <f t="shared" si="113"/>
        <v>6934</v>
      </c>
      <c r="AA193" s="2">
        <f t="shared" si="109"/>
        <v>8300</v>
      </c>
      <c r="AB193" s="2">
        <v>75000</v>
      </c>
      <c r="AC193" s="2" t="e">
        <f>_xlfn.XLOOKUP($B193, '#참조'!$M:$M, '#참조'!$N:$N)</f>
        <v>#N/A</v>
      </c>
      <c r="AD193" s="2" t="e">
        <f t="shared" si="131"/>
        <v>#N/A</v>
      </c>
      <c r="AE193" s="2">
        <f t="shared" si="95"/>
        <v>4406</v>
      </c>
    </row>
    <row r="194" spans="1:31" x14ac:dyDescent="0.2">
      <c r="A194" s="2">
        <f t="shared" si="91"/>
        <v>10002000</v>
      </c>
      <c r="B194" s="1">
        <v>10000002</v>
      </c>
      <c r="C194" s="1" t="s">
        <v>281</v>
      </c>
      <c r="D194" s="1" t="s">
        <v>309</v>
      </c>
      <c r="E194" s="1" t="str">
        <f>"Persona_"&amp;_xlfn.XLOOKUP($B194, '#캐릭터'!$A:$A, '#캐릭터'!$C:$C)</f>
        <v>Persona_c002</v>
      </c>
      <c r="F194" s="1"/>
      <c r="G194" s="1">
        <f>_xlfn.XLOOKUP(_xlfn.XLOOKUP(B194,'[1]Detail&lt;Child&gt;'!$A:$A,'[1]Detail&lt;Child&gt;'!$N:$N),'#참조'!P:P,'#참조'!Q:Q)</f>
        <v>2</v>
      </c>
      <c r="H194" s="1">
        <f>_xlfn.XLOOKUP(_xlfn.XLOOKUP(B194,'[1]Detail&lt;Child&gt;'!$A:$A,'[1]Detail&lt;Child&gt;'!$O:$O),'#참조'!R:R,'#참조'!S:S)</f>
        <v>3</v>
      </c>
      <c r="I194" s="1">
        <v>0</v>
      </c>
      <c r="J194" s="1">
        <v>3</v>
      </c>
      <c r="K194" s="1">
        <v>0</v>
      </c>
      <c r="L194" s="1">
        <v>0</v>
      </c>
      <c r="M194" s="2" t="s">
        <v>2</v>
      </c>
      <c r="N194" s="2" t="s">
        <v>407</v>
      </c>
      <c r="O194" s="2">
        <v>0</v>
      </c>
      <c r="P194" s="2" t="s">
        <v>56</v>
      </c>
      <c r="Q194" s="2" t="str">
        <f t="shared" si="92"/>
        <v>1000,1000</v>
      </c>
      <c r="R194" s="2">
        <v>1000</v>
      </c>
      <c r="S194" s="2">
        <f t="shared" ref="S194" si="136">R194</f>
        <v>1000</v>
      </c>
      <c r="T194" s="2" t="s">
        <v>57</v>
      </c>
      <c r="U194" s="2" t="str">
        <f t="shared" si="93"/>
        <v>100,100</v>
      </c>
      <c r="V194" s="2">
        <v>100</v>
      </c>
      <c r="W194" s="2">
        <f t="shared" ref="W194" si="137">V194</f>
        <v>100</v>
      </c>
      <c r="X194" s="2" t="s">
        <v>58</v>
      </c>
      <c r="Y194" s="2" t="str">
        <f t="shared" si="94"/>
        <v>80,80</v>
      </c>
      <c r="Z194" s="2">
        <v>80</v>
      </c>
      <c r="AA194" s="2">
        <f t="shared" ref="AA194" si="138">Z194</f>
        <v>80</v>
      </c>
      <c r="AB194" s="2">
        <v>100000</v>
      </c>
      <c r="AE194" s="2">
        <f t="shared" si="95"/>
        <v>0</v>
      </c>
    </row>
    <row r="195" spans="1:31" x14ac:dyDescent="0.2">
      <c r="A195" s="2">
        <f t="shared" si="91"/>
        <v>10002001</v>
      </c>
      <c r="B195" s="1">
        <v>10000002</v>
      </c>
      <c r="C195" s="1" t="s">
        <v>281</v>
      </c>
      <c r="D195" s="1" t="s">
        <v>309</v>
      </c>
      <c r="E195" s="1" t="str">
        <f>"Persona_"&amp;_xlfn.XLOOKUP($B195, '#캐릭터'!$A:$A, '#캐릭터'!$C:$C)</f>
        <v>Persona_c002</v>
      </c>
      <c r="F195" s="1"/>
      <c r="G195" s="1">
        <f>_xlfn.XLOOKUP(_xlfn.XLOOKUP(B195,'[1]Detail&lt;Child&gt;'!$A:$A,'[1]Detail&lt;Child&gt;'!$N:$N),'#참조'!P:P,'#참조'!Q:Q)</f>
        <v>2</v>
      </c>
      <c r="H195" s="1">
        <f>_xlfn.XLOOKUP(_xlfn.XLOOKUP(B195,'[1]Detail&lt;Child&gt;'!$A:$A,'[1]Detail&lt;Child&gt;'!$O:$O),'#참조'!R:R,'#참조'!S:S)</f>
        <v>3</v>
      </c>
      <c r="I195" s="1">
        <v>0</v>
      </c>
      <c r="J195" s="1">
        <v>3</v>
      </c>
      <c r="K195" s="1">
        <v>1</v>
      </c>
      <c r="L195" s="1">
        <v>1</v>
      </c>
      <c r="M195" s="2" t="s">
        <v>5</v>
      </c>
      <c r="N195" s="2" t="s">
        <v>407</v>
      </c>
      <c r="O195" s="2">
        <v>2000</v>
      </c>
      <c r="P195" s="2" t="s">
        <v>56</v>
      </c>
      <c r="Q195" s="2" t="str">
        <f t="shared" si="92"/>
        <v>1000,1200</v>
      </c>
      <c r="R195" s="2">
        <v>1000</v>
      </c>
      <c r="S195" s="2">
        <f t="shared" ref="S195" si="139">ROUND(R195*1.2, -2)</f>
        <v>1200</v>
      </c>
      <c r="T195" s="2" t="s">
        <v>57</v>
      </c>
      <c r="U195" s="2" t="str">
        <f t="shared" si="93"/>
        <v>100,100</v>
      </c>
      <c r="V195" s="2">
        <v>100</v>
      </c>
      <c r="W195" s="2">
        <f t="shared" ref="W195" si="140">ROUND(V195*1.2, -2)</f>
        <v>100</v>
      </c>
      <c r="X195" s="2" t="s">
        <v>58</v>
      </c>
      <c r="Y195" s="2" t="str">
        <f t="shared" si="94"/>
        <v>80,100</v>
      </c>
      <c r="Z195" s="2">
        <v>80</v>
      </c>
      <c r="AA195" s="2">
        <f t="shared" ref="AA195" si="141">ROUND(Z195*1.2, -2)</f>
        <v>100</v>
      </c>
      <c r="AB195" s="2">
        <v>100000</v>
      </c>
      <c r="AC195" s="2" t="str">
        <f>_xlfn.XLOOKUP($B195, '#참조'!$M:$M, '#참조'!$N:$N)</f>
        <v>힐드</v>
      </c>
      <c r="AD195" s="2" t="str">
        <f t="shared" ref="AD195:AD212" si="142">M195&amp;"_"&amp;AC195</f>
        <v>Common1_힐드</v>
      </c>
      <c r="AE195" s="2">
        <f t="shared" si="95"/>
        <v>0</v>
      </c>
    </row>
    <row r="196" spans="1:31" x14ac:dyDescent="0.2">
      <c r="A196" s="2">
        <f t="shared" ref="A196:A259" si="143">INT(1&amp;TEXT(RIGHT(B196,4),"0000")&amp;TEXT(L196,"000"))</f>
        <v>10002002</v>
      </c>
      <c r="B196" s="1">
        <v>10000002</v>
      </c>
      <c r="C196" s="1" t="s">
        <v>281</v>
      </c>
      <c r="D196" s="1" t="s">
        <v>309</v>
      </c>
      <c r="E196" s="1" t="str">
        <f>"Persona_"&amp;_xlfn.XLOOKUP($B196, '#캐릭터'!$A:$A, '#캐릭터'!$C:$C)</f>
        <v>Persona_c002</v>
      </c>
      <c r="F196" s="1"/>
      <c r="G196" s="1">
        <f>_xlfn.XLOOKUP(_xlfn.XLOOKUP(B196,'[1]Detail&lt;Child&gt;'!$A:$A,'[1]Detail&lt;Child&gt;'!$N:$N),'#참조'!P:P,'#참조'!Q:Q)</f>
        <v>2</v>
      </c>
      <c r="H196" s="1">
        <f>_xlfn.XLOOKUP(_xlfn.XLOOKUP(B196,'[1]Detail&lt;Child&gt;'!$A:$A,'[1]Detail&lt;Child&gt;'!$O:$O),'#참조'!R:R,'#참조'!S:S)</f>
        <v>3</v>
      </c>
      <c r="I196" s="1">
        <v>0</v>
      </c>
      <c r="J196" s="1">
        <v>3</v>
      </c>
      <c r="K196" s="1">
        <v>1</v>
      </c>
      <c r="L196" s="1">
        <v>2</v>
      </c>
      <c r="M196" s="2" t="s">
        <v>6</v>
      </c>
      <c r="N196" s="2" t="s">
        <v>407</v>
      </c>
      <c r="O196" s="2">
        <f t="shared" ref="O196" si="144">ROUND(O195*1.1, 0)</f>
        <v>2200</v>
      </c>
      <c r="P196" s="2" t="s">
        <v>56</v>
      </c>
      <c r="Q196" s="2" t="str">
        <f t="shared" si="92"/>
        <v>1300,1600</v>
      </c>
      <c r="R196" s="2">
        <f t="shared" ref="R196" si="145">ROUND(R195*1.3, 0)</f>
        <v>1300</v>
      </c>
      <c r="S196" s="2">
        <f t="shared" si="107"/>
        <v>1600</v>
      </c>
      <c r="T196" s="2" t="s">
        <v>57</v>
      </c>
      <c r="U196" s="2" t="str">
        <f t="shared" si="93"/>
        <v>120,100</v>
      </c>
      <c r="V196" s="2">
        <f t="shared" ref="V196" si="146">ROUND(V195*1.2, 0)</f>
        <v>120</v>
      </c>
      <c r="W196" s="2">
        <f t="shared" si="108"/>
        <v>100</v>
      </c>
      <c r="X196" s="2" t="s">
        <v>58</v>
      </c>
      <c r="Y196" s="2" t="str">
        <f t="shared" si="94"/>
        <v>104,100</v>
      </c>
      <c r="Z196" s="2">
        <f t="shared" ref="Z196" si="147">ROUND(Z195*1.3, 0)</f>
        <v>104</v>
      </c>
      <c r="AA196" s="2">
        <f t="shared" si="109"/>
        <v>100</v>
      </c>
      <c r="AB196" s="2">
        <v>100000</v>
      </c>
      <c r="AC196" s="2" t="str">
        <f>_xlfn.XLOOKUP($B196, '#참조'!$M:$M, '#참조'!$N:$N)</f>
        <v>힐드</v>
      </c>
      <c r="AD196" s="2" t="str">
        <f t="shared" si="142"/>
        <v>Common2_힐드</v>
      </c>
      <c r="AE196" s="2">
        <f t="shared" si="95"/>
        <v>0</v>
      </c>
    </row>
    <row r="197" spans="1:31" x14ac:dyDescent="0.2">
      <c r="A197" s="2">
        <f t="shared" si="143"/>
        <v>10002003</v>
      </c>
      <c r="B197" s="1">
        <v>10000002</v>
      </c>
      <c r="C197" s="1" t="s">
        <v>281</v>
      </c>
      <c r="D197" s="1" t="s">
        <v>309</v>
      </c>
      <c r="E197" s="1" t="str">
        <f>"Persona_"&amp;_xlfn.XLOOKUP($B197, '#캐릭터'!$A:$A, '#캐릭터'!$C:$C)</f>
        <v>Persona_c002</v>
      </c>
      <c r="F197" s="1"/>
      <c r="G197" s="1">
        <f>_xlfn.XLOOKUP(_xlfn.XLOOKUP(B197,'[1]Detail&lt;Child&gt;'!$A:$A,'[1]Detail&lt;Child&gt;'!$N:$N),'#참조'!P:P,'#참조'!Q:Q)</f>
        <v>2</v>
      </c>
      <c r="H197" s="1">
        <f>_xlfn.XLOOKUP(_xlfn.XLOOKUP(B197,'[1]Detail&lt;Child&gt;'!$A:$A,'[1]Detail&lt;Child&gt;'!$O:$O),'#참조'!R:R,'#참조'!S:S)</f>
        <v>3</v>
      </c>
      <c r="I197" s="1">
        <v>0</v>
      </c>
      <c r="J197" s="1">
        <v>3</v>
      </c>
      <c r="K197" s="1">
        <v>1</v>
      </c>
      <c r="L197" s="1">
        <v>3</v>
      </c>
      <c r="M197" s="2" t="s">
        <v>7</v>
      </c>
      <c r="N197" s="2" t="s">
        <v>407</v>
      </c>
      <c r="O197" s="2">
        <f t="shared" si="110"/>
        <v>2420</v>
      </c>
      <c r="P197" s="2" t="s">
        <v>56</v>
      </c>
      <c r="Q197" s="2" t="str">
        <f t="shared" ref="Q197:Q260" si="148">R197&amp;","&amp;S197</f>
        <v>1690,2000</v>
      </c>
      <c r="R197" s="2">
        <f t="shared" si="111"/>
        <v>1690</v>
      </c>
      <c r="S197" s="2">
        <f t="shared" si="107"/>
        <v>2000</v>
      </c>
      <c r="T197" s="2" t="s">
        <v>57</v>
      </c>
      <c r="U197" s="2" t="str">
        <f t="shared" ref="U197:U260" si="149">V197&amp;","&amp;W197</f>
        <v>144,200</v>
      </c>
      <c r="V197" s="2">
        <f t="shared" si="112"/>
        <v>144</v>
      </c>
      <c r="W197" s="2">
        <f t="shared" si="108"/>
        <v>200</v>
      </c>
      <c r="X197" s="2" t="s">
        <v>58</v>
      </c>
      <c r="Y197" s="2" t="str">
        <f t="shared" ref="Y197:Y260" si="150">Z197&amp;","&amp;AA197</f>
        <v>135,200</v>
      </c>
      <c r="Z197" s="2">
        <f t="shared" si="113"/>
        <v>135</v>
      </c>
      <c r="AA197" s="2">
        <f t="shared" si="109"/>
        <v>200</v>
      </c>
      <c r="AB197" s="2">
        <v>100000</v>
      </c>
      <c r="AC197" s="2" t="str">
        <f>_xlfn.XLOOKUP($B197, '#참조'!$M:$M, '#참조'!$N:$N)</f>
        <v>힐드</v>
      </c>
      <c r="AD197" s="2" t="str">
        <f t="shared" si="142"/>
        <v>Common3_힐드</v>
      </c>
      <c r="AE197" s="2">
        <f t="shared" ref="AE197:AE260" si="151">IF(I197=0,0,INT(G197&amp;H197&amp;TEXT(I197,"00")))</f>
        <v>0</v>
      </c>
    </row>
    <row r="198" spans="1:31" x14ac:dyDescent="0.2">
      <c r="A198" s="2">
        <f t="shared" si="143"/>
        <v>10002004</v>
      </c>
      <c r="B198" s="1">
        <v>10000002</v>
      </c>
      <c r="C198" s="1" t="s">
        <v>281</v>
      </c>
      <c r="D198" s="1" t="s">
        <v>309</v>
      </c>
      <c r="E198" s="1" t="str">
        <f>"Persona_"&amp;_xlfn.XLOOKUP($B198, '#캐릭터'!$A:$A, '#캐릭터'!$C:$C)</f>
        <v>Persona_c002</v>
      </c>
      <c r="F198" s="1"/>
      <c r="G198" s="1">
        <f>_xlfn.XLOOKUP(_xlfn.XLOOKUP(B198,'[1]Detail&lt;Child&gt;'!$A:$A,'[1]Detail&lt;Child&gt;'!$N:$N),'#참조'!P:P,'#참조'!Q:Q)</f>
        <v>2</v>
      </c>
      <c r="H198" s="1">
        <f>_xlfn.XLOOKUP(_xlfn.XLOOKUP(B198,'[1]Detail&lt;Child&gt;'!$A:$A,'[1]Detail&lt;Child&gt;'!$O:$O),'#참조'!R:R,'#참조'!S:S)</f>
        <v>3</v>
      </c>
      <c r="I198" s="1">
        <v>0</v>
      </c>
      <c r="J198" s="1">
        <v>3</v>
      </c>
      <c r="K198" s="1">
        <v>2</v>
      </c>
      <c r="L198" s="1">
        <v>4</v>
      </c>
      <c r="M198" s="2" t="s">
        <v>8</v>
      </c>
      <c r="N198" s="2" t="s">
        <v>407</v>
      </c>
      <c r="O198" s="2">
        <f t="shared" si="110"/>
        <v>2662</v>
      </c>
      <c r="P198" s="2" t="s">
        <v>56</v>
      </c>
      <c r="Q198" s="2" t="str">
        <f t="shared" si="148"/>
        <v>2197,2600</v>
      </c>
      <c r="R198" s="2">
        <f t="shared" si="111"/>
        <v>2197</v>
      </c>
      <c r="S198" s="2">
        <f t="shared" si="107"/>
        <v>2600</v>
      </c>
      <c r="T198" s="2" t="s">
        <v>57</v>
      </c>
      <c r="U198" s="2" t="str">
        <f t="shared" si="149"/>
        <v>173,200</v>
      </c>
      <c r="V198" s="2">
        <f t="shared" si="112"/>
        <v>173</v>
      </c>
      <c r="W198" s="2">
        <f t="shared" si="108"/>
        <v>200</v>
      </c>
      <c r="X198" s="2" t="s">
        <v>58</v>
      </c>
      <c r="Y198" s="2" t="str">
        <f t="shared" si="150"/>
        <v>176,200</v>
      </c>
      <c r="Z198" s="2">
        <f t="shared" si="113"/>
        <v>176</v>
      </c>
      <c r="AA198" s="2">
        <f t="shared" si="109"/>
        <v>200</v>
      </c>
      <c r="AB198" s="2">
        <v>95000</v>
      </c>
      <c r="AC198" s="2" t="str">
        <f>_xlfn.XLOOKUP($B198, '#참조'!$M:$M, '#참조'!$N:$N)</f>
        <v>힐드</v>
      </c>
      <c r="AD198" s="2" t="str">
        <f t="shared" si="142"/>
        <v>Uncommon1_힐드</v>
      </c>
      <c r="AE198" s="2">
        <f t="shared" si="151"/>
        <v>0</v>
      </c>
    </row>
    <row r="199" spans="1:31" x14ac:dyDescent="0.2">
      <c r="A199" s="2">
        <f t="shared" si="143"/>
        <v>10002005</v>
      </c>
      <c r="B199" s="1">
        <v>10000002</v>
      </c>
      <c r="C199" s="1" t="s">
        <v>281</v>
      </c>
      <c r="D199" s="1" t="s">
        <v>309</v>
      </c>
      <c r="E199" s="1" t="str">
        <f>"Persona_"&amp;_xlfn.XLOOKUP($B199, '#캐릭터'!$A:$A, '#캐릭터'!$C:$C)</f>
        <v>Persona_c002</v>
      </c>
      <c r="F199" s="1"/>
      <c r="G199" s="1">
        <f>_xlfn.XLOOKUP(_xlfn.XLOOKUP(B199,'[1]Detail&lt;Child&gt;'!$A:$A,'[1]Detail&lt;Child&gt;'!$N:$N),'#참조'!P:P,'#참조'!Q:Q)</f>
        <v>2</v>
      </c>
      <c r="H199" s="1">
        <f>_xlfn.XLOOKUP(_xlfn.XLOOKUP(B199,'[1]Detail&lt;Child&gt;'!$A:$A,'[1]Detail&lt;Child&gt;'!$O:$O),'#참조'!R:R,'#참조'!S:S)</f>
        <v>3</v>
      </c>
      <c r="I199" s="1">
        <v>0</v>
      </c>
      <c r="J199" s="1">
        <v>3</v>
      </c>
      <c r="K199" s="1">
        <v>2</v>
      </c>
      <c r="L199" s="1">
        <v>5</v>
      </c>
      <c r="M199" s="2" t="s">
        <v>9</v>
      </c>
      <c r="N199" s="2" t="s">
        <v>407</v>
      </c>
      <c r="O199" s="2">
        <f t="shared" si="110"/>
        <v>2928</v>
      </c>
      <c r="P199" s="2" t="s">
        <v>56</v>
      </c>
      <c r="Q199" s="2" t="str">
        <f t="shared" si="148"/>
        <v>2856,3400</v>
      </c>
      <c r="R199" s="2">
        <f t="shared" si="111"/>
        <v>2856</v>
      </c>
      <c r="S199" s="2">
        <f t="shared" si="107"/>
        <v>3400</v>
      </c>
      <c r="T199" s="2" t="s">
        <v>57</v>
      </c>
      <c r="U199" s="2" t="str">
        <f t="shared" si="149"/>
        <v>208,200</v>
      </c>
      <c r="V199" s="2">
        <f t="shared" si="112"/>
        <v>208</v>
      </c>
      <c r="W199" s="2">
        <f t="shared" si="108"/>
        <v>200</v>
      </c>
      <c r="X199" s="2" t="s">
        <v>58</v>
      </c>
      <c r="Y199" s="2" t="str">
        <f t="shared" si="150"/>
        <v>229,300</v>
      </c>
      <c r="Z199" s="2">
        <f t="shared" si="113"/>
        <v>229</v>
      </c>
      <c r="AA199" s="2">
        <f t="shared" si="109"/>
        <v>300</v>
      </c>
      <c r="AB199" s="2">
        <v>95000</v>
      </c>
      <c r="AC199" s="2" t="str">
        <f>_xlfn.XLOOKUP($B199, '#참조'!$M:$M, '#참조'!$N:$N)</f>
        <v>힐드</v>
      </c>
      <c r="AD199" s="2" t="str">
        <f t="shared" si="142"/>
        <v>Uncommon2_힐드</v>
      </c>
      <c r="AE199" s="2">
        <f t="shared" si="151"/>
        <v>0</v>
      </c>
    </row>
    <row r="200" spans="1:31" x14ac:dyDescent="0.2">
      <c r="A200" s="2">
        <f t="shared" si="143"/>
        <v>10002006</v>
      </c>
      <c r="B200" s="1">
        <v>10000002</v>
      </c>
      <c r="C200" s="1" t="s">
        <v>281</v>
      </c>
      <c r="D200" s="1" t="s">
        <v>309</v>
      </c>
      <c r="E200" s="1" t="str">
        <f>"Persona_"&amp;_xlfn.XLOOKUP($B200, '#캐릭터'!$A:$A, '#캐릭터'!$C:$C)</f>
        <v>Persona_c002</v>
      </c>
      <c r="F200" s="1"/>
      <c r="G200" s="1">
        <f>_xlfn.XLOOKUP(_xlfn.XLOOKUP(B200,'[1]Detail&lt;Child&gt;'!$A:$A,'[1]Detail&lt;Child&gt;'!$N:$N),'#참조'!P:P,'#참조'!Q:Q)</f>
        <v>2</v>
      </c>
      <c r="H200" s="1">
        <f>_xlfn.XLOOKUP(_xlfn.XLOOKUP(B200,'[1]Detail&lt;Child&gt;'!$A:$A,'[1]Detail&lt;Child&gt;'!$O:$O),'#참조'!R:R,'#참조'!S:S)</f>
        <v>3</v>
      </c>
      <c r="I200" s="1">
        <v>0</v>
      </c>
      <c r="J200" s="1">
        <v>3</v>
      </c>
      <c r="K200" s="1">
        <v>2</v>
      </c>
      <c r="L200" s="1">
        <v>6</v>
      </c>
      <c r="M200" s="2" t="s">
        <v>10</v>
      </c>
      <c r="N200" s="2" t="s">
        <v>407</v>
      </c>
      <c r="O200" s="2">
        <f t="shared" si="110"/>
        <v>3221</v>
      </c>
      <c r="P200" s="2" t="s">
        <v>56</v>
      </c>
      <c r="Q200" s="2" t="str">
        <f t="shared" si="148"/>
        <v>3713,4500</v>
      </c>
      <c r="R200" s="2">
        <f t="shared" si="111"/>
        <v>3713</v>
      </c>
      <c r="S200" s="2">
        <f t="shared" si="107"/>
        <v>4500</v>
      </c>
      <c r="T200" s="2" t="s">
        <v>57</v>
      </c>
      <c r="U200" s="2" t="str">
        <f t="shared" si="149"/>
        <v>250,300</v>
      </c>
      <c r="V200" s="2">
        <f t="shared" si="112"/>
        <v>250</v>
      </c>
      <c r="W200" s="2">
        <f t="shared" si="108"/>
        <v>300</v>
      </c>
      <c r="X200" s="2" t="s">
        <v>58</v>
      </c>
      <c r="Y200" s="2" t="str">
        <f t="shared" si="150"/>
        <v>298,400</v>
      </c>
      <c r="Z200" s="2">
        <f t="shared" si="113"/>
        <v>298</v>
      </c>
      <c r="AA200" s="2">
        <f t="shared" si="109"/>
        <v>400</v>
      </c>
      <c r="AB200" s="2">
        <v>95000</v>
      </c>
      <c r="AC200" s="2" t="str">
        <f>_xlfn.XLOOKUP($B200, '#참조'!$M:$M, '#참조'!$N:$N)</f>
        <v>힐드</v>
      </c>
      <c r="AD200" s="2" t="str">
        <f t="shared" si="142"/>
        <v>Uncommon3_힐드</v>
      </c>
      <c r="AE200" s="2">
        <f t="shared" si="151"/>
        <v>0</v>
      </c>
    </row>
    <row r="201" spans="1:31" x14ac:dyDescent="0.2">
      <c r="A201" s="2">
        <f t="shared" si="143"/>
        <v>10002007</v>
      </c>
      <c r="B201" s="1">
        <v>10000002</v>
      </c>
      <c r="C201" s="1" t="s">
        <v>281</v>
      </c>
      <c r="D201" s="1" t="s">
        <v>309</v>
      </c>
      <c r="E201" s="1" t="str">
        <f>"Persona_"&amp;_xlfn.XLOOKUP($B201, '#캐릭터'!$A:$A, '#캐릭터'!$C:$C)</f>
        <v>Persona_c002</v>
      </c>
      <c r="F201" s="1"/>
      <c r="G201" s="1">
        <f>_xlfn.XLOOKUP(_xlfn.XLOOKUP(B201,'[1]Detail&lt;Child&gt;'!$A:$A,'[1]Detail&lt;Child&gt;'!$N:$N),'#참조'!P:P,'#참조'!Q:Q)</f>
        <v>2</v>
      </c>
      <c r="H201" s="1">
        <f>_xlfn.XLOOKUP(_xlfn.XLOOKUP(B201,'[1]Detail&lt;Child&gt;'!$A:$A,'[1]Detail&lt;Child&gt;'!$O:$O),'#참조'!R:R,'#참조'!S:S)</f>
        <v>3</v>
      </c>
      <c r="I201" s="1">
        <v>1</v>
      </c>
      <c r="J201" s="1">
        <v>3</v>
      </c>
      <c r="K201" s="1">
        <v>3</v>
      </c>
      <c r="L201" s="1">
        <v>7</v>
      </c>
      <c r="M201" s="2" t="s">
        <v>11</v>
      </c>
      <c r="N201" s="2" t="s">
        <v>407</v>
      </c>
      <c r="O201" s="2">
        <f t="shared" si="110"/>
        <v>3543</v>
      </c>
      <c r="P201" s="2" t="s">
        <v>56</v>
      </c>
      <c r="Q201" s="2" t="str">
        <f t="shared" si="148"/>
        <v>4827,5800</v>
      </c>
      <c r="R201" s="2">
        <f t="shared" si="111"/>
        <v>4827</v>
      </c>
      <c r="S201" s="2">
        <f t="shared" si="107"/>
        <v>5800</v>
      </c>
      <c r="T201" s="2" t="s">
        <v>57</v>
      </c>
      <c r="U201" s="2" t="str">
        <f t="shared" si="149"/>
        <v>300,400</v>
      </c>
      <c r="V201" s="2">
        <f t="shared" si="112"/>
        <v>300</v>
      </c>
      <c r="W201" s="2">
        <f t="shared" si="108"/>
        <v>400</v>
      </c>
      <c r="X201" s="2" t="s">
        <v>58</v>
      </c>
      <c r="Y201" s="2" t="str">
        <f t="shared" si="150"/>
        <v>387,500</v>
      </c>
      <c r="Z201" s="2">
        <f t="shared" si="113"/>
        <v>387</v>
      </c>
      <c r="AA201" s="2">
        <f t="shared" si="109"/>
        <v>500</v>
      </c>
      <c r="AB201" s="2">
        <v>90000</v>
      </c>
      <c r="AC201" s="2" t="str">
        <f>_xlfn.XLOOKUP($B201, '#참조'!$M:$M, '#참조'!$N:$N)</f>
        <v>힐드</v>
      </c>
      <c r="AD201" s="2" t="str">
        <f t="shared" si="142"/>
        <v>Rare1_힐드</v>
      </c>
      <c r="AE201" s="2">
        <f t="shared" si="151"/>
        <v>2301</v>
      </c>
    </row>
    <row r="202" spans="1:31" x14ac:dyDescent="0.2">
      <c r="A202" s="2">
        <f t="shared" si="143"/>
        <v>10002008</v>
      </c>
      <c r="B202" s="1">
        <v>10000002</v>
      </c>
      <c r="C202" s="1" t="s">
        <v>281</v>
      </c>
      <c r="D202" s="1" t="s">
        <v>309</v>
      </c>
      <c r="E202" s="1" t="str">
        <f>"Persona_"&amp;_xlfn.XLOOKUP($B202, '#캐릭터'!$A:$A, '#캐릭터'!$C:$C)</f>
        <v>Persona_c002</v>
      </c>
      <c r="F202" s="1"/>
      <c r="G202" s="1">
        <f>_xlfn.XLOOKUP(_xlfn.XLOOKUP(B202,'[1]Detail&lt;Child&gt;'!$A:$A,'[1]Detail&lt;Child&gt;'!$N:$N),'#참조'!P:P,'#참조'!Q:Q)</f>
        <v>2</v>
      </c>
      <c r="H202" s="1">
        <f>_xlfn.XLOOKUP(_xlfn.XLOOKUP(B202,'[1]Detail&lt;Child&gt;'!$A:$A,'[1]Detail&lt;Child&gt;'!$O:$O),'#참조'!R:R,'#참조'!S:S)</f>
        <v>3</v>
      </c>
      <c r="I202" s="1">
        <v>1</v>
      </c>
      <c r="J202" s="1">
        <v>3</v>
      </c>
      <c r="K202" s="1">
        <v>3</v>
      </c>
      <c r="L202" s="1">
        <v>8</v>
      </c>
      <c r="M202" s="2" t="s">
        <v>12</v>
      </c>
      <c r="N202" s="2" t="s">
        <v>407</v>
      </c>
      <c r="O202" s="2">
        <f t="shared" si="110"/>
        <v>3897</v>
      </c>
      <c r="P202" s="2" t="s">
        <v>56</v>
      </c>
      <c r="Q202" s="2" t="str">
        <f t="shared" si="148"/>
        <v>6275,7500</v>
      </c>
      <c r="R202" s="2">
        <f t="shared" si="111"/>
        <v>6275</v>
      </c>
      <c r="S202" s="2">
        <f t="shared" si="107"/>
        <v>7500</v>
      </c>
      <c r="T202" s="2" t="s">
        <v>57</v>
      </c>
      <c r="U202" s="2" t="str">
        <f t="shared" si="149"/>
        <v>360,400</v>
      </c>
      <c r="V202" s="2">
        <f t="shared" si="112"/>
        <v>360</v>
      </c>
      <c r="W202" s="2">
        <f t="shared" si="108"/>
        <v>400</v>
      </c>
      <c r="X202" s="2" t="s">
        <v>58</v>
      </c>
      <c r="Y202" s="2" t="str">
        <f t="shared" si="150"/>
        <v>503,600</v>
      </c>
      <c r="Z202" s="2">
        <f t="shared" si="113"/>
        <v>503</v>
      </c>
      <c r="AA202" s="2">
        <f t="shared" si="109"/>
        <v>600</v>
      </c>
      <c r="AB202" s="2">
        <v>90000</v>
      </c>
      <c r="AC202" s="2" t="str">
        <f>_xlfn.XLOOKUP($B202, '#참조'!$M:$M, '#참조'!$N:$N)</f>
        <v>힐드</v>
      </c>
      <c r="AD202" s="2" t="str">
        <f t="shared" si="142"/>
        <v>Rare2_힐드</v>
      </c>
      <c r="AE202" s="2">
        <f t="shared" si="151"/>
        <v>2301</v>
      </c>
    </row>
    <row r="203" spans="1:31" x14ac:dyDescent="0.2">
      <c r="A203" s="2">
        <f t="shared" si="143"/>
        <v>10002009</v>
      </c>
      <c r="B203" s="1">
        <v>10000002</v>
      </c>
      <c r="C203" s="1" t="s">
        <v>281</v>
      </c>
      <c r="D203" s="1" t="s">
        <v>309</v>
      </c>
      <c r="E203" s="1" t="str">
        <f>"Persona_"&amp;_xlfn.XLOOKUP($B203, '#캐릭터'!$A:$A, '#캐릭터'!$C:$C)</f>
        <v>Persona_c002</v>
      </c>
      <c r="F203" s="1"/>
      <c r="G203" s="1">
        <f>_xlfn.XLOOKUP(_xlfn.XLOOKUP(B203,'[1]Detail&lt;Child&gt;'!$A:$A,'[1]Detail&lt;Child&gt;'!$N:$N),'#참조'!P:P,'#참조'!Q:Q)</f>
        <v>2</v>
      </c>
      <c r="H203" s="1">
        <f>_xlfn.XLOOKUP(_xlfn.XLOOKUP(B203,'[1]Detail&lt;Child&gt;'!$A:$A,'[1]Detail&lt;Child&gt;'!$O:$O),'#참조'!R:R,'#참조'!S:S)</f>
        <v>3</v>
      </c>
      <c r="I203" s="1">
        <v>2</v>
      </c>
      <c r="J203" s="1">
        <v>3</v>
      </c>
      <c r="K203" s="1">
        <v>3</v>
      </c>
      <c r="L203" s="1">
        <v>9</v>
      </c>
      <c r="M203" s="2" t="s">
        <v>13</v>
      </c>
      <c r="N203" s="2" t="s">
        <v>407</v>
      </c>
      <c r="O203" s="2">
        <f t="shared" si="110"/>
        <v>4287</v>
      </c>
      <c r="P203" s="2" t="s">
        <v>56</v>
      </c>
      <c r="Q203" s="2" t="str">
        <f t="shared" si="148"/>
        <v>8158,9800</v>
      </c>
      <c r="R203" s="2">
        <f t="shared" si="111"/>
        <v>8158</v>
      </c>
      <c r="S203" s="2">
        <f t="shared" si="107"/>
        <v>9800</v>
      </c>
      <c r="T203" s="2" t="s">
        <v>57</v>
      </c>
      <c r="U203" s="2" t="str">
        <f t="shared" si="149"/>
        <v>432,500</v>
      </c>
      <c r="V203" s="2">
        <f t="shared" si="112"/>
        <v>432</v>
      </c>
      <c r="W203" s="2">
        <f t="shared" si="108"/>
        <v>500</v>
      </c>
      <c r="X203" s="2" t="s">
        <v>58</v>
      </c>
      <c r="Y203" s="2" t="str">
        <f t="shared" si="150"/>
        <v>654,800</v>
      </c>
      <c r="Z203" s="2">
        <f t="shared" si="113"/>
        <v>654</v>
      </c>
      <c r="AA203" s="2">
        <f t="shared" si="109"/>
        <v>800</v>
      </c>
      <c r="AB203" s="2">
        <v>90000</v>
      </c>
      <c r="AC203" s="2" t="str">
        <f>_xlfn.XLOOKUP($B203, '#참조'!$M:$M, '#참조'!$N:$N)</f>
        <v>힐드</v>
      </c>
      <c r="AD203" s="2" t="str">
        <f t="shared" si="142"/>
        <v>Rare3_힐드</v>
      </c>
      <c r="AE203" s="2">
        <f t="shared" si="151"/>
        <v>2302</v>
      </c>
    </row>
    <row r="204" spans="1:31" x14ac:dyDescent="0.2">
      <c r="A204" s="2">
        <f t="shared" si="143"/>
        <v>10002010</v>
      </c>
      <c r="B204" s="1">
        <v>10000002</v>
      </c>
      <c r="C204" s="1" t="s">
        <v>281</v>
      </c>
      <c r="D204" s="1" t="s">
        <v>309</v>
      </c>
      <c r="E204" s="1" t="str">
        <f>"Persona_"&amp;_xlfn.XLOOKUP($B204, '#캐릭터'!$A:$A, '#캐릭터'!$C:$C)</f>
        <v>Persona_c002</v>
      </c>
      <c r="F204" s="1"/>
      <c r="G204" s="1">
        <f>_xlfn.XLOOKUP(_xlfn.XLOOKUP(B204,'[1]Detail&lt;Child&gt;'!$A:$A,'[1]Detail&lt;Child&gt;'!$N:$N),'#참조'!P:P,'#참조'!Q:Q)</f>
        <v>2</v>
      </c>
      <c r="H204" s="1">
        <f>_xlfn.XLOOKUP(_xlfn.XLOOKUP(B204,'[1]Detail&lt;Child&gt;'!$A:$A,'[1]Detail&lt;Child&gt;'!$O:$O),'#참조'!R:R,'#참조'!S:S)</f>
        <v>3</v>
      </c>
      <c r="I204" s="1">
        <v>2</v>
      </c>
      <c r="J204" s="1">
        <v>3</v>
      </c>
      <c r="K204" s="1">
        <v>4</v>
      </c>
      <c r="L204" s="1">
        <v>10</v>
      </c>
      <c r="M204" s="2" t="s">
        <v>14</v>
      </c>
      <c r="N204" s="2" t="s">
        <v>407</v>
      </c>
      <c r="O204" s="2">
        <f t="shared" si="110"/>
        <v>4716</v>
      </c>
      <c r="P204" s="2" t="s">
        <v>56</v>
      </c>
      <c r="Q204" s="2" t="str">
        <f t="shared" si="148"/>
        <v>10605,12700</v>
      </c>
      <c r="R204" s="2">
        <f t="shared" si="111"/>
        <v>10605</v>
      </c>
      <c r="S204" s="2">
        <f t="shared" si="107"/>
        <v>12700</v>
      </c>
      <c r="T204" s="2" t="s">
        <v>57</v>
      </c>
      <c r="U204" s="2" t="str">
        <f t="shared" si="149"/>
        <v>518,600</v>
      </c>
      <c r="V204" s="2">
        <f t="shared" si="112"/>
        <v>518</v>
      </c>
      <c r="W204" s="2">
        <f t="shared" si="108"/>
        <v>600</v>
      </c>
      <c r="X204" s="2" t="s">
        <v>58</v>
      </c>
      <c r="Y204" s="2" t="str">
        <f t="shared" si="150"/>
        <v>850,1000</v>
      </c>
      <c r="Z204" s="2">
        <f t="shared" si="113"/>
        <v>850</v>
      </c>
      <c r="AA204" s="2">
        <f t="shared" si="109"/>
        <v>1000</v>
      </c>
      <c r="AB204" s="2">
        <v>85000</v>
      </c>
      <c r="AC204" s="2" t="str">
        <f>_xlfn.XLOOKUP($B204, '#참조'!$M:$M, '#참조'!$N:$N)</f>
        <v>힐드</v>
      </c>
      <c r="AD204" s="2" t="str">
        <f t="shared" si="142"/>
        <v>Unique1_힐드</v>
      </c>
      <c r="AE204" s="2">
        <f t="shared" si="151"/>
        <v>2302</v>
      </c>
    </row>
    <row r="205" spans="1:31" x14ac:dyDescent="0.2">
      <c r="A205" s="2">
        <f t="shared" si="143"/>
        <v>10002011</v>
      </c>
      <c r="B205" s="1">
        <v>10000002</v>
      </c>
      <c r="C205" s="1" t="s">
        <v>281</v>
      </c>
      <c r="D205" s="1" t="s">
        <v>309</v>
      </c>
      <c r="E205" s="1" t="str">
        <f>"Persona_"&amp;_xlfn.XLOOKUP($B205, '#캐릭터'!$A:$A, '#캐릭터'!$C:$C)</f>
        <v>Persona_c002</v>
      </c>
      <c r="F205" s="1"/>
      <c r="G205" s="1">
        <f>_xlfn.XLOOKUP(_xlfn.XLOOKUP(B205,'[1]Detail&lt;Child&gt;'!$A:$A,'[1]Detail&lt;Child&gt;'!$N:$N),'#참조'!P:P,'#참조'!Q:Q)</f>
        <v>2</v>
      </c>
      <c r="H205" s="1">
        <f>_xlfn.XLOOKUP(_xlfn.XLOOKUP(B205,'[1]Detail&lt;Child&gt;'!$A:$A,'[1]Detail&lt;Child&gt;'!$O:$O),'#참조'!R:R,'#참조'!S:S)</f>
        <v>3</v>
      </c>
      <c r="I205" s="1">
        <v>3</v>
      </c>
      <c r="J205" s="1">
        <v>3</v>
      </c>
      <c r="K205" s="1">
        <v>4</v>
      </c>
      <c r="L205" s="1">
        <v>11</v>
      </c>
      <c r="M205" s="2" t="s">
        <v>15</v>
      </c>
      <c r="N205" s="2" t="s">
        <v>407</v>
      </c>
      <c r="O205" s="2">
        <f t="shared" si="110"/>
        <v>5188</v>
      </c>
      <c r="P205" s="2" t="s">
        <v>56</v>
      </c>
      <c r="Q205" s="2" t="str">
        <f t="shared" si="148"/>
        <v>13787,16500</v>
      </c>
      <c r="R205" s="2">
        <f t="shared" si="111"/>
        <v>13787</v>
      </c>
      <c r="S205" s="2">
        <f t="shared" si="107"/>
        <v>16500</v>
      </c>
      <c r="T205" s="2" t="s">
        <v>57</v>
      </c>
      <c r="U205" s="2" t="str">
        <f t="shared" si="149"/>
        <v>622,700</v>
      </c>
      <c r="V205" s="2">
        <f t="shared" si="112"/>
        <v>622</v>
      </c>
      <c r="W205" s="2">
        <f t="shared" si="108"/>
        <v>700</v>
      </c>
      <c r="X205" s="2" t="s">
        <v>58</v>
      </c>
      <c r="Y205" s="2" t="str">
        <f t="shared" si="150"/>
        <v>1105,1300</v>
      </c>
      <c r="Z205" s="2">
        <f t="shared" si="113"/>
        <v>1105</v>
      </c>
      <c r="AA205" s="2">
        <f t="shared" si="109"/>
        <v>1300</v>
      </c>
      <c r="AB205" s="2">
        <v>85000</v>
      </c>
      <c r="AC205" s="2" t="str">
        <f>_xlfn.XLOOKUP($B205, '#참조'!$M:$M, '#참조'!$N:$N)</f>
        <v>힐드</v>
      </c>
      <c r="AD205" s="2" t="str">
        <f t="shared" si="142"/>
        <v>Unique2_힐드</v>
      </c>
      <c r="AE205" s="2">
        <f t="shared" si="151"/>
        <v>2303</v>
      </c>
    </row>
    <row r="206" spans="1:31" x14ac:dyDescent="0.2">
      <c r="A206" s="2">
        <f t="shared" si="143"/>
        <v>10002012</v>
      </c>
      <c r="B206" s="1">
        <v>10000002</v>
      </c>
      <c r="C206" s="1" t="s">
        <v>281</v>
      </c>
      <c r="D206" s="1" t="s">
        <v>309</v>
      </c>
      <c r="E206" s="1" t="str">
        <f>"Persona_"&amp;_xlfn.XLOOKUP($B206, '#캐릭터'!$A:$A, '#캐릭터'!$C:$C)</f>
        <v>Persona_c002</v>
      </c>
      <c r="F206" s="1"/>
      <c r="G206" s="1">
        <f>_xlfn.XLOOKUP(_xlfn.XLOOKUP(B206,'[1]Detail&lt;Child&gt;'!$A:$A,'[1]Detail&lt;Child&gt;'!$N:$N),'#참조'!P:P,'#참조'!Q:Q)</f>
        <v>2</v>
      </c>
      <c r="H206" s="1">
        <f>_xlfn.XLOOKUP(_xlfn.XLOOKUP(B206,'[1]Detail&lt;Child&gt;'!$A:$A,'[1]Detail&lt;Child&gt;'!$O:$O),'#참조'!R:R,'#참조'!S:S)</f>
        <v>3</v>
      </c>
      <c r="I206" s="1">
        <v>3</v>
      </c>
      <c r="J206" s="1">
        <v>3</v>
      </c>
      <c r="K206" s="1">
        <v>4</v>
      </c>
      <c r="L206" s="1">
        <v>12</v>
      </c>
      <c r="M206" s="2" t="s">
        <v>16</v>
      </c>
      <c r="N206" s="2" t="s">
        <v>407</v>
      </c>
      <c r="O206" s="2">
        <f t="shared" si="110"/>
        <v>5707</v>
      </c>
      <c r="P206" s="2" t="s">
        <v>56</v>
      </c>
      <c r="Q206" s="2" t="str">
        <f t="shared" si="148"/>
        <v>17923,21500</v>
      </c>
      <c r="R206" s="2">
        <f t="shared" si="111"/>
        <v>17923</v>
      </c>
      <c r="S206" s="2">
        <f t="shared" si="107"/>
        <v>21500</v>
      </c>
      <c r="T206" s="2" t="s">
        <v>57</v>
      </c>
      <c r="U206" s="2" t="str">
        <f t="shared" si="149"/>
        <v>746,900</v>
      </c>
      <c r="V206" s="2">
        <f t="shared" si="112"/>
        <v>746</v>
      </c>
      <c r="W206" s="2">
        <f t="shared" si="108"/>
        <v>900</v>
      </c>
      <c r="X206" s="2" t="s">
        <v>58</v>
      </c>
      <c r="Y206" s="2" t="str">
        <f t="shared" si="150"/>
        <v>1437,1700</v>
      </c>
      <c r="Z206" s="2">
        <f t="shared" si="113"/>
        <v>1437</v>
      </c>
      <c r="AA206" s="2">
        <f t="shared" si="109"/>
        <v>1700</v>
      </c>
      <c r="AB206" s="2">
        <v>85000</v>
      </c>
      <c r="AC206" s="2" t="str">
        <f>_xlfn.XLOOKUP($B206, '#참조'!$M:$M, '#참조'!$N:$N)</f>
        <v>힐드</v>
      </c>
      <c r="AD206" s="2" t="str">
        <f t="shared" si="142"/>
        <v>Unique3_힐드</v>
      </c>
      <c r="AE206" s="2">
        <f t="shared" si="151"/>
        <v>2303</v>
      </c>
    </row>
    <row r="207" spans="1:31" x14ac:dyDescent="0.2">
      <c r="A207" s="2">
        <f t="shared" si="143"/>
        <v>10002013</v>
      </c>
      <c r="B207" s="1">
        <v>10000002</v>
      </c>
      <c r="C207" s="1" t="s">
        <v>281</v>
      </c>
      <c r="D207" s="1" t="s">
        <v>309</v>
      </c>
      <c r="E207" s="1" t="str">
        <f>"Persona_"&amp;_xlfn.XLOOKUP($B207, '#캐릭터'!$A:$A, '#캐릭터'!$C:$C)</f>
        <v>Persona_c002</v>
      </c>
      <c r="F207" s="1"/>
      <c r="G207" s="1">
        <f>_xlfn.XLOOKUP(_xlfn.XLOOKUP(B207,'[1]Detail&lt;Child&gt;'!$A:$A,'[1]Detail&lt;Child&gt;'!$N:$N),'#참조'!P:P,'#참조'!Q:Q)</f>
        <v>2</v>
      </c>
      <c r="H207" s="1">
        <f>_xlfn.XLOOKUP(_xlfn.XLOOKUP(B207,'[1]Detail&lt;Child&gt;'!$A:$A,'[1]Detail&lt;Child&gt;'!$O:$O),'#참조'!R:R,'#참조'!S:S)</f>
        <v>3</v>
      </c>
      <c r="I207" s="1">
        <v>4</v>
      </c>
      <c r="J207" s="1">
        <v>3</v>
      </c>
      <c r="K207" s="1">
        <v>5</v>
      </c>
      <c r="L207" s="1">
        <v>13</v>
      </c>
      <c r="M207" s="2" t="s">
        <v>17</v>
      </c>
      <c r="N207" s="2" t="s">
        <v>407</v>
      </c>
      <c r="O207" s="2">
        <f t="shared" si="110"/>
        <v>6278</v>
      </c>
      <c r="P207" s="2" t="s">
        <v>56</v>
      </c>
      <c r="Q207" s="2" t="str">
        <f t="shared" si="148"/>
        <v>23300,28000</v>
      </c>
      <c r="R207" s="2">
        <f t="shared" si="111"/>
        <v>23300</v>
      </c>
      <c r="S207" s="2">
        <f t="shared" si="107"/>
        <v>28000</v>
      </c>
      <c r="T207" s="2" t="s">
        <v>57</v>
      </c>
      <c r="U207" s="2" t="str">
        <f t="shared" si="149"/>
        <v>895,1100</v>
      </c>
      <c r="V207" s="2">
        <f t="shared" si="112"/>
        <v>895</v>
      </c>
      <c r="W207" s="2">
        <f t="shared" si="108"/>
        <v>1100</v>
      </c>
      <c r="X207" s="2" t="s">
        <v>58</v>
      </c>
      <c r="Y207" s="2" t="str">
        <f t="shared" si="150"/>
        <v>1868,2200</v>
      </c>
      <c r="Z207" s="2">
        <f t="shared" si="113"/>
        <v>1868</v>
      </c>
      <c r="AA207" s="2">
        <f t="shared" si="109"/>
        <v>2200</v>
      </c>
      <c r="AB207" s="2">
        <v>80000</v>
      </c>
      <c r="AC207" s="2" t="str">
        <f>_xlfn.XLOOKUP($B207, '#참조'!$M:$M, '#참조'!$N:$N)</f>
        <v>힐드</v>
      </c>
      <c r="AD207" s="2" t="str">
        <f t="shared" si="142"/>
        <v>Epic1_힐드</v>
      </c>
      <c r="AE207" s="2">
        <f t="shared" si="151"/>
        <v>2304</v>
      </c>
    </row>
    <row r="208" spans="1:31" x14ac:dyDescent="0.2">
      <c r="A208" s="2">
        <f t="shared" si="143"/>
        <v>10002014</v>
      </c>
      <c r="B208" s="1">
        <v>10000002</v>
      </c>
      <c r="C208" s="1" t="s">
        <v>281</v>
      </c>
      <c r="D208" s="1" t="s">
        <v>309</v>
      </c>
      <c r="E208" s="1" t="str">
        <f>"Persona_"&amp;_xlfn.XLOOKUP($B208, '#캐릭터'!$A:$A, '#캐릭터'!$C:$C)</f>
        <v>Persona_c002</v>
      </c>
      <c r="F208" s="1"/>
      <c r="G208" s="1">
        <f>_xlfn.XLOOKUP(_xlfn.XLOOKUP(B208,'[1]Detail&lt;Child&gt;'!$A:$A,'[1]Detail&lt;Child&gt;'!$N:$N),'#참조'!P:P,'#참조'!Q:Q)</f>
        <v>2</v>
      </c>
      <c r="H208" s="1">
        <f>_xlfn.XLOOKUP(_xlfn.XLOOKUP(B208,'[1]Detail&lt;Child&gt;'!$A:$A,'[1]Detail&lt;Child&gt;'!$O:$O),'#참조'!R:R,'#참조'!S:S)</f>
        <v>3</v>
      </c>
      <c r="I208" s="1">
        <v>4</v>
      </c>
      <c r="J208" s="1">
        <v>3</v>
      </c>
      <c r="K208" s="1">
        <v>5</v>
      </c>
      <c r="L208" s="1">
        <v>14</v>
      </c>
      <c r="M208" s="2" t="s">
        <v>18</v>
      </c>
      <c r="N208" s="2" t="s">
        <v>407</v>
      </c>
      <c r="O208" s="2">
        <f t="shared" si="110"/>
        <v>6906</v>
      </c>
      <c r="P208" s="2" t="s">
        <v>56</v>
      </c>
      <c r="Q208" s="2" t="str">
        <f t="shared" si="148"/>
        <v>30290,36300</v>
      </c>
      <c r="R208" s="2">
        <f t="shared" si="111"/>
        <v>30290</v>
      </c>
      <c r="S208" s="2">
        <f t="shared" si="107"/>
        <v>36300</v>
      </c>
      <c r="T208" s="2" t="s">
        <v>57</v>
      </c>
      <c r="U208" s="2" t="str">
        <f t="shared" si="149"/>
        <v>1074,1300</v>
      </c>
      <c r="V208" s="2">
        <f t="shared" si="112"/>
        <v>1074</v>
      </c>
      <c r="W208" s="2">
        <f t="shared" si="108"/>
        <v>1300</v>
      </c>
      <c r="X208" s="2" t="s">
        <v>58</v>
      </c>
      <c r="Y208" s="2" t="str">
        <f t="shared" si="150"/>
        <v>2428,2900</v>
      </c>
      <c r="Z208" s="2">
        <f t="shared" si="113"/>
        <v>2428</v>
      </c>
      <c r="AA208" s="2">
        <f t="shared" si="109"/>
        <v>2900</v>
      </c>
      <c r="AB208" s="2">
        <v>80000</v>
      </c>
      <c r="AC208" s="2" t="str">
        <f>_xlfn.XLOOKUP($B208, '#참조'!$M:$M, '#참조'!$N:$N)</f>
        <v>힐드</v>
      </c>
      <c r="AD208" s="2" t="str">
        <f t="shared" si="142"/>
        <v>Epic2_힐드</v>
      </c>
      <c r="AE208" s="2">
        <f t="shared" si="151"/>
        <v>2304</v>
      </c>
    </row>
    <row r="209" spans="1:31" x14ac:dyDescent="0.2">
      <c r="A209" s="2">
        <f t="shared" si="143"/>
        <v>10002015</v>
      </c>
      <c r="B209" s="1">
        <v>10000002</v>
      </c>
      <c r="C209" s="1" t="s">
        <v>281</v>
      </c>
      <c r="D209" s="1" t="s">
        <v>309</v>
      </c>
      <c r="E209" s="1" t="str">
        <f>"Persona_"&amp;_xlfn.XLOOKUP($B209, '#캐릭터'!$A:$A, '#캐릭터'!$C:$C)</f>
        <v>Persona_c002</v>
      </c>
      <c r="F209" s="1"/>
      <c r="G209" s="1">
        <f>_xlfn.XLOOKUP(_xlfn.XLOOKUP(B209,'[1]Detail&lt;Child&gt;'!$A:$A,'[1]Detail&lt;Child&gt;'!$N:$N),'#참조'!P:P,'#참조'!Q:Q)</f>
        <v>2</v>
      </c>
      <c r="H209" s="1">
        <f>_xlfn.XLOOKUP(_xlfn.XLOOKUP(B209,'[1]Detail&lt;Child&gt;'!$A:$A,'[1]Detail&lt;Child&gt;'!$O:$O),'#참조'!R:R,'#참조'!S:S)</f>
        <v>3</v>
      </c>
      <c r="I209" s="1">
        <v>5</v>
      </c>
      <c r="J209" s="1">
        <v>3</v>
      </c>
      <c r="K209" s="1">
        <v>5</v>
      </c>
      <c r="L209" s="1">
        <v>15</v>
      </c>
      <c r="M209" s="2" t="s">
        <v>19</v>
      </c>
      <c r="N209" s="2" t="s">
        <v>407</v>
      </c>
      <c r="O209" s="2">
        <f t="shared" si="110"/>
        <v>7597</v>
      </c>
      <c r="P209" s="2" t="s">
        <v>56</v>
      </c>
      <c r="Q209" s="2" t="str">
        <f t="shared" si="148"/>
        <v>39377,47300</v>
      </c>
      <c r="R209" s="2">
        <f t="shared" si="111"/>
        <v>39377</v>
      </c>
      <c r="S209" s="2">
        <f t="shared" si="107"/>
        <v>47300</v>
      </c>
      <c r="T209" s="2" t="s">
        <v>57</v>
      </c>
      <c r="U209" s="2" t="str">
        <f t="shared" si="149"/>
        <v>1289,1500</v>
      </c>
      <c r="V209" s="2">
        <f t="shared" si="112"/>
        <v>1289</v>
      </c>
      <c r="W209" s="2">
        <f t="shared" si="108"/>
        <v>1500</v>
      </c>
      <c r="X209" s="2" t="s">
        <v>58</v>
      </c>
      <c r="Y209" s="2" t="str">
        <f t="shared" si="150"/>
        <v>3156,3800</v>
      </c>
      <c r="Z209" s="2">
        <f t="shared" si="113"/>
        <v>3156</v>
      </c>
      <c r="AA209" s="2">
        <f t="shared" si="109"/>
        <v>3800</v>
      </c>
      <c r="AB209" s="2">
        <v>80000</v>
      </c>
      <c r="AC209" s="2" t="str">
        <f>_xlfn.XLOOKUP($B209, '#참조'!$M:$M, '#참조'!$N:$N)</f>
        <v>힐드</v>
      </c>
      <c r="AD209" s="2" t="str">
        <f t="shared" si="142"/>
        <v>Epic3_힐드</v>
      </c>
      <c r="AE209" s="2">
        <f t="shared" si="151"/>
        <v>2305</v>
      </c>
    </row>
    <row r="210" spans="1:31" x14ac:dyDescent="0.2">
      <c r="A210" s="2">
        <f t="shared" si="143"/>
        <v>10002016</v>
      </c>
      <c r="B210" s="1">
        <v>10000002</v>
      </c>
      <c r="C210" s="1" t="s">
        <v>281</v>
      </c>
      <c r="D210" s="1" t="s">
        <v>309</v>
      </c>
      <c r="E210" s="1" t="str">
        <f>"Persona_"&amp;_xlfn.XLOOKUP($B210, '#캐릭터'!$A:$A, '#캐릭터'!$C:$C)</f>
        <v>Persona_c002</v>
      </c>
      <c r="F210" s="1"/>
      <c r="G210" s="1">
        <f>_xlfn.XLOOKUP(_xlfn.XLOOKUP(B210,'[1]Detail&lt;Child&gt;'!$A:$A,'[1]Detail&lt;Child&gt;'!$N:$N),'#참조'!P:P,'#참조'!Q:Q)</f>
        <v>2</v>
      </c>
      <c r="H210" s="1">
        <f>_xlfn.XLOOKUP(_xlfn.XLOOKUP(B210,'[1]Detail&lt;Child&gt;'!$A:$A,'[1]Detail&lt;Child&gt;'!$O:$O),'#참조'!R:R,'#참조'!S:S)</f>
        <v>3</v>
      </c>
      <c r="I210" s="1">
        <v>5</v>
      </c>
      <c r="J210" s="1">
        <v>3</v>
      </c>
      <c r="K210" s="1">
        <v>6</v>
      </c>
      <c r="L210" s="1">
        <v>16</v>
      </c>
      <c r="M210" s="2" t="s">
        <v>20</v>
      </c>
      <c r="N210" s="2" t="s">
        <v>407</v>
      </c>
      <c r="O210" s="2">
        <f t="shared" si="110"/>
        <v>8357</v>
      </c>
      <c r="P210" s="2" t="s">
        <v>56</v>
      </c>
      <c r="Q210" s="2" t="str">
        <f t="shared" si="148"/>
        <v>51190,61400</v>
      </c>
      <c r="R210" s="2">
        <f t="shared" si="111"/>
        <v>51190</v>
      </c>
      <c r="S210" s="2">
        <f t="shared" si="107"/>
        <v>61400</v>
      </c>
      <c r="T210" s="2" t="s">
        <v>57</v>
      </c>
      <c r="U210" s="2" t="str">
        <f t="shared" si="149"/>
        <v>1547,1900</v>
      </c>
      <c r="V210" s="2">
        <f t="shared" si="112"/>
        <v>1547</v>
      </c>
      <c r="W210" s="2">
        <f t="shared" si="108"/>
        <v>1900</v>
      </c>
      <c r="X210" s="2" t="s">
        <v>58</v>
      </c>
      <c r="Y210" s="2" t="str">
        <f t="shared" si="150"/>
        <v>4103,4900</v>
      </c>
      <c r="Z210" s="2">
        <f t="shared" si="113"/>
        <v>4103</v>
      </c>
      <c r="AA210" s="2">
        <f t="shared" si="109"/>
        <v>4900</v>
      </c>
      <c r="AB210" s="2">
        <v>75000</v>
      </c>
      <c r="AC210" s="2" t="str">
        <f>_xlfn.XLOOKUP($B210, '#참조'!$M:$M, '#참조'!$N:$N)</f>
        <v>힐드</v>
      </c>
      <c r="AD210" s="2" t="str">
        <f t="shared" si="142"/>
        <v>Legendary1_힐드</v>
      </c>
      <c r="AE210" s="2">
        <f t="shared" si="151"/>
        <v>2305</v>
      </c>
    </row>
    <row r="211" spans="1:31" x14ac:dyDescent="0.2">
      <c r="A211" s="2">
        <f t="shared" si="143"/>
        <v>10002017</v>
      </c>
      <c r="B211" s="1">
        <v>10000002</v>
      </c>
      <c r="C211" s="1" t="s">
        <v>281</v>
      </c>
      <c r="D211" s="1" t="s">
        <v>309</v>
      </c>
      <c r="E211" s="1" t="str">
        <f>"Persona_"&amp;_xlfn.XLOOKUP($B211, '#캐릭터'!$A:$A, '#캐릭터'!$C:$C)</f>
        <v>Persona_c002</v>
      </c>
      <c r="F211" s="1"/>
      <c r="G211" s="1">
        <f>_xlfn.XLOOKUP(_xlfn.XLOOKUP(B211,'[1]Detail&lt;Child&gt;'!$A:$A,'[1]Detail&lt;Child&gt;'!$N:$N),'#참조'!P:P,'#참조'!Q:Q)</f>
        <v>2</v>
      </c>
      <c r="H211" s="1">
        <f>_xlfn.XLOOKUP(_xlfn.XLOOKUP(B211,'[1]Detail&lt;Child&gt;'!$A:$A,'[1]Detail&lt;Child&gt;'!$O:$O),'#참조'!R:R,'#참조'!S:S)</f>
        <v>3</v>
      </c>
      <c r="I211" s="1">
        <v>6</v>
      </c>
      <c r="J211" s="1">
        <v>3</v>
      </c>
      <c r="K211" s="1">
        <v>6</v>
      </c>
      <c r="L211" s="1">
        <v>17</v>
      </c>
      <c r="M211" s="2" t="s">
        <v>21</v>
      </c>
      <c r="N211" s="2" t="s">
        <v>407</v>
      </c>
      <c r="O211" s="2">
        <f t="shared" si="110"/>
        <v>9193</v>
      </c>
      <c r="P211" s="2" t="s">
        <v>56</v>
      </c>
      <c r="Q211" s="2" t="str">
        <f t="shared" si="148"/>
        <v>66547,79900</v>
      </c>
      <c r="R211" s="2">
        <f t="shared" si="111"/>
        <v>66547</v>
      </c>
      <c r="S211" s="2">
        <f t="shared" si="107"/>
        <v>79900</v>
      </c>
      <c r="T211" s="2" t="s">
        <v>57</v>
      </c>
      <c r="U211" s="2" t="str">
        <f t="shared" si="149"/>
        <v>1856,2200</v>
      </c>
      <c r="V211" s="2">
        <f t="shared" si="112"/>
        <v>1856</v>
      </c>
      <c r="W211" s="2">
        <f t="shared" si="108"/>
        <v>2200</v>
      </c>
      <c r="X211" s="2" t="s">
        <v>58</v>
      </c>
      <c r="Y211" s="2" t="str">
        <f t="shared" si="150"/>
        <v>5334,6400</v>
      </c>
      <c r="Z211" s="2">
        <f t="shared" si="113"/>
        <v>5334</v>
      </c>
      <c r="AA211" s="2">
        <f t="shared" si="109"/>
        <v>6400</v>
      </c>
      <c r="AB211" s="2">
        <v>75000</v>
      </c>
      <c r="AC211" s="2" t="str">
        <f>_xlfn.XLOOKUP($B211, '#참조'!$M:$M, '#참조'!$N:$N)</f>
        <v>힐드</v>
      </c>
      <c r="AD211" s="2" t="str">
        <f t="shared" si="142"/>
        <v>Legendary2_힐드</v>
      </c>
      <c r="AE211" s="2">
        <f t="shared" si="151"/>
        <v>2306</v>
      </c>
    </row>
    <row r="212" spans="1:31" x14ac:dyDescent="0.2">
      <c r="A212" s="2">
        <f t="shared" si="143"/>
        <v>10002018</v>
      </c>
      <c r="B212" s="1">
        <v>10000002</v>
      </c>
      <c r="C212" s="1" t="s">
        <v>281</v>
      </c>
      <c r="D212" s="1" t="s">
        <v>309</v>
      </c>
      <c r="E212" s="1" t="str">
        <f>"Persona_"&amp;_xlfn.XLOOKUP($B212, '#캐릭터'!$A:$A, '#캐릭터'!$C:$C)</f>
        <v>Persona_c002</v>
      </c>
      <c r="F212" s="1"/>
      <c r="G212" s="1">
        <f>_xlfn.XLOOKUP(_xlfn.XLOOKUP(B212,'[1]Detail&lt;Child&gt;'!$A:$A,'[1]Detail&lt;Child&gt;'!$N:$N),'#참조'!P:P,'#참조'!Q:Q)</f>
        <v>2</v>
      </c>
      <c r="H212" s="1">
        <f>_xlfn.XLOOKUP(_xlfn.XLOOKUP(B212,'[1]Detail&lt;Child&gt;'!$A:$A,'[1]Detail&lt;Child&gt;'!$O:$O),'#참조'!R:R,'#참조'!S:S)</f>
        <v>3</v>
      </c>
      <c r="I212" s="1">
        <v>6</v>
      </c>
      <c r="J212" s="1">
        <v>3</v>
      </c>
      <c r="K212" s="1">
        <v>6</v>
      </c>
      <c r="L212" s="1">
        <v>18</v>
      </c>
      <c r="M212" s="2" t="s">
        <v>22</v>
      </c>
      <c r="N212" s="2" t="s">
        <v>407</v>
      </c>
      <c r="O212" s="2">
        <f t="shared" si="110"/>
        <v>10112</v>
      </c>
      <c r="P212" s="2" t="s">
        <v>56</v>
      </c>
      <c r="Q212" s="2" t="str">
        <f t="shared" si="148"/>
        <v>86511,103800</v>
      </c>
      <c r="R212" s="2">
        <f t="shared" si="111"/>
        <v>86511</v>
      </c>
      <c r="S212" s="2">
        <f t="shared" si="107"/>
        <v>103800</v>
      </c>
      <c r="T212" s="2" t="s">
        <v>57</v>
      </c>
      <c r="U212" s="2" t="str">
        <f t="shared" si="149"/>
        <v>2227,2700</v>
      </c>
      <c r="V212" s="2">
        <f t="shared" si="112"/>
        <v>2227</v>
      </c>
      <c r="W212" s="2">
        <f t="shared" si="108"/>
        <v>2700</v>
      </c>
      <c r="X212" s="2" t="s">
        <v>58</v>
      </c>
      <c r="Y212" s="2" t="str">
        <f t="shared" si="150"/>
        <v>6934,8300</v>
      </c>
      <c r="Z212" s="2">
        <f t="shared" si="113"/>
        <v>6934</v>
      </c>
      <c r="AA212" s="2">
        <f t="shared" si="109"/>
        <v>8300</v>
      </c>
      <c r="AB212" s="2">
        <v>75000</v>
      </c>
      <c r="AC212" s="2" t="str">
        <f>_xlfn.XLOOKUP($B212, '#참조'!$M:$M, '#참조'!$N:$N)</f>
        <v>힐드</v>
      </c>
      <c r="AD212" s="2" t="str">
        <f t="shared" si="142"/>
        <v>Legendary3_힐드</v>
      </c>
      <c r="AE212" s="2">
        <f t="shared" si="151"/>
        <v>2306</v>
      </c>
    </row>
    <row r="213" spans="1:31" x14ac:dyDescent="0.2">
      <c r="A213" s="2">
        <f t="shared" si="143"/>
        <v>10417000</v>
      </c>
      <c r="B213" s="1">
        <v>10000417</v>
      </c>
      <c r="C213" s="1" t="s">
        <v>281</v>
      </c>
      <c r="D213" s="1" t="s">
        <v>309</v>
      </c>
      <c r="E213" s="1" t="str">
        <f>"Persona_"&amp;_xlfn.XLOOKUP($B213, '#캐릭터'!$A:$A, '#캐릭터'!$C:$C)</f>
        <v>Persona_c417</v>
      </c>
      <c r="F213" s="1"/>
      <c r="G213" s="1">
        <f>_xlfn.XLOOKUP(_xlfn.XLOOKUP(B213,'[1]Detail&lt;Child&gt;'!$A:$A,'[1]Detail&lt;Child&gt;'!$N:$N),'#참조'!P:P,'#참조'!Q:Q)</f>
        <v>1</v>
      </c>
      <c r="H213" s="1">
        <f>_xlfn.XLOOKUP(_xlfn.XLOOKUP(B213,'[1]Detail&lt;Child&gt;'!$A:$A,'[1]Detail&lt;Child&gt;'!$O:$O),'#참조'!R:R,'#참조'!S:S)</f>
        <v>1</v>
      </c>
      <c r="I213" s="1">
        <v>0</v>
      </c>
      <c r="J213" s="1">
        <v>3</v>
      </c>
      <c r="K213" s="1">
        <v>0</v>
      </c>
      <c r="L213" s="1">
        <v>0</v>
      </c>
      <c r="M213" s="2" t="s">
        <v>2</v>
      </c>
      <c r="N213" s="2" t="s">
        <v>407</v>
      </c>
      <c r="O213" s="2">
        <v>0</v>
      </c>
      <c r="P213" s="2" t="s">
        <v>56</v>
      </c>
      <c r="Q213" s="2" t="str">
        <f t="shared" si="148"/>
        <v>1000,1000</v>
      </c>
      <c r="R213" s="2">
        <v>1000</v>
      </c>
      <c r="S213" s="2">
        <f t="shared" ref="S213" si="152">R213</f>
        <v>1000</v>
      </c>
      <c r="T213" s="2" t="s">
        <v>57</v>
      </c>
      <c r="U213" s="2" t="str">
        <f t="shared" si="149"/>
        <v>100,100</v>
      </c>
      <c r="V213" s="2">
        <v>100</v>
      </c>
      <c r="W213" s="2">
        <f t="shared" ref="W213" si="153">V213</f>
        <v>100</v>
      </c>
      <c r="X213" s="2" t="s">
        <v>58</v>
      </c>
      <c r="Y213" s="2" t="str">
        <f t="shared" si="150"/>
        <v>80,80</v>
      </c>
      <c r="Z213" s="2">
        <v>80</v>
      </c>
      <c r="AA213" s="2">
        <f t="shared" ref="AA213" si="154">Z213</f>
        <v>80</v>
      </c>
      <c r="AB213" s="2">
        <v>100000</v>
      </c>
      <c r="AE213" s="2">
        <f t="shared" si="151"/>
        <v>0</v>
      </c>
    </row>
    <row r="214" spans="1:31" x14ac:dyDescent="0.2">
      <c r="A214" s="2">
        <f t="shared" si="143"/>
        <v>10417001</v>
      </c>
      <c r="B214" s="1">
        <v>10000417</v>
      </c>
      <c r="C214" s="1" t="s">
        <v>281</v>
      </c>
      <c r="D214" s="1" t="s">
        <v>309</v>
      </c>
      <c r="E214" s="1" t="str">
        <f>"Persona_"&amp;_xlfn.XLOOKUP($B214, '#캐릭터'!$A:$A, '#캐릭터'!$C:$C)</f>
        <v>Persona_c417</v>
      </c>
      <c r="F214" s="1"/>
      <c r="G214" s="1">
        <f>_xlfn.XLOOKUP(_xlfn.XLOOKUP(B214,'[1]Detail&lt;Child&gt;'!$A:$A,'[1]Detail&lt;Child&gt;'!$N:$N),'#참조'!P:P,'#참조'!Q:Q)</f>
        <v>1</v>
      </c>
      <c r="H214" s="1">
        <f>_xlfn.XLOOKUP(_xlfn.XLOOKUP(B214,'[1]Detail&lt;Child&gt;'!$A:$A,'[1]Detail&lt;Child&gt;'!$O:$O),'#참조'!R:R,'#참조'!S:S)</f>
        <v>1</v>
      </c>
      <c r="I214" s="1">
        <v>0</v>
      </c>
      <c r="J214" s="1">
        <v>3</v>
      </c>
      <c r="K214" s="1">
        <v>1</v>
      </c>
      <c r="L214" s="1">
        <v>1</v>
      </c>
      <c r="M214" s="2" t="s">
        <v>5</v>
      </c>
      <c r="N214" s="2" t="s">
        <v>407</v>
      </c>
      <c r="O214" s="2">
        <v>2000</v>
      </c>
      <c r="P214" s="2" t="s">
        <v>56</v>
      </c>
      <c r="Q214" s="2" t="str">
        <f t="shared" si="148"/>
        <v>1000,1200</v>
      </c>
      <c r="R214" s="2">
        <v>1000</v>
      </c>
      <c r="S214" s="2">
        <f t="shared" ref="S214" si="155">ROUND(R214*1.2, -2)</f>
        <v>1200</v>
      </c>
      <c r="T214" s="2" t="s">
        <v>57</v>
      </c>
      <c r="U214" s="2" t="str">
        <f t="shared" si="149"/>
        <v>100,100</v>
      </c>
      <c r="V214" s="2">
        <v>100</v>
      </c>
      <c r="W214" s="2">
        <f t="shared" ref="W214" si="156">ROUND(V214*1.2, -2)</f>
        <v>100</v>
      </c>
      <c r="X214" s="2" t="s">
        <v>58</v>
      </c>
      <c r="Y214" s="2" t="str">
        <f t="shared" si="150"/>
        <v>80,100</v>
      </c>
      <c r="Z214" s="2">
        <v>80</v>
      </c>
      <c r="AA214" s="2">
        <f t="shared" ref="AA214" si="157">ROUND(Z214*1.2, -2)</f>
        <v>100</v>
      </c>
      <c r="AB214" s="2">
        <v>100000</v>
      </c>
      <c r="AC214" s="2" t="e">
        <f>_xlfn.XLOOKUP($B214, '#참조'!$M:$M, '#참조'!$N:$N)</f>
        <v>#N/A</v>
      </c>
      <c r="AD214" s="2" t="e">
        <f t="shared" ref="AD214:AD231" si="158">M214&amp;"_"&amp;AC214</f>
        <v>#N/A</v>
      </c>
      <c r="AE214" s="2">
        <f t="shared" si="151"/>
        <v>0</v>
      </c>
    </row>
    <row r="215" spans="1:31" x14ac:dyDescent="0.2">
      <c r="A215" s="2">
        <f t="shared" si="143"/>
        <v>10417002</v>
      </c>
      <c r="B215" s="1">
        <v>10000417</v>
      </c>
      <c r="C215" s="1" t="s">
        <v>281</v>
      </c>
      <c r="D215" s="1" t="s">
        <v>309</v>
      </c>
      <c r="E215" s="1" t="str">
        <f>"Persona_"&amp;_xlfn.XLOOKUP($B215, '#캐릭터'!$A:$A, '#캐릭터'!$C:$C)</f>
        <v>Persona_c417</v>
      </c>
      <c r="F215" s="1"/>
      <c r="G215" s="1">
        <f>_xlfn.XLOOKUP(_xlfn.XLOOKUP(B215,'[1]Detail&lt;Child&gt;'!$A:$A,'[1]Detail&lt;Child&gt;'!$N:$N),'#참조'!P:P,'#참조'!Q:Q)</f>
        <v>1</v>
      </c>
      <c r="H215" s="1">
        <f>_xlfn.XLOOKUP(_xlfn.XLOOKUP(B215,'[1]Detail&lt;Child&gt;'!$A:$A,'[1]Detail&lt;Child&gt;'!$O:$O),'#참조'!R:R,'#참조'!S:S)</f>
        <v>1</v>
      </c>
      <c r="I215" s="1">
        <v>0</v>
      </c>
      <c r="J215" s="1">
        <v>3</v>
      </c>
      <c r="K215" s="1">
        <v>1</v>
      </c>
      <c r="L215" s="1">
        <v>2</v>
      </c>
      <c r="M215" s="2" t="s">
        <v>6</v>
      </c>
      <c r="N215" s="2" t="s">
        <v>407</v>
      </c>
      <c r="O215" s="2">
        <f t="shared" ref="O215" si="159">ROUND(O214*1.1, 0)</f>
        <v>2200</v>
      </c>
      <c r="P215" s="2" t="s">
        <v>56</v>
      </c>
      <c r="Q215" s="2" t="str">
        <f t="shared" si="148"/>
        <v>1300,1600</v>
      </c>
      <c r="R215" s="2">
        <f t="shared" ref="R215" si="160">ROUND(R214*1.3, 0)</f>
        <v>1300</v>
      </c>
      <c r="S215" s="2">
        <f t="shared" si="107"/>
        <v>1600</v>
      </c>
      <c r="T215" s="2" t="s">
        <v>57</v>
      </c>
      <c r="U215" s="2" t="str">
        <f t="shared" si="149"/>
        <v>120,100</v>
      </c>
      <c r="V215" s="2">
        <f t="shared" ref="V215" si="161">ROUND(V214*1.2, 0)</f>
        <v>120</v>
      </c>
      <c r="W215" s="2">
        <f t="shared" si="108"/>
        <v>100</v>
      </c>
      <c r="X215" s="2" t="s">
        <v>58</v>
      </c>
      <c r="Y215" s="2" t="str">
        <f t="shared" si="150"/>
        <v>104,100</v>
      </c>
      <c r="Z215" s="2">
        <f t="shared" ref="Z215" si="162">ROUND(Z214*1.3, 0)</f>
        <v>104</v>
      </c>
      <c r="AA215" s="2">
        <f t="shared" si="109"/>
        <v>100</v>
      </c>
      <c r="AB215" s="2">
        <v>100000</v>
      </c>
      <c r="AC215" s="2" t="e">
        <f>_xlfn.XLOOKUP($B215, '#참조'!$M:$M, '#참조'!$N:$N)</f>
        <v>#N/A</v>
      </c>
      <c r="AD215" s="2" t="e">
        <f t="shared" si="158"/>
        <v>#N/A</v>
      </c>
      <c r="AE215" s="2">
        <f t="shared" si="151"/>
        <v>0</v>
      </c>
    </row>
    <row r="216" spans="1:31" x14ac:dyDescent="0.2">
      <c r="A216" s="2">
        <f t="shared" si="143"/>
        <v>10417003</v>
      </c>
      <c r="B216" s="1">
        <v>10000417</v>
      </c>
      <c r="C216" s="1" t="s">
        <v>281</v>
      </c>
      <c r="D216" s="1" t="s">
        <v>309</v>
      </c>
      <c r="E216" s="1" t="str">
        <f>"Persona_"&amp;_xlfn.XLOOKUP($B216, '#캐릭터'!$A:$A, '#캐릭터'!$C:$C)</f>
        <v>Persona_c417</v>
      </c>
      <c r="F216" s="1"/>
      <c r="G216" s="1">
        <f>_xlfn.XLOOKUP(_xlfn.XLOOKUP(B216,'[1]Detail&lt;Child&gt;'!$A:$A,'[1]Detail&lt;Child&gt;'!$N:$N),'#참조'!P:P,'#참조'!Q:Q)</f>
        <v>1</v>
      </c>
      <c r="H216" s="1">
        <f>_xlfn.XLOOKUP(_xlfn.XLOOKUP(B216,'[1]Detail&lt;Child&gt;'!$A:$A,'[1]Detail&lt;Child&gt;'!$O:$O),'#참조'!R:R,'#참조'!S:S)</f>
        <v>1</v>
      </c>
      <c r="I216" s="1">
        <v>0</v>
      </c>
      <c r="J216" s="1">
        <v>3</v>
      </c>
      <c r="K216" s="1">
        <v>1</v>
      </c>
      <c r="L216" s="1">
        <v>3</v>
      </c>
      <c r="M216" s="2" t="s">
        <v>7</v>
      </c>
      <c r="N216" s="2" t="s">
        <v>407</v>
      </c>
      <c r="O216" s="2">
        <f t="shared" si="110"/>
        <v>2420</v>
      </c>
      <c r="P216" s="2" t="s">
        <v>56</v>
      </c>
      <c r="Q216" s="2" t="str">
        <f t="shared" si="148"/>
        <v>1690,2000</v>
      </c>
      <c r="R216" s="2">
        <f t="shared" si="111"/>
        <v>1690</v>
      </c>
      <c r="S216" s="2">
        <f t="shared" ref="S216:S279" si="163">ROUND(R216*1.2, -2)</f>
        <v>2000</v>
      </c>
      <c r="T216" s="2" t="s">
        <v>57</v>
      </c>
      <c r="U216" s="2" t="str">
        <f t="shared" si="149"/>
        <v>144,200</v>
      </c>
      <c r="V216" s="2">
        <f t="shared" si="112"/>
        <v>144</v>
      </c>
      <c r="W216" s="2">
        <f t="shared" ref="W216:W279" si="164">ROUND(V216*1.2, -2)</f>
        <v>200</v>
      </c>
      <c r="X216" s="2" t="s">
        <v>58</v>
      </c>
      <c r="Y216" s="2" t="str">
        <f t="shared" si="150"/>
        <v>135,200</v>
      </c>
      <c r="Z216" s="2">
        <f t="shared" si="113"/>
        <v>135</v>
      </c>
      <c r="AA216" s="2">
        <f t="shared" ref="AA216:AA279" si="165">ROUND(Z216*1.2, -2)</f>
        <v>200</v>
      </c>
      <c r="AB216" s="2">
        <v>100000</v>
      </c>
      <c r="AC216" s="2" t="e">
        <f>_xlfn.XLOOKUP($B216, '#참조'!$M:$M, '#참조'!$N:$N)</f>
        <v>#N/A</v>
      </c>
      <c r="AD216" s="2" t="e">
        <f t="shared" si="158"/>
        <v>#N/A</v>
      </c>
      <c r="AE216" s="2">
        <f t="shared" si="151"/>
        <v>0</v>
      </c>
    </row>
    <row r="217" spans="1:31" x14ac:dyDescent="0.2">
      <c r="A217" s="2">
        <f t="shared" si="143"/>
        <v>10417004</v>
      </c>
      <c r="B217" s="1">
        <v>10000417</v>
      </c>
      <c r="C217" s="1" t="s">
        <v>281</v>
      </c>
      <c r="D217" s="1" t="s">
        <v>309</v>
      </c>
      <c r="E217" s="1" t="str">
        <f>"Persona_"&amp;_xlfn.XLOOKUP($B217, '#캐릭터'!$A:$A, '#캐릭터'!$C:$C)</f>
        <v>Persona_c417</v>
      </c>
      <c r="F217" s="1"/>
      <c r="G217" s="1">
        <f>_xlfn.XLOOKUP(_xlfn.XLOOKUP(B217,'[1]Detail&lt;Child&gt;'!$A:$A,'[1]Detail&lt;Child&gt;'!$N:$N),'#참조'!P:P,'#참조'!Q:Q)</f>
        <v>1</v>
      </c>
      <c r="H217" s="1">
        <f>_xlfn.XLOOKUP(_xlfn.XLOOKUP(B217,'[1]Detail&lt;Child&gt;'!$A:$A,'[1]Detail&lt;Child&gt;'!$O:$O),'#참조'!R:R,'#참조'!S:S)</f>
        <v>1</v>
      </c>
      <c r="I217" s="1">
        <v>0</v>
      </c>
      <c r="J217" s="1">
        <v>3</v>
      </c>
      <c r="K217" s="1">
        <v>2</v>
      </c>
      <c r="L217" s="1">
        <v>4</v>
      </c>
      <c r="M217" s="2" t="s">
        <v>8</v>
      </c>
      <c r="N217" s="2" t="s">
        <v>407</v>
      </c>
      <c r="O217" s="2">
        <f t="shared" ref="O217:O280" si="166">ROUND(O216*1.1, 0)</f>
        <v>2662</v>
      </c>
      <c r="P217" s="2" t="s">
        <v>56</v>
      </c>
      <c r="Q217" s="2" t="str">
        <f t="shared" si="148"/>
        <v>2197,2600</v>
      </c>
      <c r="R217" s="2">
        <f t="shared" ref="R217:R280" si="167">ROUND(R216*1.3, 0)</f>
        <v>2197</v>
      </c>
      <c r="S217" s="2">
        <f t="shared" si="163"/>
        <v>2600</v>
      </c>
      <c r="T217" s="2" t="s">
        <v>57</v>
      </c>
      <c r="U217" s="2" t="str">
        <f t="shared" si="149"/>
        <v>173,200</v>
      </c>
      <c r="V217" s="2">
        <f t="shared" ref="V217:V280" si="168">ROUND(V216*1.2, 0)</f>
        <v>173</v>
      </c>
      <c r="W217" s="2">
        <f t="shared" si="164"/>
        <v>200</v>
      </c>
      <c r="X217" s="2" t="s">
        <v>58</v>
      </c>
      <c r="Y217" s="2" t="str">
        <f t="shared" si="150"/>
        <v>176,200</v>
      </c>
      <c r="Z217" s="2">
        <f t="shared" ref="Z217:Z280" si="169">ROUND(Z216*1.3, 0)</f>
        <v>176</v>
      </c>
      <c r="AA217" s="2">
        <f t="shared" si="165"/>
        <v>200</v>
      </c>
      <c r="AB217" s="2">
        <v>95000</v>
      </c>
      <c r="AC217" s="2" t="e">
        <f>_xlfn.XLOOKUP($B217, '#참조'!$M:$M, '#참조'!$N:$N)</f>
        <v>#N/A</v>
      </c>
      <c r="AD217" s="2" t="e">
        <f t="shared" si="158"/>
        <v>#N/A</v>
      </c>
      <c r="AE217" s="2">
        <f t="shared" si="151"/>
        <v>0</v>
      </c>
    </row>
    <row r="218" spans="1:31" x14ac:dyDescent="0.2">
      <c r="A218" s="2">
        <f t="shared" si="143"/>
        <v>10417005</v>
      </c>
      <c r="B218" s="1">
        <v>10000417</v>
      </c>
      <c r="C218" s="1" t="s">
        <v>281</v>
      </c>
      <c r="D218" s="1" t="s">
        <v>309</v>
      </c>
      <c r="E218" s="1" t="str">
        <f>"Persona_"&amp;_xlfn.XLOOKUP($B218, '#캐릭터'!$A:$A, '#캐릭터'!$C:$C)</f>
        <v>Persona_c417</v>
      </c>
      <c r="F218" s="1"/>
      <c r="G218" s="1">
        <f>_xlfn.XLOOKUP(_xlfn.XLOOKUP(B218,'[1]Detail&lt;Child&gt;'!$A:$A,'[1]Detail&lt;Child&gt;'!$N:$N),'#참조'!P:P,'#참조'!Q:Q)</f>
        <v>1</v>
      </c>
      <c r="H218" s="1">
        <f>_xlfn.XLOOKUP(_xlfn.XLOOKUP(B218,'[1]Detail&lt;Child&gt;'!$A:$A,'[1]Detail&lt;Child&gt;'!$O:$O),'#참조'!R:R,'#참조'!S:S)</f>
        <v>1</v>
      </c>
      <c r="I218" s="1">
        <v>0</v>
      </c>
      <c r="J218" s="1">
        <v>3</v>
      </c>
      <c r="K218" s="1">
        <v>2</v>
      </c>
      <c r="L218" s="1">
        <v>5</v>
      </c>
      <c r="M218" s="2" t="s">
        <v>9</v>
      </c>
      <c r="N218" s="2" t="s">
        <v>407</v>
      </c>
      <c r="O218" s="2">
        <f t="shared" si="166"/>
        <v>2928</v>
      </c>
      <c r="P218" s="2" t="s">
        <v>56</v>
      </c>
      <c r="Q218" s="2" t="str">
        <f t="shared" si="148"/>
        <v>2856,3400</v>
      </c>
      <c r="R218" s="2">
        <f t="shared" si="167"/>
        <v>2856</v>
      </c>
      <c r="S218" s="2">
        <f t="shared" si="163"/>
        <v>3400</v>
      </c>
      <c r="T218" s="2" t="s">
        <v>57</v>
      </c>
      <c r="U218" s="2" t="str">
        <f t="shared" si="149"/>
        <v>208,200</v>
      </c>
      <c r="V218" s="2">
        <f t="shared" si="168"/>
        <v>208</v>
      </c>
      <c r="W218" s="2">
        <f t="shared" si="164"/>
        <v>200</v>
      </c>
      <c r="X218" s="2" t="s">
        <v>58</v>
      </c>
      <c r="Y218" s="2" t="str">
        <f t="shared" si="150"/>
        <v>229,300</v>
      </c>
      <c r="Z218" s="2">
        <f t="shared" si="169"/>
        <v>229</v>
      </c>
      <c r="AA218" s="2">
        <f t="shared" si="165"/>
        <v>300</v>
      </c>
      <c r="AB218" s="2">
        <v>95000</v>
      </c>
      <c r="AC218" s="2" t="e">
        <f>_xlfn.XLOOKUP($B218, '#참조'!$M:$M, '#참조'!$N:$N)</f>
        <v>#N/A</v>
      </c>
      <c r="AD218" s="2" t="e">
        <f t="shared" si="158"/>
        <v>#N/A</v>
      </c>
      <c r="AE218" s="2">
        <f t="shared" si="151"/>
        <v>0</v>
      </c>
    </row>
    <row r="219" spans="1:31" x14ac:dyDescent="0.2">
      <c r="A219" s="2">
        <f t="shared" si="143"/>
        <v>10417006</v>
      </c>
      <c r="B219" s="1">
        <v>10000417</v>
      </c>
      <c r="C219" s="1" t="s">
        <v>281</v>
      </c>
      <c r="D219" s="1" t="s">
        <v>309</v>
      </c>
      <c r="E219" s="1" t="str">
        <f>"Persona_"&amp;_xlfn.XLOOKUP($B219, '#캐릭터'!$A:$A, '#캐릭터'!$C:$C)</f>
        <v>Persona_c417</v>
      </c>
      <c r="F219" s="1"/>
      <c r="G219" s="1">
        <f>_xlfn.XLOOKUP(_xlfn.XLOOKUP(B219,'[1]Detail&lt;Child&gt;'!$A:$A,'[1]Detail&lt;Child&gt;'!$N:$N),'#참조'!P:P,'#참조'!Q:Q)</f>
        <v>1</v>
      </c>
      <c r="H219" s="1">
        <f>_xlfn.XLOOKUP(_xlfn.XLOOKUP(B219,'[1]Detail&lt;Child&gt;'!$A:$A,'[1]Detail&lt;Child&gt;'!$O:$O),'#참조'!R:R,'#참조'!S:S)</f>
        <v>1</v>
      </c>
      <c r="I219" s="1">
        <v>0</v>
      </c>
      <c r="J219" s="1">
        <v>3</v>
      </c>
      <c r="K219" s="1">
        <v>2</v>
      </c>
      <c r="L219" s="1">
        <v>6</v>
      </c>
      <c r="M219" s="2" t="s">
        <v>10</v>
      </c>
      <c r="N219" s="2" t="s">
        <v>407</v>
      </c>
      <c r="O219" s="2">
        <f t="shared" si="166"/>
        <v>3221</v>
      </c>
      <c r="P219" s="2" t="s">
        <v>56</v>
      </c>
      <c r="Q219" s="2" t="str">
        <f t="shared" si="148"/>
        <v>3713,4500</v>
      </c>
      <c r="R219" s="2">
        <f t="shared" si="167"/>
        <v>3713</v>
      </c>
      <c r="S219" s="2">
        <f t="shared" si="163"/>
        <v>4500</v>
      </c>
      <c r="T219" s="2" t="s">
        <v>57</v>
      </c>
      <c r="U219" s="2" t="str">
        <f t="shared" si="149"/>
        <v>250,300</v>
      </c>
      <c r="V219" s="2">
        <f t="shared" si="168"/>
        <v>250</v>
      </c>
      <c r="W219" s="2">
        <f t="shared" si="164"/>
        <v>300</v>
      </c>
      <c r="X219" s="2" t="s">
        <v>58</v>
      </c>
      <c r="Y219" s="2" t="str">
        <f t="shared" si="150"/>
        <v>298,400</v>
      </c>
      <c r="Z219" s="2">
        <f t="shared" si="169"/>
        <v>298</v>
      </c>
      <c r="AA219" s="2">
        <f t="shared" si="165"/>
        <v>400</v>
      </c>
      <c r="AB219" s="2">
        <v>95000</v>
      </c>
      <c r="AC219" s="2" t="e">
        <f>_xlfn.XLOOKUP($B219, '#참조'!$M:$M, '#참조'!$N:$N)</f>
        <v>#N/A</v>
      </c>
      <c r="AD219" s="2" t="e">
        <f t="shared" si="158"/>
        <v>#N/A</v>
      </c>
      <c r="AE219" s="2">
        <f t="shared" si="151"/>
        <v>0</v>
      </c>
    </row>
    <row r="220" spans="1:31" x14ac:dyDescent="0.2">
      <c r="A220" s="2">
        <f t="shared" si="143"/>
        <v>10417007</v>
      </c>
      <c r="B220" s="1">
        <v>10000417</v>
      </c>
      <c r="C220" s="1" t="s">
        <v>281</v>
      </c>
      <c r="D220" s="1" t="s">
        <v>309</v>
      </c>
      <c r="E220" s="1" t="str">
        <f>"Persona_"&amp;_xlfn.XLOOKUP($B220, '#캐릭터'!$A:$A, '#캐릭터'!$C:$C)</f>
        <v>Persona_c417</v>
      </c>
      <c r="F220" s="1"/>
      <c r="G220" s="1">
        <f>_xlfn.XLOOKUP(_xlfn.XLOOKUP(B220,'[1]Detail&lt;Child&gt;'!$A:$A,'[1]Detail&lt;Child&gt;'!$N:$N),'#참조'!P:P,'#참조'!Q:Q)</f>
        <v>1</v>
      </c>
      <c r="H220" s="1">
        <f>_xlfn.XLOOKUP(_xlfn.XLOOKUP(B220,'[1]Detail&lt;Child&gt;'!$A:$A,'[1]Detail&lt;Child&gt;'!$O:$O),'#참조'!R:R,'#참조'!S:S)</f>
        <v>1</v>
      </c>
      <c r="I220" s="1">
        <v>1</v>
      </c>
      <c r="J220" s="1">
        <v>3</v>
      </c>
      <c r="K220" s="1">
        <v>3</v>
      </c>
      <c r="L220" s="1">
        <v>7</v>
      </c>
      <c r="M220" s="2" t="s">
        <v>11</v>
      </c>
      <c r="N220" s="2" t="s">
        <v>407</v>
      </c>
      <c r="O220" s="2">
        <f t="shared" si="166"/>
        <v>3543</v>
      </c>
      <c r="P220" s="2" t="s">
        <v>56</v>
      </c>
      <c r="Q220" s="2" t="str">
        <f t="shared" si="148"/>
        <v>4827,5800</v>
      </c>
      <c r="R220" s="2">
        <f t="shared" si="167"/>
        <v>4827</v>
      </c>
      <c r="S220" s="2">
        <f t="shared" si="163"/>
        <v>5800</v>
      </c>
      <c r="T220" s="2" t="s">
        <v>57</v>
      </c>
      <c r="U220" s="2" t="str">
        <f t="shared" si="149"/>
        <v>300,400</v>
      </c>
      <c r="V220" s="2">
        <f t="shared" si="168"/>
        <v>300</v>
      </c>
      <c r="W220" s="2">
        <f t="shared" si="164"/>
        <v>400</v>
      </c>
      <c r="X220" s="2" t="s">
        <v>58</v>
      </c>
      <c r="Y220" s="2" t="str">
        <f t="shared" si="150"/>
        <v>387,500</v>
      </c>
      <c r="Z220" s="2">
        <f t="shared" si="169"/>
        <v>387</v>
      </c>
      <c r="AA220" s="2">
        <f t="shared" si="165"/>
        <v>500</v>
      </c>
      <c r="AB220" s="2">
        <v>90000</v>
      </c>
      <c r="AC220" s="2" t="e">
        <f>_xlfn.XLOOKUP($B220, '#참조'!$M:$M, '#참조'!$N:$N)</f>
        <v>#N/A</v>
      </c>
      <c r="AD220" s="2" t="e">
        <f t="shared" si="158"/>
        <v>#N/A</v>
      </c>
      <c r="AE220" s="2">
        <f t="shared" si="151"/>
        <v>1101</v>
      </c>
    </row>
    <row r="221" spans="1:31" x14ac:dyDescent="0.2">
      <c r="A221" s="2">
        <f t="shared" si="143"/>
        <v>10417008</v>
      </c>
      <c r="B221" s="1">
        <v>10000417</v>
      </c>
      <c r="C221" s="1" t="s">
        <v>281</v>
      </c>
      <c r="D221" s="1" t="s">
        <v>309</v>
      </c>
      <c r="E221" s="1" t="str">
        <f>"Persona_"&amp;_xlfn.XLOOKUP($B221, '#캐릭터'!$A:$A, '#캐릭터'!$C:$C)</f>
        <v>Persona_c417</v>
      </c>
      <c r="F221" s="1"/>
      <c r="G221" s="1">
        <f>_xlfn.XLOOKUP(_xlfn.XLOOKUP(B221,'[1]Detail&lt;Child&gt;'!$A:$A,'[1]Detail&lt;Child&gt;'!$N:$N),'#참조'!P:P,'#참조'!Q:Q)</f>
        <v>1</v>
      </c>
      <c r="H221" s="1">
        <f>_xlfn.XLOOKUP(_xlfn.XLOOKUP(B221,'[1]Detail&lt;Child&gt;'!$A:$A,'[1]Detail&lt;Child&gt;'!$O:$O),'#참조'!R:R,'#참조'!S:S)</f>
        <v>1</v>
      </c>
      <c r="I221" s="1">
        <v>1</v>
      </c>
      <c r="J221" s="1">
        <v>3</v>
      </c>
      <c r="K221" s="1">
        <v>3</v>
      </c>
      <c r="L221" s="1">
        <v>8</v>
      </c>
      <c r="M221" s="2" t="s">
        <v>12</v>
      </c>
      <c r="N221" s="2" t="s">
        <v>407</v>
      </c>
      <c r="O221" s="2">
        <f t="shared" si="166"/>
        <v>3897</v>
      </c>
      <c r="P221" s="2" t="s">
        <v>56</v>
      </c>
      <c r="Q221" s="2" t="str">
        <f t="shared" si="148"/>
        <v>6275,7500</v>
      </c>
      <c r="R221" s="2">
        <f t="shared" si="167"/>
        <v>6275</v>
      </c>
      <c r="S221" s="2">
        <f t="shared" si="163"/>
        <v>7500</v>
      </c>
      <c r="T221" s="2" t="s">
        <v>57</v>
      </c>
      <c r="U221" s="2" t="str">
        <f t="shared" si="149"/>
        <v>360,400</v>
      </c>
      <c r="V221" s="2">
        <f t="shared" si="168"/>
        <v>360</v>
      </c>
      <c r="W221" s="2">
        <f t="shared" si="164"/>
        <v>400</v>
      </c>
      <c r="X221" s="2" t="s">
        <v>58</v>
      </c>
      <c r="Y221" s="2" t="str">
        <f t="shared" si="150"/>
        <v>503,600</v>
      </c>
      <c r="Z221" s="2">
        <f t="shared" si="169"/>
        <v>503</v>
      </c>
      <c r="AA221" s="2">
        <f t="shared" si="165"/>
        <v>600</v>
      </c>
      <c r="AB221" s="2">
        <v>90000</v>
      </c>
      <c r="AC221" s="2" t="e">
        <f>_xlfn.XLOOKUP($B221, '#참조'!$M:$M, '#참조'!$N:$N)</f>
        <v>#N/A</v>
      </c>
      <c r="AD221" s="2" t="e">
        <f t="shared" si="158"/>
        <v>#N/A</v>
      </c>
      <c r="AE221" s="2">
        <f t="shared" si="151"/>
        <v>1101</v>
      </c>
    </row>
    <row r="222" spans="1:31" x14ac:dyDescent="0.2">
      <c r="A222" s="2">
        <f t="shared" si="143"/>
        <v>10417009</v>
      </c>
      <c r="B222" s="1">
        <v>10000417</v>
      </c>
      <c r="C222" s="1" t="s">
        <v>281</v>
      </c>
      <c r="D222" s="1" t="s">
        <v>309</v>
      </c>
      <c r="E222" s="1" t="str">
        <f>"Persona_"&amp;_xlfn.XLOOKUP($B222, '#캐릭터'!$A:$A, '#캐릭터'!$C:$C)</f>
        <v>Persona_c417</v>
      </c>
      <c r="F222" s="1"/>
      <c r="G222" s="1">
        <f>_xlfn.XLOOKUP(_xlfn.XLOOKUP(B222,'[1]Detail&lt;Child&gt;'!$A:$A,'[1]Detail&lt;Child&gt;'!$N:$N),'#참조'!P:P,'#참조'!Q:Q)</f>
        <v>1</v>
      </c>
      <c r="H222" s="1">
        <f>_xlfn.XLOOKUP(_xlfn.XLOOKUP(B222,'[1]Detail&lt;Child&gt;'!$A:$A,'[1]Detail&lt;Child&gt;'!$O:$O),'#참조'!R:R,'#참조'!S:S)</f>
        <v>1</v>
      </c>
      <c r="I222" s="1">
        <v>2</v>
      </c>
      <c r="J222" s="1">
        <v>3</v>
      </c>
      <c r="K222" s="1">
        <v>3</v>
      </c>
      <c r="L222" s="1">
        <v>9</v>
      </c>
      <c r="M222" s="2" t="s">
        <v>13</v>
      </c>
      <c r="N222" s="2" t="s">
        <v>407</v>
      </c>
      <c r="O222" s="2">
        <f t="shared" si="166"/>
        <v>4287</v>
      </c>
      <c r="P222" s="2" t="s">
        <v>56</v>
      </c>
      <c r="Q222" s="2" t="str">
        <f t="shared" si="148"/>
        <v>8158,9800</v>
      </c>
      <c r="R222" s="2">
        <f t="shared" si="167"/>
        <v>8158</v>
      </c>
      <c r="S222" s="2">
        <f t="shared" si="163"/>
        <v>9800</v>
      </c>
      <c r="T222" s="2" t="s">
        <v>57</v>
      </c>
      <c r="U222" s="2" t="str">
        <f t="shared" si="149"/>
        <v>432,500</v>
      </c>
      <c r="V222" s="2">
        <f t="shared" si="168"/>
        <v>432</v>
      </c>
      <c r="W222" s="2">
        <f t="shared" si="164"/>
        <v>500</v>
      </c>
      <c r="X222" s="2" t="s">
        <v>58</v>
      </c>
      <c r="Y222" s="2" t="str">
        <f t="shared" si="150"/>
        <v>654,800</v>
      </c>
      <c r="Z222" s="2">
        <f t="shared" si="169"/>
        <v>654</v>
      </c>
      <c r="AA222" s="2">
        <f t="shared" si="165"/>
        <v>800</v>
      </c>
      <c r="AB222" s="2">
        <v>90000</v>
      </c>
      <c r="AC222" s="2" t="e">
        <f>_xlfn.XLOOKUP($B222, '#참조'!$M:$M, '#참조'!$N:$N)</f>
        <v>#N/A</v>
      </c>
      <c r="AD222" s="2" t="e">
        <f t="shared" si="158"/>
        <v>#N/A</v>
      </c>
      <c r="AE222" s="2">
        <f t="shared" si="151"/>
        <v>1102</v>
      </c>
    </row>
    <row r="223" spans="1:31" x14ac:dyDescent="0.2">
      <c r="A223" s="2">
        <f t="shared" si="143"/>
        <v>10417010</v>
      </c>
      <c r="B223" s="1">
        <v>10000417</v>
      </c>
      <c r="C223" s="1" t="s">
        <v>281</v>
      </c>
      <c r="D223" s="1" t="s">
        <v>309</v>
      </c>
      <c r="E223" s="1" t="str">
        <f>"Persona_"&amp;_xlfn.XLOOKUP($B223, '#캐릭터'!$A:$A, '#캐릭터'!$C:$C)</f>
        <v>Persona_c417</v>
      </c>
      <c r="F223" s="1"/>
      <c r="G223" s="1">
        <f>_xlfn.XLOOKUP(_xlfn.XLOOKUP(B223,'[1]Detail&lt;Child&gt;'!$A:$A,'[1]Detail&lt;Child&gt;'!$N:$N),'#참조'!P:P,'#참조'!Q:Q)</f>
        <v>1</v>
      </c>
      <c r="H223" s="1">
        <f>_xlfn.XLOOKUP(_xlfn.XLOOKUP(B223,'[1]Detail&lt;Child&gt;'!$A:$A,'[1]Detail&lt;Child&gt;'!$O:$O),'#참조'!R:R,'#참조'!S:S)</f>
        <v>1</v>
      </c>
      <c r="I223" s="1">
        <v>2</v>
      </c>
      <c r="J223" s="1">
        <v>3</v>
      </c>
      <c r="K223" s="1">
        <v>4</v>
      </c>
      <c r="L223" s="1">
        <v>10</v>
      </c>
      <c r="M223" s="2" t="s">
        <v>14</v>
      </c>
      <c r="N223" s="2" t="s">
        <v>407</v>
      </c>
      <c r="O223" s="2">
        <f t="shared" si="166"/>
        <v>4716</v>
      </c>
      <c r="P223" s="2" t="s">
        <v>56</v>
      </c>
      <c r="Q223" s="2" t="str">
        <f t="shared" si="148"/>
        <v>10605,12700</v>
      </c>
      <c r="R223" s="2">
        <f t="shared" si="167"/>
        <v>10605</v>
      </c>
      <c r="S223" s="2">
        <f t="shared" si="163"/>
        <v>12700</v>
      </c>
      <c r="T223" s="2" t="s">
        <v>57</v>
      </c>
      <c r="U223" s="2" t="str">
        <f t="shared" si="149"/>
        <v>518,600</v>
      </c>
      <c r="V223" s="2">
        <f t="shared" si="168"/>
        <v>518</v>
      </c>
      <c r="W223" s="2">
        <f t="shared" si="164"/>
        <v>600</v>
      </c>
      <c r="X223" s="2" t="s">
        <v>58</v>
      </c>
      <c r="Y223" s="2" t="str">
        <f t="shared" si="150"/>
        <v>850,1000</v>
      </c>
      <c r="Z223" s="2">
        <f t="shared" si="169"/>
        <v>850</v>
      </c>
      <c r="AA223" s="2">
        <f t="shared" si="165"/>
        <v>1000</v>
      </c>
      <c r="AB223" s="2">
        <v>85000</v>
      </c>
      <c r="AC223" s="2" t="e">
        <f>_xlfn.XLOOKUP($B223, '#참조'!$M:$M, '#참조'!$N:$N)</f>
        <v>#N/A</v>
      </c>
      <c r="AD223" s="2" t="e">
        <f t="shared" si="158"/>
        <v>#N/A</v>
      </c>
      <c r="AE223" s="2">
        <f t="shared" si="151"/>
        <v>1102</v>
      </c>
    </row>
    <row r="224" spans="1:31" x14ac:dyDescent="0.2">
      <c r="A224" s="2">
        <f t="shared" si="143"/>
        <v>10417011</v>
      </c>
      <c r="B224" s="1">
        <v>10000417</v>
      </c>
      <c r="C224" s="1" t="s">
        <v>281</v>
      </c>
      <c r="D224" s="1" t="s">
        <v>309</v>
      </c>
      <c r="E224" s="1" t="str">
        <f>"Persona_"&amp;_xlfn.XLOOKUP($B224, '#캐릭터'!$A:$A, '#캐릭터'!$C:$C)</f>
        <v>Persona_c417</v>
      </c>
      <c r="F224" s="1"/>
      <c r="G224" s="1">
        <f>_xlfn.XLOOKUP(_xlfn.XLOOKUP(B224,'[1]Detail&lt;Child&gt;'!$A:$A,'[1]Detail&lt;Child&gt;'!$N:$N),'#참조'!P:P,'#참조'!Q:Q)</f>
        <v>1</v>
      </c>
      <c r="H224" s="1">
        <f>_xlfn.XLOOKUP(_xlfn.XLOOKUP(B224,'[1]Detail&lt;Child&gt;'!$A:$A,'[1]Detail&lt;Child&gt;'!$O:$O),'#참조'!R:R,'#참조'!S:S)</f>
        <v>1</v>
      </c>
      <c r="I224" s="1">
        <v>3</v>
      </c>
      <c r="J224" s="1">
        <v>3</v>
      </c>
      <c r="K224" s="1">
        <v>4</v>
      </c>
      <c r="L224" s="1">
        <v>11</v>
      </c>
      <c r="M224" s="2" t="s">
        <v>15</v>
      </c>
      <c r="N224" s="2" t="s">
        <v>407</v>
      </c>
      <c r="O224" s="2">
        <f t="shared" si="166"/>
        <v>5188</v>
      </c>
      <c r="P224" s="2" t="s">
        <v>56</v>
      </c>
      <c r="Q224" s="2" t="str">
        <f t="shared" si="148"/>
        <v>13787,16500</v>
      </c>
      <c r="R224" s="2">
        <f t="shared" si="167"/>
        <v>13787</v>
      </c>
      <c r="S224" s="2">
        <f t="shared" si="163"/>
        <v>16500</v>
      </c>
      <c r="T224" s="2" t="s">
        <v>57</v>
      </c>
      <c r="U224" s="2" t="str">
        <f t="shared" si="149"/>
        <v>622,700</v>
      </c>
      <c r="V224" s="2">
        <f t="shared" si="168"/>
        <v>622</v>
      </c>
      <c r="W224" s="2">
        <f t="shared" si="164"/>
        <v>700</v>
      </c>
      <c r="X224" s="2" t="s">
        <v>58</v>
      </c>
      <c r="Y224" s="2" t="str">
        <f t="shared" si="150"/>
        <v>1105,1300</v>
      </c>
      <c r="Z224" s="2">
        <f t="shared" si="169"/>
        <v>1105</v>
      </c>
      <c r="AA224" s="2">
        <f t="shared" si="165"/>
        <v>1300</v>
      </c>
      <c r="AB224" s="2">
        <v>85000</v>
      </c>
      <c r="AC224" s="2" t="e">
        <f>_xlfn.XLOOKUP($B224, '#참조'!$M:$M, '#참조'!$N:$N)</f>
        <v>#N/A</v>
      </c>
      <c r="AD224" s="2" t="e">
        <f t="shared" si="158"/>
        <v>#N/A</v>
      </c>
      <c r="AE224" s="2">
        <f t="shared" si="151"/>
        <v>1103</v>
      </c>
    </row>
    <row r="225" spans="1:31" x14ac:dyDescent="0.2">
      <c r="A225" s="2">
        <f t="shared" si="143"/>
        <v>10417012</v>
      </c>
      <c r="B225" s="1">
        <v>10000417</v>
      </c>
      <c r="C225" s="1" t="s">
        <v>281</v>
      </c>
      <c r="D225" s="1" t="s">
        <v>309</v>
      </c>
      <c r="E225" s="1" t="str">
        <f>"Persona_"&amp;_xlfn.XLOOKUP($B225, '#캐릭터'!$A:$A, '#캐릭터'!$C:$C)</f>
        <v>Persona_c417</v>
      </c>
      <c r="F225" s="1"/>
      <c r="G225" s="1">
        <f>_xlfn.XLOOKUP(_xlfn.XLOOKUP(B225,'[1]Detail&lt;Child&gt;'!$A:$A,'[1]Detail&lt;Child&gt;'!$N:$N),'#참조'!P:P,'#참조'!Q:Q)</f>
        <v>1</v>
      </c>
      <c r="H225" s="1">
        <f>_xlfn.XLOOKUP(_xlfn.XLOOKUP(B225,'[1]Detail&lt;Child&gt;'!$A:$A,'[1]Detail&lt;Child&gt;'!$O:$O),'#참조'!R:R,'#참조'!S:S)</f>
        <v>1</v>
      </c>
      <c r="I225" s="1">
        <v>3</v>
      </c>
      <c r="J225" s="1">
        <v>3</v>
      </c>
      <c r="K225" s="1">
        <v>4</v>
      </c>
      <c r="L225" s="1">
        <v>12</v>
      </c>
      <c r="M225" s="2" t="s">
        <v>16</v>
      </c>
      <c r="N225" s="2" t="s">
        <v>407</v>
      </c>
      <c r="O225" s="2">
        <f t="shared" si="166"/>
        <v>5707</v>
      </c>
      <c r="P225" s="2" t="s">
        <v>56</v>
      </c>
      <c r="Q225" s="2" t="str">
        <f t="shared" si="148"/>
        <v>17923,21500</v>
      </c>
      <c r="R225" s="2">
        <f t="shared" si="167"/>
        <v>17923</v>
      </c>
      <c r="S225" s="2">
        <f t="shared" si="163"/>
        <v>21500</v>
      </c>
      <c r="T225" s="2" t="s">
        <v>57</v>
      </c>
      <c r="U225" s="2" t="str">
        <f t="shared" si="149"/>
        <v>746,900</v>
      </c>
      <c r="V225" s="2">
        <f t="shared" si="168"/>
        <v>746</v>
      </c>
      <c r="W225" s="2">
        <f t="shared" si="164"/>
        <v>900</v>
      </c>
      <c r="X225" s="2" t="s">
        <v>58</v>
      </c>
      <c r="Y225" s="2" t="str">
        <f t="shared" si="150"/>
        <v>1437,1700</v>
      </c>
      <c r="Z225" s="2">
        <f t="shared" si="169"/>
        <v>1437</v>
      </c>
      <c r="AA225" s="2">
        <f t="shared" si="165"/>
        <v>1700</v>
      </c>
      <c r="AB225" s="2">
        <v>85000</v>
      </c>
      <c r="AC225" s="2" t="e">
        <f>_xlfn.XLOOKUP($B225, '#참조'!$M:$M, '#참조'!$N:$N)</f>
        <v>#N/A</v>
      </c>
      <c r="AD225" s="2" t="e">
        <f t="shared" si="158"/>
        <v>#N/A</v>
      </c>
      <c r="AE225" s="2">
        <f t="shared" si="151"/>
        <v>1103</v>
      </c>
    </row>
    <row r="226" spans="1:31" x14ac:dyDescent="0.2">
      <c r="A226" s="2">
        <f t="shared" si="143"/>
        <v>10417013</v>
      </c>
      <c r="B226" s="1">
        <v>10000417</v>
      </c>
      <c r="C226" s="1" t="s">
        <v>281</v>
      </c>
      <c r="D226" s="1" t="s">
        <v>309</v>
      </c>
      <c r="E226" s="1" t="str">
        <f>"Persona_"&amp;_xlfn.XLOOKUP($B226, '#캐릭터'!$A:$A, '#캐릭터'!$C:$C)</f>
        <v>Persona_c417</v>
      </c>
      <c r="F226" s="1"/>
      <c r="G226" s="1">
        <f>_xlfn.XLOOKUP(_xlfn.XLOOKUP(B226,'[1]Detail&lt;Child&gt;'!$A:$A,'[1]Detail&lt;Child&gt;'!$N:$N),'#참조'!P:P,'#참조'!Q:Q)</f>
        <v>1</v>
      </c>
      <c r="H226" s="1">
        <f>_xlfn.XLOOKUP(_xlfn.XLOOKUP(B226,'[1]Detail&lt;Child&gt;'!$A:$A,'[1]Detail&lt;Child&gt;'!$O:$O),'#참조'!R:R,'#참조'!S:S)</f>
        <v>1</v>
      </c>
      <c r="I226" s="1">
        <v>4</v>
      </c>
      <c r="J226" s="1">
        <v>3</v>
      </c>
      <c r="K226" s="1">
        <v>5</v>
      </c>
      <c r="L226" s="1">
        <v>13</v>
      </c>
      <c r="M226" s="2" t="s">
        <v>17</v>
      </c>
      <c r="N226" s="2" t="s">
        <v>407</v>
      </c>
      <c r="O226" s="2">
        <f t="shared" si="166"/>
        <v>6278</v>
      </c>
      <c r="P226" s="2" t="s">
        <v>56</v>
      </c>
      <c r="Q226" s="2" t="str">
        <f t="shared" si="148"/>
        <v>23300,28000</v>
      </c>
      <c r="R226" s="2">
        <f t="shared" si="167"/>
        <v>23300</v>
      </c>
      <c r="S226" s="2">
        <f t="shared" si="163"/>
        <v>28000</v>
      </c>
      <c r="T226" s="2" t="s">
        <v>57</v>
      </c>
      <c r="U226" s="2" t="str">
        <f t="shared" si="149"/>
        <v>895,1100</v>
      </c>
      <c r="V226" s="2">
        <f t="shared" si="168"/>
        <v>895</v>
      </c>
      <c r="W226" s="2">
        <f t="shared" si="164"/>
        <v>1100</v>
      </c>
      <c r="X226" s="2" t="s">
        <v>58</v>
      </c>
      <c r="Y226" s="2" t="str">
        <f t="shared" si="150"/>
        <v>1868,2200</v>
      </c>
      <c r="Z226" s="2">
        <f t="shared" si="169"/>
        <v>1868</v>
      </c>
      <c r="AA226" s="2">
        <f t="shared" si="165"/>
        <v>2200</v>
      </c>
      <c r="AB226" s="2">
        <v>80000</v>
      </c>
      <c r="AC226" s="2" t="e">
        <f>_xlfn.XLOOKUP($B226, '#참조'!$M:$M, '#참조'!$N:$N)</f>
        <v>#N/A</v>
      </c>
      <c r="AD226" s="2" t="e">
        <f t="shared" si="158"/>
        <v>#N/A</v>
      </c>
      <c r="AE226" s="2">
        <f t="shared" si="151"/>
        <v>1104</v>
      </c>
    </row>
    <row r="227" spans="1:31" x14ac:dyDescent="0.2">
      <c r="A227" s="2">
        <f t="shared" si="143"/>
        <v>10417014</v>
      </c>
      <c r="B227" s="1">
        <v>10000417</v>
      </c>
      <c r="C227" s="1" t="s">
        <v>281</v>
      </c>
      <c r="D227" s="1" t="s">
        <v>309</v>
      </c>
      <c r="E227" s="1" t="str">
        <f>"Persona_"&amp;_xlfn.XLOOKUP($B227, '#캐릭터'!$A:$A, '#캐릭터'!$C:$C)</f>
        <v>Persona_c417</v>
      </c>
      <c r="F227" s="1"/>
      <c r="G227" s="1">
        <f>_xlfn.XLOOKUP(_xlfn.XLOOKUP(B227,'[1]Detail&lt;Child&gt;'!$A:$A,'[1]Detail&lt;Child&gt;'!$N:$N),'#참조'!P:P,'#참조'!Q:Q)</f>
        <v>1</v>
      </c>
      <c r="H227" s="1">
        <f>_xlfn.XLOOKUP(_xlfn.XLOOKUP(B227,'[1]Detail&lt;Child&gt;'!$A:$A,'[1]Detail&lt;Child&gt;'!$O:$O),'#참조'!R:R,'#참조'!S:S)</f>
        <v>1</v>
      </c>
      <c r="I227" s="1">
        <v>4</v>
      </c>
      <c r="J227" s="1">
        <v>3</v>
      </c>
      <c r="K227" s="1">
        <v>5</v>
      </c>
      <c r="L227" s="1">
        <v>14</v>
      </c>
      <c r="M227" s="2" t="s">
        <v>18</v>
      </c>
      <c r="N227" s="2" t="s">
        <v>407</v>
      </c>
      <c r="O227" s="2">
        <f t="shared" si="166"/>
        <v>6906</v>
      </c>
      <c r="P227" s="2" t="s">
        <v>56</v>
      </c>
      <c r="Q227" s="2" t="str">
        <f t="shared" si="148"/>
        <v>30290,36300</v>
      </c>
      <c r="R227" s="2">
        <f t="shared" si="167"/>
        <v>30290</v>
      </c>
      <c r="S227" s="2">
        <f t="shared" si="163"/>
        <v>36300</v>
      </c>
      <c r="T227" s="2" t="s">
        <v>57</v>
      </c>
      <c r="U227" s="2" t="str">
        <f t="shared" si="149"/>
        <v>1074,1300</v>
      </c>
      <c r="V227" s="2">
        <f t="shared" si="168"/>
        <v>1074</v>
      </c>
      <c r="W227" s="2">
        <f t="shared" si="164"/>
        <v>1300</v>
      </c>
      <c r="X227" s="2" t="s">
        <v>58</v>
      </c>
      <c r="Y227" s="2" t="str">
        <f t="shared" si="150"/>
        <v>2428,2900</v>
      </c>
      <c r="Z227" s="2">
        <f t="shared" si="169"/>
        <v>2428</v>
      </c>
      <c r="AA227" s="2">
        <f t="shared" si="165"/>
        <v>2900</v>
      </c>
      <c r="AB227" s="2">
        <v>80000</v>
      </c>
      <c r="AC227" s="2" t="e">
        <f>_xlfn.XLOOKUP($B227, '#참조'!$M:$M, '#참조'!$N:$N)</f>
        <v>#N/A</v>
      </c>
      <c r="AD227" s="2" t="e">
        <f t="shared" si="158"/>
        <v>#N/A</v>
      </c>
      <c r="AE227" s="2">
        <f t="shared" si="151"/>
        <v>1104</v>
      </c>
    </row>
    <row r="228" spans="1:31" x14ac:dyDescent="0.2">
      <c r="A228" s="2">
        <f t="shared" si="143"/>
        <v>10417015</v>
      </c>
      <c r="B228" s="1">
        <v>10000417</v>
      </c>
      <c r="C228" s="1" t="s">
        <v>281</v>
      </c>
      <c r="D228" s="1" t="s">
        <v>309</v>
      </c>
      <c r="E228" s="1" t="str">
        <f>"Persona_"&amp;_xlfn.XLOOKUP($B228, '#캐릭터'!$A:$A, '#캐릭터'!$C:$C)</f>
        <v>Persona_c417</v>
      </c>
      <c r="F228" s="1"/>
      <c r="G228" s="1">
        <f>_xlfn.XLOOKUP(_xlfn.XLOOKUP(B228,'[1]Detail&lt;Child&gt;'!$A:$A,'[1]Detail&lt;Child&gt;'!$N:$N),'#참조'!P:P,'#참조'!Q:Q)</f>
        <v>1</v>
      </c>
      <c r="H228" s="1">
        <f>_xlfn.XLOOKUP(_xlfn.XLOOKUP(B228,'[1]Detail&lt;Child&gt;'!$A:$A,'[1]Detail&lt;Child&gt;'!$O:$O),'#참조'!R:R,'#참조'!S:S)</f>
        <v>1</v>
      </c>
      <c r="I228" s="1">
        <v>5</v>
      </c>
      <c r="J228" s="1">
        <v>3</v>
      </c>
      <c r="K228" s="1">
        <v>5</v>
      </c>
      <c r="L228" s="1">
        <v>15</v>
      </c>
      <c r="M228" s="2" t="s">
        <v>19</v>
      </c>
      <c r="N228" s="2" t="s">
        <v>407</v>
      </c>
      <c r="O228" s="2">
        <f t="shared" si="166"/>
        <v>7597</v>
      </c>
      <c r="P228" s="2" t="s">
        <v>56</v>
      </c>
      <c r="Q228" s="2" t="str">
        <f t="shared" si="148"/>
        <v>39377,47300</v>
      </c>
      <c r="R228" s="2">
        <f t="shared" si="167"/>
        <v>39377</v>
      </c>
      <c r="S228" s="2">
        <f t="shared" si="163"/>
        <v>47300</v>
      </c>
      <c r="T228" s="2" t="s">
        <v>57</v>
      </c>
      <c r="U228" s="2" t="str">
        <f t="shared" si="149"/>
        <v>1289,1500</v>
      </c>
      <c r="V228" s="2">
        <f t="shared" si="168"/>
        <v>1289</v>
      </c>
      <c r="W228" s="2">
        <f t="shared" si="164"/>
        <v>1500</v>
      </c>
      <c r="X228" s="2" t="s">
        <v>58</v>
      </c>
      <c r="Y228" s="2" t="str">
        <f t="shared" si="150"/>
        <v>3156,3800</v>
      </c>
      <c r="Z228" s="2">
        <f t="shared" si="169"/>
        <v>3156</v>
      </c>
      <c r="AA228" s="2">
        <f t="shared" si="165"/>
        <v>3800</v>
      </c>
      <c r="AB228" s="2">
        <v>80000</v>
      </c>
      <c r="AC228" s="2" t="e">
        <f>_xlfn.XLOOKUP($B228, '#참조'!$M:$M, '#참조'!$N:$N)</f>
        <v>#N/A</v>
      </c>
      <c r="AD228" s="2" t="e">
        <f t="shared" si="158"/>
        <v>#N/A</v>
      </c>
      <c r="AE228" s="2">
        <f t="shared" si="151"/>
        <v>1105</v>
      </c>
    </row>
    <row r="229" spans="1:31" x14ac:dyDescent="0.2">
      <c r="A229" s="2">
        <f t="shared" si="143"/>
        <v>10417016</v>
      </c>
      <c r="B229" s="1">
        <v>10000417</v>
      </c>
      <c r="C229" s="1" t="s">
        <v>281</v>
      </c>
      <c r="D229" s="1" t="s">
        <v>309</v>
      </c>
      <c r="E229" s="1" t="str">
        <f>"Persona_"&amp;_xlfn.XLOOKUP($B229, '#캐릭터'!$A:$A, '#캐릭터'!$C:$C)</f>
        <v>Persona_c417</v>
      </c>
      <c r="F229" s="1"/>
      <c r="G229" s="1">
        <f>_xlfn.XLOOKUP(_xlfn.XLOOKUP(B229,'[1]Detail&lt;Child&gt;'!$A:$A,'[1]Detail&lt;Child&gt;'!$N:$N),'#참조'!P:P,'#참조'!Q:Q)</f>
        <v>1</v>
      </c>
      <c r="H229" s="1">
        <f>_xlfn.XLOOKUP(_xlfn.XLOOKUP(B229,'[1]Detail&lt;Child&gt;'!$A:$A,'[1]Detail&lt;Child&gt;'!$O:$O),'#참조'!R:R,'#참조'!S:S)</f>
        <v>1</v>
      </c>
      <c r="I229" s="1">
        <v>5</v>
      </c>
      <c r="J229" s="1">
        <v>3</v>
      </c>
      <c r="K229" s="1">
        <v>6</v>
      </c>
      <c r="L229" s="1">
        <v>16</v>
      </c>
      <c r="M229" s="2" t="s">
        <v>20</v>
      </c>
      <c r="N229" s="2" t="s">
        <v>407</v>
      </c>
      <c r="O229" s="2">
        <f t="shared" si="166"/>
        <v>8357</v>
      </c>
      <c r="P229" s="2" t="s">
        <v>56</v>
      </c>
      <c r="Q229" s="2" t="str">
        <f t="shared" si="148"/>
        <v>51190,61400</v>
      </c>
      <c r="R229" s="2">
        <f t="shared" si="167"/>
        <v>51190</v>
      </c>
      <c r="S229" s="2">
        <f t="shared" si="163"/>
        <v>61400</v>
      </c>
      <c r="T229" s="2" t="s">
        <v>57</v>
      </c>
      <c r="U229" s="2" t="str">
        <f t="shared" si="149"/>
        <v>1547,1900</v>
      </c>
      <c r="V229" s="2">
        <f t="shared" si="168"/>
        <v>1547</v>
      </c>
      <c r="W229" s="2">
        <f t="shared" si="164"/>
        <v>1900</v>
      </c>
      <c r="X229" s="2" t="s">
        <v>58</v>
      </c>
      <c r="Y229" s="2" t="str">
        <f t="shared" si="150"/>
        <v>4103,4900</v>
      </c>
      <c r="Z229" s="2">
        <f t="shared" si="169"/>
        <v>4103</v>
      </c>
      <c r="AA229" s="2">
        <f t="shared" si="165"/>
        <v>4900</v>
      </c>
      <c r="AB229" s="2">
        <v>75000</v>
      </c>
      <c r="AC229" s="2" t="e">
        <f>_xlfn.XLOOKUP($B229, '#참조'!$M:$M, '#참조'!$N:$N)</f>
        <v>#N/A</v>
      </c>
      <c r="AD229" s="2" t="e">
        <f t="shared" si="158"/>
        <v>#N/A</v>
      </c>
      <c r="AE229" s="2">
        <f t="shared" si="151"/>
        <v>1105</v>
      </c>
    </row>
    <row r="230" spans="1:31" x14ac:dyDescent="0.2">
      <c r="A230" s="2">
        <f t="shared" si="143"/>
        <v>10417017</v>
      </c>
      <c r="B230" s="1">
        <v>10000417</v>
      </c>
      <c r="C230" s="1" t="s">
        <v>281</v>
      </c>
      <c r="D230" s="1" t="s">
        <v>309</v>
      </c>
      <c r="E230" s="1" t="str">
        <f>"Persona_"&amp;_xlfn.XLOOKUP($B230, '#캐릭터'!$A:$A, '#캐릭터'!$C:$C)</f>
        <v>Persona_c417</v>
      </c>
      <c r="F230" s="1"/>
      <c r="G230" s="1">
        <f>_xlfn.XLOOKUP(_xlfn.XLOOKUP(B230,'[1]Detail&lt;Child&gt;'!$A:$A,'[1]Detail&lt;Child&gt;'!$N:$N),'#참조'!P:P,'#참조'!Q:Q)</f>
        <v>1</v>
      </c>
      <c r="H230" s="1">
        <f>_xlfn.XLOOKUP(_xlfn.XLOOKUP(B230,'[1]Detail&lt;Child&gt;'!$A:$A,'[1]Detail&lt;Child&gt;'!$O:$O),'#참조'!R:R,'#참조'!S:S)</f>
        <v>1</v>
      </c>
      <c r="I230" s="1">
        <v>6</v>
      </c>
      <c r="J230" s="1">
        <v>3</v>
      </c>
      <c r="K230" s="1">
        <v>6</v>
      </c>
      <c r="L230" s="1">
        <v>17</v>
      </c>
      <c r="M230" s="2" t="s">
        <v>21</v>
      </c>
      <c r="N230" s="2" t="s">
        <v>407</v>
      </c>
      <c r="O230" s="2">
        <f t="shared" si="166"/>
        <v>9193</v>
      </c>
      <c r="P230" s="2" t="s">
        <v>56</v>
      </c>
      <c r="Q230" s="2" t="str">
        <f t="shared" si="148"/>
        <v>66547,79900</v>
      </c>
      <c r="R230" s="2">
        <f t="shared" si="167"/>
        <v>66547</v>
      </c>
      <c r="S230" s="2">
        <f t="shared" si="163"/>
        <v>79900</v>
      </c>
      <c r="T230" s="2" t="s">
        <v>57</v>
      </c>
      <c r="U230" s="2" t="str">
        <f t="shared" si="149"/>
        <v>1856,2200</v>
      </c>
      <c r="V230" s="2">
        <f t="shared" si="168"/>
        <v>1856</v>
      </c>
      <c r="W230" s="2">
        <f t="shared" si="164"/>
        <v>2200</v>
      </c>
      <c r="X230" s="2" t="s">
        <v>58</v>
      </c>
      <c r="Y230" s="2" t="str">
        <f t="shared" si="150"/>
        <v>5334,6400</v>
      </c>
      <c r="Z230" s="2">
        <f t="shared" si="169"/>
        <v>5334</v>
      </c>
      <c r="AA230" s="2">
        <f t="shared" si="165"/>
        <v>6400</v>
      </c>
      <c r="AB230" s="2">
        <v>75000</v>
      </c>
      <c r="AC230" s="2" t="e">
        <f>_xlfn.XLOOKUP($B230, '#참조'!$M:$M, '#참조'!$N:$N)</f>
        <v>#N/A</v>
      </c>
      <c r="AD230" s="2" t="e">
        <f t="shared" si="158"/>
        <v>#N/A</v>
      </c>
      <c r="AE230" s="2">
        <f t="shared" si="151"/>
        <v>1106</v>
      </c>
    </row>
    <row r="231" spans="1:31" x14ac:dyDescent="0.2">
      <c r="A231" s="2">
        <f t="shared" si="143"/>
        <v>10417018</v>
      </c>
      <c r="B231" s="1">
        <v>10000417</v>
      </c>
      <c r="C231" s="1" t="s">
        <v>281</v>
      </c>
      <c r="D231" s="1" t="s">
        <v>309</v>
      </c>
      <c r="E231" s="1" t="str">
        <f>"Persona_"&amp;_xlfn.XLOOKUP($B231, '#캐릭터'!$A:$A, '#캐릭터'!$C:$C)</f>
        <v>Persona_c417</v>
      </c>
      <c r="F231" s="1"/>
      <c r="G231" s="1">
        <f>_xlfn.XLOOKUP(_xlfn.XLOOKUP(B231,'[1]Detail&lt;Child&gt;'!$A:$A,'[1]Detail&lt;Child&gt;'!$N:$N),'#참조'!P:P,'#참조'!Q:Q)</f>
        <v>1</v>
      </c>
      <c r="H231" s="1">
        <f>_xlfn.XLOOKUP(_xlfn.XLOOKUP(B231,'[1]Detail&lt;Child&gt;'!$A:$A,'[1]Detail&lt;Child&gt;'!$O:$O),'#참조'!R:R,'#참조'!S:S)</f>
        <v>1</v>
      </c>
      <c r="I231" s="1">
        <v>6</v>
      </c>
      <c r="J231" s="1">
        <v>3</v>
      </c>
      <c r="K231" s="1">
        <v>6</v>
      </c>
      <c r="L231" s="1">
        <v>18</v>
      </c>
      <c r="M231" s="2" t="s">
        <v>22</v>
      </c>
      <c r="N231" s="2" t="s">
        <v>407</v>
      </c>
      <c r="O231" s="2">
        <f t="shared" si="166"/>
        <v>10112</v>
      </c>
      <c r="P231" s="2" t="s">
        <v>56</v>
      </c>
      <c r="Q231" s="2" t="str">
        <f t="shared" si="148"/>
        <v>86511,103800</v>
      </c>
      <c r="R231" s="2">
        <f t="shared" si="167"/>
        <v>86511</v>
      </c>
      <c r="S231" s="2">
        <f t="shared" si="163"/>
        <v>103800</v>
      </c>
      <c r="T231" s="2" t="s">
        <v>57</v>
      </c>
      <c r="U231" s="2" t="str">
        <f t="shared" si="149"/>
        <v>2227,2700</v>
      </c>
      <c r="V231" s="2">
        <f t="shared" si="168"/>
        <v>2227</v>
      </c>
      <c r="W231" s="2">
        <f t="shared" si="164"/>
        <v>2700</v>
      </c>
      <c r="X231" s="2" t="s">
        <v>58</v>
      </c>
      <c r="Y231" s="2" t="str">
        <f t="shared" si="150"/>
        <v>6934,8300</v>
      </c>
      <c r="Z231" s="2">
        <f t="shared" si="169"/>
        <v>6934</v>
      </c>
      <c r="AA231" s="2">
        <f t="shared" si="165"/>
        <v>8300</v>
      </c>
      <c r="AB231" s="2">
        <v>75000</v>
      </c>
      <c r="AC231" s="2" t="e">
        <f>_xlfn.XLOOKUP($B231, '#참조'!$M:$M, '#참조'!$N:$N)</f>
        <v>#N/A</v>
      </c>
      <c r="AD231" s="2" t="e">
        <f t="shared" si="158"/>
        <v>#N/A</v>
      </c>
      <c r="AE231" s="2">
        <f t="shared" si="151"/>
        <v>1106</v>
      </c>
    </row>
    <row r="232" spans="1:31" x14ac:dyDescent="0.2">
      <c r="A232" s="2">
        <f t="shared" si="143"/>
        <v>10432000</v>
      </c>
      <c r="B232" s="1">
        <v>10000432</v>
      </c>
      <c r="C232" s="1" t="s">
        <v>281</v>
      </c>
      <c r="D232" s="1" t="s">
        <v>309</v>
      </c>
      <c r="E232" s="1" t="str">
        <f>"Persona_"&amp;_xlfn.XLOOKUP($B232, '#캐릭터'!$A:$A, '#캐릭터'!$C:$C)</f>
        <v>Persona_c432</v>
      </c>
      <c r="F232" s="1"/>
      <c r="G232" s="1">
        <f>_xlfn.XLOOKUP(_xlfn.XLOOKUP(B232,'[1]Detail&lt;Child&gt;'!$A:$A,'[1]Detail&lt;Child&gt;'!$N:$N),'#참조'!P:P,'#참조'!Q:Q)</f>
        <v>5</v>
      </c>
      <c r="H232" s="1">
        <f>_xlfn.XLOOKUP(_xlfn.XLOOKUP(B232,'[1]Detail&lt;Child&gt;'!$A:$A,'[1]Detail&lt;Child&gt;'!$O:$O),'#참조'!R:R,'#참조'!S:S)</f>
        <v>1</v>
      </c>
      <c r="I232" s="1">
        <v>0</v>
      </c>
      <c r="J232" s="1">
        <v>3</v>
      </c>
      <c r="K232" s="1">
        <v>0</v>
      </c>
      <c r="L232" s="1">
        <v>0</v>
      </c>
      <c r="M232" s="2" t="s">
        <v>2</v>
      </c>
      <c r="N232" s="2" t="s">
        <v>407</v>
      </c>
      <c r="O232" s="2">
        <v>0</v>
      </c>
      <c r="P232" s="2" t="s">
        <v>56</v>
      </c>
      <c r="Q232" s="2" t="str">
        <f t="shared" si="148"/>
        <v>1000,1000</v>
      </c>
      <c r="R232" s="2">
        <v>1000</v>
      </c>
      <c r="S232" s="2">
        <f t="shared" ref="S232" si="170">R232</f>
        <v>1000</v>
      </c>
      <c r="T232" s="2" t="s">
        <v>57</v>
      </c>
      <c r="U232" s="2" t="str">
        <f t="shared" si="149"/>
        <v>100,100</v>
      </c>
      <c r="V232" s="2">
        <v>100</v>
      </c>
      <c r="W232" s="2">
        <f t="shared" ref="W232" si="171">V232</f>
        <v>100</v>
      </c>
      <c r="X232" s="2" t="s">
        <v>58</v>
      </c>
      <c r="Y232" s="2" t="str">
        <f t="shared" si="150"/>
        <v>80,80</v>
      </c>
      <c r="Z232" s="2">
        <v>80</v>
      </c>
      <c r="AA232" s="2">
        <f t="shared" ref="AA232" si="172">Z232</f>
        <v>80</v>
      </c>
      <c r="AB232" s="2">
        <v>100000</v>
      </c>
      <c r="AE232" s="2">
        <f t="shared" si="151"/>
        <v>0</v>
      </c>
    </row>
    <row r="233" spans="1:31" x14ac:dyDescent="0.2">
      <c r="A233" s="2">
        <f t="shared" si="143"/>
        <v>10432001</v>
      </c>
      <c r="B233" s="1">
        <v>10000432</v>
      </c>
      <c r="C233" s="1" t="s">
        <v>281</v>
      </c>
      <c r="D233" s="1" t="s">
        <v>309</v>
      </c>
      <c r="E233" s="1" t="str">
        <f>"Persona_"&amp;_xlfn.XLOOKUP($B233, '#캐릭터'!$A:$A, '#캐릭터'!$C:$C)</f>
        <v>Persona_c432</v>
      </c>
      <c r="F233" s="1"/>
      <c r="G233" s="1">
        <f>_xlfn.XLOOKUP(_xlfn.XLOOKUP(B233,'[1]Detail&lt;Child&gt;'!$A:$A,'[1]Detail&lt;Child&gt;'!$N:$N),'#참조'!P:P,'#참조'!Q:Q)</f>
        <v>5</v>
      </c>
      <c r="H233" s="1">
        <f>_xlfn.XLOOKUP(_xlfn.XLOOKUP(B233,'[1]Detail&lt;Child&gt;'!$A:$A,'[1]Detail&lt;Child&gt;'!$O:$O),'#참조'!R:R,'#참조'!S:S)</f>
        <v>1</v>
      </c>
      <c r="I233" s="1">
        <v>0</v>
      </c>
      <c r="J233" s="1">
        <v>3</v>
      </c>
      <c r="K233" s="1">
        <v>1</v>
      </c>
      <c r="L233" s="1">
        <v>1</v>
      </c>
      <c r="M233" s="2" t="s">
        <v>5</v>
      </c>
      <c r="N233" s="2" t="s">
        <v>407</v>
      </c>
      <c r="O233" s="2">
        <v>2000</v>
      </c>
      <c r="P233" s="2" t="s">
        <v>56</v>
      </c>
      <c r="Q233" s="2" t="str">
        <f t="shared" si="148"/>
        <v>1000,1200</v>
      </c>
      <c r="R233" s="2">
        <v>1000</v>
      </c>
      <c r="S233" s="2">
        <f t="shared" ref="S233" si="173">ROUND(R233*1.2, -2)</f>
        <v>1200</v>
      </c>
      <c r="T233" s="2" t="s">
        <v>57</v>
      </c>
      <c r="U233" s="2" t="str">
        <f t="shared" si="149"/>
        <v>100,100</v>
      </c>
      <c r="V233" s="2">
        <v>100</v>
      </c>
      <c r="W233" s="2">
        <f t="shared" ref="W233" si="174">ROUND(V233*1.2, -2)</f>
        <v>100</v>
      </c>
      <c r="X233" s="2" t="s">
        <v>58</v>
      </c>
      <c r="Y233" s="2" t="str">
        <f t="shared" si="150"/>
        <v>80,100</v>
      </c>
      <c r="Z233" s="2">
        <v>80</v>
      </c>
      <c r="AA233" s="2">
        <f t="shared" ref="AA233" si="175">ROUND(Z233*1.2, -2)</f>
        <v>100</v>
      </c>
      <c r="AB233" s="2">
        <v>100000</v>
      </c>
      <c r="AC233" s="2" t="e">
        <f>_xlfn.XLOOKUP($B233, '#참조'!$M:$M, '#참조'!$N:$N)</f>
        <v>#N/A</v>
      </c>
      <c r="AD233" s="2" t="e">
        <f t="shared" ref="AD233:AD250" si="176">M233&amp;"_"&amp;AC233</f>
        <v>#N/A</v>
      </c>
      <c r="AE233" s="2">
        <f t="shared" si="151"/>
        <v>0</v>
      </c>
    </row>
    <row r="234" spans="1:31" x14ac:dyDescent="0.2">
      <c r="A234" s="2">
        <f t="shared" si="143"/>
        <v>10432002</v>
      </c>
      <c r="B234" s="1">
        <v>10000432</v>
      </c>
      <c r="C234" s="1" t="s">
        <v>281</v>
      </c>
      <c r="D234" s="1" t="s">
        <v>309</v>
      </c>
      <c r="E234" s="1" t="str">
        <f>"Persona_"&amp;_xlfn.XLOOKUP($B234, '#캐릭터'!$A:$A, '#캐릭터'!$C:$C)</f>
        <v>Persona_c432</v>
      </c>
      <c r="F234" s="1"/>
      <c r="G234" s="1">
        <f>_xlfn.XLOOKUP(_xlfn.XLOOKUP(B234,'[1]Detail&lt;Child&gt;'!$A:$A,'[1]Detail&lt;Child&gt;'!$N:$N),'#참조'!P:P,'#참조'!Q:Q)</f>
        <v>5</v>
      </c>
      <c r="H234" s="1">
        <f>_xlfn.XLOOKUP(_xlfn.XLOOKUP(B234,'[1]Detail&lt;Child&gt;'!$A:$A,'[1]Detail&lt;Child&gt;'!$O:$O),'#참조'!R:R,'#참조'!S:S)</f>
        <v>1</v>
      </c>
      <c r="I234" s="1">
        <v>0</v>
      </c>
      <c r="J234" s="1">
        <v>3</v>
      </c>
      <c r="K234" s="1">
        <v>1</v>
      </c>
      <c r="L234" s="1">
        <v>2</v>
      </c>
      <c r="M234" s="2" t="s">
        <v>6</v>
      </c>
      <c r="N234" s="2" t="s">
        <v>407</v>
      </c>
      <c r="O234" s="2">
        <f t="shared" ref="O234" si="177">ROUND(O233*1.1, 0)</f>
        <v>2200</v>
      </c>
      <c r="P234" s="2" t="s">
        <v>56</v>
      </c>
      <c r="Q234" s="2" t="str">
        <f t="shared" si="148"/>
        <v>1300,1600</v>
      </c>
      <c r="R234" s="2">
        <f t="shared" ref="R234" si="178">ROUND(R233*1.3, 0)</f>
        <v>1300</v>
      </c>
      <c r="S234" s="2">
        <f t="shared" si="163"/>
        <v>1600</v>
      </c>
      <c r="T234" s="2" t="s">
        <v>57</v>
      </c>
      <c r="U234" s="2" t="str">
        <f t="shared" si="149"/>
        <v>120,100</v>
      </c>
      <c r="V234" s="2">
        <f t="shared" ref="V234" si="179">ROUND(V233*1.2, 0)</f>
        <v>120</v>
      </c>
      <c r="W234" s="2">
        <f t="shared" si="164"/>
        <v>100</v>
      </c>
      <c r="X234" s="2" t="s">
        <v>58</v>
      </c>
      <c r="Y234" s="2" t="str">
        <f t="shared" si="150"/>
        <v>104,100</v>
      </c>
      <c r="Z234" s="2">
        <f t="shared" ref="Z234" si="180">ROUND(Z233*1.3, 0)</f>
        <v>104</v>
      </c>
      <c r="AA234" s="2">
        <f t="shared" si="165"/>
        <v>100</v>
      </c>
      <c r="AB234" s="2">
        <v>100000</v>
      </c>
      <c r="AC234" s="2" t="e">
        <f>_xlfn.XLOOKUP($B234, '#참조'!$M:$M, '#참조'!$N:$N)</f>
        <v>#N/A</v>
      </c>
      <c r="AD234" s="2" t="e">
        <f t="shared" si="176"/>
        <v>#N/A</v>
      </c>
      <c r="AE234" s="2">
        <f t="shared" si="151"/>
        <v>0</v>
      </c>
    </row>
    <row r="235" spans="1:31" x14ac:dyDescent="0.2">
      <c r="A235" s="2">
        <f t="shared" si="143"/>
        <v>10432003</v>
      </c>
      <c r="B235" s="1">
        <v>10000432</v>
      </c>
      <c r="C235" s="1" t="s">
        <v>281</v>
      </c>
      <c r="D235" s="1" t="s">
        <v>309</v>
      </c>
      <c r="E235" s="1" t="str">
        <f>"Persona_"&amp;_xlfn.XLOOKUP($B235, '#캐릭터'!$A:$A, '#캐릭터'!$C:$C)</f>
        <v>Persona_c432</v>
      </c>
      <c r="F235" s="1"/>
      <c r="G235" s="1">
        <f>_xlfn.XLOOKUP(_xlfn.XLOOKUP(B235,'[1]Detail&lt;Child&gt;'!$A:$A,'[1]Detail&lt;Child&gt;'!$N:$N),'#참조'!P:P,'#참조'!Q:Q)</f>
        <v>5</v>
      </c>
      <c r="H235" s="1">
        <f>_xlfn.XLOOKUP(_xlfn.XLOOKUP(B235,'[1]Detail&lt;Child&gt;'!$A:$A,'[1]Detail&lt;Child&gt;'!$O:$O),'#참조'!R:R,'#참조'!S:S)</f>
        <v>1</v>
      </c>
      <c r="I235" s="1">
        <v>0</v>
      </c>
      <c r="J235" s="1">
        <v>3</v>
      </c>
      <c r="K235" s="1">
        <v>1</v>
      </c>
      <c r="L235" s="1">
        <v>3</v>
      </c>
      <c r="M235" s="2" t="s">
        <v>7</v>
      </c>
      <c r="N235" s="2" t="s">
        <v>407</v>
      </c>
      <c r="O235" s="2">
        <f t="shared" si="166"/>
        <v>2420</v>
      </c>
      <c r="P235" s="2" t="s">
        <v>56</v>
      </c>
      <c r="Q235" s="2" t="str">
        <f t="shared" si="148"/>
        <v>1690,2000</v>
      </c>
      <c r="R235" s="2">
        <f t="shared" si="167"/>
        <v>1690</v>
      </c>
      <c r="S235" s="2">
        <f t="shared" si="163"/>
        <v>2000</v>
      </c>
      <c r="T235" s="2" t="s">
        <v>57</v>
      </c>
      <c r="U235" s="2" t="str">
        <f t="shared" si="149"/>
        <v>144,200</v>
      </c>
      <c r="V235" s="2">
        <f t="shared" si="168"/>
        <v>144</v>
      </c>
      <c r="W235" s="2">
        <f t="shared" si="164"/>
        <v>200</v>
      </c>
      <c r="X235" s="2" t="s">
        <v>58</v>
      </c>
      <c r="Y235" s="2" t="str">
        <f t="shared" si="150"/>
        <v>135,200</v>
      </c>
      <c r="Z235" s="2">
        <f t="shared" si="169"/>
        <v>135</v>
      </c>
      <c r="AA235" s="2">
        <f t="shared" si="165"/>
        <v>200</v>
      </c>
      <c r="AB235" s="2">
        <v>100000</v>
      </c>
      <c r="AC235" s="2" t="e">
        <f>_xlfn.XLOOKUP($B235, '#참조'!$M:$M, '#참조'!$N:$N)</f>
        <v>#N/A</v>
      </c>
      <c r="AD235" s="2" t="e">
        <f t="shared" si="176"/>
        <v>#N/A</v>
      </c>
      <c r="AE235" s="2">
        <f t="shared" si="151"/>
        <v>0</v>
      </c>
    </row>
    <row r="236" spans="1:31" x14ac:dyDescent="0.2">
      <c r="A236" s="2">
        <f t="shared" si="143"/>
        <v>10432004</v>
      </c>
      <c r="B236" s="1">
        <v>10000432</v>
      </c>
      <c r="C236" s="1" t="s">
        <v>281</v>
      </c>
      <c r="D236" s="1" t="s">
        <v>309</v>
      </c>
      <c r="E236" s="1" t="str">
        <f>"Persona_"&amp;_xlfn.XLOOKUP($B236, '#캐릭터'!$A:$A, '#캐릭터'!$C:$C)</f>
        <v>Persona_c432</v>
      </c>
      <c r="F236" s="1"/>
      <c r="G236" s="1">
        <f>_xlfn.XLOOKUP(_xlfn.XLOOKUP(B236,'[1]Detail&lt;Child&gt;'!$A:$A,'[1]Detail&lt;Child&gt;'!$N:$N),'#참조'!P:P,'#참조'!Q:Q)</f>
        <v>5</v>
      </c>
      <c r="H236" s="1">
        <f>_xlfn.XLOOKUP(_xlfn.XLOOKUP(B236,'[1]Detail&lt;Child&gt;'!$A:$A,'[1]Detail&lt;Child&gt;'!$O:$O),'#참조'!R:R,'#참조'!S:S)</f>
        <v>1</v>
      </c>
      <c r="I236" s="1">
        <v>0</v>
      </c>
      <c r="J236" s="1">
        <v>3</v>
      </c>
      <c r="K236" s="1">
        <v>2</v>
      </c>
      <c r="L236" s="1">
        <v>4</v>
      </c>
      <c r="M236" s="2" t="s">
        <v>8</v>
      </c>
      <c r="N236" s="2" t="s">
        <v>407</v>
      </c>
      <c r="O236" s="2">
        <f t="shared" si="166"/>
        <v>2662</v>
      </c>
      <c r="P236" s="2" t="s">
        <v>56</v>
      </c>
      <c r="Q236" s="2" t="str">
        <f t="shared" si="148"/>
        <v>2197,2600</v>
      </c>
      <c r="R236" s="2">
        <f t="shared" si="167"/>
        <v>2197</v>
      </c>
      <c r="S236" s="2">
        <f t="shared" si="163"/>
        <v>2600</v>
      </c>
      <c r="T236" s="2" t="s">
        <v>57</v>
      </c>
      <c r="U236" s="2" t="str">
        <f t="shared" si="149"/>
        <v>173,200</v>
      </c>
      <c r="V236" s="2">
        <f t="shared" si="168"/>
        <v>173</v>
      </c>
      <c r="W236" s="2">
        <f t="shared" si="164"/>
        <v>200</v>
      </c>
      <c r="X236" s="2" t="s">
        <v>58</v>
      </c>
      <c r="Y236" s="2" t="str">
        <f t="shared" si="150"/>
        <v>176,200</v>
      </c>
      <c r="Z236" s="2">
        <f t="shared" si="169"/>
        <v>176</v>
      </c>
      <c r="AA236" s="2">
        <f t="shared" si="165"/>
        <v>200</v>
      </c>
      <c r="AB236" s="2">
        <v>95000</v>
      </c>
      <c r="AC236" s="2" t="e">
        <f>_xlfn.XLOOKUP($B236, '#참조'!$M:$M, '#참조'!$N:$N)</f>
        <v>#N/A</v>
      </c>
      <c r="AD236" s="2" t="e">
        <f t="shared" si="176"/>
        <v>#N/A</v>
      </c>
      <c r="AE236" s="2">
        <f t="shared" si="151"/>
        <v>0</v>
      </c>
    </row>
    <row r="237" spans="1:31" x14ac:dyDescent="0.2">
      <c r="A237" s="2">
        <f t="shared" si="143"/>
        <v>10432005</v>
      </c>
      <c r="B237" s="1">
        <v>10000432</v>
      </c>
      <c r="C237" s="1" t="s">
        <v>281</v>
      </c>
      <c r="D237" s="1" t="s">
        <v>309</v>
      </c>
      <c r="E237" s="1" t="str">
        <f>"Persona_"&amp;_xlfn.XLOOKUP($B237, '#캐릭터'!$A:$A, '#캐릭터'!$C:$C)</f>
        <v>Persona_c432</v>
      </c>
      <c r="F237" s="1"/>
      <c r="G237" s="1">
        <f>_xlfn.XLOOKUP(_xlfn.XLOOKUP(B237,'[1]Detail&lt;Child&gt;'!$A:$A,'[1]Detail&lt;Child&gt;'!$N:$N),'#참조'!P:P,'#참조'!Q:Q)</f>
        <v>5</v>
      </c>
      <c r="H237" s="1">
        <f>_xlfn.XLOOKUP(_xlfn.XLOOKUP(B237,'[1]Detail&lt;Child&gt;'!$A:$A,'[1]Detail&lt;Child&gt;'!$O:$O),'#참조'!R:R,'#참조'!S:S)</f>
        <v>1</v>
      </c>
      <c r="I237" s="1">
        <v>0</v>
      </c>
      <c r="J237" s="1">
        <v>3</v>
      </c>
      <c r="K237" s="1">
        <v>2</v>
      </c>
      <c r="L237" s="1">
        <v>5</v>
      </c>
      <c r="M237" s="2" t="s">
        <v>9</v>
      </c>
      <c r="N237" s="2" t="s">
        <v>407</v>
      </c>
      <c r="O237" s="2">
        <f t="shared" si="166"/>
        <v>2928</v>
      </c>
      <c r="P237" s="2" t="s">
        <v>56</v>
      </c>
      <c r="Q237" s="2" t="str">
        <f t="shared" si="148"/>
        <v>2856,3400</v>
      </c>
      <c r="R237" s="2">
        <f t="shared" si="167"/>
        <v>2856</v>
      </c>
      <c r="S237" s="2">
        <f t="shared" si="163"/>
        <v>3400</v>
      </c>
      <c r="T237" s="2" t="s">
        <v>57</v>
      </c>
      <c r="U237" s="2" t="str">
        <f t="shared" si="149"/>
        <v>208,200</v>
      </c>
      <c r="V237" s="2">
        <f t="shared" si="168"/>
        <v>208</v>
      </c>
      <c r="W237" s="2">
        <f t="shared" si="164"/>
        <v>200</v>
      </c>
      <c r="X237" s="2" t="s">
        <v>58</v>
      </c>
      <c r="Y237" s="2" t="str">
        <f t="shared" si="150"/>
        <v>229,300</v>
      </c>
      <c r="Z237" s="2">
        <f t="shared" si="169"/>
        <v>229</v>
      </c>
      <c r="AA237" s="2">
        <f t="shared" si="165"/>
        <v>300</v>
      </c>
      <c r="AB237" s="2">
        <v>95000</v>
      </c>
      <c r="AC237" s="2" t="e">
        <f>_xlfn.XLOOKUP($B237, '#참조'!$M:$M, '#참조'!$N:$N)</f>
        <v>#N/A</v>
      </c>
      <c r="AD237" s="2" t="e">
        <f t="shared" si="176"/>
        <v>#N/A</v>
      </c>
      <c r="AE237" s="2">
        <f t="shared" si="151"/>
        <v>0</v>
      </c>
    </row>
    <row r="238" spans="1:31" x14ac:dyDescent="0.2">
      <c r="A238" s="2">
        <f t="shared" si="143"/>
        <v>10432006</v>
      </c>
      <c r="B238" s="1">
        <v>10000432</v>
      </c>
      <c r="C238" s="1" t="s">
        <v>281</v>
      </c>
      <c r="D238" s="1" t="s">
        <v>309</v>
      </c>
      <c r="E238" s="1" t="str">
        <f>"Persona_"&amp;_xlfn.XLOOKUP($B238, '#캐릭터'!$A:$A, '#캐릭터'!$C:$C)</f>
        <v>Persona_c432</v>
      </c>
      <c r="F238" s="1"/>
      <c r="G238" s="1">
        <f>_xlfn.XLOOKUP(_xlfn.XLOOKUP(B238,'[1]Detail&lt;Child&gt;'!$A:$A,'[1]Detail&lt;Child&gt;'!$N:$N),'#참조'!P:P,'#참조'!Q:Q)</f>
        <v>5</v>
      </c>
      <c r="H238" s="1">
        <f>_xlfn.XLOOKUP(_xlfn.XLOOKUP(B238,'[1]Detail&lt;Child&gt;'!$A:$A,'[1]Detail&lt;Child&gt;'!$O:$O),'#참조'!R:R,'#참조'!S:S)</f>
        <v>1</v>
      </c>
      <c r="I238" s="1">
        <v>0</v>
      </c>
      <c r="J238" s="1">
        <v>3</v>
      </c>
      <c r="K238" s="1">
        <v>2</v>
      </c>
      <c r="L238" s="1">
        <v>6</v>
      </c>
      <c r="M238" s="2" t="s">
        <v>10</v>
      </c>
      <c r="N238" s="2" t="s">
        <v>407</v>
      </c>
      <c r="O238" s="2">
        <f t="shared" si="166"/>
        <v>3221</v>
      </c>
      <c r="P238" s="2" t="s">
        <v>56</v>
      </c>
      <c r="Q238" s="2" t="str">
        <f t="shared" si="148"/>
        <v>3713,4500</v>
      </c>
      <c r="R238" s="2">
        <f t="shared" si="167"/>
        <v>3713</v>
      </c>
      <c r="S238" s="2">
        <f t="shared" si="163"/>
        <v>4500</v>
      </c>
      <c r="T238" s="2" t="s">
        <v>57</v>
      </c>
      <c r="U238" s="2" t="str">
        <f t="shared" si="149"/>
        <v>250,300</v>
      </c>
      <c r="V238" s="2">
        <f t="shared" si="168"/>
        <v>250</v>
      </c>
      <c r="W238" s="2">
        <f t="shared" si="164"/>
        <v>300</v>
      </c>
      <c r="X238" s="2" t="s">
        <v>58</v>
      </c>
      <c r="Y238" s="2" t="str">
        <f t="shared" si="150"/>
        <v>298,400</v>
      </c>
      <c r="Z238" s="2">
        <f t="shared" si="169"/>
        <v>298</v>
      </c>
      <c r="AA238" s="2">
        <f t="shared" si="165"/>
        <v>400</v>
      </c>
      <c r="AB238" s="2">
        <v>95000</v>
      </c>
      <c r="AC238" s="2" t="e">
        <f>_xlfn.XLOOKUP($B238, '#참조'!$M:$M, '#참조'!$N:$N)</f>
        <v>#N/A</v>
      </c>
      <c r="AD238" s="2" t="e">
        <f t="shared" si="176"/>
        <v>#N/A</v>
      </c>
      <c r="AE238" s="2">
        <f t="shared" si="151"/>
        <v>0</v>
      </c>
    </row>
    <row r="239" spans="1:31" x14ac:dyDescent="0.2">
      <c r="A239" s="2">
        <f t="shared" si="143"/>
        <v>10432007</v>
      </c>
      <c r="B239" s="1">
        <v>10000432</v>
      </c>
      <c r="C239" s="1" t="s">
        <v>281</v>
      </c>
      <c r="D239" s="1" t="s">
        <v>309</v>
      </c>
      <c r="E239" s="1" t="str">
        <f>"Persona_"&amp;_xlfn.XLOOKUP($B239, '#캐릭터'!$A:$A, '#캐릭터'!$C:$C)</f>
        <v>Persona_c432</v>
      </c>
      <c r="F239" s="1"/>
      <c r="G239" s="1">
        <f>_xlfn.XLOOKUP(_xlfn.XLOOKUP(B239,'[1]Detail&lt;Child&gt;'!$A:$A,'[1]Detail&lt;Child&gt;'!$N:$N),'#참조'!P:P,'#참조'!Q:Q)</f>
        <v>5</v>
      </c>
      <c r="H239" s="1">
        <f>_xlfn.XLOOKUP(_xlfn.XLOOKUP(B239,'[1]Detail&lt;Child&gt;'!$A:$A,'[1]Detail&lt;Child&gt;'!$O:$O),'#참조'!R:R,'#참조'!S:S)</f>
        <v>1</v>
      </c>
      <c r="I239" s="1">
        <v>1</v>
      </c>
      <c r="J239" s="1">
        <v>3</v>
      </c>
      <c r="K239" s="1">
        <v>3</v>
      </c>
      <c r="L239" s="1">
        <v>7</v>
      </c>
      <c r="M239" s="2" t="s">
        <v>11</v>
      </c>
      <c r="N239" s="2" t="s">
        <v>407</v>
      </c>
      <c r="O239" s="2">
        <f t="shared" si="166"/>
        <v>3543</v>
      </c>
      <c r="P239" s="2" t="s">
        <v>56</v>
      </c>
      <c r="Q239" s="2" t="str">
        <f t="shared" si="148"/>
        <v>4827,5800</v>
      </c>
      <c r="R239" s="2">
        <f t="shared" si="167"/>
        <v>4827</v>
      </c>
      <c r="S239" s="2">
        <f t="shared" si="163"/>
        <v>5800</v>
      </c>
      <c r="T239" s="2" t="s">
        <v>57</v>
      </c>
      <c r="U239" s="2" t="str">
        <f t="shared" si="149"/>
        <v>300,400</v>
      </c>
      <c r="V239" s="2">
        <f t="shared" si="168"/>
        <v>300</v>
      </c>
      <c r="W239" s="2">
        <f t="shared" si="164"/>
        <v>400</v>
      </c>
      <c r="X239" s="2" t="s">
        <v>58</v>
      </c>
      <c r="Y239" s="2" t="str">
        <f t="shared" si="150"/>
        <v>387,500</v>
      </c>
      <c r="Z239" s="2">
        <f t="shared" si="169"/>
        <v>387</v>
      </c>
      <c r="AA239" s="2">
        <f t="shared" si="165"/>
        <v>500</v>
      </c>
      <c r="AB239" s="2">
        <v>90000</v>
      </c>
      <c r="AC239" s="2" t="e">
        <f>_xlfn.XLOOKUP($B239, '#참조'!$M:$M, '#참조'!$N:$N)</f>
        <v>#N/A</v>
      </c>
      <c r="AD239" s="2" t="e">
        <f t="shared" si="176"/>
        <v>#N/A</v>
      </c>
      <c r="AE239" s="2">
        <f t="shared" si="151"/>
        <v>5101</v>
      </c>
    </row>
    <row r="240" spans="1:31" x14ac:dyDescent="0.2">
      <c r="A240" s="2">
        <f t="shared" si="143"/>
        <v>10432008</v>
      </c>
      <c r="B240" s="1">
        <v>10000432</v>
      </c>
      <c r="C240" s="1" t="s">
        <v>281</v>
      </c>
      <c r="D240" s="1" t="s">
        <v>309</v>
      </c>
      <c r="E240" s="1" t="str">
        <f>"Persona_"&amp;_xlfn.XLOOKUP($B240, '#캐릭터'!$A:$A, '#캐릭터'!$C:$C)</f>
        <v>Persona_c432</v>
      </c>
      <c r="F240" s="1"/>
      <c r="G240" s="1">
        <f>_xlfn.XLOOKUP(_xlfn.XLOOKUP(B240,'[1]Detail&lt;Child&gt;'!$A:$A,'[1]Detail&lt;Child&gt;'!$N:$N),'#참조'!P:P,'#참조'!Q:Q)</f>
        <v>5</v>
      </c>
      <c r="H240" s="1">
        <f>_xlfn.XLOOKUP(_xlfn.XLOOKUP(B240,'[1]Detail&lt;Child&gt;'!$A:$A,'[1]Detail&lt;Child&gt;'!$O:$O),'#참조'!R:R,'#참조'!S:S)</f>
        <v>1</v>
      </c>
      <c r="I240" s="1">
        <v>1</v>
      </c>
      <c r="J240" s="1">
        <v>3</v>
      </c>
      <c r="K240" s="1">
        <v>3</v>
      </c>
      <c r="L240" s="1">
        <v>8</v>
      </c>
      <c r="M240" s="2" t="s">
        <v>12</v>
      </c>
      <c r="N240" s="2" t="s">
        <v>407</v>
      </c>
      <c r="O240" s="2">
        <f t="shared" si="166"/>
        <v>3897</v>
      </c>
      <c r="P240" s="2" t="s">
        <v>56</v>
      </c>
      <c r="Q240" s="2" t="str">
        <f t="shared" si="148"/>
        <v>6275,7500</v>
      </c>
      <c r="R240" s="2">
        <f t="shared" si="167"/>
        <v>6275</v>
      </c>
      <c r="S240" s="2">
        <f t="shared" si="163"/>
        <v>7500</v>
      </c>
      <c r="T240" s="2" t="s">
        <v>57</v>
      </c>
      <c r="U240" s="2" t="str">
        <f t="shared" si="149"/>
        <v>360,400</v>
      </c>
      <c r="V240" s="2">
        <f t="shared" si="168"/>
        <v>360</v>
      </c>
      <c r="W240" s="2">
        <f t="shared" si="164"/>
        <v>400</v>
      </c>
      <c r="X240" s="2" t="s">
        <v>58</v>
      </c>
      <c r="Y240" s="2" t="str">
        <f t="shared" si="150"/>
        <v>503,600</v>
      </c>
      <c r="Z240" s="2">
        <f t="shared" si="169"/>
        <v>503</v>
      </c>
      <c r="AA240" s="2">
        <f t="shared" si="165"/>
        <v>600</v>
      </c>
      <c r="AB240" s="2">
        <v>90000</v>
      </c>
      <c r="AC240" s="2" t="e">
        <f>_xlfn.XLOOKUP($B240, '#참조'!$M:$M, '#참조'!$N:$N)</f>
        <v>#N/A</v>
      </c>
      <c r="AD240" s="2" t="e">
        <f t="shared" si="176"/>
        <v>#N/A</v>
      </c>
      <c r="AE240" s="2">
        <f t="shared" si="151"/>
        <v>5101</v>
      </c>
    </row>
    <row r="241" spans="1:31" x14ac:dyDescent="0.2">
      <c r="A241" s="2">
        <f t="shared" si="143"/>
        <v>10432009</v>
      </c>
      <c r="B241" s="1">
        <v>10000432</v>
      </c>
      <c r="C241" s="1" t="s">
        <v>281</v>
      </c>
      <c r="D241" s="1" t="s">
        <v>309</v>
      </c>
      <c r="E241" s="1" t="str">
        <f>"Persona_"&amp;_xlfn.XLOOKUP($B241, '#캐릭터'!$A:$A, '#캐릭터'!$C:$C)</f>
        <v>Persona_c432</v>
      </c>
      <c r="F241" s="1"/>
      <c r="G241" s="1">
        <f>_xlfn.XLOOKUP(_xlfn.XLOOKUP(B241,'[1]Detail&lt;Child&gt;'!$A:$A,'[1]Detail&lt;Child&gt;'!$N:$N),'#참조'!P:P,'#참조'!Q:Q)</f>
        <v>5</v>
      </c>
      <c r="H241" s="1">
        <f>_xlfn.XLOOKUP(_xlfn.XLOOKUP(B241,'[1]Detail&lt;Child&gt;'!$A:$A,'[1]Detail&lt;Child&gt;'!$O:$O),'#참조'!R:R,'#참조'!S:S)</f>
        <v>1</v>
      </c>
      <c r="I241" s="1">
        <v>2</v>
      </c>
      <c r="J241" s="1">
        <v>3</v>
      </c>
      <c r="K241" s="1">
        <v>3</v>
      </c>
      <c r="L241" s="1">
        <v>9</v>
      </c>
      <c r="M241" s="2" t="s">
        <v>13</v>
      </c>
      <c r="N241" s="2" t="s">
        <v>407</v>
      </c>
      <c r="O241" s="2">
        <f t="shared" si="166"/>
        <v>4287</v>
      </c>
      <c r="P241" s="2" t="s">
        <v>56</v>
      </c>
      <c r="Q241" s="2" t="str">
        <f t="shared" si="148"/>
        <v>8158,9800</v>
      </c>
      <c r="R241" s="2">
        <f t="shared" si="167"/>
        <v>8158</v>
      </c>
      <c r="S241" s="2">
        <f t="shared" si="163"/>
        <v>9800</v>
      </c>
      <c r="T241" s="2" t="s">
        <v>57</v>
      </c>
      <c r="U241" s="2" t="str">
        <f t="shared" si="149"/>
        <v>432,500</v>
      </c>
      <c r="V241" s="2">
        <f t="shared" si="168"/>
        <v>432</v>
      </c>
      <c r="W241" s="2">
        <f t="shared" si="164"/>
        <v>500</v>
      </c>
      <c r="X241" s="2" t="s">
        <v>58</v>
      </c>
      <c r="Y241" s="2" t="str">
        <f t="shared" si="150"/>
        <v>654,800</v>
      </c>
      <c r="Z241" s="2">
        <f t="shared" si="169"/>
        <v>654</v>
      </c>
      <c r="AA241" s="2">
        <f t="shared" si="165"/>
        <v>800</v>
      </c>
      <c r="AB241" s="2">
        <v>90000</v>
      </c>
      <c r="AC241" s="2" t="e">
        <f>_xlfn.XLOOKUP($B241, '#참조'!$M:$M, '#참조'!$N:$N)</f>
        <v>#N/A</v>
      </c>
      <c r="AD241" s="2" t="e">
        <f t="shared" si="176"/>
        <v>#N/A</v>
      </c>
      <c r="AE241" s="2">
        <f t="shared" si="151"/>
        <v>5102</v>
      </c>
    </row>
    <row r="242" spans="1:31" x14ac:dyDescent="0.2">
      <c r="A242" s="2">
        <f t="shared" si="143"/>
        <v>10432010</v>
      </c>
      <c r="B242" s="1">
        <v>10000432</v>
      </c>
      <c r="C242" s="1" t="s">
        <v>281</v>
      </c>
      <c r="D242" s="1" t="s">
        <v>309</v>
      </c>
      <c r="E242" s="1" t="str">
        <f>"Persona_"&amp;_xlfn.XLOOKUP($B242, '#캐릭터'!$A:$A, '#캐릭터'!$C:$C)</f>
        <v>Persona_c432</v>
      </c>
      <c r="F242" s="1"/>
      <c r="G242" s="1">
        <f>_xlfn.XLOOKUP(_xlfn.XLOOKUP(B242,'[1]Detail&lt;Child&gt;'!$A:$A,'[1]Detail&lt;Child&gt;'!$N:$N),'#참조'!P:P,'#참조'!Q:Q)</f>
        <v>5</v>
      </c>
      <c r="H242" s="1">
        <f>_xlfn.XLOOKUP(_xlfn.XLOOKUP(B242,'[1]Detail&lt;Child&gt;'!$A:$A,'[1]Detail&lt;Child&gt;'!$O:$O),'#참조'!R:R,'#참조'!S:S)</f>
        <v>1</v>
      </c>
      <c r="I242" s="1">
        <v>2</v>
      </c>
      <c r="J242" s="1">
        <v>3</v>
      </c>
      <c r="K242" s="1">
        <v>4</v>
      </c>
      <c r="L242" s="1">
        <v>10</v>
      </c>
      <c r="M242" s="2" t="s">
        <v>14</v>
      </c>
      <c r="N242" s="2" t="s">
        <v>407</v>
      </c>
      <c r="O242" s="2">
        <f t="shared" si="166"/>
        <v>4716</v>
      </c>
      <c r="P242" s="2" t="s">
        <v>56</v>
      </c>
      <c r="Q242" s="2" t="str">
        <f t="shared" si="148"/>
        <v>10605,12700</v>
      </c>
      <c r="R242" s="2">
        <f t="shared" si="167"/>
        <v>10605</v>
      </c>
      <c r="S242" s="2">
        <f t="shared" si="163"/>
        <v>12700</v>
      </c>
      <c r="T242" s="2" t="s">
        <v>57</v>
      </c>
      <c r="U242" s="2" t="str">
        <f t="shared" si="149"/>
        <v>518,600</v>
      </c>
      <c r="V242" s="2">
        <f t="shared" si="168"/>
        <v>518</v>
      </c>
      <c r="W242" s="2">
        <f t="shared" si="164"/>
        <v>600</v>
      </c>
      <c r="X242" s="2" t="s">
        <v>58</v>
      </c>
      <c r="Y242" s="2" t="str">
        <f t="shared" si="150"/>
        <v>850,1000</v>
      </c>
      <c r="Z242" s="2">
        <f t="shared" si="169"/>
        <v>850</v>
      </c>
      <c r="AA242" s="2">
        <f t="shared" si="165"/>
        <v>1000</v>
      </c>
      <c r="AB242" s="2">
        <v>85000</v>
      </c>
      <c r="AC242" s="2" t="e">
        <f>_xlfn.XLOOKUP($B242, '#참조'!$M:$M, '#참조'!$N:$N)</f>
        <v>#N/A</v>
      </c>
      <c r="AD242" s="2" t="e">
        <f t="shared" si="176"/>
        <v>#N/A</v>
      </c>
      <c r="AE242" s="2">
        <f t="shared" si="151"/>
        <v>5102</v>
      </c>
    </row>
    <row r="243" spans="1:31" x14ac:dyDescent="0.2">
      <c r="A243" s="2">
        <f t="shared" si="143"/>
        <v>10432011</v>
      </c>
      <c r="B243" s="1">
        <v>10000432</v>
      </c>
      <c r="C243" s="1" t="s">
        <v>281</v>
      </c>
      <c r="D243" s="1" t="s">
        <v>309</v>
      </c>
      <c r="E243" s="1" t="str">
        <f>"Persona_"&amp;_xlfn.XLOOKUP($B243, '#캐릭터'!$A:$A, '#캐릭터'!$C:$C)</f>
        <v>Persona_c432</v>
      </c>
      <c r="F243" s="1"/>
      <c r="G243" s="1">
        <f>_xlfn.XLOOKUP(_xlfn.XLOOKUP(B243,'[1]Detail&lt;Child&gt;'!$A:$A,'[1]Detail&lt;Child&gt;'!$N:$N),'#참조'!P:P,'#참조'!Q:Q)</f>
        <v>5</v>
      </c>
      <c r="H243" s="1">
        <f>_xlfn.XLOOKUP(_xlfn.XLOOKUP(B243,'[1]Detail&lt;Child&gt;'!$A:$A,'[1]Detail&lt;Child&gt;'!$O:$O),'#참조'!R:R,'#참조'!S:S)</f>
        <v>1</v>
      </c>
      <c r="I243" s="1">
        <v>3</v>
      </c>
      <c r="J243" s="1">
        <v>3</v>
      </c>
      <c r="K243" s="1">
        <v>4</v>
      </c>
      <c r="L243" s="1">
        <v>11</v>
      </c>
      <c r="M243" s="2" t="s">
        <v>15</v>
      </c>
      <c r="N243" s="2" t="s">
        <v>407</v>
      </c>
      <c r="O243" s="2">
        <f t="shared" si="166"/>
        <v>5188</v>
      </c>
      <c r="P243" s="2" t="s">
        <v>56</v>
      </c>
      <c r="Q243" s="2" t="str">
        <f t="shared" si="148"/>
        <v>13787,16500</v>
      </c>
      <c r="R243" s="2">
        <f t="shared" si="167"/>
        <v>13787</v>
      </c>
      <c r="S243" s="2">
        <f t="shared" si="163"/>
        <v>16500</v>
      </c>
      <c r="T243" s="2" t="s">
        <v>57</v>
      </c>
      <c r="U243" s="2" t="str">
        <f t="shared" si="149"/>
        <v>622,700</v>
      </c>
      <c r="V243" s="2">
        <f t="shared" si="168"/>
        <v>622</v>
      </c>
      <c r="W243" s="2">
        <f t="shared" si="164"/>
        <v>700</v>
      </c>
      <c r="X243" s="2" t="s">
        <v>58</v>
      </c>
      <c r="Y243" s="2" t="str">
        <f t="shared" si="150"/>
        <v>1105,1300</v>
      </c>
      <c r="Z243" s="2">
        <f t="shared" si="169"/>
        <v>1105</v>
      </c>
      <c r="AA243" s="2">
        <f t="shared" si="165"/>
        <v>1300</v>
      </c>
      <c r="AB243" s="2">
        <v>85000</v>
      </c>
      <c r="AC243" s="2" t="e">
        <f>_xlfn.XLOOKUP($B243, '#참조'!$M:$M, '#참조'!$N:$N)</f>
        <v>#N/A</v>
      </c>
      <c r="AD243" s="2" t="e">
        <f t="shared" si="176"/>
        <v>#N/A</v>
      </c>
      <c r="AE243" s="2">
        <f t="shared" si="151"/>
        <v>5103</v>
      </c>
    </row>
    <row r="244" spans="1:31" x14ac:dyDescent="0.2">
      <c r="A244" s="2">
        <f t="shared" si="143"/>
        <v>10432012</v>
      </c>
      <c r="B244" s="1">
        <v>10000432</v>
      </c>
      <c r="C244" s="1" t="s">
        <v>281</v>
      </c>
      <c r="D244" s="1" t="s">
        <v>309</v>
      </c>
      <c r="E244" s="1" t="str">
        <f>"Persona_"&amp;_xlfn.XLOOKUP($B244, '#캐릭터'!$A:$A, '#캐릭터'!$C:$C)</f>
        <v>Persona_c432</v>
      </c>
      <c r="F244" s="1"/>
      <c r="G244" s="1">
        <f>_xlfn.XLOOKUP(_xlfn.XLOOKUP(B244,'[1]Detail&lt;Child&gt;'!$A:$A,'[1]Detail&lt;Child&gt;'!$N:$N),'#참조'!P:P,'#참조'!Q:Q)</f>
        <v>5</v>
      </c>
      <c r="H244" s="1">
        <f>_xlfn.XLOOKUP(_xlfn.XLOOKUP(B244,'[1]Detail&lt;Child&gt;'!$A:$A,'[1]Detail&lt;Child&gt;'!$O:$O),'#참조'!R:R,'#참조'!S:S)</f>
        <v>1</v>
      </c>
      <c r="I244" s="1">
        <v>3</v>
      </c>
      <c r="J244" s="1">
        <v>3</v>
      </c>
      <c r="K244" s="1">
        <v>4</v>
      </c>
      <c r="L244" s="1">
        <v>12</v>
      </c>
      <c r="M244" s="2" t="s">
        <v>16</v>
      </c>
      <c r="N244" s="2" t="s">
        <v>407</v>
      </c>
      <c r="O244" s="2">
        <f t="shared" si="166"/>
        <v>5707</v>
      </c>
      <c r="P244" s="2" t="s">
        <v>56</v>
      </c>
      <c r="Q244" s="2" t="str">
        <f t="shared" si="148"/>
        <v>17923,21500</v>
      </c>
      <c r="R244" s="2">
        <f t="shared" si="167"/>
        <v>17923</v>
      </c>
      <c r="S244" s="2">
        <f t="shared" si="163"/>
        <v>21500</v>
      </c>
      <c r="T244" s="2" t="s">
        <v>57</v>
      </c>
      <c r="U244" s="2" t="str">
        <f t="shared" si="149"/>
        <v>746,900</v>
      </c>
      <c r="V244" s="2">
        <f t="shared" si="168"/>
        <v>746</v>
      </c>
      <c r="W244" s="2">
        <f t="shared" si="164"/>
        <v>900</v>
      </c>
      <c r="X244" s="2" t="s">
        <v>58</v>
      </c>
      <c r="Y244" s="2" t="str">
        <f t="shared" si="150"/>
        <v>1437,1700</v>
      </c>
      <c r="Z244" s="2">
        <f t="shared" si="169"/>
        <v>1437</v>
      </c>
      <c r="AA244" s="2">
        <f t="shared" si="165"/>
        <v>1700</v>
      </c>
      <c r="AB244" s="2">
        <v>85000</v>
      </c>
      <c r="AC244" s="2" t="e">
        <f>_xlfn.XLOOKUP($B244, '#참조'!$M:$M, '#참조'!$N:$N)</f>
        <v>#N/A</v>
      </c>
      <c r="AD244" s="2" t="e">
        <f t="shared" si="176"/>
        <v>#N/A</v>
      </c>
      <c r="AE244" s="2">
        <f t="shared" si="151"/>
        <v>5103</v>
      </c>
    </row>
    <row r="245" spans="1:31" x14ac:dyDescent="0.2">
      <c r="A245" s="2">
        <f t="shared" si="143"/>
        <v>10432013</v>
      </c>
      <c r="B245" s="1">
        <v>10000432</v>
      </c>
      <c r="C245" s="1" t="s">
        <v>281</v>
      </c>
      <c r="D245" s="1" t="s">
        <v>309</v>
      </c>
      <c r="E245" s="1" t="str">
        <f>"Persona_"&amp;_xlfn.XLOOKUP($B245, '#캐릭터'!$A:$A, '#캐릭터'!$C:$C)</f>
        <v>Persona_c432</v>
      </c>
      <c r="F245" s="1"/>
      <c r="G245" s="1">
        <f>_xlfn.XLOOKUP(_xlfn.XLOOKUP(B245,'[1]Detail&lt;Child&gt;'!$A:$A,'[1]Detail&lt;Child&gt;'!$N:$N),'#참조'!P:P,'#참조'!Q:Q)</f>
        <v>5</v>
      </c>
      <c r="H245" s="1">
        <f>_xlfn.XLOOKUP(_xlfn.XLOOKUP(B245,'[1]Detail&lt;Child&gt;'!$A:$A,'[1]Detail&lt;Child&gt;'!$O:$O),'#참조'!R:R,'#참조'!S:S)</f>
        <v>1</v>
      </c>
      <c r="I245" s="1">
        <v>4</v>
      </c>
      <c r="J245" s="1">
        <v>3</v>
      </c>
      <c r="K245" s="1">
        <v>5</v>
      </c>
      <c r="L245" s="1">
        <v>13</v>
      </c>
      <c r="M245" s="2" t="s">
        <v>17</v>
      </c>
      <c r="N245" s="2" t="s">
        <v>407</v>
      </c>
      <c r="O245" s="2">
        <f t="shared" si="166"/>
        <v>6278</v>
      </c>
      <c r="P245" s="2" t="s">
        <v>56</v>
      </c>
      <c r="Q245" s="2" t="str">
        <f t="shared" si="148"/>
        <v>23300,28000</v>
      </c>
      <c r="R245" s="2">
        <f t="shared" si="167"/>
        <v>23300</v>
      </c>
      <c r="S245" s="2">
        <f t="shared" si="163"/>
        <v>28000</v>
      </c>
      <c r="T245" s="2" t="s">
        <v>57</v>
      </c>
      <c r="U245" s="2" t="str">
        <f t="shared" si="149"/>
        <v>895,1100</v>
      </c>
      <c r="V245" s="2">
        <f t="shared" si="168"/>
        <v>895</v>
      </c>
      <c r="W245" s="2">
        <f t="shared" si="164"/>
        <v>1100</v>
      </c>
      <c r="X245" s="2" t="s">
        <v>58</v>
      </c>
      <c r="Y245" s="2" t="str">
        <f t="shared" si="150"/>
        <v>1868,2200</v>
      </c>
      <c r="Z245" s="2">
        <f t="shared" si="169"/>
        <v>1868</v>
      </c>
      <c r="AA245" s="2">
        <f t="shared" si="165"/>
        <v>2200</v>
      </c>
      <c r="AB245" s="2">
        <v>80000</v>
      </c>
      <c r="AC245" s="2" t="e">
        <f>_xlfn.XLOOKUP($B245, '#참조'!$M:$M, '#참조'!$N:$N)</f>
        <v>#N/A</v>
      </c>
      <c r="AD245" s="2" t="e">
        <f t="shared" si="176"/>
        <v>#N/A</v>
      </c>
      <c r="AE245" s="2">
        <f t="shared" si="151"/>
        <v>5104</v>
      </c>
    </row>
    <row r="246" spans="1:31" x14ac:dyDescent="0.2">
      <c r="A246" s="2">
        <f t="shared" si="143"/>
        <v>10432014</v>
      </c>
      <c r="B246" s="1">
        <v>10000432</v>
      </c>
      <c r="C246" s="1" t="s">
        <v>281</v>
      </c>
      <c r="D246" s="1" t="s">
        <v>309</v>
      </c>
      <c r="E246" s="1" t="str">
        <f>"Persona_"&amp;_xlfn.XLOOKUP($B246, '#캐릭터'!$A:$A, '#캐릭터'!$C:$C)</f>
        <v>Persona_c432</v>
      </c>
      <c r="F246" s="1"/>
      <c r="G246" s="1">
        <f>_xlfn.XLOOKUP(_xlfn.XLOOKUP(B246,'[1]Detail&lt;Child&gt;'!$A:$A,'[1]Detail&lt;Child&gt;'!$N:$N),'#참조'!P:P,'#참조'!Q:Q)</f>
        <v>5</v>
      </c>
      <c r="H246" s="1">
        <f>_xlfn.XLOOKUP(_xlfn.XLOOKUP(B246,'[1]Detail&lt;Child&gt;'!$A:$A,'[1]Detail&lt;Child&gt;'!$O:$O),'#참조'!R:R,'#참조'!S:S)</f>
        <v>1</v>
      </c>
      <c r="I246" s="1">
        <v>4</v>
      </c>
      <c r="J246" s="1">
        <v>3</v>
      </c>
      <c r="K246" s="1">
        <v>5</v>
      </c>
      <c r="L246" s="1">
        <v>14</v>
      </c>
      <c r="M246" s="2" t="s">
        <v>18</v>
      </c>
      <c r="N246" s="2" t="s">
        <v>407</v>
      </c>
      <c r="O246" s="2">
        <f t="shared" si="166"/>
        <v>6906</v>
      </c>
      <c r="P246" s="2" t="s">
        <v>56</v>
      </c>
      <c r="Q246" s="2" t="str">
        <f t="shared" si="148"/>
        <v>30290,36300</v>
      </c>
      <c r="R246" s="2">
        <f t="shared" si="167"/>
        <v>30290</v>
      </c>
      <c r="S246" s="2">
        <f t="shared" si="163"/>
        <v>36300</v>
      </c>
      <c r="T246" s="2" t="s">
        <v>57</v>
      </c>
      <c r="U246" s="2" t="str">
        <f t="shared" si="149"/>
        <v>1074,1300</v>
      </c>
      <c r="V246" s="2">
        <f t="shared" si="168"/>
        <v>1074</v>
      </c>
      <c r="W246" s="2">
        <f t="shared" si="164"/>
        <v>1300</v>
      </c>
      <c r="X246" s="2" t="s">
        <v>58</v>
      </c>
      <c r="Y246" s="2" t="str">
        <f t="shared" si="150"/>
        <v>2428,2900</v>
      </c>
      <c r="Z246" s="2">
        <f t="shared" si="169"/>
        <v>2428</v>
      </c>
      <c r="AA246" s="2">
        <f t="shared" si="165"/>
        <v>2900</v>
      </c>
      <c r="AB246" s="2">
        <v>80000</v>
      </c>
      <c r="AC246" s="2" t="e">
        <f>_xlfn.XLOOKUP($B246, '#참조'!$M:$M, '#참조'!$N:$N)</f>
        <v>#N/A</v>
      </c>
      <c r="AD246" s="2" t="e">
        <f t="shared" si="176"/>
        <v>#N/A</v>
      </c>
      <c r="AE246" s="2">
        <f t="shared" si="151"/>
        <v>5104</v>
      </c>
    </row>
    <row r="247" spans="1:31" x14ac:dyDescent="0.2">
      <c r="A247" s="2">
        <f t="shared" si="143"/>
        <v>10432015</v>
      </c>
      <c r="B247" s="1">
        <v>10000432</v>
      </c>
      <c r="C247" s="1" t="s">
        <v>281</v>
      </c>
      <c r="D247" s="1" t="s">
        <v>309</v>
      </c>
      <c r="E247" s="1" t="str">
        <f>"Persona_"&amp;_xlfn.XLOOKUP($B247, '#캐릭터'!$A:$A, '#캐릭터'!$C:$C)</f>
        <v>Persona_c432</v>
      </c>
      <c r="F247" s="1"/>
      <c r="G247" s="1">
        <f>_xlfn.XLOOKUP(_xlfn.XLOOKUP(B247,'[1]Detail&lt;Child&gt;'!$A:$A,'[1]Detail&lt;Child&gt;'!$N:$N),'#참조'!P:P,'#참조'!Q:Q)</f>
        <v>5</v>
      </c>
      <c r="H247" s="1">
        <f>_xlfn.XLOOKUP(_xlfn.XLOOKUP(B247,'[1]Detail&lt;Child&gt;'!$A:$A,'[1]Detail&lt;Child&gt;'!$O:$O),'#참조'!R:R,'#참조'!S:S)</f>
        <v>1</v>
      </c>
      <c r="I247" s="1">
        <v>5</v>
      </c>
      <c r="J247" s="1">
        <v>3</v>
      </c>
      <c r="K247" s="1">
        <v>5</v>
      </c>
      <c r="L247" s="1">
        <v>15</v>
      </c>
      <c r="M247" s="2" t="s">
        <v>19</v>
      </c>
      <c r="N247" s="2" t="s">
        <v>407</v>
      </c>
      <c r="O247" s="2">
        <f t="shared" si="166"/>
        <v>7597</v>
      </c>
      <c r="P247" s="2" t="s">
        <v>56</v>
      </c>
      <c r="Q247" s="2" t="str">
        <f t="shared" si="148"/>
        <v>39377,47300</v>
      </c>
      <c r="R247" s="2">
        <f t="shared" si="167"/>
        <v>39377</v>
      </c>
      <c r="S247" s="2">
        <f t="shared" si="163"/>
        <v>47300</v>
      </c>
      <c r="T247" s="2" t="s">
        <v>57</v>
      </c>
      <c r="U247" s="2" t="str">
        <f t="shared" si="149"/>
        <v>1289,1500</v>
      </c>
      <c r="V247" s="2">
        <f t="shared" si="168"/>
        <v>1289</v>
      </c>
      <c r="W247" s="2">
        <f t="shared" si="164"/>
        <v>1500</v>
      </c>
      <c r="X247" s="2" t="s">
        <v>58</v>
      </c>
      <c r="Y247" s="2" t="str">
        <f t="shared" si="150"/>
        <v>3156,3800</v>
      </c>
      <c r="Z247" s="2">
        <f t="shared" si="169"/>
        <v>3156</v>
      </c>
      <c r="AA247" s="2">
        <f t="shared" si="165"/>
        <v>3800</v>
      </c>
      <c r="AB247" s="2">
        <v>80000</v>
      </c>
      <c r="AC247" s="2" t="e">
        <f>_xlfn.XLOOKUP($B247, '#참조'!$M:$M, '#참조'!$N:$N)</f>
        <v>#N/A</v>
      </c>
      <c r="AD247" s="2" t="e">
        <f t="shared" si="176"/>
        <v>#N/A</v>
      </c>
      <c r="AE247" s="2">
        <f t="shared" si="151"/>
        <v>5105</v>
      </c>
    </row>
    <row r="248" spans="1:31" x14ac:dyDescent="0.2">
      <c r="A248" s="2">
        <f t="shared" si="143"/>
        <v>10432016</v>
      </c>
      <c r="B248" s="1">
        <v>10000432</v>
      </c>
      <c r="C248" s="1" t="s">
        <v>281</v>
      </c>
      <c r="D248" s="1" t="s">
        <v>309</v>
      </c>
      <c r="E248" s="1" t="str">
        <f>"Persona_"&amp;_xlfn.XLOOKUP($B248, '#캐릭터'!$A:$A, '#캐릭터'!$C:$C)</f>
        <v>Persona_c432</v>
      </c>
      <c r="F248" s="1"/>
      <c r="G248" s="1">
        <f>_xlfn.XLOOKUP(_xlfn.XLOOKUP(B248,'[1]Detail&lt;Child&gt;'!$A:$A,'[1]Detail&lt;Child&gt;'!$N:$N),'#참조'!P:P,'#참조'!Q:Q)</f>
        <v>5</v>
      </c>
      <c r="H248" s="1">
        <f>_xlfn.XLOOKUP(_xlfn.XLOOKUP(B248,'[1]Detail&lt;Child&gt;'!$A:$A,'[1]Detail&lt;Child&gt;'!$O:$O),'#참조'!R:R,'#참조'!S:S)</f>
        <v>1</v>
      </c>
      <c r="I248" s="1">
        <v>5</v>
      </c>
      <c r="J248" s="1">
        <v>3</v>
      </c>
      <c r="K248" s="1">
        <v>6</v>
      </c>
      <c r="L248" s="1">
        <v>16</v>
      </c>
      <c r="M248" s="2" t="s">
        <v>20</v>
      </c>
      <c r="N248" s="2" t="s">
        <v>407</v>
      </c>
      <c r="O248" s="2">
        <f t="shared" si="166"/>
        <v>8357</v>
      </c>
      <c r="P248" s="2" t="s">
        <v>56</v>
      </c>
      <c r="Q248" s="2" t="str">
        <f t="shared" si="148"/>
        <v>51190,61400</v>
      </c>
      <c r="R248" s="2">
        <f t="shared" si="167"/>
        <v>51190</v>
      </c>
      <c r="S248" s="2">
        <f t="shared" si="163"/>
        <v>61400</v>
      </c>
      <c r="T248" s="2" t="s">
        <v>57</v>
      </c>
      <c r="U248" s="2" t="str">
        <f t="shared" si="149"/>
        <v>1547,1900</v>
      </c>
      <c r="V248" s="2">
        <f t="shared" si="168"/>
        <v>1547</v>
      </c>
      <c r="W248" s="2">
        <f t="shared" si="164"/>
        <v>1900</v>
      </c>
      <c r="X248" s="2" t="s">
        <v>58</v>
      </c>
      <c r="Y248" s="2" t="str">
        <f t="shared" si="150"/>
        <v>4103,4900</v>
      </c>
      <c r="Z248" s="2">
        <f t="shared" si="169"/>
        <v>4103</v>
      </c>
      <c r="AA248" s="2">
        <f t="shared" si="165"/>
        <v>4900</v>
      </c>
      <c r="AB248" s="2">
        <v>75000</v>
      </c>
      <c r="AC248" s="2" t="e">
        <f>_xlfn.XLOOKUP($B248, '#참조'!$M:$M, '#참조'!$N:$N)</f>
        <v>#N/A</v>
      </c>
      <c r="AD248" s="2" t="e">
        <f t="shared" si="176"/>
        <v>#N/A</v>
      </c>
      <c r="AE248" s="2">
        <f t="shared" si="151"/>
        <v>5105</v>
      </c>
    </row>
    <row r="249" spans="1:31" x14ac:dyDescent="0.2">
      <c r="A249" s="2">
        <f t="shared" si="143"/>
        <v>10432017</v>
      </c>
      <c r="B249" s="1">
        <v>10000432</v>
      </c>
      <c r="C249" s="1" t="s">
        <v>281</v>
      </c>
      <c r="D249" s="1" t="s">
        <v>309</v>
      </c>
      <c r="E249" s="1" t="str">
        <f>"Persona_"&amp;_xlfn.XLOOKUP($B249, '#캐릭터'!$A:$A, '#캐릭터'!$C:$C)</f>
        <v>Persona_c432</v>
      </c>
      <c r="F249" s="1"/>
      <c r="G249" s="1">
        <f>_xlfn.XLOOKUP(_xlfn.XLOOKUP(B249,'[1]Detail&lt;Child&gt;'!$A:$A,'[1]Detail&lt;Child&gt;'!$N:$N),'#참조'!P:P,'#참조'!Q:Q)</f>
        <v>5</v>
      </c>
      <c r="H249" s="1">
        <f>_xlfn.XLOOKUP(_xlfn.XLOOKUP(B249,'[1]Detail&lt;Child&gt;'!$A:$A,'[1]Detail&lt;Child&gt;'!$O:$O),'#참조'!R:R,'#참조'!S:S)</f>
        <v>1</v>
      </c>
      <c r="I249" s="1">
        <v>6</v>
      </c>
      <c r="J249" s="1">
        <v>3</v>
      </c>
      <c r="K249" s="1">
        <v>6</v>
      </c>
      <c r="L249" s="1">
        <v>17</v>
      </c>
      <c r="M249" s="2" t="s">
        <v>21</v>
      </c>
      <c r="N249" s="2" t="s">
        <v>407</v>
      </c>
      <c r="O249" s="2">
        <f t="shared" si="166"/>
        <v>9193</v>
      </c>
      <c r="P249" s="2" t="s">
        <v>56</v>
      </c>
      <c r="Q249" s="2" t="str">
        <f t="shared" si="148"/>
        <v>66547,79900</v>
      </c>
      <c r="R249" s="2">
        <f t="shared" si="167"/>
        <v>66547</v>
      </c>
      <c r="S249" s="2">
        <f t="shared" si="163"/>
        <v>79900</v>
      </c>
      <c r="T249" s="2" t="s">
        <v>57</v>
      </c>
      <c r="U249" s="2" t="str">
        <f t="shared" si="149"/>
        <v>1856,2200</v>
      </c>
      <c r="V249" s="2">
        <f t="shared" si="168"/>
        <v>1856</v>
      </c>
      <c r="W249" s="2">
        <f t="shared" si="164"/>
        <v>2200</v>
      </c>
      <c r="X249" s="2" t="s">
        <v>58</v>
      </c>
      <c r="Y249" s="2" t="str">
        <f t="shared" si="150"/>
        <v>5334,6400</v>
      </c>
      <c r="Z249" s="2">
        <f t="shared" si="169"/>
        <v>5334</v>
      </c>
      <c r="AA249" s="2">
        <f t="shared" si="165"/>
        <v>6400</v>
      </c>
      <c r="AB249" s="2">
        <v>75000</v>
      </c>
      <c r="AC249" s="2" t="e">
        <f>_xlfn.XLOOKUP($B249, '#참조'!$M:$M, '#참조'!$N:$N)</f>
        <v>#N/A</v>
      </c>
      <c r="AD249" s="2" t="e">
        <f t="shared" si="176"/>
        <v>#N/A</v>
      </c>
      <c r="AE249" s="2">
        <f t="shared" si="151"/>
        <v>5106</v>
      </c>
    </row>
    <row r="250" spans="1:31" x14ac:dyDescent="0.2">
      <c r="A250" s="2">
        <f t="shared" si="143"/>
        <v>10432018</v>
      </c>
      <c r="B250" s="1">
        <v>10000432</v>
      </c>
      <c r="C250" s="1" t="s">
        <v>281</v>
      </c>
      <c r="D250" s="1" t="s">
        <v>309</v>
      </c>
      <c r="E250" s="1" t="str">
        <f>"Persona_"&amp;_xlfn.XLOOKUP($B250, '#캐릭터'!$A:$A, '#캐릭터'!$C:$C)</f>
        <v>Persona_c432</v>
      </c>
      <c r="F250" s="1"/>
      <c r="G250" s="1">
        <f>_xlfn.XLOOKUP(_xlfn.XLOOKUP(B250,'[1]Detail&lt;Child&gt;'!$A:$A,'[1]Detail&lt;Child&gt;'!$N:$N),'#참조'!P:P,'#참조'!Q:Q)</f>
        <v>5</v>
      </c>
      <c r="H250" s="1">
        <f>_xlfn.XLOOKUP(_xlfn.XLOOKUP(B250,'[1]Detail&lt;Child&gt;'!$A:$A,'[1]Detail&lt;Child&gt;'!$O:$O),'#참조'!R:R,'#참조'!S:S)</f>
        <v>1</v>
      </c>
      <c r="I250" s="1">
        <v>6</v>
      </c>
      <c r="J250" s="1">
        <v>3</v>
      </c>
      <c r="K250" s="1">
        <v>6</v>
      </c>
      <c r="L250" s="1">
        <v>18</v>
      </c>
      <c r="M250" s="2" t="s">
        <v>22</v>
      </c>
      <c r="N250" s="2" t="s">
        <v>407</v>
      </c>
      <c r="O250" s="2">
        <f t="shared" si="166"/>
        <v>10112</v>
      </c>
      <c r="P250" s="2" t="s">
        <v>56</v>
      </c>
      <c r="Q250" s="2" t="str">
        <f t="shared" si="148"/>
        <v>86511,103800</v>
      </c>
      <c r="R250" s="2">
        <f t="shared" si="167"/>
        <v>86511</v>
      </c>
      <c r="S250" s="2">
        <f t="shared" si="163"/>
        <v>103800</v>
      </c>
      <c r="T250" s="2" t="s">
        <v>57</v>
      </c>
      <c r="U250" s="2" t="str">
        <f t="shared" si="149"/>
        <v>2227,2700</v>
      </c>
      <c r="V250" s="2">
        <f t="shared" si="168"/>
        <v>2227</v>
      </c>
      <c r="W250" s="2">
        <f t="shared" si="164"/>
        <v>2700</v>
      </c>
      <c r="X250" s="2" t="s">
        <v>58</v>
      </c>
      <c r="Y250" s="2" t="str">
        <f t="shared" si="150"/>
        <v>6934,8300</v>
      </c>
      <c r="Z250" s="2">
        <f t="shared" si="169"/>
        <v>6934</v>
      </c>
      <c r="AA250" s="2">
        <f t="shared" si="165"/>
        <v>8300</v>
      </c>
      <c r="AB250" s="2">
        <v>75000</v>
      </c>
      <c r="AC250" s="2" t="e">
        <f>_xlfn.XLOOKUP($B250, '#참조'!$M:$M, '#참조'!$N:$N)</f>
        <v>#N/A</v>
      </c>
      <c r="AD250" s="2" t="e">
        <f t="shared" si="176"/>
        <v>#N/A</v>
      </c>
      <c r="AE250" s="2">
        <f t="shared" si="151"/>
        <v>5106</v>
      </c>
    </row>
    <row r="251" spans="1:31" x14ac:dyDescent="0.2">
      <c r="A251" s="2">
        <f t="shared" si="143"/>
        <v>10486000</v>
      </c>
      <c r="B251" s="1">
        <v>10000486</v>
      </c>
      <c r="C251" s="1" t="s">
        <v>281</v>
      </c>
      <c r="D251" s="1" t="s">
        <v>309</v>
      </c>
      <c r="E251" s="1" t="str">
        <f>"Persona_"&amp;_xlfn.XLOOKUP($B251, '#캐릭터'!$A:$A, '#캐릭터'!$C:$C)</f>
        <v>Persona_c486</v>
      </c>
      <c r="F251" s="1"/>
      <c r="G251" s="1">
        <f>_xlfn.XLOOKUP(_xlfn.XLOOKUP(B251,'[1]Detail&lt;Child&gt;'!$A:$A,'[1]Detail&lt;Child&gt;'!$N:$N),'#참조'!P:P,'#참조'!Q:Q)</f>
        <v>5</v>
      </c>
      <c r="H251" s="1">
        <f>_xlfn.XLOOKUP(_xlfn.XLOOKUP(B251,'[1]Detail&lt;Child&gt;'!$A:$A,'[1]Detail&lt;Child&gt;'!$O:$O),'#참조'!R:R,'#참조'!S:S)</f>
        <v>1</v>
      </c>
      <c r="I251" s="1">
        <v>0</v>
      </c>
      <c r="J251" s="1">
        <v>3</v>
      </c>
      <c r="K251" s="1">
        <v>0</v>
      </c>
      <c r="L251" s="1">
        <v>0</v>
      </c>
      <c r="M251" s="2" t="s">
        <v>2</v>
      </c>
      <c r="N251" s="2" t="s">
        <v>407</v>
      </c>
      <c r="O251" s="2">
        <v>0</v>
      </c>
      <c r="P251" s="2" t="s">
        <v>56</v>
      </c>
      <c r="Q251" s="2" t="str">
        <f t="shared" si="148"/>
        <v>1000,1000</v>
      </c>
      <c r="R251" s="2">
        <v>1000</v>
      </c>
      <c r="S251" s="2">
        <f t="shared" ref="S251" si="181">R251</f>
        <v>1000</v>
      </c>
      <c r="T251" s="2" t="s">
        <v>57</v>
      </c>
      <c r="U251" s="2" t="str">
        <f t="shared" si="149"/>
        <v>100,100</v>
      </c>
      <c r="V251" s="2">
        <v>100</v>
      </c>
      <c r="W251" s="2">
        <f t="shared" ref="W251" si="182">V251</f>
        <v>100</v>
      </c>
      <c r="X251" s="2" t="s">
        <v>58</v>
      </c>
      <c r="Y251" s="2" t="str">
        <f t="shared" si="150"/>
        <v>80,80</v>
      </c>
      <c r="Z251" s="2">
        <v>80</v>
      </c>
      <c r="AA251" s="2">
        <f t="shared" ref="AA251" si="183">Z251</f>
        <v>80</v>
      </c>
      <c r="AB251" s="2">
        <v>100000</v>
      </c>
      <c r="AE251" s="2">
        <f t="shared" si="151"/>
        <v>0</v>
      </c>
    </row>
    <row r="252" spans="1:31" x14ac:dyDescent="0.2">
      <c r="A252" s="2">
        <f t="shared" si="143"/>
        <v>10486001</v>
      </c>
      <c r="B252" s="1">
        <v>10000486</v>
      </c>
      <c r="C252" s="1" t="s">
        <v>281</v>
      </c>
      <c r="D252" s="1" t="s">
        <v>309</v>
      </c>
      <c r="E252" s="1" t="str">
        <f>"Persona_"&amp;_xlfn.XLOOKUP($B252, '#캐릭터'!$A:$A, '#캐릭터'!$C:$C)</f>
        <v>Persona_c486</v>
      </c>
      <c r="F252" s="1"/>
      <c r="G252" s="1">
        <f>_xlfn.XLOOKUP(_xlfn.XLOOKUP(B252,'[1]Detail&lt;Child&gt;'!$A:$A,'[1]Detail&lt;Child&gt;'!$N:$N),'#참조'!P:P,'#참조'!Q:Q)</f>
        <v>5</v>
      </c>
      <c r="H252" s="1">
        <f>_xlfn.XLOOKUP(_xlfn.XLOOKUP(B252,'[1]Detail&lt;Child&gt;'!$A:$A,'[1]Detail&lt;Child&gt;'!$O:$O),'#참조'!R:R,'#참조'!S:S)</f>
        <v>1</v>
      </c>
      <c r="I252" s="1">
        <v>0</v>
      </c>
      <c r="J252" s="1">
        <v>3</v>
      </c>
      <c r="K252" s="1">
        <v>1</v>
      </c>
      <c r="L252" s="1">
        <v>1</v>
      </c>
      <c r="M252" s="2" t="s">
        <v>5</v>
      </c>
      <c r="N252" s="2" t="s">
        <v>407</v>
      </c>
      <c r="O252" s="2">
        <v>2000</v>
      </c>
      <c r="P252" s="2" t="s">
        <v>56</v>
      </c>
      <c r="Q252" s="2" t="str">
        <f t="shared" si="148"/>
        <v>1000,1200</v>
      </c>
      <c r="R252" s="2">
        <v>1000</v>
      </c>
      <c r="S252" s="2">
        <f t="shared" ref="S252" si="184">ROUND(R252*1.2, -2)</f>
        <v>1200</v>
      </c>
      <c r="T252" s="2" t="s">
        <v>57</v>
      </c>
      <c r="U252" s="2" t="str">
        <f t="shared" si="149"/>
        <v>100,100</v>
      </c>
      <c r="V252" s="2">
        <v>100</v>
      </c>
      <c r="W252" s="2">
        <f t="shared" ref="W252" si="185">ROUND(V252*1.2, -2)</f>
        <v>100</v>
      </c>
      <c r="X252" s="2" t="s">
        <v>58</v>
      </c>
      <c r="Y252" s="2" t="str">
        <f t="shared" si="150"/>
        <v>80,100</v>
      </c>
      <c r="Z252" s="2">
        <v>80</v>
      </c>
      <c r="AA252" s="2">
        <f t="shared" ref="AA252" si="186">ROUND(Z252*1.2, -2)</f>
        <v>100</v>
      </c>
      <c r="AB252" s="2">
        <v>100000</v>
      </c>
      <c r="AC252" s="2" t="e">
        <f>_xlfn.XLOOKUP($B252, '#참조'!$M:$M, '#참조'!$N:$N)</f>
        <v>#N/A</v>
      </c>
      <c r="AD252" s="2" t="e">
        <f t="shared" ref="AD252:AD269" si="187">M252&amp;"_"&amp;AC252</f>
        <v>#N/A</v>
      </c>
      <c r="AE252" s="2">
        <f t="shared" si="151"/>
        <v>0</v>
      </c>
    </row>
    <row r="253" spans="1:31" x14ac:dyDescent="0.2">
      <c r="A253" s="2">
        <f t="shared" si="143"/>
        <v>10486002</v>
      </c>
      <c r="B253" s="1">
        <v>10000486</v>
      </c>
      <c r="C253" s="1" t="s">
        <v>281</v>
      </c>
      <c r="D253" s="1" t="s">
        <v>309</v>
      </c>
      <c r="E253" s="1" t="str">
        <f>"Persona_"&amp;_xlfn.XLOOKUP($B253, '#캐릭터'!$A:$A, '#캐릭터'!$C:$C)</f>
        <v>Persona_c486</v>
      </c>
      <c r="F253" s="1"/>
      <c r="G253" s="1">
        <f>_xlfn.XLOOKUP(_xlfn.XLOOKUP(B253,'[1]Detail&lt;Child&gt;'!$A:$A,'[1]Detail&lt;Child&gt;'!$N:$N),'#참조'!P:P,'#참조'!Q:Q)</f>
        <v>5</v>
      </c>
      <c r="H253" s="1">
        <f>_xlfn.XLOOKUP(_xlfn.XLOOKUP(B253,'[1]Detail&lt;Child&gt;'!$A:$A,'[1]Detail&lt;Child&gt;'!$O:$O),'#참조'!R:R,'#참조'!S:S)</f>
        <v>1</v>
      </c>
      <c r="I253" s="1">
        <v>0</v>
      </c>
      <c r="J253" s="1">
        <v>3</v>
      </c>
      <c r="K253" s="1">
        <v>1</v>
      </c>
      <c r="L253" s="1">
        <v>2</v>
      </c>
      <c r="M253" s="2" t="s">
        <v>6</v>
      </c>
      <c r="N253" s="2" t="s">
        <v>407</v>
      </c>
      <c r="O253" s="2">
        <f t="shared" ref="O253" si="188">ROUND(O252*1.1, 0)</f>
        <v>2200</v>
      </c>
      <c r="P253" s="2" t="s">
        <v>56</v>
      </c>
      <c r="Q253" s="2" t="str">
        <f t="shared" si="148"/>
        <v>1300,1600</v>
      </c>
      <c r="R253" s="2">
        <f t="shared" ref="R253" si="189">ROUND(R252*1.3, 0)</f>
        <v>1300</v>
      </c>
      <c r="S253" s="2">
        <f t="shared" si="163"/>
        <v>1600</v>
      </c>
      <c r="T253" s="2" t="s">
        <v>57</v>
      </c>
      <c r="U253" s="2" t="str">
        <f t="shared" si="149"/>
        <v>120,100</v>
      </c>
      <c r="V253" s="2">
        <f t="shared" ref="V253" si="190">ROUND(V252*1.2, 0)</f>
        <v>120</v>
      </c>
      <c r="W253" s="2">
        <f t="shared" si="164"/>
        <v>100</v>
      </c>
      <c r="X253" s="2" t="s">
        <v>58</v>
      </c>
      <c r="Y253" s="2" t="str">
        <f t="shared" si="150"/>
        <v>104,100</v>
      </c>
      <c r="Z253" s="2">
        <f t="shared" ref="Z253" si="191">ROUND(Z252*1.3, 0)</f>
        <v>104</v>
      </c>
      <c r="AA253" s="2">
        <f t="shared" si="165"/>
        <v>100</v>
      </c>
      <c r="AB253" s="2">
        <v>100000</v>
      </c>
      <c r="AC253" s="2" t="e">
        <f>_xlfn.XLOOKUP($B253, '#참조'!$M:$M, '#참조'!$N:$N)</f>
        <v>#N/A</v>
      </c>
      <c r="AD253" s="2" t="e">
        <f t="shared" si="187"/>
        <v>#N/A</v>
      </c>
      <c r="AE253" s="2">
        <f t="shared" si="151"/>
        <v>0</v>
      </c>
    </row>
    <row r="254" spans="1:31" x14ac:dyDescent="0.2">
      <c r="A254" s="2">
        <f t="shared" si="143"/>
        <v>10486003</v>
      </c>
      <c r="B254" s="1">
        <v>10000486</v>
      </c>
      <c r="C254" s="1" t="s">
        <v>281</v>
      </c>
      <c r="D254" s="1" t="s">
        <v>309</v>
      </c>
      <c r="E254" s="1" t="str">
        <f>"Persona_"&amp;_xlfn.XLOOKUP($B254, '#캐릭터'!$A:$A, '#캐릭터'!$C:$C)</f>
        <v>Persona_c486</v>
      </c>
      <c r="F254" s="1"/>
      <c r="G254" s="1">
        <f>_xlfn.XLOOKUP(_xlfn.XLOOKUP(B254,'[1]Detail&lt;Child&gt;'!$A:$A,'[1]Detail&lt;Child&gt;'!$N:$N),'#참조'!P:P,'#참조'!Q:Q)</f>
        <v>5</v>
      </c>
      <c r="H254" s="1">
        <f>_xlfn.XLOOKUP(_xlfn.XLOOKUP(B254,'[1]Detail&lt;Child&gt;'!$A:$A,'[1]Detail&lt;Child&gt;'!$O:$O),'#참조'!R:R,'#참조'!S:S)</f>
        <v>1</v>
      </c>
      <c r="I254" s="1">
        <v>0</v>
      </c>
      <c r="J254" s="1">
        <v>3</v>
      </c>
      <c r="K254" s="1">
        <v>1</v>
      </c>
      <c r="L254" s="1">
        <v>3</v>
      </c>
      <c r="M254" s="2" t="s">
        <v>7</v>
      </c>
      <c r="N254" s="2" t="s">
        <v>407</v>
      </c>
      <c r="O254" s="2">
        <f t="shared" si="166"/>
        <v>2420</v>
      </c>
      <c r="P254" s="2" t="s">
        <v>56</v>
      </c>
      <c r="Q254" s="2" t="str">
        <f t="shared" si="148"/>
        <v>1690,2000</v>
      </c>
      <c r="R254" s="2">
        <f t="shared" si="167"/>
        <v>1690</v>
      </c>
      <c r="S254" s="2">
        <f t="shared" si="163"/>
        <v>2000</v>
      </c>
      <c r="T254" s="2" t="s">
        <v>57</v>
      </c>
      <c r="U254" s="2" t="str">
        <f t="shared" si="149"/>
        <v>144,200</v>
      </c>
      <c r="V254" s="2">
        <f t="shared" si="168"/>
        <v>144</v>
      </c>
      <c r="W254" s="2">
        <f t="shared" si="164"/>
        <v>200</v>
      </c>
      <c r="X254" s="2" t="s">
        <v>58</v>
      </c>
      <c r="Y254" s="2" t="str">
        <f t="shared" si="150"/>
        <v>135,200</v>
      </c>
      <c r="Z254" s="2">
        <f t="shared" si="169"/>
        <v>135</v>
      </c>
      <c r="AA254" s="2">
        <f t="shared" si="165"/>
        <v>200</v>
      </c>
      <c r="AB254" s="2">
        <v>100000</v>
      </c>
      <c r="AC254" s="2" t="e">
        <f>_xlfn.XLOOKUP($B254, '#참조'!$M:$M, '#참조'!$N:$N)</f>
        <v>#N/A</v>
      </c>
      <c r="AD254" s="2" t="e">
        <f t="shared" si="187"/>
        <v>#N/A</v>
      </c>
      <c r="AE254" s="2">
        <f t="shared" si="151"/>
        <v>0</v>
      </c>
    </row>
    <row r="255" spans="1:31" x14ac:dyDescent="0.2">
      <c r="A255" s="2">
        <f t="shared" si="143"/>
        <v>10486004</v>
      </c>
      <c r="B255" s="1">
        <v>10000486</v>
      </c>
      <c r="C255" s="1" t="s">
        <v>281</v>
      </c>
      <c r="D255" s="1" t="s">
        <v>309</v>
      </c>
      <c r="E255" s="1" t="str">
        <f>"Persona_"&amp;_xlfn.XLOOKUP($B255, '#캐릭터'!$A:$A, '#캐릭터'!$C:$C)</f>
        <v>Persona_c486</v>
      </c>
      <c r="F255" s="1"/>
      <c r="G255" s="1">
        <f>_xlfn.XLOOKUP(_xlfn.XLOOKUP(B255,'[1]Detail&lt;Child&gt;'!$A:$A,'[1]Detail&lt;Child&gt;'!$N:$N),'#참조'!P:P,'#참조'!Q:Q)</f>
        <v>5</v>
      </c>
      <c r="H255" s="1">
        <f>_xlfn.XLOOKUP(_xlfn.XLOOKUP(B255,'[1]Detail&lt;Child&gt;'!$A:$A,'[1]Detail&lt;Child&gt;'!$O:$O),'#참조'!R:R,'#참조'!S:S)</f>
        <v>1</v>
      </c>
      <c r="I255" s="1">
        <v>0</v>
      </c>
      <c r="J255" s="1">
        <v>3</v>
      </c>
      <c r="K255" s="1">
        <v>2</v>
      </c>
      <c r="L255" s="1">
        <v>4</v>
      </c>
      <c r="M255" s="2" t="s">
        <v>8</v>
      </c>
      <c r="N255" s="2" t="s">
        <v>407</v>
      </c>
      <c r="O255" s="2">
        <f t="shared" si="166"/>
        <v>2662</v>
      </c>
      <c r="P255" s="2" t="s">
        <v>56</v>
      </c>
      <c r="Q255" s="2" t="str">
        <f t="shared" si="148"/>
        <v>2197,2600</v>
      </c>
      <c r="R255" s="2">
        <f t="shared" si="167"/>
        <v>2197</v>
      </c>
      <c r="S255" s="2">
        <f t="shared" si="163"/>
        <v>2600</v>
      </c>
      <c r="T255" s="2" t="s">
        <v>57</v>
      </c>
      <c r="U255" s="2" t="str">
        <f t="shared" si="149"/>
        <v>173,200</v>
      </c>
      <c r="V255" s="2">
        <f t="shared" si="168"/>
        <v>173</v>
      </c>
      <c r="W255" s="2">
        <f t="shared" si="164"/>
        <v>200</v>
      </c>
      <c r="X255" s="2" t="s">
        <v>58</v>
      </c>
      <c r="Y255" s="2" t="str">
        <f t="shared" si="150"/>
        <v>176,200</v>
      </c>
      <c r="Z255" s="2">
        <f t="shared" si="169"/>
        <v>176</v>
      </c>
      <c r="AA255" s="2">
        <f t="shared" si="165"/>
        <v>200</v>
      </c>
      <c r="AB255" s="2">
        <v>95000</v>
      </c>
      <c r="AC255" s="2" t="e">
        <f>_xlfn.XLOOKUP($B255, '#참조'!$M:$M, '#참조'!$N:$N)</f>
        <v>#N/A</v>
      </c>
      <c r="AD255" s="2" t="e">
        <f t="shared" si="187"/>
        <v>#N/A</v>
      </c>
      <c r="AE255" s="2">
        <f t="shared" si="151"/>
        <v>0</v>
      </c>
    </row>
    <row r="256" spans="1:31" x14ac:dyDescent="0.2">
      <c r="A256" s="2">
        <f t="shared" si="143"/>
        <v>10486005</v>
      </c>
      <c r="B256" s="1">
        <v>10000486</v>
      </c>
      <c r="C256" s="1" t="s">
        <v>281</v>
      </c>
      <c r="D256" s="1" t="s">
        <v>309</v>
      </c>
      <c r="E256" s="1" t="str">
        <f>"Persona_"&amp;_xlfn.XLOOKUP($B256, '#캐릭터'!$A:$A, '#캐릭터'!$C:$C)</f>
        <v>Persona_c486</v>
      </c>
      <c r="F256" s="1"/>
      <c r="G256" s="1">
        <f>_xlfn.XLOOKUP(_xlfn.XLOOKUP(B256,'[1]Detail&lt;Child&gt;'!$A:$A,'[1]Detail&lt;Child&gt;'!$N:$N),'#참조'!P:P,'#참조'!Q:Q)</f>
        <v>5</v>
      </c>
      <c r="H256" s="1">
        <f>_xlfn.XLOOKUP(_xlfn.XLOOKUP(B256,'[1]Detail&lt;Child&gt;'!$A:$A,'[1]Detail&lt;Child&gt;'!$O:$O),'#참조'!R:R,'#참조'!S:S)</f>
        <v>1</v>
      </c>
      <c r="I256" s="1">
        <v>0</v>
      </c>
      <c r="J256" s="1">
        <v>3</v>
      </c>
      <c r="K256" s="1">
        <v>2</v>
      </c>
      <c r="L256" s="1">
        <v>5</v>
      </c>
      <c r="M256" s="2" t="s">
        <v>9</v>
      </c>
      <c r="N256" s="2" t="s">
        <v>407</v>
      </c>
      <c r="O256" s="2">
        <f t="shared" si="166"/>
        <v>2928</v>
      </c>
      <c r="P256" s="2" t="s">
        <v>56</v>
      </c>
      <c r="Q256" s="2" t="str">
        <f t="shared" si="148"/>
        <v>2856,3400</v>
      </c>
      <c r="R256" s="2">
        <f t="shared" si="167"/>
        <v>2856</v>
      </c>
      <c r="S256" s="2">
        <f t="shared" si="163"/>
        <v>3400</v>
      </c>
      <c r="T256" s="2" t="s">
        <v>57</v>
      </c>
      <c r="U256" s="2" t="str">
        <f t="shared" si="149"/>
        <v>208,200</v>
      </c>
      <c r="V256" s="2">
        <f t="shared" si="168"/>
        <v>208</v>
      </c>
      <c r="W256" s="2">
        <f t="shared" si="164"/>
        <v>200</v>
      </c>
      <c r="X256" s="2" t="s">
        <v>58</v>
      </c>
      <c r="Y256" s="2" t="str">
        <f t="shared" si="150"/>
        <v>229,300</v>
      </c>
      <c r="Z256" s="2">
        <f t="shared" si="169"/>
        <v>229</v>
      </c>
      <c r="AA256" s="2">
        <f t="shared" si="165"/>
        <v>300</v>
      </c>
      <c r="AB256" s="2">
        <v>95000</v>
      </c>
      <c r="AC256" s="2" t="e">
        <f>_xlfn.XLOOKUP($B256, '#참조'!$M:$M, '#참조'!$N:$N)</f>
        <v>#N/A</v>
      </c>
      <c r="AD256" s="2" t="e">
        <f t="shared" si="187"/>
        <v>#N/A</v>
      </c>
      <c r="AE256" s="2">
        <f t="shared" si="151"/>
        <v>0</v>
      </c>
    </row>
    <row r="257" spans="1:31" x14ac:dyDescent="0.2">
      <c r="A257" s="2">
        <f t="shared" si="143"/>
        <v>10486006</v>
      </c>
      <c r="B257" s="1">
        <v>10000486</v>
      </c>
      <c r="C257" s="1" t="s">
        <v>281</v>
      </c>
      <c r="D257" s="1" t="s">
        <v>309</v>
      </c>
      <c r="E257" s="1" t="str">
        <f>"Persona_"&amp;_xlfn.XLOOKUP($B257, '#캐릭터'!$A:$A, '#캐릭터'!$C:$C)</f>
        <v>Persona_c486</v>
      </c>
      <c r="F257" s="1"/>
      <c r="G257" s="1">
        <f>_xlfn.XLOOKUP(_xlfn.XLOOKUP(B257,'[1]Detail&lt;Child&gt;'!$A:$A,'[1]Detail&lt;Child&gt;'!$N:$N),'#참조'!P:P,'#참조'!Q:Q)</f>
        <v>5</v>
      </c>
      <c r="H257" s="1">
        <f>_xlfn.XLOOKUP(_xlfn.XLOOKUP(B257,'[1]Detail&lt;Child&gt;'!$A:$A,'[1]Detail&lt;Child&gt;'!$O:$O),'#참조'!R:R,'#참조'!S:S)</f>
        <v>1</v>
      </c>
      <c r="I257" s="1">
        <v>0</v>
      </c>
      <c r="J257" s="1">
        <v>3</v>
      </c>
      <c r="K257" s="1">
        <v>2</v>
      </c>
      <c r="L257" s="1">
        <v>6</v>
      </c>
      <c r="M257" s="2" t="s">
        <v>10</v>
      </c>
      <c r="N257" s="2" t="s">
        <v>407</v>
      </c>
      <c r="O257" s="2">
        <f t="shared" si="166"/>
        <v>3221</v>
      </c>
      <c r="P257" s="2" t="s">
        <v>56</v>
      </c>
      <c r="Q257" s="2" t="str">
        <f t="shared" si="148"/>
        <v>3713,4500</v>
      </c>
      <c r="R257" s="2">
        <f t="shared" si="167"/>
        <v>3713</v>
      </c>
      <c r="S257" s="2">
        <f t="shared" si="163"/>
        <v>4500</v>
      </c>
      <c r="T257" s="2" t="s">
        <v>57</v>
      </c>
      <c r="U257" s="2" t="str">
        <f t="shared" si="149"/>
        <v>250,300</v>
      </c>
      <c r="V257" s="2">
        <f t="shared" si="168"/>
        <v>250</v>
      </c>
      <c r="W257" s="2">
        <f t="shared" si="164"/>
        <v>300</v>
      </c>
      <c r="X257" s="2" t="s">
        <v>58</v>
      </c>
      <c r="Y257" s="2" t="str">
        <f t="shared" si="150"/>
        <v>298,400</v>
      </c>
      <c r="Z257" s="2">
        <f t="shared" si="169"/>
        <v>298</v>
      </c>
      <c r="AA257" s="2">
        <f t="shared" si="165"/>
        <v>400</v>
      </c>
      <c r="AB257" s="2">
        <v>95000</v>
      </c>
      <c r="AC257" s="2" t="e">
        <f>_xlfn.XLOOKUP($B257, '#참조'!$M:$M, '#참조'!$N:$N)</f>
        <v>#N/A</v>
      </c>
      <c r="AD257" s="2" t="e">
        <f t="shared" si="187"/>
        <v>#N/A</v>
      </c>
      <c r="AE257" s="2">
        <f t="shared" si="151"/>
        <v>0</v>
      </c>
    </row>
    <row r="258" spans="1:31" x14ac:dyDescent="0.2">
      <c r="A258" s="2">
        <f t="shared" si="143"/>
        <v>10486007</v>
      </c>
      <c r="B258" s="1">
        <v>10000486</v>
      </c>
      <c r="C258" s="1" t="s">
        <v>281</v>
      </c>
      <c r="D258" s="1" t="s">
        <v>309</v>
      </c>
      <c r="E258" s="1" t="str">
        <f>"Persona_"&amp;_xlfn.XLOOKUP($B258, '#캐릭터'!$A:$A, '#캐릭터'!$C:$C)</f>
        <v>Persona_c486</v>
      </c>
      <c r="F258" s="1"/>
      <c r="G258" s="1">
        <f>_xlfn.XLOOKUP(_xlfn.XLOOKUP(B258,'[1]Detail&lt;Child&gt;'!$A:$A,'[1]Detail&lt;Child&gt;'!$N:$N),'#참조'!P:P,'#참조'!Q:Q)</f>
        <v>5</v>
      </c>
      <c r="H258" s="1">
        <f>_xlfn.XLOOKUP(_xlfn.XLOOKUP(B258,'[1]Detail&lt;Child&gt;'!$A:$A,'[1]Detail&lt;Child&gt;'!$O:$O),'#참조'!R:R,'#참조'!S:S)</f>
        <v>1</v>
      </c>
      <c r="I258" s="1">
        <v>1</v>
      </c>
      <c r="J258" s="1">
        <v>3</v>
      </c>
      <c r="K258" s="1">
        <v>3</v>
      </c>
      <c r="L258" s="1">
        <v>7</v>
      </c>
      <c r="M258" s="2" t="s">
        <v>11</v>
      </c>
      <c r="N258" s="2" t="s">
        <v>407</v>
      </c>
      <c r="O258" s="2">
        <f t="shared" si="166"/>
        <v>3543</v>
      </c>
      <c r="P258" s="2" t="s">
        <v>56</v>
      </c>
      <c r="Q258" s="2" t="str">
        <f t="shared" si="148"/>
        <v>4827,5800</v>
      </c>
      <c r="R258" s="2">
        <f t="shared" si="167"/>
        <v>4827</v>
      </c>
      <c r="S258" s="2">
        <f t="shared" si="163"/>
        <v>5800</v>
      </c>
      <c r="T258" s="2" t="s">
        <v>57</v>
      </c>
      <c r="U258" s="2" t="str">
        <f t="shared" si="149"/>
        <v>300,400</v>
      </c>
      <c r="V258" s="2">
        <f t="shared" si="168"/>
        <v>300</v>
      </c>
      <c r="W258" s="2">
        <f t="shared" si="164"/>
        <v>400</v>
      </c>
      <c r="X258" s="2" t="s">
        <v>58</v>
      </c>
      <c r="Y258" s="2" t="str">
        <f t="shared" si="150"/>
        <v>387,500</v>
      </c>
      <c r="Z258" s="2">
        <f t="shared" si="169"/>
        <v>387</v>
      </c>
      <c r="AA258" s="2">
        <f t="shared" si="165"/>
        <v>500</v>
      </c>
      <c r="AB258" s="2">
        <v>90000</v>
      </c>
      <c r="AC258" s="2" t="e">
        <f>_xlfn.XLOOKUP($B258, '#참조'!$M:$M, '#참조'!$N:$N)</f>
        <v>#N/A</v>
      </c>
      <c r="AD258" s="2" t="e">
        <f t="shared" si="187"/>
        <v>#N/A</v>
      </c>
      <c r="AE258" s="2">
        <f t="shared" si="151"/>
        <v>5101</v>
      </c>
    </row>
    <row r="259" spans="1:31" x14ac:dyDescent="0.2">
      <c r="A259" s="2">
        <f t="shared" si="143"/>
        <v>10486008</v>
      </c>
      <c r="B259" s="1">
        <v>10000486</v>
      </c>
      <c r="C259" s="1" t="s">
        <v>281</v>
      </c>
      <c r="D259" s="1" t="s">
        <v>309</v>
      </c>
      <c r="E259" s="1" t="str">
        <f>"Persona_"&amp;_xlfn.XLOOKUP($B259, '#캐릭터'!$A:$A, '#캐릭터'!$C:$C)</f>
        <v>Persona_c486</v>
      </c>
      <c r="F259" s="1"/>
      <c r="G259" s="1">
        <f>_xlfn.XLOOKUP(_xlfn.XLOOKUP(B259,'[1]Detail&lt;Child&gt;'!$A:$A,'[1]Detail&lt;Child&gt;'!$N:$N),'#참조'!P:P,'#참조'!Q:Q)</f>
        <v>5</v>
      </c>
      <c r="H259" s="1">
        <f>_xlfn.XLOOKUP(_xlfn.XLOOKUP(B259,'[1]Detail&lt;Child&gt;'!$A:$A,'[1]Detail&lt;Child&gt;'!$O:$O),'#참조'!R:R,'#참조'!S:S)</f>
        <v>1</v>
      </c>
      <c r="I259" s="1">
        <v>1</v>
      </c>
      <c r="J259" s="1">
        <v>3</v>
      </c>
      <c r="K259" s="1">
        <v>3</v>
      </c>
      <c r="L259" s="1">
        <v>8</v>
      </c>
      <c r="M259" s="2" t="s">
        <v>12</v>
      </c>
      <c r="N259" s="2" t="s">
        <v>407</v>
      </c>
      <c r="O259" s="2">
        <f t="shared" si="166"/>
        <v>3897</v>
      </c>
      <c r="P259" s="2" t="s">
        <v>56</v>
      </c>
      <c r="Q259" s="2" t="str">
        <f t="shared" si="148"/>
        <v>6275,7500</v>
      </c>
      <c r="R259" s="2">
        <f t="shared" si="167"/>
        <v>6275</v>
      </c>
      <c r="S259" s="2">
        <f t="shared" si="163"/>
        <v>7500</v>
      </c>
      <c r="T259" s="2" t="s">
        <v>57</v>
      </c>
      <c r="U259" s="2" t="str">
        <f t="shared" si="149"/>
        <v>360,400</v>
      </c>
      <c r="V259" s="2">
        <f t="shared" si="168"/>
        <v>360</v>
      </c>
      <c r="W259" s="2">
        <f t="shared" si="164"/>
        <v>400</v>
      </c>
      <c r="X259" s="2" t="s">
        <v>58</v>
      </c>
      <c r="Y259" s="2" t="str">
        <f t="shared" si="150"/>
        <v>503,600</v>
      </c>
      <c r="Z259" s="2">
        <f t="shared" si="169"/>
        <v>503</v>
      </c>
      <c r="AA259" s="2">
        <f t="shared" si="165"/>
        <v>600</v>
      </c>
      <c r="AB259" s="2">
        <v>90000</v>
      </c>
      <c r="AC259" s="2" t="e">
        <f>_xlfn.XLOOKUP($B259, '#참조'!$M:$M, '#참조'!$N:$N)</f>
        <v>#N/A</v>
      </c>
      <c r="AD259" s="2" t="e">
        <f t="shared" si="187"/>
        <v>#N/A</v>
      </c>
      <c r="AE259" s="2">
        <f t="shared" si="151"/>
        <v>5101</v>
      </c>
    </row>
    <row r="260" spans="1:31" x14ac:dyDescent="0.2">
      <c r="A260" s="2">
        <f t="shared" ref="A260:A323" si="192">INT(1&amp;TEXT(RIGHT(B260,4),"0000")&amp;TEXT(L260,"000"))</f>
        <v>10486009</v>
      </c>
      <c r="B260" s="1">
        <v>10000486</v>
      </c>
      <c r="C260" s="1" t="s">
        <v>281</v>
      </c>
      <c r="D260" s="1" t="s">
        <v>309</v>
      </c>
      <c r="E260" s="1" t="str">
        <f>"Persona_"&amp;_xlfn.XLOOKUP($B260, '#캐릭터'!$A:$A, '#캐릭터'!$C:$C)</f>
        <v>Persona_c486</v>
      </c>
      <c r="F260" s="1"/>
      <c r="G260" s="1">
        <f>_xlfn.XLOOKUP(_xlfn.XLOOKUP(B260,'[1]Detail&lt;Child&gt;'!$A:$A,'[1]Detail&lt;Child&gt;'!$N:$N),'#참조'!P:P,'#참조'!Q:Q)</f>
        <v>5</v>
      </c>
      <c r="H260" s="1">
        <f>_xlfn.XLOOKUP(_xlfn.XLOOKUP(B260,'[1]Detail&lt;Child&gt;'!$A:$A,'[1]Detail&lt;Child&gt;'!$O:$O),'#참조'!R:R,'#참조'!S:S)</f>
        <v>1</v>
      </c>
      <c r="I260" s="1">
        <v>2</v>
      </c>
      <c r="J260" s="1">
        <v>3</v>
      </c>
      <c r="K260" s="1">
        <v>3</v>
      </c>
      <c r="L260" s="1">
        <v>9</v>
      </c>
      <c r="M260" s="2" t="s">
        <v>13</v>
      </c>
      <c r="N260" s="2" t="s">
        <v>407</v>
      </c>
      <c r="O260" s="2">
        <f t="shared" si="166"/>
        <v>4287</v>
      </c>
      <c r="P260" s="2" t="s">
        <v>56</v>
      </c>
      <c r="Q260" s="2" t="str">
        <f t="shared" si="148"/>
        <v>8158,9800</v>
      </c>
      <c r="R260" s="2">
        <f t="shared" si="167"/>
        <v>8158</v>
      </c>
      <c r="S260" s="2">
        <f t="shared" si="163"/>
        <v>9800</v>
      </c>
      <c r="T260" s="2" t="s">
        <v>57</v>
      </c>
      <c r="U260" s="2" t="str">
        <f t="shared" si="149"/>
        <v>432,500</v>
      </c>
      <c r="V260" s="2">
        <f t="shared" si="168"/>
        <v>432</v>
      </c>
      <c r="W260" s="2">
        <f t="shared" si="164"/>
        <v>500</v>
      </c>
      <c r="X260" s="2" t="s">
        <v>58</v>
      </c>
      <c r="Y260" s="2" t="str">
        <f t="shared" si="150"/>
        <v>654,800</v>
      </c>
      <c r="Z260" s="2">
        <f t="shared" si="169"/>
        <v>654</v>
      </c>
      <c r="AA260" s="2">
        <f t="shared" si="165"/>
        <v>800</v>
      </c>
      <c r="AB260" s="2">
        <v>90000</v>
      </c>
      <c r="AC260" s="2" t="e">
        <f>_xlfn.XLOOKUP($B260, '#참조'!$M:$M, '#참조'!$N:$N)</f>
        <v>#N/A</v>
      </c>
      <c r="AD260" s="2" t="e">
        <f t="shared" si="187"/>
        <v>#N/A</v>
      </c>
      <c r="AE260" s="2">
        <f t="shared" si="151"/>
        <v>5102</v>
      </c>
    </row>
    <row r="261" spans="1:31" x14ac:dyDescent="0.2">
      <c r="A261" s="2">
        <f t="shared" si="192"/>
        <v>10486010</v>
      </c>
      <c r="B261" s="1">
        <v>10000486</v>
      </c>
      <c r="C261" s="1" t="s">
        <v>281</v>
      </c>
      <c r="D261" s="1" t="s">
        <v>309</v>
      </c>
      <c r="E261" s="1" t="str">
        <f>"Persona_"&amp;_xlfn.XLOOKUP($B261, '#캐릭터'!$A:$A, '#캐릭터'!$C:$C)</f>
        <v>Persona_c486</v>
      </c>
      <c r="F261" s="1"/>
      <c r="G261" s="1">
        <f>_xlfn.XLOOKUP(_xlfn.XLOOKUP(B261,'[1]Detail&lt;Child&gt;'!$A:$A,'[1]Detail&lt;Child&gt;'!$N:$N),'#참조'!P:P,'#참조'!Q:Q)</f>
        <v>5</v>
      </c>
      <c r="H261" s="1">
        <f>_xlfn.XLOOKUP(_xlfn.XLOOKUP(B261,'[1]Detail&lt;Child&gt;'!$A:$A,'[1]Detail&lt;Child&gt;'!$O:$O),'#참조'!R:R,'#참조'!S:S)</f>
        <v>1</v>
      </c>
      <c r="I261" s="1">
        <v>2</v>
      </c>
      <c r="J261" s="1">
        <v>3</v>
      </c>
      <c r="K261" s="1">
        <v>4</v>
      </c>
      <c r="L261" s="1">
        <v>10</v>
      </c>
      <c r="M261" s="2" t="s">
        <v>14</v>
      </c>
      <c r="N261" s="2" t="s">
        <v>407</v>
      </c>
      <c r="O261" s="2">
        <f t="shared" si="166"/>
        <v>4716</v>
      </c>
      <c r="P261" s="2" t="s">
        <v>56</v>
      </c>
      <c r="Q261" s="2" t="str">
        <f t="shared" ref="Q261:Q324" si="193">R261&amp;","&amp;S261</f>
        <v>10605,12700</v>
      </c>
      <c r="R261" s="2">
        <f t="shared" si="167"/>
        <v>10605</v>
      </c>
      <c r="S261" s="2">
        <f t="shared" si="163"/>
        <v>12700</v>
      </c>
      <c r="T261" s="2" t="s">
        <v>57</v>
      </c>
      <c r="U261" s="2" t="str">
        <f t="shared" ref="U261:U324" si="194">V261&amp;","&amp;W261</f>
        <v>518,600</v>
      </c>
      <c r="V261" s="2">
        <f t="shared" si="168"/>
        <v>518</v>
      </c>
      <c r="W261" s="2">
        <f t="shared" si="164"/>
        <v>600</v>
      </c>
      <c r="X261" s="2" t="s">
        <v>58</v>
      </c>
      <c r="Y261" s="2" t="str">
        <f t="shared" ref="Y261:Y324" si="195">Z261&amp;","&amp;AA261</f>
        <v>850,1000</v>
      </c>
      <c r="Z261" s="2">
        <f t="shared" si="169"/>
        <v>850</v>
      </c>
      <c r="AA261" s="2">
        <f t="shared" si="165"/>
        <v>1000</v>
      </c>
      <c r="AB261" s="2">
        <v>85000</v>
      </c>
      <c r="AC261" s="2" t="e">
        <f>_xlfn.XLOOKUP($B261, '#참조'!$M:$M, '#참조'!$N:$N)</f>
        <v>#N/A</v>
      </c>
      <c r="AD261" s="2" t="e">
        <f t="shared" si="187"/>
        <v>#N/A</v>
      </c>
      <c r="AE261" s="2">
        <f t="shared" ref="AE261:AE324" si="196">IF(I261=0,0,INT(G261&amp;H261&amp;TEXT(I261,"00")))</f>
        <v>5102</v>
      </c>
    </row>
    <row r="262" spans="1:31" x14ac:dyDescent="0.2">
      <c r="A262" s="2">
        <f t="shared" si="192"/>
        <v>10486011</v>
      </c>
      <c r="B262" s="1">
        <v>10000486</v>
      </c>
      <c r="C262" s="1" t="s">
        <v>281</v>
      </c>
      <c r="D262" s="1" t="s">
        <v>309</v>
      </c>
      <c r="E262" s="1" t="str">
        <f>"Persona_"&amp;_xlfn.XLOOKUP($B262, '#캐릭터'!$A:$A, '#캐릭터'!$C:$C)</f>
        <v>Persona_c486</v>
      </c>
      <c r="F262" s="1"/>
      <c r="G262" s="1">
        <f>_xlfn.XLOOKUP(_xlfn.XLOOKUP(B262,'[1]Detail&lt;Child&gt;'!$A:$A,'[1]Detail&lt;Child&gt;'!$N:$N),'#참조'!P:P,'#참조'!Q:Q)</f>
        <v>5</v>
      </c>
      <c r="H262" s="1">
        <f>_xlfn.XLOOKUP(_xlfn.XLOOKUP(B262,'[1]Detail&lt;Child&gt;'!$A:$A,'[1]Detail&lt;Child&gt;'!$O:$O),'#참조'!R:R,'#참조'!S:S)</f>
        <v>1</v>
      </c>
      <c r="I262" s="1">
        <v>3</v>
      </c>
      <c r="J262" s="1">
        <v>3</v>
      </c>
      <c r="K262" s="1">
        <v>4</v>
      </c>
      <c r="L262" s="1">
        <v>11</v>
      </c>
      <c r="M262" s="2" t="s">
        <v>15</v>
      </c>
      <c r="N262" s="2" t="s">
        <v>407</v>
      </c>
      <c r="O262" s="2">
        <f t="shared" si="166"/>
        <v>5188</v>
      </c>
      <c r="P262" s="2" t="s">
        <v>56</v>
      </c>
      <c r="Q262" s="2" t="str">
        <f t="shared" si="193"/>
        <v>13787,16500</v>
      </c>
      <c r="R262" s="2">
        <f t="shared" si="167"/>
        <v>13787</v>
      </c>
      <c r="S262" s="2">
        <f t="shared" si="163"/>
        <v>16500</v>
      </c>
      <c r="T262" s="2" t="s">
        <v>57</v>
      </c>
      <c r="U262" s="2" t="str">
        <f t="shared" si="194"/>
        <v>622,700</v>
      </c>
      <c r="V262" s="2">
        <f t="shared" si="168"/>
        <v>622</v>
      </c>
      <c r="W262" s="2">
        <f t="shared" si="164"/>
        <v>700</v>
      </c>
      <c r="X262" s="2" t="s">
        <v>58</v>
      </c>
      <c r="Y262" s="2" t="str">
        <f t="shared" si="195"/>
        <v>1105,1300</v>
      </c>
      <c r="Z262" s="2">
        <f t="shared" si="169"/>
        <v>1105</v>
      </c>
      <c r="AA262" s="2">
        <f t="shared" si="165"/>
        <v>1300</v>
      </c>
      <c r="AB262" s="2">
        <v>85000</v>
      </c>
      <c r="AC262" s="2" t="e">
        <f>_xlfn.XLOOKUP($B262, '#참조'!$M:$M, '#참조'!$N:$N)</f>
        <v>#N/A</v>
      </c>
      <c r="AD262" s="2" t="e">
        <f t="shared" si="187"/>
        <v>#N/A</v>
      </c>
      <c r="AE262" s="2">
        <f t="shared" si="196"/>
        <v>5103</v>
      </c>
    </row>
    <row r="263" spans="1:31" x14ac:dyDescent="0.2">
      <c r="A263" s="2">
        <f t="shared" si="192"/>
        <v>10486012</v>
      </c>
      <c r="B263" s="1">
        <v>10000486</v>
      </c>
      <c r="C263" s="1" t="s">
        <v>281</v>
      </c>
      <c r="D263" s="1" t="s">
        <v>309</v>
      </c>
      <c r="E263" s="1" t="str">
        <f>"Persona_"&amp;_xlfn.XLOOKUP($B263, '#캐릭터'!$A:$A, '#캐릭터'!$C:$C)</f>
        <v>Persona_c486</v>
      </c>
      <c r="F263" s="1"/>
      <c r="G263" s="1">
        <f>_xlfn.XLOOKUP(_xlfn.XLOOKUP(B263,'[1]Detail&lt;Child&gt;'!$A:$A,'[1]Detail&lt;Child&gt;'!$N:$N),'#참조'!P:P,'#참조'!Q:Q)</f>
        <v>5</v>
      </c>
      <c r="H263" s="1">
        <f>_xlfn.XLOOKUP(_xlfn.XLOOKUP(B263,'[1]Detail&lt;Child&gt;'!$A:$A,'[1]Detail&lt;Child&gt;'!$O:$O),'#참조'!R:R,'#참조'!S:S)</f>
        <v>1</v>
      </c>
      <c r="I263" s="1">
        <v>3</v>
      </c>
      <c r="J263" s="1">
        <v>3</v>
      </c>
      <c r="K263" s="1">
        <v>4</v>
      </c>
      <c r="L263" s="1">
        <v>12</v>
      </c>
      <c r="M263" s="2" t="s">
        <v>16</v>
      </c>
      <c r="N263" s="2" t="s">
        <v>407</v>
      </c>
      <c r="O263" s="2">
        <f t="shared" si="166"/>
        <v>5707</v>
      </c>
      <c r="P263" s="2" t="s">
        <v>56</v>
      </c>
      <c r="Q263" s="2" t="str">
        <f t="shared" si="193"/>
        <v>17923,21500</v>
      </c>
      <c r="R263" s="2">
        <f t="shared" si="167"/>
        <v>17923</v>
      </c>
      <c r="S263" s="2">
        <f t="shared" si="163"/>
        <v>21500</v>
      </c>
      <c r="T263" s="2" t="s">
        <v>57</v>
      </c>
      <c r="U263" s="2" t="str">
        <f t="shared" si="194"/>
        <v>746,900</v>
      </c>
      <c r="V263" s="2">
        <f t="shared" si="168"/>
        <v>746</v>
      </c>
      <c r="W263" s="2">
        <f t="shared" si="164"/>
        <v>900</v>
      </c>
      <c r="X263" s="2" t="s">
        <v>58</v>
      </c>
      <c r="Y263" s="2" t="str">
        <f t="shared" si="195"/>
        <v>1437,1700</v>
      </c>
      <c r="Z263" s="2">
        <f t="shared" si="169"/>
        <v>1437</v>
      </c>
      <c r="AA263" s="2">
        <f t="shared" si="165"/>
        <v>1700</v>
      </c>
      <c r="AB263" s="2">
        <v>85000</v>
      </c>
      <c r="AC263" s="2" t="e">
        <f>_xlfn.XLOOKUP($B263, '#참조'!$M:$M, '#참조'!$N:$N)</f>
        <v>#N/A</v>
      </c>
      <c r="AD263" s="2" t="e">
        <f t="shared" si="187"/>
        <v>#N/A</v>
      </c>
      <c r="AE263" s="2">
        <f t="shared" si="196"/>
        <v>5103</v>
      </c>
    </row>
    <row r="264" spans="1:31" x14ac:dyDescent="0.2">
      <c r="A264" s="2">
        <f t="shared" si="192"/>
        <v>10486013</v>
      </c>
      <c r="B264" s="1">
        <v>10000486</v>
      </c>
      <c r="C264" s="1" t="s">
        <v>281</v>
      </c>
      <c r="D264" s="1" t="s">
        <v>309</v>
      </c>
      <c r="E264" s="1" t="str">
        <f>"Persona_"&amp;_xlfn.XLOOKUP($B264, '#캐릭터'!$A:$A, '#캐릭터'!$C:$C)</f>
        <v>Persona_c486</v>
      </c>
      <c r="F264" s="1"/>
      <c r="G264" s="1">
        <f>_xlfn.XLOOKUP(_xlfn.XLOOKUP(B264,'[1]Detail&lt;Child&gt;'!$A:$A,'[1]Detail&lt;Child&gt;'!$N:$N),'#참조'!P:P,'#참조'!Q:Q)</f>
        <v>5</v>
      </c>
      <c r="H264" s="1">
        <f>_xlfn.XLOOKUP(_xlfn.XLOOKUP(B264,'[1]Detail&lt;Child&gt;'!$A:$A,'[1]Detail&lt;Child&gt;'!$O:$O),'#참조'!R:R,'#참조'!S:S)</f>
        <v>1</v>
      </c>
      <c r="I264" s="1">
        <v>4</v>
      </c>
      <c r="J264" s="1">
        <v>3</v>
      </c>
      <c r="K264" s="1">
        <v>5</v>
      </c>
      <c r="L264" s="1">
        <v>13</v>
      </c>
      <c r="M264" s="2" t="s">
        <v>17</v>
      </c>
      <c r="N264" s="2" t="s">
        <v>407</v>
      </c>
      <c r="O264" s="2">
        <f t="shared" si="166"/>
        <v>6278</v>
      </c>
      <c r="P264" s="2" t="s">
        <v>56</v>
      </c>
      <c r="Q264" s="2" t="str">
        <f t="shared" si="193"/>
        <v>23300,28000</v>
      </c>
      <c r="R264" s="2">
        <f t="shared" si="167"/>
        <v>23300</v>
      </c>
      <c r="S264" s="2">
        <f t="shared" si="163"/>
        <v>28000</v>
      </c>
      <c r="T264" s="2" t="s">
        <v>57</v>
      </c>
      <c r="U264" s="2" t="str">
        <f t="shared" si="194"/>
        <v>895,1100</v>
      </c>
      <c r="V264" s="2">
        <f t="shared" si="168"/>
        <v>895</v>
      </c>
      <c r="W264" s="2">
        <f t="shared" si="164"/>
        <v>1100</v>
      </c>
      <c r="X264" s="2" t="s">
        <v>58</v>
      </c>
      <c r="Y264" s="2" t="str">
        <f t="shared" si="195"/>
        <v>1868,2200</v>
      </c>
      <c r="Z264" s="2">
        <f t="shared" si="169"/>
        <v>1868</v>
      </c>
      <c r="AA264" s="2">
        <f t="shared" si="165"/>
        <v>2200</v>
      </c>
      <c r="AB264" s="2">
        <v>80000</v>
      </c>
      <c r="AC264" s="2" t="e">
        <f>_xlfn.XLOOKUP($B264, '#참조'!$M:$M, '#참조'!$N:$N)</f>
        <v>#N/A</v>
      </c>
      <c r="AD264" s="2" t="e">
        <f t="shared" si="187"/>
        <v>#N/A</v>
      </c>
      <c r="AE264" s="2">
        <f t="shared" si="196"/>
        <v>5104</v>
      </c>
    </row>
    <row r="265" spans="1:31" x14ac:dyDescent="0.2">
      <c r="A265" s="2">
        <f t="shared" si="192"/>
        <v>10486014</v>
      </c>
      <c r="B265" s="1">
        <v>10000486</v>
      </c>
      <c r="C265" s="1" t="s">
        <v>281</v>
      </c>
      <c r="D265" s="1" t="s">
        <v>309</v>
      </c>
      <c r="E265" s="1" t="str">
        <f>"Persona_"&amp;_xlfn.XLOOKUP($B265, '#캐릭터'!$A:$A, '#캐릭터'!$C:$C)</f>
        <v>Persona_c486</v>
      </c>
      <c r="F265" s="1"/>
      <c r="G265" s="1">
        <f>_xlfn.XLOOKUP(_xlfn.XLOOKUP(B265,'[1]Detail&lt;Child&gt;'!$A:$A,'[1]Detail&lt;Child&gt;'!$N:$N),'#참조'!P:P,'#참조'!Q:Q)</f>
        <v>5</v>
      </c>
      <c r="H265" s="1">
        <f>_xlfn.XLOOKUP(_xlfn.XLOOKUP(B265,'[1]Detail&lt;Child&gt;'!$A:$A,'[1]Detail&lt;Child&gt;'!$O:$O),'#참조'!R:R,'#참조'!S:S)</f>
        <v>1</v>
      </c>
      <c r="I265" s="1">
        <v>4</v>
      </c>
      <c r="J265" s="1">
        <v>3</v>
      </c>
      <c r="K265" s="1">
        <v>5</v>
      </c>
      <c r="L265" s="1">
        <v>14</v>
      </c>
      <c r="M265" s="2" t="s">
        <v>18</v>
      </c>
      <c r="N265" s="2" t="s">
        <v>407</v>
      </c>
      <c r="O265" s="2">
        <f t="shared" si="166"/>
        <v>6906</v>
      </c>
      <c r="P265" s="2" t="s">
        <v>56</v>
      </c>
      <c r="Q265" s="2" t="str">
        <f t="shared" si="193"/>
        <v>30290,36300</v>
      </c>
      <c r="R265" s="2">
        <f t="shared" si="167"/>
        <v>30290</v>
      </c>
      <c r="S265" s="2">
        <f t="shared" si="163"/>
        <v>36300</v>
      </c>
      <c r="T265" s="2" t="s">
        <v>57</v>
      </c>
      <c r="U265" s="2" t="str">
        <f t="shared" si="194"/>
        <v>1074,1300</v>
      </c>
      <c r="V265" s="2">
        <f t="shared" si="168"/>
        <v>1074</v>
      </c>
      <c r="W265" s="2">
        <f t="shared" si="164"/>
        <v>1300</v>
      </c>
      <c r="X265" s="2" t="s">
        <v>58</v>
      </c>
      <c r="Y265" s="2" t="str">
        <f t="shared" si="195"/>
        <v>2428,2900</v>
      </c>
      <c r="Z265" s="2">
        <f t="shared" si="169"/>
        <v>2428</v>
      </c>
      <c r="AA265" s="2">
        <f t="shared" si="165"/>
        <v>2900</v>
      </c>
      <c r="AB265" s="2">
        <v>80000</v>
      </c>
      <c r="AC265" s="2" t="e">
        <f>_xlfn.XLOOKUP($B265, '#참조'!$M:$M, '#참조'!$N:$N)</f>
        <v>#N/A</v>
      </c>
      <c r="AD265" s="2" t="e">
        <f t="shared" si="187"/>
        <v>#N/A</v>
      </c>
      <c r="AE265" s="2">
        <f t="shared" si="196"/>
        <v>5104</v>
      </c>
    </row>
    <row r="266" spans="1:31" x14ac:dyDescent="0.2">
      <c r="A266" s="2">
        <f t="shared" si="192"/>
        <v>10486015</v>
      </c>
      <c r="B266" s="1">
        <v>10000486</v>
      </c>
      <c r="C266" s="1" t="s">
        <v>281</v>
      </c>
      <c r="D266" s="1" t="s">
        <v>309</v>
      </c>
      <c r="E266" s="1" t="str">
        <f>"Persona_"&amp;_xlfn.XLOOKUP($B266, '#캐릭터'!$A:$A, '#캐릭터'!$C:$C)</f>
        <v>Persona_c486</v>
      </c>
      <c r="F266" s="1"/>
      <c r="G266" s="1">
        <f>_xlfn.XLOOKUP(_xlfn.XLOOKUP(B266,'[1]Detail&lt;Child&gt;'!$A:$A,'[1]Detail&lt;Child&gt;'!$N:$N),'#참조'!P:P,'#참조'!Q:Q)</f>
        <v>5</v>
      </c>
      <c r="H266" s="1">
        <f>_xlfn.XLOOKUP(_xlfn.XLOOKUP(B266,'[1]Detail&lt;Child&gt;'!$A:$A,'[1]Detail&lt;Child&gt;'!$O:$O),'#참조'!R:R,'#참조'!S:S)</f>
        <v>1</v>
      </c>
      <c r="I266" s="1">
        <v>5</v>
      </c>
      <c r="J266" s="1">
        <v>3</v>
      </c>
      <c r="K266" s="1">
        <v>5</v>
      </c>
      <c r="L266" s="1">
        <v>15</v>
      </c>
      <c r="M266" s="2" t="s">
        <v>19</v>
      </c>
      <c r="N266" s="2" t="s">
        <v>407</v>
      </c>
      <c r="O266" s="2">
        <f t="shared" si="166"/>
        <v>7597</v>
      </c>
      <c r="P266" s="2" t="s">
        <v>56</v>
      </c>
      <c r="Q266" s="2" t="str">
        <f t="shared" si="193"/>
        <v>39377,47300</v>
      </c>
      <c r="R266" s="2">
        <f t="shared" si="167"/>
        <v>39377</v>
      </c>
      <c r="S266" s="2">
        <f t="shared" si="163"/>
        <v>47300</v>
      </c>
      <c r="T266" s="2" t="s">
        <v>57</v>
      </c>
      <c r="U266" s="2" t="str">
        <f t="shared" si="194"/>
        <v>1289,1500</v>
      </c>
      <c r="V266" s="2">
        <f t="shared" si="168"/>
        <v>1289</v>
      </c>
      <c r="W266" s="2">
        <f t="shared" si="164"/>
        <v>1500</v>
      </c>
      <c r="X266" s="2" t="s">
        <v>58</v>
      </c>
      <c r="Y266" s="2" t="str">
        <f t="shared" si="195"/>
        <v>3156,3800</v>
      </c>
      <c r="Z266" s="2">
        <f t="shared" si="169"/>
        <v>3156</v>
      </c>
      <c r="AA266" s="2">
        <f t="shared" si="165"/>
        <v>3800</v>
      </c>
      <c r="AB266" s="2">
        <v>80000</v>
      </c>
      <c r="AC266" s="2" t="e">
        <f>_xlfn.XLOOKUP($B266, '#참조'!$M:$M, '#참조'!$N:$N)</f>
        <v>#N/A</v>
      </c>
      <c r="AD266" s="2" t="e">
        <f t="shared" si="187"/>
        <v>#N/A</v>
      </c>
      <c r="AE266" s="2">
        <f t="shared" si="196"/>
        <v>5105</v>
      </c>
    </row>
    <row r="267" spans="1:31" x14ac:dyDescent="0.2">
      <c r="A267" s="2">
        <f t="shared" si="192"/>
        <v>10486016</v>
      </c>
      <c r="B267" s="1">
        <v>10000486</v>
      </c>
      <c r="C267" s="1" t="s">
        <v>281</v>
      </c>
      <c r="D267" s="1" t="s">
        <v>309</v>
      </c>
      <c r="E267" s="1" t="str">
        <f>"Persona_"&amp;_xlfn.XLOOKUP($B267, '#캐릭터'!$A:$A, '#캐릭터'!$C:$C)</f>
        <v>Persona_c486</v>
      </c>
      <c r="F267" s="1"/>
      <c r="G267" s="1">
        <f>_xlfn.XLOOKUP(_xlfn.XLOOKUP(B267,'[1]Detail&lt;Child&gt;'!$A:$A,'[1]Detail&lt;Child&gt;'!$N:$N),'#참조'!P:P,'#참조'!Q:Q)</f>
        <v>5</v>
      </c>
      <c r="H267" s="1">
        <f>_xlfn.XLOOKUP(_xlfn.XLOOKUP(B267,'[1]Detail&lt;Child&gt;'!$A:$A,'[1]Detail&lt;Child&gt;'!$O:$O),'#참조'!R:R,'#참조'!S:S)</f>
        <v>1</v>
      </c>
      <c r="I267" s="1">
        <v>5</v>
      </c>
      <c r="J267" s="1">
        <v>3</v>
      </c>
      <c r="K267" s="1">
        <v>6</v>
      </c>
      <c r="L267" s="1">
        <v>16</v>
      </c>
      <c r="M267" s="2" t="s">
        <v>20</v>
      </c>
      <c r="N267" s="2" t="s">
        <v>407</v>
      </c>
      <c r="O267" s="2">
        <f t="shared" si="166"/>
        <v>8357</v>
      </c>
      <c r="P267" s="2" t="s">
        <v>56</v>
      </c>
      <c r="Q267" s="2" t="str">
        <f t="shared" si="193"/>
        <v>51190,61400</v>
      </c>
      <c r="R267" s="2">
        <f t="shared" si="167"/>
        <v>51190</v>
      </c>
      <c r="S267" s="2">
        <f t="shared" si="163"/>
        <v>61400</v>
      </c>
      <c r="T267" s="2" t="s">
        <v>57</v>
      </c>
      <c r="U267" s="2" t="str">
        <f t="shared" si="194"/>
        <v>1547,1900</v>
      </c>
      <c r="V267" s="2">
        <f t="shared" si="168"/>
        <v>1547</v>
      </c>
      <c r="W267" s="2">
        <f t="shared" si="164"/>
        <v>1900</v>
      </c>
      <c r="X267" s="2" t="s">
        <v>58</v>
      </c>
      <c r="Y267" s="2" t="str">
        <f t="shared" si="195"/>
        <v>4103,4900</v>
      </c>
      <c r="Z267" s="2">
        <f t="shared" si="169"/>
        <v>4103</v>
      </c>
      <c r="AA267" s="2">
        <f t="shared" si="165"/>
        <v>4900</v>
      </c>
      <c r="AB267" s="2">
        <v>75000</v>
      </c>
      <c r="AC267" s="2" t="e">
        <f>_xlfn.XLOOKUP($B267, '#참조'!$M:$M, '#참조'!$N:$N)</f>
        <v>#N/A</v>
      </c>
      <c r="AD267" s="2" t="e">
        <f t="shared" si="187"/>
        <v>#N/A</v>
      </c>
      <c r="AE267" s="2">
        <f t="shared" si="196"/>
        <v>5105</v>
      </c>
    </row>
    <row r="268" spans="1:31" x14ac:dyDescent="0.2">
      <c r="A268" s="2">
        <f t="shared" si="192"/>
        <v>10486017</v>
      </c>
      <c r="B268" s="1">
        <v>10000486</v>
      </c>
      <c r="C268" s="1" t="s">
        <v>281</v>
      </c>
      <c r="D268" s="1" t="s">
        <v>309</v>
      </c>
      <c r="E268" s="1" t="str">
        <f>"Persona_"&amp;_xlfn.XLOOKUP($B268, '#캐릭터'!$A:$A, '#캐릭터'!$C:$C)</f>
        <v>Persona_c486</v>
      </c>
      <c r="F268" s="1"/>
      <c r="G268" s="1">
        <f>_xlfn.XLOOKUP(_xlfn.XLOOKUP(B268,'[1]Detail&lt;Child&gt;'!$A:$A,'[1]Detail&lt;Child&gt;'!$N:$N),'#참조'!P:P,'#참조'!Q:Q)</f>
        <v>5</v>
      </c>
      <c r="H268" s="1">
        <f>_xlfn.XLOOKUP(_xlfn.XLOOKUP(B268,'[1]Detail&lt;Child&gt;'!$A:$A,'[1]Detail&lt;Child&gt;'!$O:$O),'#참조'!R:R,'#참조'!S:S)</f>
        <v>1</v>
      </c>
      <c r="I268" s="1">
        <v>6</v>
      </c>
      <c r="J268" s="1">
        <v>3</v>
      </c>
      <c r="K268" s="1">
        <v>6</v>
      </c>
      <c r="L268" s="1">
        <v>17</v>
      </c>
      <c r="M268" s="2" t="s">
        <v>21</v>
      </c>
      <c r="N268" s="2" t="s">
        <v>407</v>
      </c>
      <c r="O268" s="2">
        <f t="shared" si="166"/>
        <v>9193</v>
      </c>
      <c r="P268" s="2" t="s">
        <v>56</v>
      </c>
      <c r="Q268" s="2" t="str">
        <f t="shared" si="193"/>
        <v>66547,79900</v>
      </c>
      <c r="R268" s="2">
        <f t="shared" si="167"/>
        <v>66547</v>
      </c>
      <c r="S268" s="2">
        <f t="shared" si="163"/>
        <v>79900</v>
      </c>
      <c r="T268" s="2" t="s">
        <v>57</v>
      </c>
      <c r="U268" s="2" t="str">
        <f t="shared" si="194"/>
        <v>1856,2200</v>
      </c>
      <c r="V268" s="2">
        <f t="shared" si="168"/>
        <v>1856</v>
      </c>
      <c r="W268" s="2">
        <f t="shared" si="164"/>
        <v>2200</v>
      </c>
      <c r="X268" s="2" t="s">
        <v>58</v>
      </c>
      <c r="Y268" s="2" t="str">
        <f t="shared" si="195"/>
        <v>5334,6400</v>
      </c>
      <c r="Z268" s="2">
        <f t="shared" si="169"/>
        <v>5334</v>
      </c>
      <c r="AA268" s="2">
        <f t="shared" si="165"/>
        <v>6400</v>
      </c>
      <c r="AB268" s="2">
        <v>75000</v>
      </c>
      <c r="AC268" s="2" t="e">
        <f>_xlfn.XLOOKUP($B268, '#참조'!$M:$M, '#참조'!$N:$N)</f>
        <v>#N/A</v>
      </c>
      <c r="AD268" s="2" t="e">
        <f t="shared" si="187"/>
        <v>#N/A</v>
      </c>
      <c r="AE268" s="2">
        <f t="shared" si="196"/>
        <v>5106</v>
      </c>
    </row>
    <row r="269" spans="1:31" x14ac:dyDescent="0.2">
      <c r="A269" s="2">
        <f t="shared" si="192"/>
        <v>10486018</v>
      </c>
      <c r="B269" s="1">
        <v>10000486</v>
      </c>
      <c r="C269" s="1" t="s">
        <v>281</v>
      </c>
      <c r="D269" s="1" t="s">
        <v>309</v>
      </c>
      <c r="E269" s="1" t="str">
        <f>"Persona_"&amp;_xlfn.XLOOKUP($B269, '#캐릭터'!$A:$A, '#캐릭터'!$C:$C)</f>
        <v>Persona_c486</v>
      </c>
      <c r="F269" s="1"/>
      <c r="G269" s="1">
        <f>_xlfn.XLOOKUP(_xlfn.XLOOKUP(B269,'[1]Detail&lt;Child&gt;'!$A:$A,'[1]Detail&lt;Child&gt;'!$N:$N),'#참조'!P:P,'#참조'!Q:Q)</f>
        <v>5</v>
      </c>
      <c r="H269" s="1">
        <f>_xlfn.XLOOKUP(_xlfn.XLOOKUP(B269,'[1]Detail&lt;Child&gt;'!$A:$A,'[1]Detail&lt;Child&gt;'!$O:$O),'#참조'!R:R,'#참조'!S:S)</f>
        <v>1</v>
      </c>
      <c r="I269" s="1">
        <v>6</v>
      </c>
      <c r="J269" s="1">
        <v>3</v>
      </c>
      <c r="K269" s="1">
        <v>6</v>
      </c>
      <c r="L269" s="1">
        <v>18</v>
      </c>
      <c r="M269" s="2" t="s">
        <v>22</v>
      </c>
      <c r="N269" s="2" t="s">
        <v>407</v>
      </c>
      <c r="O269" s="2">
        <f t="shared" si="166"/>
        <v>10112</v>
      </c>
      <c r="P269" s="2" t="s">
        <v>56</v>
      </c>
      <c r="Q269" s="2" t="str">
        <f t="shared" si="193"/>
        <v>86511,103800</v>
      </c>
      <c r="R269" s="2">
        <f t="shared" si="167"/>
        <v>86511</v>
      </c>
      <c r="S269" s="2">
        <f t="shared" si="163"/>
        <v>103800</v>
      </c>
      <c r="T269" s="2" t="s">
        <v>57</v>
      </c>
      <c r="U269" s="2" t="str">
        <f t="shared" si="194"/>
        <v>2227,2700</v>
      </c>
      <c r="V269" s="2">
        <f t="shared" si="168"/>
        <v>2227</v>
      </c>
      <c r="W269" s="2">
        <f t="shared" si="164"/>
        <v>2700</v>
      </c>
      <c r="X269" s="2" t="s">
        <v>58</v>
      </c>
      <c r="Y269" s="2" t="str">
        <f t="shared" si="195"/>
        <v>6934,8300</v>
      </c>
      <c r="Z269" s="2">
        <f t="shared" si="169"/>
        <v>6934</v>
      </c>
      <c r="AA269" s="2">
        <f t="shared" si="165"/>
        <v>8300</v>
      </c>
      <c r="AB269" s="2">
        <v>75000</v>
      </c>
      <c r="AC269" s="2" t="e">
        <f>_xlfn.XLOOKUP($B269, '#참조'!$M:$M, '#참조'!$N:$N)</f>
        <v>#N/A</v>
      </c>
      <c r="AD269" s="2" t="e">
        <f t="shared" si="187"/>
        <v>#N/A</v>
      </c>
      <c r="AE269" s="2">
        <f t="shared" si="196"/>
        <v>5106</v>
      </c>
    </row>
    <row r="270" spans="1:31" x14ac:dyDescent="0.2">
      <c r="A270" s="2">
        <f t="shared" si="192"/>
        <v>10294000</v>
      </c>
      <c r="B270" s="1">
        <v>10000294</v>
      </c>
      <c r="C270" s="1" t="s">
        <v>281</v>
      </c>
      <c r="D270" s="1" t="s">
        <v>309</v>
      </c>
      <c r="E270" s="1" t="str">
        <f>"Persona_"&amp;_xlfn.XLOOKUP($B270, '#캐릭터'!$A:$A, '#캐릭터'!$C:$C)</f>
        <v>Persona_c294</v>
      </c>
      <c r="F270" s="1"/>
      <c r="G270" s="1">
        <f>_xlfn.XLOOKUP(_xlfn.XLOOKUP(B270,'[1]Detail&lt;Child&gt;'!$A:$A,'[1]Detail&lt;Child&gt;'!$N:$N),'#참조'!P:P,'#참조'!Q:Q)</f>
        <v>3</v>
      </c>
      <c r="H270" s="1">
        <f>_xlfn.XLOOKUP(_xlfn.XLOOKUP(B270,'[1]Detail&lt;Child&gt;'!$A:$A,'[1]Detail&lt;Child&gt;'!$O:$O),'#참조'!R:R,'#참조'!S:S)</f>
        <v>4</v>
      </c>
      <c r="I270" s="1">
        <v>0</v>
      </c>
      <c r="J270" s="1">
        <v>3</v>
      </c>
      <c r="K270" s="1">
        <v>0</v>
      </c>
      <c r="L270" s="1">
        <v>0</v>
      </c>
      <c r="M270" s="2" t="s">
        <v>2</v>
      </c>
      <c r="N270" s="2" t="s">
        <v>407</v>
      </c>
      <c r="O270" s="2">
        <v>0</v>
      </c>
      <c r="P270" s="2" t="s">
        <v>56</v>
      </c>
      <c r="Q270" s="2" t="str">
        <f t="shared" si="193"/>
        <v>1000,1000</v>
      </c>
      <c r="R270" s="2">
        <v>1000</v>
      </c>
      <c r="S270" s="2">
        <f t="shared" ref="S270" si="197">R270</f>
        <v>1000</v>
      </c>
      <c r="T270" s="2" t="s">
        <v>57</v>
      </c>
      <c r="U270" s="2" t="str">
        <f t="shared" si="194"/>
        <v>100,100</v>
      </c>
      <c r="V270" s="2">
        <v>100</v>
      </c>
      <c r="W270" s="2">
        <f t="shared" ref="W270" si="198">V270</f>
        <v>100</v>
      </c>
      <c r="X270" s="2" t="s">
        <v>58</v>
      </c>
      <c r="Y270" s="2" t="str">
        <f t="shared" si="195"/>
        <v>80,80</v>
      </c>
      <c r="Z270" s="2">
        <v>80</v>
      </c>
      <c r="AA270" s="2">
        <f t="shared" ref="AA270" si="199">Z270</f>
        <v>80</v>
      </c>
      <c r="AB270" s="2">
        <v>100000</v>
      </c>
      <c r="AE270" s="2">
        <f t="shared" si="196"/>
        <v>0</v>
      </c>
    </row>
    <row r="271" spans="1:31" x14ac:dyDescent="0.2">
      <c r="A271" s="2">
        <f t="shared" si="192"/>
        <v>10294001</v>
      </c>
      <c r="B271" s="1">
        <v>10000294</v>
      </c>
      <c r="C271" s="1" t="s">
        <v>281</v>
      </c>
      <c r="D271" s="1" t="s">
        <v>309</v>
      </c>
      <c r="E271" s="1" t="str">
        <f>"Persona_"&amp;_xlfn.XLOOKUP($B271, '#캐릭터'!$A:$A, '#캐릭터'!$C:$C)</f>
        <v>Persona_c294</v>
      </c>
      <c r="F271" s="1"/>
      <c r="G271" s="1">
        <f>_xlfn.XLOOKUP(_xlfn.XLOOKUP(B271,'[1]Detail&lt;Child&gt;'!$A:$A,'[1]Detail&lt;Child&gt;'!$N:$N),'#참조'!P:P,'#참조'!Q:Q)</f>
        <v>3</v>
      </c>
      <c r="H271" s="1">
        <f>_xlfn.XLOOKUP(_xlfn.XLOOKUP(B271,'[1]Detail&lt;Child&gt;'!$A:$A,'[1]Detail&lt;Child&gt;'!$O:$O),'#참조'!R:R,'#참조'!S:S)</f>
        <v>4</v>
      </c>
      <c r="I271" s="1">
        <v>0</v>
      </c>
      <c r="J271" s="1">
        <v>3</v>
      </c>
      <c r="K271" s="1">
        <v>1</v>
      </c>
      <c r="L271" s="1">
        <v>1</v>
      </c>
      <c r="M271" s="2" t="s">
        <v>5</v>
      </c>
      <c r="N271" s="2" t="s">
        <v>407</v>
      </c>
      <c r="O271" s="2">
        <v>2000</v>
      </c>
      <c r="P271" s="2" t="s">
        <v>56</v>
      </c>
      <c r="Q271" s="2" t="str">
        <f t="shared" si="193"/>
        <v>1000,1200</v>
      </c>
      <c r="R271" s="2">
        <v>1000</v>
      </c>
      <c r="S271" s="2">
        <f t="shared" ref="S271" si="200">ROUND(R271*1.2, -2)</f>
        <v>1200</v>
      </c>
      <c r="T271" s="2" t="s">
        <v>57</v>
      </c>
      <c r="U271" s="2" t="str">
        <f t="shared" si="194"/>
        <v>100,100</v>
      </c>
      <c r="V271" s="2">
        <v>100</v>
      </c>
      <c r="W271" s="2">
        <f t="shared" ref="W271" si="201">ROUND(V271*1.2, -2)</f>
        <v>100</v>
      </c>
      <c r="X271" s="2" t="s">
        <v>58</v>
      </c>
      <c r="Y271" s="2" t="str">
        <f t="shared" si="195"/>
        <v>80,100</v>
      </c>
      <c r="Z271" s="2">
        <v>80</v>
      </c>
      <c r="AA271" s="2">
        <f t="shared" ref="AA271" si="202">ROUND(Z271*1.2, -2)</f>
        <v>100</v>
      </c>
      <c r="AB271" s="2">
        <v>100000</v>
      </c>
      <c r="AC271" s="2" t="str">
        <f>_xlfn.XLOOKUP(B271,'#캐릭터'!A:A,'#캐릭터'!B:B)</f>
        <v>바토리</v>
      </c>
      <c r="AD271" s="2" t="str">
        <f t="shared" ref="AD271:AD334" si="203">M271&amp;"_"&amp;AC271</f>
        <v>Common1_바토리</v>
      </c>
      <c r="AE271" s="2">
        <f t="shared" si="196"/>
        <v>0</v>
      </c>
    </row>
    <row r="272" spans="1:31" x14ac:dyDescent="0.2">
      <c r="A272" s="2">
        <f t="shared" si="192"/>
        <v>10294002</v>
      </c>
      <c r="B272" s="1">
        <v>10000294</v>
      </c>
      <c r="C272" s="1" t="s">
        <v>281</v>
      </c>
      <c r="D272" s="1" t="s">
        <v>309</v>
      </c>
      <c r="E272" s="1" t="str">
        <f>"Persona_"&amp;_xlfn.XLOOKUP($B272, '#캐릭터'!$A:$A, '#캐릭터'!$C:$C)</f>
        <v>Persona_c294</v>
      </c>
      <c r="F272" s="1"/>
      <c r="G272" s="1">
        <f>_xlfn.XLOOKUP(_xlfn.XLOOKUP(B272,'[1]Detail&lt;Child&gt;'!$A:$A,'[1]Detail&lt;Child&gt;'!$N:$N),'#참조'!P:P,'#참조'!Q:Q)</f>
        <v>3</v>
      </c>
      <c r="H272" s="1">
        <f>_xlfn.XLOOKUP(_xlfn.XLOOKUP(B272,'[1]Detail&lt;Child&gt;'!$A:$A,'[1]Detail&lt;Child&gt;'!$O:$O),'#참조'!R:R,'#참조'!S:S)</f>
        <v>4</v>
      </c>
      <c r="I272" s="1">
        <v>0</v>
      </c>
      <c r="J272" s="1">
        <v>3</v>
      </c>
      <c r="K272" s="1">
        <v>1</v>
      </c>
      <c r="L272" s="1">
        <v>2</v>
      </c>
      <c r="M272" s="2" t="s">
        <v>6</v>
      </c>
      <c r="N272" s="2" t="s">
        <v>407</v>
      </c>
      <c r="O272" s="2">
        <f t="shared" ref="O272" si="204">ROUND(O271*1.1, 0)</f>
        <v>2200</v>
      </c>
      <c r="P272" s="2" t="s">
        <v>56</v>
      </c>
      <c r="Q272" s="2" t="str">
        <f t="shared" si="193"/>
        <v>1300,1600</v>
      </c>
      <c r="R272" s="2">
        <f t="shared" ref="R272" si="205">ROUND(R271*1.3, 0)</f>
        <v>1300</v>
      </c>
      <c r="S272" s="2">
        <f t="shared" si="163"/>
        <v>1600</v>
      </c>
      <c r="T272" s="2" t="s">
        <v>57</v>
      </c>
      <c r="U272" s="2" t="str">
        <f t="shared" si="194"/>
        <v>120,100</v>
      </c>
      <c r="V272" s="2">
        <f t="shared" ref="V272" si="206">ROUND(V271*1.2, 0)</f>
        <v>120</v>
      </c>
      <c r="W272" s="2">
        <f t="shared" si="164"/>
        <v>100</v>
      </c>
      <c r="X272" s="2" t="s">
        <v>58</v>
      </c>
      <c r="Y272" s="2" t="str">
        <f t="shared" si="195"/>
        <v>104,100</v>
      </c>
      <c r="Z272" s="2">
        <f t="shared" ref="Z272" si="207">ROUND(Z271*1.3, 0)</f>
        <v>104</v>
      </c>
      <c r="AA272" s="2">
        <f t="shared" si="165"/>
        <v>100</v>
      </c>
      <c r="AB272" s="2">
        <v>100000</v>
      </c>
      <c r="AC272" s="2" t="str">
        <f>_xlfn.XLOOKUP(B272,'#캐릭터'!A:A,'#캐릭터'!B:B)</f>
        <v>바토리</v>
      </c>
      <c r="AD272" s="2" t="str">
        <f t="shared" si="203"/>
        <v>Common2_바토리</v>
      </c>
      <c r="AE272" s="2">
        <f t="shared" si="196"/>
        <v>0</v>
      </c>
    </row>
    <row r="273" spans="1:31" x14ac:dyDescent="0.2">
      <c r="A273" s="2">
        <f t="shared" si="192"/>
        <v>10294003</v>
      </c>
      <c r="B273" s="1">
        <v>10000294</v>
      </c>
      <c r="C273" s="1" t="s">
        <v>281</v>
      </c>
      <c r="D273" s="1" t="s">
        <v>309</v>
      </c>
      <c r="E273" s="1" t="str">
        <f>"Persona_"&amp;_xlfn.XLOOKUP($B273, '#캐릭터'!$A:$A, '#캐릭터'!$C:$C)</f>
        <v>Persona_c294</v>
      </c>
      <c r="F273" s="1"/>
      <c r="G273" s="1">
        <f>_xlfn.XLOOKUP(_xlfn.XLOOKUP(B273,'[1]Detail&lt;Child&gt;'!$A:$A,'[1]Detail&lt;Child&gt;'!$N:$N),'#참조'!P:P,'#참조'!Q:Q)</f>
        <v>3</v>
      </c>
      <c r="H273" s="1">
        <f>_xlfn.XLOOKUP(_xlfn.XLOOKUP(B273,'[1]Detail&lt;Child&gt;'!$A:$A,'[1]Detail&lt;Child&gt;'!$O:$O),'#참조'!R:R,'#참조'!S:S)</f>
        <v>4</v>
      </c>
      <c r="I273" s="1">
        <v>0</v>
      </c>
      <c r="J273" s="1">
        <v>3</v>
      </c>
      <c r="K273" s="1">
        <v>1</v>
      </c>
      <c r="L273" s="1">
        <v>3</v>
      </c>
      <c r="M273" s="2" t="s">
        <v>7</v>
      </c>
      <c r="N273" s="2" t="s">
        <v>407</v>
      </c>
      <c r="O273" s="2">
        <f t="shared" si="166"/>
        <v>2420</v>
      </c>
      <c r="P273" s="2" t="s">
        <v>56</v>
      </c>
      <c r="Q273" s="2" t="str">
        <f t="shared" si="193"/>
        <v>1690,2000</v>
      </c>
      <c r="R273" s="2">
        <f t="shared" si="167"/>
        <v>1690</v>
      </c>
      <c r="S273" s="2">
        <f t="shared" si="163"/>
        <v>2000</v>
      </c>
      <c r="T273" s="2" t="s">
        <v>57</v>
      </c>
      <c r="U273" s="2" t="str">
        <f t="shared" si="194"/>
        <v>144,200</v>
      </c>
      <c r="V273" s="2">
        <f t="shared" si="168"/>
        <v>144</v>
      </c>
      <c r="W273" s="2">
        <f t="shared" si="164"/>
        <v>200</v>
      </c>
      <c r="X273" s="2" t="s">
        <v>58</v>
      </c>
      <c r="Y273" s="2" t="str">
        <f t="shared" si="195"/>
        <v>135,200</v>
      </c>
      <c r="Z273" s="2">
        <f t="shared" si="169"/>
        <v>135</v>
      </c>
      <c r="AA273" s="2">
        <f t="shared" si="165"/>
        <v>200</v>
      </c>
      <c r="AB273" s="2">
        <v>100000</v>
      </c>
      <c r="AC273" s="2" t="str">
        <f>_xlfn.XLOOKUP(B273,'#캐릭터'!A:A,'#캐릭터'!B:B)</f>
        <v>바토리</v>
      </c>
      <c r="AD273" s="2" t="str">
        <f t="shared" si="203"/>
        <v>Common3_바토리</v>
      </c>
      <c r="AE273" s="2">
        <f t="shared" si="196"/>
        <v>0</v>
      </c>
    </row>
    <row r="274" spans="1:31" x14ac:dyDescent="0.2">
      <c r="A274" s="2">
        <f t="shared" si="192"/>
        <v>10294004</v>
      </c>
      <c r="B274" s="1">
        <v>10000294</v>
      </c>
      <c r="C274" s="1" t="s">
        <v>281</v>
      </c>
      <c r="D274" s="1" t="s">
        <v>309</v>
      </c>
      <c r="E274" s="1" t="str">
        <f>"Persona_"&amp;_xlfn.XLOOKUP($B274, '#캐릭터'!$A:$A, '#캐릭터'!$C:$C)</f>
        <v>Persona_c294</v>
      </c>
      <c r="F274" s="1"/>
      <c r="G274" s="1">
        <f>_xlfn.XLOOKUP(_xlfn.XLOOKUP(B274,'[1]Detail&lt;Child&gt;'!$A:$A,'[1]Detail&lt;Child&gt;'!$N:$N),'#참조'!P:P,'#참조'!Q:Q)</f>
        <v>3</v>
      </c>
      <c r="H274" s="1">
        <f>_xlfn.XLOOKUP(_xlfn.XLOOKUP(B274,'[1]Detail&lt;Child&gt;'!$A:$A,'[1]Detail&lt;Child&gt;'!$O:$O),'#참조'!R:R,'#참조'!S:S)</f>
        <v>4</v>
      </c>
      <c r="I274" s="1">
        <v>0</v>
      </c>
      <c r="J274" s="1">
        <v>3</v>
      </c>
      <c r="K274" s="1">
        <v>2</v>
      </c>
      <c r="L274" s="1">
        <v>4</v>
      </c>
      <c r="M274" s="2" t="s">
        <v>8</v>
      </c>
      <c r="N274" s="2" t="s">
        <v>407</v>
      </c>
      <c r="O274" s="2">
        <f t="shared" si="166"/>
        <v>2662</v>
      </c>
      <c r="P274" s="2" t="s">
        <v>56</v>
      </c>
      <c r="Q274" s="2" t="str">
        <f t="shared" si="193"/>
        <v>2197,2600</v>
      </c>
      <c r="R274" s="2">
        <f t="shared" si="167"/>
        <v>2197</v>
      </c>
      <c r="S274" s="2">
        <f t="shared" si="163"/>
        <v>2600</v>
      </c>
      <c r="T274" s="2" t="s">
        <v>57</v>
      </c>
      <c r="U274" s="2" t="str">
        <f t="shared" si="194"/>
        <v>173,200</v>
      </c>
      <c r="V274" s="2">
        <f t="shared" si="168"/>
        <v>173</v>
      </c>
      <c r="W274" s="2">
        <f t="shared" si="164"/>
        <v>200</v>
      </c>
      <c r="X274" s="2" t="s">
        <v>58</v>
      </c>
      <c r="Y274" s="2" t="str">
        <f t="shared" si="195"/>
        <v>176,200</v>
      </c>
      <c r="Z274" s="2">
        <f t="shared" si="169"/>
        <v>176</v>
      </c>
      <c r="AA274" s="2">
        <f t="shared" si="165"/>
        <v>200</v>
      </c>
      <c r="AB274" s="2">
        <v>95000</v>
      </c>
      <c r="AC274" s="2" t="str">
        <f>_xlfn.XLOOKUP(B274,'#캐릭터'!A:A,'#캐릭터'!B:B)</f>
        <v>바토리</v>
      </c>
      <c r="AD274" s="2" t="str">
        <f t="shared" si="203"/>
        <v>Uncommon1_바토리</v>
      </c>
      <c r="AE274" s="2">
        <f t="shared" si="196"/>
        <v>0</v>
      </c>
    </row>
    <row r="275" spans="1:31" x14ac:dyDescent="0.2">
      <c r="A275" s="2">
        <f t="shared" si="192"/>
        <v>10294005</v>
      </c>
      <c r="B275" s="1">
        <v>10000294</v>
      </c>
      <c r="C275" s="1" t="s">
        <v>281</v>
      </c>
      <c r="D275" s="1" t="s">
        <v>309</v>
      </c>
      <c r="E275" s="1" t="str">
        <f>"Persona_"&amp;_xlfn.XLOOKUP($B275, '#캐릭터'!$A:$A, '#캐릭터'!$C:$C)</f>
        <v>Persona_c294</v>
      </c>
      <c r="F275" s="1"/>
      <c r="G275" s="1">
        <f>_xlfn.XLOOKUP(_xlfn.XLOOKUP(B275,'[1]Detail&lt;Child&gt;'!$A:$A,'[1]Detail&lt;Child&gt;'!$N:$N),'#참조'!P:P,'#참조'!Q:Q)</f>
        <v>3</v>
      </c>
      <c r="H275" s="1">
        <f>_xlfn.XLOOKUP(_xlfn.XLOOKUP(B275,'[1]Detail&lt;Child&gt;'!$A:$A,'[1]Detail&lt;Child&gt;'!$O:$O),'#참조'!R:R,'#참조'!S:S)</f>
        <v>4</v>
      </c>
      <c r="I275" s="1">
        <v>0</v>
      </c>
      <c r="J275" s="1">
        <v>3</v>
      </c>
      <c r="K275" s="1">
        <v>2</v>
      </c>
      <c r="L275" s="1">
        <v>5</v>
      </c>
      <c r="M275" s="2" t="s">
        <v>9</v>
      </c>
      <c r="N275" s="2" t="s">
        <v>407</v>
      </c>
      <c r="O275" s="2">
        <f t="shared" si="166"/>
        <v>2928</v>
      </c>
      <c r="P275" s="2" t="s">
        <v>56</v>
      </c>
      <c r="Q275" s="2" t="str">
        <f t="shared" si="193"/>
        <v>2856,3400</v>
      </c>
      <c r="R275" s="2">
        <f t="shared" si="167"/>
        <v>2856</v>
      </c>
      <c r="S275" s="2">
        <f t="shared" si="163"/>
        <v>3400</v>
      </c>
      <c r="T275" s="2" t="s">
        <v>57</v>
      </c>
      <c r="U275" s="2" t="str">
        <f t="shared" si="194"/>
        <v>208,200</v>
      </c>
      <c r="V275" s="2">
        <f t="shared" si="168"/>
        <v>208</v>
      </c>
      <c r="W275" s="2">
        <f t="shared" si="164"/>
        <v>200</v>
      </c>
      <c r="X275" s="2" t="s">
        <v>58</v>
      </c>
      <c r="Y275" s="2" t="str">
        <f t="shared" si="195"/>
        <v>229,300</v>
      </c>
      <c r="Z275" s="2">
        <f t="shared" si="169"/>
        <v>229</v>
      </c>
      <c r="AA275" s="2">
        <f t="shared" si="165"/>
        <v>300</v>
      </c>
      <c r="AB275" s="2">
        <v>95000</v>
      </c>
      <c r="AC275" s="2" t="str">
        <f>_xlfn.XLOOKUP(B275,'#캐릭터'!A:A,'#캐릭터'!B:B)</f>
        <v>바토리</v>
      </c>
      <c r="AD275" s="2" t="str">
        <f t="shared" si="203"/>
        <v>Uncommon2_바토리</v>
      </c>
      <c r="AE275" s="2">
        <f t="shared" si="196"/>
        <v>0</v>
      </c>
    </row>
    <row r="276" spans="1:31" x14ac:dyDescent="0.2">
      <c r="A276" s="2">
        <f t="shared" si="192"/>
        <v>10294006</v>
      </c>
      <c r="B276" s="1">
        <v>10000294</v>
      </c>
      <c r="C276" s="1" t="s">
        <v>281</v>
      </c>
      <c r="D276" s="1" t="s">
        <v>309</v>
      </c>
      <c r="E276" s="1" t="str">
        <f>"Persona_"&amp;_xlfn.XLOOKUP($B276, '#캐릭터'!$A:$A, '#캐릭터'!$C:$C)</f>
        <v>Persona_c294</v>
      </c>
      <c r="F276" s="1"/>
      <c r="G276" s="1">
        <f>_xlfn.XLOOKUP(_xlfn.XLOOKUP(B276,'[1]Detail&lt;Child&gt;'!$A:$A,'[1]Detail&lt;Child&gt;'!$N:$N),'#참조'!P:P,'#참조'!Q:Q)</f>
        <v>3</v>
      </c>
      <c r="H276" s="1">
        <f>_xlfn.XLOOKUP(_xlfn.XLOOKUP(B276,'[1]Detail&lt;Child&gt;'!$A:$A,'[1]Detail&lt;Child&gt;'!$O:$O),'#참조'!R:R,'#참조'!S:S)</f>
        <v>4</v>
      </c>
      <c r="I276" s="1">
        <v>0</v>
      </c>
      <c r="J276" s="1">
        <v>3</v>
      </c>
      <c r="K276" s="1">
        <v>2</v>
      </c>
      <c r="L276" s="1">
        <v>6</v>
      </c>
      <c r="M276" s="2" t="s">
        <v>10</v>
      </c>
      <c r="N276" s="2" t="s">
        <v>407</v>
      </c>
      <c r="O276" s="2">
        <f t="shared" si="166"/>
        <v>3221</v>
      </c>
      <c r="P276" s="2" t="s">
        <v>56</v>
      </c>
      <c r="Q276" s="2" t="str">
        <f t="shared" si="193"/>
        <v>3713,4500</v>
      </c>
      <c r="R276" s="2">
        <f t="shared" si="167"/>
        <v>3713</v>
      </c>
      <c r="S276" s="2">
        <f t="shared" si="163"/>
        <v>4500</v>
      </c>
      <c r="T276" s="2" t="s">
        <v>57</v>
      </c>
      <c r="U276" s="2" t="str">
        <f t="shared" si="194"/>
        <v>250,300</v>
      </c>
      <c r="V276" s="2">
        <f t="shared" si="168"/>
        <v>250</v>
      </c>
      <c r="W276" s="2">
        <f t="shared" si="164"/>
        <v>300</v>
      </c>
      <c r="X276" s="2" t="s">
        <v>58</v>
      </c>
      <c r="Y276" s="2" t="str">
        <f t="shared" si="195"/>
        <v>298,400</v>
      </c>
      <c r="Z276" s="2">
        <f t="shared" si="169"/>
        <v>298</v>
      </c>
      <c r="AA276" s="2">
        <f t="shared" si="165"/>
        <v>400</v>
      </c>
      <c r="AB276" s="2">
        <v>95000</v>
      </c>
      <c r="AC276" s="2" t="str">
        <f>_xlfn.XLOOKUP(B276,'#캐릭터'!A:A,'#캐릭터'!B:B)</f>
        <v>바토리</v>
      </c>
      <c r="AD276" s="2" t="str">
        <f t="shared" si="203"/>
        <v>Uncommon3_바토리</v>
      </c>
      <c r="AE276" s="2">
        <f t="shared" si="196"/>
        <v>0</v>
      </c>
    </row>
    <row r="277" spans="1:31" x14ac:dyDescent="0.2">
      <c r="A277" s="2">
        <f t="shared" si="192"/>
        <v>10294007</v>
      </c>
      <c r="B277" s="1">
        <v>10000294</v>
      </c>
      <c r="C277" s="1" t="s">
        <v>281</v>
      </c>
      <c r="D277" s="1" t="s">
        <v>309</v>
      </c>
      <c r="E277" s="1" t="str">
        <f>"Persona_"&amp;_xlfn.XLOOKUP($B277, '#캐릭터'!$A:$A, '#캐릭터'!$C:$C)</f>
        <v>Persona_c294</v>
      </c>
      <c r="F277" s="1"/>
      <c r="G277" s="1">
        <f>_xlfn.XLOOKUP(_xlfn.XLOOKUP(B277,'[1]Detail&lt;Child&gt;'!$A:$A,'[1]Detail&lt;Child&gt;'!$N:$N),'#참조'!P:P,'#참조'!Q:Q)</f>
        <v>3</v>
      </c>
      <c r="H277" s="1">
        <f>_xlfn.XLOOKUP(_xlfn.XLOOKUP(B277,'[1]Detail&lt;Child&gt;'!$A:$A,'[1]Detail&lt;Child&gt;'!$O:$O),'#참조'!R:R,'#참조'!S:S)</f>
        <v>4</v>
      </c>
      <c r="I277" s="1">
        <v>1</v>
      </c>
      <c r="J277" s="1">
        <v>3</v>
      </c>
      <c r="K277" s="1">
        <v>3</v>
      </c>
      <c r="L277" s="1">
        <v>7</v>
      </c>
      <c r="M277" s="2" t="s">
        <v>11</v>
      </c>
      <c r="N277" s="2" t="s">
        <v>407</v>
      </c>
      <c r="O277" s="2">
        <f t="shared" si="166"/>
        <v>3543</v>
      </c>
      <c r="P277" s="2" t="s">
        <v>56</v>
      </c>
      <c r="Q277" s="2" t="str">
        <f t="shared" si="193"/>
        <v>4827,5800</v>
      </c>
      <c r="R277" s="2">
        <f t="shared" si="167"/>
        <v>4827</v>
      </c>
      <c r="S277" s="2">
        <f t="shared" si="163"/>
        <v>5800</v>
      </c>
      <c r="T277" s="2" t="s">
        <v>57</v>
      </c>
      <c r="U277" s="2" t="str">
        <f t="shared" si="194"/>
        <v>300,400</v>
      </c>
      <c r="V277" s="2">
        <f t="shared" si="168"/>
        <v>300</v>
      </c>
      <c r="W277" s="2">
        <f t="shared" si="164"/>
        <v>400</v>
      </c>
      <c r="X277" s="2" t="s">
        <v>58</v>
      </c>
      <c r="Y277" s="2" t="str">
        <f t="shared" si="195"/>
        <v>387,500</v>
      </c>
      <c r="Z277" s="2">
        <f t="shared" si="169"/>
        <v>387</v>
      </c>
      <c r="AA277" s="2">
        <f t="shared" si="165"/>
        <v>500</v>
      </c>
      <c r="AB277" s="2">
        <v>90000</v>
      </c>
      <c r="AC277" s="2" t="str">
        <f>_xlfn.XLOOKUP(B277,'#캐릭터'!A:A,'#캐릭터'!B:B)</f>
        <v>바토리</v>
      </c>
      <c r="AD277" s="2" t="str">
        <f t="shared" si="203"/>
        <v>Rare1_바토리</v>
      </c>
      <c r="AE277" s="2">
        <f t="shared" si="196"/>
        <v>3401</v>
      </c>
    </row>
    <row r="278" spans="1:31" x14ac:dyDescent="0.2">
      <c r="A278" s="2">
        <f t="shared" si="192"/>
        <v>10294008</v>
      </c>
      <c r="B278" s="1">
        <v>10000294</v>
      </c>
      <c r="C278" s="1" t="s">
        <v>281</v>
      </c>
      <c r="D278" s="1" t="s">
        <v>309</v>
      </c>
      <c r="E278" s="1" t="str">
        <f>"Persona_"&amp;_xlfn.XLOOKUP($B278, '#캐릭터'!$A:$A, '#캐릭터'!$C:$C)</f>
        <v>Persona_c294</v>
      </c>
      <c r="F278" s="1"/>
      <c r="G278" s="1">
        <f>_xlfn.XLOOKUP(_xlfn.XLOOKUP(B278,'[1]Detail&lt;Child&gt;'!$A:$A,'[1]Detail&lt;Child&gt;'!$N:$N),'#참조'!P:P,'#참조'!Q:Q)</f>
        <v>3</v>
      </c>
      <c r="H278" s="1">
        <f>_xlfn.XLOOKUP(_xlfn.XLOOKUP(B278,'[1]Detail&lt;Child&gt;'!$A:$A,'[1]Detail&lt;Child&gt;'!$O:$O),'#참조'!R:R,'#참조'!S:S)</f>
        <v>4</v>
      </c>
      <c r="I278" s="1">
        <v>1</v>
      </c>
      <c r="J278" s="1">
        <v>3</v>
      </c>
      <c r="K278" s="1">
        <v>3</v>
      </c>
      <c r="L278" s="1">
        <v>8</v>
      </c>
      <c r="M278" s="2" t="s">
        <v>12</v>
      </c>
      <c r="N278" s="2" t="s">
        <v>407</v>
      </c>
      <c r="O278" s="2">
        <f t="shared" si="166"/>
        <v>3897</v>
      </c>
      <c r="P278" s="2" t="s">
        <v>56</v>
      </c>
      <c r="Q278" s="2" t="str">
        <f t="shared" si="193"/>
        <v>6275,7500</v>
      </c>
      <c r="R278" s="2">
        <f t="shared" si="167"/>
        <v>6275</v>
      </c>
      <c r="S278" s="2">
        <f t="shared" si="163"/>
        <v>7500</v>
      </c>
      <c r="T278" s="2" t="s">
        <v>57</v>
      </c>
      <c r="U278" s="2" t="str">
        <f t="shared" si="194"/>
        <v>360,400</v>
      </c>
      <c r="V278" s="2">
        <f t="shared" si="168"/>
        <v>360</v>
      </c>
      <c r="W278" s="2">
        <f t="shared" si="164"/>
        <v>400</v>
      </c>
      <c r="X278" s="2" t="s">
        <v>58</v>
      </c>
      <c r="Y278" s="2" t="str">
        <f t="shared" si="195"/>
        <v>503,600</v>
      </c>
      <c r="Z278" s="2">
        <f t="shared" si="169"/>
        <v>503</v>
      </c>
      <c r="AA278" s="2">
        <f t="shared" si="165"/>
        <v>600</v>
      </c>
      <c r="AB278" s="2">
        <v>90000</v>
      </c>
      <c r="AC278" s="2" t="str">
        <f>_xlfn.XLOOKUP(B278,'#캐릭터'!A:A,'#캐릭터'!B:B)</f>
        <v>바토리</v>
      </c>
      <c r="AD278" s="2" t="str">
        <f t="shared" si="203"/>
        <v>Rare2_바토리</v>
      </c>
      <c r="AE278" s="2">
        <f t="shared" si="196"/>
        <v>3401</v>
      </c>
    </row>
    <row r="279" spans="1:31" x14ac:dyDescent="0.2">
      <c r="A279" s="2">
        <f t="shared" si="192"/>
        <v>10294009</v>
      </c>
      <c r="B279" s="1">
        <v>10000294</v>
      </c>
      <c r="C279" s="1" t="s">
        <v>281</v>
      </c>
      <c r="D279" s="1" t="s">
        <v>309</v>
      </c>
      <c r="E279" s="1" t="str">
        <f>"Persona_"&amp;_xlfn.XLOOKUP($B279, '#캐릭터'!$A:$A, '#캐릭터'!$C:$C)</f>
        <v>Persona_c294</v>
      </c>
      <c r="F279" s="1"/>
      <c r="G279" s="1">
        <f>_xlfn.XLOOKUP(_xlfn.XLOOKUP(B279,'[1]Detail&lt;Child&gt;'!$A:$A,'[1]Detail&lt;Child&gt;'!$N:$N),'#참조'!P:P,'#참조'!Q:Q)</f>
        <v>3</v>
      </c>
      <c r="H279" s="1">
        <f>_xlfn.XLOOKUP(_xlfn.XLOOKUP(B279,'[1]Detail&lt;Child&gt;'!$A:$A,'[1]Detail&lt;Child&gt;'!$O:$O),'#참조'!R:R,'#참조'!S:S)</f>
        <v>4</v>
      </c>
      <c r="I279" s="1">
        <v>2</v>
      </c>
      <c r="J279" s="1">
        <v>3</v>
      </c>
      <c r="K279" s="1">
        <v>3</v>
      </c>
      <c r="L279" s="1">
        <v>9</v>
      </c>
      <c r="M279" s="2" t="s">
        <v>13</v>
      </c>
      <c r="N279" s="2" t="s">
        <v>407</v>
      </c>
      <c r="O279" s="2">
        <f t="shared" si="166"/>
        <v>4287</v>
      </c>
      <c r="P279" s="2" t="s">
        <v>56</v>
      </c>
      <c r="Q279" s="2" t="str">
        <f t="shared" si="193"/>
        <v>8158,9800</v>
      </c>
      <c r="R279" s="2">
        <f t="shared" si="167"/>
        <v>8158</v>
      </c>
      <c r="S279" s="2">
        <f t="shared" si="163"/>
        <v>9800</v>
      </c>
      <c r="T279" s="2" t="s">
        <v>57</v>
      </c>
      <c r="U279" s="2" t="str">
        <f t="shared" si="194"/>
        <v>432,500</v>
      </c>
      <c r="V279" s="2">
        <f t="shared" si="168"/>
        <v>432</v>
      </c>
      <c r="W279" s="2">
        <f t="shared" si="164"/>
        <v>500</v>
      </c>
      <c r="X279" s="2" t="s">
        <v>58</v>
      </c>
      <c r="Y279" s="2" t="str">
        <f t="shared" si="195"/>
        <v>654,800</v>
      </c>
      <c r="Z279" s="2">
        <f t="shared" si="169"/>
        <v>654</v>
      </c>
      <c r="AA279" s="2">
        <f t="shared" si="165"/>
        <v>800</v>
      </c>
      <c r="AB279" s="2">
        <v>90000</v>
      </c>
      <c r="AC279" s="2" t="str">
        <f>_xlfn.XLOOKUP(B279,'#캐릭터'!A:A,'#캐릭터'!B:B)</f>
        <v>바토리</v>
      </c>
      <c r="AD279" s="2" t="str">
        <f t="shared" si="203"/>
        <v>Rare3_바토리</v>
      </c>
      <c r="AE279" s="2">
        <f t="shared" si="196"/>
        <v>3402</v>
      </c>
    </row>
    <row r="280" spans="1:31" x14ac:dyDescent="0.2">
      <c r="A280" s="2">
        <f t="shared" si="192"/>
        <v>10294010</v>
      </c>
      <c r="B280" s="1">
        <v>10000294</v>
      </c>
      <c r="C280" s="1" t="s">
        <v>281</v>
      </c>
      <c r="D280" s="1" t="s">
        <v>309</v>
      </c>
      <c r="E280" s="1" t="str">
        <f>"Persona_"&amp;_xlfn.XLOOKUP($B280, '#캐릭터'!$A:$A, '#캐릭터'!$C:$C)</f>
        <v>Persona_c294</v>
      </c>
      <c r="F280" s="1"/>
      <c r="G280" s="1">
        <f>_xlfn.XLOOKUP(_xlfn.XLOOKUP(B280,'[1]Detail&lt;Child&gt;'!$A:$A,'[1]Detail&lt;Child&gt;'!$N:$N),'#참조'!P:P,'#참조'!Q:Q)</f>
        <v>3</v>
      </c>
      <c r="H280" s="1">
        <f>_xlfn.XLOOKUP(_xlfn.XLOOKUP(B280,'[1]Detail&lt;Child&gt;'!$A:$A,'[1]Detail&lt;Child&gt;'!$O:$O),'#참조'!R:R,'#참조'!S:S)</f>
        <v>4</v>
      </c>
      <c r="I280" s="1">
        <v>2</v>
      </c>
      <c r="J280" s="1">
        <v>3</v>
      </c>
      <c r="K280" s="1">
        <v>4</v>
      </c>
      <c r="L280" s="1">
        <v>10</v>
      </c>
      <c r="M280" s="2" t="s">
        <v>14</v>
      </c>
      <c r="N280" s="2" t="s">
        <v>407</v>
      </c>
      <c r="O280" s="2">
        <f t="shared" si="166"/>
        <v>4716</v>
      </c>
      <c r="P280" s="2" t="s">
        <v>56</v>
      </c>
      <c r="Q280" s="2" t="str">
        <f t="shared" si="193"/>
        <v>10605,12700</v>
      </c>
      <c r="R280" s="2">
        <f t="shared" si="167"/>
        <v>10605</v>
      </c>
      <c r="S280" s="2">
        <f t="shared" ref="S280:S343" si="208">ROUND(R280*1.2, -2)</f>
        <v>12700</v>
      </c>
      <c r="T280" s="2" t="s">
        <v>57</v>
      </c>
      <c r="U280" s="2" t="str">
        <f t="shared" si="194"/>
        <v>518,600</v>
      </c>
      <c r="V280" s="2">
        <f t="shared" si="168"/>
        <v>518</v>
      </c>
      <c r="W280" s="2">
        <f t="shared" ref="W280:W343" si="209">ROUND(V280*1.2, -2)</f>
        <v>600</v>
      </c>
      <c r="X280" s="2" t="s">
        <v>58</v>
      </c>
      <c r="Y280" s="2" t="str">
        <f t="shared" si="195"/>
        <v>850,1000</v>
      </c>
      <c r="Z280" s="2">
        <f t="shared" si="169"/>
        <v>850</v>
      </c>
      <c r="AA280" s="2">
        <f t="shared" ref="AA280:AA343" si="210">ROUND(Z280*1.2, -2)</f>
        <v>1000</v>
      </c>
      <c r="AB280" s="2">
        <v>85000</v>
      </c>
      <c r="AC280" s="2" t="str">
        <f>_xlfn.XLOOKUP(B280,'#캐릭터'!A:A,'#캐릭터'!B:B)</f>
        <v>바토리</v>
      </c>
      <c r="AD280" s="2" t="str">
        <f t="shared" si="203"/>
        <v>Unique1_바토리</v>
      </c>
      <c r="AE280" s="2">
        <f t="shared" si="196"/>
        <v>3402</v>
      </c>
    </row>
    <row r="281" spans="1:31" x14ac:dyDescent="0.2">
      <c r="A281" s="2">
        <f t="shared" si="192"/>
        <v>10294011</v>
      </c>
      <c r="B281" s="1">
        <v>10000294</v>
      </c>
      <c r="C281" s="1" t="s">
        <v>281</v>
      </c>
      <c r="D281" s="1" t="s">
        <v>309</v>
      </c>
      <c r="E281" s="1" t="str">
        <f>"Persona_"&amp;_xlfn.XLOOKUP($B281, '#캐릭터'!$A:$A, '#캐릭터'!$C:$C)</f>
        <v>Persona_c294</v>
      </c>
      <c r="F281" s="1"/>
      <c r="G281" s="1">
        <f>_xlfn.XLOOKUP(_xlfn.XLOOKUP(B281,'[1]Detail&lt;Child&gt;'!$A:$A,'[1]Detail&lt;Child&gt;'!$N:$N),'#참조'!P:P,'#참조'!Q:Q)</f>
        <v>3</v>
      </c>
      <c r="H281" s="1">
        <f>_xlfn.XLOOKUP(_xlfn.XLOOKUP(B281,'[1]Detail&lt;Child&gt;'!$A:$A,'[1]Detail&lt;Child&gt;'!$O:$O),'#참조'!R:R,'#참조'!S:S)</f>
        <v>4</v>
      </c>
      <c r="I281" s="1">
        <v>3</v>
      </c>
      <c r="J281" s="1">
        <v>3</v>
      </c>
      <c r="K281" s="1">
        <v>4</v>
      </c>
      <c r="L281" s="1">
        <v>11</v>
      </c>
      <c r="M281" s="2" t="s">
        <v>15</v>
      </c>
      <c r="N281" s="2" t="s">
        <v>407</v>
      </c>
      <c r="O281" s="2">
        <f t="shared" ref="O281:O344" si="211">ROUND(O280*1.1, 0)</f>
        <v>5188</v>
      </c>
      <c r="P281" s="2" t="s">
        <v>56</v>
      </c>
      <c r="Q281" s="2" t="str">
        <f t="shared" si="193"/>
        <v>13787,16500</v>
      </c>
      <c r="R281" s="2">
        <f t="shared" ref="R281:R344" si="212">ROUND(R280*1.3, 0)</f>
        <v>13787</v>
      </c>
      <c r="S281" s="2">
        <f t="shared" si="208"/>
        <v>16500</v>
      </c>
      <c r="T281" s="2" t="s">
        <v>57</v>
      </c>
      <c r="U281" s="2" t="str">
        <f t="shared" si="194"/>
        <v>622,700</v>
      </c>
      <c r="V281" s="2">
        <f t="shared" ref="V281:V344" si="213">ROUND(V280*1.2, 0)</f>
        <v>622</v>
      </c>
      <c r="W281" s="2">
        <f t="shared" si="209"/>
        <v>700</v>
      </c>
      <c r="X281" s="2" t="s">
        <v>58</v>
      </c>
      <c r="Y281" s="2" t="str">
        <f t="shared" si="195"/>
        <v>1105,1300</v>
      </c>
      <c r="Z281" s="2">
        <f t="shared" ref="Z281:Z344" si="214">ROUND(Z280*1.3, 0)</f>
        <v>1105</v>
      </c>
      <c r="AA281" s="2">
        <f t="shared" si="210"/>
        <v>1300</v>
      </c>
      <c r="AB281" s="2">
        <v>85000</v>
      </c>
      <c r="AC281" s="2" t="str">
        <f>_xlfn.XLOOKUP(B281,'#캐릭터'!A:A,'#캐릭터'!B:B)</f>
        <v>바토리</v>
      </c>
      <c r="AD281" s="2" t="str">
        <f t="shared" si="203"/>
        <v>Unique2_바토리</v>
      </c>
      <c r="AE281" s="2">
        <f t="shared" si="196"/>
        <v>3403</v>
      </c>
    </row>
    <row r="282" spans="1:31" x14ac:dyDescent="0.2">
      <c r="A282" s="2">
        <f t="shared" si="192"/>
        <v>10294012</v>
      </c>
      <c r="B282" s="1">
        <v>10000294</v>
      </c>
      <c r="C282" s="1" t="s">
        <v>281</v>
      </c>
      <c r="D282" s="1" t="s">
        <v>309</v>
      </c>
      <c r="E282" s="1" t="str">
        <f>"Persona_"&amp;_xlfn.XLOOKUP($B282, '#캐릭터'!$A:$A, '#캐릭터'!$C:$C)</f>
        <v>Persona_c294</v>
      </c>
      <c r="F282" s="1"/>
      <c r="G282" s="1">
        <f>_xlfn.XLOOKUP(_xlfn.XLOOKUP(B282,'[1]Detail&lt;Child&gt;'!$A:$A,'[1]Detail&lt;Child&gt;'!$N:$N),'#참조'!P:P,'#참조'!Q:Q)</f>
        <v>3</v>
      </c>
      <c r="H282" s="1">
        <f>_xlfn.XLOOKUP(_xlfn.XLOOKUP(B282,'[1]Detail&lt;Child&gt;'!$A:$A,'[1]Detail&lt;Child&gt;'!$O:$O),'#참조'!R:R,'#참조'!S:S)</f>
        <v>4</v>
      </c>
      <c r="I282" s="1">
        <v>3</v>
      </c>
      <c r="J282" s="1">
        <v>3</v>
      </c>
      <c r="K282" s="1">
        <v>4</v>
      </c>
      <c r="L282" s="1">
        <v>12</v>
      </c>
      <c r="M282" s="2" t="s">
        <v>16</v>
      </c>
      <c r="N282" s="2" t="s">
        <v>407</v>
      </c>
      <c r="O282" s="2">
        <f t="shared" si="211"/>
        <v>5707</v>
      </c>
      <c r="P282" s="2" t="s">
        <v>56</v>
      </c>
      <c r="Q282" s="2" t="str">
        <f t="shared" si="193"/>
        <v>17923,21500</v>
      </c>
      <c r="R282" s="2">
        <f t="shared" si="212"/>
        <v>17923</v>
      </c>
      <c r="S282" s="2">
        <f t="shared" si="208"/>
        <v>21500</v>
      </c>
      <c r="T282" s="2" t="s">
        <v>57</v>
      </c>
      <c r="U282" s="2" t="str">
        <f t="shared" si="194"/>
        <v>746,900</v>
      </c>
      <c r="V282" s="2">
        <f t="shared" si="213"/>
        <v>746</v>
      </c>
      <c r="W282" s="2">
        <f t="shared" si="209"/>
        <v>900</v>
      </c>
      <c r="X282" s="2" t="s">
        <v>58</v>
      </c>
      <c r="Y282" s="2" t="str">
        <f t="shared" si="195"/>
        <v>1437,1700</v>
      </c>
      <c r="Z282" s="2">
        <f t="shared" si="214"/>
        <v>1437</v>
      </c>
      <c r="AA282" s="2">
        <f t="shared" si="210"/>
        <v>1700</v>
      </c>
      <c r="AB282" s="2">
        <v>85000</v>
      </c>
      <c r="AC282" s="2" t="str">
        <f>_xlfn.XLOOKUP(B282,'#캐릭터'!A:A,'#캐릭터'!B:B)</f>
        <v>바토리</v>
      </c>
      <c r="AD282" s="2" t="str">
        <f t="shared" si="203"/>
        <v>Unique3_바토리</v>
      </c>
      <c r="AE282" s="2">
        <f t="shared" si="196"/>
        <v>3403</v>
      </c>
    </row>
    <row r="283" spans="1:31" x14ac:dyDescent="0.2">
      <c r="A283" s="2">
        <f t="shared" si="192"/>
        <v>10294013</v>
      </c>
      <c r="B283" s="1">
        <v>10000294</v>
      </c>
      <c r="C283" s="1" t="s">
        <v>281</v>
      </c>
      <c r="D283" s="1" t="s">
        <v>309</v>
      </c>
      <c r="E283" s="1" t="str">
        <f>"Persona_"&amp;_xlfn.XLOOKUP($B283, '#캐릭터'!$A:$A, '#캐릭터'!$C:$C)</f>
        <v>Persona_c294</v>
      </c>
      <c r="F283" s="1"/>
      <c r="G283" s="1">
        <f>_xlfn.XLOOKUP(_xlfn.XLOOKUP(B283,'[1]Detail&lt;Child&gt;'!$A:$A,'[1]Detail&lt;Child&gt;'!$N:$N),'#참조'!P:P,'#참조'!Q:Q)</f>
        <v>3</v>
      </c>
      <c r="H283" s="1">
        <f>_xlfn.XLOOKUP(_xlfn.XLOOKUP(B283,'[1]Detail&lt;Child&gt;'!$A:$A,'[1]Detail&lt;Child&gt;'!$O:$O),'#참조'!R:R,'#참조'!S:S)</f>
        <v>4</v>
      </c>
      <c r="I283" s="1">
        <v>4</v>
      </c>
      <c r="J283" s="1">
        <v>3</v>
      </c>
      <c r="K283" s="1">
        <v>5</v>
      </c>
      <c r="L283" s="1">
        <v>13</v>
      </c>
      <c r="M283" s="2" t="s">
        <v>17</v>
      </c>
      <c r="N283" s="2" t="s">
        <v>407</v>
      </c>
      <c r="O283" s="2">
        <f t="shared" si="211"/>
        <v>6278</v>
      </c>
      <c r="P283" s="2" t="s">
        <v>56</v>
      </c>
      <c r="Q283" s="2" t="str">
        <f t="shared" si="193"/>
        <v>23300,28000</v>
      </c>
      <c r="R283" s="2">
        <f t="shared" si="212"/>
        <v>23300</v>
      </c>
      <c r="S283" s="2">
        <f t="shared" si="208"/>
        <v>28000</v>
      </c>
      <c r="T283" s="2" t="s">
        <v>57</v>
      </c>
      <c r="U283" s="2" t="str">
        <f t="shared" si="194"/>
        <v>895,1100</v>
      </c>
      <c r="V283" s="2">
        <f t="shared" si="213"/>
        <v>895</v>
      </c>
      <c r="W283" s="2">
        <f t="shared" si="209"/>
        <v>1100</v>
      </c>
      <c r="X283" s="2" t="s">
        <v>58</v>
      </c>
      <c r="Y283" s="2" t="str">
        <f t="shared" si="195"/>
        <v>1868,2200</v>
      </c>
      <c r="Z283" s="2">
        <f t="shared" si="214"/>
        <v>1868</v>
      </c>
      <c r="AA283" s="2">
        <f t="shared" si="210"/>
        <v>2200</v>
      </c>
      <c r="AB283" s="2">
        <v>80000</v>
      </c>
      <c r="AC283" s="2" t="str">
        <f>_xlfn.XLOOKUP(B283,'#캐릭터'!A:A,'#캐릭터'!B:B)</f>
        <v>바토리</v>
      </c>
      <c r="AD283" s="2" t="str">
        <f t="shared" si="203"/>
        <v>Epic1_바토리</v>
      </c>
      <c r="AE283" s="2">
        <f t="shared" si="196"/>
        <v>3404</v>
      </c>
    </row>
    <row r="284" spans="1:31" x14ac:dyDescent="0.2">
      <c r="A284" s="2">
        <f t="shared" si="192"/>
        <v>10294014</v>
      </c>
      <c r="B284" s="1">
        <v>10000294</v>
      </c>
      <c r="C284" s="1" t="s">
        <v>281</v>
      </c>
      <c r="D284" s="1" t="s">
        <v>309</v>
      </c>
      <c r="E284" s="1" t="str">
        <f>"Persona_"&amp;_xlfn.XLOOKUP($B284, '#캐릭터'!$A:$A, '#캐릭터'!$C:$C)</f>
        <v>Persona_c294</v>
      </c>
      <c r="F284" s="1"/>
      <c r="G284" s="1">
        <f>_xlfn.XLOOKUP(_xlfn.XLOOKUP(B284,'[1]Detail&lt;Child&gt;'!$A:$A,'[1]Detail&lt;Child&gt;'!$N:$N),'#참조'!P:P,'#참조'!Q:Q)</f>
        <v>3</v>
      </c>
      <c r="H284" s="1">
        <f>_xlfn.XLOOKUP(_xlfn.XLOOKUP(B284,'[1]Detail&lt;Child&gt;'!$A:$A,'[1]Detail&lt;Child&gt;'!$O:$O),'#참조'!R:R,'#참조'!S:S)</f>
        <v>4</v>
      </c>
      <c r="I284" s="1">
        <v>4</v>
      </c>
      <c r="J284" s="1">
        <v>3</v>
      </c>
      <c r="K284" s="1">
        <v>5</v>
      </c>
      <c r="L284" s="1">
        <v>14</v>
      </c>
      <c r="M284" s="2" t="s">
        <v>18</v>
      </c>
      <c r="N284" s="2" t="s">
        <v>407</v>
      </c>
      <c r="O284" s="2">
        <f t="shared" si="211"/>
        <v>6906</v>
      </c>
      <c r="P284" s="2" t="s">
        <v>56</v>
      </c>
      <c r="Q284" s="2" t="str">
        <f t="shared" si="193"/>
        <v>30290,36300</v>
      </c>
      <c r="R284" s="2">
        <f t="shared" si="212"/>
        <v>30290</v>
      </c>
      <c r="S284" s="2">
        <f t="shared" si="208"/>
        <v>36300</v>
      </c>
      <c r="T284" s="2" t="s">
        <v>57</v>
      </c>
      <c r="U284" s="2" t="str">
        <f t="shared" si="194"/>
        <v>1074,1300</v>
      </c>
      <c r="V284" s="2">
        <f t="shared" si="213"/>
        <v>1074</v>
      </c>
      <c r="W284" s="2">
        <f t="shared" si="209"/>
        <v>1300</v>
      </c>
      <c r="X284" s="2" t="s">
        <v>58</v>
      </c>
      <c r="Y284" s="2" t="str">
        <f t="shared" si="195"/>
        <v>2428,2900</v>
      </c>
      <c r="Z284" s="2">
        <f t="shared" si="214"/>
        <v>2428</v>
      </c>
      <c r="AA284" s="2">
        <f t="shared" si="210"/>
        <v>2900</v>
      </c>
      <c r="AB284" s="2">
        <v>80000</v>
      </c>
      <c r="AC284" s="2" t="str">
        <f>_xlfn.XLOOKUP(B284,'#캐릭터'!A:A,'#캐릭터'!B:B)</f>
        <v>바토리</v>
      </c>
      <c r="AD284" s="2" t="str">
        <f t="shared" si="203"/>
        <v>Epic2_바토리</v>
      </c>
      <c r="AE284" s="2">
        <f t="shared" si="196"/>
        <v>3404</v>
      </c>
    </row>
    <row r="285" spans="1:31" x14ac:dyDescent="0.2">
      <c r="A285" s="2">
        <f t="shared" si="192"/>
        <v>10294015</v>
      </c>
      <c r="B285" s="1">
        <v>10000294</v>
      </c>
      <c r="C285" s="1" t="s">
        <v>281</v>
      </c>
      <c r="D285" s="1" t="s">
        <v>309</v>
      </c>
      <c r="E285" s="1" t="str">
        <f>"Persona_"&amp;_xlfn.XLOOKUP($B285, '#캐릭터'!$A:$A, '#캐릭터'!$C:$C)</f>
        <v>Persona_c294</v>
      </c>
      <c r="F285" s="1"/>
      <c r="G285" s="1">
        <f>_xlfn.XLOOKUP(_xlfn.XLOOKUP(B285,'[1]Detail&lt;Child&gt;'!$A:$A,'[1]Detail&lt;Child&gt;'!$N:$N),'#참조'!P:P,'#참조'!Q:Q)</f>
        <v>3</v>
      </c>
      <c r="H285" s="1">
        <f>_xlfn.XLOOKUP(_xlfn.XLOOKUP(B285,'[1]Detail&lt;Child&gt;'!$A:$A,'[1]Detail&lt;Child&gt;'!$O:$O),'#참조'!R:R,'#참조'!S:S)</f>
        <v>4</v>
      </c>
      <c r="I285" s="1">
        <v>5</v>
      </c>
      <c r="J285" s="1">
        <v>3</v>
      </c>
      <c r="K285" s="1">
        <v>5</v>
      </c>
      <c r="L285" s="1">
        <v>15</v>
      </c>
      <c r="M285" s="2" t="s">
        <v>19</v>
      </c>
      <c r="N285" s="2" t="s">
        <v>407</v>
      </c>
      <c r="O285" s="2">
        <f t="shared" si="211"/>
        <v>7597</v>
      </c>
      <c r="P285" s="2" t="s">
        <v>56</v>
      </c>
      <c r="Q285" s="2" t="str">
        <f t="shared" si="193"/>
        <v>39377,47300</v>
      </c>
      <c r="R285" s="2">
        <f t="shared" si="212"/>
        <v>39377</v>
      </c>
      <c r="S285" s="2">
        <f t="shared" si="208"/>
        <v>47300</v>
      </c>
      <c r="T285" s="2" t="s">
        <v>57</v>
      </c>
      <c r="U285" s="2" t="str">
        <f t="shared" si="194"/>
        <v>1289,1500</v>
      </c>
      <c r="V285" s="2">
        <f t="shared" si="213"/>
        <v>1289</v>
      </c>
      <c r="W285" s="2">
        <f t="shared" si="209"/>
        <v>1500</v>
      </c>
      <c r="X285" s="2" t="s">
        <v>58</v>
      </c>
      <c r="Y285" s="2" t="str">
        <f t="shared" si="195"/>
        <v>3156,3800</v>
      </c>
      <c r="Z285" s="2">
        <f t="shared" si="214"/>
        <v>3156</v>
      </c>
      <c r="AA285" s="2">
        <f t="shared" si="210"/>
        <v>3800</v>
      </c>
      <c r="AB285" s="2">
        <v>80000</v>
      </c>
      <c r="AC285" s="2" t="str">
        <f>_xlfn.XLOOKUP(B285,'#캐릭터'!A:A,'#캐릭터'!B:B)</f>
        <v>바토리</v>
      </c>
      <c r="AD285" s="2" t="str">
        <f t="shared" si="203"/>
        <v>Epic3_바토리</v>
      </c>
      <c r="AE285" s="2">
        <f t="shared" si="196"/>
        <v>3405</v>
      </c>
    </row>
    <row r="286" spans="1:31" x14ac:dyDescent="0.2">
      <c r="A286" s="2">
        <f t="shared" si="192"/>
        <v>10294016</v>
      </c>
      <c r="B286" s="1">
        <v>10000294</v>
      </c>
      <c r="C286" s="1" t="s">
        <v>281</v>
      </c>
      <c r="D286" s="1" t="s">
        <v>309</v>
      </c>
      <c r="E286" s="1" t="str">
        <f>"Persona_"&amp;_xlfn.XLOOKUP($B286, '#캐릭터'!$A:$A, '#캐릭터'!$C:$C)</f>
        <v>Persona_c294</v>
      </c>
      <c r="F286" s="1"/>
      <c r="G286" s="1">
        <f>_xlfn.XLOOKUP(_xlfn.XLOOKUP(B286,'[1]Detail&lt;Child&gt;'!$A:$A,'[1]Detail&lt;Child&gt;'!$N:$N),'#참조'!P:P,'#참조'!Q:Q)</f>
        <v>3</v>
      </c>
      <c r="H286" s="1">
        <f>_xlfn.XLOOKUP(_xlfn.XLOOKUP(B286,'[1]Detail&lt;Child&gt;'!$A:$A,'[1]Detail&lt;Child&gt;'!$O:$O),'#참조'!R:R,'#참조'!S:S)</f>
        <v>4</v>
      </c>
      <c r="I286" s="1">
        <v>5</v>
      </c>
      <c r="J286" s="1">
        <v>3</v>
      </c>
      <c r="K286" s="1">
        <v>6</v>
      </c>
      <c r="L286" s="1">
        <v>16</v>
      </c>
      <c r="M286" s="2" t="s">
        <v>20</v>
      </c>
      <c r="N286" s="2" t="s">
        <v>407</v>
      </c>
      <c r="O286" s="2">
        <f t="shared" si="211"/>
        <v>8357</v>
      </c>
      <c r="P286" s="2" t="s">
        <v>56</v>
      </c>
      <c r="Q286" s="2" t="str">
        <f t="shared" si="193"/>
        <v>51190,61400</v>
      </c>
      <c r="R286" s="2">
        <f t="shared" si="212"/>
        <v>51190</v>
      </c>
      <c r="S286" s="2">
        <f t="shared" si="208"/>
        <v>61400</v>
      </c>
      <c r="T286" s="2" t="s">
        <v>57</v>
      </c>
      <c r="U286" s="2" t="str">
        <f t="shared" si="194"/>
        <v>1547,1900</v>
      </c>
      <c r="V286" s="2">
        <f t="shared" si="213"/>
        <v>1547</v>
      </c>
      <c r="W286" s="2">
        <f t="shared" si="209"/>
        <v>1900</v>
      </c>
      <c r="X286" s="2" t="s">
        <v>58</v>
      </c>
      <c r="Y286" s="2" t="str">
        <f t="shared" si="195"/>
        <v>4103,4900</v>
      </c>
      <c r="Z286" s="2">
        <f t="shared" si="214"/>
        <v>4103</v>
      </c>
      <c r="AA286" s="2">
        <f t="shared" si="210"/>
        <v>4900</v>
      </c>
      <c r="AB286" s="2">
        <v>75000</v>
      </c>
      <c r="AC286" s="2" t="str">
        <f>_xlfn.XLOOKUP(B286,'#캐릭터'!A:A,'#캐릭터'!B:B)</f>
        <v>바토리</v>
      </c>
      <c r="AD286" s="2" t="str">
        <f t="shared" si="203"/>
        <v>Legendary1_바토리</v>
      </c>
      <c r="AE286" s="2">
        <f t="shared" si="196"/>
        <v>3405</v>
      </c>
    </row>
    <row r="287" spans="1:31" x14ac:dyDescent="0.2">
      <c r="A287" s="2">
        <f t="shared" si="192"/>
        <v>10294017</v>
      </c>
      <c r="B287" s="1">
        <v>10000294</v>
      </c>
      <c r="C287" s="1" t="s">
        <v>281</v>
      </c>
      <c r="D287" s="1" t="s">
        <v>309</v>
      </c>
      <c r="E287" s="1" t="str">
        <f>"Persona_"&amp;_xlfn.XLOOKUP($B287, '#캐릭터'!$A:$A, '#캐릭터'!$C:$C)</f>
        <v>Persona_c294</v>
      </c>
      <c r="F287" s="1"/>
      <c r="G287" s="1">
        <f>_xlfn.XLOOKUP(_xlfn.XLOOKUP(B287,'[1]Detail&lt;Child&gt;'!$A:$A,'[1]Detail&lt;Child&gt;'!$N:$N),'#참조'!P:P,'#참조'!Q:Q)</f>
        <v>3</v>
      </c>
      <c r="H287" s="1">
        <f>_xlfn.XLOOKUP(_xlfn.XLOOKUP(B287,'[1]Detail&lt;Child&gt;'!$A:$A,'[1]Detail&lt;Child&gt;'!$O:$O),'#참조'!R:R,'#참조'!S:S)</f>
        <v>4</v>
      </c>
      <c r="I287" s="1">
        <v>6</v>
      </c>
      <c r="J287" s="1">
        <v>3</v>
      </c>
      <c r="K287" s="1">
        <v>6</v>
      </c>
      <c r="L287" s="1">
        <v>17</v>
      </c>
      <c r="M287" s="2" t="s">
        <v>21</v>
      </c>
      <c r="N287" s="2" t="s">
        <v>407</v>
      </c>
      <c r="O287" s="2">
        <f t="shared" si="211"/>
        <v>9193</v>
      </c>
      <c r="P287" s="2" t="s">
        <v>56</v>
      </c>
      <c r="Q287" s="2" t="str">
        <f t="shared" si="193"/>
        <v>66547,79900</v>
      </c>
      <c r="R287" s="2">
        <f t="shared" si="212"/>
        <v>66547</v>
      </c>
      <c r="S287" s="2">
        <f t="shared" si="208"/>
        <v>79900</v>
      </c>
      <c r="T287" s="2" t="s">
        <v>57</v>
      </c>
      <c r="U287" s="2" t="str">
        <f t="shared" si="194"/>
        <v>1856,2200</v>
      </c>
      <c r="V287" s="2">
        <f t="shared" si="213"/>
        <v>1856</v>
      </c>
      <c r="W287" s="2">
        <f t="shared" si="209"/>
        <v>2200</v>
      </c>
      <c r="X287" s="2" t="s">
        <v>58</v>
      </c>
      <c r="Y287" s="2" t="str">
        <f t="shared" si="195"/>
        <v>5334,6400</v>
      </c>
      <c r="Z287" s="2">
        <f t="shared" si="214"/>
        <v>5334</v>
      </c>
      <c r="AA287" s="2">
        <f t="shared" si="210"/>
        <v>6400</v>
      </c>
      <c r="AB287" s="2">
        <v>75000</v>
      </c>
      <c r="AC287" s="2" t="str">
        <f>_xlfn.XLOOKUP(B287,'#캐릭터'!A:A,'#캐릭터'!B:B)</f>
        <v>바토리</v>
      </c>
      <c r="AD287" s="2" t="str">
        <f t="shared" si="203"/>
        <v>Legendary2_바토리</v>
      </c>
      <c r="AE287" s="2">
        <f t="shared" si="196"/>
        <v>3406</v>
      </c>
    </row>
    <row r="288" spans="1:31" x14ac:dyDescent="0.2">
      <c r="A288" s="2">
        <f t="shared" si="192"/>
        <v>10294018</v>
      </c>
      <c r="B288" s="1">
        <v>10000294</v>
      </c>
      <c r="C288" s="1" t="s">
        <v>281</v>
      </c>
      <c r="D288" s="1" t="s">
        <v>309</v>
      </c>
      <c r="E288" s="1" t="str">
        <f>"Persona_"&amp;_xlfn.XLOOKUP($B288, '#캐릭터'!$A:$A, '#캐릭터'!$C:$C)</f>
        <v>Persona_c294</v>
      </c>
      <c r="F288" s="1"/>
      <c r="G288" s="1">
        <f>_xlfn.XLOOKUP(_xlfn.XLOOKUP(B288,'[1]Detail&lt;Child&gt;'!$A:$A,'[1]Detail&lt;Child&gt;'!$N:$N),'#참조'!P:P,'#참조'!Q:Q)</f>
        <v>3</v>
      </c>
      <c r="H288" s="1">
        <f>_xlfn.XLOOKUP(_xlfn.XLOOKUP(B288,'[1]Detail&lt;Child&gt;'!$A:$A,'[1]Detail&lt;Child&gt;'!$O:$O),'#참조'!R:R,'#참조'!S:S)</f>
        <v>4</v>
      </c>
      <c r="I288" s="1">
        <v>6</v>
      </c>
      <c r="J288" s="1">
        <v>3</v>
      </c>
      <c r="K288" s="1">
        <v>6</v>
      </c>
      <c r="L288" s="1">
        <v>18</v>
      </c>
      <c r="M288" s="2" t="s">
        <v>22</v>
      </c>
      <c r="N288" s="2" t="s">
        <v>407</v>
      </c>
      <c r="O288" s="2">
        <f t="shared" si="211"/>
        <v>10112</v>
      </c>
      <c r="P288" s="2" t="s">
        <v>56</v>
      </c>
      <c r="Q288" s="2" t="str">
        <f t="shared" si="193"/>
        <v>86511,103800</v>
      </c>
      <c r="R288" s="2">
        <f t="shared" si="212"/>
        <v>86511</v>
      </c>
      <c r="S288" s="2">
        <f t="shared" si="208"/>
        <v>103800</v>
      </c>
      <c r="T288" s="2" t="s">
        <v>57</v>
      </c>
      <c r="U288" s="2" t="str">
        <f t="shared" si="194"/>
        <v>2227,2700</v>
      </c>
      <c r="V288" s="2">
        <f t="shared" si="213"/>
        <v>2227</v>
      </c>
      <c r="W288" s="2">
        <f t="shared" si="209"/>
        <v>2700</v>
      </c>
      <c r="X288" s="2" t="s">
        <v>58</v>
      </c>
      <c r="Y288" s="2" t="str">
        <f t="shared" si="195"/>
        <v>6934,8300</v>
      </c>
      <c r="Z288" s="2">
        <f t="shared" si="214"/>
        <v>6934</v>
      </c>
      <c r="AA288" s="2">
        <f t="shared" si="210"/>
        <v>8300</v>
      </c>
      <c r="AB288" s="2">
        <v>75000</v>
      </c>
      <c r="AC288" s="2" t="str">
        <f>_xlfn.XLOOKUP(B288,'#캐릭터'!A:A,'#캐릭터'!B:B)</f>
        <v>바토리</v>
      </c>
      <c r="AD288" s="2" t="str">
        <f t="shared" si="203"/>
        <v>Legendary3_바토리</v>
      </c>
      <c r="AE288" s="2">
        <f t="shared" si="196"/>
        <v>3406</v>
      </c>
    </row>
    <row r="289" spans="1:31" x14ac:dyDescent="0.2">
      <c r="A289" s="2">
        <f t="shared" si="192"/>
        <v>10501000</v>
      </c>
      <c r="B289" s="1">
        <v>10000501</v>
      </c>
      <c r="C289" s="1" t="s">
        <v>281</v>
      </c>
      <c r="D289" s="1" t="s">
        <v>309</v>
      </c>
      <c r="E289" s="1" t="str">
        <f>"Persona_"&amp;_xlfn.XLOOKUP($B289, '#캐릭터'!$A:$A, '#캐릭터'!$C:$C)</f>
        <v>Persona_c501</v>
      </c>
      <c r="F289" s="1"/>
      <c r="G289" s="1">
        <f>_xlfn.XLOOKUP(_xlfn.XLOOKUP(B289,'[1]Detail&lt;Child&gt;'!$A:$A,'[1]Detail&lt;Child&gt;'!$N:$N),'#참조'!P:P,'#참조'!Q:Q)</f>
        <v>1</v>
      </c>
      <c r="H289" s="1">
        <f>_xlfn.XLOOKUP(_xlfn.XLOOKUP(B289,'[1]Detail&lt;Child&gt;'!$A:$A,'[1]Detail&lt;Child&gt;'!$O:$O),'#참조'!R:R,'#참조'!S:S)</f>
        <v>2</v>
      </c>
      <c r="I289" s="1">
        <v>0</v>
      </c>
      <c r="J289" s="2">
        <v>3</v>
      </c>
      <c r="K289" s="2">
        <v>0</v>
      </c>
      <c r="L289" s="2">
        <v>0</v>
      </c>
      <c r="M289" s="2" t="s">
        <v>31</v>
      </c>
      <c r="N289" s="2" t="s">
        <v>407</v>
      </c>
      <c r="O289" s="2">
        <v>0</v>
      </c>
      <c r="P289" s="2" t="s">
        <v>194</v>
      </c>
      <c r="Q289" s="2" t="str">
        <f t="shared" si="193"/>
        <v>1000,1000</v>
      </c>
      <c r="R289" s="2">
        <v>1000</v>
      </c>
      <c r="S289" s="2">
        <f t="shared" ref="S289" si="215">R289</f>
        <v>1000</v>
      </c>
      <c r="T289" s="2" t="s">
        <v>195</v>
      </c>
      <c r="U289" s="2" t="str">
        <f t="shared" si="194"/>
        <v>100,100</v>
      </c>
      <c r="V289" s="2">
        <v>100</v>
      </c>
      <c r="W289" s="2">
        <f t="shared" ref="W289" si="216">V289</f>
        <v>100</v>
      </c>
      <c r="X289" s="2" t="s">
        <v>196</v>
      </c>
      <c r="Y289" s="2" t="str">
        <f t="shared" si="195"/>
        <v>80,80</v>
      </c>
      <c r="Z289" s="2">
        <v>80</v>
      </c>
      <c r="AA289" s="2">
        <f t="shared" ref="AA289" si="217">Z289</f>
        <v>80</v>
      </c>
      <c r="AB289" s="2">
        <v>100000</v>
      </c>
      <c r="AC289" s="2" t="str">
        <f>_xlfn.XLOOKUP(B289,'#캐릭터'!A:A,'#캐릭터'!B:B)</f>
        <v>라가라자</v>
      </c>
      <c r="AE289" s="2">
        <f t="shared" si="196"/>
        <v>0</v>
      </c>
    </row>
    <row r="290" spans="1:31" x14ac:dyDescent="0.2">
      <c r="A290" s="2">
        <f t="shared" si="192"/>
        <v>10501001</v>
      </c>
      <c r="B290" s="1">
        <v>10000501</v>
      </c>
      <c r="C290" s="1" t="s">
        <v>281</v>
      </c>
      <c r="D290" s="1" t="s">
        <v>309</v>
      </c>
      <c r="E290" s="1" t="str">
        <f>"Persona_"&amp;_xlfn.XLOOKUP($B290, '#캐릭터'!$A:$A, '#캐릭터'!$C:$C)</f>
        <v>Persona_c501</v>
      </c>
      <c r="F290" s="1"/>
      <c r="G290" s="1">
        <f>_xlfn.XLOOKUP(_xlfn.XLOOKUP(B290,'[1]Detail&lt;Child&gt;'!$A:$A,'[1]Detail&lt;Child&gt;'!$N:$N),'#참조'!P:P,'#참조'!Q:Q)</f>
        <v>1</v>
      </c>
      <c r="H290" s="1">
        <f>_xlfn.XLOOKUP(_xlfn.XLOOKUP(B290,'[1]Detail&lt;Child&gt;'!$A:$A,'[1]Detail&lt;Child&gt;'!$O:$O),'#참조'!R:R,'#참조'!S:S)</f>
        <v>2</v>
      </c>
      <c r="I290" s="1">
        <v>0</v>
      </c>
      <c r="J290" s="2">
        <v>3</v>
      </c>
      <c r="K290" s="2">
        <v>1</v>
      </c>
      <c r="L290" s="2">
        <v>1</v>
      </c>
      <c r="M290" s="2" t="s">
        <v>5</v>
      </c>
      <c r="N290" s="2" t="s">
        <v>407</v>
      </c>
      <c r="O290" s="2">
        <v>2000</v>
      </c>
      <c r="P290" s="2" t="s">
        <v>194</v>
      </c>
      <c r="Q290" s="2" t="str">
        <f t="shared" si="193"/>
        <v>1000,1200</v>
      </c>
      <c r="R290" s="2">
        <v>1000</v>
      </c>
      <c r="S290" s="2">
        <f t="shared" ref="S290" si="218">ROUND(R290*1.2, -2)</f>
        <v>1200</v>
      </c>
      <c r="T290" s="2" t="s">
        <v>195</v>
      </c>
      <c r="U290" s="2" t="str">
        <f t="shared" si="194"/>
        <v>100,100</v>
      </c>
      <c r="V290" s="2">
        <v>100</v>
      </c>
      <c r="W290" s="2">
        <f t="shared" ref="W290" si="219">ROUND(V290*1.2, -2)</f>
        <v>100</v>
      </c>
      <c r="X290" s="2" t="s">
        <v>196</v>
      </c>
      <c r="Y290" s="2" t="str">
        <f t="shared" si="195"/>
        <v>80,100</v>
      </c>
      <c r="Z290" s="2">
        <v>80</v>
      </c>
      <c r="AA290" s="2">
        <f t="shared" ref="AA290" si="220">ROUND(Z290*1.2, -2)</f>
        <v>100</v>
      </c>
      <c r="AB290" s="2">
        <v>100000</v>
      </c>
      <c r="AC290" s="2" t="str">
        <f>_xlfn.XLOOKUP(B290,'#캐릭터'!A:A,'#캐릭터'!B:B)</f>
        <v>라가라자</v>
      </c>
      <c r="AD290" s="2" t="str">
        <f t="shared" si="203"/>
        <v>Common1_라가라자</v>
      </c>
      <c r="AE290" s="2">
        <f t="shared" si="196"/>
        <v>0</v>
      </c>
    </row>
    <row r="291" spans="1:31" x14ac:dyDescent="0.2">
      <c r="A291" s="2">
        <f t="shared" si="192"/>
        <v>10501002</v>
      </c>
      <c r="B291" s="1">
        <v>10000501</v>
      </c>
      <c r="C291" s="1" t="s">
        <v>281</v>
      </c>
      <c r="D291" s="1" t="s">
        <v>309</v>
      </c>
      <c r="E291" s="1" t="str">
        <f>"Persona_"&amp;_xlfn.XLOOKUP($B291, '#캐릭터'!$A:$A, '#캐릭터'!$C:$C)</f>
        <v>Persona_c501</v>
      </c>
      <c r="F291" s="1"/>
      <c r="G291" s="1">
        <f>_xlfn.XLOOKUP(_xlfn.XLOOKUP(B291,'[1]Detail&lt;Child&gt;'!$A:$A,'[1]Detail&lt;Child&gt;'!$N:$N),'#참조'!P:P,'#참조'!Q:Q)</f>
        <v>1</v>
      </c>
      <c r="H291" s="1">
        <f>_xlfn.XLOOKUP(_xlfn.XLOOKUP(B291,'[1]Detail&lt;Child&gt;'!$A:$A,'[1]Detail&lt;Child&gt;'!$O:$O),'#참조'!R:R,'#참조'!S:S)</f>
        <v>2</v>
      </c>
      <c r="I291" s="1">
        <v>0</v>
      </c>
      <c r="J291" s="2">
        <v>3</v>
      </c>
      <c r="K291" s="2">
        <v>1</v>
      </c>
      <c r="L291" s="2">
        <v>2</v>
      </c>
      <c r="M291" s="2" t="s">
        <v>6</v>
      </c>
      <c r="N291" s="2" t="s">
        <v>407</v>
      </c>
      <c r="O291" s="2">
        <f t="shared" ref="O291" si="221">ROUND(O290*1.1, 0)</f>
        <v>2200</v>
      </c>
      <c r="P291" s="2" t="s">
        <v>194</v>
      </c>
      <c r="Q291" s="2" t="str">
        <f t="shared" si="193"/>
        <v>1300,1600</v>
      </c>
      <c r="R291" s="2">
        <f t="shared" ref="R291" si="222">ROUND(R290*1.3, 0)</f>
        <v>1300</v>
      </c>
      <c r="S291" s="2">
        <f t="shared" si="208"/>
        <v>1600</v>
      </c>
      <c r="T291" s="2" t="s">
        <v>195</v>
      </c>
      <c r="U291" s="2" t="str">
        <f t="shared" si="194"/>
        <v>120,100</v>
      </c>
      <c r="V291" s="2">
        <f t="shared" ref="V291" si="223">ROUND(V290*1.2, 0)</f>
        <v>120</v>
      </c>
      <c r="W291" s="2">
        <f t="shared" si="209"/>
        <v>100</v>
      </c>
      <c r="X291" s="2" t="s">
        <v>196</v>
      </c>
      <c r="Y291" s="2" t="str">
        <f t="shared" si="195"/>
        <v>104,100</v>
      </c>
      <c r="Z291" s="2">
        <f t="shared" ref="Z291" si="224">ROUND(Z290*1.3, 0)</f>
        <v>104</v>
      </c>
      <c r="AA291" s="2">
        <f t="shared" si="210"/>
        <v>100</v>
      </c>
      <c r="AB291" s="2">
        <v>100000</v>
      </c>
      <c r="AC291" s="2" t="str">
        <f>_xlfn.XLOOKUP(B291,'#캐릭터'!A:A,'#캐릭터'!B:B)</f>
        <v>라가라자</v>
      </c>
      <c r="AD291" s="2" t="str">
        <f t="shared" si="203"/>
        <v>Common2_라가라자</v>
      </c>
      <c r="AE291" s="2">
        <f t="shared" si="196"/>
        <v>0</v>
      </c>
    </row>
    <row r="292" spans="1:31" x14ac:dyDescent="0.2">
      <c r="A292" s="2">
        <f t="shared" si="192"/>
        <v>10501003</v>
      </c>
      <c r="B292" s="1">
        <v>10000501</v>
      </c>
      <c r="C292" s="1" t="s">
        <v>281</v>
      </c>
      <c r="D292" s="1" t="s">
        <v>309</v>
      </c>
      <c r="E292" s="1" t="str">
        <f>"Persona_"&amp;_xlfn.XLOOKUP($B292, '#캐릭터'!$A:$A, '#캐릭터'!$C:$C)</f>
        <v>Persona_c501</v>
      </c>
      <c r="F292" s="1"/>
      <c r="G292" s="1">
        <f>_xlfn.XLOOKUP(_xlfn.XLOOKUP(B292,'[1]Detail&lt;Child&gt;'!$A:$A,'[1]Detail&lt;Child&gt;'!$N:$N),'#참조'!P:P,'#참조'!Q:Q)</f>
        <v>1</v>
      </c>
      <c r="H292" s="1">
        <f>_xlfn.XLOOKUP(_xlfn.XLOOKUP(B292,'[1]Detail&lt;Child&gt;'!$A:$A,'[1]Detail&lt;Child&gt;'!$O:$O),'#참조'!R:R,'#참조'!S:S)</f>
        <v>2</v>
      </c>
      <c r="I292" s="1">
        <v>0</v>
      </c>
      <c r="J292" s="2">
        <v>3</v>
      </c>
      <c r="K292" s="2">
        <v>1</v>
      </c>
      <c r="L292" s="2">
        <v>3</v>
      </c>
      <c r="M292" s="2" t="s">
        <v>7</v>
      </c>
      <c r="N292" s="2" t="s">
        <v>407</v>
      </c>
      <c r="O292" s="2">
        <f t="shared" si="211"/>
        <v>2420</v>
      </c>
      <c r="P292" s="2" t="s">
        <v>194</v>
      </c>
      <c r="Q292" s="2" t="str">
        <f t="shared" si="193"/>
        <v>1690,2000</v>
      </c>
      <c r="R292" s="2">
        <f t="shared" si="212"/>
        <v>1690</v>
      </c>
      <c r="S292" s="2">
        <f t="shared" si="208"/>
        <v>2000</v>
      </c>
      <c r="T292" s="2" t="s">
        <v>195</v>
      </c>
      <c r="U292" s="2" t="str">
        <f t="shared" si="194"/>
        <v>144,200</v>
      </c>
      <c r="V292" s="2">
        <f t="shared" si="213"/>
        <v>144</v>
      </c>
      <c r="W292" s="2">
        <f t="shared" si="209"/>
        <v>200</v>
      </c>
      <c r="X292" s="2" t="s">
        <v>196</v>
      </c>
      <c r="Y292" s="2" t="str">
        <f t="shared" si="195"/>
        <v>135,200</v>
      </c>
      <c r="Z292" s="2">
        <f t="shared" si="214"/>
        <v>135</v>
      </c>
      <c r="AA292" s="2">
        <f t="shared" si="210"/>
        <v>200</v>
      </c>
      <c r="AB292" s="2">
        <v>100000</v>
      </c>
      <c r="AC292" s="2" t="str">
        <f>_xlfn.XLOOKUP(B292,'#캐릭터'!A:A,'#캐릭터'!B:B)</f>
        <v>라가라자</v>
      </c>
      <c r="AD292" s="2" t="str">
        <f t="shared" si="203"/>
        <v>Common3_라가라자</v>
      </c>
      <c r="AE292" s="2">
        <f t="shared" si="196"/>
        <v>0</v>
      </c>
    </row>
    <row r="293" spans="1:31" x14ac:dyDescent="0.2">
      <c r="A293" s="2">
        <f t="shared" si="192"/>
        <v>10501004</v>
      </c>
      <c r="B293" s="1">
        <v>10000501</v>
      </c>
      <c r="C293" s="1" t="s">
        <v>281</v>
      </c>
      <c r="D293" s="1" t="s">
        <v>309</v>
      </c>
      <c r="E293" s="1" t="str">
        <f>"Persona_"&amp;_xlfn.XLOOKUP($B293, '#캐릭터'!$A:$A, '#캐릭터'!$C:$C)</f>
        <v>Persona_c501</v>
      </c>
      <c r="F293" s="1"/>
      <c r="G293" s="1">
        <f>_xlfn.XLOOKUP(_xlfn.XLOOKUP(B293,'[1]Detail&lt;Child&gt;'!$A:$A,'[1]Detail&lt;Child&gt;'!$N:$N),'#참조'!P:P,'#참조'!Q:Q)</f>
        <v>1</v>
      </c>
      <c r="H293" s="1">
        <f>_xlfn.XLOOKUP(_xlfn.XLOOKUP(B293,'[1]Detail&lt;Child&gt;'!$A:$A,'[1]Detail&lt;Child&gt;'!$O:$O),'#참조'!R:R,'#참조'!S:S)</f>
        <v>2</v>
      </c>
      <c r="I293" s="1">
        <v>0</v>
      </c>
      <c r="J293" s="2">
        <v>3</v>
      </c>
      <c r="K293" s="2">
        <v>2</v>
      </c>
      <c r="L293" s="2">
        <v>4</v>
      </c>
      <c r="M293" s="2" t="s">
        <v>8</v>
      </c>
      <c r="N293" s="2" t="s">
        <v>407</v>
      </c>
      <c r="O293" s="2">
        <f t="shared" si="211"/>
        <v>2662</v>
      </c>
      <c r="P293" s="2" t="s">
        <v>194</v>
      </c>
      <c r="Q293" s="2" t="str">
        <f t="shared" si="193"/>
        <v>2197,2600</v>
      </c>
      <c r="R293" s="2">
        <f t="shared" si="212"/>
        <v>2197</v>
      </c>
      <c r="S293" s="2">
        <f t="shared" si="208"/>
        <v>2600</v>
      </c>
      <c r="T293" s="2" t="s">
        <v>195</v>
      </c>
      <c r="U293" s="2" t="str">
        <f t="shared" si="194"/>
        <v>173,200</v>
      </c>
      <c r="V293" s="2">
        <f t="shared" si="213"/>
        <v>173</v>
      </c>
      <c r="W293" s="2">
        <f t="shared" si="209"/>
        <v>200</v>
      </c>
      <c r="X293" s="2" t="s">
        <v>196</v>
      </c>
      <c r="Y293" s="2" t="str">
        <f t="shared" si="195"/>
        <v>176,200</v>
      </c>
      <c r="Z293" s="2">
        <f t="shared" si="214"/>
        <v>176</v>
      </c>
      <c r="AA293" s="2">
        <f t="shared" si="210"/>
        <v>200</v>
      </c>
      <c r="AB293" s="2">
        <v>95000</v>
      </c>
      <c r="AC293" s="2" t="str">
        <f>_xlfn.XLOOKUP(B293,'#캐릭터'!A:A,'#캐릭터'!B:B)</f>
        <v>라가라자</v>
      </c>
      <c r="AD293" s="2" t="str">
        <f t="shared" si="203"/>
        <v>Uncommon1_라가라자</v>
      </c>
      <c r="AE293" s="2">
        <f t="shared" si="196"/>
        <v>0</v>
      </c>
    </row>
    <row r="294" spans="1:31" x14ac:dyDescent="0.2">
      <c r="A294" s="2">
        <f t="shared" si="192"/>
        <v>10501005</v>
      </c>
      <c r="B294" s="1">
        <v>10000501</v>
      </c>
      <c r="C294" s="1" t="s">
        <v>281</v>
      </c>
      <c r="D294" s="1" t="s">
        <v>309</v>
      </c>
      <c r="E294" s="1" t="str">
        <f>"Persona_"&amp;_xlfn.XLOOKUP($B294, '#캐릭터'!$A:$A, '#캐릭터'!$C:$C)</f>
        <v>Persona_c501</v>
      </c>
      <c r="F294" s="1"/>
      <c r="G294" s="1">
        <f>_xlfn.XLOOKUP(_xlfn.XLOOKUP(B294,'[1]Detail&lt;Child&gt;'!$A:$A,'[1]Detail&lt;Child&gt;'!$N:$N),'#참조'!P:P,'#참조'!Q:Q)</f>
        <v>1</v>
      </c>
      <c r="H294" s="1">
        <f>_xlfn.XLOOKUP(_xlfn.XLOOKUP(B294,'[1]Detail&lt;Child&gt;'!$A:$A,'[1]Detail&lt;Child&gt;'!$O:$O),'#참조'!R:R,'#참조'!S:S)</f>
        <v>2</v>
      </c>
      <c r="I294" s="1">
        <v>0</v>
      </c>
      <c r="J294" s="2">
        <v>3</v>
      </c>
      <c r="K294" s="2">
        <v>2</v>
      </c>
      <c r="L294" s="2">
        <v>5</v>
      </c>
      <c r="M294" s="2" t="s">
        <v>9</v>
      </c>
      <c r="N294" s="2" t="s">
        <v>407</v>
      </c>
      <c r="O294" s="2">
        <f t="shared" si="211"/>
        <v>2928</v>
      </c>
      <c r="P294" s="2" t="s">
        <v>194</v>
      </c>
      <c r="Q294" s="2" t="str">
        <f t="shared" si="193"/>
        <v>2856,3400</v>
      </c>
      <c r="R294" s="2">
        <f t="shared" si="212"/>
        <v>2856</v>
      </c>
      <c r="S294" s="2">
        <f t="shared" si="208"/>
        <v>3400</v>
      </c>
      <c r="T294" s="2" t="s">
        <v>195</v>
      </c>
      <c r="U294" s="2" t="str">
        <f t="shared" si="194"/>
        <v>208,200</v>
      </c>
      <c r="V294" s="2">
        <f t="shared" si="213"/>
        <v>208</v>
      </c>
      <c r="W294" s="2">
        <f t="shared" si="209"/>
        <v>200</v>
      </c>
      <c r="X294" s="2" t="s">
        <v>196</v>
      </c>
      <c r="Y294" s="2" t="str">
        <f t="shared" si="195"/>
        <v>229,300</v>
      </c>
      <c r="Z294" s="2">
        <f t="shared" si="214"/>
        <v>229</v>
      </c>
      <c r="AA294" s="2">
        <f t="shared" si="210"/>
        <v>300</v>
      </c>
      <c r="AB294" s="2">
        <v>95000</v>
      </c>
      <c r="AC294" s="2" t="str">
        <f>_xlfn.XLOOKUP(B294,'#캐릭터'!A:A,'#캐릭터'!B:B)</f>
        <v>라가라자</v>
      </c>
      <c r="AD294" s="2" t="str">
        <f t="shared" si="203"/>
        <v>Uncommon2_라가라자</v>
      </c>
      <c r="AE294" s="2">
        <f t="shared" si="196"/>
        <v>0</v>
      </c>
    </row>
    <row r="295" spans="1:31" x14ac:dyDescent="0.2">
      <c r="A295" s="2">
        <f t="shared" si="192"/>
        <v>10501006</v>
      </c>
      <c r="B295" s="1">
        <v>10000501</v>
      </c>
      <c r="C295" s="1" t="s">
        <v>281</v>
      </c>
      <c r="D295" s="1" t="s">
        <v>309</v>
      </c>
      <c r="E295" s="1" t="str">
        <f>"Persona_"&amp;_xlfn.XLOOKUP($B295, '#캐릭터'!$A:$A, '#캐릭터'!$C:$C)</f>
        <v>Persona_c501</v>
      </c>
      <c r="F295" s="1"/>
      <c r="G295" s="1">
        <f>_xlfn.XLOOKUP(_xlfn.XLOOKUP(B295,'[1]Detail&lt;Child&gt;'!$A:$A,'[1]Detail&lt;Child&gt;'!$N:$N),'#참조'!P:P,'#참조'!Q:Q)</f>
        <v>1</v>
      </c>
      <c r="H295" s="1">
        <f>_xlfn.XLOOKUP(_xlfn.XLOOKUP(B295,'[1]Detail&lt;Child&gt;'!$A:$A,'[1]Detail&lt;Child&gt;'!$O:$O),'#참조'!R:R,'#참조'!S:S)</f>
        <v>2</v>
      </c>
      <c r="I295" s="1">
        <v>0</v>
      </c>
      <c r="J295" s="2">
        <v>3</v>
      </c>
      <c r="K295" s="2">
        <v>2</v>
      </c>
      <c r="L295" s="2">
        <v>6</v>
      </c>
      <c r="M295" s="2" t="s">
        <v>10</v>
      </c>
      <c r="N295" s="2" t="s">
        <v>407</v>
      </c>
      <c r="O295" s="2">
        <f t="shared" si="211"/>
        <v>3221</v>
      </c>
      <c r="P295" s="2" t="s">
        <v>194</v>
      </c>
      <c r="Q295" s="2" t="str">
        <f t="shared" si="193"/>
        <v>3713,4500</v>
      </c>
      <c r="R295" s="2">
        <f t="shared" si="212"/>
        <v>3713</v>
      </c>
      <c r="S295" s="2">
        <f t="shared" si="208"/>
        <v>4500</v>
      </c>
      <c r="T295" s="2" t="s">
        <v>195</v>
      </c>
      <c r="U295" s="2" t="str">
        <f t="shared" si="194"/>
        <v>250,300</v>
      </c>
      <c r="V295" s="2">
        <f t="shared" si="213"/>
        <v>250</v>
      </c>
      <c r="W295" s="2">
        <f t="shared" si="209"/>
        <v>300</v>
      </c>
      <c r="X295" s="2" t="s">
        <v>196</v>
      </c>
      <c r="Y295" s="2" t="str">
        <f t="shared" si="195"/>
        <v>298,400</v>
      </c>
      <c r="Z295" s="2">
        <f t="shared" si="214"/>
        <v>298</v>
      </c>
      <c r="AA295" s="2">
        <f t="shared" si="210"/>
        <v>400</v>
      </c>
      <c r="AB295" s="2">
        <v>95000</v>
      </c>
      <c r="AC295" s="2" t="str">
        <f>_xlfn.XLOOKUP(B295,'#캐릭터'!A:A,'#캐릭터'!B:B)</f>
        <v>라가라자</v>
      </c>
      <c r="AD295" s="2" t="str">
        <f t="shared" si="203"/>
        <v>Uncommon3_라가라자</v>
      </c>
      <c r="AE295" s="2">
        <f t="shared" si="196"/>
        <v>0</v>
      </c>
    </row>
    <row r="296" spans="1:31" x14ac:dyDescent="0.2">
      <c r="A296" s="2">
        <f t="shared" si="192"/>
        <v>10501007</v>
      </c>
      <c r="B296" s="1">
        <v>10000501</v>
      </c>
      <c r="C296" s="1" t="s">
        <v>281</v>
      </c>
      <c r="D296" s="1" t="s">
        <v>309</v>
      </c>
      <c r="E296" s="1" t="str">
        <f>"Persona_"&amp;_xlfn.XLOOKUP($B296, '#캐릭터'!$A:$A, '#캐릭터'!$C:$C)</f>
        <v>Persona_c501</v>
      </c>
      <c r="F296" s="1"/>
      <c r="G296" s="1">
        <f>_xlfn.XLOOKUP(_xlfn.XLOOKUP(B296,'[1]Detail&lt;Child&gt;'!$A:$A,'[1]Detail&lt;Child&gt;'!$N:$N),'#참조'!P:P,'#참조'!Q:Q)</f>
        <v>1</v>
      </c>
      <c r="H296" s="1">
        <f>_xlfn.XLOOKUP(_xlfn.XLOOKUP(B296,'[1]Detail&lt;Child&gt;'!$A:$A,'[1]Detail&lt;Child&gt;'!$O:$O),'#참조'!R:R,'#참조'!S:S)</f>
        <v>2</v>
      </c>
      <c r="I296" s="1">
        <v>1</v>
      </c>
      <c r="J296" s="2">
        <v>3</v>
      </c>
      <c r="K296" s="2">
        <v>3</v>
      </c>
      <c r="L296" s="2">
        <v>7</v>
      </c>
      <c r="M296" s="2" t="s">
        <v>11</v>
      </c>
      <c r="N296" s="2" t="s">
        <v>407</v>
      </c>
      <c r="O296" s="2">
        <f t="shared" si="211"/>
        <v>3543</v>
      </c>
      <c r="P296" s="2" t="s">
        <v>194</v>
      </c>
      <c r="Q296" s="2" t="str">
        <f t="shared" si="193"/>
        <v>4827,5800</v>
      </c>
      <c r="R296" s="2">
        <f t="shared" si="212"/>
        <v>4827</v>
      </c>
      <c r="S296" s="2">
        <f t="shared" si="208"/>
        <v>5800</v>
      </c>
      <c r="T296" s="2" t="s">
        <v>195</v>
      </c>
      <c r="U296" s="2" t="str">
        <f t="shared" si="194"/>
        <v>300,400</v>
      </c>
      <c r="V296" s="2">
        <f t="shared" si="213"/>
        <v>300</v>
      </c>
      <c r="W296" s="2">
        <f t="shared" si="209"/>
        <v>400</v>
      </c>
      <c r="X296" s="2" t="s">
        <v>196</v>
      </c>
      <c r="Y296" s="2" t="str">
        <f t="shared" si="195"/>
        <v>387,500</v>
      </c>
      <c r="Z296" s="2">
        <f t="shared" si="214"/>
        <v>387</v>
      </c>
      <c r="AA296" s="2">
        <f t="shared" si="210"/>
        <v>500</v>
      </c>
      <c r="AB296" s="2">
        <v>90000</v>
      </c>
      <c r="AC296" s="2" t="str">
        <f>_xlfn.XLOOKUP(B296,'#캐릭터'!A:A,'#캐릭터'!B:B)</f>
        <v>라가라자</v>
      </c>
      <c r="AD296" s="2" t="str">
        <f t="shared" si="203"/>
        <v>Rare1_라가라자</v>
      </c>
      <c r="AE296" s="2">
        <f t="shared" si="196"/>
        <v>1201</v>
      </c>
    </row>
    <row r="297" spans="1:31" x14ac:dyDescent="0.2">
      <c r="A297" s="2">
        <f t="shared" si="192"/>
        <v>10501008</v>
      </c>
      <c r="B297" s="1">
        <v>10000501</v>
      </c>
      <c r="C297" s="1" t="s">
        <v>281</v>
      </c>
      <c r="D297" s="1" t="s">
        <v>309</v>
      </c>
      <c r="E297" s="1" t="str">
        <f>"Persona_"&amp;_xlfn.XLOOKUP($B297, '#캐릭터'!$A:$A, '#캐릭터'!$C:$C)</f>
        <v>Persona_c501</v>
      </c>
      <c r="F297" s="1"/>
      <c r="G297" s="1">
        <f>_xlfn.XLOOKUP(_xlfn.XLOOKUP(B297,'[1]Detail&lt;Child&gt;'!$A:$A,'[1]Detail&lt;Child&gt;'!$N:$N),'#참조'!P:P,'#참조'!Q:Q)</f>
        <v>1</v>
      </c>
      <c r="H297" s="1">
        <f>_xlfn.XLOOKUP(_xlfn.XLOOKUP(B297,'[1]Detail&lt;Child&gt;'!$A:$A,'[1]Detail&lt;Child&gt;'!$O:$O),'#참조'!R:R,'#참조'!S:S)</f>
        <v>2</v>
      </c>
      <c r="I297" s="1">
        <v>1</v>
      </c>
      <c r="J297" s="2">
        <v>3</v>
      </c>
      <c r="K297" s="2">
        <v>3</v>
      </c>
      <c r="L297" s="2">
        <v>8</v>
      </c>
      <c r="M297" s="2" t="s">
        <v>12</v>
      </c>
      <c r="N297" s="2" t="s">
        <v>407</v>
      </c>
      <c r="O297" s="2">
        <f t="shared" si="211"/>
        <v>3897</v>
      </c>
      <c r="P297" s="2" t="s">
        <v>194</v>
      </c>
      <c r="Q297" s="2" t="str">
        <f t="shared" si="193"/>
        <v>6275,7500</v>
      </c>
      <c r="R297" s="2">
        <f t="shared" si="212"/>
        <v>6275</v>
      </c>
      <c r="S297" s="2">
        <f t="shared" si="208"/>
        <v>7500</v>
      </c>
      <c r="T297" s="2" t="s">
        <v>195</v>
      </c>
      <c r="U297" s="2" t="str">
        <f t="shared" si="194"/>
        <v>360,400</v>
      </c>
      <c r="V297" s="2">
        <f t="shared" si="213"/>
        <v>360</v>
      </c>
      <c r="W297" s="2">
        <f t="shared" si="209"/>
        <v>400</v>
      </c>
      <c r="X297" s="2" t="s">
        <v>196</v>
      </c>
      <c r="Y297" s="2" t="str">
        <f t="shared" si="195"/>
        <v>503,600</v>
      </c>
      <c r="Z297" s="2">
        <f t="shared" si="214"/>
        <v>503</v>
      </c>
      <c r="AA297" s="2">
        <f t="shared" si="210"/>
        <v>600</v>
      </c>
      <c r="AB297" s="2">
        <v>90000</v>
      </c>
      <c r="AC297" s="2" t="str">
        <f>_xlfn.XLOOKUP(B297,'#캐릭터'!A:A,'#캐릭터'!B:B)</f>
        <v>라가라자</v>
      </c>
      <c r="AD297" s="2" t="str">
        <f t="shared" si="203"/>
        <v>Rare2_라가라자</v>
      </c>
      <c r="AE297" s="2">
        <f t="shared" si="196"/>
        <v>1201</v>
      </c>
    </row>
    <row r="298" spans="1:31" x14ac:dyDescent="0.2">
      <c r="A298" s="2">
        <f t="shared" si="192"/>
        <v>10501009</v>
      </c>
      <c r="B298" s="1">
        <v>10000501</v>
      </c>
      <c r="C298" s="1" t="s">
        <v>281</v>
      </c>
      <c r="D298" s="1" t="s">
        <v>309</v>
      </c>
      <c r="E298" s="1" t="str">
        <f>"Persona_"&amp;_xlfn.XLOOKUP($B298, '#캐릭터'!$A:$A, '#캐릭터'!$C:$C)</f>
        <v>Persona_c501</v>
      </c>
      <c r="F298" s="1"/>
      <c r="G298" s="1">
        <f>_xlfn.XLOOKUP(_xlfn.XLOOKUP(B298,'[1]Detail&lt;Child&gt;'!$A:$A,'[1]Detail&lt;Child&gt;'!$N:$N),'#참조'!P:P,'#참조'!Q:Q)</f>
        <v>1</v>
      </c>
      <c r="H298" s="1">
        <f>_xlfn.XLOOKUP(_xlfn.XLOOKUP(B298,'[1]Detail&lt;Child&gt;'!$A:$A,'[1]Detail&lt;Child&gt;'!$O:$O),'#참조'!R:R,'#참조'!S:S)</f>
        <v>2</v>
      </c>
      <c r="I298" s="1">
        <v>2</v>
      </c>
      <c r="J298" s="2">
        <v>3</v>
      </c>
      <c r="K298" s="2">
        <v>3</v>
      </c>
      <c r="L298" s="2">
        <v>9</v>
      </c>
      <c r="M298" s="2" t="s">
        <v>13</v>
      </c>
      <c r="N298" s="2" t="s">
        <v>407</v>
      </c>
      <c r="O298" s="2">
        <f t="shared" si="211"/>
        <v>4287</v>
      </c>
      <c r="P298" s="2" t="s">
        <v>194</v>
      </c>
      <c r="Q298" s="2" t="str">
        <f t="shared" si="193"/>
        <v>8158,9800</v>
      </c>
      <c r="R298" s="2">
        <f t="shared" si="212"/>
        <v>8158</v>
      </c>
      <c r="S298" s="2">
        <f t="shared" si="208"/>
        <v>9800</v>
      </c>
      <c r="T298" s="2" t="s">
        <v>195</v>
      </c>
      <c r="U298" s="2" t="str">
        <f t="shared" si="194"/>
        <v>432,500</v>
      </c>
      <c r="V298" s="2">
        <f t="shared" si="213"/>
        <v>432</v>
      </c>
      <c r="W298" s="2">
        <f t="shared" si="209"/>
        <v>500</v>
      </c>
      <c r="X298" s="2" t="s">
        <v>196</v>
      </c>
      <c r="Y298" s="2" t="str">
        <f t="shared" si="195"/>
        <v>654,800</v>
      </c>
      <c r="Z298" s="2">
        <f t="shared" si="214"/>
        <v>654</v>
      </c>
      <c r="AA298" s="2">
        <f t="shared" si="210"/>
        <v>800</v>
      </c>
      <c r="AB298" s="2">
        <v>90000</v>
      </c>
      <c r="AC298" s="2" t="str">
        <f>_xlfn.XLOOKUP(B298,'#캐릭터'!A:A,'#캐릭터'!B:B)</f>
        <v>라가라자</v>
      </c>
      <c r="AD298" s="2" t="str">
        <f t="shared" si="203"/>
        <v>Rare3_라가라자</v>
      </c>
      <c r="AE298" s="2">
        <f t="shared" si="196"/>
        <v>1202</v>
      </c>
    </row>
    <row r="299" spans="1:31" x14ac:dyDescent="0.2">
      <c r="A299" s="2">
        <f t="shared" si="192"/>
        <v>10501010</v>
      </c>
      <c r="B299" s="1">
        <v>10000501</v>
      </c>
      <c r="C299" s="1" t="s">
        <v>281</v>
      </c>
      <c r="D299" s="1" t="s">
        <v>309</v>
      </c>
      <c r="E299" s="1" t="str">
        <f>"Persona_"&amp;_xlfn.XLOOKUP($B299, '#캐릭터'!$A:$A, '#캐릭터'!$C:$C)</f>
        <v>Persona_c501</v>
      </c>
      <c r="F299" s="1"/>
      <c r="G299" s="1">
        <f>_xlfn.XLOOKUP(_xlfn.XLOOKUP(B299,'[1]Detail&lt;Child&gt;'!$A:$A,'[1]Detail&lt;Child&gt;'!$N:$N),'#참조'!P:P,'#참조'!Q:Q)</f>
        <v>1</v>
      </c>
      <c r="H299" s="1">
        <f>_xlfn.XLOOKUP(_xlfn.XLOOKUP(B299,'[1]Detail&lt;Child&gt;'!$A:$A,'[1]Detail&lt;Child&gt;'!$O:$O),'#참조'!R:R,'#참조'!S:S)</f>
        <v>2</v>
      </c>
      <c r="I299" s="1">
        <v>2</v>
      </c>
      <c r="J299" s="2">
        <v>3</v>
      </c>
      <c r="K299" s="2">
        <v>4</v>
      </c>
      <c r="L299" s="2">
        <v>10</v>
      </c>
      <c r="M299" s="2" t="s">
        <v>14</v>
      </c>
      <c r="N299" s="2" t="s">
        <v>407</v>
      </c>
      <c r="O299" s="2">
        <f t="shared" si="211"/>
        <v>4716</v>
      </c>
      <c r="P299" s="2" t="s">
        <v>194</v>
      </c>
      <c r="Q299" s="2" t="str">
        <f t="shared" si="193"/>
        <v>10605,12700</v>
      </c>
      <c r="R299" s="2">
        <f t="shared" si="212"/>
        <v>10605</v>
      </c>
      <c r="S299" s="2">
        <f t="shared" si="208"/>
        <v>12700</v>
      </c>
      <c r="T299" s="2" t="s">
        <v>195</v>
      </c>
      <c r="U299" s="2" t="str">
        <f t="shared" si="194"/>
        <v>518,600</v>
      </c>
      <c r="V299" s="2">
        <f t="shared" si="213"/>
        <v>518</v>
      </c>
      <c r="W299" s="2">
        <f t="shared" si="209"/>
        <v>600</v>
      </c>
      <c r="X299" s="2" t="s">
        <v>196</v>
      </c>
      <c r="Y299" s="2" t="str">
        <f t="shared" si="195"/>
        <v>850,1000</v>
      </c>
      <c r="Z299" s="2">
        <f t="shared" si="214"/>
        <v>850</v>
      </c>
      <c r="AA299" s="2">
        <f t="shared" si="210"/>
        <v>1000</v>
      </c>
      <c r="AB299" s="2">
        <v>85000</v>
      </c>
      <c r="AC299" s="2" t="str">
        <f>_xlfn.XLOOKUP(B299,'#캐릭터'!A:A,'#캐릭터'!B:B)</f>
        <v>라가라자</v>
      </c>
      <c r="AD299" s="2" t="str">
        <f t="shared" si="203"/>
        <v>Unique1_라가라자</v>
      </c>
      <c r="AE299" s="2">
        <f t="shared" si="196"/>
        <v>1202</v>
      </c>
    </row>
    <row r="300" spans="1:31" x14ac:dyDescent="0.2">
      <c r="A300" s="2">
        <f t="shared" si="192"/>
        <v>10501011</v>
      </c>
      <c r="B300" s="1">
        <v>10000501</v>
      </c>
      <c r="C300" s="1" t="s">
        <v>281</v>
      </c>
      <c r="D300" s="1" t="s">
        <v>309</v>
      </c>
      <c r="E300" s="1" t="str">
        <f>"Persona_"&amp;_xlfn.XLOOKUP($B300, '#캐릭터'!$A:$A, '#캐릭터'!$C:$C)</f>
        <v>Persona_c501</v>
      </c>
      <c r="F300" s="1"/>
      <c r="G300" s="1">
        <f>_xlfn.XLOOKUP(_xlfn.XLOOKUP(B300,'[1]Detail&lt;Child&gt;'!$A:$A,'[1]Detail&lt;Child&gt;'!$N:$N),'#참조'!P:P,'#참조'!Q:Q)</f>
        <v>1</v>
      </c>
      <c r="H300" s="1">
        <f>_xlfn.XLOOKUP(_xlfn.XLOOKUP(B300,'[1]Detail&lt;Child&gt;'!$A:$A,'[1]Detail&lt;Child&gt;'!$O:$O),'#참조'!R:R,'#참조'!S:S)</f>
        <v>2</v>
      </c>
      <c r="I300" s="1">
        <v>3</v>
      </c>
      <c r="J300" s="2">
        <v>3</v>
      </c>
      <c r="K300" s="2">
        <v>4</v>
      </c>
      <c r="L300" s="2">
        <v>11</v>
      </c>
      <c r="M300" s="2" t="s">
        <v>15</v>
      </c>
      <c r="N300" s="2" t="s">
        <v>407</v>
      </c>
      <c r="O300" s="2">
        <f t="shared" si="211"/>
        <v>5188</v>
      </c>
      <c r="P300" s="2" t="s">
        <v>194</v>
      </c>
      <c r="Q300" s="2" t="str">
        <f t="shared" si="193"/>
        <v>13787,16500</v>
      </c>
      <c r="R300" s="2">
        <f t="shared" si="212"/>
        <v>13787</v>
      </c>
      <c r="S300" s="2">
        <f t="shared" si="208"/>
        <v>16500</v>
      </c>
      <c r="T300" s="2" t="s">
        <v>195</v>
      </c>
      <c r="U300" s="2" t="str">
        <f t="shared" si="194"/>
        <v>622,700</v>
      </c>
      <c r="V300" s="2">
        <f t="shared" si="213"/>
        <v>622</v>
      </c>
      <c r="W300" s="2">
        <f t="shared" si="209"/>
        <v>700</v>
      </c>
      <c r="X300" s="2" t="s">
        <v>196</v>
      </c>
      <c r="Y300" s="2" t="str">
        <f t="shared" si="195"/>
        <v>1105,1300</v>
      </c>
      <c r="Z300" s="2">
        <f t="shared" si="214"/>
        <v>1105</v>
      </c>
      <c r="AA300" s="2">
        <f t="shared" si="210"/>
        <v>1300</v>
      </c>
      <c r="AB300" s="2">
        <v>85000</v>
      </c>
      <c r="AC300" s="2" t="str">
        <f>_xlfn.XLOOKUP(B300,'#캐릭터'!A:A,'#캐릭터'!B:B)</f>
        <v>라가라자</v>
      </c>
      <c r="AD300" s="2" t="str">
        <f t="shared" si="203"/>
        <v>Unique2_라가라자</v>
      </c>
      <c r="AE300" s="2">
        <f t="shared" si="196"/>
        <v>1203</v>
      </c>
    </row>
    <row r="301" spans="1:31" x14ac:dyDescent="0.2">
      <c r="A301" s="2">
        <f t="shared" si="192"/>
        <v>10501012</v>
      </c>
      <c r="B301" s="1">
        <v>10000501</v>
      </c>
      <c r="C301" s="1" t="s">
        <v>281</v>
      </c>
      <c r="D301" s="1" t="s">
        <v>309</v>
      </c>
      <c r="E301" s="1" t="str">
        <f>"Persona_"&amp;_xlfn.XLOOKUP($B301, '#캐릭터'!$A:$A, '#캐릭터'!$C:$C)</f>
        <v>Persona_c501</v>
      </c>
      <c r="F301" s="1"/>
      <c r="G301" s="1">
        <f>_xlfn.XLOOKUP(_xlfn.XLOOKUP(B301,'[1]Detail&lt;Child&gt;'!$A:$A,'[1]Detail&lt;Child&gt;'!$N:$N),'#참조'!P:P,'#참조'!Q:Q)</f>
        <v>1</v>
      </c>
      <c r="H301" s="1">
        <f>_xlfn.XLOOKUP(_xlfn.XLOOKUP(B301,'[1]Detail&lt;Child&gt;'!$A:$A,'[1]Detail&lt;Child&gt;'!$O:$O),'#참조'!R:R,'#참조'!S:S)</f>
        <v>2</v>
      </c>
      <c r="I301" s="1">
        <v>3</v>
      </c>
      <c r="J301" s="2">
        <v>3</v>
      </c>
      <c r="K301" s="2">
        <v>4</v>
      </c>
      <c r="L301" s="2">
        <v>12</v>
      </c>
      <c r="M301" s="2" t="s">
        <v>16</v>
      </c>
      <c r="N301" s="2" t="s">
        <v>407</v>
      </c>
      <c r="O301" s="2">
        <f t="shared" si="211"/>
        <v>5707</v>
      </c>
      <c r="P301" s="2" t="s">
        <v>194</v>
      </c>
      <c r="Q301" s="2" t="str">
        <f t="shared" si="193"/>
        <v>17923,21500</v>
      </c>
      <c r="R301" s="2">
        <f t="shared" si="212"/>
        <v>17923</v>
      </c>
      <c r="S301" s="2">
        <f t="shared" si="208"/>
        <v>21500</v>
      </c>
      <c r="T301" s="2" t="s">
        <v>195</v>
      </c>
      <c r="U301" s="2" t="str">
        <f t="shared" si="194"/>
        <v>746,900</v>
      </c>
      <c r="V301" s="2">
        <f t="shared" si="213"/>
        <v>746</v>
      </c>
      <c r="W301" s="2">
        <f t="shared" si="209"/>
        <v>900</v>
      </c>
      <c r="X301" s="2" t="s">
        <v>196</v>
      </c>
      <c r="Y301" s="2" t="str">
        <f t="shared" si="195"/>
        <v>1437,1700</v>
      </c>
      <c r="Z301" s="2">
        <f t="shared" si="214"/>
        <v>1437</v>
      </c>
      <c r="AA301" s="2">
        <f t="shared" si="210"/>
        <v>1700</v>
      </c>
      <c r="AB301" s="2">
        <v>85000</v>
      </c>
      <c r="AC301" s="2" t="str">
        <f>_xlfn.XLOOKUP(B301,'#캐릭터'!A:A,'#캐릭터'!B:B)</f>
        <v>라가라자</v>
      </c>
      <c r="AD301" s="2" t="str">
        <f t="shared" si="203"/>
        <v>Unique3_라가라자</v>
      </c>
      <c r="AE301" s="2">
        <f t="shared" si="196"/>
        <v>1203</v>
      </c>
    </row>
    <row r="302" spans="1:31" x14ac:dyDescent="0.2">
      <c r="A302" s="2">
        <f t="shared" si="192"/>
        <v>10501013</v>
      </c>
      <c r="B302" s="1">
        <v>10000501</v>
      </c>
      <c r="C302" s="1" t="s">
        <v>281</v>
      </c>
      <c r="D302" s="1" t="s">
        <v>309</v>
      </c>
      <c r="E302" s="1" t="str">
        <f>"Persona_"&amp;_xlfn.XLOOKUP($B302, '#캐릭터'!$A:$A, '#캐릭터'!$C:$C)</f>
        <v>Persona_c501</v>
      </c>
      <c r="F302" s="1"/>
      <c r="G302" s="1">
        <f>_xlfn.XLOOKUP(_xlfn.XLOOKUP(B302,'[1]Detail&lt;Child&gt;'!$A:$A,'[1]Detail&lt;Child&gt;'!$N:$N),'#참조'!P:P,'#참조'!Q:Q)</f>
        <v>1</v>
      </c>
      <c r="H302" s="1">
        <f>_xlfn.XLOOKUP(_xlfn.XLOOKUP(B302,'[1]Detail&lt;Child&gt;'!$A:$A,'[1]Detail&lt;Child&gt;'!$O:$O),'#참조'!R:R,'#참조'!S:S)</f>
        <v>2</v>
      </c>
      <c r="I302" s="1">
        <v>4</v>
      </c>
      <c r="J302" s="2">
        <v>3</v>
      </c>
      <c r="K302" s="2">
        <v>5</v>
      </c>
      <c r="L302" s="2">
        <v>13</v>
      </c>
      <c r="M302" s="2" t="s">
        <v>17</v>
      </c>
      <c r="N302" s="2" t="s">
        <v>407</v>
      </c>
      <c r="O302" s="2">
        <f t="shared" si="211"/>
        <v>6278</v>
      </c>
      <c r="P302" s="2" t="s">
        <v>194</v>
      </c>
      <c r="Q302" s="2" t="str">
        <f t="shared" si="193"/>
        <v>23300,28000</v>
      </c>
      <c r="R302" s="2">
        <f t="shared" si="212"/>
        <v>23300</v>
      </c>
      <c r="S302" s="2">
        <f t="shared" si="208"/>
        <v>28000</v>
      </c>
      <c r="T302" s="2" t="s">
        <v>195</v>
      </c>
      <c r="U302" s="2" t="str">
        <f t="shared" si="194"/>
        <v>895,1100</v>
      </c>
      <c r="V302" s="2">
        <f t="shared" si="213"/>
        <v>895</v>
      </c>
      <c r="W302" s="2">
        <f t="shared" si="209"/>
        <v>1100</v>
      </c>
      <c r="X302" s="2" t="s">
        <v>196</v>
      </c>
      <c r="Y302" s="2" t="str">
        <f t="shared" si="195"/>
        <v>1868,2200</v>
      </c>
      <c r="Z302" s="2">
        <f t="shared" si="214"/>
        <v>1868</v>
      </c>
      <c r="AA302" s="2">
        <f t="shared" si="210"/>
        <v>2200</v>
      </c>
      <c r="AB302" s="2">
        <v>80000</v>
      </c>
      <c r="AC302" s="2" t="str">
        <f>_xlfn.XLOOKUP(B302,'#캐릭터'!A:A,'#캐릭터'!B:B)</f>
        <v>라가라자</v>
      </c>
      <c r="AD302" s="2" t="str">
        <f t="shared" si="203"/>
        <v>Epic1_라가라자</v>
      </c>
      <c r="AE302" s="2">
        <f t="shared" si="196"/>
        <v>1204</v>
      </c>
    </row>
    <row r="303" spans="1:31" x14ac:dyDescent="0.2">
      <c r="A303" s="2">
        <f t="shared" si="192"/>
        <v>10501014</v>
      </c>
      <c r="B303" s="1">
        <v>10000501</v>
      </c>
      <c r="C303" s="1" t="s">
        <v>281</v>
      </c>
      <c r="D303" s="1" t="s">
        <v>309</v>
      </c>
      <c r="E303" s="1" t="str">
        <f>"Persona_"&amp;_xlfn.XLOOKUP($B303, '#캐릭터'!$A:$A, '#캐릭터'!$C:$C)</f>
        <v>Persona_c501</v>
      </c>
      <c r="F303" s="1"/>
      <c r="G303" s="1">
        <f>_xlfn.XLOOKUP(_xlfn.XLOOKUP(B303,'[1]Detail&lt;Child&gt;'!$A:$A,'[1]Detail&lt;Child&gt;'!$N:$N),'#참조'!P:P,'#참조'!Q:Q)</f>
        <v>1</v>
      </c>
      <c r="H303" s="1">
        <f>_xlfn.XLOOKUP(_xlfn.XLOOKUP(B303,'[1]Detail&lt;Child&gt;'!$A:$A,'[1]Detail&lt;Child&gt;'!$O:$O),'#참조'!R:R,'#참조'!S:S)</f>
        <v>2</v>
      </c>
      <c r="I303" s="1">
        <v>4</v>
      </c>
      <c r="J303" s="2">
        <v>3</v>
      </c>
      <c r="K303" s="2">
        <v>5</v>
      </c>
      <c r="L303" s="2">
        <v>14</v>
      </c>
      <c r="M303" s="2" t="s">
        <v>18</v>
      </c>
      <c r="N303" s="2" t="s">
        <v>407</v>
      </c>
      <c r="O303" s="2">
        <f t="shared" si="211"/>
        <v>6906</v>
      </c>
      <c r="P303" s="2" t="s">
        <v>194</v>
      </c>
      <c r="Q303" s="2" t="str">
        <f t="shared" si="193"/>
        <v>30290,36300</v>
      </c>
      <c r="R303" s="2">
        <f t="shared" si="212"/>
        <v>30290</v>
      </c>
      <c r="S303" s="2">
        <f t="shared" si="208"/>
        <v>36300</v>
      </c>
      <c r="T303" s="2" t="s">
        <v>195</v>
      </c>
      <c r="U303" s="2" t="str">
        <f t="shared" si="194"/>
        <v>1074,1300</v>
      </c>
      <c r="V303" s="2">
        <f t="shared" si="213"/>
        <v>1074</v>
      </c>
      <c r="W303" s="2">
        <f t="shared" si="209"/>
        <v>1300</v>
      </c>
      <c r="X303" s="2" t="s">
        <v>196</v>
      </c>
      <c r="Y303" s="2" t="str">
        <f t="shared" si="195"/>
        <v>2428,2900</v>
      </c>
      <c r="Z303" s="2">
        <f t="shared" si="214"/>
        <v>2428</v>
      </c>
      <c r="AA303" s="2">
        <f t="shared" si="210"/>
        <v>2900</v>
      </c>
      <c r="AB303" s="2">
        <v>80000</v>
      </c>
      <c r="AC303" s="2" t="str">
        <f>_xlfn.XLOOKUP(B303,'#캐릭터'!A:A,'#캐릭터'!B:B)</f>
        <v>라가라자</v>
      </c>
      <c r="AD303" s="2" t="str">
        <f t="shared" si="203"/>
        <v>Epic2_라가라자</v>
      </c>
      <c r="AE303" s="2">
        <f t="shared" si="196"/>
        <v>1204</v>
      </c>
    </row>
    <row r="304" spans="1:31" x14ac:dyDescent="0.2">
      <c r="A304" s="2">
        <f t="shared" si="192"/>
        <v>10501015</v>
      </c>
      <c r="B304" s="1">
        <v>10000501</v>
      </c>
      <c r="C304" s="1" t="s">
        <v>281</v>
      </c>
      <c r="D304" s="1" t="s">
        <v>309</v>
      </c>
      <c r="E304" s="1" t="str">
        <f>"Persona_"&amp;_xlfn.XLOOKUP($B304, '#캐릭터'!$A:$A, '#캐릭터'!$C:$C)</f>
        <v>Persona_c501</v>
      </c>
      <c r="F304" s="1"/>
      <c r="G304" s="1">
        <f>_xlfn.XLOOKUP(_xlfn.XLOOKUP(B304,'[1]Detail&lt;Child&gt;'!$A:$A,'[1]Detail&lt;Child&gt;'!$N:$N),'#참조'!P:P,'#참조'!Q:Q)</f>
        <v>1</v>
      </c>
      <c r="H304" s="1">
        <f>_xlfn.XLOOKUP(_xlfn.XLOOKUP(B304,'[1]Detail&lt;Child&gt;'!$A:$A,'[1]Detail&lt;Child&gt;'!$O:$O),'#참조'!R:R,'#참조'!S:S)</f>
        <v>2</v>
      </c>
      <c r="I304" s="1">
        <v>5</v>
      </c>
      <c r="J304" s="2">
        <v>3</v>
      </c>
      <c r="K304" s="2">
        <v>5</v>
      </c>
      <c r="L304" s="2">
        <v>15</v>
      </c>
      <c r="M304" s="2" t="s">
        <v>19</v>
      </c>
      <c r="N304" s="2" t="s">
        <v>407</v>
      </c>
      <c r="O304" s="2">
        <f t="shared" si="211"/>
        <v>7597</v>
      </c>
      <c r="P304" s="2" t="s">
        <v>194</v>
      </c>
      <c r="Q304" s="2" t="str">
        <f t="shared" si="193"/>
        <v>39377,47300</v>
      </c>
      <c r="R304" s="2">
        <f t="shared" si="212"/>
        <v>39377</v>
      </c>
      <c r="S304" s="2">
        <f t="shared" si="208"/>
        <v>47300</v>
      </c>
      <c r="T304" s="2" t="s">
        <v>195</v>
      </c>
      <c r="U304" s="2" t="str">
        <f t="shared" si="194"/>
        <v>1289,1500</v>
      </c>
      <c r="V304" s="2">
        <f t="shared" si="213"/>
        <v>1289</v>
      </c>
      <c r="W304" s="2">
        <f t="shared" si="209"/>
        <v>1500</v>
      </c>
      <c r="X304" s="2" t="s">
        <v>196</v>
      </c>
      <c r="Y304" s="2" t="str">
        <f t="shared" si="195"/>
        <v>3156,3800</v>
      </c>
      <c r="Z304" s="2">
        <f t="shared" si="214"/>
        <v>3156</v>
      </c>
      <c r="AA304" s="2">
        <f t="shared" si="210"/>
        <v>3800</v>
      </c>
      <c r="AB304" s="2">
        <v>80000</v>
      </c>
      <c r="AC304" s="2" t="str">
        <f>_xlfn.XLOOKUP(B304,'#캐릭터'!A:A,'#캐릭터'!B:B)</f>
        <v>라가라자</v>
      </c>
      <c r="AD304" s="2" t="str">
        <f t="shared" si="203"/>
        <v>Epic3_라가라자</v>
      </c>
      <c r="AE304" s="2">
        <f t="shared" si="196"/>
        <v>1205</v>
      </c>
    </row>
    <row r="305" spans="1:31" x14ac:dyDescent="0.2">
      <c r="A305" s="2">
        <f t="shared" si="192"/>
        <v>10501016</v>
      </c>
      <c r="B305" s="1">
        <v>10000501</v>
      </c>
      <c r="C305" s="1" t="s">
        <v>281</v>
      </c>
      <c r="D305" s="1" t="s">
        <v>309</v>
      </c>
      <c r="E305" s="1" t="str">
        <f>"Persona_"&amp;_xlfn.XLOOKUP($B305, '#캐릭터'!$A:$A, '#캐릭터'!$C:$C)</f>
        <v>Persona_c501</v>
      </c>
      <c r="F305" s="1"/>
      <c r="G305" s="1">
        <f>_xlfn.XLOOKUP(_xlfn.XLOOKUP(B305,'[1]Detail&lt;Child&gt;'!$A:$A,'[1]Detail&lt;Child&gt;'!$N:$N),'#참조'!P:P,'#참조'!Q:Q)</f>
        <v>1</v>
      </c>
      <c r="H305" s="1">
        <f>_xlfn.XLOOKUP(_xlfn.XLOOKUP(B305,'[1]Detail&lt;Child&gt;'!$A:$A,'[1]Detail&lt;Child&gt;'!$O:$O),'#참조'!R:R,'#참조'!S:S)</f>
        <v>2</v>
      </c>
      <c r="I305" s="1">
        <v>5</v>
      </c>
      <c r="J305" s="2">
        <v>3</v>
      </c>
      <c r="K305" s="2">
        <v>6</v>
      </c>
      <c r="L305" s="2">
        <v>16</v>
      </c>
      <c r="M305" s="2" t="s">
        <v>20</v>
      </c>
      <c r="N305" s="2" t="s">
        <v>407</v>
      </c>
      <c r="O305" s="2">
        <f t="shared" si="211"/>
        <v>8357</v>
      </c>
      <c r="P305" s="2" t="s">
        <v>194</v>
      </c>
      <c r="Q305" s="2" t="str">
        <f t="shared" si="193"/>
        <v>51190,61400</v>
      </c>
      <c r="R305" s="2">
        <f t="shared" si="212"/>
        <v>51190</v>
      </c>
      <c r="S305" s="2">
        <f t="shared" si="208"/>
        <v>61400</v>
      </c>
      <c r="T305" s="2" t="s">
        <v>195</v>
      </c>
      <c r="U305" s="2" t="str">
        <f t="shared" si="194"/>
        <v>1547,1900</v>
      </c>
      <c r="V305" s="2">
        <f t="shared" si="213"/>
        <v>1547</v>
      </c>
      <c r="W305" s="2">
        <f t="shared" si="209"/>
        <v>1900</v>
      </c>
      <c r="X305" s="2" t="s">
        <v>196</v>
      </c>
      <c r="Y305" s="2" t="str">
        <f t="shared" si="195"/>
        <v>4103,4900</v>
      </c>
      <c r="Z305" s="2">
        <f t="shared" si="214"/>
        <v>4103</v>
      </c>
      <c r="AA305" s="2">
        <f t="shared" si="210"/>
        <v>4900</v>
      </c>
      <c r="AB305" s="2">
        <v>75000</v>
      </c>
      <c r="AC305" s="2" t="str">
        <f>_xlfn.XLOOKUP(B305,'#캐릭터'!A:A,'#캐릭터'!B:B)</f>
        <v>라가라자</v>
      </c>
      <c r="AD305" s="2" t="str">
        <f t="shared" si="203"/>
        <v>Legendary1_라가라자</v>
      </c>
      <c r="AE305" s="2">
        <f t="shared" si="196"/>
        <v>1205</v>
      </c>
    </row>
    <row r="306" spans="1:31" x14ac:dyDescent="0.2">
      <c r="A306" s="2">
        <f t="shared" si="192"/>
        <v>10501017</v>
      </c>
      <c r="B306" s="1">
        <v>10000501</v>
      </c>
      <c r="C306" s="1" t="s">
        <v>281</v>
      </c>
      <c r="D306" s="1" t="s">
        <v>309</v>
      </c>
      <c r="E306" s="1" t="str">
        <f>"Persona_"&amp;_xlfn.XLOOKUP($B306, '#캐릭터'!$A:$A, '#캐릭터'!$C:$C)</f>
        <v>Persona_c501</v>
      </c>
      <c r="F306" s="1"/>
      <c r="G306" s="1">
        <f>_xlfn.XLOOKUP(_xlfn.XLOOKUP(B306,'[1]Detail&lt;Child&gt;'!$A:$A,'[1]Detail&lt;Child&gt;'!$N:$N),'#참조'!P:P,'#참조'!Q:Q)</f>
        <v>1</v>
      </c>
      <c r="H306" s="1">
        <f>_xlfn.XLOOKUP(_xlfn.XLOOKUP(B306,'[1]Detail&lt;Child&gt;'!$A:$A,'[1]Detail&lt;Child&gt;'!$O:$O),'#참조'!R:R,'#참조'!S:S)</f>
        <v>2</v>
      </c>
      <c r="I306" s="1">
        <v>6</v>
      </c>
      <c r="J306" s="2">
        <v>3</v>
      </c>
      <c r="K306" s="2">
        <v>6</v>
      </c>
      <c r="L306" s="2">
        <v>17</v>
      </c>
      <c r="M306" s="2" t="s">
        <v>21</v>
      </c>
      <c r="N306" s="2" t="s">
        <v>407</v>
      </c>
      <c r="O306" s="2">
        <f t="shared" si="211"/>
        <v>9193</v>
      </c>
      <c r="P306" s="2" t="s">
        <v>194</v>
      </c>
      <c r="Q306" s="2" t="str">
        <f t="shared" si="193"/>
        <v>66547,79900</v>
      </c>
      <c r="R306" s="2">
        <f t="shared" si="212"/>
        <v>66547</v>
      </c>
      <c r="S306" s="2">
        <f t="shared" si="208"/>
        <v>79900</v>
      </c>
      <c r="T306" s="2" t="s">
        <v>195</v>
      </c>
      <c r="U306" s="2" t="str">
        <f t="shared" si="194"/>
        <v>1856,2200</v>
      </c>
      <c r="V306" s="2">
        <f t="shared" si="213"/>
        <v>1856</v>
      </c>
      <c r="W306" s="2">
        <f t="shared" si="209"/>
        <v>2200</v>
      </c>
      <c r="X306" s="2" t="s">
        <v>196</v>
      </c>
      <c r="Y306" s="2" t="str">
        <f t="shared" si="195"/>
        <v>5334,6400</v>
      </c>
      <c r="Z306" s="2">
        <f t="shared" si="214"/>
        <v>5334</v>
      </c>
      <c r="AA306" s="2">
        <f t="shared" si="210"/>
        <v>6400</v>
      </c>
      <c r="AB306" s="2">
        <v>75000</v>
      </c>
      <c r="AC306" s="2" t="str">
        <f>_xlfn.XLOOKUP(B306,'#캐릭터'!A:A,'#캐릭터'!B:B)</f>
        <v>라가라자</v>
      </c>
      <c r="AD306" s="2" t="str">
        <f t="shared" si="203"/>
        <v>Legendary2_라가라자</v>
      </c>
      <c r="AE306" s="2">
        <f t="shared" si="196"/>
        <v>1206</v>
      </c>
    </row>
    <row r="307" spans="1:31" x14ac:dyDescent="0.2">
      <c r="A307" s="2">
        <f t="shared" si="192"/>
        <v>10501018</v>
      </c>
      <c r="B307" s="1">
        <v>10000501</v>
      </c>
      <c r="C307" s="1" t="s">
        <v>281</v>
      </c>
      <c r="D307" s="1" t="s">
        <v>309</v>
      </c>
      <c r="E307" s="1" t="str">
        <f>"Persona_"&amp;_xlfn.XLOOKUP($B307, '#캐릭터'!$A:$A, '#캐릭터'!$C:$C)</f>
        <v>Persona_c501</v>
      </c>
      <c r="F307" s="1"/>
      <c r="G307" s="1">
        <f>_xlfn.XLOOKUP(_xlfn.XLOOKUP(B307,'[1]Detail&lt;Child&gt;'!$A:$A,'[1]Detail&lt;Child&gt;'!$N:$N),'#참조'!P:P,'#참조'!Q:Q)</f>
        <v>1</v>
      </c>
      <c r="H307" s="1">
        <f>_xlfn.XLOOKUP(_xlfn.XLOOKUP(B307,'[1]Detail&lt;Child&gt;'!$A:$A,'[1]Detail&lt;Child&gt;'!$O:$O),'#참조'!R:R,'#참조'!S:S)</f>
        <v>2</v>
      </c>
      <c r="I307" s="1">
        <v>6</v>
      </c>
      <c r="J307" s="2">
        <v>3</v>
      </c>
      <c r="K307" s="2">
        <v>6</v>
      </c>
      <c r="L307" s="2">
        <v>18</v>
      </c>
      <c r="M307" s="2" t="s">
        <v>22</v>
      </c>
      <c r="N307" s="2" t="s">
        <v>407</v>
      </c>
      <c r="O307" s="2">
        <f t="shared" si="211"/>
        <v>10112</v>
      </c>
      <c r="P307" s="2" t="s">
        <v>194</v>
      </c>
      <c r="Q307" s="2" t="str">
        <f t="shared" si="193"/>
        <v>86511,103800</v>
      </c>
      <c r="R307" s="2">
        <f t="shared" si="212"/>
        <v>86511</v>
      </c>
      <c r="S307" s="2">
        <f t="shared" si="208"/>
        <v>103800</v>
      </c>
      <c r="T307" s="2" t="s">
        <v>195</v>
      </c>
      <c r="U307" s="2" t="str">
        <f t="shared" si="194"/>
        <v>2227,2700</v>
      </c>
      <c r="V307" s="2">
        <f t="shared" si="213"/>
        <v>2227</v>
      </c>
      <c r="W307" s="2">
        <f t="shared" si="209"/>
        <v>2700</v>
      </c>
      <c r="X307" s="2" t="s">
        <v>196</v>
      </c>
      <c r="Y307" s="2" t="str">
        <f t="shared" si="195"/>
        <v>6934,8300</v>
      </c>
      <c r="Z307" s="2">
        <f t="shared" si="214"/>
        <v>6934</v>
      </c>
      <c r="AA307" s="2">
        <f t="shared" si="210"/>
        <v>8300</v>
      </c>
      <c r="AB307" s="2">
        <v>75000</v>
      </c>
      <c r="AC307" s="2" t="str">
        <f>_xlfn.XLOOKUP(B307,'#캐릭터'!A:A,'#캐릭터'!B:B)</f>
        <v>라가라자</v>
      </c>
      <c r="AD307" s="2" t="str">
        <f t="shared" si="203"/>
        <v>Legendary3_라가라자</v>
      </c>
      <c r="AE307" s="2">
        <f t="shared" si="196"/>
        <v>1206</v>
      </c>
    </row>
    <row r="308" spans="1:31" x14ac:dyDescent="0.2">
      <c r="A308" s="2">
        <f t="shared" si="192"/>
        <v>10001000</v>
      </c>
      <c r="B308" s="1">
        <v>10000001</v>
      </c>
      <c r="C308" s="1" t="s">
        <v>281</v>
      </c>
      <c r="D308" s="1" t="s">
        <v>309</v>
      </c>
      <c r="E308" s="1" t="str">
        <f>"Persona_"&amp;_xlfn.XLOOKUP($B308, '#캐릭터'!$A:$A, '#캐릭터'!$C:$C)</f>
        <v>Persona_c001</v>
      </c>
      <c r="F308" s="1"/>
      <c r="G308" s="1">
        <f>_xlfn.XLOOKUP(_xlfn.XLOOKUP(B308,'[1]Detail&lt;Child&gt;'!$A:$A,'[1]Detail&lt;Child&gt;'!$N:$N),'#참조'!P:P,'#참조'!Q:Q)</f>
        <v>5</v>
      </c>
      <c r="H308" s="1">
        <f>_xlfn.XLOOKUP(_xlfn.XLOOKUP(B308,'[1]Detail&lt;Child&gt;'!$A:$A,'[1]Detail&lt;Child&gt;'!$O:$O),'#참조'!R:R,'#참조'!S:S)</f>
        <v>2</v>
      </c>
      <c r="I308" s="1">
        <v>0</v>
      </c>
      <c r="J308" s="2">
        <v>3</v>
      </c>
      <c r="K308" s="2">
        <v>0</v>
      </c>
      <c r="L308" s="2">
        <v>0</v>
      </c>
      <c r="M308" s="2" t="s">
        <v>31</v>
      </c>
      <c r="N308" s="2" t="s">
        <v>407</v>
      </c>
      <c r="O308" s="2">
        <v>0</v>
      </c>
      <c r="P308" s="2" t="s">
        <v>194</v>
      </c>
      <c r="Q308" s="2" t="str">
        <f t="shared" si="193"/>
        <v>1000,1000</v>
      </c>
      <c r="R308" s="2">
        <v>1000</v>
      </c>
      <c r="S308" s="2">
        <f t="shared" ref="S308" si="225">R308</f>
        <v>1000</v>
      </c>
      <c r="T308" s="2" t="s">
        <v>195</v>
      </c>
      <c r="U308" s="2" t="str">
        <f t="shared" si="194"/>
        <v>100,100</v>
      </c>
      <c r="V308" s="2">
        <v>100</v>
      </c>
      <c r="W308" s="2">
        <f t="shared" ref="W308" si="226">V308</f>
        <v>100</v>
      </c>
      <c r="X308" s="2" t="s">
        <v>196</v>
      </c>
      <c r="Y308" s="2" t="str">
        <f t="shared" si="195"/>
        <v>80,80</v>
      </c>
      <c r="Z308" s="2">
        <v>80</v>
      </c>
      <c r="AA308" s="2">
        <f t="shared" ref="AA308" si="227">Z308</f>
        <v>80</v>
      </c>
      <c r="AB308" s="2">
        <v>100000</v>
      </c>
      <c r="AC308" s="2" t="str">
        <f>_xlfn.XLOOKUP(B308,'#캐릭터'!A:A,'#캐릭터'!B:B)</f>
        <v>모나</v>
      </c>
      <c r="AE308" s="2">
        <f t="shared" si="196"/>
        <v>0</v>
      </c>
    </row>
    <row r="309" spans="1:31" x14ac:dyDescent="0.2">
      <c r="A309" s="2">
        <f t="shared" si="192"/>
        <v>10001001</v>
      </c>
      <c r="B309" s="1">
        <v>10000001</v>
      </c>
      <c r="C309" s="1" t="s">
        <v>281</v>
      </c>
      <c r="D309" s="1" t="s">
        <v>309</v>
      </c>
      <c r="E309" s="1" t="str">
        <f>"Persona_"&amp;_xlfn.XLOOKUP($B309, '#캐릭터'!$A:$A, '#캐릭터'!$C:$C)</f>
        <v>Persona_c001</v>
      </c>
      <c r="F309" s="1"/>
      <c r="G309" s="1">
        <f>_xlfn.XLOOKUP(_xlfn.XLOOKUP(B309,'[1]Detail&lt;Child&gt;'!$A:$A,'[1]Detail&lt;Child&gt;'!$N:$N),'#참조'!P:P,'#참조'!Q:Q)</f>
        <v>5</v>
      </c>
      <c r="H309" s="1">
        <f>_xlfn.XLOOKUP(_xlfn.XLOOKUP(B309,'[1]Detail&lt;Child&gt;'!$A:$A,'[1]Detail&lt;Child&gt;'!$O:$O),'#참조'!R:R,'#참조'!S:S)</f>
        <v>2</v>
      </c>
      <c r="I309" s="1">
        <v>0</v>
      </c>
      <c r="J309" s="2">
        <v>3</v>
      </c>
      <c r="K309" s="2">
        <v>1</v>
      </c>
      <c r="L309" s="2">
        <v>1</v>
      </c>
      <c r="M309" s="2" t="s">
        <v>5</v>
      </c>
      <c r="N309" s="2" t="s">
        <v>407</v>
      </c>
      <c r="O309" s="2">
        <v>2000</v>
      </c>
      <c r="P309" s="2" t="s">
        <v>194</v>
      </c>
      <c r="Q309" s="2" t="str">
        <f t="shared" si="193"/>
        <v>1000,1200</v>
      </c>
      <c r="R309" s="2">
        <v>1000</v>
      </c>
      <c r="S309" s="2">
        <f t="shared" ref="S309" si="228">ROUND(R309*1.2, -2)</f>
        <v>1200</v>
      </c>
      <c r="T309" s="2" t="s">
        <v>195</v>
      </c>
      <c r="U309" s="2" t="str">
        <f t="shared" si="194"/>
        <v>100,100</v>
      </c>
      <c r="V309" s="2">
        <v>100</v>
      </c>
      <c r="W309" s="2">
        <f t="shared" ref="W309" si="229">ROUND(V309*1.2, -2)</f>
        <v>100</v>
      </c>
      <c r="X309" s="2" t="s">
        <v>196</v>
      </c>
      <c r="Y309" s="2" t="str">
        <f t="shared" si="195"/>
        <v>80,100</v>
      </c>
      <c r="Z309" s="2">
        <v>80</v>
      </c>
      <c r="AA309" s="2">
        <f t="shared" ref="AA309" si="230">ROUND(Z309*1.2, -2)</f>
        <v>100</v>
      </c>
      <c r="AB309" s="2">
        <v>100000</v>
      </c>
      <c r="AC309" s="2" t="str">
        <f>_xlfn.XLOOKUP(B309,'#캐릭터'!A:A,'#캐릭터'!B:B)</f>
        <v>모나</v>
      </c>
      <c r="AD309" s="2" t="str">
        <f t="shared" si="203"/>
        <v>Common1_모나</v>
      </c>
      <c r="AE309" s="2">
        <f t="shared" si="196"/>
        <v>0</v>
      </c>
    </row>
    <row r="310" spans="1:31" x14ac:dyDescent="0.2">
      <c r="A310" s="2">
        <f t="shared" si="192"/>
        <v>10001002</v>
      </c>
      <c r="B310" s="1">
        <v>10000001</v>
      </c>
      <c r="C310" s="1" t="s">
        <v>281</v>
      </c>
      <c r="D310" s="1" t="s">
        <v>309</v>
      </c>
      <c r="E310" s="1" t="str">
        <f>"Persona_"&amp;_xlfn.XLOOKUP($B310, '#캐릭터'!$A:$A, '#캐릭터'!$C:$C)</f>
        <v>Persona_c001</v>
      </c>
      <c r="F310" s="1"/>
      <c r="G310" s="1">
        <f>_xlfn.XLOOKUP(_xlfn.XLOOKUP(B310,'[1]Detail&lt;Child&gt;'!$A:$A,'[1]Detail&lt;Child&gt;'!$N:$N),'#참조'!P:P,'#참조'!Q:Q)</f>
        <v>5</v>
      </c>
      <c r="H310" s="1">
        <f>_xlfn.XLOOKUP(_xlfn.XLOOKUP(B310,'[1]Detail&lt;Child&gt;'!$A:$A,'[1]Detail&lt;Child&gt;'!$O:$O),'#참조'!R:R,'#참조'!S:S)</f>
        <v>2</v>
      </c>
      <c r="I310" s="1">
        <v>0</v>
      </c>
      <c r="J310" s="2">
        <v>3</v>
      </c>
      <c r="K310" s="2">
        <v>1</v>
      </c>
      <c r="L310" s="2">
        <v>2</v>
      </c>
      <c r="M310" s="2" t="s">
        <v>6</v>
      </c>
      <c r="N310" s="2" t="s">
        <v>407</v>
      </c>
      <c r="O310" s="2">
        <f t="shared" ref="O310" si="231">ROUND(O309*1.1, 0)</f>
        <v>2200</v>
      </c>
      <c r="P310" s="2" t="s">
        <v>194</v>
      </c>
      <c r="Q310" s="2" t="str">
        <f t="shared" si="193"/>
        <v>1300,1600</v>
      </c>
      <c r="R310" s="2">
        <f t="shared" ref="R310" si="232">ROUND(R309*1.3, 0)</f>
        <v>1300</v>
      </c>
      <c r="S310" s="2">
        <f t="shared" si="208"/>
        <v>1600</v>
      </c>
      <c r="T310" s="2" t="s">
        <v>195</v>
      </c>
      <c r="U310" s="2" t="str">
        <f t="shared" si="194"/>
        <v>120,100</v>
      </c>
      <c r="V310" s="2">
        <f t="shared" ref="V310" si="233">ROUND(V309*1.2, 0)</f>
        <v>120</v>
      </c>
      <c r="W310" s="2">
        <f t="shared" si="209"/>
        <v>100</v>
      </c>
      <c r="X310" s="2" t="s">
        <v>196</v>
      </c>
      <c r="Y310" s="2" t="str">
        <f t="shared" si="195"/>
        <v>104,100</v>
      </c>
      <c r="Z310" s="2">
        <f t="shared" ref="Z310" si="234">ROUND(Z309*1.3, 0)</f>
        <v>104</v>
      </c>
      <c r="AA310" s="2">
        <f t="shared" si="210"/>
        <v>100</v>
      </c>
      <c r="AB310" s="2">
        <v>100000</v>
      </c>
      <c r="AC310" s="2" t="str">
        <f>_xlfn.XLOOKUP(B310,'#캐릭터'!A:A,'#캐릭터'!B:B)</f>
        <v>모나</v>
      </c>
      <c r="AD310" s="2" t="str">
        <f t="shared" si="203"/>
        <v>Common2_모나</v>
      </c>
      <c r="AE310" s="2">
        <f t="shared" si="196"/>
        <v>0</v>
      </c>
    </row>
    <row r="311" spans="1:31" x14ac:dyDescent="0.2">
      <c r="A311" s="2">
        <f t="shared" si="192"/>
        <v>10001003</v>
      </c>
      <c r="B311" s="1">
        <v>10000001</v>
      </c>
      <c r="C311" s="1" t="s">
        <v>281</v>
      </c>
      <c r="D311" s="1" t="s">
        <v>309</v>
      </c>
      <c r="E311" s="1" t="str">
        <f>"Persona_"&amp;_xlfn.XLOOKUP($B311, '#캐릭터'!$A:$A, '#캐릭터'!$C:$C)</f>
        <v>Persona_c001</v>
      </c>
      <c r="F311" s="1"/>
      <c r="G311" s="1">
        <f>_xlfn.XLOOKUP(_xlfn.XLOOKUP(B311,'[1]Detail&lt;Child&gt;'!$A:$A,'[1]Detail&lt;Child&gt;'!$N:$N),'#참조'!P:P,'#참조'!Q:Q)</f>
        <v>5</v>
      </c>
      <c r="H311" s="1">
        <f>_xlfn.XLOOKUP(_xlfn.XLOOKUP(B311,'[1]Detail&lt;Child&gt;'!$A:$A,'[1]Detail&lt;Child&gt;'!$O:$O),'#참조'!R:R,'#참조'!S:S)</f>
        <v>2</v>
      </c>
      <c r="I311" s="1">
        <v>0</v>
      </c>
      <c r="J311" s="2">
        <v>3</v>
      </c>
      <c r="K311" s="2">
        <v>1</v>
      </c>
      <c r="L311" s="2">
        <v>3</v>
      </c>
      <c r="M311" s="2" t="s">
        <v>7</v>
      </c>
      <c r="N311" s="2" t="s">
        <v>407</v>
      </c>
      <c r="O311" s="2">
        <f t="shared" si="211"/>
        <v>2420</v>
      </c>
      <c r="P311" s="2" t="s">
        <v>194</v>
      </c>
      <c r="Q311" s="2" t="str">
        <f t="shared" si="193"/>
        <v>1690,2000</v>
      </c>
      <c r="R311" s="2">
        <f t="shared" si="212"/>
        <v>1690</v>
      </c>
      <c r="S311" s="2">
        <f t="shared" si="208"/>
        <v>2000</v>
      </c>
      <c r="T311" s="2" t="s">
        <v>195</v>
      </c>
      <c r="U311" s="2" t="str">
        <f t="shared" si="194"/>
        <v>144,200</v>
      </c>
      <c r="V311" s="2">
        <f t="shared" si="213"/>
        <v>144</v>
      </c>
      <c r="W311" s="2">
        <f t="shared" si="209"/>
        <v>200</v>
      </c>
      <c r="X311" s="2" t="s">
        <v>196</v>
      </c>
      <c r="Y311" s="2" t="str">
        <f t="shared" si="195"/>
        <v>135,200</v>
      </c>
      <c r="Z311" s="2">
        <f t="shared" si="214"/>
        <v>135</v>
      </c>
      <c r="AA311" s="2">
        <f t="shared" si="210"/>
        <v>200</v>
      </c>
      <c r="AB311" s="2">
        <v>100000</v>
      </c>
      <c r="AC311" s="2" t="str">
        <f>_xlfn.XLOOKUP(B311,'#캐릭터'!A:A,'#캐릭터'!B:B)</f>
        <v>모나</v>
      </c>
      <c r="AD311" s="2" t="str">
        <f t="shared" si="203"/>
        <v>Common3_모나</v>
      </c>
      <c r="AE311" s="2">
        <f t="shared" si="196"/>
        <v>0</v>
      </c>
    </row>
    <row r="312" spans="1:31" x14ac:dyDescent="0.2">
      <c r="A312" s="2">
        <f t="shared" si="192"/>
        <v>10001004</v>
      </c>
      <c r="B312" s="1">
        <v>10000001</v>
      </c>
      <c r="C312" s="1" t="s">
        <v>281</v>
      </c>
      <c r="D312" s="1" t="s">
        <v>309</v>
      </c>
      <c r="E312" s="1" t="str">
        <f>"Persona_"&amp;_xlfn.XLOOKUP($B312, '#캐릭터'!$A:$A, '#캐릭터'!$C:$C)</f>
        <v>Persona_c001</v>
      </c>
      <c r="F312" s="1"/>
      <c r="G312" s="1">
        <f>_xlfn.XLOOKUP(_xlfn.XLOOKUP(B312,'[1]Detail&lt;Child&gt;'!$A:$A,'[1]Detail&lt;Child&gt;'!$N:$N),'#참조'!P:P,'#참조'!Q:Q)</f>
        <v>5</v>
      </c>
      <c r="H312" s="1">
        <f>_xlfn.XLOOKUP(_xlfn.XLOOKUP(B312,'[1]Detail&lt;Child&gt;'!$A:$A,'[1]Detail&lt;Child&gt;'!$O:$O),'#참조'!R:R,'#참조'!S:S)</f>
        <v>2</v>
      </c>
      <c r="I312" s="1">
        <v>0</v>
      </c>
      <c r="J312" s="2">
        <v>3</v>
      </c>
      <c r="K312" s="2">
        <v>2</v>
      </c>
      <c r="L312" s="2">
        <v>4</v>
      </c>
      <c r="M312" s="2" t="s">
        <v>8</v>
      </c>
      <c r="N312" s="2" t="s">
        <v>407</v>
      </c>
      <c r="O312" s="2">
        <f t="shared" si="211"/>
        <v>2662</v>
      </c>
      <c r="P312" s="2" t="s">
        <v>194</v>
      </c>
      <c r="Q312" s="2" t="str">
        <f t="shared" si="193"/>
        <v>2197,2600</v>
      </c>
      <c r="R312" s="2">
        <f t="shared" si="212"/>
        <v>2197</v>
      </c>
      <c r="S312" s="2">
        <f t="shared" si="208"/>
        <v>2600</v>
      </c>
      <c r="T312" s="2" t="s">
        <v>195</v>
      </c>
      <c r="U312" s="2" t="str">
        <f t="shared" si="194"/>
        <v>173,200</v>
      </c>
      <c r="V312" s="2">
        <f t="shared" si="213"/>
        <v>173</v>
      </c>
      <c r="W312" s="2">
        <f t="shared" si="209"/>
        <v>200</v>
      </c>
      <c r="X312" s="2" t="s">
        <v>196</v>
      </c>
      <c r="Y312" s="2" t="str">
        <f t="shared" si="195"/>
        <v>176,200</v>
      </c>
      <c r="Z312" s="2">
        <f t="shared" si="214"/>
        <v>176</v>
      </c>
      <c r="AA312" s="2">
        <f t="shared" si="210"/>
        <v>200</v>
      </c>
      <c r="AB312" s="2">
        <v>95000</v>
      </c>
      <c r="AC312" s="2" t="str">
        <f>_xlfn.XLOOKUP(B312,'#캐릭터'!A:A,'#캐릭터'!B:B)</f>
        <v>모나</v>
      </c>
      <c r="AD312" s="2" t="str">
        <f t="shared" si="203"/>
        <v>Uncommon1_모나</v>
      </c>
      <c r="AE312" s="2">
        <f t="shared" si="196"/>
        <v>0</v>
      </c>
    </row>
    <row r="313" spans="1:31" x14ac:dyDescent="0.2">
      <c r="A313" s="2">
        <f t="shared" si="192"/>
        <v>10001005</v>
      </c>
      <c r="B313" s="1">
        <v>10000001</v>
      </c>
      <c r="C313" s="1" t="s">
        <v>281</v>
      </c>
      <c r="D313" s="1" t="s">
        <v>309</v>
      </c>
      <c r="E313" s="1" t="str">
        <f>"Persona_"&amp;_xlfn.XLOOKUP($B313, '#캐릭터'!$A:$A, '#캐릭터'!$C:$C)</f>
        <v>Persona_c001</v>
      </c>
      <c r="F313" s="1"/>
      <c r="G313" s="1">
        <f>_xlfn.XLOOKUP(_xlfn.XLOOKUP(B313,'[1]Detail&lt;Child&gt;'!$A:$A,'[1]Detail&lt;Child&gt;'!$N:$N),'#참조'!P:P,'#참조'!Q:Q)</f>
        <v>5</v>
      </c>
      <c r="H313" s="1">
        <f>_xlfn.XLOOKUP(_xlfn.XLOOKUP(B313,'[1]Detail&lt;Child&gt;'!$A:$A,'[1]Detail&lt;Child&gt;'!$O:$O),'#참조'!R:R,'#참조'!S:S)</f>
        <v>2</v>
      </c>
      <c r="I313" s="1">
        <v>0</v>
      </c>
      <c r="J313" s="2">
        <v>3</v>
      </c>
      <c r="K313" s="2">
        <v>2</v>
      </c>
      <c r="L313" s="2">
        <v>5</v>
      </c>
      <c r="M313" s="2" t="s">
        <v>9</v>
      </c>
      <c r="N313" s="2" t="s">
        <v>407</v>
      </c>
      <c r="O313" s="2">
        <f t="shared" si="211"/>
        <v>2928</v>
      </c>
      <c r="P313" s="2" t="s">
        <v>194</v>
      </c>
      <c r="Q313" s="2" t="str">
        <f t="shared" si="193"/>
        <v>2856,3400</v>
      </c>
      <c r="R313" s="2">
        <f t="shared" si="212"/>
        <v>2856</v>
      </c>
      <c r="S313" s="2">
        <f t="shared" si="208"/>
        <v>3400</v>
      </c>
      <c r="T313" s="2" t="s">
        <v>195</v>
      </c>
      <c r="U313" s="2" t="str">
        <f t="shared" si="194"/>
        <v>208,200</v>
      </c>
      <c r="V313" s="2">
        <f t="shared" si="213"/>
        <v>208</v>
      </c>
      <c r="W313" s="2">
        <f t="shared" si="209"/>
        <v>200</v>
      </c>
      <c r="X313" s="2" t="s">
        <v>196</v>
      </c>
      <c r="Y313" s="2" t="str">
        <f t="shared" si="195"/>
        <v>229,300</v>
      </c>
      <c r="Z313" s="2">
        <f t="shared" si="214"/>
        <v>229</v>
      </c>
      <c r="AA313" s="2">
        <f t="shared" si="210"/>
        <v>300</v>
      </c>
      <c r="AB313" s="2">
        <v>95000</v>
      </c>
      <c r="AC313" s="2" t="str">
        <f>_xlfn.XLOOKUP(B313,'#캐릭터'!A:A,'#캐릭터'!B:B)</f>
        <v>모나</v>
      </c>
      <c r="AD313" s="2" t="str">
        <f t="shared" si="203"/>
        <v>Uncommon2_모나</v>
      </c>
      <c r="AE313" s="2">
        <f t="shared" si="196"/>
        <v>0</v>
      </c>
    </row>
    <row r="314" spans="1:31" x14ac:dyDescent="0.2">
      <c r="A314" s="2">
        <f t="shared" si="192"/>
        <v>10001006</v>
      </c>
      <c r="B314" s="1">
        <v>10000001</v>
      </c>
      <c r="C314" s="1" t="s">
        <v>281</v>
      </c>
      <c r="D314" s="1" t="s">
        <v>309</v>
      </c>
      <c r="E314" s="1" t="str">
        <f>"Persona_"&amp;_xlfn.XLOOKUP($B314, '#캐릭터'!$A:$A, '#캐릭터'!$C:$C)</f>
        <v>Persona_c001</v>
      </c>
      <c r="F314" s="1"/>
      <c r="G314" s="1">
        <f>_xlfn.XLOOKUP(_xlfn.XLOOKUP(B314,'[1]Detail&lt;Child&gt;'!$A:$A,'[1]Detail&lt;Child&gt;'!$N:$N),'#참조'!P:P,'#참조'!Q:Q)</f>
        <v>5</v>
      </c>
      <c r="H314" s="1">
        <f>_xlfn.XLOOKUP(_xlfn.XLOOKUP(B314,'[1]Detail&lt;Child&gt;'!$A:$A,'[1]Detail&lt;Child&gt;'!$O:$O),'#참조'!R:R,'#참조'!S:S)</f>
        <v>2</v>
      </c>
      <c r="I314" s="1">
        <v>0</v>
      </c>
      <c r="J314" s="2">
        <v>3</v>
      </c>
      <c r="K314" s="2">
        <v>2</v>
      </c>
      <c r="L314" s="2">
        <v>6</v>
      </c>
      <c r="M314" s="2" t="s">
        <v>10</v>
      </c>
      <c r="N314" s="2" t="s">
        <v>407</v>
      </c>
      <c r="O314" s="2">
        <f t="shared" si="211"/>
        <v>3221</v>
      </c>
      <c r="P314" s="2" t="s">
        <v>194</v>
      </c>
      <c r="Q314" s="2" t="str">
        <f t="shared" si="193"/>
        <v>3713,4500</v>
      </c>
      <c r="R314" s="2">
        <f t="shared" si="212"/>
        <v>3713</v>
      </c>
      <c r="S314" s="2">
        <f t="shared" si="208"/>
        <v>4500</v>
      </c>
      <c r="T314" s="2" t="s">
        <v>195</v>
      </c>
      <c r="U314" s="2" t="str">
        <f t="shared" si="194"/>
        <v>250,300</v>
      </c>
      <c r="V314" s="2">
        <f t="shared" si="213"/>
        <v>250</v>
      </c>
      <c r="W314" s="2">
        <f t="shared" si="209"/>
        <v>300</v>
      </c>
      <c r="X314" s="2" t="s">
        <v>196</v>
      </c>
      <c r="Y314" s="2" t="str">
        <f t="shared" si="195"/>
        <v>298,400</v>
      </c>
      <c r="Z314" s="2">
        <f t="shared" si="214"/>
        <v>298</v>
      </c>
      <c r="AA314" s="2">
        <f t="shared" si="210"/>
        <v>400</v>
      </c>
      <c r="AB314" s="2">
        <v>95000</v>
      </c>
      <c r="AC314" s="2" t="str">
        <f>_xlfn.XLOOKUP(B314,'#캐릭터'!A:A,'#캐릭터'!B:B)</f>
        <v>모나</v>
      </c>
      <c r="AD314" s="2" t="str">
        <f t="shared" si="203"/>
        <v>Uncommon3_모나</v>
      </c>
      <c r="AE314" s="2">
        <f t="shared" si="196"/>
        <v>0</v>
      </c>
    </row>
    <row r="315" spans="1:31" x14ac:dyDescent="0.2">
      <c r="A315" s="2">
        <f t="shared" si="192"/>
        <v>10001007</v>
      </c>
      <c r="B315" s="1">
        <v>10000001</v>
      </c>
      <c r="C315" s="1" t="s">
        <v>281</v>
      </c>
      <c r="D315" s="1" t="s">
        <v>309</v>
      </c>
      <c r="E315" s="1" t="str">
        <f>"Persona_"&amp;_xlfn.XLOOKUP($B315, '#캐릭터'!$A:$A, '#캐릭터'!$C:$C)</f>
        <v>Persona_c001</v>
      </c>
      <c r="F315" s="1"/>
      <c r="G315" s="1">
        <f>_xlfn.XLOOKUP(_xlfn.XLOOKUP(B315,'[1]Detail&lt;Child&gt;'!$A:$A,'[1]Detail&lt;Child&gt;'!$N:$N),'#참조'!P:P,'#참조'!Q:Q)</f>
        <v>5</v>
      </c>
      <c r="H315" s="1">
        <f>_xlfn.XLOOKUP(_xlfn.XLOOKUP(B315,'[1]Detail&lt;Child&gt;'!$A:$A,'[1]Detail&lt;Child&gt;'!$O:$O),'#참조'!R:R,'#참조'!S:S)</f>
        <v>2</v>
      </c>
      <c r="I315" s="1">
        <v>1</v>
      </c>
      <c r="J315" s="2">
        <v>3</v>
      </c>
      <c r="K315" s="2">
        <v>3</v>
      </c>
      <c r="L315" s="2">
        <v>7</v>
      </c>
      <c r="M315" s="2" t="s">
        <v>11</v>
      </c>
      <c r="N315" s="2" t="s">
        <v>407</v>
      </c>
      <c r="O315" s="2">
        <f t="shared" si="211"/>
        <v>3543</v>
      </c>
      <c r="P315" s="2" t="s">
        <v>194</v>
      </c>
      <c r="Q315" s="2" t="str">
        <f t="shared" si="193"/>
        <v>4827,5800</v>
      </c>
      <c r="R315" s="2">
        <f t="shared" si="212"/>
        <v>4827</v>
      </c>
      <c r="S315" s="2">
        <f t="shared" si="208"/>
        <v>5800</v>
      </c>
      <c r="T315" s="2" t="s">
        <v>195</v>
      </c>
      <c r="U315" s="2" t="str">
        <f t="shared" si="194"/>
        <v>300,400</v>
      </c>
      <c r="V315" s="2">
        <f t="shared" si="213"/>
        <v>300</v>
      </c>
      <c r="W315" s="2">
        <f t="shared" si="209"/>
        <v>400</v>
      </c>
      <c r="X315" s="2" t="s">
        <v>196</v>
      </c>
      <c r="Y315" s="2" t="str">
        <f t="shared" si="195"/>
        <v>387,500</v>
      </c>
      <c r="Z315" s="2">
        <f t="shared" si="214"/>
        <v>387</v>
      </c>
      <c r="AA315" s="2">
        <f t="shared" si="210"/>
        <v>500</v>
      </c>
      <c r="AB315" s="2">
        <v>90000</v>
      </c>
      <c r="AC315" s="2" t="str">
        <f>_xlfn.XLOOKUP(B315,'#캐릭터'!A:A,'#캐릭터'!B:B)</f>
        <v>모나</v>
      </c>
      <c r="AD315" s="2" t="str">
        <f t="shared" si="203"/>
        <v>Rare1_모나</v>
      </c>
      <c r="AE315" s="2">
        <f t="shared" si="196"/>
        <v>5201</v>
      </c>
    </row>
    <row r="316" spans="1:31" x14ac:dyDescent="0.2">
      <c r="A316" s="2">
        <f t="shared" si="192"/>
        <v>10001008</v>
      </c>
      <c r="B316" s="1">
        <v>10000001</v>
      </c>
      <c r="C316" s="1" t="s">
        <v>281</v>
      </c>
      <c r="D316" s="1" t="s">
        <v>309</v>
      </c>
      <c r="E316" s="1" t="str">
        <f>"Persona_"&amp;_xlfn.XLOOKUP($B316, '#캐릭터'!$A:$A, '#캐릭터'!$C:$C)</f>
        <v>Persona_c001</v>
      </c>
      <c r="F316" s="1"/>
      <c r="G316" s="1">
        <f>_xlfn.XLOOKUP(_xlfn.XLOOKUP(B316,'[1]Detail&lt;Child&gt;'!$A:$A,'[1]Detail&lt;Child&gt;'!$N:$N),'#참조'!P:P,'#참조'!Q:Q)</f>
        <v>5</v>
      </c>
      <c r="H316" s="1">
        <f>_xlfn.XLOOKUP(_xlfn.XLOOKUP(B316,'[1]Detail&lt;Child&gt;'!$A:$A,'[1]Detail&lt;Child&gt;'!$O:$O),'#참조'!R:R,'#참조'!S:S)</f>
        <v>2</v>
      </c>
      <c r="I316" s="1">
        <v>1</v>
      </c>
      <c r="J316" s="2">
        <v>3</v>
      </c>
      <c r="K316" s="2">
        <v>3</v>
      </c>
      <c r="L316" s="2">
        <v>8</v>
      </c>
      <c r="M316" s="2" t="s">
        <v>12</v>
      </c>
      <c r="N316" s="2" t="s">
        <v>407</v>
      </c>
      <c r="O316" s="2">
        <f t="shared" si="211"/>
        <v>3897</v>
      </c>
      <c r="P316" s="2" t="s">
        <v>194</v>
      </c>
      <c r="Q316" s="2" t="str">
        <f t="shared" si="193"/>
        <v>6275,7500</v>
      </c>
      <c r="R316" s="2">
        <f t="shared" si="212"/>
        <v>6275</v>
      </c>
      <c r="S316" s="2">
        <f t="shared" si="208"/>
        <v>7500</v>
      </c>
      <c r="T316" s="2" t="s">
        <v>195</v>
      </c>
      <c r="U316" s="2" t="str">
        <f t="shared" si="194"/>
        <v>360,400</v>
      </c>
      <c r="V316" s="2">
        <f t="shared" si="213"/>
        <v>360</v>
      </c>
      <c r="W316" s="2">
        <f t="shared" si="209"/>
        <v>400</v>
      </c>
      <c r="X316" s="2" t="s">
        <v>196</v>
      </c>
      <c r="Y316" s="2" t="str">
        <f t="shared" si="195"/>
        <v>503,600</v>
      </c>
      <c r="Z316" s="2">
        <f t="shared" si="214"/>
        <v>503</v>
      </c>
      <c r="AA316" s="2">
        <f t="shared" si="210"/>
        <v>600</v>
      </c>
      <c r="AB316" s="2">
        <v>90000</v>
      </c>
      <c r="AC316" s="2" t="str">
        <f>_xlfn.XLOOKUP(B316,'#캐릭터'!A:A,'#캐릭터'!B:B)</f>
        <v>모나</v>
      </c>
      <c r="AD316" s="2" t="str">
        <f t="shared" si="203"/>
        <v>Rare2_모나</v>
      </c>
      <c r="AE316" s="2">
        <f t="shared" si="196"/>
        <v>5201</v>
      </c>
    </row>
    <row r="317" spans="1:31" x14ac:dyDescent="0.2">
      <c r="A317" s="2">
        <f t="shared" si="192"/>
        <v>10001009</v>
      </c>
      <c r="B317" s="1">
        <v>10000001</v>
      </c>
      <c r="C317" s="1" t="s">
        <v>281</v>
      </c>
      <c r="D317" s="1" t="s">
        <v>309</v>
      </c>
      <c r="E317" s="1" t="str">
        <f>"Persona_"&amp;_xlfn.XLOOKUP($B317, '#캐릭터'!$A:$A, '#캐릭터'!$C:$C)</f>
        <v>Persona_c001</v>
      </c>
      <c r="F317" s="1"/>
      <c r="G317" s="1">
        <f>_xlfn.XLOOKUP(_xlfn.XLOOKUP(B317,'[1]Detail&lt;Child&gt;'!$A:$A,'[1]Detail&lt;Child&gt;'!$N:$N),'#참조'!P:P,'#참조'!Q:Q)</f>
        <v>5</v>
      </c>
      <c r="H317" s="1">
        <f>_xlfn.XLOOKUP(_xlfn.XLOOKUP(B317,'[1]Detail&lt;Child&gt;'!$A:$A,'[1]Detail&lt;Child&gt;'!$O:$O),'#참조'!R:R,'#참조'!S:S)</f>
        <v>2</v>
      </c>
      <c r="I317" s="1">
        <v>2</v>
      </c>
      <c r="J317" s="2">
        <v>3</v>
      </c>
      <c r="K317" s="2">
        <v>3</v>
      </c>
      <c r="L317" s="2">
        <v>9</v>
      </c>
      <c r="M317" s="2" t="s">
        <v>13</v>
      </c>
      <c r="N317" s="2" t="s">
        <v>407</v>
      </c>
      <c r="O317" s="2">
        <f t="shared" si="211"/>
        <v>4287</v>
      </c>
      <c r="P317" s="2" t="s">
        <v>194</v>
      </c>
      <c r="Q317" s="2" t="str">
        <f t="shared" si="193"/>
        <v>8158,9800</v>
      </c>
      <c r="R317" s="2">
        <f t="shared" si="212"/>
        <v>8158</v>
      </c>
      <c r="S317" s="2">
        <f t="shared" si="208"/>
        <v>9800</v>
      </c>
      <c r="T317" s="2" t="s">
        <v>195</v>
      </c>
      <c r="U317" s="2" t="str">
        <f t="shared" si="194"/>
        <v>432,500</v>
      </c>
      <c r="V317" s="2">
        <f t="shared" si="213"/>
        <v>432</v>
      </c>
      <c r="W317" s="2">
        <f t="shared" si="209"/>
        <v>500</v>
      </c>
      <c r="X317" s="2" t="s">
        <v>196</v>
      </c>
      <c r="Y317" s="2" t="str">
        <f t="shared" si="195"/>
        <v>654,800</v>
      </c>
      <c r="Z317" s="2">
        <f t="shared" si="214"/>
        <v>654</v>
      </c>
      <c r="AA317" s="2">
        <f t="shared" si="210"/>
        <v>800</v>
      </c>
      <c r="AB317" s="2">
        <v>90000</v>
      </c>
      <c r="AC317" s="2" t="str">
        <f>_xlfn.XLOOKUP(B317,'#캐릭터'!A:A,'#캐릭터'!B:B)</f>
        <v>모나</v>
      </c>
      <c r="AD317" s="2" t="str">
        <f t="shared" si="203"/>
        <v>Rare3_모나</v>
      </c>
      <c r="AE317" s="2">
        <f t="shared" si="196"/>
        <v>5202</v>
      </c>
    </row>
    <row r="318" spans="1:31" x14ac:dyDescent="0.2">
      <c r="A318" s="2">
        <f t="shared" si="192"/>
        <v>10001010</v>
      </c>
      <c r="B318" s="1">
        <v>10000001</v>
      </c>
      <c r="C318" s="1" t="s">
        <v>281</v>
      </c>
      <c r="D318" s="1" t="s">
        <v>309</v>
      </c>
      <c r="E318" s="1" t="str">
        <f>"Persona_"&amp;_xlfn.XLOOKUP($B318, '#캐릭터'!$A:$A, '#캐릭터'!$C:$C)</f>
        <v>Persona_c001</v>
      </c>
      <c r="F318" s="1"/>
      <c r="G318" s="1">
        <f>_xlfn.XLOOKUP(_xlfn.XLOOKUP(B318,'[1]Detail&lt;Child&gt;'!$A:$A,'[1]Detail&lt;Child&gt;'!$N:$N),'#참조'!P:P,'#참조'!Q:Q)</f>
        <v>5</v>
      </c>
      <c r="H318" s="1">
        <f>_xlfn.XLOOKUP(_xlfn.XLOOKUP(B318,'[1]Detail&lt;Child&gt;'!$A:$A,'[1]Detail&lt;Child&gt;'!$O:$O),'#참조'!R:R,'#참조'!S:S)</f>
        <v>2</v>
      </c>
      <c r="I318" s="1">
        <v>2</v>
      </c>
      <c r="J318" s="2">
        <v>3</v>
      </c>
      <c r="K318" s="2">
        <v>4</v>
      </c>
      <c r="L318" s="2">
        <v>10</v>
      </c>
      <c r="M318" s="2" t="s">
        <v>14</v>
      </c>
      <c r="N318" s="2" t="s">
        <v>407</v>
      </c>
      <c r="O318" s="2">
        <f t="shared" si="211"/>
        <v>4716</v>
      </c>
      <c r="P318" s="2" t="s">
        <v>194</v>
      </c>
      <c r="Q318" s="2" t="str">
        <f t="shared" si="193"/>
        <v>10605,12700</v>
      </c>
      <c r="R318" s="2">
        <f t="shared" si="212"/>
        <v>10605</v>
      </c>
      <c r="S318" s="2">
        <f t="shared" si="208"/>
        <v>12700</v>
      </c>
      <c r="T318" s="2" t="s">
        <v>195</v>
      </c>
      <c r="U318" s="2" t="str">
        <f t="shared" si="194"/>
        <v>518,600</v>
      </c>
      <c r="V318" s="2">
        <f t="shared" si="213"/>
        <v>518</v>
      </c>
      <c r="W318" s="2">
        <f t="shared" si="209"/>
        <v>600</v>
      </c>
      <c r="X318" s="2" t="s">
        <v>196</v>
      </c>
      <c r="Y318" s="2" t="str">
        <f t="shared" si="195"/>
        <v>850,1000</v>
      </c>
      <c r="Z318" s="2">
        <f t="shared" si="214"/>
        <v>850</v>
      </c>
      <c r="AA318" s="2">
        <f t="shared" si="210"/>
        <v>1000</v>
      </c>
      <c r="AB318" s="2">
        <v>85000</v>
      </c>
      <c r="AC318" s="2" t="str">
        <f>_xlfn.XLOOKUP(B318,'#캐릭터'!A:A,'#캐릭터'!B:B)</f>
        <v>모나</v>
      </c>
      <c r="AD318" s="2" t="str">
        <f t="shared" si="203"/>
        <v>Unique1_모나</v>
      </c>
      <c r="AE318" s="2">
        <f t="shared" si="196"/>
        <v>5202</v>
      </c>
    </row>
    <row r="319" spans="1:31" x14ac:dyDescent="0.2">
      <c r="A319" s="2">
        <f t="shared" si="192"/>
        <v>10001011</v>
      </c>
      <c r="B319" s="1">
        <v>10000001</v>
      </c>
      <c r="C319" s="1" t="s">
        <v>281</v>
      </c>
      <c r="D319" s="1" t="s">
        <v>309</v>
      </c>
      <c r="E319" s="1" t="str">
        <f>"Persona_"&amp;_xlfn.XLOOKUP($B319, '#캐릭터'!$A:$A, '#캐릭터'!$C:$C)</f>
        <v>Persona_c001</v>
      </c>
      <c r="F319" s="1"/>
      <c r="G319" s="1">
        <f>_xlfn.XLOOKUP(_xlfn.XLOOKUP(B319,'[1]Detail&lt;Child&gt;'!$A:$A,'[1]Detail&lt;Child&gt;'!$N:$N),'#참조'!P:P,'#참조'!Q:Q)</f>
        <v>5</v>
      </c>
      <c r="H319" s="1">
        <f>_xlfn.XLOOKUP(_xlfn.XLOOKUP(B319,'[1]Detail&lt;Child&gt;'!$A:$A,'[1]Detail&lt;Child&gt;'!$O:$O),'#참조'!R:R,'#참조'!S:S)</f>
        <v>2</v>
      </c>
      <c r="I319" s="1">
        <v>3</v>
      </c>
      <c r="J319" s="2">
        <v>3</v>
      </c>
      <c r="K319" s="2">
        <v>4</v>
      </c>
      <c r="L319" s="2">
        <v>11</v>
      </c>
      <c r="M319" s="2" t="s">
        <v>15</v>
      </c>
      <c r="N319" s="2" t="s">
        <v>407</v>
      </c>
      <c r="O319" s="2">
        <f t="shared" si="211"/>
        <v>5188</v>
      </c>
      <c r="P319" s="2" t="s">
        <v>194</v>
      </c>
      <c r="Q319" s="2" t="str">
        <f t="shared" si="193"/>
        <v>13787,16500</v>
      </c>
      <c r="R319" s="2">
        <f t="shared" si="212"/>
        <v>13787</v>
      </c>
      <c r="S319" s="2">
        <f t="shared" si="208"/>
        <v>16500</v>
      </c>
      <c r="T319" s="2" t="s">
        <v>195</v>
      </c>
      <c r="U319" s="2" t="str">
        <f t="shared" si="194"/>
        <v>622,700</v>
      </c>
      <c r="V319" s="2">
        <f t="shared" si="213"/>
        <v>622</v>
      </c>
      <c r="W319" s="2">
        <f t="shared" si="209"/>
        <v>700</v>
      </c>
      <c r="X319" s="2" t="s">
        <v>196</v>
      </c>
      <c r="Y319" s="2" t="str">
        <f t="shared" si="195"/>
        <v>1105,1300</v>
      </c>
      <c r="Z319" s="2">
        <f t="shared" si="214"/>
        <v>1105</v>
      </c>
      <c r="AA319" s="2">
        <f t="shared" si="210"/>
        <v>1300</v>
      </c>
      <c r="AB319" s="2">
        <v>85000</v>
      </c>
      <c r="AC319" s="2" t="str">
        <f>_xlfn.XLOOKUP(B319,'#캐릭터'!A:A,'#캐릭터'!B:B)</f>
        <v>모나</v>
      </c>
      <c r="AD319" s="2" t="str">
        <f t="shared" si="203"/>
        <v>Unique2_모나</v>
      </c>
      <c r="AE319" s="2">
        <f t="shared" si="196"/>
        <v>5203</v>
      </c>
    </row>
    <row r="320" spans="1:31" x14ac:dyDescent="0.2">
      <c r="A320" s="2">
        <f t="shared" si="192"/>
        <v>10001012</v>
      </c>
      <c r="B320" s="1">
        <v>10000001</v>
      </c>
      <c r="C320" s="1" t="s">
        <v>281</v>
      </c>
      <c r="D320" s="1" t="s">
        <v>309</v>
      </c>
      <c r="E320" s="1" t="str">
        <f>"Persona_"&amp;_xlfn.XLOOKUP($B320, '#캐릭터'!$A:$A, '#캐릭터'!$C:$C)</f>
        <v>Persona_c001</v>
      </c>
      <c r="F320" s="1"/>
      <c r="G320" s="1">
        <f>_xlfn.XLOOKUP(_xlfn.XLOOKUP(B320,'[1]Detail&lt;Child&gt;'!$A:$A,'[1]Detail&lt;Child&gt;'!$N:$N),'#참조'!P:P,'#참조'!Q:Q)</f>
        <v>5</v>
      </c>
      <c r="H320" s="1">
        <f>_xlfn.XLOOKUP(_xlfn.XLOOKUP(B320,'[1]Detail&lt;Child&gt;'!$A:$A,'[1]Detail&lt;Child&gt;'!$O:$O),'#참조'!R:R,'#참조'!S:S)</f>
        <v>2</v>
      </c>
      <c r="I320" s="1">
        <v>3</v>
      </c>
      <c r="J320" s="2">
        <v>3</v>
      </c>
      <c r="K320" s="2">
        <v>4</v>
      </c>
      <c r="L320" s="2">
        <v>12</v>
      </c>
      <c r="M320" s="2" t="s">
        <v>16</v>
      </c>
      <c r="N320" s="2" t="s">
        <v>407</v>
      </c>
      <c r="O320" s="2">
        <f t="shared" si="211"/>
        <v>5707</v>
      </c>
      <c r="P320" s="2" t="s">
        <v>194</v>
      </c>
      <c r="Q320" s="2" t="str">
        <f t="shared" si="193"/>
        <v>17923,21500</v>
      </c>
      <c r="R320" s="2">
        <f t="shared" si="212"/>
        <v>17923</v>
      </c>
      <c r="S320" s="2">
        <f t="shared" si="208"/>
        <v>21500</v>
      </c>
      <c r="T320" s="2" t="s">
        <v>195</v>
      </c>
      <c r="U320" s="2" t="str">
        <f t="shared" si="194"/>
        <v>746,900</v>
      </c>
      <c r="V320" s="2">
        <f t="shared" si="213"/>
        <v>746</v>
      </c>
      <c r="W320" s="2">
        <f t="shared" si="209"/>
        <v>900</v>
      </c>
      <c r="X320" s="2" t="s">
        <v>196</v>
      </c>
      <c r="Y320" s="2" t="str">
        <f t="shared" si="195"/>
        <v>1437,1700</v>
      </c>
      <c r="Z320" s="2">
        <f t="shared" si="214"/>
        <v>1437</v>
      </c>
      <c r="AA320" s="2">
        <f t="shared" si="210"/>
        <v>1700</v>
      </c>
      <c r="AB320" s="2">
        <v>85000</v>
      </c>
      <c r="AC320" s="2" t="str">
        <f>_xlfn.XLOOKUP(B320,'#캐릭터'!A:A,'#캐릭터'!B:B)</f>
        <v>모나</v>
      </c>
      <c r="AD320" s="2" t="str">
        <f t="shared" si="203"/>
        <v>Unique3_모나</v>
      </c>
      <c r="AE320" s="2">
        <f t="shared" si="196"/>
        <v>5203</v>
      </c>
    </row>
    <row r="321" spans="1:31" x14ac:dyDescent="0.2">
      <c r="A321" s="2">
        <f t="shared" si="192"/>
        <v>10001013</v>
      </c>
      <c r="B321" s="1">
        <v>10000001</v>
      </c>
      <c r="C321" s="1" t="s">
        <v>281</v>
      </c>
      <c r="D321" s="1" t="s">
        <v>309</v>
      </c>
      <c r="E321" s="1" t="str">
        <f>"Persona_"&amp;_xlfn.XLOOKUP($B321, '#캐릭터'!$A:$A, '#캐릭터'!$C:$C)</f>
        <v>Persona_c001</v>
      </c>
      <c r="F321" s="1"/>
      <c r="G321" s="1">
        <f>_xlfn.XLOOKUP(_xlfn.XLOOKUP(B321,'[1]Detail&lt;Child&gt;'!$A:$A,'[1]Detail&lt;Child&gt;'!$N:$N),'#참조'!P:P,'#참조'!Q:Q)</f>
        <v>5</v>
      </c>
      <c r="H321" s="1">
        <f>_xlfn.XLOOKUP(_xlfn.XLOOKUP(B321,'[1]Detail&lt;Child&gt;'!$A:$A,'[1]Detail&lt;Child&gt;'!$O:$O),'#참조'!R:R,'#참조'!S:S)</f>
        <v>2</v>
      </c>
      <c r="I321" s="1">
        <v>4</v>
      </c>
      <c r="J321" s="2">
        <v>3</v>
      </c>
      <c r="K321" s="2">
        <v>5</v>
      </c>
      <c r="L321" s="2">
        <v>13</v>
      </c>
      <c r="M321" s="2" t="s">
        <v>17</v>
      </c>
      <c r="N321" s="2" t="s">
        <v>407</v>
      </c>
      <c r="O321" s="2">
        <f t="shared" si="211"/>
        <v>6278</v>
      </c>
      <c r="P321" s="2" t="s">
        <v>194</v>
      </c>
      <c r="Q321" s="2" t="str">
        <f t="shared" si="193"/>
        <v>23300,28000</v>
      </c>
      <c r="R321" s="2">
        <f t="shared" si="212"/>
        <v>23300</v>
      </c>
      <c r="S321" s="2">
        <f t="shared" si="208"/>
        <v>28000</v>
      </c>
      <c r="T321" s="2" t="s">
        <v>195</v>
      </c>
      <c r="U321" s="2" t="str">
        <f t="shared" si="194"/>
        <v>895,1100</v>
      </c>
      <c r="V321" s="2">
        <f t="shared" si="213"/>
        <v>895</v>
      </c>
      <c r="W321" s="2">
        <f t="shared" si="209"/>
        <v>1100</v>
      </c>
      <c r="X321" s="2" t="s">
        <v>196</v>
      </c>
      <c r="Y321" s="2" t="str">
        <f t="shared" si="195"/>
        <v>1868,2200</v>
      </c>
      <c r="Z321" s="2">
        <f t="shared" si="214"/>
        <v>1868</v>
      </c>
      <c r="AA321" s="2">
        <f t="shared" si="210"/>
        <v>2200</v>
      </c>
      <c r="AB321" s="2">
        <v>80000</v>
      </c>
      <c r="AC321" s="2" t="str">
        <f>_xlfn.XLOOKUP(B321,'#캐릭터'!A:A,'#캐릭터'!B:B)</f>
        <v>모나</v>
      </c>
      <c r="AD321" s="2" t="str">
        <f t="shared" si="203"/>
        <v>Epic1_모나</v>
      </c>
      <c r="AE321" s="2">
        <f t="shared" si="196"/>
        <v>5204</v>
      </c>
    </row>
    <row r="322" spans="1:31" x14ac:dyDescent="0.2">
      <c r="A322" s="2">
        <f t="shared" si="192"/>
        <v>10001014</v>
      </c>
      <c r="B322" s="1">
        <v>10000001</v>
      </c>
      <c r="C322" s="1" t="s">
        <v>281</v>
      </c>
      <c r="D322" s="1" t="s">
        <v>309</v>
      </c>
      <c r="E322" s="1" t="str">
        <f>"Persona_"&amp;_xlfn.XLOOKUP($B322, '#캐릭터'!$A:$A, '#캐릭터'!$C:$C)</f>
        <v>Persona_c001</v>
      </c>
      <c r="F322" s="1"/>
      <c r="G322" s="1">
        <f>_xlfn.XLOOKUP(_xlfn.XLOOKUP(B322,'[1]Detail&lt;Child&gt;'!$A:$A,'[1]Detail&lt;Child&gt;'!$N:$N),'#참조'!P:P,'#참조'!Q:Q)</f>
        <v>5</v>
      </c>
      <c r="H322" s="1">
        <f>_xlfn.XLOOKUP(_xlfn.XLOOKUP(B322,'[1]Detail&lt;Child&gt;'!$A:$A,'[1]Detail&lt;Child&gt;'!$O:$O),'#참조'!R:R,'#참조'!S:S)</f>
        <v>2</v>
      </c>
      <c r="I322" s="1">
        <v>4</v>
      </c>
      <c r="J322" s="2">
        <v>3</v>
      </c>
      <c r="K322" s="2">
        <v>5</v>
      </c>
      <c r="L322" s="2">
        <v>14</v>
      </c>
      <c r="M322" s="2" t="s">
        <v>18</v>
      </c>
      <c r="N322" s="2" t="s">
        <v>407</v>
      </c>
      <c r="O322" s="2">
        <f t="shared" si="211"/>
        <v>6906</v>
      </c>
      <c r="P322" s="2" t="s">
        <v>194</v>
      </c>
      <c r="Q322" s="2" t="str">
        <f t="shared" si="193"/>
        <v>30290,36300</v>
      </c>
      <c r="R322" s="2">
        <f t="shared" si="212"/>
        <v>30290</v>
      </c>
      <c r="S322" s="2">
        <f t="shared" si="208"/>
        <v>36300</v>
      </c>
      <c r="T322" s="2" t="s">
        <v>195</v>
      </c>
      <c r="U322" s="2" t="str">
        <f t="shared" si="194"/>
        <v>1074,1300</v>
      </c>
      <c r="V322" s="2">
        <f t="shared" si="213"/>
        <v>1074</v>
      </c>
      <c r="W322" s="2">
        <f t="shared" si="209"/>
        <v>1300</v>
      </c>
      <c r="X322" s="2" t="s">
        <v>196</v>
      </c>
      <c r="Y322" s="2" t="str">
        <f t="shared" si="195"/>
        <v>2428,2900</v>
      </c>
      <c r="Z322" s="2">
        <f t="shared" si="214"/>
        <v>2428</v>
      </c>
      <c r="AA322" s="2">
        <f t="shared" si="210"/>
        <v>2900</v>
      </c>
      <c r="AB322" s="2">
        <v>80000</v>
      </c>
      <c r="AC322" s="2" t="str">
        <f>_xlfn.XLOOKUP(B322,'#캐릭터'!A:A,'#캐릭터'!B:B)</f>
        <v>모나</v>
      </c>
      <c r="AD322" s="2" t="str">
        <f t="shared" si="203"/>
        <v>Epic2_모나</v>
      </c>
      <c r="AE322" s="2">
        <f t="shared" si="196"/>
        <v>5204</v>
      </c>
    </row>
    <row r="323" spans="1:31" x14ac:dyDescent="0.2">
      <c r="A323" s="2">
        <f t="shared" si="192"/>
        <v>10001015</v>
      </c>
      <c r="B323" s="1">
        <v>10000001</v>
      </c>
      <c r="C323" s="1" t="s">
        <v>281</v>
      </c>
      <c r="D323" s="1" t="s">
        <v>309</v>
      </c>
      <c r="E323" s="1" t="str">
        <f>"Persona_"&amp;_xlfn.XLOOKUP($B323, '#캐릭터'!$A:$A, '#캐릭터'!$C:$C)</f>
        <v>Persona_c001</v>
      </c>
      <c r="F323" s="1"/>
      <c r="G323" s="1">
        <f>_xlfn.XLOOKUP(_xlfn.XLOOKUP(B323,'[1]Detail&lt;Child&gt;'!$A:$A,'[1]Detail&lt;Child&gt;'!$N:$N),'#참조'!P:P,'#참조'!Q:Q)</f>
        <v>5</v>
      </c>
      <c r="H323" s="1">
        <f>_xlfn.XLOOKUP(_xlfn.XLOOKUP(B323,'[1]Detail&lt;Child&gt;'!$A:$A,'[1]Detail&lt;Child&gt;'!$O:$O),'#참조'!R:R,'#참조'!S:S)</f>
        <v>2</v>
      </c>
      <c r="I323" s="1">
        <v>5</v>
      </c>
      <c r="J323" s="2">
        <v>3</v>
      </c>
      <c r="K323" s="2">
        <v>5</v>
      </c>
      <c r="L323" s="2">
        <v>15</v>
      </c>
      <c r="M323" s="2" t="s">
        <v>19</v>
      </c>
      <c r="N323" s="2" t="s">
        <v>407</v>
      </c>
      <c r="O323" s="2">
        <f t="shared" si="211"/>
        <v>7597</v>
      </c>
      <c r="P323" s="2" t="s">
        <v>194</v>
      </c>
      <c r="Q323" s="2" t="str">
        <f t="shared" si="193"/>
        <v>39377,47300</v>
      </c>
      <c r="R323" s="2">
        <f t="shared" si="212"/>
        <v>39377</v>
      </c>
      <c r="S323" s="2">
        <f t="shared" si="208"/>
        <v>47300</v>
      </c>
      <c r="T323" s="2" t="s">
        <v>195</v>
      </c>
      <c r="U323" s="2" t="str">
        <f t="shared" si="194"/>
        <v>1289,1500</v>
      </c>
      <c r="V323" s="2">
        <f t="shared" si="213"/>
        <v>1289</v>
      </c>
      <c r="W323" s="2">
        <f t="shared" si="209"/>
        <v>1500</v>
      </c>
      <c r="X323" s="2" t="s">
        <v>196</v>
      </c>
      <c r="Y323" s="2" t="str">
        <f t="shared" si="195"/>
        <v>3156,3800</v>
      </c>
      <c r="Z323" s="2">
        <f t="shared" si="214"/>
        <v>3156</v>
      </c>
      <c r="AA323" s="2">
        <f t="shared" si="210"/>
        <v>3800</v>
      </c>
      <c r="AB323" s="2">
        <v>80000</v>
      </c>
      <c r="AC323" s="2" t="str">
        <f>_xlfn.XLOOKUP(B323,'#캐릭터'!A:A,'#캐릭터'!B:B)</f>
        <v>모나</v>
      </c>
      <c r="AD323" s="2" t="str">
        <f t="shared" si="203"/>
        <v>Epic3_모나</v>
      </c>
      <c r="AE323" s="2">
        <f t="shared" si="196"/>
        <v>5205</v>
      </c>
    </row>
    <row r="324" spans="1:31" x14ac:dyDescent="0.2">
      <c r="A324" s="2">
        <f t="shared" ref="A324:A387" si="235">INT(1&amp;TEXT(RIGHT(B324,4),"0000")&amp;TEXT(L324,"000"))</f>
        <v>10001016</v>
      </c>
      <c r="B324" s="1">
        <v>10000001</v>
      </c>
      <c r="C324" s="1" t="s">
        <v>281</v>
      </c>
      <c r="D324" s="1" t="s">
        <v>309</v>
      </c>
      <c r="E324" s="1" t="str">
        <f>"Persona_"&amp;_xlfn.XLOOKUP($B324, '#캐릭터'!$A:$A, '#캐릭터'!$C:$C)</f>
        <v>Persona_c001</v>
      </c>
      <c r="F324" s="1"/>
      <c r="G324" s="1">
        <f>_xlfn.XLOOKUP(_xlfn.XLOOKUP(B324,'[1]Detail&lt;Child&gt;'!$A:$A,'[1]Detail&lt;Child&gt;'!$N:$N),'#참조'!P:P,'#참조'!Q:Q)</f>
        <v>5</v>
      </c>
      <c r="H324" s="1">
        <f>_xlfn.XLOOKUP(_xlfn.XLOOKUP(B324,'[1]Detail&lt;Child&gt;'!$A:$A,'[1]Detail&lt;Child&gt;'!$O:$O),'#참조'!R:R,'#참조'!S:S)</f>
        <v>2</v>
      </c>
      <c r="I324" s="1">
        <v>5</v>
      </c>
      <c r="J324" s="2">
        <v>3</v>
      </c>
      <c r="K324" s="2">
        <v>6</v>
      </c>
      <c r="L324" s="2">
        <v>16</v>
      </c>
      <c r="M324" s="2" t="s">
        <v>20</v>
      </c>
      <c r="N324" s="2" t="s">
        <v>407</v>
      </c>
      <c r="O324" s="2">
        <f t="shared" si="211"/>
        <v>8357</v>
      </c>
      <c r="P324" s="2" t="s">
        <v>194</v>
      </c>
      <c r="Q324" s="2" t="str">
        <f t="shared" si="193"/>
        <v>51190,61400</v>
      </c>
      <c r="R324" s="2">
        <f t="shared" si="212"/>
        <v>51190</v>
      </c>
      <c r="S324" s="2">
        <f t="shared" si="208"/>
        <v>61400</v>
      </c>
      <c r="T324" s="2" t="s">
        <v>195</v>
      </c>
      <c r="U324" s="2" t="str">
        <f t="shared" si="194"/>
        <v>1547,1900</v>
      </c>
      <c r="V324" s="2">
        <f t="shared" si="213"/>
        <v>1547</v>
      </c>
      <c r="W324" s="2">
        <f t="shared" si="209"/>
        <v>1900</v>
      </c>
      <c r="X324" s="2" t="s">
        <v>196</v>
      </c>
      <c r="Y324" s="2" t="str">
        <f t="shared" si="195"/>
        <v>4103,4900</v>
      </c>
      <c r="Z324" s="2">
        <f t="shared" si="214"/>
        <v>4103</v>
      </c>
      <c r="AA324" s="2">
        <f t="shared" si="210"/>
        <v>4900</v>
      </c>
      <c r="AB324" s="2">
        <v>75000</v>
      </c>
      <c r="AC324" s="2" t="str">
        <f>_xlfn.XLOOKUP(B324,'#캐릭터'!A:A,'#캐릭터'!B:B)</f>
        <v>모나</v>
      </c>
      <c r="AD324" s="2" t="str">
        <f t="shared" si="203"/>
        <v>Legendary1_모나</v>
      </c>
      <c r="AE324" s="2">
        <f t="shared" si="196"/>
        <v>5205</v>
      </c>
    </row>
    <row r="325" spans="1:31" x14ac:dyDescent="0.2">
      <c r="A325" s="2">
        <f t="shared" si="235"/>
        <v>10001017</v>
      </c>
      <c r="B325" s="1">
        <v>10000001</v>
      </c>
      <c r="C325" s="1" t="s">
        <v>281</v>
      </c>
      <c r="D325" s="1" t="s">
        <v>309</v>
      </c>
      <c r="E325" s="1" t="str">
        <f>"Persona_"&amp;_xlfn.XLOOKUP($B325, '#캐릭터'!$A:$A, '#캐릭터'!$C:$C)</f>
        <v>Persona_c001</v>
      </c>
      <c r="F325" s="1"/>
      <c r="G325" s="1">
        <f>_xlfn.XLOOKUP(_xlfn.XLOOKUP(B325,'[1]Detail&lt;Child&gt;'!$A:$A,'[1]Detail&lt;Child&gt;'!$N:$N),'#참조'!P:P,'#참조'!Q:Q)</f>
        <v>5</v>
      </c>
      <c r="H325" s="1">
        <f>_xlfn.XLOOKUP(_xlfn.XLOOKUP(B325,'[1]Detail&lt;Child&gt;'!$A:$A,'[1]Detail&lt;Child&gt;'!$O:$O),'#참조'!R:R,'#참조'!S:S)</f>
        <v>2</v>
      </c>
      <c r="I325" s="1">
        <v>6</v>
      </c>
      <c r="J325" s="2">
        <v>3</v>
      </c>
      <c r="K325" s="2">
        <v>6</v>
      </c>
      <c r="L325" s="2">
        <v>17</v>
      </c>
      <c r="M325" s="2" t="s">
        <v>21</v>
      </c>
      <c r="N325" s="2" t="s">
        <v>407</v>
      </c>
      <c r="O325" s="2">
        <f t="shared" si="211"/>
        <v>9193</v>
      </c>
      <c r="P325" s="2" t="s">
        <v>194</v>
      </c>
      <c r="Q325" s="2" t="str">
        <f t="shared" ref="Q325:Q388" si="236">R325&amp;","&amp;S325</f>
        <v>66547,79900</v>
      </c>
      <c r="R325" s="2">
        <f t="shared" si="212"/>
        <v>66547</v>
      </c>
      <c r="S325" s="2">
        <f t="shared" si="208"/>
        <v>79900</v>
      </c>
      <c r="T325" s="2" t="s">
        <v>195</v>
      </c>
      <c r="U325" s="2" t="str">
        <f t="shared" ref="U325:U388" si="237">V325&amp;","&amp;W325</f>
        <v>1856,2200</v>
      </c>
      <c r="V325" s="2">
        <f t="shared" si="213"/>
        <v>1856</v>
      </c>
      <c r="W325" s="2">
        <f t="shared" si="209"/>
        <v>2200</v>
      </c>
      <c r="X325" s="2" t="s">
        <v>196</v>
      </c>
      <c r="Y325" s="2" t="str">
        <f t="shared" ref="Y325:Y388" si="238">Z325&amp;","&amp;AA325</f>
        <v>5334,6400</v>
      </c>
      <c r="Z325" s="2">
        <f t="shared" si="214"/>
        <v>5334</v>
      </c>
      <c r="AA325" s="2">
        <f t="shared" si="210"/>
        <v>6400</v>
      </c>
      <c r="AB325" s="2">
        <v>75000</v>
      </c>
      <c r="AC325" s="2" t="str">
        <f>_xlfn.XLOOKUP(B325,'#캐릭터'!A:A,'#캐릭터'!B:B)</f>
        <v>모나</v>
      </c>
      <c r="AD325" s="2" t="str">
        <f t="shared" si="203"/>
        <v>Legendary2_모나</v>
      </c>
      <c r="AE325" s="2">
        <f t="shared" ref="AE325:AE388" si="239">IF(I325=0,0,INT(G325&amp;H325&amp;TEXT(I325,"00")))</f>
        <v>5206</v>
      </c>
    </row>
    <row r="326" spans="1:31" x14ac:dyDescent="0.2">
      <c r="A326" s="2">
        <f t="shared" si="235"/>
        <v>10001018</v>
      </c>
      <c r="B326" s="1">
        <v>10000001</v>
      </c>
      <c r="C326" s="1" t="s">
        <v>281</v>
      </c>
      <c r="D326" s="1" t="s">
        <v>309</v>
      </c>
      <c r="E326" s="1" t="str">
        <f>"Persona_"&amp;_xlfn.XLOOKUP($B326, '#캐릭터'!$A:$A, '#캐릭터'!$C:$C)</f>
        <v>Persona_c001</v>
      </c>
      <c r="F326" s="1"/>
      <c r="G326" s="1">
        <f>_xlfn.XLOOKUP(_xlfn.XLOOKUP(B326,'[1]Detail&lt;Child&gt;'!$A:$A,'[1]Detail&lt;Child&gt;'!$N:$N),'#참조'!P:P,'#참조'!Q:Q)</f>
        <v>5</v>
      </c>
      <c r="H326" s="1">
        <f>_xlfn.XLOOKUP(_xlfn.XLOOKUP(B326,'[1]Detail&lt;Child&gt;'!$A:$A,'[1]Detail&lt;Child&gt;'!$O:$O),'#참조'!R:R,'#참조'!S:S)</f>
        <v>2</v>
      </c>
      <c r="I326" s="1">
        <v>6</v>
      </c>
      <c r="J326" s="2">
        <v>3</v>
      </c>
      <c r="K326" s="2">
        <v>6</v>
      </c>
      <c r="L326" s="2">
        <v>18</v>
      </c>
      <c r="M326" s="2" t="s">
        <v>22</v>
      </c>
      <c r="N326" s="2" t="s">
        <v>407</v>
      </c>
      <c r="O326" s="2">
        <f t="shared" si="211"/>
        <v>10112</v>
      </c>
      <c r="P326" s="2" t="s">
        <v>194</v>
      </c>
      <c r="Q326" s="2" t="str">
        <f t="shared" si="236"/>
        <v>86511,103800</v>
      </c>
      <c r="R326" s="2">
        <f t="shared" si="212"/>
        <v>86511</v>
      </c>
      <c r="S326" s="2">
        <f t="shared" si="208"/>
        <v>103800</v>
      </c>
      <c r="T326" s="2" t="s">
        <v>195</v>
      </c>
      <c r="U326" s="2" t="str">
        <f t="shared" si="237"/>
        <v>2227,2700</v>
      </c>
      <c r="V326" s="2">
        <f t="shared" si="213"/>
        <v>2227</v>
      </c>
      <c r="W326" s="2">
        <f t="shared" si="209"/>
        <v>2700</v>
      </c>
      <c r="X326" s="2" t="s">
        <v>196</v>
      </c>
      <c r="Y326" s="2" t="str">
        <f t="shared" si="238"/>
        <v>6934,8300</v>
      </c>
      <c r="Z326" s="2">
        <f t="shared" si="214"/>
        <v>6934</v>
      </c>
      <c r="AA326" s="2">
        <f t="shared" si="210"/>
        <v>8300</v>
      </c>
      <c r="AB326" s="2">
        <v>75000</v>
      </c>
      <c r="AC326" s="2" t="str">
        <f>_xlfn.XLOOKUP(B326,'#캐릭터'!A:A,'#캐릭터'!B:B)</f>
        <v>모나</v>
      </c>
      <c r="AD326" s="2" t="str">
        <f t="shared" si="203"/>
        <v>Legendary3_모나</v>
      </c>
      <c r="AE326" s="2">
        <f t="shared" si="239"/>
        <v>5206</v>
      </c>
    </row>
    <row r="327" spans="1:31" x14ac:dyDescent="0.2">
      <c r="A327" s="2">
        <f t="shared" si="235"/>
        <v>10502000</v>
      </c>
      <c r="B327" s="1">
        <v>10000502</v>
      </c>
      <c r="C327" s="1" t="s">
        <v>281</v>
      </c>
      <c r="D327" s="1" t="s">
        <v>309</v>
      </c>
      <c r="E327" s="1" t="str">
        <f>"Persona_"&amp;_xlfn.XLOOKUP($B327, '#캐릭터'!$A:$A, '#캐릭터'!$C:$C)</f>
        <v>Persona_c502</v>
      </c>
      <c r="F327" s="1"/>
      <c r="G327" s="1">
        <f>_xlfn.XLOOKUP(_xlfn.XLOOKUP(B327,'[1]Detail&lt;Child&gt;'!$A:$A,'[1]Detail&lt;Child&gt;'!$N:$N),'#참조'!P:P,'#참조'!Q:Q)</f>
        <v>2</v>
      </c>
      <c r="H327" s="1">
        <f>_xlfn.XLOOKUP(_xlfn.XLOOKUP(B327,'[1]Detail&lt;Child&gt;'!$A:$A,'[1]Detail&lt;Child&gt;'!$O:$O),'#참조'!R:R,'#참조'!S:S)</f>
        <v>1</v>
      </c>
      <c r="I327" s="1">
        <v>0</v>
      </c>
      <c r="J327" s="2">
        <v>3</v>
      </c>
      <c r="K327" s="2">
        <v>0</v>
      </c>
      <c r="L327" s="2">
        <v>0</v>
      </c>
      <c r="M327" s="2" t="s">
        <v>31</v>
      </c>
      <c r="N327" s="2" t="s">
        <v>407</v>
      </c>
      <c r="O327" s="2">
        <v>0</v>
      </c>
      <c r="P327" s="2" t="s">
        <v>194</v>
      </c>
      <c r="Q327" s="2" t="str">
        <f t="shared" si="236"/>
        <v>1000,1000</v>
      </c>
      <c r="R327" s="2">
        <v>1000</v>
      </c>
      <c r="S327" s="2">
        <f t="shared" ref="S327" si="240">R327</f>
        <v>1000</v>
      </c>
      <c r="T327" s="2" t="s">
        <v>195</v>
      </c>
      <c r="U327" s="2" t="str">
        <f t="shared" si="237"/>
        <v>100,100</v>
      </c>
      <c r="V327" s="2">
        <v>100</v>
      </c>
      <c r="W327" s="2">
        <f t="shared" ref="W327" si="241">V327</f>
        <v>100</v>
      </c>
      <c r="X327" s="2" t="s">
        <v>196</v>
      </c>
      <c r="Y327" s="2" t="str">
        <f t="shared" si="238"/>
        <v>80,80</v>
      </c>
      <c r="Z327" s="2">
        <v>80</v>
      </c>
      <c r="AA327" s="2">
        <f t="shared" ref="AA327" si="242">Z327</f>
        <v>80</v>
      </c>
      <c r="AB327" s="2">
        <v>100000</v>
      </c>
      <c r="AC327" s="2" t="str">
        <f>_xlfn.XLOOKUP(B327,'#캐릭터'!A:A,'#캐릭터'!B:B)</f>
        <v>도계화</v>
      </c>
      <c r="AE327" s="2">
        <f t="shared" si="239"/>
        <v>0</v>
      </c>
    </row>
    <row r="328" spans="1:31" x14ac:dyDescent="0.2">
      <c r="A328" s="2">
        <f t="shared" si="235"/>
        <v>10502001</v>
      </c>
      <c r="B328" s="1">
        <v>10000502</v>
      </c>
      <c r="C328" s="1" t="s">
        <v>281</v>
      </c>
      <c r="D328" s="1" t="s">
        <v>309</v>
      </c>
      <c r="E328" s="1" t="str">
        <f>"Persona_"&amp;_xlfn.XLOOKUP($B328, '#캐릭터'!$A:$A, '#캐릭터'!$C:$C)</f>
        <v>Persona_c502</v>
      </c>
      <c r="F328" s="1"/>
      <c r="G328" s="1">
        <f>_xlfn.XLOOKUP(_xlfn.XLOOKUP(B328,'[1]Detail&lt;Child&gt;'!$A:$A,'[1]Detail&lt;Child&gt;'!$N:$N),'#참조'!P:P,'#참조'!Q:Q)</f>
        <v>2</v>
      </c>
      <c r="H328" s="1">
        <f>_xlfn.XLOOKUP(_xlfn.XLOOKUP(B328,'[1]Detail&lt;Child&gt;'!$A:$A,'[1]Detail&lt;Child&gt;'!$O:$O),'#참조'!R:R,'#참조'!S:S)</f>
        <v>1</v>
      </c>
      <c r="I328" s="1">
        <v>0</v>
      </c>
      <c r="J328" s="2">
        <v>3</v>
      </c>
      <c r="K328" s="2">
        <v>1</v>
      </c>
      <c r="L328" s="2">
        <v>1</v>
      </c>
      <c r="M328" s="2" t="s">
        <v>5</v>
      </c>
      <c r="N328" s="2" t="s">
        <v>407</v>
      </c>
      <c r="O328" s="2">
        <v>2000</v>
      </c>
      <c r="P328" s="2" t="s">
        <v>194</v>
      </c>
      <c r="Q328" s="2" t="str">
        <f t="shared" si="236"/>
        <v>1000,1200</v>
      </c>
      <c r="R328" s="2">
        <v>1000</v>
      </c>
      <c r="S328" s="2">
        <f t="shared" ref="S328" si="243">ROUND(R328*1.2, -2)</f>
        <v>1200</v>
      </c>
      <c r="T328" s="2" t="s">
        <v>195</v>
      </c>
      <c r="U328" s="2" t="str">
        <f t="shared" si="237"/>
        <v>100,100</v>
      </c>
      <c r="V328" s="2">
        <v>100</v>
      </c>
      <c r="W328" s="2">
        <f t="shared" ref="W328" si="244">ROUND(V328*1.2, -2)</f>
        <v>100</v>
      </c>
      <c r="X328" s="2" t="s">
        <v>196</v>
      </c>
      <c r="Y328" s="2" t="str">
        <f t="shared" si="238"/>
        <v>80,100</v>
      </c>
      <c r="Z328" s="2">
        <v>80</v>
      </c>
      <c r="AA328" s="2">
        <f t="shared" ref="AA328" si="245">ROUND(Z328*1.2, -2)</f>
        <v>100</v>
      </c>
      <c r="AB328" s="2">
        <v>100000</v>
      </c>
      <c r="AC328" s="2" t="str">
        <f>_xlfn.XLOOKUP(B328,'#캐릭터'!A:A,'#캐릭터'!B:B)</f>
        <v>도계화</v>
      </c>
      <c r="AD328" s="2" t="str">
        <f t="shared" si="203"/>
        <v>Common1_도계화</v>
      </c>
      <c r="AE328" s="2">
        <f t="shared" si="239"/>
        <v>0</v>
      </c>
    </row>
    <row r="329" spans="1:31" x14ac:dyDescent="0.2">
      <c r="A329" s="2">
        <f t="shared" si="235"/>
        <v>10502002</v>
      </c>
      <c r="B329" s="1">
        <v>10000502</v>
      </c>
      <c r="C329" s="1" t="s">
        <v>281</v>
      </c>
      <c r="D329" s="1" t="s">
        <v>309</v>
      </c>
      <c r="E329" s="1" t="str">
        <f>"Persona_"&amp;_xlfn.XLOOKUP($B329, '#캐릭터'!$A:$A, '#캐릭터'!$C:$C)</f>
        <v>Persona_c502</v>
      </c>
      <c r="F329" s="1"/>
      <c r="G329" s="1">
        <f>_xlfn.XLOOKUP(_xlfn.XLOOKUP(B329,'[1]Detail&lt;Child&gt;'!$A:$A,'[1]Detail&lt;Child&gt;'!$N:$N),'#참조'!P:P,'#참조'!Q:Q)</f>
        <v>2</v>
      </c>
      <c r="H329" s="1">
        <f>_xlfn.XLOOKUP(_xlfn.XLOOKUP(B329,'[1]Detail&lt;Child&gt;'!$A:$A,'[1]Detail&lt;Child&gt;'!$O:$O),'#참조'!R:R,'#참조'!S:S)</f>
        <v>1</v>
      </c>
      <c r="I329" s="1">
        <v>0</v>
      </c>
      <c r="J329" s="2">
        <v>3</v>
      </c>
      <c r="K329" s="2">
        <v>1</v>
      </c>
      <c r="L329" s="2">
        <v>2</v>
      </c>
      <c r="M329" s="2" t="s">
        <v>6</v>
      </c>
      <c r="N329" s="2" t="s">
        <v>407</v>
      </c>
      <c r="O329" s="2">
        <f t="shared" ref="O329" si="246">ROUND(O328*1.1, 0)</f>
        <v>2200</v>
      </c>
      <c r="P329" s="2" t="s">
        <v>194</v>
      </c>
      <c r="Q329" s="2" t="str">
        <f t="shared" si="236"/>
        <v>1300,1600</v>
      </c>
      <c r="R329" s="2">
        <f t="shared" ref="R329" si="247">ROUND(R328*1.3, 0)</f>
        <v>1300</v>
      </c>
      <c r="S329" s="2">
        <f t="shared" si="208"/>
        <v>1600</v>
      </c>
      <c r="T329" s="2" t="s">
        <v>195</v>
      </c>
      <c r="U329" s="2" t="str">
        <f t="shared" si="237"/>
        <v>120,100</v>
      </c>
      <c r="V329" s="2">
        <f t="shared" ref="V329" si="248">ROUND(V328*1.2, 0)</f>
        <v>120</v>
      </c>
      <c r="W329" s="2">
        <f t="shared" si="209"/>
        <v>100</v>
      </c>
      <c r="X329" s="2" t="s">
        <v>196</v>
      </c>
      <c r="Y329" s="2" t="str">
        <f t="shared" si="238"/>
        <v>104,100</v>
      </c>
      <c r="Z329" s="2">
        <f t="shared" ref="Z329" si="249">ROUND(Z328*1.3, 0)</f>
        <v>104</v>
      </c>
      <c r="AA329" s="2">
        <f t="shared" si="210"/>
        <v>100</v>
      </c>
      <c r="AB329" s="2">
        <v>100000</v>
      </c>
      <c r="AC329" s="2" t="str">
        <f>_xlfn.XLOOKUP(B329,'#캐릭터'!A:A,'#캐릭터'!B:B)</f>
        <v>도계화</v>
      </c>
      <c r="AD329" s="2" t="str">
        <f t="shared" si="203"/>
        <v>Common2_도계화</v>
      </c>
      <c r="AE329" s="2">
        <f t="shared" si="239"/>
        <v>0</v>
      </c>
    </row>
    <row r="330" spans="1:31" x14ac:dyDescent="0.2">
      <c r="A330" s="2">
        <f t="shared" si="235"/>
        <v>10502003</v>
      </c>
      <c r="B330" s="1">
        <v>10000502</v>
      </c>
      <c r="C330" s="1" t="s">
        <v>281</v>
      </c>
      <c r="D330" s="1" t="s">
        <v>309</v>
      </c>
      <c r="E330" s="1" t="str">
        <f>"Persona_"&amp;_xlfn.XLOOKUP($B330, '#캐릭터'!$A:$A, '#캐릭터'!$C:$C)</f>
        <v>Persona_c502</v>
      </c>
      <c r="F330" s="1"/>
      <c r="G330" s="1">
        <f>_xlfn.XLOOKUP(_xlfn.XLOOKUP(B330,'[1]Detail&lt;Child&gt;'!$A:$A,'[1]Detail&lt;Child&gt;'!$N:$N),'#참조'!P:P,'#참조'!Q:Q)</f>
        <v>2</v>
      </c>
      <c r="H330" s="1">
        <f>_xlfn.XLOOKUP(_xlfn.XLOOKUP(B330,'[1]Detail&lt;Child&gt;'!$A:$A,'[1]Detail&lt;Child&gt;'!$O:$O),'#참조'!R:R,'#참조'!S:S)</f>
        <v>1</v>
      </c>
      <c r="I330" s="1">
        <v>0</v>
      </c>
      <c r="J330" s="2">
        <v>3</v>
      </c>
      <c r="K330" s="2">
        <v>1</v>
      </c>
      <c r="L330" s="2">
        <v>3</v>
      </c>
      <c r="M330" s="2" t="s">
        <v>7</v>
      </c>
      <c r="N330" s="2" t="s">
        <v>407</v>
      </c>
      <c r="O330" s="2">
        <f t="shared" si="211"/>
        <v>2420</v>
      </c>
      <c r="P330" s="2" t="s">
        <v>194</v>
      </c>
      <c r="Q330" s="2" t="str">
        <f t="shared" si="236"/>
        <v>1690,2000</v>
      </c>
      <c r="R330" s="2">
        <f t="shared" si="212"/>
        <v>1690</v>
      </c>
      <c r="S330" s="2">
        <f t="shared" si="208"/>
        <v>2000</v>
      </c>
      <c r="T330" s="2" t="s">
        <v>195</v>
      </c>
      <c r="U330" s="2" t="str">
        <f t="shared" si="237"/>
        <v>144,200</v>
      </c>
      <c r="V330" s="2">
        <f t="shared" si="213"/>
        <v>144</v>
      </c>
      <c r="W330" s="2">
        <f t="shared" si="209"/>
        <v>200</v>
      </c>
      <c r="X330" s="2" t="s">
        <v>196</v>
      </c>
      <c r="Y330" s="2" t="str">
        <f t="shared" si="238"/>
        <v>135,200</v>
      </c>
      <c r="Z330" s="2">
        <f t="shared" si="214"/>
        <v>135</v>
      </c>
      <c r="AA330" s="2">
        <f t="shared" si="210"/>
        <v>200</v>
      </c>
      <c r="AB330" s="2">
        <v>100000</v>
      </c>
      <c r="AC330" s="2" t="str">
        <f>_xlfn.XLOOKUP(B330,'#캐릭터'!A:A,'#캐릭터'!B:B)</f>
        <v>도계화</v>
      </c>
      <c r="AD330" s="2" t="str">
        <f t="shared" si="203"/>
        <v>Common3_도계화</v>
      </c>
      <c r="AE330" s="2">
        <f t="shared" si="239"/>
        <v>0</v>
      </c>
    </row>
    <row r="331" spans="1:31" x14ac:dyDescent="0.2">
      <c r="A331" s="2">
        <f t="shared" si="235"/>
        <v>10502004</v>
      </c>
      <c r="B331" s="1">
        <v>10000502</v>
      </c>
      <c r="C331" s="1" t="s">
        <v>281</v>
      </c>
      <c r="D331" s="1" t="s">
        <v>309</v>
      </c>
      <c r="E331" s="1" t="str">
        <f>"Persona_"&amp;_xlfn.XLOOKUP($B331, '#캐릭터'!$A:$A, '#캐릭터'!$C:$C)</f>
        <v>Persona_c502</v>
      </c>
      <c r="F331" s="1"/>
      <c r="G331" s="1">
        <f>_xlfn.XLOOKUP(_xlfn.XLOOKUP(B331,'[1]Detail&lt;Child&gt;'!$A:$A,'[1]Detail&lt;Child&gt;'!$N:$N),'#참조'!P:P,'#참조'!Q:Q)</f>
        <v>2</v>
      </c>
      <c r="H331" s="1">
        <f>_xlfn.XLOOKUP(_xlfn.XLOOKUP(B331,'[1]Detail&lt;Child&gt;'!$A:$A,'[1]Detail&lt;Child&gt;'!$O:$O),'#참조'!R:R,'#참조'!S:S)</f>
        <v>1</v>
      </c>
      <c r="I331" s="1">
        <v>0</v>
      </c>
      <c r="J331" s="2">
        <v>3</v>
      </c>
      <c r="K331" s="2">
        <v>2</v>
      </c>
      <c r="L331" s="2">
        <v>4</v>
      </c>
      <c r="M331" s="2" t="s">
        <v>8</v>
      </c>
      <c r="N331" s="2" t="s">
        <v>407</v>
      </c>
      <c r="O331" s="2">
        <f t="shared" si="211"/>
        <v>2662</v>
      </c>
      <c r="P331" s="2" t="s">
        <v>194</v>
      </c>
      <c r="Q331" s="2" t="str">
        <f t="shared" si="236"/>
        <v>2197,2600</v>
      </c>
      <c r="R331" s="2">
        <f t="shared" si="212"/>
        <v>2197</v>
      </c>
      <c r="S331" s="2">
        <f t="shared" si="208"/>
        <v>2600</v>
      </c>
      <c r="T331" s="2" t="s">
        <v>195</v>
      </c>
      <c r="U331" s="2" t="str">
        <f t="shared" si="237"/>
        <v>173,200</v>
      </c>
      <c r="V331" s="2">
        <f t="shared" si="213"/>
        <v>173</v>
      </c>
      <c r="W331" s="2">
        <f t="shared" si="209"/>
        <v>200</v>
      </c>
      <c r="X331" s="2" t="s">
        <v>196</v>
      </c>
      <c r="Y331" s="2" t="str">
        <f t="shared" si="238"/>
        <v>176,200</v>
      </c>
      <c r="Z331" s="2">
        <f t="shared" si="214"/>
        <v>176</v>
      </c>
      <c r="AA331" s="2">
        <f t="shared" si="210"/>
        <v>200</v>
      </c>
      <c r="AB331" s="2">
        <v>95000</v>
      </c>
      <c r="AC331" s="2" t="str">
        <f>_xlfn.XLOOKUP(B331,'#캐릭터'!A:A,'#캐릭터'!B:B)</f>
        <v>도계화</v>
      </c>
      <c r="AD331" s="2" t="str">
        <f t="shared" si="203"/>
        <v>Uncommon1_도계화</v>
      </c>
      <c r="AE331" s="2">
        <f t="shared" si="239"/>
        <v>0</v>
      </c>
    </row>
    <row r="332" spans="1:31" x14ac:dyDescent="0.2">
      <c r="A332" s="2">
        <f t="shared" si="235"/>
        <v>10502005</v>
      </c>
      <c r="B332" s="1">
        <v>10000502</v>
      </c>
      <c r="C332" s="1" t="s">
        <v>281</v>
      </c>
      <c r="D332" s="1" t="s">
        <v>309</v>
      </c>
      <c r="E332" s="1" t="str">
        <f>"Persona_"&amp;_xlfn.XLOOKUP($B332, '#캐릭터'!$A:$A, '#캐릭터'!$C:$C)</f>
        <v>Persona_c502</v>
      </c>
      <c r="F332" s="1"/>
      <c r="G332" s="1">
        <f>_xlfn.XLOOKUP(_xlfn.XLOOKUP(B332,'[1]Detail&lt;Child&gt;'!$A:$A,'[1]Detail&lt;Child&gt;'!$N:$N),'#참조'!P:P,'#참조'!Q:Q)</f>
        <v>2</v>
      </c>
      <c r="H332" s="1">
        <f>_xlfn.XLOOKUP(_xlfn.XLOOKUP(B332,'[1]Detail&lt;Child&gt;'!$A:$A,'[1]Detail&lt;Child&gt;'!$O:$O),'#참조'!R:R,'#참조'!S:S)</f>
        <v>1</v>
      </c>
      <c r="I332" s="1">
        <v>0</v>
      </c>
      <c r="J332" s="2">
        <v>3</v>
      </c>
      <c r="K332" s="2">
        <v>2</v>
      </c>
      <c r="L332" s="2">
        <v>5</v>
      </c>
      <c r="M332" s="2" t="s">
        <v>9</v>
      </c>
      <c r="N332" s="2" t="s">
        <v>407</v>
      </c>
      <c r="O332" s="2">
        <f t="shared" si="211"/>
        <v>2928</v>
      </c>
      <c r="P332" s="2" t="s">
        <v>194</v>
      </c>
      <c r="Q332" s="2" t="str">
        <f t="shared" si="236"/>
        <v>2856,3400</v>
      </c>
      <c r="R332" s="2">
        <f t="shared" si="212"/>
        <v>2856</v>
      </c>
      <c r="S332" s="2">
        <f t="shared" si="208"/>
        <v>3400</v>
      </c>
      <c r="T332" s="2" t="s">
        <v>195</v>
      </c>
      <c r="U332" s="2" t="str">
        <f t="shared" si="237"/>
        <v>208,200</v>
      </c>
      <c r="V332" s="2">
        <f t="shared" si="213"/>
        <v>208</v>
      </c>
      <c r="W332" s="2">
        <f t="shared" si="209"/>
        <v>200</v>
      </c>
      <c r="X332" s="2" t="s">
        <v>196</v>
      </c>
      <c r="Y332" s="2" t="str">
        <f t="shared" si="238"/>
        <v>229,300</v>
      </c>
      <c r="Z332" s="2">
        <f t="shared" si="214"/>
        <v>229</v>
      </c>
      <c r="AA332" s="2">
        <f t="shared" si="210"/>
        <v>300</v>
      </c>
      <c r="AB332" s="2">
        <v>95000</v>
      </c>
      <c r="AC332" s="2" t="str">
        <f>_xlfn.XLOOKUP(B332,'#캐릭터'!A:A,'#캐릭터'!B:B)</f>
        <v>도계화</v>
      </c>
      <c r="AD332" s="2" t="str">
        <f t="shared" si="203"/>
        <v>Uncommon2_도계화</v>
      </c>
      <c r="AE332" s="2">
        <f t="shared" si="239"/>
        <v>0</v>
      </c>
    </row>
    <row r="333" spans="1:31" x14ac:dyDescent="0.2">
      <c r="A333" s="2">
        <f t="shared" si="235"/>
        <v>10502006</v>
      </c>
      <c r="B333" s="1">
        <v>10000502</v>
      </c>
      <c r="C333" s="1" t="s">
        <v>281</v>
      </c>
      <c r="D333" s="1" t="s">
        <v>309</v>
      </c>
      <c r="E333" s="1" t="str">
        <f>"Persona_"&amp;_xlfn.XLOOKUP($B333, '#캐릭터'!$A:$A, '#캐릭터'!$C:$C)</f>
        <v>Persona_c502</v>
      </c>
      <c r="F333" s="1"/>
      <c r="G333" s="1">
        <f>_xlfn.XLOOKUP(_xlfn.XLOOKUP(B333,'[1]Detail&lt;Child&gt;'!$A:$A,'[1]Detail&lt;Child&gt;'!$N:$N),'#참조'!P:P,'#참조'!Q:Q)</f>
        <v>2</v>
      </c>
      <c r="H333" s="1">
        <f>_xlfn.XLOOKUP(_xlfn.XLOOKUP(B333,'[1]Detail&lt;Child&gt;'!$A:$A,'[1]Detail&lt;Child&gt;'!$O:$O),'#참조'!R:R,'#참조'!S:S)</f>
        <v>1</v>
      </c>
      <c r="I333" s="1">
        <v>0</v>
      </c>
      <c r="J333" s="2">
        <v>3</v>
      </c>
      <c r="K333" s="2">
        <v>2</v>
      </c>
      <c r="L333" s="2">
        <v>6</v>
      </c>
      <c r="M333" s="2" t="s">
        <v>10</v>
      </c>
      <c r="N333" s="2" t="s">
        <v>407</v>
      </c>
      <c r="O333" s="2">
        <f t="shared" si="211"/>
        <v>3221</v>
      </c>
      <c r="P333" s="2" t="s">
        <v>194</v>
      </c>
      <c r="Q333" s="2" t="str">
        <f t="shared" si="236"/>
        <v>3713,4500</v>
      </c>
      <c r="R333" s="2">
        <f t="shared" si="212"/>
        <v>3713</v>
      </c>
      <c r="S333" s="2">
        <f t="shared" si="208"/>
        <v>4500</v>
      </c>
      <c r="T333" s="2" t="s">
        <v>195</v>
      </c>
      <c r="U333" s="2" t="str">
        <f t="shared" si="237"/>
        <v>250,300</v>
      </c>
      <c r="V333" s="2">
        <f t="shared" si="213"/>
        <v>250</v>
      </c>
      <c r="W333" s="2">
        <f t="shared" si="209"/>
        <v>300</v>
      </c>
      <c r="X333" s="2" t="s">
        <v>196</v>
      </c>
      <c r="Y333" s="2" t="str">
        <f t="shared" si="238"/>
        <v>298,400</v>
      </c>
      <c r="Z333" s="2">
        <f t="shared" si="214"/>
        <v>298</v>
      </c>
      <c r="AA333" s="2">
        <f t="shared" si="210"/>
        <v>400</v>
      </c>
      <c r="AB333" s="2">
        <v>95000</v>
      </c>
      <c r="AC333" s="2" t="str">
        <f>_xlfn.XLOOKUP(B333,'#캐릭터'!A:A,'#캐릭터'!B:B)</f>
        <v>도계화</v>
      </c>
      <c r="AD333" s="2" t="str">
        <f t="shared" si="203"/>
        <v>Uncommon3_도계화</v>
      </c>
      <c r="AE333" s="2">
        <f t="shared" si="239"/>
        <v>0</v>
      </c>
    </row>
    <row r="334" spans="1:31" x14ac:dyDescent="0.2">
      <c r="A334" s="2">
        <f t="shared" si="235"/>
        <v>10502007</v>
      </c>
      <c r="B334" s="1">
        <v>10000502</v>
      </c>
      <c r="C334" s="1" t="s">
        <v>281</v>
      </c>
      <c r="D334" s="1" t="s">
        <v>309</v>
      </c>
      <c r="E334" s="1" t="str">
        <f>"Persona_"&amp;_xlfn.XLOOKUP($B334, '#캐릭터'!$A:$A, '#캐릭터'!$C:$C)</f>
        <v>Persona_c502</v>
      </c>
      <c r="F334" s="1"/>
      <c r="G334" s="1">
        <f>_xlfn.XLOOKUP(_xlfn.XLOOKUP(B334,'[1]Detail&lt;Child&gt;'!$A:$A,'[1]Detail&lt;Child&gt;'!$N:$N),'#참조'!P:P,'#참조'!Q:Q)</f>
        <v>2</v>
      </c>
      <c r="H334" s="1">
        <f>_xlfn.XLOOKUP(_xlfn.XLOOKUP(B334,'[1]Detail&lt;Child&gt;'!$A:$A,'[1]Detail&lt;Child&gt;'!$O:$O),'#참조'!R:R,'#참조'!S:S)</f>
        <v>1</v>
      </c>
      <c r="I334" s="1">
        <v>1</v>
      </c>
      <c r="J334" s="2">
        <v>3</v>
      </c>
      <c r="K334" s="2">
        <v>3</v>
      </c>
      <c r="L334" s="2">
        <v>7</v>
      </c>
      <c r="M334" s="2" t="s">
        <v>11</v>
      </c>
      <c r="N334" s="2" t="s">
        <v>407</v>
      </c>
      <c r="O334" s="2">
        <f t="shared" si="211"/>
        <v>3543</v>
      </c>
      <c r="P334" s="2" t="s">
        <v>194</v>
      </c>
      <c r="Q334" s="2" t="str">
        <f t="shared" si="236"/>
        <v>4827,5800</v>
      </c>
      <c r="R334" s="2">
        <f t="shared" si="212"/>
        <v>4827</v>
      </c>
      <c r="S334" s="2">
        <f t="shared" si="208"/>
        <v>5800</v>
      </c>
      <c r="T334" s="2" t="s">
        <v>195</v>
      </c>
      <c r="U334" s="2" t="str">
        <f t="shared" si="237"/>
        <v>300,400</v>
      </c>
      <c r="V334" s="2">
        <f t="shared" si="213"/>
        <v>300</v>
      </c>
      <c r="W334" s="2">
        <f t="shared" si="209"/>
        <v>400</v>
      </c>
      <c r="X334" s="2" t="s">
        <v>196</v>
      </c>
      <c r="Y334" s="2" t="str">
        <f t="shared" si="238"/>
        <v>387,500</v>
      </c>
      <c r="Z334" s="2">
        <f t="shared" si="214"/>
        <v>387</v>
      </c>
      <c r="AA334" s="2">
        <f t="shared" si="210"/>
        <v>500</v>
      </c>
      <c r="AB334" s="2">
        <v>90000</v>
      </c>
      <c r="AC334" s="2" t="str">
        <f>_xlfn.XLOOKUP(B334,'#캐릭터'!A:A,'#캐릭터'!B:B)</f>
        <v>도계화</v>
      </c>
      <c r="AD334" s="2" t="str">
        <f t="shared" si="203"/>
        <v>Rare1_도계화</v>
      </c>
      <c r="AE334" s="2">
        <f t="shared" si="239"/>
        <v>2101</v>
      </c>
    </row>
    <row r="335" spans="1:31" x14ac:dyDescent="0.2">
      <c r="A335" s="2">
        <f t="shared" si="235"/>
        <v>10502008</v>
      </c>
      <c r="B335" s="1">
        <v>10000502</v>
      </c>
      <c r="C335" s="1" t="s">
        <v>281</v>
      </c>
      <c r="D335" s="1" t="s">
        <v>309</v>
      </c>
      <c r="E335" s="1" t="str">
        <f>"Persona_"&amp;_xlfn.XLOOKUP($B335, '#캐릭터'!$A:$A, '#캐릭터'!$C:$C)</f>
        <v>Persona_c502</v>
      </c>
      <c r="F335" s="1"/>
      <c r="G335" s="1">
        <f>_xlfn.XLOOKUP(_xlfn.XLOOKUP(B335,'[1]Detail&lt;Child&gt;'!$A:$A,'[1]Detail&lt;Child&gt;'!$N:$N),'#참조'!P:P,'#참조'!Q:Q)</f>
        <v>2</v>
      </c>
      <c r="H335" s="1">
        <f>_xlfn.XLOOKUP(_xlfn.XLOOKUP(B335,'[1]Detail&lt;Child&gt;'!$A:$A,'[1]Detail&lt;Child&gt;'!$O:$O),'#참조'!R:R,'#참조'!S:S)</f>
        <v>1</v>
      </c>
      <c r="I335" s="1">
        <v>1</v>
      </c>
      <c r="J335" s="2">
        <v>3</v>
      </c>
      <c r="K335" s="2">
        <v>3</v>
      </c>
      <c r="L335" s="2">
        <v>8</v>
      </c>
      <c r="M335" s="2" t="s">
        <v>12</v>
      </c>
      <c r="N335" s="2" t="s">
        <v>407</v>
      </c>
      <c r="O335" s="2">
        <f t="shared" si="211"/>
        <v>3897</v>
      </c>
      <c r="P335" s="2" t="s">
        <v>194</v>
      </c>
      <c r="Q335" s="2" t="str">
        <f t="shared" si="236"/>
        <v>6275,7500</v>
      </c>
      <c r="R335" s="2">
        <f t="shared" si="212"/>
        <v>6275</v>
      </c>
      <c r="S335" s="2">
        <f t="shared" si="208"/>
        <v>7500</v>
      </c>
      <c r="T335" s="2" t="s">
        <v>195</v>
      </c>
      <c r="U335" s="2" t="str">
        <f t="shared" si="237"/>
        <v>360,400</v>
      </c>
      <c r="V335" s="2">
        <f t="shared" si="213"/>
        <v>360</v>
      </c>
      <c r="W335" s="2">
        <f t="shared" si="209"/>
        <v>400</v>
      </c>
      <c r="X335" s="2" t="s">
        <v>196</v>
      </c>
      <c r="Y335" s="2" t="str">
        <f t="shared" si="238"/>
        <v>503,600</v>
      </c>
      <c r="Z335" s="2">
        <f t="shared" si="214"/>
        <v>503</v>
      </c>
      <c r="AA335" s="2">
        <f t="shared" si="210"/>
        <v>600</v>
      </c>
      <c r="AB335" s="2">
        <v>90000</v>
      </c>
      <c r="AC335" s="2" t="str">
        <f>_xlfn.XLOOKUP(B335,'#캐릭터'!A:A,'#캐릭터'!B:B)</f>
        <v>도계화</v>
      </c>
      <c r="AD335" s="2" t="str">
        <f t="shared" ref="AD335:AD383" si="250">M335&amp;"_"&amp;AC335</f>
        <v>Rare2_도계화</v>
      </c>
      <c r="AE335" s="2">
        <f t="shared" si="239"/>
        <v>2101</v>
      </c>
    </row>
    <row r="336" spans="1:31" x14ac:dyDescent="0.2">
      <c r="A336" s="2">
        <f t="shared" si="235"/>
        <v>10502009</v>
      </c>
      <c r="B336" s="1">
        <v>10000502</v>
      </c>
      <c r="C336" s="1" t="s">
        <v>281</v>
      </c>
      <c r="D336" s="1" t="s">
        <v>309</v>
      </c>
      <c r="E336" s="1" t="str">
        <f>"Persona_"&amp;_xlfn.XLOOKUP($B336, '#캐릭터'!$A:$A, '#캐릭터'!$C:$C)</f>
        <v>Persona_c502</v>
      </c>
      <c r="F336" s="1"/>
      <c r="G336" s="1">
        <f>_xlfn.XLOOKUP(_xlfn.XLOOKUP(B336,'[1]Detail&lt;Child&gt;'!$A:$A,'[1]Detail&lt;Child&gt;'!$N:$N),'#참조'!P:P,'#참조'!Q:Q)</f>
        <v>2</v>
      </c>
      <c r="H336" s="1">
        <f>_xlfn.XLOOKUP(_xlfn.XLOOKUP(B336,'[1]Detail&lt;Child&gt;'!$A:$A,'[1]Detail&lt;Child&gt;'!$O:$O),'#참조'!R:R,'#참조'!S:S)</f>
        <v>1</v>
      </c>
      <c r="I336" s="1">
        <v>2</v>
      </c>
      <c r="J336" s="2">
        <v>3</v>
      </c>
      <c r="K336" s="2">
        <v>3</v>
      </c>
      <c r="L336" s="2">
        <v>9</v>
      </c>
      <c r="M336" s="2" t="s">
        <v>13</v>
      </c>
      <c r="N336" s="2" t="s">
        <v>407</v>
      </c>
      <c r="O336" s="2">
        <f t="shared" si="211"/>
        <v>4287</v>
      </c>
      <c r="P336" s="2" t="s">
        <v>194</v>
      </c>
      <c r="Q336" s="2" t="str">
        <f t="shared" si="236"/>
        <v>8158,9800</v>
      </c>
      <c r="R336" s="2">
        <f t="shared" si="212"/>
        <v>8158</v>
      </c>
      <c r="S336" s="2">
        <f t="shared" si="208"/>
        <v>9800</v>
      </c>
      <c r="T336" s="2" t="s">
        <v>195</v>
      </c>
      <c r="U336" s="2" t="str">
        <f t="shared" si="237"/>
        <v>432,500</v>
      </c>
      <c r="V336" s="2">
        <f t="shared" si="213"/>
        <v>432</v>
      </c>
      <c r="W336" s="2">
        <f t="shared" si="209"/>
        <v>500</v>
      </c>
      <c r="X336" s="2" t="s">
        <v>196</v>
      </c>
      <c r="Y336" s="2" t="str">
        <f t="shared" si="238"/>
        <v>654,800</v>
      </c>
      <c r="Z336" s="2">
        <f t="shared" si="214"/>
        <v>654</v>
      </c>
      <c r="AA336" s="2">
        <f t="shared" si="210"/>
        <v>800</v>
      </c>
      <c r="AB336" s="2">
        <v>90000</v>
      </c>
      <c r="AC336" s="2" t="str">
        <f>_xlfn.XLOOKUP(B336,'#캐릭터'!A:A,'#캐릭터'!B:B)</f>
        <v>도계화</v>
      </c>
      <c r="AD336" s="2" t="str">
        <f t="shared" si="250"/>
        <v>Rare3_도계화</v>
      </c>
      <c r="AE336" s="2">
        <f t="shared" si="239"/>
        <v>2102</v>
      </c>
    </row>
    <row r="337" spans="1:31" x14ac:dyDescent="0.2">
      <c r="A337" s="2">
        <f t="shared" si="235"/>
        <v>10502010</v>
      </c>
      <c r="B337" s="1">
        <v>10000502</v>
      </c>
      <c r="C337" s="1" t="s">
        <v>281</v>
      </c>
      <c r="D337" s="1" t="s">
        <v>309</v>
      </c>
      <c r="E337" s="1" t="str">
        <f>"Persona_"&amp;_xlfn.XLOOKUP($B337, '#캐릭터'!$A:$A, '#캐릭터'!$C:$C)</f>
        <v>Persona_c502</v>
      </c>
      <c r="F337" s="1"/>
      <c r="G337" s="1">
        <f>_xlfn.XLOOKUP(_xlfn.XLOOKUP(B337,'[1]Detail&lt;Child&gt;'!$A:$A,'[1]Detail&lt;Child&gt;'!$N:$N),'#참조'!P:P,'#참조'!Q:Q)</f>
        <v>2</v>
      </c>
      <c r="H337" s="1">
        <f>_xlfn.XLOOKUP(_xlfn.XLOOKUP(B337,'[1]Detail&lt;Child&gt;'!$A:$A,'[1]Detail&lt;Child&gt;'!$O:$O),'#참조'!R:R,'#참조'!S:S)</f>
        <v>1</v>
      </c>
      <c r="I337" s="1">
        <v>2</v>
      </c>
      <c r="J337" s="2">
        <v>3</v>
      </c>
      <c r="K337" s="2">
        <v>4</v>
      </c>
      <c r="L337" s="2">
        <v>10</v>
      </c>
      <c r="M337" s="2" t="s">
        <v>14</v>
      </c>
      <c r="N337" s="2" t="s">
        <v>407</v>
      </c>
      <c r="O337" s="2">
        <f t="shared" si="211"/>
        <v>4716</v>
      </c>
      <c r="P337" s="2" t="s">
        <v>194</v>
      </c>
      <c r="Q337" s="2" t="str">
        <f t="shared" si="236"/>
        <v>10605,12700</v>
      </c>
      <c r="R337" s="2">
        <f t="shared" si="212"/>
        <v>10605</v>
      </c>
      <c r="S337" s="2">
        <f t="shared" si="208"/>
        <v>12700</v>
      </c>
      <c r="T337" s="2" t="s">
        <v>195</v>
      </c>
      <c r="U337" s="2" t="str">
        <f t="shared" si="237"/>
        <v>518,600</v>
      </c>
      <c r="V337" s="2">
        <f t="shared" si="213"/>
        <v>518</v>
      </c>
      <c r="W337" s="2">
        <f t="shared" si="209"/>
        <v>600</v>
      </c>
      <c r="X337" s="2" t="s">
        <v>196</v>
      </c>
      <c r="Y337" s="2" t="str">
        <f t="shared" si="238"/>
        <v>850,1000</v>
      </c>
      <c r="Z337" s="2">
        <f t="shared" si="214"/>
        <v>850</v>
      </c>
      <c r="AA337" s="2">
        <f t="shared" si="210"/>
        <v>1000</v>
      </c>
      <c r="AB337" s="2">
        <v>85000</v>
      </c>
      <c r="AC337" s="2" t="str">
        <f>_xlfn.XLOOKUP(B337,'#캐릭터'!A:A,'#캐릭터'!B:B)</f>
        <v>도계화</v>
      </c>
      <c r="AD337" s="2" t="str">
        <f t="shared" si="250"/>
        <v>Unique1_도계화</v>
      </c>
      <c r="AE337" s="2">
        <f t="shared" si="239"/>
        <v>2102</v>
      </c>
    </row>
    <row r="338" spans="1:31" x14ac:dyDescent="0.2">
      <c r="A338" s="2">
        <f t="shared" si="235"/>
        <v>10502011</v>
      </c>
      <c r="B338" s="1">
        <v>10000502</v>
      </c>
      <c r="C338" s="1" t="s">
        <v>281</v>
      </c>
      <c r="D338" s="1" t="s">
        <v>309</v>
      </c>
      <c r="E338" s="1" t="str">
        <f>"Persona_"&amp;_xlfn.XLOOKUP($B338, '#캐릭터'!$A:$A, '#캐릭터'!$C:$C)</f>
        <v>Persona_c502</v>
      </c>
      <c r="F338" s="1"/>
      <c r="G338" s="1">
        <f>_xlfn.XLOOKUP(_xlfn.XLOOKUP(B338,'[1]Detail&lt;Child&gt;'!$A:$A,'[1]Detail&lt;Child&gt;'!$N:$N),'#참조'!P:P,'#참조'!Q:Q)</f>
        <v>2</v>
      </c>
      <c r="H338" s="1">
        <f>_xlfn.XLOOKUP(_xlfn.XLOOKUP(B338,'[1]Detail&lt;Child&gt;'!$A:$A,'[1]Detail&lt;Child&gt;'!$O:$O),'#참조'!R:R,'#참조'!S:S)</f>
        <v>1</v>
      </c>
      <c r="I338" s="1">
        <v>3</v>
      </c>
      <c r="J338" s="2">
        <v>3</v>
      </c>
      <c r="K338" s="2">
        <v>4</v>
      </c>
      <c r="L338" s="2">
        <v>11</v>
      </c>
      <c r="M338" s="2" t="s">
        <v>15</v>
      </c>
      <c r="N338" s="2" t="s">
        <v>407</v>
      </c>
      <c r="O338" s="2">
        <f t="shared" si="211"/>
        <v>5188</v>
      </c>
      <c r="P338" s="2" t="s">
        <v>194</v>
      </c>
      <c r="Q338" s="2" t="str">
        <f t="shared" si="236"/>
        <v>13787,16500</v>
      </c>
      <c r="R338" s="2">
        <f t="shared" si="212"/>
        <v>13787</v>
      </c>
      <c r="S338" s="2">
        <f t="shared" si="208"/>
        <v>16500</v>
      </c>
      <c r="T338" s="2" t="s">
        <v>195</v>
      </c>
      <c r="U338" s="2" t="str">
        <f t="shared" si="237"/>
        <v>622,700</v>
      </c>
      <c r="V338" s="2">
        <f t="shared" si="213"/>
        <v>622</v>
      </c>
      <c r="W338" s="2">
        <f t="shared" si="209"/>
        <v>700</v>
      </c>
      <c r="X338" s="2" t="s">
        <v>196</v>
      </c>
      <c r="Y338" s="2" t="str">
        <f t="shared" si="238"/>
        <v>1105,1300</v>
      </c>
      <c r="Z338" s="2">
        <f t="shared" si="214"/>
        <v>1105</v>
      </c>
      <c r="AA338" s="2">
        <f t="shared" si="210"/>
        <v>1300</v>
      </c>
      <c r="AB338" s="2">
        <v>85000</v>
      </c>
      <c r="AC338" s="2" t="str">
        <f>_xlfn.XLOOKUP(B338,'#캐릭터'!A:A,'#캐릭터'!B:B)</f>
        <v>도계화</v>
      </c>
      <c r="AD338" s="2" t="str">
        <f t="shared" si="250"/>
        <v>Unique2_도계화</v>
      </c>
      <c r="AE338" s="2">
        <f t="shared" si="239"/>
        <v>2103</v>
      </c>
    </row>
    <row r="339" spans="1:31" x14ac:dyDescent="0.2">
      <c r="A339" s="2">
        <f t="shared" si="235"/>
        <v>10502012</v>
      </c>
      <c r="B339" s="1">
        <v>10000502</v>
      </c>
      <c r="C339" s="1" t="s">
        <v>281</v>
      </c>
      <c r="D339" s="1" t="s">
        <v>309</v>
      </c>
      <c r="E339" s="1" t="str">
        <f>"Persona_"&amp;_xlfn.XLOOKUP($B339, '#캐릭터'!$A:$A, '#캐릭터'!$C:$C)</f>
        <v>Persona_c502</v>
      </c>
      <c r="F339" s="1"/>
      <c r="G339" s="1">
        <f>_xlfn.XLOOKUP(_xlfn.XLOOKUP(B339,'[1]Detail&lt;Child&gt;'!$A:$A,'[1]Detail&lt;Child&gt;'!$N:$N),'#참조'!P:P,'#참조'!Q:Q)</f>
        <v>2</v>
      </c>
      <c r="H339" s="1">
        <f>_xlfn.XLOOKUP(_xlfn.XLOOKUP(B339,'[1]Detail&lt;Child&gt;'!$A:$A,'[1]Detail&lt;Child&gt;'!$O:$O),'#참조'!R:R,'#참조'!S:S)</f>
        <v>1</v>
      </c>
      <c r="I339" s="1">
        <v>3</v>
      </c>
      <c r="J339" s="2">
        <v>3</v>
      </c>
      <c r="K339" s="2">
        <v>4</v>
      </c>
      <c r="L339" s="2">
        <v>12</v>
      </c>
      <c r="M339" s="2" t="s">
        <v>16</v>
      </c>
      <c r="N339" s="2" t="s">
        <v>407</v>
      </c>
      <c r="O339" s="2">
        <f t="shared" si="211"/>
        <v>5707</v>
      </c>
      <c r="P339" s="2" t="s">
        <v>194</v>
      </c>
      <c r="Q339" s="2" t="str">
        <f t="shared" si="236"/>
        <v>17923,21500</v>
      </c>
      <c r="R339" s="2">
        <f t="shared" si="212"/>
        <v>17923</v>
      </c>
      <c r="S339" s="2">
        <f t="shared" si="208"/>
        <v>21500</v>
      </c>
      <c r="T339" s="2" t="s">
        <v>195</v>
      </c>
      <c r="U339" s="2" t="str">
        <f t="shared" si="237"/>
        <v>746,900</v>
      </c>
      <c r="V339" s="2">
        <f t="shared" si="213"/>
        <v>746</v>
      </c>
      <c r="W339" s="2">
        <f t="shared" si="209"/>
        <v>900</v>
      </c>
      <c r="X339" s="2" t="s">
        <v>196</v>
      </c>
      <c r="Y339" s="2" t="str">
        <f t="shared" si="238"/>
        <v>1437,1700</v>
      </c>
      <c r="Z339" s="2">
        <f t="shared" si="214"/>
        <v>1437</v>
      </c>
      <c r="AA339" s="2">
        <f t="shared" si="210"/>
        <v>1700</v>
      </c>
      <c r="AB339" s="2">
        <v>85000</v>
      </c>
      <c r="AC339" s="2" t="str">
        <f>_xlfn.XLOOKUP(B339,'#캐릭터'!A:A,'#캐릭터'!B:B)</f>
        <v>도계화</v>
      </c>
      <c r="AD339" s="2" t="str">
        <f t="shared" si="250"/>
        <v>Unique3_도계화</v>
      </c>
      <c r="AE339" s="2">
        <f t="shared" si="239"/>
        <v>2103</v>
      </c>
    </row>
    <row r="340" spans="1:31" x14ac:dyDescent="0.2">
      <c r="A340" s="2">
        <f t="shared" si="235"/>
        <v>10502013</v>
      </c>
      <c r="B340" s="1">
        <v>10000502</v>
      </c>
      <c r="C340" s="1" t="s">
        <v>281</v>
      </c>
      <c r="D340" s="1" t="s">
        <v>309</v>
      </c>
      <c r="E340" s="1" t="str">
        <f>"Persona_"&amp;_xlfn.XLOOKUP($B340, '#캐릭터'!$A:$A, '#캐릭터'!$C:$C)</f>
        <v>Persona_c502</v>
      </c>
      <c r="F340" s="1"/>
      <c r="G340" s="1">
        <f>_xlfn.XLOOKUP(_xlfn.XLOOKUP(B340,'[1]Detail&lt;Child&gt;'!$A:$A,'[1]Detail&lt;Child&gt;'!$N:$N),'#참조'!P:P,'#참조'!Q:Q)</f>
        <v>2</v>
      </c>
      <c r="H340" s="1">
        <f>_xlfn.XLOOKUP(_xlfn.XLOOKUP(B340,'[1]Detail&lt;Child&gt;'!$A:$A,'[1]Detail&lt;Child&gt;'!$O:$O),'#참조'!R:R,'#참조'!S:S)</f>
        <v>1</v>
      </c>
      <c r="I340" s="1">
        <v>4</v>
      </c>
      <c r="J340" s="2">
        <v>3</v>
      </c>
      <c r="K340" s="2">
        <v>5</v>
      </c>
      <c r="L340" s="2">
        <v>13</v>
      </c>
      <c r="M340" s="2" t="s">
        <v>17</v>
      </c>
      <c r="N340" s="2" t="s">
        <v>407</v>
      </c>
      <c r="O340" s="2">
        <f t="shared" si="211"/>
        <v>6278</v>
      </c>
      <c r="P340" s="2" t="s">
        <v>194</v>
      </c>
      <c r="Q340" s="2" t="str">
        <f t="shared" si="236"/>
        <v>23300,28000</v>
      </c>
      <c r="R340" s="2">
        <f t="shared" si="212"/>
        <v>23300</v>
      </c>
      <c r="S340" s="2">
        <f t="shared" si="208"/>
        <v>28000</v>
      </c>
      <c r="T340" s="2" t="s">
        <v>195</v>
      </c>
      <c r="U340" s="2" t="str">
        <f t="shared" si="237"/>
        <v>895,1100</v>
      </c>
      <c r="V340" s="2">
        <f t="shared" si="213"/>
        <v>895</v>
      </c>
      <c r="W340" s="2">
        <f t="shared" si="209"/>
        <v>1100</v>
      </c>
      <c r="X340" s="2" t="s">
        <v>196</v>
      </c>
      <c r="Y340" s="2" t="str">
        <f t="shared" si="238"/>
        <v>1868,2200</v>
      </c>
      <c r="Z340" s="2">
        <f t="shared" si="214"/>
        <v>1868</v>
      </c>
      <c r="AA340" s="2">
        <f t="shared" si="210"/>
        <v>2200</v>
      </c>
      <c r="AB340" s="2">
        <v>80000</v>
      </c>
      <c r="AC340" s="2" t="str">
        <f>_xlfn.XLOOKUP(B340,'#캐릭터'!A:A,'#캐릭터'!B:B)</f>
        <v>도계화</v>
      </c>
      <c r="AD340" s="2" t="str">
        <f t="shared" si="250"/>
        <v>Epic1_도계화</v>
      </c>
      <c r="AE340" s="2">
        <f t="shared" si="239"/>
        <v>2104</v>
      </c>
    </row>
    <row r="341" spans="1:31" x14ac:dyDescent="0.2">
      <c r="A341" s="2">
        <f t="shared" si="235"/>
        <v>10502014</v>
      </c>
      <c r="B341" s="1">
        <v>10000502</v>
      </c>
      <c r="C341" s="1" t="s">
        <v>281</v>
      </c>
      <c r="D341" s="1" t="s">
        <v>309</v>
      </c>
      <c r="E341" s="1" t="str">
        <f>"Persona_"&amp;_xlfn.XLOOKUP($B341, '#캐릭터'!$A:$A, '#캐릭터'!$C:$C)</f>
        <v>Persona_c502</v>
      </c>
      <c r="F341" s="1"/>
      <c r="G341" s="1">
        <f>_xlfn.XLOOKUP(_xlfn.XLOOKUP(B341,'[1]Detail&lt;Child&gt;'!$A:$A,'[1]Detail&lt;Child&gt;'!$N:$N),'#참조'!P:P,'#참조'!Q:Q)</f>
        <v>2</v>
      </c>
      <c r="H341" s="1">
        <f>_xlfn.XLOOKUP(_xlfn.XLOOKUP(B341,'[1]Detail&lt;Child&gt;'!$A:$A,'[1]Detail&lt;Child&gt;'!$O:$O),'#참조'!R:R,'#참조'!S:S)</f>
        <v>1</v>
      </c>
      <c r="I341" s="1">
        <v>4</v>
      </c>
      <c r="J341" s="2">
        <v>3</v>
      </c>
      <c r="K341" s="2">
        <v>5</v>
      </c>
      <c r="L341" s="2">
        <v>14</v>
      </c>
      <c r="M341" s="2" t="s">
        <v>18</v>
      </c>
      <c r="N341" s="2" t="s">
        <v>407</v>
      </c>
      <c r="O341" s="2">
        <f t="shared" si="211"/>
        <v>6906</v>
      </c>
      <c r="P341" s="2" t="s">
        <v>194</v>
      </c>
      <c r="Q341" s="2" t="str">
        <f t="shared" si="236"/>
        <v>30290,36300</v>
      </c>
      <c r="R341" s="2">
        <f t="shared" si="212"/>
        <v>30290</v>
      </c>
      <c r="S341" s="2">
        <f t="shared" si="208"/>
        <v>36300</v>
      </c>
      <c r="T341" s="2" t="s">
        <v>195</v>
      </c>
      <c r="U341" s="2" t="str">
        <f t="shared" si="237"/>
        <v>1074,1300</v>
      </c>
      <c r="V341" s="2">
        <f t="shared" si="213"/>
        <v>1074</v>
      </c>
      <c r="W341" s="2">
        <f t="shared" si="209"/>
        <v>1300</v>
      </c>
      <c r="X341" s="2" t="s">
        <v>196</v>
      </c>
      <c r="Y341" s="2" t="str">
        <f t="shared" si="238"/>
        <v>2428,2900</v>
      </c>
      <c r="Z341" s="2">
        <f t="shared" si="214"/>
        <v>2428</v>
      </c>
      <c r="AA341" s="2">
        <f t="shared" si="210"/>
        <v>2900</v>
      </c>
      <c r="AB341" s="2">
        <v>80000</v>
      </c>
      <c r="AC341" s="2" t="str">
        <f>_xlfn.XLOOKUP(B341,'#캐릭터'!A:A,'#캐릭터'!B:B)</f>
        <v>도계화</v>
      </c>
      <c r="AD341" s="2" t="str">
        <f t="shared" si="250"/>
        <v>Epic2_도계화</v>
      </c>
      <c r="AE341" s="2">
        <f t="shared" si="239"/>
        <v>2104</v>
      </c>
    </row>
    <row r="342" spans="1:31" x14ac:dyDescent="0.2">
      <c r="A342" s="2">
        <f t="shared" si="235"/>
        <v>10502015</v>
      </c>
      <c r="B342" s="1">
        <v>10000502</v>
      </c>
      <c r="C342" s="1" t="s">
        <v>281</v>
      </c>
      <c r="D342" s="1" t="s">
        <v>309</v>
      </c>
      <c r="E342" s="1" t="str">
        <f>"Persona_"&amp;_xlfn.XLOOKUP($B342, '#캐릭터'!$A:$A, '#캐릭터'!$C:$C)</f>
        <v>Persona_c502</v>
      </c>
      <c r="F342" s="1"/>
      <c r="G342" s="1">
        <f>_xlfn.XLOOKUP(_xlfn.XLOOKUP(B342,'[1]Detail&lt;Child&gt;'!$A:$A,'[1]Detail&lt;Child&gt;'!$N:$N),'#참조'!P:P,'#참조'!Q:Q)</f>
        <v>2</v>
      </c>
      <c r="H342" s="1">
        <f>_xlfn.XLOOKUP(_xlfn.XLOOKUP(B342,'[1]Detail&lt;Child&gt;'!$A:$A,'[1]Detail&lt;Child&gt;'!$O:$O),'#참조'!R:R,'#참조'!S:S)</f>
        <v>1</v>
      </c>
      <c r="I342" s="1">
        <v>5</v>
      </c>
      <c r="J342" s="2">
        <v>3</v>
      </c>
      <c r="K342" s="2">
        <v>5</v>
      </c>
      <c r="L342" s="2">
        <v>15</v>
      </c>
      <c r="M342" s="2" t="s">
        <v>19</v>
      </c>
      <c r="N342" s="2" t="s">
        <v>407</v>
      </c>
      <c r="O342" s="2">
        <f t="shared" si="211"/>
        <v>7597</v>
      </c>
      <c r="P342" s="2" t="s">
        <v>194</v>
      </c>
      <c r="Q342" s="2" t="str">
        <f t="shared" si="236"/>
        <v>39377,47300</v>
      </c>
      <c r="R342" s="2">
        <f t="shared" si="212"/>
        <v>39377</v>
      </c>
      <c r="S342" s="2">
        <f t="shared" si="208"/>
        <v>47300</v>
      </c>
      <c r="T342" s="2" t="s">
        <v>195</v>
      </c>
      <c r="U342" s="2" t="str">
        <f t="shared" si="237"/>
        <v>1289,1500</v>
      </c>
      <c r="V342" s="2">
        <f t="shared" si="213"/>
        <v>1289</v>
      </c>
      <c r="W342" s="2">
        <f t="shared" si="209"/>
        <v>1500</v>
      </c>
      <c r="X342" s="2" t="s">
        <v>196</v>
      </c>
      <c r="Y342" s="2" t="str">
        <f t="shared" si="238"/>
        <v>3156,3800</v>
      </c>
      <c r="Z342" s="2">
        <f t="shared" si="214"/>
        <v>3156</v>
      </c>
      <c r="AA342" s="2">
        <f t="shared" si="210"/>
        <v>3800</v>
      </c>
      <c r="AB342" s="2">
        <v>80000</v>
      </c>
      <c r="AC342" s="2" t="str">
        <f>_xlfn.XLOOKUP(B342,'#캐릭터'!A:A,'#캐릭터'!B:B)</f>
        <v>도계화</v>
      </c>
      <c r="AD342" s="2" t="str">
        <f t="shared" si="250"/>
        <v>Epic3_도계화</v>
      </c>
      <c r="AE342" s="2">
        <f t="shared" si="239"/>
        <v>2105</v>
      </c>
    </row>
    <row r="343" spans="1:31" x14ac:dyDescent="0.2">
      <c r="A343" s="2">
        <f t="shared" si="235"/>
        <v>10502016</v>
      </c>
      <c r="B343" s="1">
        <v>10000502</v>
      </c>
      <c r="C343" s="1" t="s">
        <v>281</v>
      </c>
      <c r="D343" s="1" t="s">
        <v>309</v>
      </c>
      <c r="E343" s="1" t="str">
        <f>"Persona_"&amp;_xlfn.XLOOKUP($B343, '#캐릭터'!$A:$A, '#캐릭터'!$C:$C)</f>
        <v>Persona_c502</v>
      </c>
      <c r="F343" s="1"/>
      <c r="G343" s="1">
        <f>_xlfn.XLOOKUP(_xlfn.XLOOKUP(B343,'[1]Detail&lt;Child&gt;'!$A:$A,'[1]Detail&lt;Child&gt;'!$N:$N),'#참조'!P:P,'#참조'!Q:Q)</f>
        <v>2</v>
      </c>
      <c r="H343" s="1">
        <f>_xlfn.XLOOKUP(_xlfn.XLOOKUP(B343,'[1]Detail&lt;Child&gt;'!$A:$A,'[1]Detail&lt;Child&gt;'!$O:$O),'#참조'!R:R,'#참조'!S:S)</f>
        <v>1</v>
      </c>
      <c r="I343" s="1">
        <v>5</v>
      </c>
      <c r="J343" s="2">
        <v>3</v>
      </c>
      <c r="K343" s="2">
        <v>6</v>
      </c>
      <c r="L343" s="2">
        <v>16</v>
      </c>
      <c r="M343" s="2" t="s">
        <v>20</v>
      </c>
      <c r="N343" s="2" t="s">
        <v>407</v>
      </c>
      <c r="O343" s="2">
        <f t="shared" si="211"/>
        <v>8357</v>
      </c>
      <c r="P343" s="2" t="s">
        <v>194</v>
      </c>
      <c r="Q343" s="2" t="str">
        <f t="shared" si="236"/>
        <v>51190,61400</v>
      </c>
      <c r="R343" s="2">
        <f t="shared" si="212"/>
        <v>51190</v>
      </c>
      <c r="S343" s="2">
        <f t="shared" si="208"/>
        <v>61400</v>
      </c>
      <c r="T343" s="2" t="s">
        <v>195</v>
      </c>
      <c r="U343" s="2" t="str">
        <f t="shared" si="237"/>
        <v>1547,1900</v>
      </c>
      <c r="V343" s="2">
        <f t="shared" si="213"/>
        <v>1547</v>
      </c>
      <c r="W343" s="2">
        <f t="shared" si="209"/>
        <v>1900</v>
      </c>
      <c r="X343" s="2" t="s">
        <v>196</v>
      </c>
      <c r="Y343" s="2" t="str">
        <f t="shared" si="238"/>
        <v>4103,4900</v>
      </c>
      <c r="Z343" s="2">
        <f t="shared" si="214"/>
        <v>4103</v>
      </c>
      <c r="AA343" s="2">
        <f t="shared" si="210"/>
        <v>4900</v>
      </c>
      <c r="AB343" s="2">
        <v>75000</v>
      </c>
      <c r="AC343" s="2" t="str">
        <f>_xlfn.XLOOKUP(B343,'#캐릭터'!A:A,'#캐릭터'!B:B)</f>
        <v>도계화</v>
      </c>
      <c r="AD343" s="2" t="str">
        <f t="shared" si="250"/>
        <v>Legendary1_도계화</v>
      </c>
      <c r="AE343" s="2">
        <f t="shared" si="239"/>
        <v>2105</v>
      </c>
    </row>
    <row r="344" spans="1:31" x14ac:dyDescent="0.2">
      <c r="A344" s="2">
        <f t="shared" si="235"/>
        <v>10502017</v>
      </c>
      <c r="B344" s="1">
        <v>10000502</v>
      </c>
      <c r="C344" s="1" t="s">
        <v>281</v>
      </c>
      <c r="D344" s="1" t="s">
        <v>309</v>
      </c>
      <c r="E344" s="1" t="str">
        <f>"Persona_"&amp;_xlfn.XLOOKUP($B344, '#캐릭터'!$A:$A, '#캐릭터'!$C:$C)</f>
        <v>Persona_c502</v>
      </c>
      <c r="F344" s="1"/>
      <c r="G344" s="1">
        <f>_xlfn.XLOOKUP(_xlfn.XLOOKUP(B344,'[1]Detail&lt;Child&gt;'!$A:$A,'[1]Detail&lt;Child&gt;'!$N:$N),'#참조'!P:P,'#참조'!Q:Q)</f>
        <v>2</v>
      </c>
      <c r="H344" s="1">
        <f>_xlfn.XLOOKUP(_xlfn.XLOOKUP(B344,'[1]Detail&lt;Child&gt;'!$A:$A,'[1]Detail&lt;Child&gt;'!$O:$O),'#참조'!R:R,'#참조'!S:S)</f>
        <v>1</v>
      </c>
      <c r="I344" s="1">
        <v>6</v>
      </c>
      <c r="J344" s="2">
        <v>3</v>
      </c>
      <c r="K344" s="2">
        <v>6</v>
      </c>
      <c r="L344" s="2">
        <v>17</v>
      </c>
      <c r="M344" s="2" t="s">
        <v>21</v>
      </c>
      <c r="N344" s="2" t="s">
        <v>407</v>
      </c>
      <c r="O344" s="2">
        <f t="shared" si="211"/>
        <v>9193</v>
      </c>
      <c r="P344" s="2" t="s">
        <v>194</v>
      </c>
      <c r="Q344" s="2" t="str">
        <f t="shared" si="236"/>
        <v>66547,79900</v>
      </c>
      <c r="R344" s="2">
        <f t="shared" si="212"/>
        <v>66547</v>
      </c>
      <c r="S344" s="2">
        <f t="shared" ref="S344:S407" si="251">ROUND(R344*1.2, -2)</f>
        <v>79900</v>
      </c>
      <c r="T344" s="2" t="s">
        <v>195</v>
      </c>
      <c r="U344" s="2" t="str">
        <f t="shared" si="237"/>
        <v>1856,2200</v>
      </c>
      <c r="V344" s="2">
        <f t="shared" si="213"/>
        <v>1856</v>
      </c>
      <c r="W344" s="2">
        <f t="shared" ref="W344:W407" si="252">ROUND(V344*1.2, -2)</f>
        <v>2200</v>
      </c>
      <c r="X344" s="2" t="s">
        <v>196</v>
      </c>
      <c r="Y344" s="2" t="str">
        <f t="shared" si="238"/>
        <v>5334,6400</v>
      </c>
      <c r="Z344" s="2">
        <f t="shared" si="214"/>
        <v>5334</v>
      </c>
      <c r="AA344" s="2">
        <f t="shared" ref="AA344:AA407" si="253">ROUND(Z344*1.2, -2)</f>
        <v>6400</v>
      </c>
      <c r="AB344" s="2">
        <v>75000</v>
      </c>
      <c r="AC344" s="2" t="str">
        <f>_xlfn.XLOOKUP(B344,'#캐릭터'!A:A,'#캐릭터'!B:B)</f>
        <v>도계화</v>
      </c>
      <c r="AD344" s="2" t="str">
        <f t="shared" si="250"/>
        <v>Legendary2_도계화</v>
      </c>
      <c r="AE344" s="2">
        <f t="shared" si="239"/>
        <v>2106</v>
      </c>
    </row>
    <row r="345" spans="1:31" x14ac:dyDescent="0.2">
      <c r="A345" s="2">
        <f t="shared" si="235"/>
        <v>10502018</v>
      </c>
      <c r="B345" s="1">
        <v>10000502</v>
      </c>
      <c r="C345" s="1" t="s">
        <v>281</v>
      </c>
      <c r="D345" s="1" t="s">
        <v>309</v>
      </c>
      <c r="E345" s="1" t="str">
        <f>"Persona_"&amp;_xlfn.XLOOKUP($B345, '#캐릭터'!$A:$A, '#캐릭터'!$C:$C)</f>
        <v>Persona_c502</v>
      </c>
      <c r="F345" s="1"/>
      <c r="G345" s="1">
        <f>_xlfn.XLOOKUP(_xlfn.XLOOKUP(B345,'[1]Detail&lt;Child&gt;'!$A:$A,'[1]Detail&lt;Child&gt;'!$N:$N),'#참조'!P:P,'#참조'!Q:Q)</f>
        <v>2</v>
      </c>
      <c r="H345" s="1">
        <f>_xlfn.XLOOKUP(_xlfn.XLOOKUP(B345,'[1]Detail&lt;Child&gt;'!$A:$A,'[1]Detail&lt;Child&gt;'!$O:$O),'#참조'!R:R,'#참조'!S:S)</f>
        <v>1</v>
      </c>
      <c r="I345" s="1">
        <v>6</v>
      </c>
      <c r="J345" s="2">
        <v>3</v>
      </c>
      <c r="K345" s="2">
        <v>6</v>
      </c>
      <c r="L345" s="2">
        <v>18</v>
      </c>
      <c r="M345" s="2" t="s">
        <v>22</v>
      </c>
      <c r="N345" s="2" t="s">
        <v>407</v>
      </c>
      <c r="O345" s="2">
        <f t="shared" ref="O345:O408" si="254">ROUND(O344*1.1, 0)</f>
        <v>10112</v>
      </c>
      <c r="P345" s="2" t="s">
        <v>194</v>
      </c>
      <c r="Q345" s="2" t="str">
        <f t="shared" si="236"/>
        <v>86511,103800</v>
      </c>
      <c r="R345" s="2">
        <f t="shared" ref="R345:R408" si="255">ROUND(R344*1.3, 0)</f>
        <v>86511</v>
      </c>
      <c r="S345" s="2">
        <f t="shared" si="251"/>
        <v>103800</v>
      </c>
      <c r="T345" s="2" t="s">
        <v>195</v>
      </c>
      <c r="U345" s="2" t="str">
        <f t="shared" si="237"/>
        <v>2227,2700</v>
      </c>
      <c r="V345" s="2">
        <f t="shared" ref="V345:V408" si="256">ROUND(V344*1.2, 0)</f>
        <v>2227</v>
      </c>
      <c r="W345" s="2">
        <f t="shared" si="252"/>
        <v>2700</v>
      </c>
      <c r="X345" s="2" t="s">
        <v>196</v>
      </c>
      <c r="Y345" s="2" t="str">
        <f t="shared" si="238"/>
        <v>6934,8300</v>
      </c>
      <c r="Z345" s="2">
        <f t="shared" ref="Z345:Z408" si="257">ROUND(Z344*1.3, 0)</f>
        <v>6934</v>
      </c>
      <c r="AA345" s="2">
        <f t="shared" si="253"/>
        <v>8300</v>
      </c>
      <c r="AB345" s="2">
        <v>75000</v>
      </c>
      <c r="AC345" s="2" t="str">
        <f>_xlfn.XLOOKUP(B345,'#캐릭터'!A:A,'#캐릭터'!B:B)</f>
        <v>도계화</v>
      </c>
      <c r="AD345" s="2" t="str">
        <f t="shared" si="250"/>
        <v>Legendary3_도계화</v>
      </c>
      <c r="AE345" s="2">
        <f t="shared" si="239"/>
        <v>2106</v>
      </c>
    </row>
    <row r="346" spans="1:31" x14ac:dyDescent="0.2">
      <c r="A346" s="2">
        <f t="shared" si="235"/>
        <v>10412000</v>
      </c>
      <c r="B346" s="1">
        <v>10000412</v>
      </c>
      <c r="C346" s="1" t="s">
        <v>281</v>
      </c>
      <c r="D346" s="1" t="s">
        <v>309</v>
      </c>
      <c r="E346" s="1" t="str">
        <f>"Persona_"&amp;_xlfn.XLOOKUP($B346, '#캐릭터'!$A:$A, '#캐릭터'!$C:$C)</f>
        <v>Persona_c412</v>
      </c>
      <c r="F346" s="1"/>
      <c r="G346" s="1">
        <f>_xlfn.XLOOKUP(_xlfn.XLOOKUP(B346,'[1]Detail&lt;Child&gt;'!$A:$A,'[1]Detail&lt;Child&gt;'!$N:$N),'#참조'!P:P,'#참조'!Q:Q)</f>
        <v>5</v>
      </c>
      <c r="H346" s="1">
        <f>_xlfn.XLOOKUP(_xlfn.XLOOKUP(B346,'[1]Detail&lt;Child&gt;'!$A:$A,'[1]Detail&lt;Child&gt;'!$O:$O),'#참조'!R:R,'#참조'!S:S)</f>
        <v>1</v>
      </c>
      <c r="I346" s="1">
        <v>0</v>
      </c>
      <c r="J346" s="2">
        <v>3</v>
      </c>
      <c r="K346" s="2">
        <v>0</v>
      </c>
      <c r="L346" s="2">
        <v>0</v>
      </c>
      <c r="M346" s="2" t="s">
        <v>31</v>
      </c>
      <c r="N346" s="2" t="s">
        <v>407</v>
      </c>
      <c r="O346" s="2">
        <v>0</v>
      </c>
      <c r="P346" s="2" t="s">
        <v>194</v>
      </c>
      <c r="Q346" s="2" t="str">
        <f t="shared" si="236"/>
        <v>1000,1000</v>
      </c>
      <c r="R346" s="2">
        <v>1000</v>
      </c>
      <c r="S346" s="2">
        <f t="shared" ref="S346" si="258">R346</f>
        <v>1000</v>
      </c>
      <c r="T346" s="2" t="s">
        <v>195</v>
      </c>
      <c r="U346" s="2" t="str">
        <f t="shared" si="237"/>
        <v>100,100</v>
      </c>
      <c r="V346" s="2">
        <v>100</v>
      </c>
      <c r="W346" s="2">
        <f t="shared" ref="W346" si="259">V346</f>
        <v>100</v>
      </c>
      <c r="X346" s="2" t="s">
        <v>196</v>
      </c>
      <c r="Y346" s="2" t="str">
        <f t="shared" si="238"/>
        <v>80,80</v>
      </c>
      <c r="Z346" s="2">
        <v>80</v>
      </c>
      <c r="AA346" s="2">
        <f t="shared" ref="AA346" si="260">Z346</f>
        <v>80</v>
      </c>
      <c r="AB346" s="2">
        <v>100000</v>
      </c>
      <c r="AC346" s="2" t="str">
        <f>_xlfn.XLOOKUP(B346,'#캐릭터'!A:A,'#캐릭터'!B:B)</f>
        <v>카인</v>
      </c>
      <c r="AE346" s="2">
        <f t="shared" si="239"/>
        <v>0</v>
      </c>
    </row>
    <row r="347" spans="1:31" x14ac:dyDescent="0.2">
      <c r="A347" s="2">
        <f t="shared" si="235"/>
        <v>10412001</v>
      </c>
      <c r="B347" s="1">
        <v>10000412</v>
      </c>
      <c r="C347" s="1" t="s">
        <v>281</v>
      </c>
      <c r="D347" s="1" t="s">
        <v>309</v>
      </c>
      <c r="E347" s="1" t="str">
        <f>"Persona_"&amp;_xlfn.XLOOKUP($B347, '#캐릭터'!$A:$A, '#캐릭터'!$C:$C)</f>
        <v>Persona_c412</v>
      </c>
      <c r="F347" s="1"/>
      <c r="G347" s="1">
        <f>_xlfn.XLOOKUP(_xlfn.XLOOKUP(B347,'[1]Detail&lt;Child&gt;'!$A:$A,'[1]Detail&lt;Child&gt;'!$N:$N),'#참조'!P:P,'#참조'!Q:Q)</f>
        <v>5</v>
      </c>
      <c r="H347" s="1">
        <f>_xlfn.XLOOKUP(_xlfn.XLOOKUP(B347,'[1]Detail&lt;Child&gt;'!$A:$A,'[1]Detail&lt;Child&gt;'!$O:$O),'#참조'!R:R,'#참조'!S:S)</f>
        <v>1</v>
      </c>
      <c r="I347" s="1">
        <v>0</v>
      </c>
      <c r="J347" s="2">
        <v>3</v>
      </c>
      <c r="K347" s="2">
        <v>1</v>
      </c>
      <c r="L347" s="2">
        <v>1</v>
      </c>
      <c r="M347" s="2" t="s">
        <v>5</v>
      </c>
      <c r="N347" s="2" t="s">
        <v>407</v>
      </c>
      <c r="O347" s="2">
        <v>2000</v>
      </c>
      <c r="P347" s="2" t="s">
        <v>194</v>
      </c>
      <c r="Q347" s="2" t="str">
        <f t="shared" si="236"/>
        <v>1000,1200</v>
      </c>
      <c r="R347" s="2">
        <v>1000</v>
      </c>
      <c r="S347" s="2">
        <f t="shared" ref="S347" si="261">ROUND(R347*1.2, -2)</f>
        <v>1200</v>
      </c>
      <c r="T347" s="2" t="s">
        <v>195</v>
      </c>
      <c r="U347" s="2" t="str">
        <f t="shared" si="237"/>
        <v>100,100</v>
      </c>
      <c r="V347" s="2">
        <v>100</v>
      </c>
      <c r="W347" s="2">
        <f t="shared" ref="W347" si="262">ROUND(V347*1.2, -2)</f>
        <v>100</v>
      </c>
      <c r="X347" s="2" t="s">
        <v>196</v>
      </c>
      <c r="Y347" s="2" t="str">
        <f t="shared" si="238"/>
        <v>80,100</v>
      </c>
      <c r="Z347" s="2">
        <v>80</v>
      </c>
      <c r="AA347" s="2">
        <f t="shared" ref="AA347" si="263">ROUND(Z347*1.2, -2)</f>
        <v>100</v>
      </c>
      <c r="AB347" s="2">
        <v>100000</v>
      </c>
      <c r="AC347" s="2" t="str">
        <f>_xlfn.XLOOKUP(B347,'#캐릭터'!A:A,'#캐릭터'!B:B)</f>
        <v>카인</v>
      </c>
      <c r="AD347" s="2" t="str">
        <f t="shared" si="250"/>
        <v>Common1_카인</v>
      </c>
      <c r="AE347" s="2">
        <f t="shared" si="239"/>
        <v>0</v>
      </c>
    </row>
    <row r="348" spans="1:31" x14ac:dyDescent="0.2">
      <c r="A348" s="2">
        <f t="shared" si="235"/>
        <v>10412002</v>
      </c>
      <c r="B348" s="1">
        <v>10000412</v>
      </c>
      <c r="C348" s="1" t="s">
        <v>281</v>
      </c>
      <c r="D348" s="1" t="s">
        <v>309</v>
      </c>
      <c r="E348" s="1" t="str">
        <f>"Persona_"&amp;_xlfn.XLOOKUP($B348, '#캐릭터'!$A:$A, '#캐릭터'!$C:$C)</f>
        <v>Persona_c412</v>
      </c>
      <c r="F348" s="1"/>
      <c r="G348" s="1">
        <f>_xlfn.XLOOKUP(_xlfn.XLOOKUP(B348,'[1]Detail&lt;Child&gt;'!$A:$A,'[1]Detail&lt;Child&gt;'!$N:$N),'#참조'!P:P,'#참조'!Q:Q)</f>
        <v>5</v>
      </c>
      <c r="H348" s="1">
        <f>_xlfn.XLOOKUP(_xlfn.XLOOKUP(B348,'[1]Detail&lt;Child&gt;'!$A:$A,'[1]Detail&lt;Child&gt;'!$O:$O),'#참조'!R:R,'#참조'!S:S)</f>
        <v>1</v>
      </c>
      <c r="I348" s="1">
        <v>0</v>
      </c>
      <c r="J348" s="2">
        <v>3</v>
      </c>
      <c r="K348" s="2">
        <v>1</v>
      </c>
      <c r="L348" s="2">
        <v>2</v>
      </c>
      <c r="M348" s="2" t="s">
        <v>6</v>
      </c>
      <c r="N348" s="2" t="s">
        <v>407</v>
      </c>
      <c r="O348" s="2">
        <f t="shared" ref="O348" si="264">ROUND(O347*1.1, 0)</f>
        <v>2200</v>
      </c>
      <c r="P348" s="2" t="s">
        <v>194</v>
      </c>
      <c r="Q348" s="2" t="str">
        <f t="shared" si="236"/>
        <v>1300,1600</v>
      </c>
      <c r="R348" s="2">
        <f t="shared" ref="R348" si="265">ROUND(R347*1.3, 0)</f>
        <v>1300</v>
      </c>
      <c r="S348" s="2">
        <f t="shared" si="251"/>
        <v>1600</v>
      </c>
      <c r="T348" s="2" t="s">
        <v>195</v>
      </c>
      <c r="U348" s="2" t="str">
        <f t="shared" si="237"/>
        <v>120,100</v>
      </c>
      <c r="V348" s="2">
        <f t="shared" ref="V348" si="266">ROUND(V347*1.2, 0)</f>
        <v>120</v>
      </c>
      <c r="W348" s="2">
        <f t="shared" si="252"/>
        <v>100</v>
      </c>
      <c r="X348" s="2" t="s">
        <v>196</v>
      </c>
      <c r="Y348" s="2" t="str">
        <f t="shared" si="238"/>
        <v>104,100</v>
      </c>
      <c r="Z348" s="2">
        <f t="shared" ref="Z348" si="267">ROUND(Z347*1.3, 0)</f>
        <v>104</v>
      </c>
      <c r="AA348" s="2">
        <f t="shared" si="253"/>
        <v>100</v>
      </c>
      <c r="AB348" s="2">
        <v>100000</v>
      </c>
      <c r="AC348" s="2" t="str">
        <f>_xlfn.XLOOKUP(B348,'#캐릭터'!A:A,'#캐릭터'!B:B)</f>
        <v>카인</v>
      </c>
      <c r="AD348" s="2" t="str">
        <f t="shared" si="250"/>
        <v>Common2_카인</v>
      </c>
      <c r="AE348" s="2">
        <f t="shared" si="239"/>
        <v>0</v>
      </c>
    </row>
    <row r="349" spans="1:31" x14ac:dyDescent="0.2">
      <c r="A349" s="2">
        <f t="shared" si="235"/>
        <v>10412003</v>
      </c>
      <c r="B349" s="1">
        <v>10000412</v>
      </c>
      <c r="C349" s="1" t="s">
        <v>281</v>
      </c>
      <c r="D349" s="1" t="s">
        <v>309</v>
      </c>
      <c r="E349" s="1" t="str">
        <f>"Persona_"&amp;_xlfn.XLOOKUP($B349, '#캐릭터'!$A:$A, '#캐릭터'!$C:$C)</f>
        <v>Persona_c412</v>
      </c>
      <c r="F349" s="1"/>
      <c r="G349" s="1">
        <f>_xlfn.XLOOKUP(_xlfn.XLOOKUP(B349,'[1]Detail&lt;Child&gt;'!$A:$A,'[1]Detail&lt;Child&gt;'!$N:$N),'#참조'!P:P,'#참조'!Q:Q)</f>
        <v>5</v>
      </c>
      <c r="H349" s="1">
        <f>_xlfn.XLOOKUP(_xlfn.XLOOKUP(B349,'[1]Detail&lt;Child&gt;'!$A:$A,'[1]Detail&lt;Child&gt;'!$O:$O),'#참조'!R:R,'#참조'!S:S)</f>
        <v>1</v>
      </c>
      <c r="I349" s="1">
        <v>0</v>
      </c>
      <c r="J349" s="2">
        <v>3</v>
      </c>
      <c r="K349" s="2">
        <v>1</v>
      </c>
      <c r="L349" s="2">
        <v>3</v>
      </c>
      <c r="M349" s="2" t="s">
        <v>7</v>
      </c>
      <c r="N349" s="2" t="s">
        <v>407</v>
      </c>
      <c r="O349" s="2">
        <f t="shared" si="254"/>
        <v>2420</v>
      </c>
      <c r="P349" s="2" t="s">
        <v>194</v>
      </c>
      <c r="Q349" s="2" t="str">
        <f t="shared" si="236"/>
        <v>1690,2000</v>
      </c>
      <c r="R349" s="2">
        <f t="shared" si="255"/>
        <v>1690</v>
      </c>
      <c r="S349" s="2">
        <f t="shared" si="251"/>
        <v>2000</v>
      </c>
      <c r="T349" s="2" t="s">
        <v>195</v>
      </c>
      <c r="U349" s="2" t="str">
        <f t="shared" si="237"/>
        <v>144,200</v>
      </c>
      <c r="V349" s="2">
        <f t="shared" si="256"/>
        <v>144</v>
      </c>
      <c r="W349" s="2">
        <f t="shared" si="252"/>
        <v>200</v>
      </c>
      <c r="X349" s="2" t="s">
        <v>196</v>
      </c>
      <c r="Y349" s="2" t="str">
        <f t="shared" si="238"/>
        <v>135,200</v>
      </c>
      <c r="Z349" s="2">
        <f t="shared" si="257"/>
        <v>135</v>
      </c>
      <c r="AA349" s="2">
        <f t="shared" si="253"/>
        <v>200</v>
      </c>
      <c r="AB349" s="2">
        <v>100000</v>
      </c>
      <c r="AC349" s="2" t="str">
        <f>_xlfn.XLOOKUP(B349,'#캐릭터'!A:A,'#캐릭터'!B:B)</f>
        <v>카인</v>
      </c>
      <c r="AD349" s="2" t="str">
        <f t="shared" si="250"/>
        <v>Common3_카인</v>
      </c>
      <c r="AE349" s="2">
        <f t="shared" si="239"/>
        <v>0</v>
      </c>
    </row>
    <row r="350" spans="1:31" x14ac:dyDescent="0.2">
      <c r="A350" s="2">
        <f t="shared" si="235"/>
        <v>10412004</v>
      </c>
      <c r="B350" s="1">
        <v>10000412</v>
      </c>
      <c r="C350" s="1" t="s">
        <v>281</v>
      </c>
      <c r="D350" s="1" t="s">
        <v>309</v>
      </c>
      <c r="E350" s="1" t="str">
        <f>"Persona_"&amp;_xlfn.XLOOKUP($B350, '#캐릭터'!$A:$A, '#캐릭터'!$C:$C)</f>
        <v>Persona_c412</v>
      </c>
      <c r="F350" s="1"/>
      <c r="G350" s="1">
        <f>_xlfn.XLOOKUP(_xlfn.XLOOKUP(B350,'[1]Detail&lt;Child&gt;'!$A:$A,'[1]Detail&lt;Child&gt;'!$N:$N),'#참조'!P:P,'#참조'!Q:Q)</f>
        <v>5</v>
      </c>
      <c r="H350" s="1">
        <f>_xlfn.XLOOKUP(_xlfn.XLOOKUP(B350,'[1]Detail&lt;Child&gt;'!$A:$A,'[1]Detail&lt;Child&gt;'!$O:$O),'#참조'!R:R,'#참조'!S:S)</f>
        <v>1</v>
      </c>
      <c r="I350" s="1">
        <v>0</v>
      </c>
      <c r="J350" s="2">
        <v>3</v>
      </c>
      <c r="K350" s="2">
        <v>2</v>
      </c>
      <c r="L350" s="2">
        <v>4</v>
      </c>
      <c r="M350" s="2" t="s">
        <v>8</v>
      </c>
      <c r="N350" s="2" t="s">
        <v>407</v>
      </c>
      <c r="O350" s="2">
        <f t="shared" si="254"/>
        <v>2662</v>
      </c>
      <c r="P350" s="2" t="s">
        <v>194</v>
      </c>
      <c r="Q350" s="2" t="str">
        <f t="shared" si="236"/>
        <v>2197,2600</v>
      </c>
      <c r="R350" s="2">
        <f t="shared" si="255"/>
        <v>2197</v>
      </c>
      <c r="S350" s="2">
        <f t="shared" si="251"/>
        <v>2600</v>
      </c>
      <c r="T350" s="2" t="s">
        <v>195</v>
      </c>
      <c r="U350" s="2" t="str">
        <f t="shared" si="237"/>
        <v>173,200</v>
      </c>
      <c r="V350" s="2">
        <f t="shared" si="256"/>
        <v>173</v>
      </c>
      <c r="W350" s="2">
        <f t="shared" si="252"/>
        <v>200</v>
      </c>
      <c r="X350" s="2" t="s">
        <v>196</v>
      </c>
      <c r="Y350" s="2" t="str">
        <f t="shared" si="238"/>
        <v>176,200</v>
      </c>
      <c r="Z350" s="2">
        <f t="shared" si="257"/>
        <v>176</v>
      </c>
      <c r="AA350" s="2">
        <f t="shared" si="253"/>
        <v>200</v>
      </c>
      <c r="AB350" s="2">
        <v>95000</v>
      </c>
      <c r="AC350" s="2" t="str">
        <f>_xlfn.XLOOKUP(B350,'#캐릭터'!A:A,'#캐릭터'!B:B)</f>
        <v>카인</v>
      </c>
      <c r="AD350" s="2" t="str">
        <f t="shared" si="250"/>
        <v>Uncommon1_카인</v>
      </c>
      <c r="AE350" s="2">
        <f t="shared" si="239"/>
        <v>0</v>
      </c>
    </row>
    <row r="351" spans="1:31" x14ac:dyDescent="0.2">
      <c r="A351" s="2">
        <f t="shared" si="235"/>
        <v>10412005</v>
      </c>
      <c r="B351" s="1">
        <v>10000412</v>
      </c>
      <c r="C351" s="1" t="s">
        <v>281</v>
      </c>
      <c r="D351" s="1" t="s">
        <v>309</v>
      </c>
      <c r="E351" s="1" t="str">
        <f>"Persona_"&amp;_xlfn.XLOOKUP($B351, '#캐릭터'!$A:$A, '#캐릭터'!$C:$C)</f>
        <v>Persona_c412</v>
      </c>
      <c r="F351" s="1"/>
      <c r="G351" s="1">
        <f>_xlfn.XLOOKUP(_xlfn.XLOOKUP(B351,'[1]Detail&lt;Child&gt;'!$A:$A,'[1]Detail&lt;Child&gt;'!$N:$N),'#참조'!P:P,'#참조'!Q:Q)</f>
        <v>5</v>
      </c>
      <c r="H351" s="1">
        <f>_xlfn.XLOOKUP(_xlfn.XLOOKUP(B351,'[1]Detail&lt;Child&gt;'!$A:$A,'[1]Detail&lt;Child&gt;'!$O:$O),'#참조'!R:R,'#참조'!S:S)</f>
        <v>1</v>
      </c>
      <c r="I351" s="1">
        <v>0</v>
      </c>
      <c r="J351" s="2">
        <v>3</v>
      </c>
      <c r="K351" s="2">
        <v>2</v>
      </c>
      <c r="L351" s="2">
        <v>5</v>
      </c>
      <c r="M351" s="2" t="s">
        <v>9</v>
      </c>
      <c r="N351" s="2" t="s">
        <v>407</v>
      </c>
      <c r="O351" s="2">
        <f t="shared" si="254"/>
        <v>2928</v>
      </c>
      <c r="P351" s="2" t="s">
        <v>194</v>
      </c>
      <c r="Q351" s="2" t="str">
        <f t="shared" si="236"/>
        <v>2856,3400</v>
      </c>
      <c r="R351" s="2">
        <f t="shared" si="255"/>
        <v>2856</v>
      </c>
      <c r="S351" s="2">
        <f t="shared" si="251"/>
        <v>3400</v>
      </c>
      <c r="T351" s="2" t="s">
        <v>195</v>
      </c>
      <c r="U351" s="2" t="str">
        <f t="shared" si="237"/>
        <v>208,200</v>
      </c>
      <c r="V351" s="2">
        <f t="shared" si="256"/>
        <v>208</v>
      </c>
      <c r="W351" s="2">
        <f t="shared" si="252"/>
        <v>200</v>
      </c>
      <c r="X351" s="2" t="s">
        <v>196</v>
      </c>
      <c r="Y351" s="2" t="str">
        <f t="shared" si="238"/>
        <v>229,300</v>
      </c>
      <c r="Z351" s="2">
        <f t="shared" si="257"/>
        <v>229</v>
      </c>
      <c r="AA351" s="2">
        <f t="shared" si="253"/>
        <v>300</v>
      </c>
      <c r="AB351" s="2">
        <v>95000</v>
      </c>
      <c r="AC351" s="2" t="str">
        <f>_xlfn.XLOOKUP(B351,'#캐릭터'!A:A,'#캐릭터'!B:B)</f>
        <v>카인</v>
      </c>
      <c r="AD351" s="2" t="str">
        <f t="shared" si="250"/>
        <v>Uncommon2_카인</v>
      </c>
      <c r="AE351" s="2">
        <f t="shared" si="239"/>
        <v>0</v>
      </c>
    </row>
    <row r="352" spans="1:31" x14ac:dyDescent="0.2">
      <c r="A352" s="2">
        <f t="shared" si="235"/>
        <v>10412006</v>
      </c>
      <c r="B352" s="1">
        <v>10000412</v>
      </c>
      <c r="C352" s="1" t="s">
        <v>281</v>
      </c>
      <c r="D352" s="1" t="s">
        <v>309</v>
      </c>
      <c r="E352" s="1" t="str">
        <f>"Persona_"&amp;_xlfn.XLOOKUP($B352, '#캐릭터'!$A:$A, '#캐릭터'!$C:$C)</f>
        <v>Persona_c412</v>
      </c>
      <c r="F352" s="1"/>
      <c r="G352" s="1">
        <f>_xlfn.XLOOKUP(_xlfn.XLOOKUP(B352,'[1]Detail&lt;Child&gt;'!$A:$A,'[1]Detail&lt;Child&gt;'!$N:$N),'#참조'!P:P,'#참조'!Q:Q)</f>
        <v>5</v>
      </c>
      <c r="H352" s="1">
        <f>_xlfn.XLOOKUP(_xlfn.XLOOKUP(B352,'[1]Detail&lt;Child&gt;'!$A:$A,'[1]Detail&lt;Child&gt;'!$O:$O),'#참조'!R:R,'#참조'!S:S)</f>
        <v>1</v>
      </c>
      <c r="I352" s="1">
        <v>0</v>
      </c>
      <c r="J352" s="2">
        <v>3</v>
      </c>
      <c r="K352" s="2">
        <v>2</v>
      </c>
      <c r="L352" s="2">
        <v>6</v>
      </c>
      <c r="M352" s="2" t="s">
        <v>10</v>
      </c>
      <c r="N352" s="2" t="s">
        <v>407</v>
      </c>
      <c r="O352" s="2">
        <f t="shared" si="254"/>
        <v>3221</v>
      </c>
      <c r="P352" s="2" t="s">
        <v>194</v>
      </c>
      <c r="Q352" s="2" t="str">
        <f t="shared" si="236"/>
        <v>3713,4500</v>
      </c>
      <c r="R352" s="2">
        <f t="shared" si="255"/>
        <v>3713</v>
      </c>
      <c r="S352" s="2">
        <f t="shared" si="251"/>
        <v>4500</v>
      </c>
      <c r="T352" s="2" t="s">
        <v>195</v>
      </c>
      <c r="U352" s="2" t="str">
        <f t="shared" si="237"/>
        <v>250,300</v>
      </c>
      <c r="V352" s="2">
        <f t="shared" si="256"/>
        <v>250</v>
      </c>
      <c r="W352" s="2">
        <f t="shared" si="252"/>
        <v>300</v>
      </c>
      <c r="X352" s="2" t="s">
        <v>196</v>
      </c>
      <c r="Y352" s="2" t="str">
        <f t="shared" si="238"/>
        <v>298,400</v>
      </c>
      <c r="Z352" s="2">
        <f t="shared" si="257"/>
        <v>298</v>
      </c>
      <c r="AA352" s="2">
        <f t="shared" si="253"/>
        <v>400</v>
      </c>
      <c r="AB352" s="2">
        <v>95000</v>
      </c>
      <c r="AC352" s="2" t="str">
        <f>_xlfn.XLOOKUP(B352,'#캐릭터'!A:A,'#캐릭터'!B:B)</f>
        <v>카인</v>
      </c>
      <c r="AD352" s="2" t="str">
        <f t="shared" si="250"/>
        <v>Uncommon3_카인</v>
      </c>
      <c r="AE352" s="2">
        <f t="shared" si="239"/>
        <v>0</v>
      </c>
    </row>
    <row r="353" spans="1:31" x14ac:dyDescent="0.2">
      <c r="A353" s="2">
        <f t="shared" si="235"/>
        <v>10412007</v>
      </c>
      <c r="B353" s="1">
        <v>10000412</v>
      </c>
      <c r="C353" s="1" t="s">
        <v>281</v>
      </c>
      <c r="D353" s="1" t="s">
        <v>309</v>
      </c>
      <c r="E353" s="1" t="str">
        <f>"Persona_"&amp;_xlfn.XLOOKUP($B353, '#캐릭터'!$A:$A, '#캐릭터'!$C:$C)</f>
        <v>Persona_c412</v>
      </c>
      <c r="F353" s="1"/>
      <c r="G353" s="1">
        <f>_xlfn.XLOOKUP(_xlfn.XLOOKUP(B353,'[1]Detail&lt;Child&gt;'!$A:$A,'[1]Detail&lt;Child&gt;'!$N:$N),'#참조'!P:P,'#참조'!Q:Q)</f>
        <v>5</v>
      </c>
      <c r="H353" s="1">
        <f>_xlfn.XLOOKUP(_xlfn.XLOOKUP(B353,'[1]Detail&lt;Child&gt;'!$A:$A,'[1]Detail&lt;Child&gt;'!$O:$O),'#참조'!R:R,'#참조'!S:S)</f>
        <v>1</v>
      </c>
      <c r="I353" s="1">
        <v>1</v>
      </c>
      <c r="J353" s="2">
        <v>3</v>
      </c>
      <c r="K353" s="2">
        <v>3</v>
      </c>
      <c r="L353" s="2">
        <v>7</v>
      </c>
      <c r="M353" s="2" t="s">
        <v>11</v>
      </c>
      <c r="N353" s="2" t="s">
        <v>407</v>
      </c>
      <c r="O353" s="2">
        <f t="shared" si="254"/>
        <v>3543</v>
      </c>
      <c r="P353" s="2" t="s">
        <v>194</v>
      </c>
      <c r="Q353" s="2" t="str">
        <f t="shared" si="236"/>
        <v>4827,5800</v>
      </c>
      <c r="R353" s="2">
        <f t="shared" si="255"/>
        <v>4827</v>
      </c>
      <c r="S353" s="2">
        <f t="shared" si="251"/>
        <v>5800</v>
      </c>
      <c r="T353" s="2" t="s">
        <v>195</v>
      </c>
      <c r="U353" s="2" t="str">
        <f t="shared" si="237"/>
        <v>300,400</v>
      </c>
      <c r="V353" s="2">
        <f t="shared" si="256"/>
        <v>300</v>
      </c>
      <c r="W353" s="2">
        <f t="shared" si="252"/>
        <v>400</v>
      </c>
      <c r="X353" s="2" t="s">
        <v>196</v>
      </c>
      <c r="Y353" s="2" t="str">
        <f t="shared" si="238"/>
        <v>387,500</v>
      </c>
      <c r="Z353" s="2">
        <f t="shared" si="257"/>
        <v>387</v>
      </c>
      <c r="AA353" s="2">
        <f t="shared" si="253"/>
        <v>500</v>
      </c>
      <c r="AB353" s="2">
        <v>90000</v>
      </c>
      <c r="AC353" s="2" t="str">
        <f>_xlfn.XLOOKUP(B353,'#캐릭터'!A:A,'#캐릭터'!B:B)</f>
        <v>카인</v>
      </c>
      <c r="AD353" s="2" t="str">
        <f t="shared" si="250"/>
        <v>Rare1_카인</v>
      </c>
      <c r="AE353" s="2">
        <f t="shared" si="239"/>
        <v>5101</v>
      </c>
    </row>
    <row r="354" spans="1:31" x14ac:dyDescent="0.2">
      <c r="A354" s="2">
        <f t="shared" si="235"/>
        <v>10412008</v>
      </c>
      <c r="B354" s="1">
        <v>10000412</v>
      </c>
      <c r="C354" s="1" t="s">
        <v>281</v>
      </c>
      <c r="D354" s="1" t="s">
        <v>309</v>
      </c>
      <c r="E354" s="1" t="str">
        <f>"Persona_"&amp;_xlfn.XLOOKUP($B354, '#캐릭터'!$A:$A, '#캐릭터'!$C:$C)</f>
        <v>Persona_c412</v>
      </c>
      <c r="F354" s="1"/>
      <c r="G354" s="1">
        <f>_xlfn.XLOOKUP(_xlfn.XLOOKUP(B354,'[1]Detail&lt;Child&gt;'!$A:$A,'[1]Detail&lt;Child&gt;'!$N:$N),'#참조'!P:P,'#참조'!Q:Q)</f>
        <v>5</v>
      </c>
      <c r="H354" s="1">
        <f>_xlfn.XLOOKUP(_xlfn.XLOOKUP(B354,'[1]Detail&lt;Child&gt;'!$A:$A,'[1]Detail&lt;Child&gt;'!$O:$O),'#참조'!R:R,'#참조'!S:S)</f>
        <v>1</v>
      </c>
      <c r="I354" s="1">
        <v>1</v>
      </c>
      <c r="J354" s="2">
        <v>3</v>
      </c>
      <c r="K354" s="2">
        <v>3</v>
      </c>
      <c r="L354" s="2">
        <v>8</v>
      </c>
      <c r="M354" s="2" t="s">
        <v>12</v>
      </c>
      <c r="N354" s="2" t="s">
        <v>407</v>
      </c>
      <c r="O354" s="2">
        <f t="shared" si="254"/>
        <v>3897</v>
      </c>
      <c r="P354" s="2" t="s">
        <v>194</v>
      </c>
      <c r="Q354" s="2" t="str">
        <f t="shared" si="236"/>
        <v>6275,7500</v>
      </c>
      <c r="R354" s="2">
        <f t="shared" si="255"/>
        <v>6275</v>
      </c>
      <c r="S354" s="2">
        <f t="shared" si="251"/>
        <v>7500</v>
      </c>
      <c r="T354" s="2" t="s">
        <v>195</v>
      </c>
      <c r="U354" s="2" t="str">
        <f t="shared" si="237"/>
        <v>360,400</v>
      </c>
      <c r="V354" s="2">
        <f t="shared" si="256"/>
        <v>360</v>
      </c>
      <c r="W354" s="2">
        <f t="shared" si="252"/>
        <v>400</v>
      </c>
      <c r="X354" s="2" t="s">
        <v>196</v>
      </c>
      <c r="Y354" s="2" t="str">
        <f t="shared" si="238"/>
        <v>503,600</v>
      </c>
      <c r="Z354" s="2">
        <f t="shared" si="257"/>
        <v>503</v>
      </c>
      <c r="AA354" s="2">
        <f t="shared" si="253"/>
        <v>600</v>
      </c>
      <c r="AB354" s="2">
        <v>90000</v>
      </c>
      <c r="AC354" s="2" t="str">
        <f>_xlfn.XLOOKUP(B354,'#캐릭터'!A:A,'#캐릭터'!B:B)</f>
        <v>카인</v>
      </c>
      <c r="AD354" s="2" t="str">
        <f t="shared" si="250"/>
        <v>Rare2_카인</v>
      </c>
      <c r="AE354" s="2">
        <f t="shared" si="239"/>
        <v>5101</v>
      </c>
    </row>
    <row r="355" spans="1:31" x14ac:dyDescent="0.2">
      <c r="A355" s="2">
        <f t="shared" si="235"/>
        <v>10412009</v>
      </c>
      <c r="B355" s="1">
        <v>10000412</v>
      </c>
      <c r="C355" s="1" t="s">
        <v>281</v>
      </c>
      <c r="D355" s="1" t="s">
        <v>309</v>
      </c>
      <c r="E355" s="1" t="str">
        <f>"Persona_"&amp;_xlfn.XLOOKUP($B355, '#캐릭터'!$A:$A, '#캐릭터'!$C:$C)</f>
        <v>Persona_c412</v>
      </c>
      <c r="F355" s="1"/>
      <c r="G355" s="1">
        <f>_xlfn.XLOOKUP(_xlfn.XLOOKUP(B355,'[1]Detail&lt;Child&gt;'!$A:$A,'[1]Detail&lt;Child&gt;'!$N:$N),'#참조'!P:P,'#참조'!Q:Q)</f>
        <v>5</v>
      </c>
      <c r="H355" s="1">
        <f>_xlfn.XLOOKUP(_xlfn.XLOOKUP(B355,'[1]Detail&lt;Child&gt;'!$A:$A,'[1]Detail&lt;Child&gt;'!$O:$O),'#참조'!R:R,'#참조'!S:S)</f>
        <v>1</v>
      </c>
      <c r="I355" s="1">
        <v>2</v>
      </c>
      <c r="J355" s="2">
        <v>3</v>
      </c>
      <c r="K355" s="2">
        <v>3</v>
      </c>
      <c r="L355" s="2">
        <v>9</v>
      </c>
      <c r="M355" s="2" t="s">
        <v>13</v>
      </c>
      <c r="N355" s="2" t="s">
        <v>407</v>
      </c>
      <c r="O355" s="2">
        <f t="shared" si="254"/>
        <v>4287</v>
      </c>
      <c r="P355" s="2" t="s">
        <v>194</v>
      </c>
      <c r="Q355" s="2" t="str">
        <f t="shared" si="236"/>
        <v>8158,9800</v>
      </c>
      <c r="R355" s="2">
        <f t="shared" si="255"/>
        <v>8158</v>
      </c>
      <c r="S355" s="2">
        <f t="shared" si="251"/>
        <v>9800</v>
      </c>
      <c r="T355" s="2" t="s">
        <v>195</v>
      </c>
      <c r="U355" s="2" t="str">
        <f t="shared" si="237"/>
        <v>432,500</v>
      </c>
      <c r="V355" s="2">
        <f t="shared" si="256"/>
        <v>432</v>
      </c>
      <c r="W355" s="2">
        <f t="shared" si="252"/>
        <v>500</v>
      </c>
      <c r="X355" s="2" t="s">
        <v>196</v>
      </c>
      <c r="Y355" s="2" t="str">
        <f t="shared" si="238"/>
        <v>654,800</v>
      </c>
      <c r="Z355" s="2">
        <f t="shared" si="257"/>
        <v>654</v>
      </c>
      <c r="AA355" s="2">
        <f t="shared" si="253"/>
        <v>800</v>
      </c>
      <c r="AB355" s="2">
        <v>90000</v>
      </c>
      <c r="AC355" s="2" t="str">
        <f>_xlfn.XLOOKUP(B355,'#캐릭터'!A:A,'#캐릭터'!B:B)</f>
        <v>카인</v>
      </c>
      <c r="AD355" s="2" t="str">
        <f t="shared" si="250"/>
        <v>Rare3_카인</v>
      </c>
      <c r="AE355" s="2">
        <f t="shared" si="239"/>
        <v>5102</v>
      </c>
    </row>
    <row r="356" spans="1:31" x14ac:dyDescent="0.2">
      <c r="A356" s="2">
        <f t="shared" si="235"/>
        <v>10412010</v>
      </c>
      <c r="B356" s="1">
        <v>10000412</v>
      </c>
      <c r="C356" s="1" t="s">
        <v>281</v>
      </c>
      <c r="D356" s="1" t="s">
        <v>309</v>
      </c>
      <c r="E356" s="1" t="str">
        <f>"Persona_"&amp;_xlfn.XLOOKUP($B356, '#캐릭터'!$A:$A, '#캐릭터'!$C:$C)</f>
        <v>Persona_c412</v>
      </c>
      <c r="F356" s="1"/>
      <c r="G356" s="1">
        <f>_xlfn.XLOOKUP(_xlfn.XLOOKUP(B356,'[1]Detail&lt;Child&gt;'!$A:$A,'[1]Detail&lt;Child&gt;'!$N:$N),'#참조'!P:P,'#참조'!Q:Q)</f>
        <v>5</v>
      </c>
      <c r="H356" s="1">
        <f>_xlfn.XLOOKUP(_xlfn.XLOOKUP(B356,'[1]Detail&lt;Child&gt;'!$A:$A,'[1]Detail&lt;Child&gt;'!$O:$O),'#참조'!R:R,'#참조'!S:S)</f>
        <v>1</v>
      </c>
      <c r="I356" s="1">
        <v>2</v>
      </c>
      <c r="J356" s="2">
        <v>3</v>
      </c>
      <c r="K356" s="2">
        <v>4</v>
      </c>
      <c r="L356" s="2">
        <v>10</v>
      </c>
      <c r="M356" s="2" t="s">
        <v>14</v>
      </c>
      <c r="N356" s="2" t="s">
        <v>407</v>
      </c>
      <c r="O356" s="2">
        <f t="shared" si="254"/>
        <v>4716</v>
      </c>
      <c r="P356" s="2" t="s">
        <v>194</v>
      </c>
      <c r="Q356" s="2" t="str">
        <f t="shared" si="236"/>
        <v>10605,12700</v>
      </c>
      <c r="R356" s="2">
        <f t="shared" si="255"/>
        <v>10605</v>
      </c>
      <c r="S356" s="2">
        <f t="shared" si="251"/>
        <v>12700</v>
      </c>
      <c r="T356" s="2" t="s">
        <v>195</v>
      </c>
      <c r="U356" s="2" t="str">
        <f t="shared" si="237"/>
        <v>518,600</v>
      </c>
      <c r="V356" s="2">
        <f t="shared" si="256"/>
        <v>518</v>
      </c>
      <c r="W356" s="2">
        <f t="shared" si="252"/>
        <v>600</v>
      </c>
      <c r="X356" s="2" t="s">
        <v>196</v>
      </c>
      <c r="Y356" s="2" t="str">
        <f t="shared" si="238"/>
        <v>850,1000</v>
      </c>
      <c r="Z356" s="2">
        <f t="shared" si="257"/>
        <v>850</v>
      </c>
      <c r="AA356" s="2">
        <f t="shared" si="253"/>
        <v>1000</v>
      </c>
      <c r="AB356" s="2">
        <v>85000</v>
      </c>
      <c r="AC356" s="2" t="str">
        <f>_xlfn.XLOOKUP(B356,'#캐릭터'!A:A,'#캐릭터'!B:B)</f>
        <v>카인</v>
      </c>
      <c r="AD356" s="2" t="str">
        <f t="shared" si="250"/>
        <v>Unique1_카인</v>
      </c>
      <c r="AE356" s="2">
        <f t="shared" si="239"/>
        <v>5102</v>
      </c>
    </row>
    <row r="357" spans="1:31" x14ac:dyDescent="0.2">
      <c r="A357" s="2">
        <f t="shared" si="235"/>
        <v>10412011</v>
      </c>
      <c r="B357" s="1">
        <v>10000412</v>
      </c>
      <c r="C357" s="1" t="s">
        <v>281</v>
      </c>
      <c r="D357" s="1" t="s">
        <v>309</v>
      </c>
      <c r="E357" s="1" t="str">
        <f>"Persona_"&amp;_xlfn.XLOOKUP($B357, '#캐릭터'!$A:$A, '#캐릭터'!$C:$C)</f>
        <v>Persona_c412</v>
      </c>
      <c r="F357" s="1"/>
      <c r="G357" s="1">
        <f>_xlfn.XLOOKUP(_xlfn.XLOOKUP(B357,'[1]Detail&lt;Child&gt;'!$A:$A,'[1]Detail&lt;Child&gt;'!$N:$N),'#참조'!P:P,'#참조'!Q:Q)</f>
        <v>5</v>
      </c>
      <c r="H357" s="1">
        <f>_xlfn.XLOOKUP(_xlfn.XLOOKUP(B357,'[1]Detail&lt;Child&gt;'!$A:$A,'[1]Detail&lt;Child&gt;'!$O:$O),'#참조'!R:R,'#참조'!S:S)</f>
        <v>1</v>
      </c>
      <c r="I357" s="1">
        <v>3</v>
      </c>
      <c r="J357" s="2">
        <v>3</v>
      </c>
      <c r="K357" s="2">
        <v>4</v>
      </c>
      <c r="L357" s="2">
        <v>11</v>
      </c>
      <c r="M357" s="2" t="s">
        <v>15</v>
      </c>
      <c r="N357" s="2" t="s">
        <v>407</v>
      </c>
      <c r="O357" s="2">
        <f t="shared" si="254"/>
        <v>5188</v>
      </c>
      <c r="P357" s="2" t="s">
        <v>194</v>
      </c>
      <c r="Q357" s="2" t="str">
        <f t="shared" si="236"/>
        <v>13787,16500</v>
      </c>
      <c r="R357" s="2">
        <f t="shared" si="255"/>
        <v>13787</v>
      </c>
      <c r="S357" s="2">
        <f t="shared" si="251"/>
        <v>16500</v>
      </c>
      <c r="T357" s="2" t="s">
        <v>195</v>
      </c>
      <c r="U357" s="2" t="str">
        <f t="shared" si="237"/>
        <v>622,700</v>
      </c>
      <c r="V357" s="2">
        <f t="shared" si="256"/>
        <v>622</v>
      </c>
      <c r="W357" s="2">
        <f t="shared" si="252"/>
        <v>700</v>
      </c>
      <c r="X357" s="2" t="s">
        <v>196</v>
      </c>
      <c r="Y357" s="2" t="str">
        <f t="shared" si="238"/>
        <v>1105,1300</v>
      </c>
      <c r="Z357" s="2">
        <f t="shared" si="257"/>
        <v>1105</v>
      </c>
      <c r="AA357" s="2">
        <f t="shared" si="253"/>
        <v>1300</v>
      </c>
      <c r="AB357" s="2">
        <v>85000</v>
      </c>
      <c r="AC357" s="2" t="str">
        <f>_xlfn.XLOOKUP(B357,'#캐릭터'!A:A,'#캐릭터'!B:B)</f>
        <v>카인</v>
      </c>
      <c r="AD357" s="2" t="str">
        <f t="shared" si="250"/>
        <v>Unique2_카인</v>
      </c>
      <c r="AE357" s="2">
        <f t="shared" si="239"/>
        <v>5103</v>
      </c>
    </row>
    <row r="358" spans="1:31" x14ac:dyDescent="0.2">
      <c r="A358" s="2">
        <f t="shared" si="235"/>
        <v>10412012</v>
      </c>
      <c r="B358" s="1">
        <v>10000412</v>
      </c>
      <c r="C358" s="1" t="s">
        <v>281</v>
      </c>
      <c r="D358" s="1" t="s">
        <v>309</v>
      </c>
      <c r="E358" s="1" t="str">
        <f>"Persona_"&amp;_xlfn.XLOOKUP($B358, '#캐릭터'!$A:$A, '#캐릭터'!$C:$C)</f>
        <v>Persona_c412</v>
      </c>
      <c r="F358" s="1"/>
      <c r="G358" s="1">
        <f>_xlfn.XLOOKUP(_xlfn.XLOOKUP(B358,'[1]Detail&lt;Child&gt;'!$A:$A,'[1]Detail&lt;Child&gt;'!$N:$N),'#참조'!P:P,'#참조'!Q:Q)</f>
        <v>5</v>
      </c>
      <c r="H358" s="1">
        <f>_xlfn.XLOOKUP(_xlfn.XLOOKUP(B358,'[1]Detail&lt;Child&gt;'!$A:$A,'[1]Detail&lt;Child&gt;'!$O:$O),'#참조'!R:R,'#참조'!S:S)</f>
        <v>1</v>
      </c>
      <c r="I358" s="1">
        <v>3</v>
      </c>
      <c r="J358" s="2">
        <v>3</v>
      </c>
      <c r="K358" s="2">
        <v>4</v>
      </c>
      <c r="L358" s="2">
        <v>12</v>
      </c>
      <c r="M358" s="2" t="s">
        <v>16</v>
      </c>
      <c r="N358" s="2" t="s">
        <v>407</v>
      </c>
      <c r="O358" s="2">
        <f t="shared" si="254"/>
        <v>5707</v>
      </c>
      <c r="P358" s="2" t="s">
        <v>194</v>
      </c>
      <c r="Q358" s="2" t="str">
        <f t="shared" si="236"/>
        <v>17923,21500</v>
      </c>
      <c r="R358" s="2">
        <f t="shared" si="255"/>
        <v>17923</v>
      </c>
      <c r="S358" s="2">
        <f t="shared" si="251"/>
        <v>21500</v>
      </c>
      <c r="T358" s="2" t="s">
        <v>195</v>
      </c>
      <c r="U358" s="2" t="str">
        <f t="shared" si="237"/>
        <v>746,900</v>
      </c>
      <c r="V358" s="2">
        <f t="shared" si="256"/>
        <v>746</v>
      </c>
      <c r="W358" s="2">
        <f t="shared" si="252"/>
        <v>900</v>
      </c>
      <c r="X358" s="2" t="s">
        <v>196</v>
      </c>
      <c r="Y358" s="2" t="str">
        <f t="shared" si="238"/>
        <v>1437,1700</v>
      </c>
      <c r="Z358" s="2">
        <f t="shared" si="257"/>
        <v>1437</v>
      </c>
      <c r="AA358" s="2">
        <f t="shared" si="253"/>
        <v>1700</v>
      </c>
      <c r="AB358" s="2">
        <v>85000</v>
      </c>
      <c r="AC358" s="2" t="str">
        <f>_xlfn.XLOOKUP(B358,'#캐릭터'!A:A,'#캐릭터'!B:B)</f>
        <v>카인</v>
      </c>
      <c r="AD358" s="2" t="str">
        <f t="shared" si="250"/>
        <v>Unique3_카인</v>
      </c>
      <c r="AE358" s="2">
        <f t="shared" si="239"/>
        <v>5103</v>
      </c>
    </row>
    <row r="359" spans="1:31" x14ac:dyDescent="0.2">
      <c r="A359" s="2">
        <f t="shared" si="235"/>
        <v>10412013</v>
      </c>
      <c r="B359" s="1">
        <v>10000412</v>
      </c>
      <c r="C359" s="1" t="s">
        <v>281</v>
      </c>
      <c r="D359" s="1" t="s">
        <v>309</v>
      </c>
      <c r="E359" s="1" t="str">
        <f>"Persona_"&amp;_xlfn.XLOOKUP($B359, '#캐릭터'!$A:$A, '#캐릭터'!$C:$C)</f>
        <v>Persona_c412</v>
      </c>
      <c r="F359" s="1"/>
      <c r="G359" s="1">
        <f>_xlfn.XLOOKUP(_xlfn.XLOOKUP(B359,'[1]Detail&lt;Child&gt;'!$A:$A,'[1]Detail&lt;Child&gt;'!$N:$N),'#참조'!P:P,'#참조'!Q:Q)</f>
        <v>5</v>
      </c>
      <c r="H359" s="1">
        <f>_xlfn.XLOOKUP(_xlfn.XLOOKUP(B359,'[1]Detail&lt;Child&gt;'!$A:$A,'[1]Detail&lt;Child&gt;'!$O:$O),'#참조'!R:R,'#참조'!S:S)</f>
        <v>1</v>
      </c>
      <c r="I359" s="1">
        <v>4</v>
      </c>
      <c r="J359" s="2">
        <v>3</v>
      </c>
      <c r="K359" s="2">
        <v>5</v>
      </c>
      <c r="L359" s="2">
        <v>13</v>
      </c>
      <c r="M359" s="2" t="s">
        <v>17</v>
      </c>
      <c r="N359" s="2" t="s">
        <v>407</v>
      </c>
      <c r="O359" s="2">
        <f t="shared" si="254"/>
        <v>6278</v>
      </c>
      <c r="P359" s="2" t="s">
        <v>194</v>
      </c>
      <c r="Q359" s="2" t="str">
        <f t="shared" si="236"/>
        <v>23300,28000</v>
      </c>
      <c r="R359" s="2">
        <f t="shared" si="255"/>
        <v>23300</v>
      </c>
      <c r="S359" s="2">
        <f t="shared" si="251"/>
        <v>28000</v>
      </c>
      <c r="T359" s="2" t="s">
        <v>195</v>
      </c>
      <c r="U359" s="2" t="str">
        <f t="shared" si="237"/>
        <v>895,1100</v>
      </c>
      <c r="V359" s="2">
        <f t="shared" si="256"/>
        <v>895</v>
      </c>
      <c r="W359" s="2">
        <f t="shared" si="252"/>
        <v>1100</v>
      </c>
      <c r="X359" s="2" t="s">
        <v>196</v>
      </c>
      <c r="Y359" s="2" t="str">
        <f t="shared" si="238"/>
        <v>1868,2200</v>
      </c>
      <c r="Z359" s="2">
        <f t="shared" si="257"/>
        <v>1868</v>
      </c>
      <c r="AA359" s="2">
        <f t="shared" si="253"/>
        <v>2200</v>
      </c>
      <c r="AB359" s="2">
        <v>80000</v>
      </c>
      <c r="AC359" s="2" t="str">
        <f>_xlfn.XLOOKUP(B359,'#캐릭터'!A:A,'#캐릭터'!B:B)</f>
        <v>카인</v>
      </c>
      <c r="AD359" s="2" t="str">
        <f t="shared" si="250"/>
        <v>Epic1_카인</v>
      </c>
      <c r="AE359" s="2">
        <f t="shared" si="239"/>
        <v>5104</v>
      </c>
    </row>
    <row r="360" spans="1:31" x14ac:dyDescent="0.2">
      <c r="A360" s="2">
        <f t="shared" si="235"/>
        <v>10412014</v>
      </c>
      <c r="B360" s="1">
        <v>10000412</v>
      </c>
      <c r="C360" s="1" t="s">
        <v>281</v>
      </c>
      <c r="D360" s="1" t="s">
        <v>309</v>
      </c>
      <c r="E360" s="1" t="str">
        <f>"Persona_"&amp;_xlfn.XLOOKUP($B360, '#캐릭터'!$A:$A, '#캐릭터'!$C:$C)</f>
        <v>Persona_c412</v>
      </c>
      <c r="F360" s="1"/>
      <c r="G360" s="1">
        <f>_xlfn.XLOOKUP(_xlfn.XLOOKUP(B360,'[1]Detail&lt;Child&gt;'!$A:$A,'[1]Detail&lt;Child&gt;'!$N:$N),'#참조'!P:P,'#참조'!Q:Q)</f>
        <v>5</v>
      </c>
      <c r="H360" s="1">
        <f>_xlfn.XLOOKUP(_xlfn.XLOOKUP(B360,'[1]Detail&lt;Child&gt;'!$A:$A,'[1]Detail&lt;Child&gt;'!$O:$O),'#참조'!R:R,'#참조'!S:S)</f>
        <v>1</v>
      </c>
      <c r="I360" s="1">
        <v>4</v>
      </c>
      <c r="J360" s="2">
        <v>3</v>
      </c>
      <c r="K360" s="2">
        <v>5</v>
      </c>
      <c r="L360" s="2">
        <v>14</v>
      </c>
      <c r="M360" s="2" t="s">
        <v>18</v>
      </c>
      <c r="N360" s="2" t="s">
        <v>407</v>
      </c>
      <c r="O360" s="2">
        <f t="shared" si="254"/>
        <v>6906</v>
      </c>
      <c r="P360" s="2" t="s">
        <v>194</v>
      </c>
      <c r="Q360" s="2" t="str">
        <f t="shared" si="236"/>
        <v>30290,36300</v>
      </c>
      <c r="R360" s="2">
        <f t="shared" si="255"/>
        <v>30290</v>
      </c>
      <c r="S360" s="2">
        <f t="shared" si="251"/>
        <v>36300</v>
      </c>
      <c r="T360" s="2" t="s">
        <v>195</v>
      </c>
      <c r="U360" s="2" t="str">
        <f t="shared" si="237"/>
        <v>1074,1300</v>
      </c>
      <c r="V360" s="2">
        <f t="shared" si="256"/>
        <v>1074</v>
      </c>
      <c r="W360" s="2">
        <f t="shared" si="252"/>
        <v>1300</v>
      </c>
      <c r="X360" s="2" t="s">
        <v>196</v>
      </c>
      <c r="Y360" s="2" t="str">
        <f t="shared" si="238"/>
        <v>2428,2900</v>
      </c>
      <c r="Z360" s="2">
        <f t="shared" si="257"/>
        <v>2428</v>
      </c>
      <c r="AA360" s="2">
        <f t="shared" si="253"/>
        <v>2900</v>
      </c>
      <c r="AB360" s="2">
        <v>80000</v>
      </c>
      <c r="AC360" s="2" t="str">
        <f>_xlfn.XLOOKUP(B360,'#캐릭터'!A:A,'#캐릭터'!B:B)</f>
        <v>카인</v>
      </c>
      <c r="AD360" s="2" t="str">
        <f t="shared" si="250"/>
        <v>Epic2_카인</v>
      </c>
      <c r="AE360" s="2">
        <f t="shared" si="239"/>
        <v>5104</v>
      </c>
    </row>
    <row r="361" spans="1:31" x14ac:dyDescent="0.2">
      <c r="A361" s="2">
        <f t="shared" si="235"/>
        <v>10412015</v>
      </c>
      <c r="B361" s="1">
        <v>10000412</v>
      </c>
      <c r="C361" s="1" t="s">
        <v>281</v>
      </c>
      <c r="D361" s="1" t="s">
        <v>309</v>
      </c>
      <c r="E361" s="1" t="str">
        <f>"Persona_"&amp;_xlfn.XLOOKUP($B361, '#캐릭터'!$A:$A, '#캐릭터'!$C:$C)</f>
        <v>Persona_c412</v>
      </c>
      <c r="F361" s="1"/>
      <c r="G361" s="1">
        <f>_xlfn.XLOOKUP(_xlfn.XLOOKUP(B361,'[1]Detail&lt;Child&gt;'!$A:$A,'[1]Detail&lt;Child&gt;'!$N:$N),'#참조'!P:P,'#참조'!Q:Q)</f>
        <v>5</v>
      </c>
      <c r="H361" s="1">
        <f>_xlfn.XLOOKUP(_xlfn.XLOOKUP(B361,'[1]Detail&lt;Child&gt;'!$A:$A,'[1]Detail&lt;Child&gt;'!$O:$O),'#참조'!R:R,'#참조'!S:S)</f>
        <v>1</v>
      </c>
      <c r="I361" s="1">
        <v>5</v>
      </c>
      <c r="J361" s="2">
        <v>3</v>
      </c>
      <c r="K361" s="2">
        <v>5</v>
      </c>
      <c r="L361" s="2">
        <v>15</v>
      </c>
      <c r="M361" s="2" t="s">
        <v>19</v>
      </c>
      <c r="N361" s="2" t="s">
        <v>407</v>
      </c>
      <c r="O361" s="2">
        <f t="shared" si="254"/>
        <v>7597</v>
      </c>
      <c r="P361" s="2" t="s">
        <v>194</v>
      </c>
      <c r="Q361" s="2" t="str">
        <f t="shared" si="236"/>
        <v>39377,47300</v>
      </c>
      <c r="R361" s="2">
        <f t="shared" si="255"/>
        <v>39377</v>
      </c>
      <c r="S361" s="2">
        <f t="shared" si="251"/>
        <v>47300</v>
      </c>
      <c r="T361" s="2" t="s">
        <v>195</v>
      </c>
      <c r="U361" s="2" t="str">
        <f t="shared" si="237"/>
        <v>1289,1500</v>
      </c>
      <c r="V361" s="2">
        <f t="shared" si="256"/>
        <v>1289</v>
      </c>
      <c r="W361" s="2">
        <f t="shared" si="252"/>
        <v>1500</v>
      </c>
      <c r="X361" s="2" t="s">
        <v>196</v>
      </c>
      <c r="Y361" s="2" t="str">
        <f t="shared" si="238"/>
        <v>3156,3800</v>
      </c>
      <c r="Z361" s="2">
        <f t="shared" si="257"/>
        <v>3156</v>
      </c>
      <c r="AA361" s="2">
        <f t="shared" si="253"/>
        <v>3800</v>
      </c>
      <c r="AB361" s="2">
        <v>80000</v>
      </c>
      <c r="AC361" s="2" t="str">
        <f>_xlfn.XLOOKUP(B361,'#캐릭터'!A:A,'#캐릭터'!B:B)</f>
        <v>카인</v>
      </c>
      <c r="AD361" s="2" t="str">
        <f t="shared" si="250"/>
        <v>Epic3_카인</v>
      </c>
      <c r="AE361" s="2">
        <f t="shared" si="239"/>
        <v>5105</v>
      </c>
    </row>
    <row r="362" spans="1:31" x14ac:dyDescent="0.2">
      <c r="A362" s="2">
        <f t="shared" si="235"/>
        <v>10412016</v>
      </c>
      <c r="B362" s="1">
        <v>10000412</v>
      </c>
      <c r="C362" s="1" t="s">
        <v>281</v>
      </c>
      <c r="D362" s="1" t="s">
        <v>309</v>
      </c>
      <c r="E362" s="1" t="str">
        <f>"Persona_"&amp;_xlfn.XLOOKUP($B362, '#캐릭터'!$A:$A, '#캐릭터'!$C:$C)</f>
        <v>Persona_c412</v>
      </c>
      <c r="F362" s="1"/>
      <c r="G362" s="1">
        <f>_xlfn.XLOOKUP(_xlfn.XLOOKUP(B362,'[1]Detail&lt;Child&gt;'!$A:$A,'[1]Detail&lt;Child&gt;'!$N:$N),'#참조'!P:P,'#참조'!Q:Q)</f>
        <v>5</v>
      </c>
      <c r="H362" s="1">
        <f>_xlfn.XLOOKUP(_xlfn.XLOOKUP(B362,'[1]Detail&lt;Child&gt;'!$A:$A,'[1]Detail&lt;Child&gt;'!$O:$O),'#참조'!R:R,'#참조'!S:S)</f>
        <v>1</v>
      </c>
      <c r="I362" s="1">
        <v>5</v>
      </c>
      <c r="J362" s="2">
        <v>3</v>
      </c>
      <c r="K362" s="2">
        <v>6</v>
      </c>
      <c r="L362" s="2">
        <v>16</v>
      </c>
      <c r="M362" s="2" t="s">
        <v>20</v>
      </c>
      <c r="N362" s="2" t="s">
        <v>407</v>
      </c>
      <c r="O362" s="2">
        <f t="shared" si="254"/>
        <v>8357</v>
      </c>
      <c r="P362" s="2" t="s">
        <v>194</v>
      </c>
      <c r="Q362" s="2" t="str">
        <f t="shared" si="236"/>
        <v>51190,61400</v>
      </c>
      <c r="R362" s="2">
        <f t="shared" si="255"/>
        <v>51190</v>
      </c>
      <c r="S362" s="2">
        <f t="shared" si="251"/>
        <v>61400</v>
      </c>
      <c r="T362" s="2" t="s">
        <v>195</v>
      </c>
      <c r="U362" s="2" t="str">
        <f t="shared" si="237"/>
        <v>1547,1900</v>
      </c>
      <c r="V362" s="2">
        <f t="shared" si="256"/>
        <v>1547</v>
      </c>
      <c r="W362" s="2">
        <f t="shared" si="252"/>
        <v>1900</v>
      </c>
      <c r="X362" s="2" t="s">
        <v>196</v>
      </c>
      <c r="Y362" s="2" t="str">
        <f t="shared" si="238"/>
        <v>4103,4900</v>
      </c>
      <c r="Z362" s="2">
        <f t="shared" si="257"/>
        <v>4103</v>
      </c>
      <c r="AA362" s="2">
        <f t="shared" si="253"/>
        <v>4900</v>
      </c>
      <c r="AB362" s="2">
        <v>75000</v>
      </c>
      <c r="AC362" s="2" t="str">
        <f>_xlfn.XLOOKUP(B362,'#캐릭터'!A:A,'#캐릭터'!B:B)</f>
        <v>카인</v>
      </c>
      <c r="AD362" s="2" t="str">
        <f t="shared" si="250"/>
        <v>Legendary1_카인</v>
      </c>
      <c r="AE362" s="2">
        <f t="shared" si="239"/>
        <v>5105</v>
      </c>
    </row>
    <row r="363" spans="1:31" x14ac:dyDescent="0.2">
      <c r="A363" s="2">
        <f t="shared" si="235"/>
        <v>10412017</v>
      </c>
      <c r="B363" s="1">
        <v>10000412</v>
      </c>
      <c r="C363" s="1" t="s">
        <v>281</v>
      </c>
      <c r="D363" s="1" t="s">
        <v>309</v>
      </c>
      <c r="E363" s="1" t="str">
        <f>"Persona_"&amp;_xlfn.XLOOKUP($B363, '#캐릭터'!$A:$A, '#캐릭터'!$C:$C)</f>
        <v>Persona_c412</v>
      </c>
      <c r="F363" s="1"/>
      <c r="G363" s="1">
        <f>_xlfn.XLOOKUP(_xlfn.XLOOKUP(B363,'[1]Detail&lt;Child&gt;'!$A:$A,'[1]Detail&lt;Child&gt;'!$N:$N),'#참조'!P:P,'#참조'!Q:Q)</f>
        <v>5</v>
      </c>
      <c r="H363" s="1">
        <f>_xlfn.XLOOKUP(_xlfn.XLOOKUP(B363,'[1]Detail&lt;Child&gt;'!$A:$A,'[1]Detail&lt;Child&gt;'!$O:$O),'#참조'!R:R,'#참조'!S:S)</f>
        <v>1</v>
      </c>
      <c r="I363" s="1">
        <v>6</v>
      </c>
      <c r="J363" s="2">
        <v>3</v>
      </c>
      <c r="K363" s="2">
        <v>6</v>
      </c>
      <c r="L363" s="2">
        <v>17</v>
      </c>
      <c r="M363" s="2" t="s">
        <v>21</v>
      </c>
      <c r="N363" s="2" t="s">
        <v>407</v>
      </c>
      <c r="O363" s="2">
        <f t="shared" si="254"/>
        <v>9193</v>
      </c>
      <c r="P363" s="2" t="s">
        <v>194</v>
      </c>
      <c r="Q363" s="2" t="str">
        <f t="shared" si="236"/>
        <v>66547,79900</v>
      </c>
      <c r="R363" s="2">
        <f t="shared" si="255"/>
        <v>66547</v>
      </c>
      <c r="S363" s="2">
        <f t="shared" si="251"/>
        <v>79900</v>
      </c>
      <c r="T363" s="2" t="s">
        <v>195</v>
      </c>
      <c r="U363" s="2" t="str">
        <f t="shared" si="237"/>
        <v>1856,2200</v>
      </c>
      <c r="V363" s="2">
        <f t="shared" si="256"/>
        <v>1856</v>
      </c>
      <c r="W363" s="2">
        <f t="shared" si="252"/>
        <v>2200</v>
      </c>
      <c r="X363" s="2" t="s">
        <v>196</v>
      </c>
      <c r="Y363" s="2" t="str">
        <f t="shared" si="238"/>
        <v>5334,6400</v>
      </c>
      <c r="Z363" s="2">
        <f t="shared" si="257"/>
        <v>5334</v>
      </c>
      <c r="AA363" s="2">
        <f t="shared" si="253"/>
        <v>6400</v>
      </c>
      <c r="AB363" s="2">
        <v>75000</v>
      </c>
      <c r="AC363" s="2" t="str">
        <f>_xlfn.XLOOKUP(B363,'#캐릭터'!A:A,'#캐릭터'!B:B)</f>
        <v>카인</v>
      </c>
      <c r="AD363" s="2" t="str">
        <f t="shared" si="250"/>
        <v>Legendary2_카인</v>
      </c>
      <c r="AE363" s="2">
        <f t="shared" si="239"/>
        <v>5106</v>
      </c>
    </row>
    <row r="364" spans="1:31" x14ac:dyDescent="0.2">
      <c r="A364" s="2">
        <f t="shared" si="235"/>
        <v>10412018</v>
      </c>
      <c r="B364" s="1">
        <v>10000412</v>
      </c>
      <c r="C364" s="1" t="s">
        <v>281</v>
      </c>
      <c r="D364" s="1" t="s">
        <v>309</v>
      </c>
      <c r="E364" s="1" t="str">
        <f>"Persona_"&amp;_xlfn.XLOOKUP($B364, '#캐릭터'!$A:$A, '#캐릭터'!$C:$C)</f>
        <v>Persona_c412</v>
      </c>
      <c r="F364" s="1"/>
      <c r="G364" s="1">
        <f>_xlfn.XLOOKUP(_xlfn.XLOOKUP(B364,'[1]Detail&lt;Child&gt;'!$A:$A,'[1]Detail&lt;Child&gt;'!$N:$N),'#참조'!P:P,'#참조'!Q:Q)</f>
        <v>5</v>
      </c>
      <c r="H364" s="1">
        <f>_xlfn.XLOOKUP(_xlfn.XLOOKUP(B364,'[1]Detail&lt;Child&gt;'!$A:$A,'[1]Detail&lt;Child&gt;'!$O:$O),'#참조'!R:R,'#참조'!S:S)</f>
        <v>1</v>
      </c>
      <c r="I364" s="1">
        <v>6</v>
      </c>
      <c r="J364" s="2">
        <v>3</v>
      </c>
      <c r="K364" s="2">
        <v>6</v>
      </c>
      <c r="L364" s="2">
        <v>18</v>
      </c>
      <c r="M364" s="2" t="s">
        <v>22</v>
      </c>
      <c r="N364" s="2" t="s">
        <v>407</v>
      </c>
      <c r="O364" s="2">
        <f t="shared" si="254"/>
        <v>10112</v>
      </c>
      <c r="P364" s="2" t="s">
        <v>194</v>
      </c>
      <c r="Q364" s="2" t="str">
        <f t="shared" si="236"/>
        <v>86511,103800</v>
      </c>
      <c r="R364" s="2">
        <f t="shared" si="255"/>
        <v>86511</v>
      </c>
      <c r="S364" s="2">
        <f t="shared" si="251"/>
        <v>103800</v>
      </c>
      <c r="T364" s="2" t="s">
        <v>195</v>
      </c>
      <c r="U364" s="2" t="str">
        <f t="shared" si="237"/>
        <v>2227,2700</v>
      </c>
      <c r="V364" s="2">
        <f t="shared" si="256"/>
        <v>2227</v>
      </c>
      <c r="W364" s="2">
        <f t="shared" si="252"/>
        <v>2700</v>
      </c>
      <c r="X364" s="2" t="s">
        <v>196</v>
      </c>
      <c r="Y364" s="2" t="str">
        <f t="shared" si="238"/>
        <v>6934,8300</v>
      </c>
      <c r="Z364" s="2">
        <f t="shared" si="257"/>
        <v>6934</v>
      </c>
      <c r="AA364" s="2">
        <f t="shared" si="253"/>
        <v>8300</v>
      </c>
      <c r="AB364" s="2">
        <v>75000</v>
      </c>
      <c r="AC364" s="2" t="str">
        <f>_xlfn.XLOOKUP(B364,'#캐릭터'!A:A,'#캐릭터'!B:B)</f>
        <v>카인</v>
      </c>
      <c r="AD364" s="2" t="str">
        <f t="shared" si="250"/>
        <v>Legendary3_카인</v>
      </c>
      <c r="AE364" s="2">
        <f t="shared" si="239"/>
        <v>5106</v>
      </c>
    </row>
    <row r="365" spans="1:31" x14ac:dyDescent="0.2">
      <c r="A365" s="2">
        <f t="shared" si="235"/>
        <v>10156000</v>
      </c>
      <c r="B365" s="1">
        <v>10000156</v>
      </c>
      <c r="C365" s="1" t="s">
        <v>281</v>
      </c>
      <c r="D365" s="1" t="s">
        <v>309</v>
      </c>
      <c r="E365" s="1" t="str">
        <f>"Persona_"&amp;_xlfn.XLOOKUP($B365, '#캐릭터'!$A:$A, '#캐릭터'!$C:$C)</f>
        <v>Persona_c156</v>
      </c>
      <c r="F365" s="1"/>
      <c r="G365" s="1">
        <f>_xlfn.XLOOKUP(_xlfn.XLOOKUP(B365,'[1]Detail&lt;Child&gt;'!$A:$A,'[1]Detail&lt;Child&gt;'!$N:$N),'#참조'!P:P,'#참조'!Q:Q)</f>
        <v>5</v>
      </c>
      <c r="H365" s="1">
        <f>_xlfn.XLOOKUP(_xlfn.XLOOKUP(B365,'[1]Detail&lt;Child&gt;'!$A:$A,'[1]Detail&lt;Child&gt;'!$O:$O),'#참조'!R:R,'#참조'!S:S)</f>
        <v>1</v>
      </c>
      <c r="I365" s="1">
        <v>0</v>
      </c>
      <c r="J365" s="2">
        <v>3</v>
      </c>
      <c r="K365" s="2">
        <v>0</v>
      </c>
      <c r="L365" s="2">
        <v>0</v>
      </c>
      <c r="M365" s="2" t="s">
        <v>31</v>
      </c>
      <c r="N365" s="2" t="s">
        <v>407</v>
      </c>
      <c r="O365" s="2">
        <v>0</v>
      </c>
      <c r="P365" s="2" t="s">
        <v>194</v>
      </c>
      <c r="Q365" s="2" t="str">
        <f t="shared" si="236"/>
        <v>1000,1000</v>
      </c>
      <c r="R365" s="2">
        <v>1000</v>
      </c>
      <c r="S365" s="2">
        <f t="shared" ref="S365" si="268">R365</f>
        <v>1000</v>
      </c>
      <c r="T365" s="2" t="s">
        <v>195</v>
      </c>
      <c r="U365" s="2" t="str">
        <f t="shared" si="237"/>
        <v>100,100</v>
      </c>
      <c r="V365" s="2">
        <v>100</v>
      </c>
      <c r="W365" s="2">
        <f t="shared" ref="W365" si="269">V365</f>
        <v>100</v>
      </c>
      <c r="X365" s="2" t="s">
        <v>196</v>
      </c>
      <c r="Y365" s="2" t="str">
        <f t="shared" si="238"/>
        <v>80,80</v>
      </c>
      <c r="Z365" s="2">
        <v>80</v>
      </c>
      <c r="AA365" s="2">
        <f t="shared" ref="AA365" si="270">Z365</f>
        <v>80</v>
      </c>
      <c r="AB365" s="2">
        <v>100000</v>
      </c>
      <c r="AC365" s="2" t="str">
        <f>_xlfn.XLOOKUP(B365,'#캐릭터'!A:A,'#캐릭터'!B:B)</f>
        <v>에르제베트</v>
      </c>
      <c r="AD365" s="2" t="str">
        <f t="shared" si="250"/>
        <v>Default_에르제베트</v>
      </c>
      <c r="AE365" s="2">
        <f t="shared" si="239"/>
        <v>0</v>
      </c>
    </row>
    <row r="366" spans="1:31" x14ac:dyDescent="0.2">
      <c r="A366" s="2">
        <f t="shared" si="235"/>
        <v>10156001</v>
      </c>
      <c r="B366" s="1">
        <v>10000156</v>
      </c>
      <c r="C366" s="1" t="s">
        <v>281</v>
      </c>
      <c r="D366" s="1" t="s">
        <v>309</v>
      </c>
      <c r="E366" s="1" t="str">
        <f>"Persona_"&amp;_xlfn.XLOOKUP($B366, '#캐릭터'!$A:$A, '#캐릭터'!$C:$C)</f>
        <v>Persona_c156</v>
      </c>
      <c r="F366" s="1"/>
      <c r="G366" s="1">
        <f>_xlfn.XLOOKUP(_xlfn.XLOOKUP(B366,'[1]Detail&lt;Child&gt;'!$A:$A,'[1]Detail&lt;Child&gt;'!$N:$N),'#참조'!P:P,'#참조'!Q:Q)</f>
        <v>5</v>
      </c>
      <c r="H366" s="1">
        <f>_xlfn.XLOOKUP(_xlfn.XLOOKUP(B366,'[1]Detail&lt;Child&gt;'!$A:$A,'[1]Detail&lt;Child&gt;'!$O:$O),'#참조'!R:R,'#참조'!S:S)</f>
        <v>1</v>
      </c>
      <c r="I366" s="1">
        <v>0</v>
      </c>
      <c r="J366" s="2">
        <v>3</v>
      </c>
      <c r="K366" s="2">
        <v>1</v>
      </c>
      <c r="L366" s="2">
        <v>1</v>
      </c>
      <c r="M366" s="2" t="s">
        <v>5</v>
      </c>
      <c r="N366" s="2" t="s">
        <v>407</v>
      </c>
      <c r="O366" s="2">
        <v>2000</v>
      </c>
      <c r="P366" s="2" t="s">
        <v>194</v>
      </c>
      <c r="Q366" s="2" t="str">
        <f t="shared" si="236"/>
        <v>1000,1200</v>
      </c>
      <c r="R366" s="2">
        <v>1000</v>
      </c>
      <c r="S366" s="2">
        <f t="shared" ref="S366" si="271">ROUND(R366*1.2, -2)</f>
        <v>1200</v>
      </c>
      <c r="T366" s="2" t="s">
        <v>195</v>
      </c>
      <c r="U366" s="2" t="str">
        <f t="shared" si="237"/>
        <v>100,100</v>
      </c>
      <c r="V366" s="2">
        <v>100</v>
      </c>
      <c r="W366" s="2">
        <f t="shared" ref="W366" si="272">ROUND(V366*1.2, -2)</f>
        <v>100</v>
      </c>
      <c r="X366" s="2" t="s">
        <v>196</v>
      </c>
      <c r="Y366" s="2" t="str">
        <f t="shared" si="238"/>
        <v>80,100</v>
      </c>
      <c r="Z366" s="2">
        <v>80</v>
      </c>
      <c r="AA366" s="2">
        <f t="shared" ref="AA366" si="273">ROUND(Z366*1.2, -2)</f>
        <v>100</v>
      </c>
      <c r="AB366" s="2">
        <v>100000</v>
      </c>
      <c r="AC366" s="2" t="str">
        <f>_xlfn.XLOOKUP(B366,'#캐릭터'!A:A,'#캐릭터'!B:B)</f>
        <v>에르제베트</v>
      </c>
      <c r="AD366" s="2" t="str">
        <f t="shared" si="250"/>
        <v>Common1_에르제베트</v>
      </c>
      <c r="AE366" s="2">
        <f t="shared" si="239"/>
        <v>0</v>
      </c>
    </row>
    <row r="367" spans="1:31" x14ac:dyDescent="0.2">
      <c r="A367" s="2">
        <f t="shared" si="235"/>
        <v>10156002</v>
      </c>
      <c r="B367" s="1">
        <v>10000156</v>
      </c>
      <c r="C367" s="1" t="s">
        <v>281</v>
      </c>
      <c r="D367" s="1" t="s">
        <v>309</v>
      </c>
      <c r="E367" s="1" t="str">
        <f>"Persona_"&amp;_xlfn.XLOOKUP($B367, '#캐릭터'!$A:$A, '#캐릭터'!$C:$C)</f>
        <v>Persona_c156</v>
      </c>
      <c r="F367" s="1"/>
      <c r="G367" s="1">
        <f>_xlfn.XLOOKUP(_xlfn.XLOOKUP(B367,'[1]Detail&lt;Child&gt;'!$A:$A,'[1]Detail&lt;Child&gt;'!$N:$N),'#참조'!P:P,'#참조'!Q:Q)</f>
        <v>5</v>
      </c>
      <c r="H367" s="1">
        <f>_xlfn.XLOOKUP(_xlfn.XLOOKUP(B367,'[1]Detail&lt;Child&gt;'!$A:$A,'[1]Detail&lt;Child&gt;'!$O:$O),'#참조'!R:R,'#참조'!S:S)</f>
        <v>1</v>
      </c>
      <c r="I367" s="1">
        <v>0</v>
      </c>
      <c r="J367" s="2">
        <v>3</v>
      </c>
      <c r="K367" s="2">
        <v>1</v>
      </c>
      <c r="L367" s="2">
        <v>2</v>
      </c>
      <c r="M367" s="2" t="s">
        <v>6</v>
      </c>
      <c r="N367" s="2" t="s">
        <v>407</v>
      </c>
      <c r="O367" s="2">
        <f t="shared" ref="O367" si="274">ROUND(O366*1.1, 0)</f>
        <v>2200</v>
      </c>
      <c r="P367" s="2" t="s">
        <v>194</v>
      </c>
      <c r="Q367" s="2" t="str">
        <f t="shared" si="236"/>
        <v>1300,1600</v>
      </c>
      <c r="R367" s="2">
        <f t="shared" ref="R367" si="275">ROUND(R366*1.3, 0)</f>
        <v>1300</v>
      </c>
      <c r="S367" s="2">
        <f t="shared" si="251"/>
        <v>1600</v>
      </c>
      <c r="T367" s="2" t="s">
        <v>195</v>
      </c>
      <c r="U367" s="2" t="str">
        <f t="shared" si="237"/>
        <v>120,100</v>
      </c>
      <c r="V367" s="2">
        <f t="shared" ref="V367" si="276">ROUND(V366*1.2, 0)</f>
        <v>120</v>
      </c>
      <c r="W367" s="2">
        <f t="shared" si="252"/>
        <v>100</v>
      </c>
      <c r="X367" s="2" t="s">
        <v>196</v>
      </c>
      <c r="Y367" s="2" t="str">
        <f t="shared" si="238"/>
        <v>104,100</v>
      </c>
      <c r="Z367" s="2">
        <f t="shared" ref="Z367" si="277">ROUND(Z366*1.3, 0)</f>
        <v>104</v>
      </c>
      <c r="AA367" s="2">
        <f t="shared" si="253"/>
        <v>100</v>
      </c>
      <c r="AB367" s="2">
        <v>100000</v>
      </c>
      <c r="AC367" s="2" t="str">
        <f>_xlfn.XLOOKUP(B367,'#캐릭터'!A:A,'#캐릭터'!B:B)</f>
        <v>에르제베트</v>
      </c>
      <c r="AD367" s="2" t="str">
        <f t="shared" si="250"/>
        <v>Common2_에르제베트</v>
      </c>
      <c r="AE367" s="2">
        <f t="shared" si="239"/>
        <v>0</v>
      </c>
    </row>
    <row r="368" spans="1:31" x14ac:dyDescent="0.2">
      <c r="A368" s="2">
        <f t="shared" si="235"/>
        <v>10156003</v>
      </c>
      <c r="B368" s="1">
        <v>10000156</v>
      </c>
      <c r="C368" s="1" t="s">
        <v>281</v>
      </c>
      <c r="D368" s="1" t="s">
        <v>309</v>
      </c>
      <c r="E368" s="1" t="str">
        <f>"Persona_"&amp;_xlfn.XLOOKUP($B368, '#캐릭터'!$A:$A, '#캐릭터'!$C:$C)</f>
        <v>Persona_c156</v>
      </c>
      <c r="F368" s="1"/>
      <c r="G368" s="1">
        <f>_xlfn.XLOOKUP(_xlfn.XLOOKUP(B368,'[1]Detail&lt;Child&gt;'!$A:$A,'[1]Detail&lt;Child&gt;'!$N:$N),'#참조'!P:P,'#참조'!Q:Q)</f>
        <v>5</v>
      </c>
      <c r="H368" s="1">
        <f>_xlfn.XLOOKUP(_xlfn.XLOOKUP(B368,'[1]Detail&lt;Child&gt;'!$A:$A,'[1]Detail&lt;Child&gt;'!$O:$O),'#참조'!R:R,'#참조'!S:S)</f>
        <v>1</v>
      </c>
      <c r="I368" s="1">
        <v>0</v>
      </c>
      <c r="J368" s="2">
        <v>3</v>
      </c>
      <c r="K368" s="2">
        <v>1</v>
      </c>
      <c r="L368" s="2">
        <v>3</v>
      </c>
      <c r="M368" s="2" t="s">
        <v>7</v>
      </c>
      <c r="N368" s="2" t="s">
        <v>407</v>
      </c>
      <c r="O368" s="2">
        <f t="shared" si="254"/>
        <v>2420</v>
      </c>
      <c r="P368" s="2" t="s">
        <v>194</v>
      </c>
      <c r="Q368" s="2" t="str">
        <f t="shared" si="236"/>
        <v>1690,2000</v>
      </c>
      <c r="R368" s="2">
        <f t="shared" si="255"/>
        <v>1690</v>
      </c>
      <c r="S368" s="2">
        <f t="shared" si="251"/>
        <v>2000</v>
      </c>
      <c r="T368" s="2" t="s">
        <v>195</v>
      </c>
      <c r="U368" s="2" t="str">
        <f t="shared" si="237"/>
        <v>144,200</v>
      </c>
      <c r="V368" s="2">
        <f t="shared" si="256"/>
        <v>144</v>
      </c>
      <c r="W368" s="2">
        <f t="shared" si="252"/>
        <v>200</v>
      </c>
      <c r="X368" s="2" t="s">
        <v>196</v>
      </c>
      <c r="Y368" s="2" t="str">
        <f t="shared" si="238"/>
        <v>135,200</v>
      </c>
      <c r="Z368" s="2">
        <f t="shared" si="257"/>
        <v>135</v>
      </c>
      <c r="AA368" s="2">
        <f t="shared" si="253"/>
        <v>200</v>
      </c>
      <c r="AB368" s="2">
        <v>100000</v>
      </c>
      <c r="AC368" s="2" t="str">
        <f>_xlfn.XLOOKUP(B368,'#캐릭터'!A:A,'#캐릭터'!B:B)</f>
        <v>에르제베트</v>
      </c>
      <c r="AD368" s="2" t="str">
        <f t="shared" si="250"/>
        <v>Common3_에르제베트</v>
      </c>
      <c r="AE368" s="2">
        <f t="shared" si="239"/>
        <v>0</v>
      </c>
    </row>
    <row r="369" spans="1:31" x14ac:dyDescent="0.2">
      <c r="A369" s="2">
        <f t="shared" si="235"/>
        <v>10156004</v>
      </c>
      <c r="B369" s="1">
        <v>10000156</v>
      </c>
      <c r="C369" s="1" t="s">
        <v>281</v>
      </c>
      <c r="D369" s="1" t="s">
        <v>309</v>
      </c>
      <c r="E369" s="1" t="str">
        <f>"Persona_"&amp;_xlfn.XLOOKUP($B369, '#캐릭터'!$A:$A, '#캐릭터'!$C:$C)</f>
        <v>Persona_c156</v>
      </c>
      <c r="F369" s="1"/>
      <c r="G369" s="1">
        <f>_xlfn.XLOOKUP(_xlfn.XLOOKUP(B369,'[1]Detail&lt;Child&gt;'!$A:$A,'[1]Detail&lt;Child&gt;'!$N:$N),'#참조'!P:P,'#참조'!Q:Q)</f>
        <v>5</v>
      </c>
      <c r="H369" s="1">
        <f>_xlfn.XLOOKUP(_xlfn.XLOOKUP(B369,'[1]Detail&lt;Child&gt;'!$A:$A,'[1]Detail&lt;Child&gt;'!$O:$O),'#참조'!R:R,'#참조'!S:S)</f>
        <v>1</v>
      </c>
      <c r="I369" s="1">
        <v>0</v>
      </c>
      <c r="J369" s="2">
        <v>3</v>
      </c>
      <c r="K369" s="2">
        <v>2</v>
      </c>
      <c r="L369" s="2">
        <v>4</v>
      </c>
      <c r="M369" s="2" t="s">
        <v>8</v>
      </c>
      <c r="N369" s="2" t="s">
        <v>407</v>
      </c>
      <c r="O369" s="2">
        <f t="shared" si="254"/>
        <v>2662</v>
      </c>
      <c r="P369" s="2" t="s">
        <v>194</v>
      </c>
      <c r="Q369" s="2" t="str">
        <f t="shared" si="236"/>
        <v>2197,2600</v>
      </c>
      <c r="R369" s="2">
        <f t="shared" si="255"/>
        <v>2197</v>
      </c>
      <c r="S369" s="2">
        <f t="shared" si="251"/>
        <v>2600</v>
      </c>
      <c r="T369" s="2" t="s">
        <v>195</v>
      </c>
      <c r="U369" s="2" t="str">
        <f t="shared" si="237"/>
        <v>173,200</v>
      </c>
      <c r="V369" s="2">
        <f t="shared" si="256"/>
        <v>173</v>
      </c>
      <c r="W369" s="2">
        <f t="shared" si="252"/>
        <v>200</v>
      </c>
      <c r="X369" s="2" t="s">
        <v>196</v>
      </c>
      <c r="Y369" s="2" t="str">
        <f t="shared" si="238"/>
        <v>176,200</v>
      </c>
      <c r="Z369" s="2">
        <f t="shared" si="257"/>
        <v>176</v>
      </c>
      <c r="AA369" s="2">
        <f t="shared" si="253"/>
        <v>200</v>
      </c>
      <c r="AB369" s="2">
        <v>95000</v>
      </c>
      <c r="AC369" s="2" t="str">
        <f>_xlfn.XLOOKUP(B369,'#캐릭터'!A:A,'#캐릭터'!B:B)</f>
        <v>에르제베트</v>
      </c>
      <c r="AD369" s="2" t="str">
        <f t="shared" si="250"/>
        <v>Uncommon1_에르제베트</v>
      </c>
      <c r="AE369" s="2">
        <f t="shared" si="239"/>
        <v>0</v>
      </c>
    </row>
    <row r="370" spans="1:31" x14ac:dyDescent="0.2">
      <c r="A370" s="2">
        <f t="shared" si="235"/>
        <v>10156005</v>
      </c>
      <c r="B370" s="1">
        <v>10000156</v>
      </c>
      <c r="C370" s="1" t="s">
        <v>281</v>
      </c>
      <c r="D370" s="1" t="s">
        <v>309</v>
      </c>
      <c r="E370" s="1" t="str">
        <f>"Persona_"&amp;_xlfn.XLOOKUP($B370, '#캐릭터'!$A:$A, '#캐릭터'!$C:$C)</f>
        <v>Persona_c156</v>
      </c>
      <c r="F370" s="1"/>
      <c r="G370" s="1">
        <f>_xlfn.XLOOKUP(_xlfn.XLOOKUP(B370,'[1]Detail&lt;Child&gt;'!$A:$A,'[1]Detail&lt;Child&gt;'!$N:$N),'#참조'!P:P,'#참조'!Q:Q)</f>
        <v>5</v>
      </c>
      <c r="H370" s="1">
        <f>_xlfn.XLOOKUP(_xlfn.XLOOKUP(B370,'[1]Detail&lt;Child&gt;'!$A:$A,'[1]Detail&lt;Child&gt;'!$O:$O),'#참조'!R:R,'#참조'!S:S)</f>
        <v>1</v>
      </c>
      <c r="I370" s="1">
        <v>0</v>
      </c>
      <c r="J370" s="2">
        <v>3</v>
      </c>
      <c r="K370" s="2">
        <v>2</v>
      </c>
      <c r="L370" s="2">
        <v>5</v>
      </c>
      <c r="M370" s="2" t="s">
        <v>9</v>
      </c>
      <c r="N370" s="2" t="s">
        <v>407</v>
      </c>
      <c r="O370" s="2">
        <f t="shared" si="254"/>
        <v>2928</v>
      </c>
      <c r="P370" s="2" t="s">
        <v>194</v>
      </c>
      <c r="Q370" s="2" t="str">
        <f t="shared" si="236"/>
        <v>2856,3400</v>
      </c>
      <c r="R370" s="2">
        <f t="shared" si="255"/>
        <v>2856</v>
      </c>
      <c r="S370" s="2">
        <f t="shared" si="251"/>
        <v>3400</v>
      </c>
      <c r="T370" s="2" t="s">
        <v>195</v>
      </c>
      <c r="U370" s="2" t="str">
        <f t="shared" si="237"/>
        <v>208,200</v>
      </c>
      <c r="V370" s="2">
        <f t="shared" si="256"/>
        <v>208</v>
      </c>
      <c r="W370" s="2">
        <f t="shared" si="252"/>
        <v>200</v>
      </c>
      <c r="X370" s="2" t="s">
        <v>196</v>
      </c>
      <c r="Y370" s="2" t="str">
        <f t="shared" si="238"/>
        <v>229,300</v>
      </c>
      <c r="Z370" s="2">
        <f t="shared" si="257"/>
        <v>229</v>
      </c>
      <c r="AA370" s="2">
        <f t="shared" si="253"/>
        <v>300</v>
      </c>
      <c r="AB370" s="2">
        <v>95000</v>
      </c>
      <c r="AC370" s="2" t="str">
        <f>_xlfn.XLOOKUP(B370,'#캐릭터'!A:A,'#캐릭터'!B:B)</f>
        <v>에르제베트</v>
      </c>
      <c r="AD370" s="2" t="str">
        <f t="shared" si="250"/>
        <v>Uncommon2_에르제베트</v>
      </c>
      <c r="AE370" s="2">
        <f t="shared" si="239"/>
        <v>0</v>
      </c>
    </row>
    <row r="371" spans="1:31" x14ac:dyDescent="0.2">
      <c r="A371" s="2">
        <f t="shared" si="235"/>
        <v>10156006</v>
      </c>
      <c r="B371" s="1">
        <v>10000156</v>
      </c>
      <c r="C371" s="1" t="s">
        <v>281</v>
      </c>
      <c r="D371" s="1" t="s">
        <v>309</v>
      </c>
      <c r="E371" s="1" t="str">
        <f>"Persona_"&amp;_xlfn.XLOOKUP($B371, '#캐릭터'!$A:$A, '#캐릭터'!$C:$C)</f>
        <v>Persona_c156</v>
      </c>
      <c r="F371" s="1"/>
      <c r="G371" s="1">
        <f>_xlfn.XLOOKUP(_xlfn.XLOOKUP(B371,'[1]Detail&lt;Child&gt;'!$A:$A,'[1]Detail&lt;Child&gt;'!$N:$N),'#참조'!P:P,'#참조'!Q:Q)</f>
        <v>5</v>
      </c>
      <c r="H371" s="1">
        <f>_xlfn.XLOOKUP(_xlfn.XLOOKUP(B371,'[1]Detail&lt;Child&gt;'!$A:$A,'[1]Detail&lt;Child&gt;'!$O:$O),'#참조'!R:R,'#참조'!S:S)</f>
        <v>1</v>
      </c>
      <c r="I371" s="1">
        <v>0</v>
      </c>
      <c r="J371" s="2">
        <v>3</v>
      </c>
      <c r="K371" s="2">
        <v>2</v>
      </c>
      <c r="L371" s="2">
        <v>6</v>
      </c>
      <c r="M371" s="2" t="s">
        <v>10</v>
      </c>
      <c r="N371" s="2" t="s">
        <v>407</v>
      </c>
      <c r="O371" s="2">
        <f t="shared" si="254"/>
        <v>3221</v>
      </c>
      <c r="P371" s="2" t="s">
        <v>194</v>
      </c>
      <c r="Q371" s="2" t="str">
        <f t="shared" si="236"/>
        <v>3713,4500</v>
      </c>
      <c r="R371" s="2">
        <f t="shared" si="255"/>
        <v>3713</v>
      </c>
      <c r="S371" s="2">
        <f t="shared" si="251"/>
        <v>4500</v>
      </c>
      <c r="T371" s="2" t="s">
        <v>195</v>
      </c>
      <c r="U371" s="2" t="str">
        <f t="shared" si="237"/>
        <v>250,300</v>
      </c>
      <c r="V371" s="2">
        <f t="shared" si="256"/>
        <v>250</v>
      </c>
      <c r="W371" s="2">
        <f t="shared" si="252"/>
        <v>300</v>
      </c>
      <c r="X371" s="2" t="s">
        <v>196</v>
      </c>
      <c r="Y371" s="2" t="str">
        <f t="shared" si="238"/>
        <v>298,400</v>
      </c>
      <c r="Z371" s="2">
        <f t="shared" si="257"/>
        <v>298</v>
      </c>
      <c r="AA371" s="2">
        <f t="shared" si="253"/>
        <v>400</v>
      </c>
      <c r="AB371" s="2">
        <v>95000</v>
      </c>
      <c r="AC371" s="2" t="str">
        <f>_xlfn.XLOOKUP(B371,'#캐릭터'!A:A,'#캐릭터'!B:B)</f>
        <v>에르제베트</v>
      </c>
      <c r="AD371" s="2" t="str">
        <f t="shared" si="250"/>
        <v>Uncommon3_에르제베트</v>
      </c>
      <c r="AE371" s="2">
        <f t="shared" si="239"/>
        <v>0</v>
      </c>
    </row>
    <row r="372" spans="1:31" x14ac:dyDescent="0.2">
      <c r="A372" s="2">
        <f t="shared" si="235"/>
        <v>10156007</v>
      </c>
      <c r="B372" s="1">
        <v>10000156</v>
      </c>
      <c r="C372" s="1" t="s">
        <v>281</v>
      </c>
      <c r="D372" s="1" t="s">
        <v>309</v>
      </c>
      <c r="E372" s="1" t="str">
        <f>"Persona_"&amp;_xlfn.XLOOKUP($B372, '#캐릭터'!$A:$A, '#캐릭터'!$C:$C)</f>
        <v>Persona_c156</v>
      </c>
      <c r="F372" s="1"/>
      <c r="G372" s="1">
        <f>_xlfn.XLOOKUP(_xlfn.XLOOKUP(B372,'[1]Detail&lt;Child&gt;'!$A:$A,'[1]Detail&lt;Child&gt;'!$N:$N),'#참조'!P:P,'#참조'!Q:Q)</f>
        <v>5</v>
      </c>
      <c r="H372" s="1">
        <f>_xlfn.XLOOKUP(_xlfn.XLOOKUP(B372,'[1]Detail&lt;Child&gt;'!$A:$A,'[1]Detail&lt;Child&gt;'!$O:$O),'#참조'!R:R,'#참조'!S:S)</f>
        <v>1</v>
      </c>
      <c r="I372" s="1">
        <v>1</v>
      </c>
      <c r="J372" s="2">
        <v>3</v>
      </c>
      <c r="K372" s="2">
        <v>3</v>
      </c>
      <c r="L372" s="2">
        <v>7</v>
      </c>
      <c r="M372" s="2" t="s">
        <v>11</v>
      </c>
      <c r="N372" s="2" t="s">
        <v>407</v>
      </c>
      <c r="O372" s="2">
        <f t="shared" si="254"/>
        <v>3543</v>
      </c>
      <c r="P372" s="2" t="s">
        <v>194</v>
      </c>
      <c r="Q372" s="2" t="str">
        <f t="shared" si="236"/>
        <v>4827,5800</v>
      </c>
      <c r="R372" s="2">
        <f t="shared" si="255"/>
        <v>4827</v>
      </c>
      <c r="S372" s="2">
        <f t="shared" si="251"/>
        <v>5800</v>
      </c>
      <c r="T372" s="2" t="s">
        <v>195</v>
      </c>
      <c r="U372" s="2" t="str">
        <f t="shared" si="237"/>
        <v>300,400</v>
      </c>
      <c r="V372" s="2">
        <f t="shared" si="256"/>
        <v>300</v>
      </c>
      <c r="W372" s="2">
        <f t="shared" si="252"/>
        <v>400</v>
      </c>
      <c r="X372" s="2" t="s">
        <v>196</v>
      </c>
      <c r="Y372" s="2" t="str">
        <f t="shared" si="238"/>
        <v>387,500</v>
      </c>
      <c r="Z372" s="2">
        <f t="shared" si="257"/>
        <v>387</v>
      </c>
      <c r="AA372" s="2">
        <f t="shared" si="253"/>
        <v>500</v>
      </c>
      <c r="AB372" s="2">
        <v>90000</v>
      </c>
      <c r="AC372" s="2" t="str">
        <f>_xlfn.XLOOKUP(B372,'#캐릭터'!A:A,'#캐릭터'!B:B)</f>
        <v>에르제베트</v>
      </c>
      <c r="AD372" s="2" t="str">
        <f t="shared" si="250"/>
        <v>Rare1_에르제베트</v>
      </c>
      <c r="AE372" s="2">
        <f t="shared" si="239"/>
        <v>5101</v>
      </c>
    </row>
    <row r="373" spans="1:31" x14ac:dyDescent="0.2">
      <c r="A373" s="2">
        <f t="shared" si="235"/>
        <v>10156008</v>
      </c>
      <c r="B373" s="1">
        <v>10000156</v>
      </c>
      <c r="C373" s="1" t="s">
        <v>281</v>
      </c>
      <c r="D373" s="1" t="s">
        <v>309</v>
      </c>
      <c r="E373" s="1" t="str">
        <f>"Persona_"&amp;_xlfn.XLOOKUP($B373, '#캐릭터'!$A:$A, '#캐릭터'!$C:$C)</f>
        <v>Persona_c156</v>
      </c>
      <c r="F373" s="1"/>
      <c r="G373" s="1">
        <f>_xlfn.XLOOKUP(_xlfn.XLOOKUP(B373,'[1]Detail&lt;Child&gt;'!$A:$A,'[1]Detail&lt;Child&gt;'!$N:$N),'#참조'!P:P,'#참조'!Q:Q)</f>
        <v>5</v>
      </c>
      <c r="H373" s="1">
        <f>_xlfn.XLOOKUP(_xlfn.XLOOKUP(B373,'[1]Detail&lt;Child&gt;'!$A:$A,'[1]Detail&lt;Child&gt;'!$O:$O),'#참조'!R:R,'#참조'!S:S)</f>
        <v>1</v>
      </c>
      <c r="I373" s="1">
        <v>1</v>
      </c>
      <c r="J373" s="2">
        <v>3</v>
      </c>
      <c r="K373" s="2">
        <v>3</v>
      </c>
      <c r="L373" s="2">
        <v>8</v>
      </c>
      <c r="M373" s="2" t="s">
        <v>12</v>
      </c>
      <c r="N373" s="2" t="s">
        <v>407</v>
      </c>
      <c r="O373" s="2">
        <f t="shared" si="254"/>
        <v>3897</v>
      </c>
      <c r="P373" s="2" t="s">
        <v>194</v>
      </c>
      <c r="Q373" s="2" t="str">
        <f t="shared" si="236"/>
        <v>6275,7500</v>
      </c>
      <c r="R373" s="2">
        <f t="shared" si="255"/>
        <v>6275</v>
      </c>
      <c r="S373" s="2">
        <f t="shared" si="251"/>
        <v>7500</v>
      </c>
      <c r="T373" s="2" t="s">
        <v>195</v>
      </c>
      <c r="U373" s="2" t="str">
        <f t="shared" si="237"/>
        <v>360,400</v>
      </c>
      <c r="V373" s="2">
        <f t="shared" si="256"/>
        <v>360</v>
      </c>
      <c r="W373" s="2">
        <f t="shared" si="252"/>
        <v>400</v>
      </c>
      <c r="X373" s="2" t="s">
        <v>196</v>
      </c>
      <c r="Y373" s="2" t="str">
        <f t="shared" si="238"/>
        <v>503,600</v>
      </c>
      <c r="Z373" s="2">
        <f t="shared" si="257"/>
        <v>503</v>
      </c>
      <c r="AA373" s="2">
        <f t="shared" si="253"/>
        <v>600</v>
      </c>
      <c r="AB373" s="2">
        <v>90000</v>
      </c>
      <c r="AC373" s="2" t="str">
        <f>_xlfn.XLOOKUP(B373,'#캐릭터'!A:A,'#캐릭터'!B:B)</f>
        <v>에르제베트</v>
      </c>
      <c r="AD373" s="2" t="str">
        <f t="shared" si="250"/>
        <v>Rare2_에르제베트</v>
      </c>
      <c r="AE373" s="2">
        <f t="shared" si="239"/>
        <v>5101</v>
      </c>
    </row>
    <row r="374" spans="1:31" x14ac:dyDescent="0.2">
      <c r="A374" s="2">
        <f t="shared" si="235"/>
        <v>10156009</v>
      </c>
      <c r="B374" s="1">
        <v>10000156</v>
      </c>
      <c r="C374" s="1" t="s">
        <v>281</v>
      </c>
      <c r="D374" s="1" t="s">
        <v>309</v>
      </c>
      <c r="E374" s="1" t="str">
        <f>"Persona_"&amp;_xlfn.XLOOKUP($B374, '#캐릭터'!$A:$A, '#캐릭터'!$C:$C)</f>
        <v>Persona_c156</v>
      </c>
      <c r="F374" s="1"/>
      <c r="G374" s="1">
        <f>_xlfn.XLOOKUP(_xlfn.XLOOKUP(B374,'[1]Detail&lt;Child&gt;'!$A:$A,'[1]Detail&lt;Child&gt;'!$N:$N),'#참조'!P:P,'#참조'!Q:Q)</f>
        <v>5</v>
      </c>
      <c r="H374" s="1">
        <f>_xlfn.XLOOKUP(_xlfn.XLOOKUP(B374,'[1]Detail&lt;Child&gt;'!$A:$A,'[1]Detail&lt;Child&gt;'!$O:$O),'#참조'!R:R,'#참조'!S:S)</f>
        <v>1</v>
      </c>
      <c r="I374" s="1">
        <v>2</v>
      </c>
      <c r="J374" s="2">
        <v>3</v>
      </c>
      <c r="K374" s="2">
        <v>3</v>
      </c>
      <c r="L374" s="2">
        <v>9</v>
      </c>
      <c r="M374" s="2" t="s">
        <v>13</v>
      </c>
      <c r="N374" s="2" t="s">
        <v>407</v>
      </c>
      <c r="O374" s="2">
        <f t="shared" si="254"/>
        <v>4287</v>
      </c>
      <c r="P374" s="2" t="s">
        <v>194</v>
      </c>
      <c r="Q374" s="2" t="str">
        <f t="shared" si="236"/>
        <v>8158,9800</v>
      </c>
      <c r="R374" s="2">
        <f t="shared" si="255"/>
        <v>8158</v>
      </c>
      <c r="S374" s="2">
        <f t="shared" si="251"/>
        <v>9800</v>
      </c>
      <c r="T374" s="2" t="s">
        <v>195</v>
      </c>
      <c r="U374" s="2" t="str">
        <f t="shared" si="237"/>
        <v>432,500</v>
      </c>
      <c r="V374" s="2">
        <f t="shared" si="256"/>
        <v>432</v>
      </c>
      <c r="W374" s="2">
        <f t="shared" si="252"/>
        <v>500</v>
      </c>
      <c r="X374" s="2" t="s">
        <v>196</v>
      </c>
      <c r="Y374" s="2" t="str">
        <f t="shared" si="238"/>
        <v>654,800</v>
      </c>
      <c r="Z374" s="2">
        <f t="shared" si="257"/>
        <v>654</v>
      </c>
      <c r="AA374" s="2">
        <f t="shared" si="253"/>
        <v>800</v>
      </c>
      <c r="AB374" s="2">
        <v>90000</v>
      </c>
      <c r="AC374" s="2" t="str">
        <f>_xlfn.XLOOKUP(B374,'#캐릭터'!A:A,'#캐릭터'!B:B)</f>
        <v>에르제베트</v>
      </c>
      <c r="AD374" s="2" t="str">
        <f t="shared" si="250"/>
        <v>Rare3_에르제베트</v>
      </c>
      <c r="AE374" s="2">
        <f t="shared" si="239"/>
        <v>5102</v>
      </c>
    </row>
    <row r="375" spans="1:31" x14ac:dyDescent="0.2">
      <c r="A375" s="2">
        <f t="shared" si="235"/>
        <v>10156010</v>
      </c>
      <c r="B375" s="1">
        <v>10000156</v>
      </c>
      <c r="C375" s="1" t="s">
        <v>281</v>
      </c>
      <c r="D375" s="1" t="s">
        <v>309</v>
      </c>
      <c r="E375" s="1" t="str">
        <f>"Persona_"&amp;_xlfn.XLOOKUP($B375, '#캐릭터'!$A:$A, '#캐릭터'!$C:$C)</f>
        <v>Persona_c156</v>
      </c>
      <c r="F375" s="1"/>
      <c r="G375" s="1">
        <f>_xlfn.XLOOKUP(_xlfn.XLOOKUP(B375,'[1]Detail&lt;Child&gt;'!$A:$A,'[1]Detail&lt;Child&gt;'!$N:$N),'#참조'!P:P,'#참조'!Q:Q)</f>
        <v>5</v>
      </c>
      <c r="H375" s="1">
        <f>_xlfn.XLOOKUP(_xlfn.XLOOKUP(B375,'[1]Detail&lt;Child&gt;'!$A:$A,'[1]Detail&lt;Child&gt;'!$O:$O),'#참조'!R:R,'#참조'!S:S)</f>
        <v>1</v>
      </c>
      <c r="I375" s="1">
        <v>2</v>
      </c>
      <c r="J375" s="2">
        <v>3</v>
      </c>
      <c r="K375" s="2">
        <v>4</v>
      </c>
      <c r="L375" s="2">
        <v>10</v>
      </c>
      <c r="M375" s="2" t="s">
        <v>14</v>
      </c>
      <c r="N375" s="2" t="s">
        <v>407</v>
      </c>
      <c r="O375" s="2">
        <f t="shared" si="254"/>
        <v>4716</v>
      </c>
      <c r="P375" s="2" t="s">
        <v>194</v>
      </c>
      <c r="Q375" s="2" t="str">
        <f t="shared" si="236"/>
        <v>10605,12700</v>
      </c>
      <c r="R375" s="2">
        <f t="shared" si="255"/>
        <v>10605</v>
      </c>
      <c r="S375" s="2">
        <f t="shared" si="251"/>
        <v>12700</v>
      </c>
      <c r="T375" s="2" t="s">
        <v>195</v>
      </c>
      <c r="U375" s="2" t="str">
        <f t="shared" si="237"/>
        <v>518,600</v>
      </c>
      <c r="V375" s="2">
        <f t="shared" si="256"/>
        <v>518</v>
      </c>
      <c r="W375" s="2">
        <f t="shared" si="252"/>
        <v>600</v>
      </c>
      <c r="X375" s="2" t="s">
        <v>196</v>
      </c>
      <c r="Y375" s="2" t="str">
        <f t="shared" si="238"/>
        <v>850,1000</v>
      </c>
      <c r="Z375" s="2">
        <f t="shared" si="257"/>
        <v>850</v>
      </c>
      <c r="AA375" s="2">
        <f t="shared" si="253"/>
        <v>1000</v>
      </c>
      <c r="AB375" s="2">
        <v>85000</v>
      </c>
      <c r="AC375" s="2" t="str">
        <f>_xlfn.XLOOKUP(B375,'#캐릭터'!A:A,'#캐릭터'!B:B)</f>
        <v>에르제베트</v>
      </c>
      <c r="AD375" s="2" t="str">
        <f t="shared" si="250"/>
        <v>Unique1_에르제베트</v>
      </c>
      <c r="AE375" s="2">
        <f t="shared" si="239"/>
        <v>5102</v>
      </c>
    </row>
    <row r="376" spans="1:31" x14ac:dyDescent="0.2">
      <c r="A376" s="2">
        <f t="shared" si="235"/>
        <v>10156011</v>
      </c>
      <c r="B376" s="1">
        <v>10000156</v>
      </c>
      <c r="C376" s="1" t="s">
        <v>281</v>
      </c>
      <c r="D376" s="1" t="s">
        <v>309</v>
      </c>
      <c r="E376" s="1" t="str">
        <f>"Persona_"&amp;_xlfn.XLOOKUP($B376, '#캐릭터'!$A:$A, '#캐릭터'!$C:$C)</f>
        <v>Persona_c156</v>
      </c>
      <c r="F376" s="1"/>
      <c r="G376" s="1">
        <f>_xlfn.XLOOKUP(_xlfn.XLOOKUP(B376,'[1]Detail&lt;Child&gt;'!$A:$A,'[1]Detail&lt;Child&gt;'!$N:$N),'#참조'!P:P,'#참조'!Q:Q)</f>
        <v>5</v>
      </c>
      <c r="H376" s="1">
        <f>_xlfn.XLOOKUP(_xlfn.XLOOKUP(B376,'[1]Detail&lt;Child&gt;'!$A:$A,'[1]Detail&lt;Child&gt;'!$O:$O),'#참조'!R:R,'#참조'!S:S)</f>
        <v>1</v>
      </c>
      <c r="I376" s="1">
        <v>3</v>
      </c>
      <c r="J376" s="2">
        <v>3</v>
      </c>
      <c r="K376" s="2">
        <v>4</v>
      </c>
      <c r="L376" s="2">
        <v>11</v>
      </c>
      <c r="M376" s="2" t="s">
        <v>15</v>
      </c>
      <c r="N376" s="2" t="s">
        <v>407</v>
      </c>
      <c r="O376" s="2">
        <f t="shared" si="254"/>
        <v>5188</v>
      </c>
      <c r="P376" s="2" t="s">
        <v>194</v>
      </c>
      <c r="Q376" s="2" t="str">
        <f t="shared" si="236"/>
        <v>13787,16500</v>
      </c>
      <c r="R376" s="2">
        <f t="shared" si="255"/>
        <v>13787</v>
      </c>
      <c r="S376" s="2">
        <f t="shared" si="251"/>
        <v>16500</v>
      </c>
      <c r="T376" s="2" t="s">
        <v>195</v>
      </c>
      <c r="U376" s="2" t="str">
        <f t="shared" si="237"/>
        <v>622,700</v>
      </c>
      <c r="V376" s="2">
        <f t="shared" si="256"/>
        <v>622</v>
      </c>
      <c r="W376" s="2">
        <f t="shared" si="252"/>
        <v>700</v>
      </c>
      <c r="X376" s="2" t="s">
        <v>196</v>
      </c>
      <c r="Y376" s="2" t="str">
        <f t="shared" si="238"/>
        <v>1105,1300</v>
      </c>
      <c r="Z376" s="2">
        <f t="shared" si="257"/>
        <v>1105</v>
      </c>
      <c r="AA376" s="2">
        <f t="shared" si="253"/>
        <v>1300</v>
      </c>
      <c r="AB376" s="2">
        <v>85000</v>
      </c>
      <c r="AC376" s="2" t="str">
        <f>_xlfn.XLOOKUP(B376,'#캐릭터'!A:A,'#캐릭터'!B:B)</f>
        <v>에르제베트</v>
      </c>
      <c r="AD376" s="2" t="str">
        <f t="shared" si="250"/>
        <v>Unique2_에르제베트</v>
      </c>
      <c r="AE376" s="2">
        <f t="shared" si="239"/>
        <v>5103</v>
      </c>
    </row>
    <row r="377" spans="1:31" x14ac:dyDescent="0.2">
      <c r="A377" s="2">
        <f t="shared" si="235"/>
        <v>10156012</v>
      </c>
      <c r="B377" s="1">
        <v>10000156</v>
      </c>
      <c r="C377" s="1" t="s">
        <v>281</v>
      </c>
      <c r="D377" s="1" t="s">
        <v>309</v>
      </c>
      <c r="E377" s="1" t="str">
        <f>"Persona_"&amp;_xlfn.XLOOKUP($B377, '#캐릭터'!$A:$A, '#캐릭터'!$C:$C)</f>
        <v>Persona_c156</v>
      </c>
      <c r="F377" s="1"/>
      <c r="G377" s="1">
        <f>_xlfn.XLOOKUP(_xlfn.XLOOKUP(B377,'[1]Detail&lt;Child&gt;'!$A:$A,'[1]Detail&lt;Child&gt;'!$N:$N),'#참조'!P:P,'#참조'!Q:Q)</f>
        <v>5</v>
      </c>
      <c r="H377" s="1">
        <f>_xlfn.XLOOKUP(_xlfn.XLOOKUP(B377,'[1]Detail&lt;Child&gt;'!$A:$A,'[1]Detail&lt;Child&gt;'!$O:$O),'#참조'!R:R,'#참조'!S:S)</f>
        <v>1</v>
      </c>
      <c r="I377" s="1">
        <v>3</v>
      </c>
      <c r="J377" s="2">
        <v>3</v>
      </c>
      <c r="K377" s="2">
        <v>4</v>
      </c>
      <c r="L377" s="2">
        <v>12</v>
      </c>
      <c r="M377" s="2" t="s">
        <v>16</v>
      </c>
      <c r="N377" s="2" t="s">
        <v>407</v>
      </c>
      <c r="O377" s="2">
        <f t="shared" si="254"/>
        <v>5707</v>
      </c>
      <c r="P377" s="2" t="s">
        <v>194</v>
      </c>
      <c r="Q377" s="2" t="str">
        <f t="shared" si="236"/>
        <v>17923,21500</v>
      </c>
      <c r="R377" s="2">
        <f t="shared" si="255"/>
        <v>17923</v>
      </c>
      <c r="S377" s="2">
        <f t="shared" si="251"/>
        <v>21500</v>
      </c>
      <c r="T377" s="2" t="s">
        <v>195</v>
      </c>
      <c r="U377" s="2" t="str">
        <f t="shared" si="237"/>
        <v>746,900</v>
      </c>
      <c r="V377" s="2">
        <f t="shared" si="256"/>
        <v>746</v>
      </c>
      <c r="W377" s="2">
        <f t="shared" si="252"/>
        <v>900</v>
      </c>
      <c r="X377" s="2" t="s">
        <v>196</v>
      </c>
      <c r="Y377" s="2" t="str">
        <f t="shared" si="238"/>
        <v>1437,1700</v>
      </c>
      <c r="Z377" s="2">
        <f t="shared" si="257"/>
        <v>1437</v>
      </c>
      <c r="AA377" s="2">
        <f t="shared" si="253"/>
        <v>1700</v>
      </c>
      <c r="AB377" s="2">
        <v>85000</v>
      </c>
      <c r="AC377" s="2" t="str">
        <f>_xlfn.XLOOKUP(B377,'#캐릭터'!A:A,'#캐릭터'!B:B)</f>
        <v>에르제베트</v>
      </c>
      <c r="AD377" s="2" t="str">
        <f t="shared" si="250"/>
        <v>Unique3_에르제베트</v>
      </c>
      <c r="AE377" s="2">
        <f t="shared" si="239"/>
        <v>5103</v>
      </c>
    </row>
    <row r="378" spans="1:31" x14ac:dyDescent="0.2">
      <c r="A378" s="2">
        <f t="shared" si="235"/>
        <v>10156013</v>
      </c>
      <c r="B378" s="1">
        <v>10000156</v>
      </c>
      <c r="C378" s="1" t="s">
        <v>281</v>
      </c>
      <c r="D378" s="1" t="s">
        <v>309</v>
      </c>
      <c r="E378" s="1" t="str">
        <f>"Persona_"&amp;_xlfn.XLOOKUP($B378, '#캐릭터'!$A:$A, '#캐릭터'!$C:$C)</f>
        <v>Persona_c156</v>
      </c>
      <c r="F378" s="1"/>
      <c r="G378" s="1">
        <f>_xlfn.XLOOKUP(_xlfn.XLOOKUP(B378,'[1]Detail&lt;Child&gt;'!$A:$A,'[1]Detail&lt;Child&gt;'!$N:$N),'#참조'!P:P,'#참조'!Q:Q)</f>
        <v>5</v>
      </c>
      <c r="H378" s="1">
        <f>_xlfn.XLOOKUP(_xlfn.XLOOKUP(B378,'[1]Detail&lt;Child&gt;'!$A:$A,'[1]Detail&lt;Child&gt;'!$O:$O),'#참조'!R:R,'#참조'!S:S)</f>
        <v>1</v>
      </c>
      <c r="I378" s="1">
        <v>4</v>
      </c>
      <c r="J378" s="2">
        <v>3</v>
      </c>
      <c r="K378" s="2">
        <v>5</v>
      </c>
      <c r="L378" s="2">
        <v>13</v>
      </c>
      <c r="M378" s="2" t="s">
        <v>17</v>
      </c>
      <c r="N378" s="2" t="s">
        <v>407</v>
      </c>
      <c r="O378" s="2">
        <f t="shared" si="254"/>
        <v>6278</v>
      </c>
      <c r="P378" s="2" t="s">
        <v>194</v>
      </c>
      <c r="Q378" s="2" t="str">
        <f t="shared" si="236"/>
        <v>23300,28000</v>
      </c>
      <c r="R378" s="2">
        <f t="shared" si="255"/>
        <v>23300</v>
      </c>
      <c r="S378" s="2">
        <f t="shared" si="251"/>
        <v>28000</v>
      </c>
      <c r="T378" s="2" t="s">
        <v>195</v>
      </c>
      <c r="U378" s="2" t="str">
        <f t="shared" si="237"/>
        <v>895,1100</v>
      </c>
      <c r="V378" s="2">
        <f t="shared" si="256"/>
        <v>895</v>
      </c>
      <c r="W378" s="2">
        <f t="shared" si="252"/>
        <v>1100</v>
      </c>
      <c r="X378" s="2" t="s">
        <v>196</v>
      </c>
      <c r="Y378" s="2" t="str">
        <f t="shared" si="238"/>
        <v>1868,2200</v>
      </c>
      <c r="Z378" s="2">
        <f t="shared" si="257"/>
        <v>1868</v>
      </c>
      <c r="AA378" s="2">
        <f t="shared" si="253"/>
        <v>2200</v>
      </c>
      <c r="AB378" s="2">
        <v>80000</v>
      </c>
      <c r="AC378" s="2" t="str">
        <f>_xlfn.XLOOKUP(B378,'#캐릭터'!A:A,'#캐릭터'!B:B)</f>
        <v>에르제베트</v>
      </c>
      <c r="AD378" s="2" t="str">
        <f t="shared" si="250"/>
        <v>Epic1_에르제베트</v>
      </c>
      <c r="AE378" s="2">
        <f t="shared" si="239"/>
        <v>5104</v>
      </c>
    </row>
    <row r="379" spans="1:31" x14ac:dyDescent="0.2">
      <c r="A379" s="2">
        <f t="shared" si="235"/>
        <v>10156014</v>
      </c>
      <c r="B379" s="1">
        <v>10000156</v>
      </c>
      <c r="C379" s="1" t="s">
        <v>281</v>
      </c>
      <c r="D379" s="1" t="s">
        <v>309</v>
      </c>
      <c r="E379" s="1" t="str">
        <f>"Persona_"&amp;_xlfn.XLOOKUP($B379, '#캐릭터'!$A:$A, '#캐릭터'!$C:$C)</f>
        <v>Persona_c156</v>
      </c>
      <c r="F379" s="1"/>
      <c r="G379" s="1">
        <f>_xlfn.XLOOKUP(_xlfn.XLOOKUP(B379,'[1]Detail&lt;Child&gt;'!$A:$A,'[1]Detail&lt;Child&gt;'!$N:$N),'#참조'!P:P,'#참조'!Q:Q)</f>
        <v>5</v>
      </c>
      <c r="H379" s="1">
        <f>_xlfn.XLOOKUP(_xlfn.XLOOKUP(B379,'[1]Detail&lt;Child&gt;'!$A:$A,'[1]Detail&lt;Child&gt;'!$O:$O),'#참조'!R:R,'#참조'!S:S)</f>
        <v>1</v>
      </c>
      <c r="I379" s="1">
        <v>4</v>
      </c>
      <c r="J379" s="2">
        <v>3</v>
      </c>
      <c r="K379" s="2">
        <v>5</v>
      </c>
      <c r="L379" s="2">
        <v>14</v>
      </c>
      <c r="M379" s="2" t="s">
        <v>18</v>
      </c>
      <c r="N379" s="2" t="s">
        <v>407</v>
      </c>
      <c r="O379" s="2">
        <f t="shared" si="254"/>
        <v>6906</v>
      </c>
      <c r="P379" s="2" t="s">
        <v>194</v>
      </c>
      <c r="Q379" s="2" t="str">
        <f t="shared" si="236"/>
        <v>30290,36300</v>
      </c>
      <c r="R379" s="2">
        <f t="shared" si="255"/>
        <v>30290</v>
      </c>
      <c r="S379" s="2">
        <f t="shared" si="251"/>
        <v>36300</v>
      </c>
      <c r="T379" s="2" t="s">
        <v>195</v>
      </c>
      <c r="U379" s="2" t="str">
        <f t="shared" si="237"/>
        <v>1074,1300</v>
      </c>
      <c r="V379" s="2">
        <f t="shared" si="256"/>
        <v>1074</v>
      </c>
      <c r="W379" s="2">
        <f t="shared" si="252"/>
        <v>1300</v>
      </c>
      <c r="X379" s="2" t="s">
        <v>196</v>
      </c>
      <c r="Y379" s="2" t="str">
        <f t="shared" si="238"/>
        <v>2428,2900</v>
      </c>
      <c r="Z379" s="2">
        <f t="shared" si="257"/>
        <v>2428</v>
      </c>
      <c r="AA379" s="2">
        <f t="shared" si="253"/>
        <v>2900</v>
      </c>
      <c r="AB379" s="2">
        <v>80000</v>
      </c>
      <c r="AC379" s="2" t="str">
        <f>_xlfn.XLOOKUP(B379,'#캐릭터'!A:A,'#캐릭터'!B:B)</f>
        <v>에르제베트</v>
      </c>
      <c r="AD379" s="2" t="str">
        <f t="shared" si="250"/>
        <v>Epic2_에르제베트</v>
      </c>
      <c r="AE379" s="2">
        <f t="shared" si="239"/>
        <v>5104</v>
      </c>
    </row>
    <row r="380" spans="1:31" x14ac:dyDescent="0.2">
      <c r="A380" s="2">
        <f t="shared" si="235"/>
        <v>10156015</v>
      </c>
      <c r="B380" s="1">
        <v>10000156</v>
      </c>
      <c r="C380" s="1" t="s">
        <v>281</v>
      </c>
      <c r="D380" s="1" t="s">
        <v>309</v>
      </c>
      <c r="E380" s="1" t="str">
        <f>"Persona_"&amp;_xlfn.XLOOKUP($B380, '#캐릭터'!$A:$A, '#캐릭터'!$C:$C)</f>
        <v>Persona_c156</v>
      </c>
      <c r="F380" s="1"/>
      <c r="G380" s="1">
        <f>_xlfn.XLOOKUP(_xlfn.XLOOKUP(B380,'[1]Detail&lt;Child&gt;'!$A:$A,'[1]Detail&lt;Child&gt;'!$N:$N),'#참조'!P:P,'#참조'!Q:Q)</f>
        <v>5</v>
      </c>
      <c r="H380" s="1">
        <f>_xlfn.XLOOKUP(_xlfn.XLOOKUP(B380,'[1]Detail&lt;Child&gt;'!$A:$A,'[1]Detail&lt;Child&gt;'!$O:$O),'#참조'!R:R,'#참조'!S:S)</f>
        <v>1</v>
      </c>
      <c r="I380" s="1">
        <v>5</v>
      </c>
      <c r="J380" s="2">
        <v>3</v>
      </c>
      <c r="K380" s="2">
        <v>5</v>
      </c>
      <c r="L380" s="2">
        <v>15</v>
      </c>
      <c r="M380" s="2" t="s">
        <v>19</v>
      </c>
      <c r="N380" s="2" t="s">
        <v>407</v>
      </c>
      <c r="O380" s="2">
        <f t="shared" si="254"/>
        <v>7597</v>
      </c>
      <c r="P380" s="2" t="s">
        <v>194</v>
      </c>
      <c r="Q380" s="2" t="str">
        <f t="shared" si="236"/>
        <v>39377,47300</v>
      </c>
      <c r="R380" s="2">
        <f t="shared" si="255"/>
        <v>39377</v>
      </c>
      <c r="S380" s="2">
        <f t="shared" si="251"/>
        <v>47300</v>
      </c>
      <c r="T380" s="2" t="s">
        <v>195</v>
      </c>
      <c r="U380" s="2" t="str">
        <f t="shared" si="237"/>
        <v>1289,1500</v>
      </c>
      <c r="V380" s="2">
        <f t="shared" si="256"/>
        <v>1289</v>
      </c>
      <c r="W380" s="2">
        <f t="shared" si="252"/>
        <v>1500</v>
      </c>
      <c r="X380" s="2" t="s">
        <v>196</v>
      </c>
      <c r="Y380" s="2" t="str">
        <f t="shared" si="238"/>
        <v>3156,3800</v>
      </c>
      <c r="Z380" s="2">
        <f t="shared" si="257"/>
        <v>3156</v>
      </c>
      <c r="AA380" s="2">
        <f t="shared" si="253"/>
        <v>3800</v>
      </c>
      <c r="AB380" s="2">
        <v>80000</v>
      </c>
      <c r="AC380" s="2" t="str">
        <f>_xlfn.XLOOKUP(B380,'#캐릭터'!A:A,'#캐릭터'!B:B)</f>
        <v>에르제베트</v>
      </c>
      <c r="AD380" s="2" t="str">
        <f t="shared" si="250"/>
        <v>Epic3_에르제베트</v>
      </c>
      <c r="AE380" s="2">
        <f t="shared" si="239"/>
        <v>5105</v>
      </c>
    </row>
    <row r="381" spans="1:31" x14ac:dyDescent="0.2">
      <c r="A381" s="2">
        <f t="shared" si="235"/>
        <v>10156016</v>
      </c>
      <c r="B381" s="1">
        <v>10000156</v>
      </c>
      <c r="C381" s="1" t="s">
        <v>281</v>
      </c>
      <c r="D381" s="1" t="s">
        <v>309</v>
      </c>
      <c r="E381" s="1" t="str">
        <f>"Persona_"&amp;_xlfn.XLOOKUP($B381, '#캐릭터'!$A:$A, '#캐릭터'!$C:$C)</f>
        <v>Persona_c156</v>
      </c>
      <c r="F381" s="1"/>
      <c r="G381" s="1">
        <f>_xlfn.XLOOKUP(_xlfn.XLOOKUP(B381,'[1]Detail&lt;Child&gt;'!$A:$A,'[1]Detail&lt;Child&gt;'!$N:$N),'#참조'!P:P,'#참조'!Q:Q)</f>
        <v>5</v>
      </c>
      <c r="H381" s="1">
        <f>_xlfn.XLOOKUP(_xlfn.XLOOKUP(B381,'[1]Detail&lt;Child&gt;'!$A:$A,'[1]Detail&lt;Child&gt;'!$O:$O),'#참조'!R:R,'#참조'!S:S)</f>
        <v>1</v>
      </c>
      <c r="I381" s="1">
        <v>5</v>
      </c>
      <c r="J381" s="2">
        <v>3</v>
      </c>
      <c r="K381" s="2">
        <v>6</v>
      </c>
      <c r="L381" s="2">
        <v>16</v>
      </c>
      <c r="M381" s="2" t="s">
        <v>20</v>
      </c>
      <c r="N381" s="2" t="s">
        <v>407</v>
      </c>
      <c r="O381" s="2">
        <f t="shared" si="254"/>
        <v>8357</v>
      </c>
      <c r="P381" s="2" t="s">
        <v>194</v>
      </c>
      <c r="Q381" s="2" t="str">
        <f t="shared" si="236"/>
        <v>51190,61400</v>
      </c>
      <c r="R381" s="2">
        <f t="shared" si="255"/>
        <v>51190</v>
      </c>
      <c r="S381" s="2">
        <f t="shared" si="251"/>
        <v>61400</v>
      </c>
      <c r="T381" s="2" t="s">
        <v>195</v>
      </c>
      <c r="U381" s="2" t="str">
        <f t="shared" si="237"/>
        <v>1547,1900</v>
      </c>
      <c r="V381" s="2">
        <f t="shared" si="256"/>
        <v>1547</v>
      </c>
      <c r="W381" s="2">
        <f t="shared" si="252"/>
        <v>1900</v>
      </c>
      <c r="X381" s="2" t="s">
        <v>196</v>
      </c>
      <c r="Y381" s="2" t="str">
        <f t="shared" si="238"/>
        <v>4103,4900</v>
      </c>
      <c r="Z381" s="2">
        <f t="shared" si="257"/>
        <v>4103</v>
      </c>
      <c r="AA381" s="2">
        <f t="shared" si="253"/>
        <v>4900</v>
      </c>
      <c r="AB381" s="2">
        <v>75000</v>
      </c>
      <c r="AC381" s="2" t="str">
        <f>_xlfn.XLOOKUP(B381,'#캐릭터'!A:A,'#캐릭터'!B:B)</f>
        <v>에르제베트</v>
      </c>
      <c r="AD381" s="2" t="str">
        <f t="shared" si="250"/>
        <v>Legendary1_에르제베트</v>
      </c>
      <c r="AE381" s="2">
        <f t="shared" si="239"/>
        <v>5105</v>
      </c>
    </row>
    <row r="382" spans="1:31" x14ac:dyDescent="0.2">
      <c r="A382" s="2">
        <f t="shared" si="235"/>
        <v>10156017</v>
      </c>
      <c r="B382" s="1">
        <v>10000156</v>
      </c>
      <c r="C382" s="1" t="s">
        <v>281</v>
      </c>
      <c r="D382" s="1" t="s">
        <v>309</v>
      </c>
      <c r="E382" s="1" t="str">
        <f>"Persona_"&amp;_xlfn.XLOOKUP($B382, '#캐릭터'!$A:$A, '#캐릭터'!$C:$C)</f>
        <v>Persona_c156</v>
      </c>
      <c r="F382" s="1"/>
      <c r="G382" s="1">
        <f>_xlfn.XLOOKUP(_xlfn.XLOOKUP(B382,'[1]Detail&lt;Child&gt;'!$A:$A,'[1]Detail&lt;Child&gt;'!$N:$N),'#참조'!P:P,'#참조'!Q:Q)</f>
        <v>5</v>
      </c>
      <c r="H382" s="1">
        <f>_xlfn.XLOOKUP(_xlfn.XLOOKUP(B382,'[1]Detail&lt;Child&gt;'!$A:$A,'[1]Detail&lt;Child&gt;'!$O:$O),'#참조'!R:R,'#참조'!S:S)</f>
        <v>1</v>
      </c>
      <c r="I382" s="1">
        <v>6</v>
      </c>
      <c r="J382" s="2">
        <v>3</v>
      </c>
      <c r="K382" s="2">
        <v>6</v>
      </c>
      <c r="L382" s="2">
        <v>17</v>
      </c>
      <c r="M382" s="2" t="s">
        <v>21</v>
      </c>
      <c r="N382" s="2" t="s">
        <v>407</v>
      </c>
      <c r="O382" s="2">
        <f t="shared" si="254"/>
        <v>9193</v>
      </c>
      <c r="P382" s="2" t="s">
        <v>194</v>
      </c>
      <c r="Q382" s="2" t="str">
        <f t="shared" si="236"/>
        <v>66547,79900</v>
      </c>
      <c r="R382" s="2">
        <f t="shared" si="255"/>
        <v>66547</v>
      </c>
      <c r="S382" s="2">
        <f t="shared" si="251"/>
        <v>79900</v>
      </c>
      <c r="T382" s="2" t="s">
        <v>195</v>
      </c>
      <c r="U382" s="2" t="str">
        <f t="shared" si="237"/>
        <v>1856,2200</v>
      </c>
      <c r="V382" s="2">
        <f t="shared" si="256"/>
        <v>1856</v>
      </c>
      <c r="W382" s="2">
        <f t="shared" si="252"/>
        <v>2200</v>
      </c>
      <c r="X382" s="2" t="s">
        <v>196</v>
      </c>
      <c r="Y382" s="2" t="str">
        <f t="shared" si="238"/>
        <v>5334,6400</v>
      </c>
      <c r="Z382" s="2">
        <f t="shared" si="257"/>
        <v>5334</v>
      </c>
      <c r="AA382" s="2">
        <f t="shared" si="253"/>
        <v>6400</v>
      </c>
      <c r="AB382" s="2">
        <v>75000</v>
      </c>
      <c r="AC382" s="2" t="str">
        <f>_xlfn.XLOOKUP(B382,'#캐릭터'!A:A,'#캐릭터'!B:B)</f>
        <v>에르제베트</v>
      </c>
      <c r="AD382" s="2" t="str">
        <f t="shared" si="250"/>
        <v>Legendary2_에르제베트</v>
      </c>
      <c r="AE382" s="2">
        <f t="shared" si="239"/>
        <v>5106</v>
      </c>
    </row>
    <row r="383" spans="1:31" x14ac:dyDescent="0.2">
      <c r="A383" s="2">
        <f t="shared" si="235"/>
        <v>10156018</v>
      </c>
      <c r="B383" s="1">
        <v>10000156</v>
      </c>
      <c r="C383" s="1" t="s">
        <v>281</v>
      </c>
      <c r="D383" s="1" t="s">
        <v>309</v>
      </c>
      <c r="E383" s="1" t="str">
        <f>"Persona_"&amp;_xlfn.XLOOKUP($B383, '#캐릭터'!$A:$A, '#캐릭터'!$C:$C)</f>
        <v>Persona_c156</v>
      </c>
      <c r="F383" s="1"/>
      <c r="G383" s="1">
        <f>_xlfn.XLOOKUP(_xlfn.XLOOKUP(B383,'[1]Detail&lt;Child&gt;'!$A:$A,'[1]Detail&lt;Child&gt;'!$N:$N),'#참조'!P:P,'#참조'!Q:Q)</f>
        <v>5</v>
      </c>
      <c r="H383" s="1">
        <f>_xlfn.XLOOKUP(_xlfn.XLOOKUP(B383,'[1]Detail&lt;Child&gt;'!$A:$A,'[1]Detail&lt;Child&gt;'!$O:$O),'#참조'!R:R,'#참조'!S:S)</f>
        <v>1</v>
      </c>
      <c r="I383" s="1">
        <v>6</v>
      </c>
      <c r="J383" s="2">
        <v>3</v>
      </c>
      <c r="K383" s="2">
        <v>6</v>
      </c>
      <c r="L383" s="2">
        <v>18</v>
      </c>
      <c r="M383" s="2" t="s">
        <v>22</v>
      </c>
      <c r="N383" s="2" t="s">
        <v>407</v>
      </c>
      <c r="O383" s="2">
        <f t="shared" si="254"/>
        <v>10112</v>
      </c>
      <c r="P383" s="2" t="s">
        <v>194</v>
      </c>
      <c r="Q383" s="2" t="str">
        <f t="shared" si="236"/>
        <v>86511,103800</v>
      </c>
      <c r="R383" s="2">
        <f t="shared" si="255"/>
        <v>86511</v>
      </c>
      <c r="S383" s="2">
        <f t="shared" si="251"/>
        <v>103800</v>
      </c>
      <c r="T383" s="2" t="s">
        <v>195</v>
      </c>
      <c r="U383" s="2" t="str">
        <f t="shared" si="237"/>
        <v>2227,2700</v>
      </c>
      <c r="V383" s="2">
        <f t="shared" si="256"/>
        <v>2227</v>
      </c>
      <c r="W383" s="2">
        <f t="shared" si="252"/>
        <v>2700</v>
      </c>
      <c r="X383" s="2" t="s">
        <v>196</v>
      </c>
      <c r="Y383" s="2" t="str">
        <f t="shared" si="238"/>
        <v>6934,8300</v>
      </c>
      <c r="Z383" s="2">
        <f t="shared" si="257"/>
        <v>6934</v>
      </c>
      <c r="AA383" s="2">
        <f t="shared" si="253"/>
        <v>8300</v>
      </c>
      <c r="AB383" s="2">
        <v>75000</v>
      </c>
      <c r="AC383" s="2" t="str">
        <f>_xlfn.XLOOKUP(B383,'#캐릭터'!A:A,'#캐릭터'!B:B)</f>
        <v>에르제베트</v>
      </c>
      <c r="AD383" s="2" t="str">
        <f t="shared" si="250"/>
        <v>Legendary3_에르제베트</v>
      </c>
      <c r="AE383" s="2">
        <f t="shared" si="239"/>
        <v>5106</v>
      </c>
    </row>
    <row r="384" spans="1:31" x14ac:dyDescent="0.2">
      <c r="A384" s="2">
        <f t="shared" si="235"/>
        <v>10318000</v>
      </c>
      <c r="B384" s="1">
        <v>10000318</v>
      </c>
      <c r="C384" s="1" t="s">
        <v>281</v>
      </c>
      <c r="D384" s="1" t="s">
        <v>309</v>
      </c>
      <c r="E384" s="1" t="str">
        <f>"Persona_"&amp;_xlfn.XLOOKUP($B384, '#캐릭터'!$A:$A, '#캐릭터'!$C:$C)</f>
        <v>Persona_c318</v>
      </c>
      <c r="F384" s="1"/>
      <c r="G384" s="1">
        <f>_xlfn.XLOOKUP(_xlfn.XLOOKUP(B384,'[1]Detail&lt;Child&gt;'!$A:$A,'[1]Detail&lt;Child&gt;'!$N:$N),'#참조'!P:P,'#참조'!Q:Q)</f>
        <v>1</v>
      </c>
      <c r="H384" s="1">
        <f>_xlfn.XLOOKUP(_xlfn.XLOOKUP(B384,'[1]Detail&lt;Child&gt;'!$A:$A,'[1]Detail&lt;Child&gt;'!$O:$O),'#참조'!R:R,'#참조'!S:S)</f>
        <v>5</v>
      </c>
      <c r="I384" s="1">
        <v>0</v>
      </c>
      <c r="J384" s="2">
        <v>3</v>
      </c>
      <c r="K384" s="2">
        <v>0</v>
      </c>
      <c r="L384" s="2">
        <v>0</v>
      </c>
      <c r="M384" s="2" t="s">
        <v>31</v>
      </c>
      <c r="N384" s="2" t="s">
        <v>407</v>
      </c>
      <c r="O384" s="2">
        <v>0</v>
      </c>
      <c r="P384" s="2" t="s">
        <v>194</v>
      </c>
      <c r="Q384" s="2" t="str">
        <f t="shared" si="236"/>
        <v>1000,1000</v>
      </c>
      <c r="R384" s="2">
        <v>1000</v>
      </c>
      <c r="S384" s="2">
        <f t="shared" ref="S384" si="278">R384</f>
        <v>1000</v>
      </c>
      <c r="T384" s="2" t="s">
        <v>195</v>
      </c>
      <c r="U384" s="2" t="str">
        <f t="shared" si="237"/>
        <v>100,100</v>
      </c>
      <c r="V384" s="2">
        <v>100</v>
      </c>
      <c r="W384" s="2">
        <f t="shared" ref="W384" si="279">V384</f>
        <v>100</v>
      </c>
      <c r="X384" s="2" t="s">
        <v>196</v>
      </c>
      <c r="Y384" s="2" t="str">
        <f t="shared" si="238"/>
        <v>80,80</v>
      </c>
      <c r="Z384" s="2">
        <v>80</v>
      </c>
      <c r="AA384" s="2">
        <f t="shared" ref="AA384" si="280">Z384</f>
        <v>80</v>
      </c>
      <c r="AB384" s="2">
        <v>100000</v>
      </c>
      <c r="AC384" s="2" t="str">
        <f>_xlfn.XLOOKUP(B384,'#캐릭터'!A:A,'#캐릭터'!B:B)</f>
        <v>바리</v>
      </c>
      <c r="AD384" s="2" t="str">
        <f t="shared" ref="AD384:AD402" si="281">M384&amp;"_"&amp;AC384</f>
        <v>Default_바리</v>
      </c>
      <c r="AE384" s="2">
        <f t="shared" si="239"/>
        <v>0</v>
      </c>
    </row>
    <row r="385" spans="1:31" x14ac:dyDescent="0.2">
      <c r="A385" s="2">
        <f t="shared" si="235"/>
        <v>10318001</v>
      </c>
      <c r="B385" s="1">
        <v>10000318</v>
      </c>
      <c r="C385" s="1" t="s">
        <v>281</v>
      </c>
      <c r="D385" s="1" t="s">
        <v>309</v>
      </c>
      <c r="E385" s="1" t="str">
        <f>"Persona_"&amp;_xlfn.XLOOKUP($B385, '#캐릭터'!$A:$A, '#캐릭터'!$C:$C)</f>
        <v>Persona_c318</v>
      </c>
      <c r="F385" s="1"/>
      <c r="G385" s="1">
        <f>_xlfn.XLOOKUP(_xlfn.XLOOKUP(B385,'[1]Detail&lt;Child&gt;'!$A:$A,'[1]Detail&lt;Child&gt;'!$N:$N),'#참조'!P:P,'#참조'!Q:Q)</f>
        <v>1</v>
      </c>
      <c r="H385" s="1">
        <f>_xlfn.XLOOKUP(_xlfn.XLOOKUP(B385,'[1]Detail&lt;Child&gt;'!$A:$A,'[1]Detail&lt;Child&gt;'!$O:$O),'#참조'!R:R,'#참조'!S:S)</f>
        <v>5</v>
      </c>
      <c r="I385" s="1">
        <v>0</v>
      </c>
      <c r="J385" s="2">
        <v>3</v>
      </c>
      <c r="K385" s="2">
        <v>1</v>
      </c>
      <c r="L385" s="2">
        <v>1</v>
      </c>
      <c r="M385" s="2" t="s">
        <v>5</v>
      </c>
      <c r="N385" s="2" t="s">
        <v>407</v>
      </c>
      <c r="O385" s="2">
        <v>2000</v>
      </c>
      <c r="P385" s="2" t="s">
        <v>194</v>
      </c>
      <c r="Q385" s="2" t="str">
        <f t="shared" si="236"/>
        <v>1000,1200</v>
      </c>
      <c r="R385" s="2">
        <v>1000</v>
      </c>
      <c r="S385" s="2">
        <f t="shared" ref="S385" si="282">ROUND(R385*1.2, -2)</f>
        <v>1200</v>
      </c>
      <c r="T385" s="2" t="s">
        <v>195</v>
      </c>
      <c r="U385" s="2" t="str">
        <f t="shared" si="237"/>
        <v>100,100</v>
      </c>
      <c r="V385" s="2">
        <v>100</v>
      </c>
      <c r="W385" s="2">
        <f t="shared" ref="W385" si="283">ROUND(V385*1.2, -2)</f>
        <v>100</v>
      </c>
      <c r="X385" s="2" t="s">
        <v>196</v>
      </c>
      <c r="Y385" s="2" t="str">
        <f t="shared" si="238"/>
        <v>80,100</v>
      </c>
      <c r="Z385" s="2">
        <v>80</v>
      </c>
      <c r="AA385" s="2">
        <f t="shared" ref="AA385" si="284">ROUND(Z385*1.2, -2)</f>
        <v>100</v>
      </c>
      <c r="AB385" s="2">
        <v>100000</v>
      </c>
      <c r="AC385" s="2" t="str">
        <f>_xlfn.XLOOKUP(B385,'#캐릭터'!A:A,'#캐릭터'!B:B)</f>
        <v>바리</v>
      </c>
      <c r="AD385" s="2" t="str">
        <f t="shared" si="281"/>
        <v>Common1_바리</v>
      </c>
      <c r="AE385" s="2">
        <f t="shared" si="239"/>
        <v>0</v>
      </c>
    </row>
    <row r="386" spans="1:31" x14ac:dyDescent="0.2">
      <c r="A386" s="2">
        <f t="shared" si="235"/>
        <v>10318002</v>
      </c>
      <c r="B386" s="1">
        <v>10000318</v>
      </c>
      <c r="C386" s="1" t="s">
        <v>281</v>
      </c>
      <c r="D386" s="1" t="s">
        <v>309</v>
      </c>
      <c r="E386" s="1" t="str">
        <f>"Persona_"&amp;_xlfn.XLOOKUP($B386, '#캐릭터'!$A:$A, '#캐릭터'!$C:$C)</f>
        <v>Persona_c318</v>
      </c>
      <c r="F386" s="1"/>
      <c r="G386" s="1">
        <f>_xlfn.XLOOKUP(_xlfn.XLOOKUP(B386,'[1]Detail&lt;Child&gt;'!$A:$A,'[1]Detail&lt;Child&gt;'!$N:$N),'#참조'!P:P,'#참조'!Q:Q)</f>
        <v>1</v>
      </c>
      <c r="H386" s="1">
        <f>_xlfn.XLOOKUP(_xlfn.XLOOKUP(B386,'[1]Detail&lt;Child&gt;'!$A:$A,'[1]Detail&lt;Child&gt;'!$O:$O),'#참조'!R:R,'#참조'!S:S)</f>
        <v>5</v>
      </c>
      <c r="I386" s="1">
        <v>0</v>
      </c>
      <c r="J386" s="2">
        <v>3</v>
      </c>
      <c r="K386" s="2">
        <v>1</v>
      </c>
      <c r="L386" s="2">
        <v>2</v>
      </c>
      <c r="M386" s="2" t="s">
        <v>6</v>
      </c>
      <c r="N386" s="2" t="s">
        <v>407</v>
      </c>
      <c r="O386" s="2">
        <f t="shared" ref="O386" si="285">ROUND(O385*1.1, 0)</f>
        <v>2200</v>
      </c>
      <c r="P386" s="2" t="s">
        <v>194</v>
      </c>
      <c r="Q386" s="2" t="str">
        <f t="shared" si="236"/>
        <v>1300,1600</v>
      </c>
      <c r="R386" s="2">
        <f t="shared" ref="R386" si="286">ROUND(R385*1.3, 0)</f>
        <v>1300</v>
      </c>
      <c r="S386" s="2">
        <f t="shared" si="251"/>
        <v>1600</v>
      </c>
      <c r="T386" s="2" t="s">
        <v>195</v>
      </c>
      <c r="U386" s="2" t="str">
        <f t="shared" si="237"/>
        <v>120,100</v>
      </c>
      <c r="V386" s="2">
        <f t="shared" ref="V386" si="287">ROUND(V385*1.2, 0)</f>
        <v>120</v>
      </c>
      <c r="W386" s="2">
        <f t="shared" si="252"/>
        <v>100</v>
      </c>
      <c r="X386" s="2" t="s">
        <v>196</v>
      </c>
      <c r="Y386" s="2" t="str">
        <f t="shared" si="238"/>
        <v>104,100</v>
      </c>
      <c r="Z386" s="2">
        <f t="shared" ref="Z386" si="288">ROUND(Z385*1.3, 0)</f>
        <v>104</v>
      </c>
      <c r="AA386" s="2">
        <f t="shared" si="253"/>
        <v>100</v>
      </c>
      <c r="AB386" s="2">
        <v>100000</v>
      </c>
      <c r="AC386" s="2" t="str">
        <f>_xlfn.XLOOKUP(B386,'#캐릭터'!A:A,'#캐릭터'!B:B)</f>
        <v>바리</v>
      </c>
      <c r="AD386" s="2" t="str">
        <f t="shared" si="281"/>
        <v>Common2_바리</v>
      </c>
      <c r="AE386" s="2">
        <f t="shared" si="239"/>
        <v>0</v>
      </c>
    </row>
    <row r="387" spans="1:31" x14ac:dyDescent="0.2">
      <c r="A387" s="2">
        <f t="shared" si="235"/>
        <v>10318003</v>
      </c>
      <c r="B387" s="1">
        <v>10000318</v>
      </c>
      <c r="C387" s="1" t="s">
        <v>281</v>
      </c>
      <c r="D387" s="1" t="s">
        <v>309</v>
      </c>
      <c r="E387" s="1" t="str">
        <f>"Persona_"&amp;_xlfn.XLOOKUP($B387, '#캐릭터'!$A:$A, '#캐릭터'!$C:$C)</f>
        <v>Persona_c318</v>
      </c>
      <c r="F387" s="1"/>
      <c r="G387" s="1">
        <f>_xlfn.XLOOKUP(_xlfn.XLOOKUP(B387,'[1]Detail&lt;Child&gt;'!$A:$A,'[1]Detail&lt;Child&gt;'!$N:$N),'#참조'!P:P,'#참조'!Q:Q)</f>
        <v>1</v>
      </c>
      <c r="H387" s="1">
        <f>_xlfn.XLOOKUP(_xlfn.XLOOKUP(B387,'[1]Detail&lt;Child&gt;'!$A:$A,'[1]Detail&lt;Child&gt;'!$O:$O),'#참조'!R:R,'#참조'!S:S)</f>
        <v>5</v>
      </c>
      <c r="I387" s="1">
        <v>0</v>
      </c>
      <c r="J387" s="2">
        <v>3</v>
      </c>
      <c r="K387" s="2">
        <v>1</v>
      </c>
      <c r="L387" s="2">
        <v>3</v>
      </c>
      <c r="M387" s="2" t="s">
        <v>7</v>
      </c>
      <c r="N387" s="2" t="s">
        <v>407</v>
      </c>
      <c r="O387" s="2">
        <f t="shared" si="254"/>
        <v>2420</v>
      </c>
      <c r="P387" s="2" t="s">
        <v>194</v>
      </c>
      <c r="Q387" s="2" t="str">
        <f t="shared" si="236"/>
        <v>1690,2000</v>
      </c>
      <c r="R387" s="2">
        <f t="shared" si="255"/>
        <v>1690</v>
      </c>
      <c r="S387" s="2">
        <f t="shared" si="251"/>
        <v>2000</v>
      </c>
      <c r="T387" s="2" t="s">
        <v>195</v>
      </c>
      <c r="U387" s="2" t="str">
        <f t="shared" si="237"/>
        <v>144,200</v>
      </c>
      <c r="V387" s="2">
        <f t="shared" si="256"/>
        <v>144</v>
      </c>
      <c r="W387" s="2">
        <f t="shared" si="252"/>
        <v>200</v>
      </c>
      <c r="X387" s="2" t="s">
        <v>196</v>
      </c>
      <c r="Y387" s="2" t="str">
        <f t="shared" si="238"/>
        <v>135,200</v>
      </c>
      <c r="Z387" s="2">
        <f t="shared" si="257"/>
        <v>135</v>
      </c>
      <c r="AA387" s="2">
        <f t="shared" si="253"/>
        <v>200</v>
      </c>
      <c r="AB387" s="2">
        <v>100000</v>
      </c>
      <c r="AC387" s="2" t="str">
        <f>_xlfn.XLOOKUP(B387,'#캐릭터'!A:A,'#캐릭터'!B:B)</f>
        <v>바리</v>
      </c>
      <c r="AD387" s="2" t="str">
        <f t="shared" si="281"/>
        <v>Common3_바리</v>
      </c>
      <c r="AE387" s="2">
        <f t="shared" si="239"/>
        <v>0</v>
      </c>
    </row>
    <row r="388" spans="1:31" x14ac:dyDescent="0.2">
      <c r="A388" s="2">
        <f t="shared" ref="A388:A451" si="289">INT(1&amp;TEXT(RIGHT(B388,4),"0000")&amp;TEXT(L388,"000"))</f>
        <v>10318004</v>
      </c>
      <c r="B388" s="1">
        <v>10000318</v>
      </c>
      <c r="C388" s="1" t="s">
        <v>281</v>
      </c>
      <c r="D388" s="1" t="s">
        <v>309</v>
      </c>
      <c r="E388" s="1" t="str">
        <f>"Persona_"&amp;_xlfn.XLOOKUP($B388, '#캐릭터'!$A:$A, '#캐릭터'!$C:$C)</f>
        <v>Persona_c318</v>
      </c>
      <c r="F388" s="1"/>
      <c r="G388" s="1">
        <f>_xlfn.XLOOKUP(_xlfn.XLOOKUP(B388,'[1]Detail&lt;Child&gt;'!$A:$A,'[1]Detail&lt;Child&gt;'!$N:$N),'#참조'!P:P,'#참조'!Q:Q)</f>
        <v>1</v>
      </c>
      <c r="H388" s="1">
        <f>_xlfn.XLOOKUP(_xlfn.XLOOKUP(B388,'[1]Detail&lt;Child&gt;'!$A:$A,'[1]Detail&lt;Child&gt;'!$O:$O),'#참조'!R:R,'#참조'!S:S)</f>
        <v>5</v>
      </c>
      <c r="I388" s="1">
        <v>0</v>
      </c>
      <c r="J388" s="2">
        <v>3</v>
      </c>
      <c r="K388" s="2">
        <v>2</v>
      </c>
      <c r="L388" s="2">
        <v>4</v>
      </c>
      <c r="M388" s="2" t="s">
        <v>8</v>
      </c>
      <c r="N388" s="2" t="s">
        <v>407</v>
      </c>
      <c r="O388" s="2">
        <f t="shared" si="254"/>
        <v>2662</v>
      </c>
      <c r="P388" s="2" t="s">
        <v>194</v>
      </c>
      <c r="Q388" s="2" t="str">
        <f t="shared" si="236"/>
        <v>2197,2600</v>
      </c>
      <c r="R388" s="2">
        <f t="shared" si="255"/>
        <v>2197</v>
      </c>
      <c r="S388" s="2">
        <f t="shared" si="251"/>
        <v>2600</v>
      </c>
      <c r="T388" s="2" t="s">
        <v>195</v>
      </c>
      <c r="U388" s="2" t="str">
        <f t="shared" si="237"/>
        <v>173,200</v>
      </c>
      <c r="V388" s="2">
        <f t="shared" si="256"/>
        <v>173</v>
      </c>
      <c r="W388" s="2">
        <f t="shared" si="252"/>
        <v>200</v>
      </c>
      <c r="X388" s="2" t="s">
        <v>196</v>
      </c>
      <c r="Y388" s="2" t="str">
        <f t="shared" si="238"/>
        <v>176,200</v>
      </c>
      <c r="Z388" s="2">
        <f t="shared" si="257"/>
        <v>176</v>
      </c>
      <c r="AA388" s="2">
        <f t="shared" si="253"/>
        <v>200</v>
      </c>
      <c r="AB388" s="2">
        <v>95000</v>
      </c>
      <c r="AC388" s="2" t="str">
        <f>_xlfn.XLOOKUP(B388,'#캐릭터'!A:A,'#캐릭터'!B:B)</f>
        <v>바리</v>
      </c>
      <c r="AD388" s="2" t="str">
        <f t="shared" si="281"/>
        <v>Uncommon1_바리</v>
      </c>
      <c r="AE388" s="2">
        <f t="shared" si="239"/>
        <v>0</v>
      </c>
    </row>
    <row r="389" spans="1:31" x14ac:dyDescent="0.2">
      <c r="A389" s="2">
        <f t="shared" si="289"/>
        <v>10318005</v>
      </c>
      <c r="B389" s="1">
        <v>10000318</v>
      </c>
      <c r="C389" s="1" t="s">
        <v>281</v>
      </c>
      <c r="D389" s="1" t="s">
        <v>309</v>
      </c>
      <c r="E389" s="1" t="str">
        <f>"Persona_"&amp;_xlfn.XLOOKUP($B389, '#캐릭터'!$A:$A, '#캐릭터'!$C:$C)</f>
        <v>Persona_c318</v>
      </c>
      <c r="F389" s="1"/>
      <c r="G389" s="1">
        <f>_xlfn.XLOOKUP(_xlfn.XLOOKUP(B389,'[1]Detail&lt;Child&gt;'!$A:$A,'[1]Detail&lt;Child&gt;'!$N:$N),'#참조'!P:P,'#참조'!Q:Q)</f>
        <v>1</v>
      </c>
      <c r="H389" s="1">
        <f>_xlfn.XLOOKUP(_xlfn.XLOOKUP(B389,'[1]Detail&lt;Child&gt;'!$A:$A,'[1]Detail&lt;Child&gt;'!$O:$O),'#참조'!R:R,'#참조'!S:S)</f>
        <v>5</v>
      </c>
      <c r="I389" s="1">
        <v>0</v>
      </c>
      <c r="J389" s="2">
        <v>3</v>
      </c>
      <c r="K389" s="2">
        <v>2</v>
      </c>
      <c r="L389" s="2">
        <v>5</v>
      </c>
      <c r="M389" s="2" t="s">
        <v>9</v>
      </c>
      <c r="N389" s="2" t="s">
        <v>407</v>
      </c>
      <c r="O389" s="2">
        <f t="shared" si="254"/>
        <v>2928</v>
      </c>
      <c r="P389" s="2" t="s">
        <v>194</v>
      </c>
      <c r="Q389" s="2" t="str">
        <f t="shared" ref="Q389:Q452" si="290">R389&amp;","&amp;S389</f>
        <v>2856,3400</v>
      </c>
      <c r="R389" s="2">
        <f t="shared" si="255"/>
        <v>2856</v>
      </c>
      <c r="S389" s="2">
        <f t="shared" si="251"/>
        <v>3400</v>
      </c>
      <c r="T389" s="2" t="s">
        <v>195</v>
      </c>
      <c r="U389" s="2" t="str">
        <f t="shared" ref="U389:U452" si="291">V389&amp;","&amp;W389</f>
        <v>208,200</v>
      </c>
      <c r="V389" s="2">
        <f t="shared" si="256"/>
        <v>208</v>
      </c>
      <c r="W389" s="2">
        <f t="shared" si="252"/>
        <v>200</v>
      </c>
      <c r="X389" s="2" t="s">
        <v>196</v>
      </c>
      <c r="Y389" s="2" t="str">
        <f t="shared" ref="Y389:Y452" si="292">Z389&amp;","&amp;AA389</f>
        <v>229,300</v>
      </c>
      <c r="Z389" s="2">
        <f t="shared" si="257"/>
        <v>229</v>
      </c>
      <c r="AA389" s="2">
        <f t="shared" si="253"/>
        <v>300</v>
      </c>
      <c r="AB389" s="2">
        <v>95000</v>
      </c>
      <c r="AC389" s="2" t="str">
        <f>_xlfn.XLOOKUP(B389,'#캐릭터'!A:A,'#캐릭터'!B:B)</f>
        <v>바리</v>
      </c>
      <c r="AD389" s="2" t="str">
        <f t="shared" si="281"/>
        <v>Uncommon2_바리</v>
      </c>
      <c r="AE389" s="2">
        <f t="shared" ref="AE389:AE440" si="293">IF(I389=0,0,INT(G389&amp;H389&amp;TEXT(I389,"00")))</f>
        <v>0</v>
      </c>
    </row>
    <row r="390" spans="1:31" x14ac:dyDescent="0.2">
      <c r="A390" s="2">
        <f t="shared" si="289"/>
        <v>10318006</v>
      </c>
      <c r="B390" s="1">
        <v>10000318</v>
      </c>
      <c r="C390" s="1" t="s">
        <v>281</v>
      </c>
      <c r="D390" s="1" t="s">
        <v>309</v>
      </c>
      <c r="E390" s="1" t="str">
        <f>"Persona_"&amp;_xlfn.XLOOKUP($B390, '#캐릭터'!$A:$A, '#캐릭터'!$C:$C)</f>
        <v>Persona_c318</v>
      </c>
      <c r="F390" s="1"/>
      <c r="G390" s="1">
        <f>_xlfn.XLOOKUP(_xlfn.XLOOKUP(B390,'[1]Detail&lt;Child&gt;'!$A:$A,'[1]Detail&lt;Child&gt;'!$N:$N),'#참조'!P:P,'#참조'!Q:Q)</f>
        <v>1</v>
      </c>
      <c r="H390" s="1">
        <f>_xlfn.XLOOKUP(_xlfn.XLOOKUP(B390,'[1]Detail&lt;Child&gt;'!$A:$A,'[1]Detail&lt;Child&gt;'!$O:$O),'#참조'!R:R,'#참조'!S:S)</f>
        <v>5</v>
      </c>
      <c r="I390" s="1">
        <v>0</v>
      </c>
      <c r="J390" s="2">
        <v>3</v>
      </c>
      <c r="K390" s="2">
        <v>2</v>
      </c>
      <c r="L390" s="2">
        <v>6</v>
      </c>
      <c r="M390" s="2" t="s">
        <v>10</v>
      </c>
      <c r="N390" s="2" t="s">
        <v>407</v>
      </c>
      <c r="O390" s="2">
        <f t="shared" si="254"/>
        <v>3221</v>
      </c>
      <c r="P390" s="2" t="s">
        <v>194</v>
      </c>
      <c r="Q390" s="2" t="str">
        <f t="shared" si="290"/>
        <v>3713,4500</v>
      </c>
      <c r="R390" s="2">
        <f t="shared" si="255"/>
        <v>3713</v>
      </c>
      <c r="S390" s="2">
        <f t="shared" si="251"/>
        <v>4500</v>
      </c>
      <c r="T390" s="2" t="s">
        <v>195</v>
      </c>
      <c r="U390" s="2" t="str">
        <f t="shared" si="291"/>
        <v>250,300</v>
      </c>
      <c r="V390" s="2">
        <f t="shared" si="256"/>
        <v>250</v>
      </c>
      <c r="W390" s="2">
        <f t="shared" si="252"/>
        <v>300</v>
      </c>
      <c r="X390" s="2" t="s">
        <v>196</v>
      </c>
      <c r="Y390" s="2" t="str">
        <f t="shared" si="292"/>
        <v>298,400</v>
      </c>
      <c r="Z390" s="2">
        <f t="shared" si="257"/>
        <v>298</v>
      </c>
      <c r="AA390" s="2">
        <f t="shared" si="253"/>
        <v>400</v>
      </c>
      <c r="AB390" s="2">
        <v>95000</v>
      </c>
      <c r="AC390" s="2" t="str">
        <f>_xlfn.XLOOKUP(B390,'#캐릭터'!A:A,'#캐릭터'!B:B)</f>
        <v>바리</v>
      </c>
      <c r="AD390" s="2" t="str">
        <f t="shared" si="281"/>
        <v>Uncommon3_바리</v>
      </c>
      <c r="AE390" s="2">
        <f t="shared" si="293"/>
        <v>0</v>
      </c>
    </row>
    <row r="391" spans="1:31" x14ac:dyDescent="0.2">
      <c r="A391" s="2">
        <f t="shared" si="289"/>
        <v>10318007</v>
      </c>
      <c r="B391" s="1">
        <v>10000318</v>
      </c>
      <c r="C391" s="1" t="s">
        <v>281</v>
      </c>
      <c r="D391" s="1" t="s">
        <v>309</v>
      </c>
      <c r="E391" s="1" t="str">
        <f>"Persona_"&amp;_xlfn.XLOOKUP($B391, '#캐릭터'!$A:$A, '#캐릭터'!$C:$C)</f>
        <v>Persona_c318</v>
      </c>
      <c r="F391" s="1"/>
      <c r="G391" s="1">
        <f>_xlfn.XLOOKUP(_xlfn.XLOOKUP(B391,'[1]Detail&lt;Child&gt;'!$A:$A,'[1]Detail&lt;Child&gt;'!$N:$N),'#참조'!P:P,'#참조'!Q:Q)</f>
        <v>1</v>
      </c>
      <c r="H391" s="1">
        <f>_xlfn.XLOOKUP(_xlfn.XLOOKUP(B391,'[1]Detail&lt;Child&gt;'!$A:$A,'[1]Detail&lt;Child&gt;'!$O:$O),'#참조'!R:R,'#참조'!S:S)</f>
        <v>5</v>
      </c>
      <c r="I391" s="1">
        <v>1</v>
      </c>
      <c r="J391" s="2">
        <v>3</v>
      </c>
      <c r="K391" s="2">
        <v>3</v>
      </c>
      <c r="L391" s="2">
        <v>7</v>
      </c>
      <c r="M391" s="2" t="s">
        <v>11</v>
      </c>
      <c r="N391" s="2" t="s">
        <v>407</v>
      </c>
      <c r="O391" s="2">
        <f t="shared" si="254"/>
        <v>3543</v>
      </c>
      <c r="P391" s="2" t="s">
        <v>194</v>
      </c>
      <c r="Q391" s="2" t="str">
        <f t="shared" si="290"/>
        <v>4827,5800</v>
      </c>
      <c r="R391" s="2">
        <f t="shared" si="255"/>
        <v>4827</v>
      </c>
      <c r="S391" s="2">
        <f t="shared" si="251"/>
        <v>5800</v>
      </c>
      <c r="T391" s="2" t="s">
        <v>195</v>
      </c>
      <c r="U391" s="2" t="str">
        <f t="shared" si="291"/>
        <v>300,400</v>
      </c>
      <c r="V391" s="2">
        <f t="shared" si="256"/>
        <v>300</v>
      </c>
      <c r="W391" s="2">
        <f t="shared" si="252"/>
        <v>400</v>
      </c>
      <c r="X391" s="2" t="s">
        <v>196</v>
      </c>
      <c r="Y391" s="2" t="str">
        <f t="shared" si="292"/>
        <v>387,500</v>
      </c>
      <c r="Z391" s="2">
        <f t="shared" si="257"/>
        <v>387</v>
      </c>
      <c r="AA391" s="2">
        <f t="shared" si="253"/>
        <v>500</v>
      </c>
      <c r="AB391" s="2">
        <v>90000</v>
      </c>
      <c r="AC391" s="2" t="str">
        <f>_xlfn.XLOOKUP(B391,'#캐릭터'!A:A,'#캐릭터'!B:B)</f>
        <v>바리</v>
      </c>
      <c r="AD391" s="2" t="str">
        <f t="shared" si="281"/>
        <v>Rare1_바리</v>
      </c>
      <c r="AE391" s="2">
        <f t="shared" si="293"/>
        <v>1501</v>
      </c>
    </row>
    <row r="392" spans="1:31" x14ac:dyDescent="0.2">
      <c r="A392" s="2">
        <f t="shared" si="289"/>
        <v>10318008</v>
      </c>
      <c r="B392" s="1">
        <v>10000318</v>
      </c>
      <c r="C392" s="1" t="s">
        <v>281</v>
      </c>
      <c r="D392" s="1" t="s">
        <v>309</v>
      </c>
      <c r="E392" s="1" t="str">
        <f>"Persona_"&amp;_xlfn.XLOOKUP($B392, '#캐릭터'!$A:$A, '#캐릭터'!$C:$C)</f>
        <v>Persona_c318</v>
      </c>
      <c r="F392" s="1"/>
      <c r="G392" s="1">
        <f>_xlfn.XLOOKUP(_xlfn.XLOOKUP(B392,'[1]Detail&lt;Child&gt;'!$A:$A,'[1]Detail&lt;Child&gt;'!$N:$N),'#참조'!P:P,'#참조'!Q:Q)</f>
        <v>1</v>
      </c>
      <c r="H392" s="1">
        <f>_xlfn.XLOOKUP(_xlfn.XLOOKUP(B392,'[1]Detail&lt;Child&gt;'!$A:$A,'[1]Detail&lt;Child&gt;'!$O:$O),'#참조'!R:R,'#참조'!S:S)</f>
        <v>5</v>
      </c>
      <c r="I392" s="1">
        <v>1</v>
      </c>
      <c r="J392" s="2">
        <v>3</v>
      </c>
      <c r="K392" s="2">
        <v>3</v>
      </c>
      <c r="L392" s="2">
        <v>8</v>
      </c>
      <c r="M392" s="2" t="s">
        <v>12</v>
      </c>
      <c r="N392" s="2" t="s">
        <v>407</v>
      </c>
      <c r="O392" s="2">
        <f t="shared" si="254"/>
        <v>3897</v>
      </c>
      <c r="P392" s="2" t="s">
        <v>194</v>
      </c>
      <c r="Q392" s="2" t="str">
        <f t="shared" si="290"/>
        <v>6275,7500</v>
      </c>
      <c r="R392" s="2">
        <f t="shared" si="255"/>
        <v>6275</v>
      </c>
      <c r="S392" s="2">
        <f t="shared" si="251"/>
        <v>7500</v>
      </c>
      <c r="T392" s="2" t="s">
        <v>195</v>
      </c>
      <c r="U392" s="2" t="str">
        <f t="shared" si="291"/>
        <v>360,400</v>
      </c>
      <c r="V392" s="2">
        <f t="shared" si="256"/>
        <v>360</v>
      </c>
      <c r="W392" s="2">
        <f t="shared" si="252"/>
        <v>400</v>
      </c>
      <c r="X392" s="2" t="s">
        <v>196</v>
      </c>
      <c r="Y392" s="2" t="str">
        <f t="shared" si="292"/>
        <v>503,600</v>
      </c>
      <c r="Z392" s="2">
        <f t="shared" si="257"/>
        <v>503</v>
      </c>
      <c r="AA392" s="2">
        <f t="shared" si="253"/>
        <v>600</v>
      </c>
      <c r="AB392" s="2">
        <v>90000</v>
      </c>
      <c r="AC392" s="2" t="str">
        <f>_xlfn.XLOOKUP(B392,'#캐릭터'!A:A,'#캐릭터'!B:B)</f>
        <v>바리</v>
      </c>
      <c r="AD392" s="2" t="str">
        <f t="shared" si="281"/>
        <v>Rare2_바리</v>
      </c>
      <c r="AE392" s="2">
        <f t="shared" si="293"/>
        <v>1501</v>
      </c>
    </row>
    <row r="393" spans="1:31" x14ac:dyDescent="0.2">
      <c r="A393" s="2">
        <f t="shared" si="289"/>
        <v>10318009</v>
      </c>
      <c r="B393" s="1">
        <v>10000318</v>
      </c>
      <c r="C393" s="1" t="s">
        <v>281</v>
      </c>
      <c r="D393" s="1" t="s">
        <v>309</v>
      </c>
      <c r="E393" s="1" t="str">
        <f>"Persona_"&amp;_xlfn.XLOOKUP($B393, '#캐릭터'!$A:$A, '#캐릭터'!$C:$C)</f>
        <v>Persona_c318</v>
      </c>
      <c r="F393" s="1"/>
      <c r="G393" s="1">
        <f>_xlfn.XLOOKUP(_xlfn.XLOOKUP(B393,'[1]Detail&lt;Child&gt;'!$A:$A,'[1]Detail&lt;Child&gt;'!$N:$N),'#참조'!P:P,'#참조'!Q:Q)</f>
        <v>1</v>
      </c>
      <c r="H393" s="1">
        <f>_xlfn.XLOOKUP(_xlfn.XLOOKUP(B393,'[1]Detail&lt;Child&gt;'!$A:$A,'[1]Detail&lt;Child&gt;'!$O:$O),'#참조'!R:R,'#참조'!S:S)</f>
        <v>5</v>
      </c>
      <c r="I393" s="1">
        <v>2</v>
      </c>
      <c r="J393" s="2">
        <v>3</v>
      </c>
      <c r="K393" s="2">
        <v>3</v>
      </c>
      <c r="L393" s="2">
        <v>9</v>
      </c>
      <c r="M393" s="2" t="s">
        <v>13</v>
      </c>
      <c r="N393" s="2" t="s">
        <v>407</v>
      </c>
      <c r="O393" s="2">
        <f t="shared" si="254"/>
        <v>4287</v>
      </c>
      <c r="P393" s="2" t="s">
        <v>194</v>
      </c>
      <c r="Q393" s="2" t="str">
        <f t="shared" si="290"/>
        <v>8158,9800</v>
      </c>
      <c r="R393" s="2">
        <f t="shared" si="255"/>
        <v>8158</v>
      </c>
      <c r="S393" s="2">
        <f t="shared" si="251"/>
        <v>9800</v>
      </c>
      <c r="T393" s="2" t="s">
        <v>195</v>
      </c>
      <c r="U393" s="2" t="str">
        <f t="shared" si="291"/>
        <v>432,500</v>
      </c>
      <c r="V393" s="2">
        <f t="shared" si="256"/>
        <v>432</v>
      </c>
      <c r="W393" s="2">
        <f t="shared" si="252"/>
        <v>500</v>
      </c>
      <c r="X393" s="2" t="s">
        <v>196</v>
      </c>
      <c r="Y393" s="2" t="str">
        <f t="shared" si="292"/>
        <v>654,800</v>
      </c>
      <c r="Z393" s="2">
        <f t="shared" si="257"/>
        <v>654</v>
      </c>
      <c r="AA393" s="2">
        <f t="shared" si="253"/>
        <v>800</v>
      </c>
      <c r="AB393" s="2">
        <v>90000</v>
      </c>
      <c r="AC393" s="2" t="str">
        <f>_xlfn.XLOOKUP(B393,'#캐릭터'!A:A,'#캐릭터'!B:B)</f>
        <v>바리</v>
      </c>
      <c r="AD393" s="2" t="str">
        <f t="shared" si="281"/>
        <v>Rare3_바리</v>
      </c>
      <c r="AE393" s="2">
        <f t="shared" si="293"/>
        <v>1502</v>
      </c>
    </row>
    <row r="394" spans="1:31" x14ac:dyDescent="0.2">
      <c r="A394" s="2">
        <f t="shared" si="289"/>
        <v>10318010</v>
      </c>
      <c r="B394" s="1">
        <v>10000318</v>
      </c>
      <c r="C394" s="1" t="s">
        <v>281</v>
      </c>
      <c r="D394" s="1" t="s">
        <v>309</v>
      </c>
      <c r="E394" s="1" t="str">
        <f>"Persona_"&amp;_xlfn.XLOOKUP($B394, '#캐릭터'!$A:$A, '#캐릭터'!$C:$C)</f>
        <v>Persona_c318</v>
      </c>
      <c r="F394" s="1"/>
      <c r="G394" s="1">
        <f>_xlfn.XLOOKUP(_xlfn.XLOOKUP(B394,'[1]Detail&lt;Child&gt;'!$A:$A,'[1]Detail&lt;Child&gt;'!$N:$N),'#참조'!P:P,'#참조'!Q:Q)</f>
        <v>1</v>
      </c>
      <c r="H394" s="1">
        <f>_xlfn.XLOOKUP(_xlfn.XLOOKUP(B394,'[1]Detail&lt;Child&gt;'!$A:$A,'[1]Detail&lt;Child&gt;'!$O:$O),'#참조'!R:R,'#참조'!S:S)</f>
        <v>5</v>
      </c>
      <c r="I394" s="1">
        <v>2</v>
      </c>
      <c r="J394" s="2">
        <v>3</v>
      </c>
      <c r="K394" s="2">
        <v>4</v>
      </c>
      <c r="L394" s="2">
        <v>10</v>
      </c>
      <c r="M394" s="2" t="s">
        <v>14</v>
      </c>
      <c r="N394" s="2" t="s">
        <v>407</v>
      </c>
      <c r="O394" s="2">
        <f t="shared" si="254"/>
        <v>4716</v>
      </c>
      <c r="P394" s="2" t="s">
        <v>194</v>
      </c>
      <c r="Q394" s="2" t="str">
        <f t="shared" si="290"/>
        <v>10605,12700</v>
      </c>
      <c r="R394" s="2">
        <f t="shared" si="255"/>
        <v>10605</v>
      </c>
      <c r="S394" s="2">
        <f t="shared" si="251"/>
        <v>12700</v>
      </c>
      <c r="T394" s="2" t="s">
        <v>195</v>
      </c>
      <c r="U394" s="2" t="str">
        <f t="shared" si="291"/>
        <v>518,600</v>
      </c>
      <c r="V394" s="2">
        <f t="shared" si="256"/>
        <v>518</v>
      </c>
      <c r="W394" s="2">
        <f t="shared" si="252"/>
        <v>600</v>
      </c>
      <c r="X394" s="2" t="s">
        <v>196</v>
      </c>
      <c r="Y394" s="2" t="str">
        <f t="shared" si="292"/>
        <v>850,1000</v>
      </c>
      <c r="Z394" s="2">
        <f t="shared" si="257"/>
        <v>850</v>
      </c>
      <c r="AA394" s="2">
        <f t="shared" si="253"/>
        <v>1000</v>
      </c>
      <c r="AB394" s="2">
        <v>85000</v>
      </c>
      <c r="AC394" s="2" t="str">
        <f>_xlfn.XLOOKUP(B394,'#캐릭터'!A:A,'#캐릭터'!B:B)</f>
        <v>바리</v>
      </c>
      <c r="AD394" s="2" t="str">
        <f t="shared" si="281"/>
        <v>Unique1_바리</v>
      </c>
      <c r="AE394" s="2">
        <f t="shared" si="293"/>
        <v>1502</v>
      </c>
    </row>
    <row r="395" spans="1:31" x14ac:dyDescent="0.2">
      <c r="A395" s="2">
        <f t="shared" si="289"/>
        <v>10318011</v>
      </c>
      <c r="B395" s="1">
        <v>10000318</v>
      </c>
      <c r="C395" s="1" t="s">
        <v>281</v>
      </c>
      <c r="D395" s="1" t="s">
        <v>309</v>
      </c>
      <c r="E395" s="1" t="str">
        <f>"Persona_"&amp;_xlfn.XLOOKUP($B395, '#캐릭터'!$A:$A, '#캐릭터'!$C:$C)</f>
        <v>Persona_c318</v>
      </c>
      <c r="F395" s="1"/>
      <c r="G395" s="1">
        <f>_xlfn.XLOOKUP(_xlfn.XLOOKUP(B395,'[1]Detail&lt;Child&gt;'!$A:$A,'[1]Detail&lt;Child&gt;'!$N:$N),'#참조'!P:P,'#참조'!Q:Q)</f>
        <v>1</v>
      </c>
      <c r="H395" s="1">
        <f>_xlfn.XLOOKUP(_xlfn.XLOOKUP(B395,'[1]Detail&lt;Child&gt;'!$A:$A,'[1]Detail&lt;Child&gt;'!$O:$O),'#참조'!R:R,'#참조'!S:S)</f>
        <v>5</v>
      </c>
      <c r="I395" s="1">
        <v>3</v>
      </c>
      <c r="J395" s="2">
        <v>3</v>
      </c>
      <c r="K395" s="2">
        <v>4</v>
      </c>
      <c r="L395" s="2">
        <v>11</v>
      </c>
      <c r="M395" s="2" t="s">
        <v>15</v>
      </c>
      <c r="N395" s="2" t="s">
        <v>407</v>
      </c>
      <c r="O395" s="2">
        <f t="shared" si="254"/>
        <v>5188</v>
      </c>
      <c r="P395" s="2" t="s">
        <v>194</v>
      </c>
      <c r="Q395" s="2" t="str">
        <f t="shared" si="290"/>
        <v>13787,16500</v>
      </c>
      <c r="R395" s="2">
        <f t="shared" si="255"/>
        <v>13787</v>
      </c>
      <c r="S395" s="2">
        <f t="shared" si="251"/>
        <v>16500</v>
      </c>
      <c r="T395" s="2" t="s">
        <v>195</v>
      </c>
      <c r="U395" s="2" t="str">
        <f t="shared" si="291"/>
        <v>622,700</v>
      </c>
      <c r="V395" s="2">
        <f t="shared" si="256"/>
        <v>622</v>
      </c>
      <c r="W395" s="2">
        <f t="shared" si="252"/>
        <v>700</v>
      </c>
      <c r="X395" s="2" t="s">
        <v>196</v>
      </c>
      <c r="Y395" s="2" t="str">
        <f t="shared" si="292"/>
        <v>1105,1300</v>
      </c>
      <c r="Z395" s="2">
        <f t="shared" si="257"/>
        <v>1105</v>
      </c>
      <c r="AA395" s="2">
        <f t="shared" si="253"/>
        <v>1300</v>
      </c>
      <c r="AB395" s="2">
        <v>85000</v>
      </c>
      <c r="AC395" s="2" t="str">
        <f>_xlfn.XLOOKUP(B395,'#캐릭터'!A:A,'#캐릭터'!B:B)</f>
        <v>바리</v>
      </c>
      <c r="AD395" s="2" t="str">
        <f t="shared" si="281"/>
        <v>Unique2_바리</v>
      </c>
      <c r="AE395" s="2">
        <f t="shared" si="293"/>
        <v>1503</v>
      </c>
    </row>
    <row r="396" spans="1:31" x14ac:dyDescent="0.2">
      <c r="A396" s="2">
        <f t="shared" si="289"/>
        <v>10318012</v>
      </c>
      <c r="B396" s="1">
        <v>10000318</v>
      </c>
      <c r="C396" s="1" t="s">
        <v>281</v>
      </c>
      <c r="D396" s="1" t="s">
        <v>309</v>
      </c>
      <c r="E396" s="1" t="str">
        <f>"Persona_"&amp;_xlfn.XLOOKUP($B396, '#캐릭터'!$A:$A, '#캐릭터'!$C:$C)</f>
        <v>Persona_c318</v>
      </c>
      <c r="F396" s="1"/>
      <c r="G396" s="1">
        <f>_xlfn.XLOOKUP(_xlfn.XLOOKUP(B396,'[1]Detail&lt;Child&gt;'!$A:$A,'[1]Detail&lt;Child&gt;'!$N:$N),'#참조'!P:P,'#참조'!Q:Q)</f>
        <v>1</v>
      </c>
      <c r="H396" s="1">
        <f>_xlfn.XLOOKUP(_xlfn.XLOOKUP(B396,'[1]Detail&lt;Child&gt;'!$A:$A,'[1]Detail&lt;Child&gt;'!$O:$O),'#참조'!R:R,'#참조'!S:S)</f>
        <v>5</v>
      </c>
      <c r="I396" s="1">
        <v>3</v>
      </c>
      <c r="J396" s="2">
        <v>3</v>
      </c>
      <c r="K396" s="2">
        <v>4</v>
      </c>
      <c r="L396" s="2">
        <v>12</v>
      </c>
      <c r="M396" s="2" t="s">
        <v>16</v>
      </c>
      <c r="N396" s="2" t="s">
        <v>407</v>
      </c>
      <c r="O396" s="2">
        <f t="shared" si="254"/>
        <v>5707</v>
      </c>
      <c r="P396" s="2" t="s">
        <v>194</v>
      </c>
      <c r="Q396" s="2" t="str">
        <f t="shared" si="290"/>
        <v>17923,21500</v>
      </c>
      <c r="R396" s="2">
        <f t="shared" si="255"/>
        <v>17923</v>
      </c>
      <c r="S396" s="2">
        <f t="shared" si="251"/>
        <v>21500</v>
      </c>
      <c r="T396" s="2" t="s">
        <v>195</v>
      </c>
      <c r="U396" s="2" t="str">
        <f t="shared" si="291"/>
        <v>746,900</v>
      </c>
      <c r="V396" s="2">
        <f t="shared" si="256"/>
        <v>746</v>
      </c>
      <c r="W396" s="2">
        <f t="shared" si="252"/>
        <v>900</v>
      </c>
      <c r="X396" s="2" t="s">
        <v>196</v>
      </c>
      <c r="Y396" s="2" t="str">
        <f t="shared" si="292"/>
        <v>1437,1700</v>
      </c>
      <c r="Z396" s="2">
        <f t="shared" si="257"/>
        <v>1437</v>
      </c>
      <c r="AA396" s="2">
        <f t="shared" si="253"/>
        <v>1700</v>
      </c>
      <c r="AB396" s="2">
        <v>85000</v>
      </c>
      <c r="AC396" s="2" t="str">
        <f>_xlfn.XLOOKUP(B396,'#캐릭터'!A:A,'#캐릭터'!B:B)</f>
        <v>바리</v>
      </c>
      <c r="AD396" s="2" t="str">
        <f t="shared" si="281"/>
        <v>Unique3_바리</v>
      </c>
      <c r="AE396" s="2">
        <f t="shared" si="293"/>
        <v>1503</v>
      </c>
    </row>
    <row r="397" spans="1:31" x14ac:dyDescent="0.2">
      <c r="A397" s="2">
        <f t="shared" si="289"/>
        <v>10318013</v>
      </c>
      <c r="B397" s="1">
        <v>10000318</v>
      </c>
      <c r="C397" s="1" t="s">
        <v>281</v>
      </c>
      <c r="D397" s="1" t="s">
        <v>309</v>
      </c>
      <c r="E397" s="1" t="str">
        <f>"Persona_"&amp;_xlfn.XLOOKUP($B397, '#캐릭터'!$A:$A, '#캐릭터'!$C:$C)</f>
        <v>Persona_c318</v>
      </c>
      <c r="F397" s="1"/>
      <c r="G397" s="1">
        <f>_xlfn.XLOOKUP(_xlfn.XLOOKUP(B397,'[1]Detail&lt;Child&gt;'!$A:$A,'[1]Detail&lt;Child&gt;'!$N:$N),'#참조'!P:P,'#참조'!Q:Q)</f>
        <v>1</v>
      </c>
      <c r="H397" s="1">
        <f>_xlfn.XLOOKUP(_xlfn.XLOOKUP(B397,'[1]Detail&lt;Child&gt;'!$A:$A,'[1]Detail&lt;Child&gt;'!$O:$O),'#참조'!R:R,'#참조'!S:S)</f>
        <v>5</v>
      </c>
      <c r="I397" s="1">
        <v>4</v>
      </c>
      <c r="J397" s="2">
        <v>3</v>
      </c>
      <c r="K397" s="2">
        <v>5</v>
      </c>
      <c r="L397" s="2">
        <v>13</v>
      </c>
      <c r="M397" s="2" t="s">
        <v>17</v>
      </c>
      <c r="N397" s="2" t="s">
        <v>407</v>
      </c>
      <c r="O397" s="2">
        <f t="shared" si="254"/>
        <v>6278</v>
      </c>
      <c r="P397" s="2" t="s">
        <v>194</v>
      </c>
      <c r="Q397" s="2" t="str">
        <f t="shared" si="290"/>
        <v>23300,28000</v>
      </c>
      <c r="R397" s="2">
        <f t="shared" si="255"/>
        <v>23300</v>
      </c>
      <c r="S397" s="2">
        <f t="shared" si="251"/>
        <v>28000</v>
      </c>
      <c r="T397" s="2" t="s">
        <v>195</v>
      </c>
      <c r="U397" s="2" t="str">
        <f t="shared" si="291"/>
        <v>895,1100</v>
      </c>
      <c r="V397" s="2">
        <f t="shared" si="256"/>
        <v>895</v>
      </c>
      <c r="W397" s="2">
        <f t="shared" si="252"/>
        <v>1100</v>
      </c>
      <c r="X397" s="2" t="s">
        <v>196</v>
      </c>
      <c r="Y397" s="2" t="str">
        <f t="shared" si="292"/>
        <v>1868,2200</v>
      </c>
      <c r="Z397" s="2">
        <f t="shared" si="257"/>
        <v>1868</v>
      </c>
      <c r="AA397" s="2">
        <f t="shared" si="253"/>
        <v>2200</v>
      </c>
      <c r="AB397" s="2">
        <v>80000</v>
      </c>
      <c r="AC397" s="2" t="str">
        <f>_xlfn.XLOOKUP(B397,'#캐릭터'!A:A,'#캐릭터'!B:B)</f>
        <v>바리</v>
      </c>
      <c r="AD397" s="2" t="str">
        <f t="shared" si="281"/>
        <v>Epic1_바리</v>
      </c>
      <c r="AE397" s="2">
        <f t="shared" si="293"/>
        <v>1504</v>
      </c>
    </row>
    <row r="398" spans="1:31" x14ac:dyDescent="0.2">
      <c r="A398" s="2">
        <f t="shared" si="289"/>
        <v>10318014</v>
      </c>
      <c r="B398" s="1">
        <v>10000318</v>
      </c>
      <c r="C398" s="1" t="s">
        <v>281</v>
      </c>
      <c r="D398" s="1" t="s">
        <v>309</v>
      </c>
      <c r="E398" s="1" t="str">
        <f>"Persona_"&amp;_xlfn.XLOOKUP($B398, '#캐릭터'!$A:$A, '#캐릭터'!$C:$C)</f>
        <v>Persona_c318</v>
      </c>
      <c r="F398" s="1"/>
      <c r="G398" s="1">
        <f>_xlfn.XLOOKUP(_xlfn.XLOOKUP(B398,'[1]Detail&lt;Child&gt;'!$A:$A,'[1]Detail&lt;Child&gt;'!$N:$N),'#참조'!P:P,'#참조'!Q:Q)</f>
        <v>1</v>
      </c>
      <c r="H398" s="1">
        <f>_xlfn.XLOOKUP(_xlfn.XLOOKUP(B398,'[1]Detail&lt;Child&gt;'!$A:$A,'[1]Detail&lt;Child&gt;'!$O:$O),'#참조'!R:R,'#참조'!S:S)</f>
        <v>5</v>
      </c>
      <c r="I398" s="1">
        <v>4</v>
      </c>
      <c r="J398" s="2">
        <v>3</v>
      </c>
      <c r="K398" s="2">
        <v>5</v>
      </c>
      <c r="L398" s="2">
        <v>14</v>
      </c>
      <c r="M398" s="2" t="s">
        <v>18</v>
      </c>
      <c r="N398" s="2" t="s">
        <v>407</v>
      </c>
      <c r="O398" s="2">
        <f t="shared" si="254"/>
        <v>6906</v>
      </c>
      <c r="P398" s="2" t="s">
        <v>194</v>
      </c>
      <c r="Q398" s="2" t="str">
        <f t="shared" si="290"/>
        <v>30290,36300</v>
      </c>
      <c r="R398" s="2">
        <f t="shared" si="255"/>
        <v>30290</v>
      </c>
      <c r="S398" s="2">
        <f t="shared" si="251"/>
        <v>36300</v>
      </c>
      <c r="T398" s="2" t="s">
        <v>195</v>
      </c>
      <c r="U398" s="2" t="str">
        <f t="shared" si="291"/>
        <v>1074,1300</v>
      </c>
      <c r="V398" s="2">
        <f t="shared" si="256"/>
        <v>1074</v>
      </c>
      <c r="W398" s="2">
        <f t="shared" si="252"/>
        <v>1300</v>
      </c>
      <c r="X398" s="2" t="s">
        <v>196</v>
      </c>
      <c r="Y398" s="2" t="str">
        <f t="shared" si="292"/>
        <v>2428,2900</v>
      </c>
      <c r="Z398" s="2">
        <f t="shared" si="257"/>
        <v>2428</v>
      </c>
      <c r="AA398" s="2">
        <f t="shared" si="253"/>
        <v>2900</v>
      </c>
      <c r="AB398" s="2">
        <v>80000</v>
      </c>
      <c r="AC398" s="2" t="str">
        <f>_xlfn.XLOOKUP(B398,'#캐릭터'!A:A,'#캐릭터'!B:B)</f>
        <v>바리</v>
      </c>
      <c r="AD398" s="2" t="str">
        <f t="shared" si="281"/>
        <v>Epic2_바리</v>
      </c>
      <c r="AE398" s="2">
        <f t="shared" si="293"/>
        <v>1504</v>
      </c>
    </row>
    <row r="399" spans="1:31" x14ac:dyDescent="0.2">
      <c r="A399" s="2">
        <f t="shared" si="289"/>
        <v>10318015</v>
      </c>
      <c r="B399" s="1">
        <v>10000318</v>
      </c>
      <c r="C399" s="1" t="s">
        <v>281</v>
      </c>
      <c r="D399" s="1" t="s">
        <v>309</v>
      </c>
      <c r="E399" s="1" t="str">
        <f>"Persona_"&amp;_xlfn.XLOOKUP($B399, '#캐릭터'!$A:$A, '#캐릭터'!$C:$C)</f>
        <v>Persona_c318</v>
      </c>
      <c r="F399" s="1"/>
      <c r="G399" s="1">
        <f>_xlfn.XLOOKUP(_xlfn.XLOOKUP(B399,'[1]Detail&lt;Child&gt;'!$A:$A,'[1]Detail&lt;Child&gt;'!$N:$N),'#참조'!P:P,'#참조'!Q:Q)</f>
        <v>1</v>
      </c>
      <c r="H399" s="1">
        <f>_xlfn.XLOOKUP(_xlfn.XLOOKUP(B399,'[1]Detail&lt;Child&gt;'!$A:$A,'[1]Detail&lt;Child&gt;'!$O:$O),'#참조'!R:R,'#참조'!S:S)</f>
        <v>5</v>
      </c>
      <c r="I399" s="1">
        <v>5</v>
      </c>
      <c r="J399" s="2">
        <v>3</v>
      </c>
      <c r="K399" s="2">
        <v>5</v>
      </c>
      <c r="L399" s="2">
        <v>15</v>
      </c>
      <c r="M399" s="2" t="s">
        <v>19</v>
      </c>
      <c r="N399" s="2" t="s">
        <v>407</v>
      </c>
      <c r="O399" s="2">
        <f t="shared" si="254"/>
        <v>7597</v>
      </c>
      <c r="P399" s="2" t="s">
        <v>194</v>
      </c>
      <c r="Q399" s="2" t="str">
        <f t="shared" si="290"/>
        <v>39377,47300</v>
      </c>
      <c r="R399" s="2">
        <f t="shared" si="255"/>
        <v>39377</v>
      </c>
      <c r="S399" s="2">
        <f t="shared" si="251"/>
        <v>47300</v>
      </c>
      <c r="T399" s="2" t="s">
        <v>195</v>
      </c>
      <c r="U399" s="2" t="str">
        <f t="shared" si="291"/>
        <v>1289,1500</v>
      </c>
      <c r="V399" s="2">
        <f t="shared" si="256"/>
        <v>1289</v>
      </c>
      <c r="W399" s="2">
        <f t="shared" si="252"/>
        <v>1500</v>
      </c>
      <c r="X399" s="2" t="s">
        <v>196</v>
      </c>
      <c r="Y399" s="2" t="str">
        <f t="shared" si="292"/>
        <v>3156,3800</v>
      </c>
      <c r="Z399" s="2">
        <f t="shared" si="257"/>
        <v>3156</v>
      </c>
      <c r="AA399" s="2">
        <f t="shared" si="253"/>
        <v>3800</v>
      </c>
      <c r="AB399" s="2">
        <v>80000</v>
      </c>
      <c r="AC399" s="2" t="str">
        <f>_xlfn.XLOOKUP(B399,'#캐릭터'!A:A,'#캐릭터'!B:B)</f>
        <v>바리</v>
      </c>
      <c r="AD399" s="2" t="str">
        <f t="shared" si="281"/>
        <v>Epic3_바리</v>
      </c>
      <c r="AE399" s="2">
        <f t="shared" si="293"/>
        <v>1505</v>
      </c>
    </row>
    <row r="400" spans="1:31" x14ac:dyDescent="0.2">
      <c r="A400" s="2">
        <f t="shared" si="289"/>
        <v>10318016</v>
      </c>
      <c r="B400" s="1">
        <v>10000318</v>
      </c>
      <c r="C400" s="1" t="s">
        <v>281</v>
      </c>
      <c r="D400" s="1" t="s">
        <v>309</v>
      </c>
      <c r="E400" s="1" t="str">
        <f>"Persona_"&amp;_xlfn.XLOOKUP($B400, '#캐릭터'!$A:$A, '#캐릭터'!$C:$C)</f>
        <v>Persona_c318</v>
      </c>
      <c r="F400" s="1"/>
      <c r="G400" s="1">
        <f>_xlfn.XLOOKUP(_xlfn.XLOOKUP(B400,'[1]Detail&lt;Child&gt;'!$A:$A,'[1]Detail&lt;Child&gt;'!$N:$N),'#참조'!P:P,'#참조'!Q:Q)</f>
        <v>1</v>
      </c>
      <c r="H400" s="1">
        <f>_xlfn.XLOOKUP(_xlfn.XLOOKUP(B400,'[1]Detail&lt;Child&gt;'!$A:$A,'[1]Detail&lt;Child&gt;'!$O:$O),'#참조'!R:R,'#참조'!S:S)</f>
        <v>5</v>
      </c>
      <c r="I400" s="1">
        <v>5</v>
      </c>
      <c r="J400" s="2">
        <v>3</v>
      </c>
      <c r="K400" s="2">
        <v>6</v>
      </c>
      <c r="L400" s="2">
        <v>16</v>
      </c>
      <c r="M400" s="2" t="s">
        <v>20</v>
      </c>
      <c r="N400" s="2" t="s">
        <v>407</v>
      </c>
      <c r="O400" s="2">
        <f t="shared" si="254"/>
        <v>8357</v>
      </c>
      <c r="P400" s="2" t="s">
        <v>194</v>
      </c>
      <c r="Q400" s="2" t="str">
        <f t="shared" si="290"/>
        <v>51190,61400</v>
      </c>
      <c r="R400" s="2">
        <f t="shared" si="255"/>
        <v>51190</v>
      </c>
      <c r="S400" s="2">
        <f t="shared" si="251"/>
        <v>61400</v>
      </c>
      <c r="T400" s="2" t="s">
        <v>195</v>
      </c>
      <c r="U400" s="2" t="str">
        <f t="shared" si="291"/>
        <v>1547,1900</v>
      </c>
      <c r="V400" s="2">
        <f t="shared" si="256"/>
        <v>1547</v>
      </c>
      <c r="W400" s="2">
        <f t="shared" si="252"/>
        <v>1900</v>
      </c>
      <c r="X400" s="2" t="s">
        <v>196</v>
      </c>
      <c r="Y400" s="2" t="str">
        <f t="shared" si="292"/>
        <v>4103,4900</v>
      </c>
      <c r="Z400" s="2">
        <f t="shared" si="257"/>
        <v>4103</v>
      </c>
      <c r="AA400" s="2">
        <f t="shared" si="253"/>
        <v>4900</v>
      </c>
      <c r="AB400" s="2">
        <v>75000</v>
      </c>
      <c r="AC400" s="2" t="str">
        <f>_xlfn.XLOOKUP(B400,'#캐릭터'!A:A,'#캐릭터'!B:B)</f>
        <v>바리</v>
      </c>
      <c r="AD400" s="2" t="str">
        <f t="shared" si="281"/>
        <v>Legendary1_바리</v>
      </c>
      <c r="AE400" s="2">
        <f t="shared" si="293"/>
        <v>1505</v>
      </c>
    </row>
    <row r="401" spans="1:31" x14ac:dyDescent="0.2">
      <c r="A401" s="2">
        <f t="shared" si="289"/>
        <v>10318017</v>
      </c>
      <c r="B401" s="1">
        <v>10000318</v>
      </c>
      <c r="C401" s="1" t="s">
        <v>281</v>
      </c>
      <c r="D401" s="1" t="s">
        <v>309</v>
      </c>
      <c r="E401" s="1" t="str">
        <f>"Persona_"&amp;_xlfn.XLOOKUP($B401, '#캐릭터'!$A:$A, '#캐릭터'!$C:$C)</f>
        <v>Persona_c318</v>
      </c>
      <c r="F401" s="1"/>
      <c r="G401" s="1">
        <f>_xlfn.XLOOKUP(_xlfn.XLOOKUP(B401,'[1]Detail&lt;Child&gt;'!$A:$A,'[1]Detail&lt;Child&gt;'!$N:$N),'#참조'!P:P,'#참조'!Q:Q)</f>
        <v>1</v>
      </c>
      <c r="H401" s="1">
        <f>_xlfn.XLOOKUP(_xlfn.XLOOKUP(B401,'[1]Detail&lt;Child&gt;'!$A:$A,'[1]Detail&lt;Child&gt;'!$O:$O),'#참조'!R:R,'#참조'!S:S)</f>
        <v>5</v>
      </c>
      <c r="I401" s="1">
        <v>6</v>
      </c>
      <c r="J401" s="2">
        <v>3</v>
      </c>
      <c r="K401" s="2">
        <v>6</v>
      </c>
      <c r="L401" s="2">
        <v>17</v>
      </c>
      <c r="M401" s="2" t="s">
        <v>21</v>
      </c>
      <c r="N401" s="2" t="s">
        <v>407</v>
      </c>
      <c r="O401" s="2">
        <f t="shared" si="254"/>
        <v>9193</v>
      </c>
      <c r="P401" s="2" t="s">
        <v>194</v>
      </c>
      <c r="Q401" s="2" t="str">
        <f t="shared" si="290"/>
        <v>66547,79900</v>
      </c>
      <c r="R401" s="2">
        <f t="shared" si="255"/>
        <v>66547</v>
      </c>
      <c r="S401" s="2">
        <f t="shared" si="251"/>
        <v>79900</v>
      </c>
      <c r="T401" s="2" t="s">
        <v>195</v>
      </c>
      <c r="U401" s="2" t="str">
        <f t="shared" si="291"/>
        <v>1856,2200</v>
      </c>
      <c r="V401" s="2">
        <f t="shared" si="256"/>
        <v>1856</v>
      </c>
      <c r="W401" s="2">
        <f t="shared" si="252"/>
        <v>2200</v>
      </c>
      <c r="X401" s="2" t="s">
        <v>196</v>
      </c>
      <c r="Y401" s="2" t="str">
        <f t="shared" si="292"/>
        <v>5334,6400</v>
      </c>
      <c r="Z401" s="2">
        <f t="shared" si="257"/>
        <v>5334</v>
      </c>
      <c r="AA401" s="2">
        <f t="shared" si="253"/>
        <v>6400</v>
      </c>
      <c r="AB401" s="2">
        <v>75000</v>
      </c>
      <c r="AC401" s="2" t="str">
        <f>_xlfn.XLOOKUP(B401,'#캐릭터'!A:A,'#캐릭터'!B:B)</f>
        <v>바리</v>
      </c>
      <c r="AD401" s="2" t="str">
        <f t="shared" si="281"/>
        <v>Legendary2_바리</v>
      </c>
      <c r="AE401" s="2">
        <f t="shared" si="293"/>
        <v>1506</v>
      </c>
    </row>
    <row r="402" spans="1:31" x14ac:dyDescent="0.2">
      <c r="A402" s="2">
        <f t="shared" si="289"/>
        <v>10318018</v>
      </c>
      <c r="B402" s="1">
        <v>10000318</v>
      </c>
      <c r="C402" s="1" t="s">
        <v>281</v>
      </c>
      <c r="D402" s="1" t="s">
        <v>309</v>
      </c>
      <c r="E402" s="1" t="str">
        <f>"Persona_"&amp;_xlfn.XLOOKUP($B402, '#캐릭터'!$A:$A, '#캐릭터'!$C:$C)</f>
        <v>Persona_c318</v>
      </c>
      <c r="F402" s="1"/>
      <c r="G402" s="1">
        <f>_xlfn.XLOOKUP(_xlfn.XLOOKUP(B402,'[1]Detail&lt;Child&gt;'!$A:$A,'[1]Detail&lt;Child&gt;'!$N:$N),'#참조'!P:P,'#참조'!Q:Q)</f>
        <v>1</v>
      </c>
      <c r="H402" s="1">
        <f>_xlfn.XLOOKUP(_xlfn.XLOOKUP(B402,'[1]Detail&lt;Child&gt;'!$A:$A,'[1]Detail&lt;Child&gt;'!$O:$O),'#참조'!R:R,'#참조'!S:S)</f>
        <v>5</v>
      </c>
      <c r="I402" s="1">
        <v>6</v>
      </c>
      <c r="J402" s="2">
        <v>3</v>
      </c>
      <c r="K402" s="2">
        <v>6</v>
      </c>
      <c r="L402" s="2">
        <v>18</v>
      </c>
      <c r="M402" s="2" t="s">
        <v>22</v>
      </c>
      <c r="N402" s="2" t="s">
        <v>407</v>
      </c>
      <c r="O402" s="2">
        <f t="shared" si="254"/>
        <v>10112</v>
      </c>
      <c r="P402" s="2" t="s">
        <v>194</v>
      </c>
      <c r="Q402" s="2" t="str">
        <f t="shared" si="290"/>
        <v>86511,103800</v>
      </c>
      <c r="R402" s="2">
        <f t="shared" si="255"/>
        <v>86511</v>
      </c>
      <c r="S402" s="2">
        <f t="shared" si="251"/>
        <v>103800</v>
      </c>
      <c r="T402" s="2" t="s">
        <v>195</v>
      </c>
      <c r="U402" s="2" t="str">
        <f t="shared" si="291"/>
        <v>2227,2700</v>
      </c>
      <c r="V402" s="2">
        <f t="shared" si="256"/>
        <v>2227</v>
      </c>
      <c r="W402" s="2">
        <f t="shared" si="252"/>
        <v>2700</v>
      </c>
      <c r="X402" s="2" t="s">
        <v>196</v>
      </c>
      <c r="Y402" s="2" t="str">
        <f t="shared" si="292"/>
        <v>6934,8300</v>
      </c>
      <c r="Z402" s="2">
        <f t="shared" si="257"/>
        <v>6934</v>
      </c>
      <c r="AA402" s="2">
        <f t="shared" si="253"/>
        <v>8300</v>
      </c>
      <c r="AB402" s="2">
        <v>75000</v>
      </c>
      <c r="AC402" s="2" t="str">
        <f>_xlfn.XLOOKUP(B402,'#캐릭터'!A:A,'#캐릭터'!B:B)</f>
        <v>바리</v>
      </c>
      <c r="AD402" s="2" t="str">
        <f t="shared" si="281"/>
        <v>Legendary3_바리</v>
      </c>
      <c r="AE402" s="2">
        <f t="shared" si="293"/>
        <v>1506</v>
      </c>
    </row>
    <row r="403" spans="1:31" x14ac:dyDescent="0.2">
      <c r="A403" s="2">
        <f t="shared" si="289"/>
        <v>10525000</v>
      </c>
      <c r="B403" s="1">
        <v>10000525</v>
      </c>
      <c r="C403" s="1" t="s">
        <v>281</v>
      </c>
      <c r="D403" s="1" t="s">
        <v>309</v>
      </c>
      <c r="E403" s="1" t="str">
        <f>"Persona_"&amp;_xlfn.XLOOKUP($B403, '#캐릭터'!$A:$A, '#캐릭터'!$C:$C)</f>
        <v>Persona_c525</v>
      </c>
      <c r="F403" s="1"/>
      <c r="G403" s="1">
        <f>_xlfn.XLOOKUP(_xlfn.XLOOKUP(B403,'[1]Detail&lt;Child&gt;'!$A:$A,'[1]Detail&lt;Child&gt;'!$N:$N),'#참조'!P:P,'#참조'!Q:Q)</f>
        <v>3</v>
      </c>
      <c r="H403" s="1">
        <f>_xlfn.XLOOKUP(_xlfn.XLOOKUP(B403,'[1]Detail&lt;Child&gt;'!$A:$A,'[1]Detail&lt;Child&gt;'!$O:$O),'#참조'!R:R,'#참조'!S:S)</f>
        <v>5</v>
      </c>
      <c r="I403" s="1">
        <v>0</v>
      </c>
      <c r="J403" s="2">
        <v>3</v>
      </c>
      <c r="K403" s="2">
        <v>0</v>
      </c>
      <c r="L403" s="2">
        <v>0</v>
      </c>
      <c r="M403" s="2" t="s">
        <v>31</v>
      </c>
      <c r="N403" s="2" t="s">
        <v>407</v>
      </c>
      <c r="O403" s="2">
        <v>0</v>
      </c>
      <c r="P403" s="2" t="s">
        <v>194</v>
      </c>
      <c r="Q403" s="2" t="str">
        <f t="shared" si="290"/>
        <v>1000,1000</v>
      </c>
      <c r="R403" s="2">
        <v>1000</v>
      </c>
      <c r="S403" s="2">
        <f t="shared" ref="S403" si="294">R403</f>
        <v>1000</v>
      </c>
      <c r="T403" s="2" t="s">
        <v>195</v>
      </c>
      <c r="U403" s="2" t="str">
        <f t="shared" si="291"/>
        <v>100,100</v>
      </c>
      <c r="V403" s="2">
        <v>100</v>
      </c>
      <c r="W403" s="2">
        <f t="shared" ref="W403" si="295">V403</f>
        <v>100</v>
      </c>
      <c r="X403" s="2" t="s">
        <v>196</v>
      </c>
      <c r="Y403" s="2" t="str">
        <f t="shared" si="292"/>
        <v>80,80</v>
      </c>
      <c r="Z403" s="2">
        <v>80</v>
      </c>
      <c r="AA403" s="2">
        <f t="shared" ref="AA403" si="296">Z403</f>
        <v>80</v>
      </c>
      <c r="AB403" s="2">
        <v>100000</v>
      </c>
      <c r="AC403" s="2" t="str">
        <f>_xlfn.XLOOKUP(B403,'#캐릭터'!A:A,'#캐릭터'!B:B)</f>
        <v>그릴라</v>
      </c>
      <c r="AD403" s="2" t="str">
        <f t="shared" ref="AD403:AD421" si="297">M403&amp;"_"&amp;AC403</f>
        <v>Default_그릴라</v>
      </c>
      <c r="AE403" s="2">
        <f t="shared" si="293"/>
        <v>0</v>
      </c>
    </row>
    <row r="404" spans="1:31" x14ac:dyDescent="0.2">
      <c r="A404" s="2">
        <f t="shared" si="289"/>
        <v>10525001</v>
      </c>
      <c r="B404" s="1">
        <v>10000525</v>
      </c>
      <c r="C404" s="1" t="s">
        <v>281</v>
      </c>
      <c r="D404" s="1" t="s">
        <v>309</v>
      </c>
      <c r="E404" s="1" t="str">
        <f>"Persona_"&amp;_xlfn.XLOOKUP($B404, '#캐릭터'!$A:$A, '#캐릭터'!$C:$C)</f>
        <v>Persona_c525</v>
      </c>
      <c r="F404" s="1"/>
      <c r="G404" s="1">
        <f>_xlfn.XLOOKUP(_xlfn.XLOOKUP(B404,'[1]Detail&lt;Child&gt;'!$A:$A,'[1]Detail&lt;Child&gt;'!$N:$N),'#참조'!P:P,'#참조'!Q:Q)</f>
        <v>3</v>
      </c>
      <c r="H404" s="1">
        <f>_xlfn.XLOOKUP(_xlfn.XLOOKUP(B404,'[1]Detail&lt;Child&gt;'!$A:$A,'[1]Detail&lt;Child&gt;'!$O:$O),'#참조'!R:R,'#참조'!S:S)</f>
        <v>5</v>
      </c>
      <c r="I404" s="1">
        <v>0</v>
      </c>
      <c r="J404" s="2">
        <v>3</v>
      </c>
      <c r="K404" s="2">
        <v>1</v>
      </c>
      <c r="L404" s="2">
        <v>1</v>
      </c>
      <c r="M404" s="2" t="s">
        <v>5</v>
      </c>
      <c r="N404" s="2" t="s">
        <v>407</v>
      </c>
      <c r="O404" s="2">
        <v>2000</v>
      </c>
      <c r="P404" s="2" t="s">
        <v>194</v>
      </c>
      <c r="Q404" s="2" t="str">
        <f t="shared" si="290"/>
        <v>1000,1200</v>
      </c>
      <c r="R404" s="2">
        <v>1000</v>
      </c>
      <c r="S404" s="2">
        <f t="shared" ref="S404" si="298">ROUND(R404*1.2, -2)</f>
        <v>1200</v>
      </c>
      <c r="T404" s="2" t="s">
        <v>195</v>
      </c>
      <c r="U404" s="2" t="str">
        <f t="shared" si="291"/>
        <v>100,100</v>
      </c>
      <c r="V404" s="2">
        <v>100</v>
      </c>
      <c r="W404" s="2">
        <f t="shared" ref="W404" si="299">ROUND(V404*1.2, -2)</f>
        <v>100</v>
      </c>
      <c r="X404" s="2" t="s">
        <v>196</v>
      </c>
      <c r="Y404" s="2" t="str">
        <f t="shared" si="292"/>
        <v>80,100</v>
      </c>
      <c r="Z404" s="2">
        <v>80</v>
      </c>
      <c r="AA404" s="2">
        <f t="shared" ref="AA404" si="300">ROUND(Z404*1.2, -2)</f>
        <v>100</v>
      </c>
      <c r="AB404" s="2">
        <v>100000</v>
      </c>
      <c r="AC404" s="2" t="str">
        <f>_xlfn.XLOOKUP(B404,'#캐릭터'!A:A,'#캐릭터'!B:B)</f>
        <v>그릴라</v>
      </c>
      <c r="AD404" s="2" t="str">
        <f t="shared" si="297"/>
        <v>Common1_그릴라</v>
      </c>
      <c r="AE404" s="2">
        <f t="shared" si="293"/>
        <v>0</v>
      </c>
    </row>
    <row r="405" spans="1:31" x14ac:dyDescent="0.2">
      <c r="A405" s="2">
        <f t="shared" si="289"/>
        <v>10525002</v>
      </c>
      <c r="B405" s="1">
        <v>10000525</v>
      </c>
      <c r="C405" s="1" t="s">
        <v>281</v>
      </c>
      <c r="D405" s="1" t="s">
        <v>309</v>
      </c>
      <c r="E405" s="1" t="str">
        <f>"Persona_"&amp;_xlfn.XLOOKUP($B405, '#캐릭터'!$A:$A, '#캐릭터'!$C:$C)</f>
        <v>Persona_c525</v>
      </c>
      <c r="F405" s="1"/>
      <c r="G405" s="1">
        <f>_xlfn.XLOOKUP(_xlfn.XLOOKUP(B405,'[1]Detail&lt;Child&gt;'!$A:$A,'[1]Detail&lt;Child&gt;'!$N:$N),'#참조'!P:P,'#참조'!Q:Q)</f>
        <v>3</v>
      </c>
      <c r="H405" s="1">
        <f>_xlfn.XLOOKUP(_xlfn.XLOOKUP(B405,'[1]Detail&lt;Child&gt;'!$A:$A,'[1]Detail&lt;Child&gt;'!$O:$O),'#참조'!R:R,'#참조'!S:S)</f>
        <v>5</v>
      </c>
      <c r="I405" s="1">
        <v>0</v>
      </c>
      <c r="J405" s="2">
        <v>3</v>
      </c>
      <c r="K405" s="2">
        <v>1</v>
      </c>
      <c r="L405" s="2">
        <v>2</v>
      </c>
      <c r="M405" s="2" t="s">
        <v>6</v>
      </c>
      <c r="N405" s="2" t="s">
        <v>407</v>
      </c>
      <c r="O405" s="2">
        <f t="shared" ref="O405" si="301">ROUND(O404*1.1, 0)</f>
        <v>2200</v>
      </c>
      <c r="P405" s="2" t="s">
        <v>194</v>
      </c>
      <c r="Q405" s="2" t="str">
        <f t="shared" si="290"/>
        <v>1300,1600</v>
      </c>
      <c r="R405" s="2">
        <f t="shared" ref="R405" si="302">ROUND(R404*1.3, 0)</f>
        <v>1300</v>
      </c>
      <c r="S405" s="2">
        <f t="shared" si="251"/>
        <v>1600</v>
      </c>
      <c r="T405" s="2" t="s">
        <v>195</v>
      </c>
      <c r="U405" s="2" t="str">
        <f t="shared" si="291"/>
        <v>120,100</v>
      </c>
      <c r="V405" s="2">
        <f t="shared" ref="V405" si="303">ROUND(V404*1.2, 0)</f>
        <v>120</v>
      </c>
      <c r="W405" s="2">
        <f t="shared" si="252"/>
        <v>100</v>
      </c>
      <c r="X405" s="2" t="s">
        <v>196</v>
      </c>
      <c r="Y405" s="2" t="str">
        <f t="shared" si="292"/>
        <v>104,100</v>
      </c>
      <c r="Z405" s="2">
        <f t="shared" ref="Z405" si="304">ROUND(Z404*1.3, 0)</f>
        <v>104</v>
      </c>
      <c r="AA405" s="2">
        <f t="shared" si="253"/>
        <v>100</v>
      </c>
      <c r="AB405" s="2">
        <v>100000</v>
      </c>
      <c r="AC405" s="2" t="str">
        <f>_xlfn.XLOOKUP(B405,'#캐릭터'!A:A,'#캐릭터'!B:B)</f>
        <v>그릴라</v>
      </c>
      <c r="AD405" s="2" t="str">
        <f t="shared" si="297"/>
        <v>Common2_그릴라</v>
      </c>
      <c r="AE405" s="2">
        <f t="shared" si="293"/>
        <v>0</v>
      </c>
    </row>
    <row r="406" spans="1:31" x14ac:dyDescent="0.2">
      <c r="A406" s="2">
        <f t="shared" si="289"/>
        <v>10525003</v>
      </c>
      <c r="B406" s="1">
        <v>10000525</v>
      </c>
      <c r="C406" s="1" t="s">
        <v>281</v>
      </c>
      <c r="D406" s="1" t="s">
        <v>309</v>
      </c>
      <c r="E406" s="1" t="str">
        <f>"Persona_"&amp;_xlfn.XLOOKUP($B406, '#캐릭터'!$A:$A, '#캐릭터'!$C:$C)</f>
        <v>Persona_c525</v>
      </c>
      <c r="F406" s="1"/>
      <c r="G406" s="1">
        <f>_xlfn.XLOOKUP(_xlfn.XLOOKUP(B406,'[1]Detail&lt;Child&gt;'!$A:$A,'[1]Detail&lt;Child&gt;'!$N:$N),'#참조'!P:P,'#참조'!Q:Q)</f>
        <v>3</v>
      </c>
      <c r="H406" s="1">
        <f>_xlfn.XLOOKUP(_xlfn.XLOOKUP(B406,'[1]Detail&lt;Child&gt;'!$A:$A,'[1]Detail&lt;Child&gt;'!$O:$O),'#참조'!R:R,'#참조'!S:S)</f>
        <v>5</v>
      </c>
      <c r="I406" s="1">
        <v>0</v>
      </c>
      <c r="J406" s="2">
        <v>3</v>
      </c>
      <c r="K406" s="2">
        <v>1</v>
      </c>
      <c r="L406" s="2">
        <v>3</v>
      </c>
      <c r="M406" s="2" t="s">
        <v>7</v>
      </c>
      <c r="N406" s="2" t="s">
        <v>407</v>
      </c>
      <c r="O406" s="2">
        <f t="shared" si="254"/>
        <v>2420</v>
      </c>
      <c r="P406" s="2" t="s">
        <v>194</v>
      </c>
      <c r="Q406" s="2" t="str">
        <f t="shared" si="290"/>
        <v>1690,2000</v>
      </c>
      <c r="R406" s="2">
        <f t="shared" si="255"/>
        <v>1690</v>
      </c>
      <c r="S406" s="2">
        <f t="shared" si="251"/>
        <v>2000</v>
      </c>
      <c r="T406" s="2" t="s">
        <v>195</v>
      </c>
      <c r="U406" s="2" t="str">
        <f t="shared" si="291"/>
        <v>144,200</v>
      </c>
      <c r="V406" s="2">
        <f t="shared" si="256"/>
        <v>144</v>
      </c>
      <c r="W406" s="2">
        <f t="shared" si="252"/>
        <v>200</v>
      </c>
      <c r="X406" s="2" t="s">
        <v>196</v>
      </c>
      <c r="Y406" s="2" t="str">
        <f t="shared" si="292"/>
        <v>135,200</v>
      </c>
      <c r="Z406" s="2">
        <f t="shared" si="257"/>
        <v>135</v>
      </c>
      <c r="AA406" s="2">
        <f t="shared" si="253"/>
        <v>200</v>
      </c>
      <c r="AB406" s="2">
        <v>100000</v>
      </c>
      <c r="AC406" s="2" t="str">
        <f>_xlfn.XLOOKUP(B406,'#캐릭터'!A:A,'#캐릭터'!B:B)</f>
        <v>그릴라</v>
      </c>
      <c r="AD406" s="2" t="str">
        <f t="shared" si="297"/>
        <v>Common3_그릴라</v>
      </c>
      <c r="AE406" s="2">
        <f t="shared" si="293"/>
        <v>0</v>
      </c>
    </row>
    <row r="407" spans="1:31" x14ac:dyDescent="0.2">
      <c r="A407" s="2">
        <f t="shared" si="289"/>
        <v>10525004</v>
      </c>
      <c r="B407" s="1">
        <v>10000525</v>
      </c>
      <c r="C407" s="1" t="s">
        <v>281</v>
      </c>
      <c r="D407" s="1" t="s">
        <v>309</v>
      </c>
      <c r="E407" s="1" t="str">
        <f>"Persona_"&amp;_xlfn.XLOOKUP($B407, '#캐릭터'!$A:$A, '#캐릭터'!$C:$C)</f>
        <v>Persona_c525</v>
      </c>
      <c r="F407" s="1"/>
      <c r="G407" s="1">
        <f>_xlfn.XLOOKUP(_xlfn.XLOOKUP(B407,'[1]Detail&lt;Child&gt;'!$A:$A,'[1]Detail&lt;Child&gt;'!$N:$N),'#참조'!P:P,'#참조'!Q:Q)</f>
        <v>3</v>
      </c>
      <c r="H407" s="1">
        <f>_xlfn.XLOOKUP(_xlfn.XLOOKUP(B407,'[1]Detail&lt;Child&gt;'!$A:$A,'[1]Detail&lt;Child&gt;'!$O:$O),'#참조'!R:R,'#참조'!S:S)</f>
        <v>5</v>
      </c>
      <c r="I407" s="1">
        <v>0</v>
      </c>
      <c r="J407" s="2">
        <v>3</v>
      </c>
      <c r="K407" s="2">
        <v>2</v>
      </c>
      <c r="L407" s="2">
        <v>4</v>
      </c>
      <c r="M407" s="2" t="s">
        <v>8</v>
      </c>
      <c r="N407" s="2" t="s">
        <v>407</v>
      </c>
      <c r="O407" s="2">
        <f t="shared" si="254"/>
        <v>2662</v>
      </c>
      <c r="P407" s="2" t="s">
        <v>194</v>
      </c>
      <c r="Q407" s="2" t="str">
        <f t="shared" si="290"/>
        <v>2197,2600</v>
      </c>
      <c r="R407" s="2">
        <f t="shared" si="255"/>
        <v>2197</v>
      </c>
      <c r="S407" s="2">
        <f t="shared" si="251"/>
        <v>2600</v>
      </c>
      <c r="T407" s="2" t="s">
        <v>195</v>
      </c>
      <c r="U407" s="2" t="str">
        <f t="shared" si="291"/>
        <v>173,200</v>
      </c>
      <c r="V407" s="2">
        <f t="shared" si="256"/>
        <v>173</v>
      </c>
      <c r="W407" s="2">
        <f t="shared" si="252"/>
        <v>200</v>
      </c>
      <c r="X407" s="2" t="s">
        <v>196</v>
      </c>
      <c r="Y407" s="2" t="str">
        <f t="shared" si="292"/>
        <v>176,200</v>
      </c>
      <c r="Z407" s="2">
        <f t="shared" si="257"/>
        <v>176</v>
      </c>
      <c r="AA407" s="2">
        <f t="shared" si="253"/>
        <v>200</v>
      </c>
      <c r="AB407" s="2">
        <v>95000</v>
      </c>
      <c r="AC407" s="2" t="str">
        <f>_xlfn.XLOOKUP(B407,'#캐릭터'!A:A,'#캐릭터'!B:B)</f>
        <v>그릴라</v>
      </c>
      <c r="AD407" s="2" t="str">
        <f t="shared" si="297"/>
        <v>Uncommon1_그릴라</v>
      </c>
      <c r="AE407" s="2">
        <f t="shared" si="293"/>
        <v>0</v>
      </c>
    </row>
    <row r="408" spans="1:31" x14ac:dyDescent="0.2">
      <c r="A408" s="2">
        <f t="shared" si="289"/>
        <v>10525005</v>
      </c>
      <c r="B408" s="1">
        <v>10000525</v>
      </c>
      <c r="C408" s="1" t="s">
        <v>281</v>
      </c>
      <c r="D408" s="1" t="s">
        <v>309</v>
      </c>
      <c r="E408" s="1" t="str">
        <f>"Persona_"&amp;_xlfn.XLOOKUP($B408, '#캐릭터'!$A:$A, '#캐릭터'!$C:$C)</f>
        <v>Persona_c525</v>
      </c>
      <c r="F408" s="1"/>
      <c r="G408" s="1">
        <f>_xlfn.XLOOKUP(_xlfn.XLOOKUP(B408,'[1]Detail&lt;Child&gt;'!$A:$A,'[1]Detail&lt;Child&gt;'!$N:$N),'#참조'!P:P,'#참조'!Q:Q)</f>
        <v>3</v>
      </c>
      <c r="H408" s="1">
        <f>_xlfn.XLOOKUP(_xlfn.XLOOKUP(B408,'[1]Detail&lt;Child&gt;'!$A:$A,'[1]Detail&lt;Child&gt;'!$O:$O),'#참조'!R:R,'#참조'!S:S)</f>
        <v>5</v>
      </c>
      <c r="I408" s="1">
        <v>0</v>
      </c>
      <c r="J408" s="2">
        <v>3</v>
      </c>
      <c r="K408" s="2">
        <v>2</v>
      </c>
      <c r="L408" s="2">
        <v>5</v>
      </c>
      <c r="M408" s="2" t="s">
        <v>9</v>
      </c>
      <c r="N408" s="2" t="s">
        <v>407</v>
      </c>
      <c r="O408" s="2">
        <f t="shared" si="254"/>
        <v>2928</v>
      </c>
      <c r="P408" s="2" t="s">
        <v>194</v>
      </c>
      <c r="Q408" s="2" t="str">
        <f t="shared" si="290"/>
        <v>2856,3400</v>
      </c>
      <c r="R408" s="2">
        <f t="shared" si="255"/>
        <v>2856</v>
      </c>
      <c r="S408" s="2">
        <f t="shared" ref="S408:S471" si="305">ROUND(R408*1.2, -2)</f>
        <v>3400</v>
      </c>
      <c r="T408" s="2" t="s">
        <v>195</v>
      </c>
      <c r="U408" s="2" t="str">
        <f t="shared" si="291"/>
        <v>208,200</v>
      </c>
      <c r="V408" s="2">
        <f t="shared" si="256"/>
        <v>208</v>
      </c>
      <c r="W408" s="2">
        <f t="shared" ref="W408:W471" si="306">ROUND(V408*1.2, -2)</f>
        <v>200</v>
      </c>
      <c r="X408" s="2" t="s">
        <v>196</v>
      </c>
      <c r="Y408" s="2" t="str">
        <f t="shared" si="292"/>
        <v>229,300</v>
      </c>
      <c r="Z408" s="2">
        <f t="shared" si="257"/>
        <v>229</v>
      </c>
      <c r="AA408" s="2">
        <f t="shared" ref="AA408:AA471" si="307">ROUND(Z408*1.2, -2)</f>
        <v>300</v>
      </c>
      <c r="AB408" s="2">
        <v>95000</v>
      </c>
      <c r="AC408" s="2" t="str">
        <f>_xlfn.XLOOKUP(B408,'#캐릭터'!A:A,'#캐릭터'!B:B)</f>
        <v>그릴라</v>
      </c>
      <c r="AD408" s="2" t="str">
        <f t="shared" si="297"/>
        <v>Uncommon2_그릴라</v>
      </c>
      <c r="AE408" s="2">
        <f t="shared" si="293"/>
        <v>0</v>
      </c>
    </row>
    <row r="409" spans="1:31" x14ac:dyDescent="0.2">
      <c r="A409" s="2">
        <f t="shared" si="289"/>
        <v>10525006</v>
      </c>
      <c r="B409" s="1">
        <v>10000525</v>
      </c>
      <c r="C409" s="1" t="s">
        <v>281</v>
      </c>
      <c r="D409" s="1" t="s">
        <v>309</v>
      </c>
      <c r="E409" s="1" t="str">
        <f>"Persona_"&amp;_xlfn.XLOOKUP($B409, '#캐릭터'!$A:$A, '#캐릭터'!$C:$C)</f>
        <v>Persona_c525</v>
      </c>
      <c r="F409" s="1"/>
      <c r="G409" s="1">
        <f>_xlfn.XLOOKUP(_xlfn.XLOOKUP(B409,'[1]Detail&lt;Child&gt;'!$A:$A,'[1]Detail&lt;Child&gt;'!$N:$N),'#참조'!P:P,'#참조'!Q:Q)</f>
        <v>3</v>
      </c>
      <c r="H409" s="1">
        <f>_xlfn.XLOOKUP(_xlfn.XLOOKUP(B409,'[1]Detail&lt;Child&gt;'!$A:$A,'[1]Detail&lt;Child&gt;'!$O:$O),'#참조'!R:R,'#참조'!S:S)</f>
        <v>5</v>
      </c>
      <c r="I409" s="1">
        <v>0</v>
      </c>
      <c r="J409" s="2">
        <v>3</v>
      </c>
      <c r="K409" s="2">
        <v>2</v>
      </c>
      <c r="L409" s="2">
        <v>6</v>
      </c>
      <c r="M409" s="2" t="s">
        <v>10</v>
      </c>
      <c r="N409" s="2" t="s">
        <v>407</v>
      </c>
      <c r="O409" s="2">
        <f t="shared" ref="O409:O472" si="308">ROUND(O408*1.1, 0)</f>
        <v>3221</v>
      </c>
      <c r="P409" s="2" t="s">
        <v>194</v>
      </c>
      <c r="Q409" s="2" t="str">
        <f t="shared" si="290"/>
        <v>3713,4500</v>
      </c>
      <c r="R409" s="2">
        <f t="shared" ref="R409:R472" si="309">ROUND(R408*1.3, 0)</f>
        <v>3713</v>
      </c>
      <c r="S409" s="2">
        <f t="shared" si="305"/>
        <v>4500</v>
      </c>
      <c r="T409" s="2" t="s">
        <v>195</v>
      </c>
      <c r="U409" s="2" t="str">
        <f t="shared" si="291"/>
        <v>250,300</v>
      </c>
      <c r="V409" s="2">
        <f t="shared" ref="V409:V472" si="310">ROUND(V408*1.2, 0)</f>
        <v>250</v>
      </c>
      <c r="W409" s="2">
        <f t="shared" si="306"/>
        <v>300</v>
      </c>
      <c r="X409" s="2" t="s">
        <v>196</v>
      </c>
      <c r="Y409" s="2" t="str">
        <f t="shared" si="292"/>
        <v>298,400</v>
      </c>
      <c r="Z409" s="2">
        <f t="shared" ref="Z409:Z472" si="311">ROUND(Z408*1.3, 0)</f>
        <v>298</v>
      </c>
      <c r="AA409" s="2">
        <f t="shared" si="307"/>
        <v>400</v>
      </c>
      <c r="AB409" s="2">
        <v>95000</v>
      </c>
      <c r="AC409" s="2" t="str">
        <f>_xlfn.XLOOKUP(B409,'#캐릭터'!A:A,'#캐릭터'!B:B)</f>
        <v>그릴라</v>
      </c>
      <c r="AD409" s="2" t="str">
        <f t="shared" si="297"/>
        <v>Uncommon3_그릴라</v>
      </c>
      <c r="AE409" s="2">
        <f t="shared" si="293"/>
        <v>0</v>
      </c>
    </row>
    <row r="410" spans="1:31" x14ac:dyDescent="0.2">
      <c r="A410" s="2">
        <f t="shared" si="289"/>
        <v>10525007</v>
      </c>
      <c r="B410" s="1">
        <v>10000525</v>
      </c>
      <c r="C410" s="1" t="s">
        <v>281</v>
      </c>
      <c r="D410" s="1" t="s">
        <v>309</v>
      </c>
      <c r="E410" s="1" t="str">
        <f>"Persona_"&amp;_xlfn.XLOOKUP($B410, '#캐릭터'!$A:$A, '#캐릭터'!$C:$C)</f>
        <v>Persona_c525</v>
      </c>
      <c r="F410" s="1"/>
      <c r="G410" s="1">
        <f>_xlfn.XLOOKUP(_xlfn.XLOOKUP(B410,'[1]Detail&lt;Child&gt;'!$A:$A,'[1]Detail&lt;Child&gt;'!$N:$N),'#참조'!P:P,'#참조'!Q:Q)</f>
        <v>3</v>
      </c>
      <c r="H410" s="1">
        <f>_xlfn.XLOOKUP(_xlfn.XLOOKUP(B410,'[1]Detail&lt;Child&gt;'!$A:$A,'[1]Detail&lt;Child&gt;'!$O:$O),'#참조'!R:R,'#참조'!S:S)</f>
        <v>5</v>
      </c>
      <c r="I410" s="1">
        <v>1</v>
      </c>
      <c r="J410" s="2">
        <v>3</v>
      </c>
      <c r="K410" s="2">
        <v>3</v>
      </c>
      <c r="L410" s="2">
        <v>7</v>
      </c>
      <c r="M410" s="2" t="s">
        <v>11</v>
      </c>
      <c r="N410" s="2" t="s">
        <v>407</v>
      </c>
      <c r="O410" s="2">
        <f t="shared" si="308"/>
        <v>3543</v>
      </c>
      <c r="P410" s="2" t="s">
        <v>194</v>
      </c>
      <c r="Q410" s="2" t="str">
        <f t="shared" si="290"/>
        <v>4827,5800</v>
      </c>
      <c r="R410" s="2">
        <f t="shared" si="309"/>
        <v>4827</v>
      </c>
      <c r="S410" s="2">
        <f t="shared" si="305"/>
        <v>5800</v>
      </c>
      <c r="T410" s="2" t="s">
        <v>195</v>
      </c>
      <c r="U410" s="2" t="str">
        <f t="shared" si="291"/>
        <v>300,400</v>
      </c>
      <c r="V410" s="2">
        <f t="shared" si="310"/>
        <v>300</v>
      </c>
      <c r="W410" s="2">
        <f t="shared" si="306"/>
        <v>400</v>
      </c>
      <c r="X410" s="2" t="s">
        <v>196</v>
      </c>
      <c r="Y410" s="2" t="str">
        <f t="shared" si="292"/>
        <v>387,500</v>
      </c>
      <c r="Z410" s="2">
        <f t="shared" si="311"/>
        <v>387</v>
      </c>
      <c r="AA410" s="2">
        <f t="shared" si="307"/>
        <v>500</v>
      </c>
      <c r="AB410" s="2">
        <v>90000</v>
      </c>
      <c r="AC410" s="2" t="str">
        <f>_xlfn.XLOOKUP(B410,'#캐릭터'!A:A,'#캐릭터'!B:B)</f>
        <v>그릴라</v>
      </c>
      <c r="AD410" s="2" t="str">
        <f t="shared" si="297"/>
        <v>Rare1_그릴라</v>
      </c>
      <c r="AE410" s="2">
        <f t="shared" si="293"/>
        <v>3501</v>
      </c>
    </row>
    <row r="411" spans="1:31" x14ac:dyDescent="0.2">
      <c r="A411" s="2">
        <f t="shared" si="289"/>
        <v>10525008</v>
      </c>
      <c r="B411" s="1">
        <v>10000525</v>
      </c>
      <c r="C411" s="1" t="s">
        <v>281</v>
      </c>
      <c r="D411" s="1" t="s">
        <v>309</v>
      </c>
      <c r="E411" s="1" t="str">
        <f>"Persona_"&amp;_xlfn.XLOOKUP($B411, '#캐릭터'!$A:$A, '#캐릭터'!$C:$C)</f>
        <v>Persona_c525</v>
      </c>
      <c r="F411" s="1"/>
      <c r="G411" s="1">
        <f>_xlfn.XLOOKUP(_xlfn.XLOOKUP(B411,'[1]Detail&lt;Child&gt;'!$A:$A,'[1]Detail&lt;Child&gt;'!$N:$N),'#참조'!P:P,'#참조'!Q:Q)</f>
        <v>3</v>
      </c>
      <c r="H411" s="1">
        <f>_xlfn.XLOOKUP(_xlfn.XLOOKUP(B411,'[1]Detail&lt;Child&gt;'!$A:$A,'[1]Detail&lt;Child&gt;'!$O:$O),'#참조'!R:R,'#참조'!S:S)</f>
        <v>5</v>
      </c>
      <c r="I411" s="1">
        <v>1</v>
      </c>
      <c r="J411" s="2">
        <v>3</v>
      </c>
      <c r="K411" s="2">
        <v>3</v>
      </c>
      <c r="L411" s="2">
        <v>8</v>
      </c>
      <c r="M411" s="2" t="s">
        <v>12</v>
      </c>
      <c r="N411" s="2" t="s">
        <v>407</v>
      </c>
      <c r="O411" s="2">
        <f t="shared" si="308"/>
        <v>3897</v>
      </c>
      <c r="P411" s="2" t="s">
        <v>194</v>
      </c>
      <c r="Q411" s="2" t="str">
        <f t="shared" si="290"/>
        <v>6275,7500</v>
      </c>
      <c r="R411" s="2">
        <f t="shared" si="309"/>
        <v>6275</v>
      </c>
      <c r="S411" s="2">
        <f t="shared" si="305"/>
        <v>7500</v>
      </c>
      <c r="T411" s="2" t="s">
        <v>195</v>
      </c>
      <c r="U411" s="2" t="str">
        <f t="shared" si="291"/>
        <v>360,400</v>
      </c>
      <c r="V411" s="2">
        <f t="shared" si="310"/>
        <v>360</v>
      </c>
      <c r="W411" s="2">
        <f t="shared" si="306"/>
        <v>400</v>
      </c>
      <c r="X411" s="2" t="s">
        <v>196</v>
      </c>
      <c r="Y411" s="2" t="str">
        <f t="shared" si="292"/>
        <v>503,600</v>
      </c>
      <c r="Z411" s="2">
        <f t="shared" si="311"/>
        <v>503</v>
      </c>
      <c r="AA411" s="2">
        <f t="shared" si="307"/>
        <v>600</v>
      </c>
      <c r="AB411" s="2">
        <v>90000</v>
      </c>
      <c r="AC411" s="2" t="str">
        <f>_xlfn.XLOOKUP(B411,'#캐릭터'!A:A,'#캐릭터'!B:B)</f>
        <v>그릴라</v>
      </c>
      <c r="AD411" s="2" t="str">
        <f t="shared" si="297"/>
        <v>Rare2_그릴라</v>
      </c>
      <c r="AE411" s="2">
        <f t="shared" si="293"/>
        <v>3501</v>
      </c>
    </row>
    <row r="412" spans="1:31" x14ac:dyDescent="0.2">
      <c r="A412" s="2">
        <f t="shared" si="289"/>
        <v>10525009</v>
      </c>
      <c r="B412" s="1">
        <v>10000525</v>
      </c>
      <c r="C412" s="1" t="s">
        <v>281</v>
      </c>
      <c r="D412" s="1" t="s">
        <v>309</v>
      </c>
      <c r="E412" s="1" t="str">
        <f>"Persona_"&amp;_xlfn.XLOOKUP($B412, '#캐릭터'!$A:$A, '#캐릭터'!$C:$C)</f>
        <v>Persona_c525</v>
      </c>
      <c r="F412" s="1"/>
      <c r="G412" s="1">
        <f>_xlfn.XLOOKUP(_xlfn.XLOOKUP(B412,'[1]Detail&lt;Child&gt;'!$A:$A,'[1]Detail&lt;Child&gt;'!$N:$N),'#참조'!P:P,'#참조'!Q:Q)</f>
        <v>3</v>
      </c>
      <c r="H412" s="1">
        <f>_xlfn.XLOOKUP(_xlfn.XLOOKUP(B412,'[1]Detail&lt;Child&gt;'!$A:$A,'[1]Detail&lt;Child&gt;'!$O:$O),'#참조'!R:R,'#참조'!S:S)</f>
        <v>5</v>
      </c>
      <c r="I412" s="1">
        <v>2</v>
      </c>
      <c r="J412" s="2">
        <v>3</v>
      </c>
      <c r="K412" s="2">
        <v>3</v>
      </c>
      <c r="L412" s="2">
        <v>9</v>
      </c>
      <c r="M412" s="2" t="s">
        <v>13</v>
      </c>
      <c r="N412" s="2" t="s">
        <v>407</v>
      </c>
      <c r="O412" s="2">
        <f t="shared" si="308"/>
        <v>4287</v>
      </c>
      <c r="P412" s="2" t="s">
        <v>194</v>
      </c>
      <c r="Q412" s="2" t="str">
        <f t="shared" si="290"/>
        <v>8158,9800</v>
      </c>
      <c r="R412" s="2">
        <f t="shared" si="309"/>
        <v>8158</v>
      </c>
      <c r="S412" s="2">
        <f t="shared" si="305"/>
        <v>9800</v>
      </c>
      <c r="T412" s="2" t="s">
        <v>195</v>
      </c>
      <c r="U412" s="2" t="str">
        <f t="shared" si="291"/>
        <v>432,500</v>
      </c>
      <c r="V412" s="2">
        <f t="shared" si="310"/>
        <v>432</v>
      </c>
      <c r="W412" s="2">
        <f t="shared" si="306"/>
        <v>500</v>
      </c>
      <c r="X412" s="2" t="s">
        <v>196</v>
      </c>
      <c r="Y412" s="2" t="str">
        <f t="shared" si="292"/>
        <v>654,800</v>
      </c>
      <c r="Z412" s="2">
        <f t="shared" si="311"/>
        <v>654</v>
      </c>
      <c r="AA412" s="2">
        <f t="shared" si="307"/>
        <v>800</v>
      </c>
      <c r="AB412" s="2">
        <v>90000</v>
      </c>
      <c r="AC412" s="2" t="str">
        <f>_xlfn.XLOOKUP(B412,'#캐릭터'!A:A,'#캐릭터'!B:B)</f>
        <v>그릴라</v>
      </c>
      <c r="AD412" s="2" t="str">
        <f t="shared" si="297"/>
        <v>Rare3_그릴라</v>
      </c>
      <c r="AE412" s="2">
        <f t="shared" si="293"/>
        <v>3502</v>
      </c>
    </row>
    <row r="413" spans="1:31" x14ac:dyDescent="0.2">
      <c r="A413" s="2">
        <f t="shared" si="289"/>
        <v>10525010</v>
      </c>
      <c r="B413" s="1">
        <v>10000525</v>
      </c>
      <c r="C413" s="1" t="s">
        <v>281</v>
      </c>
      <c r="D413" s="1" t="s">
        <v>309</v>
      </c>
      <c r="E413" s="1" t="str">
        <f>"Persona_"&amp;_xlfn.XLOOKUP($B413, '#캐릭터'!$A:$A, '#캐릭터'!$C:$C)</f>
        <v>Persona_c525</v>
      </c>
      <c r="F413" s="1"/>
      <c r="G413" s="1">
        <f>_xlfn.XLOOKUP(_xlfn.XLOOKUP(B413,'[1]Detail&lt;Child&gt;'!$A:$A,'[1]Detail&lt;Child&gt;'!$N:$N),'#참조'!P:P,'#참조'!Q:Q)</f>
        <v>3</v>
      </c>
      <c r="H413" s="1">
        <f>_xlfn.XLOOKUP(_xlfn.XLOOKUP(B413,'[1]Detail&lt;Child&gt;'!$A:$A,'[1]Detail&lt;Child&gt;'!$O:$O),'#참조'!R:R,'#참조'!S:S)</f>
        <v>5</v>
      </c>
      <c r="I413" s="1">
        <v>2</v>
      </c>
      <c r="J413" s="2">
        <v>3</v>
      </c>
      <c r="K413" s="2">
        <v>4</v>
      </c>
      <c r="L413" s="2">
        <v>10</v>
      </c>
      <c r="M413" s="2" t="s">
        <v>14</v>
      </c>
      <c r="N413" s="2" t="s">
        <v>407</v>
      </c>
      <c r="O413" s="2">
        <f t="shared" si="308"/>
        <v>4716</v>
      </c>
      <c r="P413" s="2" t="s">
        <v>194</v>
      </c>
      <c r="Q413" s="2" t="str">
        <f t="shared" si="290"/>
        <v>10605,12700</v>
      </c>
      <c r="R413" s="2">
        <f t="shared" si="309"/>
        <v>10605</v>
      </c>
      <c r="S413" s="2">
        <f t="shared" si="305"/>
        <v>12700</v>
      </c>
      <c r="T413" s="2" t="s">
        <v>195</v>
      </c>
      <c r="U413" s="2" t="str">
        <f t="shared" si="291"/>
        <v>518,600</v>
      </c>
      <c r="V413" s="2">
        <f t="shared" si="310"/>
        <v>518</v>
      </c>
      <c r="W413" s="2">
        <f t="shared" si="306"/>
        <v>600</v>
      </c>
      <c r="X413" s="2" t="s">
        <v>196</v>
      </c>
      <c r="Y413" s="2" t="str">
        <f t="shared" si="292"/>
        <v>850,1000</v>
      </c>
      <c r="Z413" s="2">
        <f t="shared" si="311"/>
        <v>850</v>
      </c>
      <c r="AA413" s="2">
        <f t="shared" si="307"/>
        <v>1000</v>
      </c>
      <c r="AB413" s="2">
        <v>85000</v>
      </c>
      <c r="AC413" s="2" t="str">
        <f>_xlfn.XLOOKUP(B413,'#캐릭터'!A:A,'#캐릭터'!B:B)</f>
        <v>그릴라</v>
      </c>
      <c r="AD413" s="2" t="str">
        <f t="shared" si="297"/>
        <v>Unique1_그릴라</v>
      </c>
      <c r="AE413" s="2">
        <f t="shared" si="293"/>
        <v>3502</v>
      </c>
    </row>
    <row r="414" spans="1:31" x14ac:dyDescent="0.2">
      <c r="A414" s="2">
        <f t="shared" si="289"/>
        <v>10525011</v>
      </c>
      <c r="B414" s="1">
        <v>10000525</v>
      </c>
      <c r="C414" s="1" t="s">
        <v>281</v>
      </c>
      <c r="D414" s="1" t="s">
        <v>309</v>
      </c>
      <c r="E414" s="1" t="str">
        <f>"Persona_"&amp;_xlfn.XLOOKUP($B414, '#캐릭터'!$A:$A, '#캐릭터'!$C:$C)</f>
        <v>Persona_c525</v>
      </c>
      <c r="F414" s="1"/>
      <c r="G414" s="1">
        <f>_xlfn.XLOOKUP(_xlfn.XLOOKUP(B414,'[1]Detail&lt;Child&gt;'!$A:$A,'[1]Detail&lt;Child&gt;'!$N:$N),'#참조'!P:P,'#참조'!Q:Q)</f>
        <v>3</v>
      </c>
      <c r="H414" s="1">
        <f>_xlfn.XLOOKUP(_xlfn.XLOOKUP(B414,'[1]Detail&lt;Child&gt;'!$A:$A,'[1]Detail&lt;Child&gt;'!$O:$O),'#참조'!R:R,'#참조'!S:S)</f>
        <v>5</v>
      </c>
      <c r="I414" s="1">
        <v>3</v>
      </c>
      <c r="J414" s="2">
        <v>3</v>
      </c>
      <c r="K414" s="2">
        <v>4</v>
      </c>
      <c r="L414" s="2">
        <v>11</v>
      </c>
      <c r="M414" s="2" t="s">
        <v>15</v>
      </c>
      <c r="N414" s="2" t="s">
        <v>407</v>
      </c>
      <c r="O414" s="2">
        <f t="shared" si="308"/>
        <v>5188</v>
      </c>
      <c r="P414" s="2" t="s">
        <v>194</v>
      </c>
      <c r="Q414" s="2" t="str">
        <f t="shared" si="290"/>
        <v>13787,16500</v>
      </c>
      <c r="R414" s="2">
        <f t="shared" si="309"/>
        <v>13787</v>
      </c>
      <c r="S414" s="2">
        <f t="shared" si="305"/>
        <v>16500</v>
      </c>
      <c r="T414" s="2" t="s">
        <v>195</v>
      </c>
      <c r="U414" s="2" t="str">
        <f t="shared" si="291"/>
        <v>622,700</v>
      </c>
      <c r="V414" s="2">
        <f t="shared" si="310"/>
        <v>622</v>
      </c>
      <c r="W414" s="2">
        <f t="shared" si="306"/>
        <v>700</v>
      </c>
      <c r="X414" s="2" t="s">
        <v>196</v>
      </c>
      <c r="Y414" s="2" t="str">
        <f t="shared" si="292"/>
        <v>1105,1300</v>
      </c>
      <c r="Z414" s="2">
        <f t="shared" si="311"/>
        <v>1105</v>
      </c>
      <c r="AA414" s="2">
        <f t="shared" si="307"/>
        <v>1300</v>
      </c>
      <c r="AB414" s="2">
        <v>85000</v>
      </c>
      <c r="AC414" s="2" t="str">
        <f>_xlfn.XLOOKUP(B414,'#캐릭터'!A:A,'#캐릭터'!B:B)</f>
        <v>그릴라</v>
      </c>
      <c r="AD414" s="2" t="str">
        <f t="shared" si="297"/>
        <v>Unique2_그릴라</v>
      </c>
      <c r="AE414" s="2">
        <f t="shared" si="293"/>
        <v>3503</v>
      </c>
    </row>
    <row r="415" spans="1:31" x14ac:dyDescent="0.2">
      <c r="A415" s="2">
        <f t="shared" si="289"/>
        <v>10525012</v>
      </c>
      <c r="B415" s="1">
        <v>10000525</v>
      </c>
      <c r="C415" s="1" t="s">
        <v>281</v>
      </c>
      <c r="D415" s="1" t="s">
        <v>309</v>
      </c>
      <c r="E415" s="1" t="str">
        <f>"Persona_"&amp;_xlfn.XLOOKUP($B415, '#캐릭터'!$A:$A, '#캐릭터'!$C:$C)</f>
        <v>Persona_c525</v>
      </c>
      <c r="F415" s="1"/>
      <c r="G415" s="1">
        <f>_xlfn.XLOOKUP(_xlfn.XLOOKUP(B415,'[1]Detail&lt;Child&gt;'!$A:$A,'[1]Detail&lt;Child&gt;'!$N:$N),'#참조'!P:P,'#참조'!Q:Q)</f>
        <v>3</v>
      </c>
      <c r="H415" s="1">
        <f>_xlfn.XLOOKUP(_xlfn.XLOOKUP(B415,'[1]Detail&lt;Child&gt;'!$A:$A,'[1]Detail&lt;Child&gt;'!$O:$O),'#참조'!R:R,'#참조'!S:S)</f>
        <v>5</v>
      </c>
      <c r="I415" s="1">
        <v>3</v>
      </c>
      <c r="J415" s="2">
        <v>3</v>
      </c>
      <c r="K415" s="2">
        <v>4</v>
      </c>
      <c r="L415" s="2">
        <v>12</v>
      </c>
      <c r="M415" s="2" t="s">
        <v>16</v>
      </c>
      <c r="N415" s="2" t="s">
        <v>407</v>
      </c>
      <c r="O415" s="2">
        <f t="shared" si="308"/>
        <v>5707</v>
      </c>
      <c r="P415" s="2" t="s">
        <v>194</v>
      </c>
      <c r="Q415" s="2" t="str">
        <f t="shared" si="290"/>
        <v>17923,21500</v>
      </c>
      <c r="R415" s="2">
        <f t="shared" si="309"/>
        <v>17923</v>
      </c>
      <c r="S415" s="2">
        <f t="shared" si="305"/>
        <v>21500</v>
      </c>
      <c r="T415" s="2" t="s">
        <v>195</v>
      </c>
      <c r="U415" s="2" t="str">
        <f t="shared" si="291"/>
        <v>746,900</v>
      </c>
      <c r="V415" s="2">
        <f t="shared" si="310"/>
        <v>746</v>
      </c>
      <c r="W415" s="2">
        <f t="shared" si="306"/>
        <v>900</v>
      </c>
      <c r="X415" s="2" t="s">
        <v>196</v>
      </c>
      <c r="Y415" s="2" t="str">
        <f t="shared" si="292"/>
        <v>1437,1700</v>
      </c>
      <c r="Z415" s="2">
        <f t="shared" si="311"/>
        <v>1437</v>
      </c>
      <c r="AA415" s="2">
        <f t="shared" si="307"/>
        <v>1700</v>
      </c>
      <c r="AB415" s="2">
        <v>85000</v>
      </c>
      <c r="AC415" s="2" t="str">
        <f>_xlfn.XLOOKUP(B415,'#캐릭터'!A:A,'#캐릭터'!B:B)</f>
        <v>그릴라</v>
      </c>
      <c r="AD415" s="2" t="str">
        <f t="shared" si="297"/>
        <v>Unique3_그릴라</v>
      </c>
      <c r="AE415" s="2">
        <f t="shared" si="293"/>
        <v>3503</v>
      </c>
    </row>
    <row r="416" spans="1:31" x14ac:dyDescent="0.2">
      <c r="A416" s="2">
        <f t="shared" si="289"/>
        <v>10525013</v>
      </c>
      <c r="B416" s="1">
        <v>10000525</v>
      </c>
      <c r="C416" s="1" t="s">
        <v>281</v>
      </c>
      <c r="D416" s="1" t="s">
        <v>309</v>
      </c>
      <c r="E416" s="1" t="str">
        <f>"Persona_"&amp;_xlfn.XLOOKUP($B416, '#캐릭터'!$A:$A, '#캐릭터'!$C:$C)</f>
        <v>Persona_c525</v>
      </c>
      <c r="F416" s="1"/>
      <c r="G416" s="1">
        <f>_xlfn.XLOOKUP(_xlfn.XLOOKUP(B416,'[1]Detail&lt;Child&gt;'!$A:$A,'[1]Detail&lt;Child&gt;'!$N:$N),'#참조'!P:P,'#참조'!Q:Q)</f>
        <v>3</v>
      </c>
      <c r="H416" s="1">
        <f>_xlfn.XLOOKUP(_xlfn.XLOOKUP(B416,'[1]Detail&lt;Child&gt;'!$A:$A,'[1]Detail&lt;Child&gt;'!$O:$O),'#참조'!R:R,'#참조'!S:S)</f>
        <v>5</v>
      </c>
      <c r="I416" s="1">
        <v>4</v>
      </c>
      <c r="J416" s="2">
        <v>3</v>
      </c>
      <c r="K416" s="2">
        <v>5</v>
      </c>
      <c r="L416" s="2">
        <v>13</v>
      </c>
      <c r="M416" s="2" t="s">
        <v>17</v>
      </c>
      <c r="N416" s="2" t="s">
        <v>407</v>
      </c>
      <c r="O416" s="2">
        <f t="shared" si="308"/>
        <v>6278</v>
      </c>
      <c r="P416" s="2" t="s">
        <v>194</v>
      </c>
      <c r="Q416" s="2" t="str">
        <f t="shared" si="290"/>
        <v>23300,28000</v>
      </c>
      <c r="R416" s="2">
        <f t="shared" si="309"/>
        <v>23300</v>
      </c>
      <c r="S416" s="2">
        <f t="shared" si="305"/>
        <v>28000</v>
      </c>
      <c r="T416" s="2" t="s">
        <v>195</v>
      </c>
      <c r="U416" s="2" t="str">
        <f t="shared" si="291"/>
        <v>895,1100</v>
      </c>
      <c r="V416" s="2">
        <f t="shared" si="310"/>
        <v>895</v>
      </c>
      <c r="W416" s="2">
        <f t="shared" si="306"/>
        <v>1100</v>
      </c>
      <c r="X416" s="2" t="s">
        <v>196</v>
      </c>
      <c r="Y416" s="2" t="str">
        <f t="shared" si="292"/>
        <v>1868,2200</v>
      </c>
      <c r="Z416" s="2">
        <f t="shared" si="311"/>
        <v>1868</v>
      </c>
      <c r="AA416" s="2">
        <f t="shared" si="307"/>
        <v>2200</v>
      </c>
      <c r="AB416" s="2">
        <v>80000</v>
      </c>
      <c r="AC416" s="2" t="str">
        <f>_xlfn.XLOOKUP(B416,'#캐릭터'!A:A,'#캐릭터'!B:B)</f>
        <v>그릴라</v>
      </c>
      <c r="AD416" s="2" t="str">
        <f t="shared" si="297"/>
        <v>Epic1_그릴라</v>
      </c>
      <c r="AE416" s="2">
        <f t="shared" si="293"/>
        <v>3504</v>
      </c>
    </row>
    <row r="417" spans="1:31" x14ac:dyDescent="0.2">
      <c r="A417" s="2">
        <f t="shared" si="289"/>
        <v>10525014</v>
      </c>
      <c r="B417" s="1">
        <v>10000525</v>
      </c>
      <c r="C417" s="1" t="s">
        <v>281</v>
      </c>
      <c r="D417" s="1" t="s">
        <v>309</v>
      </c>
      <c r="E417" s="1" t="str">
        <f>"Persona_"&amp;_xlfn.XLOOKUP($B417, '#캐릭터'!$A:$A, '#캐릭터'!$C:$C)</f>
        <v>Persona_c525</v>
      </c>
      <c r="F417" s="1"/>
      <c r="G417" s="1">
        <f>_xlfn.XLOOKUP(_xlfn.XLOOKUP(B417,'[1]Detail&lt;Child&gt;'!$A:$A,'[1]Detail&lt;Child&gt;'!$N:$N),'#참조'!P:P,'#참조'!Q:Q)</f>
        <v>3</v>
      </c>
      <c r="H417" s="1">
        <f>_xlfn.XLOOKUP(_xlfn.XLOOKUP(B417,'[1]Detail&lt;Child&gt;'!$A:$A,'[1]Detail&lt;Child&gt;'!$O:$O),'#참조'!R:R,'#참조'!S:S)</f>
        <v>5</v>
      </c>
      <c r="I417" s="1">
        <v>4</v>
      </c>
      <c r="J417" s="2">
        <v>3</v>
      </c>
      <c r="K417" s="2">
        <v>5</v>
      </c>
      <c r="L417" s="2">
        <v>14</v>
      </c>
      <c r="M417" s="2" t="s">
        <v>18</v>
      </c>
      <c r="N417" s="2" t="s">
        <v>407</v>
      </c>
      <c r="O417" s="2">
        <f t="shared" si="308"/>
        <v>6906</v>
      </c>
      <c r="P417" s="2" t="s">
        <v>194</v>
      </c>
      <c r="Q417" s="2" t="str">
        <f t="shared" si="290"/>
        <v>30290,36300</v>
      </c>
      <c r="R417" s="2">
        <f t="shared" si="309"/>
        <v>30290</v>
      </c>
      <c r="S417" s="2">
        <f t="shared" si="305"/>
        <v>36300</v>
      </c>
      <c r="T417" s="2" t="s">
        <v>195</v>
      </c>
      <c r="U417" s="2" t="str">
        <f t="shared" si="291"/>
        <v>1074,1300</v>
      </c>
      <c r="V417" s="2">
        <f t="shared" si="310"/>
        <v>1074</v>
      </c>
      <c r="W417" s="2">
        <f t="shared" si="306"/>
        <v>1300</v>
      </c>
      <c r="X417" s="2" t="s">
        <v>196</v>
      </c>
      <c r="Y417" s="2" t="str">
        <f t="shared" si="292"/>
        <v>2428,2900</v>
      </c>
      <c r="Z417" s="2">
        <f t="shared" si="311"/>
        <v>2428</v>
      </c>
      <c r="AA417" s="2">
        <f t="shared" si="307"/>
        <v>2900</v>
      </c>
      <c r="AB417" s="2">
        <v>80000</v>
      </c>
      <c r="AC417" s="2" t="str">
        <f>_xlfn.XLOOKUP(B417,'#캐릭터'!A:A,'#캐릭터'!B:B)</f>
        <v>그릴라</v>
      </c>
      <c r="AD417" s="2" t="str">
        <f t="shared" si="297"/>
        <v>Epic2_그릴라</v>
      </c>
      <c r="AE417" s="2">
        <f t="shared" si="293"/>
        <v>3504</v>
      </c>
    </row>
    <row r="418" spans="1:31" x14ac:dyDescent="0.2">
      <c r="A418" s="2">
        <f t="shared" si="289"/>
        <v>10525015</v>
      </c>
      <c r="B418" s="1">
        <v>10000525</v>
      </c>
      <c r="C418" s="1" t="s">
        <v>281</v>
      </c>
      <c r="D418" s="1" t="s">
        <v>309</v>
      </c>
      <c r="E418" s="1" t="str">
        <f>"Persona_"&amp;_xlfn.XLOOKUP($B418, '#캐릭터'!$A:$A, '#캐릭터'!$C:$C)</f>
        <v>Persona_c525</v>
      </c>
      <c r="F418" s="1"/>
      <c r="G418" s="1">
        <f>_xlfn.XLOOKUP(_xlfn.XLOOKUP(B418,'[1]Detail&lt;Child&gt;'!$A:$A,'[1]Detail&lt;Child&gt;'!$N:$N),'#참조'!P:P,'#참조'!Q:Q)</f>
        <v>3</v>
      </c>
      <c r="H418" s="1">
        <f>_xlfn.XLOOKUP(_xlfn.XLOOKUP(B418,'[1]Detail&lt;Child&gt;'!$A:$A,'[1]Detail&lt;Child&gt;'!$O:$O),'#참조'!R:R,'#참조'!S:S)</f>
        <v>5</v>
      </c>
      <c r="I418" s="1">
        <v>5</v>
      </c>
      <c r="J418" s="2">
        <v>3</v>
      </c>
      <c r="K418" s="2">
        <v>5</v>
      </c>
      <c r="L418" s="2">
        <v>15</v>
      </c>
      <c r="M418" s="2" t="s">
        <v>19</v>
      </c>
      <c r="N418" s="2" t="s">
        <v>407</v>
      </c>
      <c r="O418" s="2">
        <f t="shared" si="308"/>
        <v>7597</v>
      </c>
      <c r="P418" s="2" t="s">
        <v>194</v>
      </c>
      <c r="Q418" s="2" t="str">
        <f t="shared" si="290"/>
        <v>39377,47300</v>
      </c>
      <c r="R418" s="2">
        <f t="shared" si="309"/>
        <v>39377</v>
      </c>
      <c r="S418" s="2">
        <f t="shared" si="305"/>
        <v>47300</v>
      </c>
      <c r="T418" s="2" t="s">
        <v>195</v>
      </c>
      <c r="U418" s="2" t="str">
        <f t="shared" si="291"/>
        <v>1289,1500</v>
      </c>
      <c r="V418" s="2">
        <f t="shared" si="310"/>
        <v>1289</v>
      </c>
      <c r="W418" s="2">
        <f t="shared" si="306"/>
        <v>1500</v>
      </c>
      <c r="X418" s="2" t="s">
        <v>196</v>
      </c>
      <c r="Y418" s="2" t="str">
        <f t="shared" si="292"/>
        <v>3156,3800</v>
      </c>
      <c r="Z418" s="2">
        <f t="shared" si="311"/>
        <v>3156</v>
      </c>
      <c r="AA418" s="2">
        <f t="shared" si="307"/>
        <v>3800</v>
      </c>
      <c r="AB418" s="2">
        <v>80000</v>
      </c>
      <c r="AC418" s="2" t="str">
        <f>_xlfn.XLOOKUP(B418,'#캐릭터'!A:A,'#캐릭터'!B:B)</f>
        <v>그릴라</v>
      </c>
      <c r="AD418" s="2" t="str">
        <f t="shared" si="297"/>
        <v>Epic3_그릴라</v>
      </c>
      <c r="AE418" s="2">
        <f t="shared" si="293"/>
        <v>3505</v>
      </c>
    </row>
    <row r="419" spans="1:31" x14ac:dyDescent="0.2">
      <c r="A419" s="2">
        <f t="shared" si="289"/>
        <v>10525016</v>
      </c>
      <c r="B419" s="1">
        <v>10000525</v>
      </c>
      <c r="C419" s="1" t="s">
        <v>281</v>
      </c>
      <c r="D419" s="1" t="s">
        <v>309</v>
      </c>
      <c r="E419" s="1" t="str">
        <f>"Persona_"&amp;_xlfn.XLOOKUP($B419, '#캐릭터'!$A:$A, '#캐릭터'!$C:$C)</f>
        <v>Persona_c525</v>
      </c>
      <c r="F419" s="1"/>
      <c r="G419" s="1">
        <f>_xlfn.XLOOKUP(_xlfn.XLOOKUP(B419,'[1]Detail&lt;Child&gt;'!$A:$A,'[1]Detail&lt;Child&gt;'!$N:$N),'#참조'!P:P,'#참조'!Q:Q)</f>
        <v>3</v>
      </c>
      <c r="H419" s="1">
        <f>_xlfn.XLOOKUP(_xlfn.XLOOKUP(B419,'[1]Detail&lt;Child&gt;'!$A:$A,'[1]Detail&lt;Child&gt;'!$O:$O),'#참조'!R:R,'#참조'!S:S)</f>
        <v>5</v>
      </c>
      <c r="I419" s="1">
        <v>5</v>
      </c>
      <c r="J419" s="2">
        <v>3</v>
      </c>
      <c r="K419" s="2">
        <v>6</v>
      </c>
      <c r="L419" s="2">
        <v>16</v>
      </c>
      <c r="M419" s="2" t="s">
        <v>20</v>
      </c>
      <c r="N419" s="2" t="s">
        <v>407</v>
      </c>
      <c r="O419" s="2">
        <f t="shared" si="308"/>
        <v>8357</v>
      </c>
      <c r="P419" s="2" t="s">
        <v>194</v>
      </c>
      <c r="Q419" s="2" t="str">
        <f t="shared" si="290"/>
        <v>51190,61400</v>
      </c>
      <c r="R419" s="2">
        <f t="shared" si="309"/>
        <v>51190</v>
      </c>
      <c r="S419" s="2">
        <f t="shared" si="305"/>
        <v>61400</v>
      </c>
      <c r="T419" s="2" t="s">
        <v>195</v>
      </c>
      <c r="U419" s="2" t="str">
        <f t="shared" si="291"/>
        <v>1547,1900</v>
      </c>
      <c r="V419" s="2">
        <f t="shared" si="310"/>
        <v>1547</v>
      </c>
      <c r="W419" s="2">
        <f t="shared" si="306"/>
        <v>1900</v>
      </c>
      <c r="X419" s="2" t="s">
        <v>196</v>
      </c>
      <c r="Y419" s="2" t="str">
        <f t="shared" si="292"/>
        <v>4103,4900</v>
      </c>
      <c r="Z419" s="2">
        <f t="shared" si="311"/>
        <v>4103</v>
      </c>
      <c r="AA419" s="2">
        <f t="shared" si="307"/>
        <v>4900</v>
      </c>
      <c r="AB419" s="2">
        <v>75000</v>
      </c>
      <c r="AC419" s="2" t="str">
        <f>_xlfn.XLOOKUP(B419,'#캐릭터'!A:A,'#캐릭터'!B:B)</f>
        <v>그릴라</v>
      </c>
      <c r="AD419" s="2" t="str">
        <f t="shared" si="297"/>
        <v>Legendary1_그릴라</v>
      </c>
      <c r="AE419" s="2">
        <f t="shared" si="293"/>
        <v>3505</v>
      </c>
    </row>
    <row r="420" spans="1:31" x14ac:dyDescent="0.2">
      <c r="A420" s="2">
        <f t="shared" si="289"/>
        <v>10525017</v>
      </c>
      <c r="B420" s="1">
        <v>10000525</v>
      </c>
      <c r="C420" s="1" t="s">
        <v>281</v>
      </c>
      <c r="D420" s="1" t="s">
        <v>309</v>
      </c>
      <c r="E420" s="1" t="str">
        <f>"Persona_"&amp;_xlfn.XLOOKUP($B420, '#캐릭터'!$A:$A, '#캐릭터'!$C:$C)</f>
        <v>Persona_c525</v>
      </c>
      <c r="F420" s="1"/>
      <c r="G420" s="1">
        <f>_xlfn.XLOOKUP(_xlfn.XLOOKUP(B420,'[1]Detail&lt;Child&gt;'!$A:$A,'[1]Detail&lt;Child&gt;'!$N:$N),'#참조'!P:P,'#참조'!Q:Q)</f>
        <v>3</v>
      </c>
      <c r="H420" s="1">
        <f>_xlfn.XLOOKUP(_xlfn.XLOOKUP(B420,'[1]Detail&lt;Child&gt;'!$A:$A,'[1]Detail&lt;Child&gt;'!$O:$O),'#참조'!R:R,'#참조'!S:S)</f>
        <v>5</v>
      </c>
      <c r="I420" s="1">
        <v>6</v>
      </c>
      <c r="J420" s="2">
        <v>3</v>
      </c>
      <c r="K420" s="2">
        <v>6</v>
      </c>
      <c r="L420" s="2">
        <v>17</v>
      </c>
      <c r="M420" s="2" t="s">
        <v>21</v>
      </c>
      <c r="N420" s="2" t="s">
        <v>407</v>
      </c>
      <c r="O420" s="2">
        <f t="shared" si="308"/>
        <v>9193</v>
      </c>
      <c r="P420" s="2" t="s">
        <v>194</v>
      </c>
      <c r="Q420" s="2" t="str">
        <f t="shared" si="290"/>
        <v>66547,79900</v>
      </c>
      <c r="R420" s="2">
        <f t="shared" si="309"/>
        <v>66547</v>
      </c>
      <c r="S420" s="2">
        <f t="shared" si="305"/>
        <v>79900</v>
      </c>
      <c r="T420" s="2" t="s">
        <v>195</v>
      </c>
      <c r="U420" s="2" t="str">
        <f t="shared" si="291"/>
        <v>1856,2200</v>
      </c>
      <c r="V420" s="2">
        <f t="shared" si="310"/>
        <v>1856</v>
      </c>
      <c r="W420" s="2">
        <f t="shared" si="306"/>
        <v>2200</v>
      </c>
      <c r="X420" s="2" t="s">
        <v>196</v>
      </c>
      <c r="Y420" s="2" t="str">
        <f t="shared" si="292"/>
        <v>5334,6400</v>
      </c>
      <c r="Z420" s="2">
        <f t="shared" si="311"/>
        <v>5334</v>
      </c>
      <c r="AA420" s="2">
        <f t="shared" si="307"/>
        <v>6400</v>
      </c>
      <c r="AB420" s="2">
        <v>75000</v>
      </c>
      <c r="AC420" s="2" t="str">
        <f>_xlfn.XLOOKUP(B420,'#캐릭터'!A:A,'#캐릭터'!B:B)</f>
        <v>그릴라</v>
      </c>
      <c r="AD420" s="2" t="str">
        <f t="shared" si="297"/>
        <v>Legendary2_그릴라</v>
      </c>
      <c r="AE420" s="2">
        <f t="shared" si="293"/>
        <v>3506</v>
      </c>
    </row>
    <row r="421" spans="1:31" x14ac:dyDescent="0.2">
      <c r="A421" s="2">
        <f t="shared" si="289"/>
        <v>10525018</v>
      </c>
      <c r="B421" s="1">
        <v>10000525</v>
      </c>
      <c r="C421" s="1" t="s">
        <v>281</v>
      </c>
      <c r="D421" s="1" t="s">
        <v>309</v>
      </c>
      <c r="E421" s="1" t="str">
        <f>"Persona_"&amp;_xlfn.XLOOKUP($B421, '#캐릭터'!$A:$A, '#캐릭터'!$C:$C)</f>
        <v>Persona_c525</v>
      </c>
      <c r="F421" s="1"/>
      <c r="G421" s="1">
        <f>_xlfn.XLOOKUP(_xlfn.XLOOKUP(B421,'[1]Detail&lt;Child&gt;'!$A:$A,'[1]Detail&lt;Child&gt;'!$N:$N),'#참조'!P:P,'#참조'!Q:Q)</f>
        <v>3</v>
      </c>
      <c r="H421" s="1">
        <f>_xlfn.XLOOKUP(_xlfn.XLOOKUP(B421,'[1]Detail&lt;Child&gt;'!$A:$A,'[1]Detail&lt;Child&gt;'!$O:$O),'#참조'!R:R,'#참조'!S:S)</f>
        <v>5</v>
      </c>
      <c r="I421" s="1">
        <v>6</v>
      </c>
      <c r="J421" s="2">
        <v>3</v>
      </c>
      <c r="K421" s="2">
        <v>6</v>
      </c>
      <c r="L421" s="2">
        <v>18</v>
      </c>
      <c r="M421" s="2" t="s">
        <v>22</v>
      </c>
      <c r="N421" s="2" t="s">
        <v>407</v>
      </c>
      <c r="O421" s="2">
        <f t="shared" si="308"/>
        <v>10112</v>
      </c>
      <c r="P421" s="2" t="s">
        <v>194</v>
      </c>
      <c r="Q421" s="2" t="str">
        <f t="shared" si="290"/>
        <v>86511,103800</v>
      </c>
      <c r="R421" s="2">
        <f t="shared" si="309"/>
        <v>86511</v>
      </c>
      <c r="S421" s="2">
        <f t="shared" si="305"/>
        <v>103800</v>
      </c>
      <c r="T421" s="2" t="s">
        <v>195</v>
      </c>
      <c r="U421" s="2" t="str">
        <f t="shared" si="291"/>
        <v>2227,2700</v>
      </c>
      <c r="V421" s="2">
        <f t="shared" si="310"/>
        <v>2227</v>
      </c>
      <c r="W421" s="2">
        <f t="shared" si="306"/>
        <v>2700</v>
      </c>
      <c r="X421" s="2" t="s">
        <v>196</v>
      </c>
      <c r="Y421" s="2" t="str">
        <f t="shared" si="292"/>
        <v>6934,8300</v>
      </c>
      <c r="Z421" s="2">
        <f t="shared" si="311"/>
        <v>6934</v>
      </c>
      <c r="AA421" s="2">
        <f t="shared" si="307"/>
        <v>8300</v>
      </c>
      <c r="AB421" s="2">
        <v>75000</v>
      </c>
      <c r="AC421" s="2" t="str">
        <f>_xlfn.XLOOKUP(B421,'#캐릭터'!A:A,'#캐릭터'!B:B)</f>
        <v>그릴라</v>
      </c>
      <c r="AD421" s="2" t="str">
        <f t="shared" si="297"/>
        <v>Legendary3_그릴라</v>
      </c>
      <c r="AE421" s="2">
        <f t="shared" si="293"/>
        <v>3506</v>
      </c>
    </row>
    <row r="422" spans="1:31" x14ac:dyDescent="0.2">
      <c r="A422" s="2">
        <f t="shared" si="289"/>
        <v>10442000</v>
      </c>
      <c r="B422" s="1">
        <v>10000442</v>
      </c>
      <c r="C422" s="1" t="s">
        <v>281</v>
      </c>
      <c r="D422" s="1" t="s">
        <v>309</v>
      </c>
      <c r="E422" s="1" t="str">
        <f>"Persona_"&amp;_xlfn.XLOOKUP($B422, '#캐릭터'!$A:$A, '#캐릭터'!$C:$C)</f>
        <v>Persona_c442</v>
      </c>
      <c r="F422" s="1"/>
      <c r="G422" s="1">
        <f>_xlfn.XLOOKUP(_xlfn.XLOOKUP(B422,'[1]Detail&lt;Child&gt;'!$A:$A,'[1]Detail&lt;Child&gt;'!$N:$N),'#참조'!P:P,'#참조'!Q:Q)</f>
        <v>2</v>
      </c>
      <c r="H422" s="1">
        <f>_xlfn.XLOOKUP(_xlfn.XLOOKUP(B422,'[1]Detail&lt;Child&gt;'!$A:$A,'[1]Detail&lt;Child&gt;'!$O:$O),'#참조'!R:R,'#참조'!S:S)</f>
        <v>1</v>
      </c>
      <c r="I422" s="1">
        <v>0</v>
      </c>
      <c r="J422" s="2">
        <v>3</v>
      </c>
      <c r="K422" s="2">
        <v>0</v>
      </c>
      <c r="L422" s="2">
        <v>0</v>
      </c>
      <c r="M422" s="2" t="s">
        <v>31</v>
      </c>
      <c r="N422" s="2" t="s">
        <v>407</v>
      </c>
      <c r="O422" s="2">
        <v>0</v>
      </c>
      <c r="P422" s="2" t="s">
        <v>194</v>
      </c>
      <c r="Q422" s="2" t="str">
        <f t="shared" si="290"/>
        <v>1000,1000</v>
      </c>
      <c r="R422" s="2">
        <v>1000</v>
      </c>
      <c r="S422" s="2">
        <f t="shared" ref="S422" si="312">R422</f>
        <v>1000</v>
      </c>
      <c r="T422" s="2" t="s">
        <v>195</v>
      </c>
      <c r="U422" s="2" t="str">
        <f t="shared" si="291"/>
        <v>100,100</v>
      </c>
      <c r="V422" s="2">
        <v>100</v>
      </c>
      <c r="W422" s="2">
        <f t="shared" ref="W422" si="313">V422</f>
        <v>100</v>
      </c>
      <c r="X422" s="2" t="s">
        <v>196</v>
      </c>
      <c r="Y422" s="2" t="str">
        <f t="shared" si="292"/>
        <v>80,80</v>
      </c>
      <c r="Z422" s="2">
        <v>80</v>
      </c>
      <c r="AA422" s="2">
        <f t="shared" ref="AA422" si="314">Z422</f>
        <v>80</v>
      </c>
      <c r="AB422" s="2">
        <v>100000</v>
      </c>
      <c r="AC422" s="2" t="str">
        <f>_xlfn.XLOOKUP(B422,'#캐릭터'!A:A,'#캐릭터'!B:B)</f>
        <v>니르티</v>
      </c>
      <c r="AD422" s="2" t="str">
        <f t="shared" ref="AD422:AD440" si="315">M422&amp;"_"&amp;AC422</f>
        <v>Default_니르티</v>
      </c>
      <c r="AE422" s="2">
        <f t="shared" si="293"/>
        <v>0</v>
      </c>
    </row>
    <row r="423" spans="1:31" x14ac:dyDescent="0.2">
      <c r="A423" s="2">
        <f t="shared" si="289"/>
        <v>10442001</v>
      </c>
      <c r="B423" s="1">
        <v>10000442</v>
      </c>
      <c r="C423" s="1" t="s">
        <v>281</v>
      </c>
      <c r="D423" s="1" t="s">
        <v>309</v>
      </c>
      <c r="E423" s="1" t="str">
        <f>"Persona_"&amp;_xlfn.XLOOKUP($B423, '#캐릭터'!$A:$A, '#캐릭터'!$C:$C)</f>
        <v>Persona_c442</v>
      </c>
      <c r="F423" s="1"/>
      <c r="G423" s="1">
        <f>_xlfn.XLOOKUP(_xlfn.XLOOKUP(B423,'[1]Detail&lt;Child&gt;'!$A:$A,'[1]Detail&lt;Child&gt;'!$N:$N),'#참조'!P:P,'#참조'!Q:Q)</f>
        <v>2</v>
      </c>
      <c r="H423" s="1">
        <f>_xlfn.XLOOKUP(_xlfn.XLOOKUP(B423,'[1]Detail&lt;Child&gt;'!$A:$A,'[1]Detail&lt;Child&gt;'!$O:$O),'#참조'!R:R,'#참조'!S:S)</f>
        <v>1</v>
      </c>
      <c r="I423" s="1">
        <v>0</v>
      </c>
      <c r="J423" s="2">
        <v>3</v>
      </c>
      <c r="K423" s="2">
        <v>1</v>
      </c>
      <c r="L423" s="2">
        <v>1</v>
      </c>
      <c r="M423" s="2" t="s">
        <v>5</v>
      </c>
      <c r="N423" s="2" t="s">
        <v>407</v>
      </c>
      <c r="O423" s="2">
        <v>2000</v>
      </c>
      <c r="P423" s="2" t="s">
        <v>194</v>
      </c>
      <c r="Q423" s="2" t="str">
        <f t="shared" si="290"/>
        <v>1000,1200</v>
      </c>
      <c r="R423" s="2">
        <v>1000</v>
      </c>
      <c r="S423" s="2">
        <f t="shared" ref="S423" si="316">ROUND(R423*1.2, -2)</f>
        <v>1200</v>
      </c>
      <c r="T423" s="2" t="s">
        <v>195</v>
      </c>
      <c r="U423" s="2" t="str">
        <f t="shared" si="291"/>
        <v>100,100</v>
      </c>
      <c r="V423" s="2">
        <v>100</v>
      </c>
      <c r="W423" s="2">
        <f t="shared" ref="W423" si="317">ROUND(V423*1.2, -2)</f>
        <v>100</v>
      </c>
      <c r="X423" s="2" t="s">
        <v>196</v>
      </c>
      <c r="Y423" s="2" t="str">
        <f t="shared" si="292"/>
        <v>80,100</v>
      </c>
      <c r="Z423" s="2">
        <v>80</v>
      </c>
      <c r="AA423" s="2">
        <f t="shared" ref="AA423" si="318">ROUND(Z423*1.2, -2)</f>
        <v>100</v>
      </c>
      <c r="AB423" s="2">
        <v>100000</v>
      </c>
      <c r="AC423" s="2" t="str">
        <f>_xlfn.XLOOKUP(B423,'#캐릭터'!A:A,'#캐릭터'!B:B)</f>
        <v>니르티</v>
      </c>
      <c r="AD423" s="2" t="str">
        <f t="shared" si="315"/>
        <v>Common1_니르티</v>
      </c>
      <c r="AE423" s="2">
        <f t="shared" si="293"/>
        <v>0</v>
      </c>
    </row>
    <row r="424" spans="1:31" x14ac:dyDescent="0.2">
      <c r="A424" s="2">
        <f t="shared" si="289"/>
        <v>10442002</v>
      </c>
      <c r="B424" s="1">
        <v>10000442</v>
      </c>
      <c r="C424" s="1" t="s">
        <v>281</v>
      </c>
      <c r="D424" s="1" t="s">
        <v>309</v>
      </c>
      <c r="E424" s="1" t="str">
        <f>"Persona_"&amp;_xlfn.XLOOKUP($B424, '#캐릭터'!$A:$A, '#캐릭터'!$C:$C)</f>
        <v>Persona_c442</v>
      </c>
      <c r="F424" s="1"/>
      <c r="G424" s="1">
        <f>_xlfn.XLOOKUP(_xlfn.XLOOKUP(B424,'[1]Detail&lt;Child&gt;'!$A:$A,'[1]Detail&lt;Child&gt;'!$N:$N),'#참조'!P:P,'#참조'!Q:Q)</f>
        <v>2</v>
      </c>
      <c r="H424" s="1">
        <f>_xlfn.XLOOKUP(_xlfn.XLOOKUP(B424,'[1]Detail&lt;Child&gt;'!$A:$A,'[1]Detail&lt;Child&gt;'!$O:$O),'#참조'!R:R,'#참조'!S:S)</f>
        <v>1</v>
      </c>
      <c r="I424" s="1">
        <v>0</v>
      </c>
      <c r="J424" s="2">
        <v>3</v>
      </c>
      <c r="K424" s="2">
        <v>1</v>
      </c>
      <c r="L424" s="2">
        <v>2</v>
      </c>
      <c r="M424" s="2" t="s">
        <v>6</v>
      </c>
      <c r="N424" s="2" t="s">
        <v>407</v>
      </c>
      <c r="O424" s="2">
        <f t="shared" ref="O424" si="319">ROUND(O423*1.1, 0)</f>
        <v>2200</v>
      </c>
      <c r="P424" s="2" t="s">
        <v>194</v>
      </c>
      <c r="Q424" s="2" t="str">
        <f t="shared" si="290"/>
        <v>1300,1600</v>
      </c>
      <c r="R424" s="2">
        <f t="shared" ref="R424" si="320">ROUND(R423*1.3, 0)</f>
        <v>1300</v>
      </c>
      <c r="S424" s="2">
        <f t="shared" si="305"/>
        <v>1600</v>
      </c>
      <c r="T424" s="2" t="s">
        <v>195</v>
      </c>
      <c r="U424" s="2" t="str">
        <f t="shared" si="291"/>
        <v>120,100</v>
      </c>
      <c r="V424" s="2">
        <f t="shared" ref="V424" si="321">ROUND(V423*1.2, 0)</f>
        <v>120</v>
      </c>
      <c r="W424" s="2">
        <f t="shared" si="306"/>
        <v>100</v>
      </c>
      <c r="X424" s="2" t="s">
        <v>196</v>
      </c>
      <c r="Y424" s="2" t="str">
        <f t="shared" si="292"/>
        <v>104,100</v>
      </c>
      <c r="Z424" s="2">
        <f t="shared" ref="Z424" si="322">ROUND(Z423*1.3, 0)</f>
        <v>104</v>
      </c>
      <c r="AA424" s="2">
        <f t="shared" si="307"/>
        <v>100</v>
      </c>
      <c r="AB424" s="2">
        <v>100000</v>
      </c>
      <c r="AC424" s="2" t="str">
        <f>_xlfn.XLOOKUP(B424,'#캐릭터'!A:A,'#캐릭터'!B:B)</f>
        <v>니르티</v>
      </c>
      <c r="AD424" s="2" t="str">
        <f t="shared" si="315"/>
        <v>Common2_니르티</v>
      </c>
      <c r="AE424" s="2">
        <f t="shared" si="293"/>
        <v>0</v>
      </c>
    </row>
    <row r="425" spans="1:31" x14ac:dyDescent="0.2">
      <c r="A425" s="2">
        <f t="shared" si="289"/>
        <v>10442003</v>
      </c>
      <c r="B425" s="1">
        <v>10000442</v>
      </c>
      <c r="C425" s="1" t="s">
        <v>281</v>
      </c>
      <c r="D425" s="1" t="s">
        <v>309</v>
      </c>
      <c r="E425" s="1" t="str">
        <f>"Persona_"&amp;_xlfn.XLOOKUP($B425, '#캐릭터'!$A:$A, '#캐릭터'!$C:$C)</f>
        <v>Persona_c442</v>
      </c>
      <c r="F425" s="1"/>
      <c r="G425" s="1">
        <f>_xlfn.XLOOKUP(_xlfn.XLOOKUP(B425,'[1]Detail&lt;Child&gt;'!$A:$A,'[1]Detail&lt;Child&gt;'!$N:$N),'#참조'!P:P,'#참조'!Q:Q)</f>
        <v>2</v>
      </c>
      <c r="H425" s="1">
        <f>_xlfn.XLOOKUP(_xlfn.XLOOKUP(B425,'[1]Detail&lt;Child&gt;'!$A:$A,'[1]Detail&lt;Child&gt;'!$O:$O),'#참조'!R:R,'#참조'!S:S)</f>
        <v>1</v>
      </c>
      <c r="I425" s="1">
        <v>0</v>
      </c>
      <c r="J425" s="2">
        <v>3</v>
      </c>
      <c r="K425" s="2">
        <v>1</v>
      </c>
      <c r="L425" s="2">
        <v>3</v>
      </c>
      <c r="M425" s="2" t="s">
        <v>7</v>
      </c>
      <c r="N425" s="2" t="s">
        <v>407</v>
      </c>
      <c r="O425" s="2">
        <f t="shared" si="308"/>
        <v>2420</v>
      </c>
      <c r="P425" s="2" t="s">
        <v>194</v>
      </c>
      <c r="Q425" s="2" t="str">
        <f t="shared" si="290"/>
        <v>1690,2000</v>
      </c>
      <c r="R425" s="2">
        <f t="shared" si="309"/>
        <v>1690</v>
      </c>
      <c r="S425" s="2">
        <f t="shared" si="305"/>
        <v>2000</v>
      </c>
      <c r="T425" s="2" t="s">
        <v>195</v>
      </c>
      <c r="U425" s="2" t="str">
        <f t="shared" si="291"/>
        <v>144,200</v>
      </c>
      <c r="V425" s="2">
        <f t="shared" si="310"/>
        <v>144</v>
      </c>
      <c r="W425" s="2">
        <f t="shared" si="306"/>
        <v>200</v>
      </c>
      <c r="X425" s="2" t="s">
        <v>196</v>
      </c>
      <c r="Y425" s="2" t="str">
        <f t="shared" si="292"/>
        <v>135,200</v>
      </c>
      <c r="Z425" s="2">
        <f t="shared" si="311"/>
        <v>135</v>
      </c>
      <c r="AA425" s="2">
        <f t="shared" si="307"/>
        <v>200</v>
      </c>
      <c r="AB425" s="2">
        <v>100000</v>
      </c>
      <c r="AC425" s="2" t="str">
        <f>_xlfn.XLOOKUP(B425,'#캐릭터'!A:A,'#캐릭터'!B:B)</f>
        <v>니르티</v>
      </c>
      <c r="AD425" s="2" t="str">
        <f t="shared" si="315"/>
        <v>Common3_니르티</v>
      </c>
      <c r="AE425" s="2">
        <f t="shared" si="293"/>
        <v>0</v>
      </c>
    </row>
    <row r="426" spans="1:31" x14ac:dyDescent="0.2">
      <c r="A426" s="2">
        <f t="shared" si="289"/>
        <v>10442004</v>
      </c>
      <c r="B426" s="1">
        <v>10000442</v>
      </c>
      <c r="C426" s="1" t="s">
        <v>281</v>
      </c>
      <c r="D426" s="1" t="s">
        <v>309</v>
      </c>
      <c r="E426" s="1" t="str">
        <f>"Persona_"&amp;_xlfn.XLOOKUP($B426, '#캐릭터'!$A:$A, '#캐릭터'!$C:$C)</f>
        <v>Persona_c442</v>
      </c>
      <c r="F426" s="1"/>
      <c r="G426" s="1">
        <f>_xlfn.XLOOKUP(_xlfn.XLOOKUP(B426,'[1]Detail&lt;Child&gt;'!$A:$A,'[1]Detail&lt;Child&gt;'!$N:$N),'#참조'!P:P,'#참조'!Q:Q)</f>
        <v>2</v>
      </c>
      <c r="H426" s="1">
        <f>_xlfn.XLOOKUP(_xlfn.XLOOKUP(B426,'[1]Detail&lt;Child&gt;'!$A:$A,'[1]Detail&lt;Child&gt;'!$O:$O),'#참조'!R:R,'#참조'!S:S)</f>
        <v>1</v>
      </c>
      <c r="I426" s="1">
        <v>0</v>
      </c>
      <c r="J426" s="2">
        <v>3</v>
      </c>
      <c r="K426" s="2">
        <v>2</v>
      </c>
      <c r="L426" s="2">
        <v>4</v>
      </c>
      <c r="M426" s="2" t="s">
        <v>8</v>
      </c>
      <c r="N426" s="2" t="s">
        <v>407</v>
      </c>
      <c r="O426" s="2">
        <f t="shared" si="308"/>
        <v>2662</v>
      </c>
      <c r="P426" s="2" t="s">
        <v>194</v>
      </c>
      <c r="Q426" s="2" t="str">
        <f t="shared" si="290"/>
        <v>2197,2600</v>
      </c>
      <c r="R426" s="2">
        <f t="shared" si="309"/>
        <v>2197</v>
      </c>
      <c r="S426" s="2">
        <f t="shared" si="305"/>
        <v>2600</v>
      </c>
      <c r="T426" s="2" t="s">
        <v>195</v>
      </c>
      <c r="U426" s="2" t="str">
        <f t="shared" si="291"/>
        <v>173,200</v>
      </c>
      <c r="V426" s="2">
        <f t="shared" si="310"/>
        <v>173</v>
      </c>
      <c r="W426" s="2">
        <f t="shared" si="306"/>
        <v>200</v>
      </c>
      <c r="X426" s="2" t="s">
        <v>196</v>
      </c>
      <c r="Y426" s="2" t="str">
        <f t="shared" si="292"/>
        <v>176,200</v>
      </c>
      <c r="Z426" s="2">
        <f t="shared" si="311"/>
        <v>176</v>
      </c>
      <c r="AA426" s="2">
        <f t="shared" si="307"/>
        <v>200</v>
      </c>
      <c r="AB426" s="2">
        <v>95000</v>
      </c>
      <c r="AC426" s="2" t="str">
        <f>_xlfn.XLOOKUP(B426,'#캐릭터'!A:A,'#캐릭터'!B:B)</f>
        <v>니르티</v>
      </c>
      <c r="AD426" s="2" t="str">
        <f t="shared" si="315"/>
        <v>Uncommon1_니르티</v>
      </c>
      <c r="AE426" s="2">
        <f t="shared" si="293"/>
        <v>0</v>
      </c>
    </row>
    <row r="427" spans="1:31" x14ac:dyDescent="0.2">
      <c r="A427" s="2">
        <f t="shared" si="289"/>
        <v>10442005</v>
      </c>
      <c r="B427" s="1">
        <v>10000442</v>
      </c>
      <c r="C427" s="1" t="s">
        <v>281</v>
      </c>
      <c r="D427" s="1" t="s">
        <v>309</v>
      </c>
      <c r="E427" s="1" t="str">
        <f>"Persona_"&amp;_xlfn.XLOOKUP($B427, '#캐릭터'!$A:$A, '#캐릭터'!$C:$C)</f>
        <v>Persona_c442</v>
      </c>
      <c r="F427" s="1"/>
      <c r="G427" s="1">
        <f>_xlfn.XLOOKUP(_xlfn.XLOOKUP(B427,'[1]Detail&lt;Child&gt;'!$A:$A,'[1]Detail&lt;Child&gt;'!$N:$N),'#참조'!P:P,'#참조'!Q:Q)</f>
        <v>2</v>
      </c>
      <c r="H427" s="1">
        <f>_xlfn.XLOOKUP(_xlfn.XLOOKUP(B427,'[1]Detail&lt;Child&gt;'!$A:$A,'[1]Detail&lt;Child&gt;'!$O:$O),'#참조'!R:R,'#참조'!S:S)</f>
        <v>1</v>
      </c>
      <c r="I427" s="1">
        <v>0</v>
      </c>
      <c r="J427" s="2">
        <v>3</v>
      </c>
      <c r="K427" s="2">
        <v>2</v>
      </c>
      <c r="L427" s="2">
        <v>5</v>
      </c>
      <c r="M427" s="2" t="s">
        <v>9</v>
      </c>
      <c r="N427" s="2" t="s">
        <v>407</v>
      </c>
      <c r="O427" s="2">
        <f t="shared" si="308"/>
        <v>2928</v>
      </c>
      <c r="P427" s="2" t="s">
        <v>194</v>
      </c>
      <c r="Q427" s="2" t="str">
        <f t="shared" si="290"/>
        <v>2856,3400</v>
      </c>
      <c r="R427" s="2">
        <f t="shared" si="309"/>
        <v>2856</v>
      </c>
      <c r="S427" s="2">
        <f t="shared" si="305"/>
        <v>3400</v>
      </c>
      <c r="T427" s="2" t="s">
        <v>195</v>
      </c>
      <c r="U427" s="2" t="str">
        <f t="shared" si="291"/>
        <v>208,200</v>
      </c>
      <c r="V427" s="2">
        <f t="shared" si="310"/>
        <v>208</v>
      </c>
      <c r="W427" s="2">
        <f t="shared" si="306"/>
        <v>200</v>
      </c>
      <c r="X427" s="2" t="s">
        <v>196</v>
      </c>
      <c r="Y427" s="2" t="str">
        <f t="shared" si="292"/>
        <v>229,300</v>
      </c>
      <c r="Z427" s="2">
        <f t="shared" si="311"/>
        <v>229</v>
      </c>
      <c r="AA427" s="2">
        <f t="shared" si="307"/>
        <v>300</v>
      </c>
      <c r="AB427" s="2">
        <v>95000</v>
      </c>
      <c r="AC427" s="2" t="str">
        <f>_xlfn.XLOOKUP(B427,'#캐릭터'!A:A,'#캐릭터'!B:B)</f>
        <v>니르티</v>
      </c>
      <c r="AD427" s="2" t="str">
        <f t="shared" si="315"/>
        <v>Uncommon2_니르티</v>
      </c>
      <c r="AE427" s="2">
        <f t="shared" si="293"/>
        <v>0</v>
      </c>
    </row>
    <row r="428" spans="1:31" x14ac:dyDescent="0.2">
      <c r="A428" s="2">
        <f t="shared" si="289"/>
        <v>10442006</v>
      </c>
      <c r="B428" s="1">
        <v>10000442</v>
      </c>
      <c r="C428" s="1" t="s">
        <v>281</v>
      </c>
      <c r="D428" s="1" t="s">
        <v>309</v>
      </c>
      <c r="E428" s="1" t="str">
        <f>"Persona_"&amp;_xlfn.XLOOKUP($B428, '#캐릭터'!$A:$A, '#캐릭터'!$C:$C)</f>
        <v>Persona_c442</v>
      </c>
      <c r="F428" s="1"/>
      <c r="G428" s="1">
        <f>_xlfn.XLOOKUP(_xlfn.XLOOKUP(B428,'[1]Detail&lt;Child&gt;'!$A:$A,'[1]Detail&lt;Child&gt;'!$N:$N),'#참조'!P:P,'#참조'!Q:Q)</f>
        <v>2</v>
      </c>
      <c r="H428" s="1">
        <f>_xlfn.XLOOKUP(_xlfn.XLOOKUP(B428,'[1]Detail&lt;Child&gt;'!$A:$A,'[1]Detail&lt;Child&gt;'!$O:$O),'#참조'!R:R,'#참조'!S:S)</f>
        <v>1</v>
      </c>
      <c r="I428" s="1">
        <v>0</v>
      </c>
      <c r="J428" s="2">
        <v>3</v>
      </c>
      <c r="K428" s="2">
        <v>2</v>
      </c>
      <c r="L428" s="2">
        <v>6</v>
      </c>
      <c r="M428" s="2" t="s">
        <v>10</v>
      </c>
      <c r="N428" s="2" t="s">
        <v>407</v>
      </c>
      <c r="O428" s="2">
        <f t="shared" si="308"/>
        <v>3221</v>
      </c>
      <c r="P428" s="2" t="s">
        <v>194</v>
      </c>
      <c r="Q428" s="2" t="str">
        <f t="shared" si="290"/>
        <v>3713,4500</v>
      </c>
      <c r="R428" s="2">
        <f t="shared" si="309"/>
        <v>3713</v>
      </c>
      <c r="S428" s="2">
        <f t="shared" si="305"/>
        <v>4500</v>
      </c>
      <c r="T428" s="2" t="s">
        <v>195</v>
      </c>
      <c r="U428" s="2" t="str">
        <f t="shared" si="291"/>
        <v>250,300</v>
      </c>
      <c r="V428" s="2">
        <f t="shared" si="310"/>
        <v>250</v>
      </c>
      <c r="W428" s="2">
        <f t="shared" si="306"/>
        <v>300</v>
      </c>
      <c r="X428" s="2" t="s">
        <v>196</v>
      </c>
      <c r="Y428" s="2" t="str">
        <f t="shared" si="292"/>
        <v>298,400</v>
      </c>
      <c r="Z428" s="2">
        <f t="shared" si="311"/>
        <v>298</v>
      </c>
      <c r="AA428" s="2">
        <f t="shared" si="307"/>
        <v>400</v>
      </c>
      <c r="AB428" s="2">
        <v>95000</v>
      </c>
      <c r="AC428" s="2" t="str">
        <f>_xlfn.XLOOKUP(B428,'#캐릭터'!A:A,'#캐릭터'!B:B)</f>
        <v>니르티</v>
      </c>
      <c r="AD428" s="2" t="str">
        <f t="shared" si="315"/>
        <v>Uncommon3_니르티</v>
      </c>
      <c r="AE428" s="2">
        <f t="shared" si="293"/>
        <v>0</v>
      </c>
    </row>
    <row r="429" spans="1:31" x14ac:dyDescent="0.2">
      <c r="A429" s="2">
        <f t="shared" si="289"/>
        <v>10442007</v>
      </c>
      <c r="B429" s="1">
        <v>10000442</v>
      </c>
      <c r="C429" s="1" t="s">
        <v>281</v>
      </c>
      <c r="D429" s="1" t="s">
        <v>309</v>
      </c>
      <c r="E429" s="1" t="str">
        <f>"Persona_"&amp;_xlfn.XLOOKUP($B429, '#캐릭터'!$A:$A, '#캐릭터'!$C:$C)</f>
        <v>Persona_c442</v>
      </c>
      <c r="F429" s="1"/>
      <c r="G429" s="1">
        <f>_xlfn.XLOOKUP(_xlfn.XLOOKUP(B429,'[1]Detail&lt;Child&gt;'!$A:$A,'[1]Detail&lt;Child&gt;'!$N:$N),'#참조'!P:P,'#참조'!Q:Q)</f>
        <v>2</v>
      </c>
      <c r="H429" s="1">
        <f>_xlfn.XLOOKUP(_xlfn.XLOOKUP(B429,'[1]Detail&lt;Child&gt;'!$A:$A,'[1]Detail&lt;Child&gt;'!$O:$O),'#참조'!R:R,'#참조'!S:S)</f>
        <v>1</v>
      </c>
      <c r="I429" s="1">
        <v>1</v>
      </c>
      <c r="J429" s="2">
        <v>3</v>
      </c>
      <c r="K429" s="2">
        <v>3</v>
      </c>
      <c r="L429" s="2">
        <v>7</v>
      </c>
      <c r="M429" s="2" t="s">
        <v>11</v>
      </c>
      <c r="N429" s="2" t="s">
        <v>407</v>
      </c>
      <c r="O429" s="2">
        <f t="shared" si="308"/>
        <v>3543</v>
      </c>
      <c r="P429" s="2" t="s">
        <v>194</v>
      </c>
      <c r="Q429" s="2" t="str">
        <f t="shared" si="290"/>
        <v>4827,5800</v>
      </c>
      <c r="R429" s="2">
        <f t="shared" si="309"/>
        <v>4827</v>
      </c>
      <c r="S429" s="2">
        <f t="shared" si="305"/>
        <v>5800</v>
      </c>
      <c r="T429" s="2" t="s">
        <v>195</v>
      </c>
      <c r="U429" s="2" t="str">
        <f t="shared" si="291"/>
        <v>300,400</v>
      </c>
      <c r="V429" s="2">
        <f t="shared" si="310"/>
        <v>300</v>
      </c>
      <c r="W429" s="2">
        <f t="shared" si="306"/>
        <v>400</v>
      </c>
      <c r="X429" s="2" t="s">
        <v>196</v>
      </c>
      <c r="Y429" s="2" t="str">
        <f t="shared" si="292"/>
        <v>387,500</v>
      </c>
      <c r="Z429" s="2">
        <f t="shared" si="311"/>
        <v>387</v>
      </c>
      <c r="AA429" s="2">
        <f t="shared" si="307"/>
        <v>500</v>
      </c>
      <c r="AB429" s="2">
        <v>90000</v>
      </c>
      <c r="AC429" s="2" t="str">
        <f>_xlfn.XLOOKUP(B429,'#캐릭터'!A:A,'#캐릭터'!B:B)</f>
        <v>니르티</v>
      </c>
      <c r="AD429" s="2" t="str">
        <f t="shared" si="315"/>
        <v>Rare1_니르티</v>
      </c>
      <c r="AE429" s="2">
        <f t="shared" si="293"/>
        <v>2101</v>
      </c>
    </row>
    <row r="430" spans="1:31" x14ac:dyDescent="0.2">
      <c r="A430" s="2">
        <f t="shared" si="289"/>
        <v>10442008</v>
      </c>
      <c r="B430" s="1">
        <v>10000442</v>
      </c>
      <c r="C430" s="1" t="s">
        <v>281</v>
      </c>
      <c r="D430" s="1" t="s">
        <v>309</v>
      </c>
      <c r="E430" s="1" t="str">
        <f>"Persona_"&amp;_xlfn.XLOOKUP($B430, '#캐릭터'!$A:$A, '#캐릭터'!$C:$C)</f>
        <v>Persona_c442</v>
      </c>
      <c r="F430" s="1"/>
      <c r="G430" s="1">
        <f>_xlfn.XLOOKUP(_xlfn.XLOOKUP(B430,'[1]Detail&lt;Child&gt;'!$A:$A,'[1]Detail&lt;Child&gt;'!$N:$N),'#참조'!P:P,'#참조'!Q:Q)</f>
        <v>2</v>
      </c>
      <c r="H430" s="1">
        <f>_xlfn.XLOOKUP(_xlfn.XLOOKUP(B430,'[1]Detail&lt;Child&gt;'!$A:$A,'[1]Detail&lt;Child&gt;'!$O:$O),'#참조'!R:R,'#참조'!S:S)</f>
        <v>1</v>
      </c>
      <c r="I430" s="1">
        <v>1</v>
      </c>
      <c r="J430" s="2">
        <v>3</v>
      </c>
      <c r="K430" s="2">
        <v>3</v>
      </c>
      <c r="L430" s="2">
        <v>8</v>
      </c>
      <c r="M430" s="2" t="s">
        <v>12</v>
      </c>
      <c r="N430" s="2" t="s">
        <v>407</v>
      </c>
      <c r="O430" s="2">
        <f t="shared" si="308"/>
        <v>3897</v>
      </c>
      <c r="P430" s="2" t="s">
        <v>194</v>
      </c>
      <c r="Q430" s="2" t="str">
        <f t="shared" si="290"/>
        <v>6275,7500</v>
      </c>
      <c r="R430" s="2">
        <f t="shared" si="309"/>
        <v>6275</v>
      </c>
      <c r="S430" s="2">
        <f t="shared" si="305"/>
        <v>7500</v>
      </c>
      <c r="T430" s="2" t="s">
        <v>195</v>
      </c>
      <c r="U430" s="2" t="str">
        <f t="shared" si="291"/>
        <v>360,400</v>
      </c>
      <c r="V430" s="2">
        <f t="shared" si="310"/>
        <v>360</v>
      </c>
      <c r="W430" s="2">
        <f t="shared" si="306"/>
        <v>400</v>
      </c>
      <c r="X430" s="2" t="s">
        <v>196</v>
      </c>
      <c r="Y430" s="2" t="str">
        <f t="shared" si="292"/>
        <v>503,600</v>
      </c>
      <c r="Z430" s="2">
        <f t="shared" si="311"/>
        <v>503</v>
      </c>
      <c r="AA430" s="2">
        <f t="shared" si="307"/>
        <v>600</v>
      </c>
      <c r="AB430" s="2">
        <v>90000</v>
      </c>
      <c r="AC430" s="2" t="str">
        <f>_xlfn.XLOOKUP(B430,'#캐릭터'!A:A,'#캐릭터'!B:B)</f>
        <v>니르티</v>
      </c>
      <c r="AD430" s="2" t="str">
        <f t="shared" si="315"/>
        <v>Rare2_니르티</v>
      </c>
      <c r="AE430" s="2">
        <f t="shared" si="293"/>
        <v>2101</v>
      </c>
    </row>
    <row r="431" spans="1:31" x14ac:dyDescent="0.2">
      <c r="A431" s="2">
        <f t="shared" si="289"/>
        <v>10442009</v>
      </c>
      <c r="B431" s="1">
        <v>10000442</v>
      </c>
      <c r="C431" s="1" t="s">
        <v>281</v>
      </c>
      <c r="D431" s="1" t="s">
        <v>309</v>
      </c>
      <c r="E431" s="1" t="str">
        <f>"Persona_"&amp;_xlfn.XLOOKUP($B431, '#캐릭터'!$A:$A, '#캐릭터'!$C:$C)</f>
        <v>Persona_c442</v>
      </c>
      <c r="F431" s="1"/>
      <c r="G431" s="1">
        <f>_xlfn.XLOOKUP(_xlfn.XLOOKUP(B431,'[1]Detail&lt;Child&gt;'!$A:$A,'[1]Detail&lt;Child&gt;'!$N:$N),'#참조'!P:P,'#참조'!Q:Q)</f>
        <v>2</v>
      </c>
      <c r="H431" s="1">
        <f>_xlfn.XLOOKUP(_xlfn.XLOOKUP(B431,'[1]Detail&lt;Child&gt;'!$A:$A,'[1]Detail&lt;Child&gt;'!$O:$O),'#참조'!R:R,'#참조'!S:S)</f>
        <v>1</v>
      </c>
      <c r="I431" s="1">
        <v>2</v>
      </c>
      <c r="J431" s="2">
        <v>3</v>
      </c>
      <c r="K431" s="2">
        <v>3</v>
      </c>
      <c r="L431" s="2">
        <v>9</v>
      </c>
      <c r="M431" s="2" t="s">
        <v>13</v>
      </c>
      <c r="N431" s="2" t="s">
        <v>407</v>
      </c>
      <c r="O431" s="2">
        <f t="shared" si="308"/>
        <v>4287</v>
      </c>
      <c r="P431" s="2" t="s">
        <v>194</v>
      </c>
      <c r="Q431" s="2" t="str">
        <f t="shared" si="290"/>
        <v>8158,9800</v>
      </c>
      <c r="R431" s="2">
        <f t="shared" si="309"/>
        <v>8158</v>
      </c>
      <c r="S431" s="2">
        <f t="shared" si="305"/>
        <v>9800</v>
      </c>
      <c r="T431" s="2" t="s">
        <v>195</v>
      </c>
      <c r="U431" s="2" t="str">
        <f t="shared" si="291"/>
        <v>432,500</v>
      </c>
      <c r="V431" s="2">
        <f t="shared" si="310"/>
        <v>432</v>
      </c>
      <c r="W431" s="2">
        <f t="shared" si="306"/>
        <v>500</v>
      </c>
      <c r="X431" s="2" t="s">
        <v>196</v>
      </c>
      <c r="Y431" s="2" t="str">
        <f t="shared" si="292"/>
        <v>654,800</v>
      </c>
      <c r="Z431" s="2">
        <f t="shared" si="311"/>
        <v>654</v>
      </c>
      <c r="AA431" s="2">
        <f t="shared" si="307"/>
        <v>800</v>
      </c>
      <c r="AB431" s="2">
        <v>90000</v>
      </c>
      <c r="AC431" s="2" t="str">
        <f>_xlfn.XLOOKUP(B431,'#캐릭터'!A:A,'#캐릭터'!B:B)</f>
        <v>니르티</v>
      </c>
      <c r="AD431" s="2" t="str">
        <f t="shared" si="315"/>
        <v>Rare3_니르티</v>
      </c>
      <c r="AE431" s="2">
        <f t="shared" si="293"/>
        <v>2102</v>
      </c>
    </row>
    <row r="432" spans="1:31" x14ac:dyDescent="0.2">
      <c r="A432" s="2">
        <f t="shared" si="289"/>
        <v>10442010</v>
      </c>
      <c r="B432" s="1">
        <v>10000442</v>
      </c>
      <c r="C432" s="1" t="s">
        <v>281</v>
      </c>
      <c r="D432" s="1" t="s">
        <v>309</v>
      </c>
      <c r="E432" s="1" t="str">
        <f>"Persona_"&amp;_xlfn.XLOOKUP($B432, '#캐릭터'!$A:$A, '#캐릭터'!$C:$C)</f>
        <v>Persona_c442</v>
      </c>
      <c r="F432" s="1"/>
      <c r="G432" s="1">
        <f>_xlfn.XLOOKUP(_xlfn.XLOOKUP(B432,'[1]Detail&lt;Child&gt;'!$A:$A,'[1]Detail&lt;Child&gt;'!$N:$N),'#참조'!P:P,'#참조'!Q:Q)</f>
        <v>2</v>
      </c>
      <c r="H432" s="1">
        <f>_xlfn.XLOOKUP(_xlfn.XLOOKUP(B432,'[1]Detail&lt;Child&gt;'!$A:$A,'[1]Detail&lt;Child&gt;'!$O:$O),'#참조'!R:R,'#참조'!S:S)</f>
        <v>1</v>
      </c>
      <c r="I432" s="1">
        <v>2</v>
      </c>
      <c r="J432" s="2">
        <v>3</v>
      </c>
      <c r="K432" s="2">
        <v>4</v>
      </c>
      <c r="L432" s="2">
        <v>10</v>
      </c>
      <c r="M432" s="2" t="s">
        <v>14</v>
      </c>
      <c r="N432" s="2" t="s">
        <v>407</v>
      </c>
      <c r="O432" s="2">
        <f t="shared" si="308"/>
        <v>4716</v>
      </c>
      <c r="P432" s="2" t="s">
        <v>194</v>
      </c>
      <c r="Q432" s="2" t="str">
        <f t="shared" si="290"/>
        <v>10605,12700</v>
      </c>
      <c r="R432" s="2">
        <f t="shared" si="309"/>
        <v>10605</v>
      </c>
      <c r="S432" s="2">
        <f t="shared" si="305"/>
        <v>12700</v>
      </c>
      <c r="T432" s="2" t="s">
        <v>195</v>
      </c>
      <c r="U432" s="2" t="str">
        <f t="shared" si="291"/>
        <v>518,600</v>
      </c>
      <c r="V432" s="2">
        <f t="shared" si="310"/>
        <v>518</v>
      </c>
      <c r="W432" s="2">
        <f t="shared" si="306"/>
        <v>600</v>
      </c>
      <c r="X432" s="2" t="s">
        <v>196</v>
      </c>
      <c r="Y432" s="2" t="str">
        <f t="shared" si="292"/>
        <v>850,1000</v>
      </c>
      <c r="Z432" s="2">
        <f t="shared" si="311"/>
        <v>850</v>
      </c>
      <c r="AA432" s="2">
        <f t="shared" si="307"/>
        <v>1000</v>
      </c>
      <c r="AB432" s="2">
        <v>85000</v>
      </c>
      <c r="AC432" s="2" t="str">
        <f>_xlfn.XLOOKUP(B432,'#캐릭터'!A:A,'#캐릭터'!B:B)</f>
        <v>니르티</v>
      </c>
      <c r="AD432" s="2" t="str">
        <f t="shared" si="315"/>
        <v>Unique1_니르티</v>
      </c>
      <c r="AE432" s="2">
        <f t="shared" si="293"/>
        <v>2102</v>
      </c>
    </row>
    <row r="433" spans="1:31" x14ac:dyDescent="0.2">
      <c r="A433" s="2">
        <f t="shared" si="289"/>
        <v>10442011</v>
      </c>
      <c r="B433" s="1">
        <v>10000442</v>
      </c>
      <c r="C433" s="1" t="s">
        <v>281</v>
      </c>
      <c r="D433" s="1" t="s">
        <v>309</v>
      </c>
      <c r="E433" s="1" t="str">
        <f>"Persona_"&amp;_xlfn.XLOOKUP($B433, '#캐릭터'!$A:$A, '#캐릭터'!$C:$C)</f>
        <v>Persona_c442</v>
      </c>
      <c r="F433" s="1"/>
      <c r="G433" s="1">
        <f>_xlfn.XLOOKUP(_xlfn.XLOOKUP(B433,'[1]Detail&lt;Child&gt;'!$A:$A,'[1]Detail&lt;Child&gt;'!$N:$N),'#참조'!P:P,'#참조'!Q:Q)</f>
        <v>2</v>
      </c>
      <c r="H433" s="1">
        <f>_xlfn.XLOOKUP(_xlfn.XLOOKUP(B433,'[1]Detail&lt;Child&gt;'!$A:$A,'[1]Detail&lt;Child&gt;'!$O:$O),'#참조'!R:R,'#참조'!S:S)</f>
        <v>1</v>
      </c>
      <c r="I433" s="1">
        <v>3</v>
      </c>
      <c r="J433" s="2">
        <v>3</v>
      </c>
      <c r="K433" s="2">
        <v>4</v>
      </c>
      <c r="L433" s="2">
        <v>11</v>
      </c>
      <c r="M433" s="2" t="s">
        <v>15</v>
      </c>
      <c r="N433" s="2" t="s">
        <v>407</v>
      </c>
      <c r="O433" s="2">
        <f t="shared" si="308"/>
        <v>5188</v>
      </c>
      <c r="P433" s="2" t="s">
        <v>194</v>
      </c>
      <c r="Q433" s="2" t="str">
        <f t="shared" si="290"/>
        <v>13787,16500</v>
      </c>
      <c r="R433" s="2">
        <f t="shared" si="309"/>
        <v>13787</v>
      </c>
      <c r="S433" s="2">
        <f t="shared" si="305"/>
        <v>16500</v>
      </c>
      <c r="T433" s="2" t="s">
        <v>195</v>
      </c>
      <c r="U433" s="2" t="str">
        <f t="shared" si="291"/>
        <v>622,700</v>
      </c>
      <c r="V433" s="2">
        <f t="shared" si="310"/>
        <v>622</v>
      </c>
      <c r="W433" s="2">
        <f t="shared" si="306"/>
        <v>700</v>
      </c>
      <c r="X433" s="2" t="s">
        <v>196</v>
      </c>
      <c r="Y433" s="2" t="str">
        <f t="shared" si="292"/>
        <v>1105,1300</v>
      </c>
      <c r="Z433" s="2">
        <f t="shared" si="311"/>
        <v>1105</v>
      </c>
      <c r="AA433" s="2">
        <f t="shared" si="307"/>
        <v>1300</v>
      </c>
      <c r="AB433" s="2">
        <v>85000</v>
      </c>
      <c r="AC433" s="2" t="str">
        <f>_xlfn.XLOOKUP(B433,'#캐릭터'!A:A,'#캐릭터'!B:B)</f>
        <v>니르티</v>
      </c>
      <c r="AD433" s="2" t="str">
        <f t="shared" si="315"/>
        <v>Unique2_니르티</v>
      </c>
      <c r="AE433" s="2">
        <f t="shared" si="293"/>
        <v>2103</v>
      </c>
    </row>
    <row r="434" spans="1:31" x14ac:dyDescent="0.2">
      <c r="A434" s="2">
        <f t="shared" si="289"/>
        <v>10442012</v>
      </c>
      <c r="B434" s="1">
        <v>10000442</v>
      </c>
      <c r="C434" s="1" t="s">
        <v>281</v>
      </c>
      <c r="D434" s="1" t="s">
        <v>309</v>
      </c>
      <c r="E434" s="1" t="str">
        <f>"Persona_"&amp;_xlfn.XLOOKUP($B434, '#캐릭터'!$A:$A, '#캐릭터'!$C:$C)</f>
        <v>Persona_c442</v>
      </c>
      <c r="F434" s="1"/>
      <c r="G434" s="1">
        <f>_xlfn.XLOOKUP(_xlfn.XLOOKUP(B434,'[1]Detail&lt;Child&gt;'!$A:$A,'[1]Detail&lt;Child&gt;'!$N:$N),'#참조'!P:P,'#참조'!Q:Q)</f>
        <v>2</v>
      </c>
      <c r="H434" s="1">
        <f>_xlfn.XLOOKUP(_xlfn.XLOOKUP(B434,'[1]Detail&lt;Child&gt;'!$A:$A,'[1]Detail&lt;Child&gt;'!$O:$O),'#참조'!R:R,'#참조'!S:S)</f>
        <v>1</v>
      </c>
      <c r="I434" s="1">
        <v>3</v>
      </c>
      <c r="J434" s="2">
        <v>3</v>
      </c>
      <c r="K434" s="2">
        <v>4</v>
      </c>
      <c r="L434" s="2">
        <v>12</v>
      </c>
      <c r="M434" s="2" t="s">
        <v>16</v>
      </c>
      <c r="N434" s="2" t="s">
        <v>407</v>
      </c>
      <c r="O434" s="2">
        <f t="shared" si="308"/>
        <v>5707</v>
      </c>
      <c r="P434" s="2" t="s">
        <v>194</v>
      </c>
      <c r="Q434" s="2" t="str">
        <f t="shared" si="290"/>
        <v>17923,21500</v>
      </c>
      <c r="R434" s="2">
        <f t="shared" si="309"/>
        <v>17923</v>
      </c>
      <c r="S434" s="2">
        <f t="shared" si="305"/>
        <v>21500</v>
      </c>
      <c r="T434" s="2" t="s">
        <v>195</v>
      </c>
      <c r="U434" s="2" t="str">
        <f t="shared" si="291"/>
        <v>746,900</v>
      </c>
      <c r="V434" s="2">
        <f t="shared" si="310"/>
        <v>746</v>
      </c>
      <c r="W434" s="2">
        <f t="shared" si="306"/>
        <v>900</v>
      </c>
      <c r="X434" s="2" t="s">
        <v>196</v>
      </c>
      <c r="Y434" s="2" t="str">
        <f t="shared" si="292"/>
        <v>1437,1700</v>
      </c>
      <c r="Z434" s="2">
        <f t="shared" si="311"/>
        <v>1437</v>
      </c>
      <c r="AA434" s="2">
        <f t="shared" si="307"/>
        <v>1700</v>
      </c>
      <c r="AB434" s="2">
        <v>85000</v>
      </c>
      <c r="AC434" s="2" t="str">
        <f>_xlfn.XLOOKUP(B434,'#캐릭터'!A:A,'#캐릭터'!B:B)</f>
        <v>니르티</v>
      </c>
      <c r="AD434" s="2" t="str">
        <f t="shared" si="315"/>
        <v>Unique3_니르티</v>
      </c>
      <c r="AE434" s="2">
        <f t="shared" si="293"/>
        <v>2103</v>
      </c>
    </row>
    <row r="435" spans="1:31" x14ac:dyDescent="0.2">
      <c r="A435" s="2">
        <f t="shared" si="289"/>
        <v>10442013</v>
      </c>
      <c r="B435" s="1">
        <v>10000442</v>
      </c>
      <c r="C435" s="1" t="s">
        <v>281</v>
      </c>
      <c r="D435" s="1" t="s">
        <v>309</v>
      </c>
      <c r="E435" s="1" t="str">
        <f>"Persona_"&amp;_xlfn.XLOOKUP($B435, '#캐릭터'!$A:$A, '#캐릭터'!$C:$C)</f>
        <v>Persona_c442</v>
      </c>
      <c r="F435" s="1"/>
      <c r="G435" s="1">
        <f>_xlfn.XLOOKUP(_xlfn.XLOOKUP(B435,'[1]Detail&lt;Child&gt;'!$A:$A,'[1]Detail&lt;Child&gt;'!$N:$N),'#참조'!P:P,'#참조'!Q:Q)</f>
        <v>2</v>
      </c>
      <c r="H435" s="1">
        <f>_xlfn.XLOOKUP(_xlfn.XLOOKUP(B435,'[1]Detail&lt;Child&gt;'!$A:$A,'[1]Detail&lt;Child&gt;'!$O:$O),'#참조'!R:R,'#참조'!S:S)</f>
        <v>1</v>
      </c>
      <c r="I435" s="1">
        <v>4</v>
      </c>
      <c r="J435" s="2">
        <v>3</v>
      </c>
      <c r="K435" s="2">
        <v>5</v>
      </c>
      <c r="L435" s="2">
        <v>13</v>
      </c>
      <c r="M435" s="2" t="s">
        <v>17</v>
      </c>
      <c r="N435" s="2" t="s">
        <v>407</v>
      </c>
      <c r="O435" s="2">
        <f t="shared" si="308"/>
        <v>6278</v>
      </c>
      <c r="P435" s="2" t="s">
        <v>194</v>
      </c>
      <c r="Q435" s="2" t="str">
        <f t="shared" si="290"/>
        <v>23300,28000</v>
      </c>
      <c r="R435" s="2">
        <f t="shared" si="309"/>
        <v>23300</v>
      </c>
      <c r="S435" s="2">
        <f t="shared" si="305"/>
        <v>28000</v>
      </c>
      <c r="T435" s="2" t="s">
        <v>195</v>
      </c>
      <c r="U435" s="2" t="str">
        <f t="shared" si="291"/>
        <v>895,1100</v>
      </c>
      <c r="V435" s="2">
        <f t="shared" si="310"/>
        <v>895</v>
      </c>
      <c r="W435" s="2">
        <f t="shared" si="306"/>
        <v>1100</v>
      </c>
      <c r="X435" s="2" t="s">
        <v>196</v>
      </c>
      <c r="Y435" s="2" t="str">
        <f t="shared" si="292"/>
        <v>1868,2200</v>
      </c>
      <c r="Z435" s="2">
        <f t="shared" si="311"/>
        <v>1868</v>
      </c>
      <c r="AA435" s="2">
        <f t="shared" si="307"/>
        <v>2200</v>
      </c>
      <c r="AB435" s="2">
        <v>80000</v>
      </c>
      <c r="AC435" s="2" t="str">
        <f>_xlfn.XLOOKUP(B435,'#캐릭터'!A:A,'#캐릭터'!B:B)</f>
        <v>니르티</v>
      </c>
      <c r="AD435" s="2" t="str">
        <f t="shared" si="315"/>
        <v>Epic1_니르티</v>
      </c>
      <c r="AE435" s="2">
        <f t="shared" si="293"/>
        <v>2104</v>
      </c>
    </row>
    <row r="436" spans="1:31" x14ac:dyDescent="0.2">
      <c r="A436" s="2">
        <f t="shared" si="289"/>
        <v>10442014</v>
      </c>
      <c r="B436" s="1">
        <v>10000442</v>
      </c>
      <c r="C436" s="1" t="s">
        <v>281</v>
      </c>
      <c r="D436" s="1" t="s">
        <v>309</v>
      </c>
      <c r="E436" s="1" t="str">
        <f>"Persona_"&amp;_xlfn.XLOOKUP($B436, '#캐릭터'!$A:$A, '#캐릭터'!$C:$C)</f>
        <v>Persona_c442</v>
      </c>
      <c r="F436" s="1"/>
      <c r="G436" s="1">
        <f>_xlfn.XLOOKUP(_xlfn.XLOOKUP(B436,'[1]Detail&lt;Child&gt;'!$A:$A,'[1]Detail&lt;Child&gt;'!$N:$N),'#참조'!P:P,'#참조'!Q:Q)</f>
        <v>2</v>
      </c>
      <c r="H436" s="1">
        <f>_xlfn.XLOOKUP(_xlfn.XLOOKUP(B436,'[1]Detail&lt;Child&gt;'!$A:$A,'[1]Detail&lt;Child&gt;'!$O:$O),'#참조'!R:R,'#참조'!S:S)</f>
        <v>1</v>
      </c>
      <c r="I436" s="1">
        <v>4</v>
      </c>
      <c r="J436" s="2">
        <v>3</v>
      </c>
      <c r="K436" s="2">
        <v>5</v>
      </c>
      <c r="L436" s="2">
        <v>14</v>
      </c>
      <c r="M436" s="2" t="s">
        <v>18</v>
      </c>
      <c r="N436" s="2" t="s">
        <v>407</v>
      </c>
      <c r="O436" s="2">
        <f t="shared" si="308"/>
        <v>6906</v>
      </c>
      <c r="P436" s="2" t="s">
        <v>194</v>
      </c>
      <c r="Q436" s="2" t="str">
        <f t="shared" si="290"/>
        <v>30290,36300</v>
      </c>
      <c r="R436" s="2">
        <f t="shared" si="309"/>
        <v>30290</v>
      </c>
      <c r="S436" s="2">
        <f t="shared" si="305"/>
        <v>36300</v>
      </c>
      <c r="T436" s="2" t="s">
        <v>195</v>
      </c>
      <c r="U436" s="2" t="str">
        <f t="shared" si="291"/>
        <v>1074,1300</v>
      </c>
      <c r="V436" s="2">
        <f t="shared" si="310"/>
        <v>1074</v>
      </c>
      <c r="W436" s="2">
        <f t="shared" si="306"/>
        <v>1300</v>
      </c>
      <c r="X436" s="2" t="s">
        <v>196</v>
      </c>
      <c r="Y436" s="2" t="str">
        <f t="shared" si="292"/>
        <v>2428,2900</v>
      </c>
      <c r="Z436" s="2">
        <f t="shared" si="311"/>
        <v>2428</v>
      </c>
      <c r="AA436" s="2">
        <f t="shared" si="307"/>
        <v>2900</v>
      </c>
      <c r="AB436" s="2">
        <v>80000</v>
      </c>
      <c r="AC436" s="2" t="str">
        <f>_xlfn.XLOOKUP(B436,'#캐릭터'!A:A,'#캐릭터'!B:B)</f>
        <v>니르티</v>
      </c>
      <c r="AD436" s="2" t="str">
        <f t="shared" si="315"/>
        <v>Epic2_니르티</v>
      </c>
      <c r="AE436" s="2">
        <f t="shared" si="293"/>
        <v>2104</v>
      </c>
    </row>
    <row r="437" spans="1:31" x14ac:dyDescent="0.2">
      <c r="A437" s="2">
        <f t="shared" si="289"/>
        <v>10442015</v>
      </c>
      <c r="B437" s="1">
        <v>10000442</v>
      </c>
      <c r="C437" s="1" t="s">
        <v>281</v>
      </c>
      <c r="D437" s="1" t="s">
        <v>309</v>
      </c>
      <c r="E437" s="1" t="str">
        <f>"Persona_"&amp;_xlfn.XLOOKUP($B437, '#캐릭터'!$A:$A, '#캐릭터'!$C:$C)</f>
        <v>Persona_c442</v>
      </c>
      <c r="F437" s="1"/>
      <c r="G437" s="1">
        <f>_xlfn.XLOOKUP(_xlfn.XLOOKUP(B437,'[1]Detail&lt;Child&gt;'!$A:$A,'[1]Detail&lt;Child&gt;'!$N:$N),'#참조'!P:P,'#참조'!Q:Q)</f>
        <v>2</v>
      </c>
      <c r="H437" s="1">
        <f>_xlfn.XLOOKUP(_xlfn.XLOOKUP(B437,'[1]Detail&lt;Child&gt;'!$A:$A,'[1]Detail&lt;Child&gt;'!$O:$O),'#참조'!R:R,'#참조'!S:S)</f>
        <v>1</v>
      </c>
      <c r="I437" s="1">
        <v>5</v>
      </c>
      <c r="J437" s="2">
        <v>3</v>
      </c>
      <c r="K437" s="2">
        <v>5</v>
      </c>
      <c r="L437" s="2">
        <v>15</v>
      </c>
      <c r="M437" s="2" t="s">
        <v>19</v>
      </c>
      <c r="N437" s="2" t="s">
        <v>407</v>
      </c>
      <c r="O437" s="2">
        <f t="shared" si="308"/>
        <v>7597</v>
      </c>
      <c r="P437" s="2" t="s">
        <v>194</v>
      </c>
      <c r="Q437" s="2" t="str">
        <f t="shared" si="290"/>
        <v>39377,47300</v>
      </c>
      <c r="R437" s="2">
        <f t="shared" si="309"/>
        <v>39377</v>
      </c>
      <c r="S437" s="2">
        <f t="shared" si="305"/>
        <v>47300</v>
      </c>
      <c r="T437" s="2" t="s">
        <v>195</v>
      </c>
      <c r="U437" s="2" t="str">
        <f t="shared" si="291"/>
        <v>1289,1500</v>
      </c>
      <c r="V437" s="2">
        <f t="shared" si="310"/>
        <v>1289</v>
      </c>
      <c r="W437" s="2">
        <f t="shared" si="306"/>
        <v>1500</v>
      </c>
      <c r="X437" s="2" t="s">
        <v>196</v>
      </c>
      <c r="Y437" s="2" t="str">
        <f t="shared" si="292"/>
        <v>3156,3800</v>
      </c>
      <c r="Z437" s="2">
        <f t="shared" si="311"/>
        <v>3156</v>
      </c>
      <c r="AA437" s="2">
        <f t="shared" si="307"/>
        <v>3800</v>
      </c>
      <c r="AB437" s="2">
        <v>80000</v>
      </c>
      <c r="AC437" s="2" t="str">
        <f>_xlfn.XLOOKUP(B437,'#캐릭터'!A:A,'#캐릭터'!B:B)</f>
        <v>니르티</v>
      </c>
      <c r="AD437" s="2" t="str">
        <f t="shared" si="315"/>
        <v>Epic3_니르티</v>
      </c>
      <c r="AE437" s="2">
        <f t="shared" si="293"/>
        <v>2105</v>
      </c>
    </row>
    <row r="438" spans="1:31" x14ac:dyDescent="0.2">
      <c r="A438" s="2">
        <f t="shared" si="289"/>
        <v>10442016</v>
      </c>
      <c r="B438" s="1">
        <v>10000442</v>
      </c>
      <c r="C438" s="1" t="s">
        <v>281</v>
      </c>
      <c r="D438" s="1" t="s">
        <v>309</v>
      </c>
      <c r="E438" s="1" t="str">
        <f>"Persona_"&amp;_xlfn.XLOOKUP($B438, '#캐릭터'!$A:$A, '#캐릭터'!$C:$C)</f>
        <v>Persona_c442</v>
      </c>
      <c r="F438" s="1"/>
      <c r="G438" s="1">
        <f>_xlfn.XLOOKUP(_xlfn.XLOOKUP(B438,'[1]Detail&lt;Child&gt;'!$A:$A,'[1]Detail&lt;Child&gt;'!$N:$N),'#참조'!P:P,'#참조'!Q:Q)</f>
        <v>2</v>
      </c>
      <c r="H438" s="1">
        <f>_xlfn.XLOOKUP(_xlfn.XLOOKUP(B438,'[1]Detail&lt;Child&gt;'!$A:$A,'[1]Detail&lt;Child&gt;'!$O:$O),'#참조'!R:R,'#참조'!S:S)</f>
        <v>1</v>
      </c>
      <c r="I438" s="1">
        <v>5</v>
      </c>
      <c r="J438" s="2">
        <v>3</v>
      </c>
      <c r="K438" s="2">
        <v>6</v>
      </c>
      <c r="L438" s="2">
        <v>16</v>
      </c>
      <c r="M438" s="2" t="s">
        <v>20</v>
      </c>
      <c r="N438" s="2" t="s">
        <v>407</v>
      </c>
      <c r="O438" s="2">
        <f t="shared" si="308"/>
        <v>8357</v>
      </c>
      <c r="P438" s="2" t="s">
        <v>194</v>
      </c>
      <c r="Q438" s="2" t="str">
        <f t="shared" si="290"/>
        <v>51190,61400</v>
      </c>
      <c r="R438" s="2">
        <f t="shared" si="309"/>
        <v>51190</v>
      </c>
      <c r="S438" s="2">
        <f t="shared" si="305"/>
        <v>61400</v>
      </c>
      <c r="T438" s="2" t="s">
        <v>195</v>
      </c>
      <c r="U438" s="2" t="str">
        <f t="shared" si="291"/>
        <v>1547,1900</v>
      </c>
      <c r="V438" s="2">
        <f t="shared" si="310"/>
        <v>1547</v>
      </c>
      <c r="W438" s="2">
        <f t="shared" si="306"/>
        <v>1900</v>
      </c>
      <c r="X438" s="2" t="s">
        <v>196</v>
      </c>
      <c r="Y438" s="2" t="str">
        <f t="shared" si="292"/>
        <v>4103,4900</v>
      </c>
      <c r="Z438" s="2">
        <f t="shared" si="311"/>
        <v>4103</v>
      </c>
      <c r="AA438" s="2">
        <f t="shared" si="307"/>
        <v>4900</v>
      </c>
      <c r="AB438" s="2">
        <v>75000</v>
      </c>
      <c r="AC438" s="2" t="str">
        <f>_xlfn.XLOOKUP(B438,'#캐릭터'!A:A,'#캐릭터'!B:B)</f>
        <v>니르티</v>
      </c>
      <c r="AD438" s="2" t="str">
        <f t="shared" si="315"/>
        <v>Legendary1_니르티</v>
      </c>
      <c r="AE438" s="2">
        <f t="shared" si="293"/>
        <v>2105</v>
      </c>
    </row>
    <row r="439" spans="1:31" x14ac:dyDescent="0.2">
      <c r="A439" s="2">
        <f t="shared" si="289"/>
        <v>10442017</v>
      </c>
      <c r="B439" s="1">
        <v>10000442</v>
      </c>
      <c r="C439" s="1" t="s">
        <v>281</v>
      </c>
      <c r="D439" s="1" t="s">
        <v>309</v>
      </c>
      <c r="E439" s="1" t="str">
        <f>"Persona_"&amp;_xlfn.XLOOKUP($B439, '#캐릭터'!$A:$A, '#캐릭터'!$C:$C)</f>
        <v>Persona_c442</v>
      </c>
      <c r="F439" s="1"/>
      <c r="G439" s="1">
        <f>_xlfn.XLOOKUP(_xlfn.XLOOKUP(B439,'[1]Detail&lt;Child&gt;'!$A:$A,'[1]Detail&lt;Child&gt;'!$N:$N),'#참조'!P:P,'#참조'!Q:Q)</f>
        <v>2</v>
      </c>
      <c r="H439" s="1">
        <f>_xlfn.XLOOKUP(_xlfn.XLOOKUP(B439,'[1]Detail&lt;Child&gt;'!$A:$A,'[1]Detail&lt;Child&gt;'!$O:$O),'#참조'!R:R,'#참조'!S:S)</f>
        <v>1</v>
      </c>
      <c r="I439" s="1">
        <v>6</v>
      </c>
      <c r="J439" s="2">
        <v>3</v>
      </c>
      <c r="K439" s="2">
        <v>6</v>
      </c>
      <c r="L439" s="2">
        <v>17</v>
      </c>
      <c r="M439" s="2" t="s">
        <v>21</v>
      </c>
      <c r="N439" s="2" t="s">
        <v>407</v>
      </c>
      <c r="O439" s="2">
        <f t="shared" si="308"/>
        <v>9193</v>
      </c>
      <c r="P439" s="2" t="s">
        <v>194</v>
      </c>
      <c r="Q439" s="2" t="str">
        <f t="shared" si="290"/>
        <v>66547,79900</v>
      </c>
      <c r="R439" s="2">
        <f t="shared" si="309"/>
        <v>66547</v>
      </c>
      <c r="S439" s="2">
        <f t="shared" si="305"/>
        <v>79900</v>
      </c>
      <c r="T439" s="2" t="s">
        <v>195</v>
      </c>
      <c r="U439" s="2" t="str">
        <f t="shared" si="291"/>
        <v>1856,2200</v>
      </c>
      <c r="V439" s="2">
        <f t="shared" si="310"/>
        <v>1856</v>
      </c>
      <c r="W439" s="2">
        <f t="shared" si="306"/>
        <v>2200</v>
      </c>
      <c r="X439" s="2" t="s">
        <v>196</v>
      </c>
      <c r="Y439" s="2" t="str">
        <f t="shared" si="292"/>
        <v>5334,6400</v>
      </c>
      <c r="Z439" s="2">
        <f t="shared" si="311"/>
        <v>5334</v>
      </c>
      <c r="AA439" s="2">
        <f t="shared" si="307"/>
        <v>6400</v>
      </c>
      <c r="AB439" s="2">
        <v>75000</v>
      </c>
      <c r="AC439" s="2" t="str">
        <f>_xlfn.XLOOKUP(B439,'#캐릭터'!A:A,'#캐릭터'!B:B)</f>
        <v>니르티</v>
      </c>
      <c r="AD439" s="2" t="str">
        <f t="shared" si="315"/>
        <v>Legendary2_니르티</v>
      </c>
      <c r="AE439" s="2">
        <f t="shared" si="293"/>
        <v>2106</v>
      </c>
    </row>
    <row r="440" spans="1:31" x14ac:dyDescent="0.2">
      <c r="A440" s="2">
        <f t="shared" si="289"/>
        <v>10442018</v>
      </c>
      <c r="B440" s="1">
        <v>10000442</v>
      </c>
      <c r="C440" s="1" t="s">
        <v>281</v>
      </c>
      <c r="D440" s="1" t="s">
        <v>309</v>
      </c>
      <c r="E440" s="1" t="str">
        <f>"Persona_"&amp;_xlfn.XLOOKUP($B440, '#캐릭터'!$A:$A, '#캐릭터'!$C:$C)</f>
        <v>Persona_c442</v>
      </c>
      <c r="F440" s="1"/>
      <c r="G440" s="1">
        <f>_xlfn.XLOOKUP(_xlfn.XLOOKUP(B440,'[1]Detail&lt;Child&gt;'!$A:$A,'[1]Detail&lt;Child&gt;'!$N:$N),'#참조'!P:P,'#참조'!Q:Q)</f>
        <v>2</v>
      </c>
      <c r="H440" s="1">
        <f>_xlfn.XLOOKUP(_xlfn.XLOOKUP(B440,'[1]Detail&lt;Child&gt;'!$A:$A,'[1]Detail&lt;Child&gt;'!$O:$O),'#참조'!R:R,'#참조'!S:S)</f>
        <v>1</v>
      </c>
      <c r="I440" s="1">
        <v>6</v>
      </c>
      <c r="J440" s="2">
        <v>3</v>
      </c>
      <c r="K440" s="2">
        <v>6</v>
      </c>
      <c r="L440" s="2">
        <v>18</v>
      </c>
      <c r="M440" s="2" t="s">
        <v>22</v>
      </c>
      <c r="N440" s="2" t="s">
        <v>407</v>
      </c>
      <c r="O440" s="2">
        <f t="shared" si="308"/>
        <v>10112</v>
      </c>
      <c r="P440" s="2" t="s">
        <v>194</v>
      </c>
      <c r="Q440" s="2" t="str">
        <f t="shared" si="290"/>
        <v>86511,103800</v>
      </c>
      <c r="R440" s="2">
        <f t="shared" si="309"/>
        <v>86511</v>
      </c>
      <c r="S440" s="2">
        <f t="shared" si="305"/>
        <v>103800</v>
      </c>
      <c r="T440" s="2" t="s">
        <v>195</v>
      </c>
      <c r="U440" s="2" t="str">
        <f t="shared" si="291"/>
        <v>2227,2700</v>
      </c>
      <c r="V440" s="2">
        <f t="shared" si="310"/>
        <v>2227</v>
      </c>
      <c r="W440" s="2">
        <f t="shared" si="306"/>
        <v>2700</v>
      </c>
      <c r="X440" s="2" t="s">
        <v>196</v>
      </c>
      <c r="Y440" s="2" t="str">
        <f t="shared" si="292"/>
        <v>6934,8300</v>
      </c>
      <c r="Z440" s="2">
        <f t="shared" si="311"/>
        <v>6934</v>
      </c>
      <c r="AA440" s="2">
        <f t="shared" si="307"/>
        <v>8300</v>
      </c>
      <c r="AB440" s="2">
        <v>75000</v>
      </c>
      <c r="AC440" s="2" t="str">
        <f>_xlfn.XLOOKUP(B440,'#캐릭터'!A:A,'#캐릭터'!B:B)</f>
        <v>니르티</v>
      </c>
      <c r="AD440" s="2" t="str">
        <f t="shared" si="315"/>
        <v>Legendary3_니르티</v>
      </c>
      <c r="AE440" s="2">
        <f t="shared" si="293"/>
        <v>2106</v>
      </c>
    </row>
    <row r="441" spans="1:31" x14ac:dyDescent="0.2">
      <c r="A441" s="2">
        <f t="shared" si="289"/>
        <v>10194000</v>
      </c>
      <c r="B441" s="1">
        <v>10000194</v>
      </c>
      <c r="C441" s="1" t="s">
        <v>281</v>
      </c>
      <c r="D441" s="1" t="s">
        <v>309</v>
      </c>
      <c r="E441" s="1" t="str">
        <f>"Persona_"&amp;_xlfn.XLOOKUP($B441, '#캐릭터'!$A:$A, '#캐릭터'!$C:$C)</f>
        <v>Persona_c194</v>
      </c>
      <c r="F441" s="1"/>
      <c r="G441" s="1">
        <f>_xlfn.XLOOKUP(_xlfn.XLOOKUP(B441,'[1]Detail&lt;Child&gt;'!$A:$A,'[1]Detail&lt;Child&gt;'!$N:$N),'#참조'!P:P,'#참조'!Q:Q)</f>
        <v>4</v>
      </c>
      <c r="H441" s="1">
        <f>_xlfn.XLOOKUP(_xlfn.XLOOKUP(B441,'[1]Detail&lt;Child&gt;'!$A:$A,'[1]Detail&lt;Child&gt;'!$O:$O),'#참조'!R:R,'#참조'!S:S)</f>
        <v>1</v>
      </c>
      <c r="I441" s="1">
        <v>0</v>
      </c>
      <c r="J441" s="2">
        <v>3</v>
      </c>
      <c r="K441" s="2">
        <v>0</v>
      </c>
      <c r="L441" s="2">
        <v>0</v>
      </c>
      <c r="M441" s="2" t="s">
        <v>31</v>
      </c>
      <c r="N441" s="2" t="s">
        <v>407</v>
      </c>
      <c r="O441" s="2">
        <v>0</v>
      </c>
      <c r="P441" s="2" t="s">
        <v>194</v>
      </c>
      <c r="Q441" s="2" t="str">
        <f t="shared" si="290"/>
        <v>1000,1000</v>
      </c>
      <c r="R441" s="2">
        <v>1000</v>
      </c>
      <c r="S441" s="2">
        <f t="shared" ref="S441" si="323">R441</f>
        <v>1000</v>
      </c>
      <c r="T441" s="2" t="s">
        <v>195</v>
      </c>
      <c r="U441" s="2" t="str">
        <f t="shared" si="291"/>
        <v>100,100</v>
      </c>
      <c r="V441" s="2">
        <v>100</v>
      </c>
      <c r="W441" s="2">
        <f t="shared" ref="W441" si="324">V441</f>
        <v>100</v>
      </c>
      <c r="X441" s="2" t="s">
        <v>196</v>
      </c>
      <c r="Y441" s="2" t="str">
        <f t="shared" si="292"/>
        <v>80,80</v>
      </c>
      <c r="Z441" s="2">
        <v>80</v>
      </c>
      <c r="AA441" s="2">
        <f t="shared" ref="AA441" si="325">Z441</f>
        <v>80</v>
      </c>
      <c r="AB441" s="2">
        <v>100000</v>
      </c>
      <c r="AC441" s="2" t="str">
        <f>_xlfn.XLOOKUP(B441,'#캐릭터'!A:A,'#캐릭터'!B:B)</f>
        <v>아슈토레스</v>
      </c>
      <c r="AD441" s="2" t="str">
        <f t="shared" ref="AD441:AD459" si="326">M441&amp;"_"&amp;AC441</f>
        <v>Default_아슈토레스</v>
      </c>
      <c r="AE441" s="2">
        <f t="shared" ref="AE441:AE459" si="327">IF(I441=0,0,INT(G441&amp;H441&amp;TEXT(I441,"00")))</f>
        <v>0</v>
      </c>
    </row>
    <row r="442" spans="1:31" x14ac:dyDescent="0.2">
      <c r="A442" s="2">
        <f t="shared" si="289"/>
        <v>10194001</v>
      </c>
      <c r="B442" s="1">
        <v>10000194</v>
      </c>
      <c r="C442" s="1" t="s">
        <v>281</v>
      </c>
      <c r="D442" s="1" t="s">
        <v>309</v>
      </c>
      <c r="E442" s="1" t="str">
        <f>"Persona_"&amp;_xlfn.XLOOKUP($B442, '#캐릭터'!$A:$A, '#캐릭터'!$C:$C)</f>
        <v>Persona_c194</v>
      </c>
      <c r="F442" s="1"/>
      <c r="G442" s="1">
        <f>_xlfn.XLOOKUP(_xlfn.XLOOKUP(B442,'[1]Detail&lt;Child&gt;'!$A:$A,'[1]Detail&lt;Child&gt;'!$N:$N),'#참조'!P:P,'#참조'!Q:Q)</f>
        <v>4</v>
      </c>
      <c r="H442" s="1">
        <f>_xlfn.XLOOKUP(_xlfn.XLOOKUP(B442,'[1]Detail&lt;Child&gt;'!$A:$A,'[1]Detail&lt;Child&gt;'!$O:$O),'#참조'!R:R,'#참조'!S:S)</f>
        <v>1</v>
      </c>
      <c r="I442" s="1">
        <v>0</v>
      </c>
      <c r="J442" s="2">
        <v>3</v>
      </c>
      <c r="K442" s="2">
        <v>1</v>
      </c>
      <c r="L442" s="2">
        <v>1</v>
      </c>
      <c r="M442" s="2" t="s">
        <v>5</v>
      </c>
      <c r="N442" s="2" t="s">
        <v>407</v>
      </c>
      <c r="O442" s="2">
        <v>2000</v>
      </c>
      <c r="P442" s="2" t="s">
        <v>194</v>
      </c>
      <c r="Q442" s="2" t="str">
        <f t="shared" si="290"/>
        <v>1000,1200</v>
      </c>
      <c r="R442" s="2">
        <v>1000</v>
      </c>
      <c r="S442" s="2">
        <f t="shared" ref="S442" si="328">ROUND(R442*1.2, -2)</f>
        <v>1200</v>
      </c>
      <c r="T442" s="2" t="s">
        <v>195</v>
      </c>
      <c r="U442" s="2" t="str">
        <f t="shared" si="291"/>
        <v>100,100</v>
      </c>
      <c r="V442" s="2">
        <v>100</v>
      </c>
      <c r="W442" s="2">
        <f t="shared" ref="W442" si="329">ROUND(V442*1.2, -2)</f>
        <v>100</v>
      </c>
      <c r="X442" s="2" t="s">
        <v>196</v>
      </c>
      <c r="Y442" s="2" t="str">
        <f t="shared" si="292"/>
        <v>80,100</v>
      </c>
      <c r="Z442" s="2">
        <v>80</v>
      </c>
      <c r="AA442" s="2">
        <f t="shared" ref="AA442" si="330">ROUND(Z442*1.2, -2)</f>
        <v>100</v>
      </c>
      <c r="AB442" s="2">
        <v>100000</v>
      </c>
      <c r="AC442" s="2" t="str">
        <f>_xlfn.XLOOKUP(B442,'#캐릭터'!A:A,'#캐릭터'!B:B)</f>
        <v>아슈토레스</v>
      </c>
      <c r="AD442" s="2" t="str">
        <f t="shared" si="326"/>
        <v>Common1_아슈토레스</v>
      </c>
      <c r="AE442" s="2">
        <f t="shared" si="327"/>
        <v>0</v>
      </c>
    </row>
    <row r="443" spans="1:31" x14ac:dyDescent="0.2">
      <c r="A443" s="2">
        <f t="shared" si="289"/>
        <v>10194002</v>
      </c>
      <c r="B443" s="1">
        <v>10000194</v>
      </c>
      <c r="C443" s="1" t="s">
        <v>281</v>
      </c>
      <c r="D443" s="1" t="s">
        <v>309</v>
      </c>
      <c r="E443" s="1" t="str">
        <f>"Persona_"&amp;_xlfn.XLOOKUP($B443, '#캐릭터'!$A:$A, '#캐릭터'!$C:$C)</f>
        <v>Persona_c194</v>
      </c>
      <c r="F443" s="1"/>
      <c r="G443" s="1">
        <f>_xlfn.XLOOKUP(_xlfn.XLOOKUP(B443,'[1]Detail&lt;Child&gt;'!$A:$A,'[1]Detail&lt;Child&gt;'!$N:$N),'#참조'!P:P,'#참조'!Q:Q)</f>
        <v>4</v>
      </c>
      <c r="H443" s="1">
        <f>_xlfn.XLOOKUP(_xlfn.XLOOKUP(B443,'[1]Detail&lt;Child&gt;'!$A:$A,'[1]Detail&lt;Child&gt;'!$O:$O),'#참조'!R:R,'#참조'!S:S)</f>
        <v>1</v>
      </c>
      <c r="I443" s="1">
        <v>0</v>
      </c>
      <c r="J443" s="2">
        <v>3</v>
      </c>
      <c r="K443" s="2">
        <v>1</v>
      </c>
      <c r="L443" s="2">
        <v>2</v>
      </c>
      <c r="M443" s="2" t="s">
        <v>6</v>
      </c>
      <c r="N443" s="2" t="s">
        <v>407</v>
      </c>
      <c r="O443" s="2">
        <f t="shared" ref="O443" si="331">ROUND(O442*1.1, 0)</f>
        <v>2200</v>
      </c>
      <c r="P443" s="2" t="s">
        <v>194</v>
      </c>
      <c r="Q443" s="2" t="str">
        <f t="shared" si="290"/>
        <v>1300,1600</v>
      </c>
      <c r="R443" s="2">
        <f t="shared" ref="R443" si="332">ROUND(R442*1.3, 0)</f>
        <v>1300</v>
      </c>
      <c r="S443" s="2">
        <f t="shared" si="305"/>
        <v>1600</v>
      </c>
      <c r="T443" s="2" t="s">
        <v>195</v>
      </c>
      <c r="U443" s="2" t="str">
        <f t="shared" si="291"/>
        <v>120,100</v>
      </c>
      <c r="V443" s="2">
        <f t="shared" ref="V443" si="333">ROUND(V442*1.2, 0)</f>
        <v>120</v>
      </c>
      <c r="W443" s="2">
        <f t="shared" si="306"/>
        <v>100</v>
      </c>
      <c r="X443" s="2" t="s">
        <v>196</v>
      </c>
      <c r="Y443" s="2" t="str">
        <f t="shared" si="292"/>
        <v>104,100</v>
      </c>
      <c r="Z443" s="2">
        <f t="shared" ref="Z443" si="334">ROUND(Z442*1.3, 0)</f>
        <v>104</v>
      </c>
      <c r="AA443" s="2">
        <f t="shared" si="307"/>
        <v>100</v>
      </c>
      <c r="AB443" s="2">
        <v>100000</v>
      </c>
      <c r="AC443" s="2" t="str">
        <f>_xlfn.XLOOKUP(B443,'#캐릭터'!A:A,'#캐릭터'!B:B)</f>
        <v>아슈토레스</v>
      </c>
      <c r="AD443" s="2" t="str">
        <f t="shared" si="326"/>
        <v>Common2_아슈토레스</v>
      </c>
      <c r="AE443" s="2">
        <f t="shared" si="327"/>
        <v>0</v>
      </c>
    </row>
    <row r="444" spans="1:31" x14ac:dyDescent="0.2">
      <c r="A444" s="2">
        <f t="shared" si="289"/>
        <v>10194003</v>
      </c>
      <c r="B444" s="1">
        <v>10000194</v>
      </c>
      <c r="C444" s="1" t="s">
        <v>281</v>
      </c>
      <c r="D444" s="1" t="s">
        <v>309</v>
      </c>
      <c r="E444" s="1" t="str">
        <f>"Persona_"&amp;_xlfn.XLOOKUP($B444, '#캐릭터'!$A:$A, '#캐릭터'!$C:$C)</f>
        <v>Persona_c194</v>
      </c>
      <c r="F444" s="1"/>
      <c r="G444" s="1">
        <f>_xlfn.XLOOKUP(_xlfn.XLOOKUP(B444,'[1]Detail&lt;Child&gt;'!$A:$A,'[1]Detail&lt;Child&gt;'!$N:$N),'#참조'!P:P,'#참조'!Q:Q)</f>
        <v>4</v>
      </c>
      <c r="H444" s="1">
        <f>_xlfn.XLOOKUP(_xlfn.XLOOKUP(B444,'[1]Detail&lt;Child&gt;'!$A:$A,'[1]Detail&lt;Child&gt;'!$O:$O),'#참조'!R:R,'#참조'!S:S)</f>
        <v>1</v>
      </c>
      <c r="I444" s="1">
        <v>0</v>
      </c>
      <c r="J444" s="2">
        <v>3</v>
      </c>
      <c r="K444" s="2">
        <v>1</v>
      </c>
      <c r="L444" s="2">
        <v>3</v>
      </c>
      <c r="M444" s="2" t="s">
        <v>7</v>
      </c>
      <c r="N444" s="2" t="s">
        <v>407</v>
      </c>
      <c r="O444" s="2">
        <f t="shared" si="308"/>
        <v>2420</v>
      </c>
      <c r="P444" s="2" t="s">
        <v>194</v>
      </c>
      <c r="Q444" s="2" t="str">
        <f t="shared" si="290"/>
        <v>1690,2000</v>
      </c>
      <c r="R444" s="2">
        <f t="shared" si="309"/>
        <v>1690</v>
      </c>
      <c r="S444" s="2">
        <f t="shared" si="305"/>
        <v>2000</v>
      </c>
      <c r="T444" s="2" t="s">
        <v>195</v>
      </c>
      <c r="U444" s="2" t="str">
        <f t="shared" si="291"/>
        <v>144,200</v>
      </c>
      <c r="V444" s="2">
        <f t="shared" si="310"/>
        <v>144</v>
      </c>
      <c r="W444" s="2">
        <f t="shared" si="306"/>
        <v>200</v>
      </c>
      <c r="X444" s="2" t="s">
        <v>196</v>
      </c>
      <c r="Y444" s="2" t="str">
        <f t="shared" si="292"/>
        <v>135,200</v>
      </c>
      <c r="Z444" s="2">
        <f t="shared" si="311"/>
        <v>135</v>
      </c>
      <c r="AA444" s="2">
        <f t="shared" si="307"/>
        <v>200</v>
      </c>
      <c r="AB444" s="2">
        <v>100000</v>
      </c>
      <c r="AC444" s="2" t="str">
        <f>_xlfn.XLOOKUP(B444,'#캐릭터'!A:A,'#캐릭터'!B:B)</f>
        <v>아슈토레스</v>
      </c>
      <c r="AD444" s="2" t="str">
        <f t="shared" si="326"/>
        <v>Common3_아슈토레스</v>
      </c>
      <c r="AE444" s="2">
        <f t="shared" si="327"/>
        <v>0</v>
      </c>
    </row>
    <row r="445" spans="1:31" x14ac:dyDescent="0.2">
      <c r="A445" s="2">
        <f t="shared" si="289"/>
        <v>10194004</v>
      </c>
      <c r="B445" s="1">
        <v>10000194</v>
      </c>
      <c r="C445" s="1" t="s">
        <v>281</v>
      </c>
      <c r="D445" s="1" t="s">
        <v>309</v>
      </c>
      <c r="E445" s="1" t="str">
        <f>"Persona_"&amp;_xlfn.XLOOKUP($B445, '#캐릭터'!$A:$A, '#캐릭터'!$C:$C)</f>
        <v>Persona_c194</v>
      </c>
      <c r="F445" s="1"/>
      <c r="G445" s="1">
        <f>_xlfn.XLOOKUP(_xlfn.XLOOKUP(B445,'[1]Detail&lt;Child&gt;'!$A:$A,'[1]Detail&lt;Child&gt;'!$N:$N),'#참조'!P:P,'#참조'!Q:Q)</f>
        <v>4</v>
      </c>
      <c r="H445" s="1">
        <f>_xlfn.XLOOKUP(_xlfn.XLOOKUP(B445,'[1]Detail&lt;Child&gt;'!$A:$A,'[1]Detail&lt;Child&gt;'!$O:$O),'#참조'!R:R,'#참조'!S:S)</f>
        <v>1</v>
      </c>
      <c r="I445" s="1">
        <v>0</v>
      </c>
      <c r="J445" s="2">
        <v>3</v>
      </c>
      <c r="K445" s="2">
        <v>2</v>
      </c>
      <c r="L445" s="2">
        <v>4</v>
      </c>
      <c r="M445" s="2" t="s">
        <v>8</v>
      </c>
      <c r="N445" s="2" t="s">
        <v>407</v>
      </c>
      <c r="O445" s="2">
        <f t="shared" si="308"/>
        <v>2662</v>
      </c>
      <c r="P445" s="2" t="s">
        <v>194</v>
      </c>
      <c r="Q445" s="2" t="str">
        <f t="shared" si="290"/>
        <v>2197,2600</v>
      </c>
      <c r="R445" s="2">
        <f t="shared" si="309"/>
        <v>2197</v>
      </c>
      <c r="S445" s="2">
        <f t="shared" si="305"/>
        <v>2600</v>
      </c>
      <c r="T445" s="2" t="s">
        <v>195</v>
      </c>
      <c r="U445" s="2" t="str">
        <f t="shared" si="291"/>
        <v>173,200</v>
      </c>
      <c r="V445" s="2">
        <f t="shared" si="310"/>
        <v>173</v>
      </c>
      <c r="W445" s="2">
        <f t="shared" si="306"/>
        <v>200</v>
      </c>
      <c r="X445" s="2" t="s">
        <v>196</v>
      </c>
      <c r="Y445" s="2" t="str">
        <f t="shared" si="292"/>
        <v>176,200</v>
      </c>
      <c r="Z445" s="2">
        <f t="shared" si="311"/>
        <v>176</v>
      </c>
      <c r="AA445" s="2">
        <f t="shared" si="307"/>
        <v>200</v>
      </c>
      <c r="AB445" s="2">
        <v>95000</v>
      </c>
      <c r="AC445" s="2" t="str">
        <f>_xlfn.XLOOKUP(B445,'#캐릭터'!A:A,'#캐릭터'!B:B)</f>
        <v>아슈토레스</v>
      </c>
      <c r="AD445" s="2" t="str">
        <f t="shared" si="326"/>
        <v>Uncommon1_아슈토레스</v>
      </c>
      <c r="AE445" s="2">
        <f t="shared" si="327"/>
        <v>0</v>
      </c>
    </row>
    <row r="446" spans="1:31" x14ac:dyDescent="0.2">
      <c r="A446" s="2">
        <f t="shared" si="289"/>
        <v>10194005</v>
      </c>
      <c r="B446" s="1">
        <v>10000194</v>
      </c>
      <c r="C446" s="1" t="s">
        <v>281</v>
      </c>
      <c r="D446" s="1" t="s">
        <v>309</v>
      </c>
      <c r="E446" s="1" t="str">
        <f>"Persona_"&amp;_xlfn.XLOOKUP($B446, '#캐릭터'!$A:$A, '#캐릭터'!$C:$C)</f>
        <v>Persona_c194</v>
      </c>
      <c r="F446" s="1"/>
      <c r="G446" s="1">
        <f>_xlfn.XLOOKUP(_xlfn.XLOOKUP(B446,'[1]Detail&lt;Child&gt;'!$A:$A,'[1]Detail&lt;Child&gt;'!$N:$N),'#참조'!P:P,'#참조'!Q:Q)</f>
        <v>4</v>
      </c>
      <c r="H446" s="1">
        <f>_xlfn.XLOOKUP(_xlfn.XLOOKUP(B446,'[1]Detail&lt;Child&gt;'!$A:$A,'[1]Detail&lt;Child&gt;'!$O:$O),'#참조'!R:R,'#참조'!S:S)</f>
        <v>1</v>
      </c>
      <c r="I446" s="1">
        <v>0</v>
      </c>
      <c r="J446" s="2">
        <v>3</v>
      </c>
      <c r="K446" s="2">
        <v>2</v>
      </c>
      <c r="L446" s="2">
        <v>5</v>
      </c>
      <c r="M446" s="2" t="s">
        <v>9</v>
      </c>
      <c r="N446" s="2" t="s">
        <v>407</v>
      </c>
      <c r="O446" s="2">
        <f t="shared" si="308"/>
        <v>2928</v>
      </c>
      <c r="P446" s="2" t="s">
        <v>194</v>
      </c>
      <c r="Q446" s="2" t="str">
        <f t="shared" si="290"/>
        <v>2856,3400</v>
      </c>
      <c r="R446" s="2">
        <f t="shared" si="309"/>
        <v>2856</v>
      </c>
      <c r="S446" s="2">
        <f t="shared" si="305"/>
        <v>3400</v>
      </c>
      <c r="T446" s="2" t="s">
        <v>195</v>
      </c>
      <c r="U446" s="2" t="str">
        <f t="shared" si="291"/>
        <v>208,200</v>
      </c>
      <c r="V446" s="2">
        <f t="shared" si="310"/>
        <v>208</v>
      </c>
      <c r="W446" s="2">
        <f t="shared" si="306"/>
        <v>200</v>
      </c>
      <c r="X446" s="2" t="s">
        <v>196</v>
      </c>
      <c r="Y446" s="2" t="str">
        <f t="shared" si="292"/>
        <v>229,300</v>
      </c>
      <c r="Z446" s="2">
        <f t="shared" si="311"/>
        <v>229</v>
      </c>
      <c r="AA446" s="2">
        <f t="shared" si="307"/>
        <v>300</v>
      </c>
      <c r="AB446" s="2">
        <v>95000</v>
      </c>
      <c r="AC446" s="2" t="str">
        <f>_xlfn.XLOOKUP(B446,'#캐릭터'!A:A,'#캐릭터'!B:B)</f>
        <v>아슈토레스</v>
      </c>
      <c r="AD446" s="2" t="str">
        <f t="shared" si="326"/>
        <v>Uncommon2_아슈토레스</v>
      </c>
      <c r="AE446" s="2">
        <f t="shared" si="327"/>
        <v>0</v>
      </c>
    </row>
    <row r="447" spans="1:31" x14ac:dyDescent="0.2">
      <c r="A447" s="2">
        <f t="shared" si="289"/>
        <v>10194006</v>
      </c>
      <c r="B447" s="1">
        <v>10000194</v>
      </c>
      <c r="C447" s="1" t="s">
        <v>281</v>
      </c>
      <c r="D447" s="1" t="s">
        <v>309</v>
      </c>
      <c r="E447" s="1" t="str">
        <f>"Persona_"&amp;_xlfn.XLOOKUP($B447, '#캐릭터'!$A:$A, '#캐릭터'!$C:$C)</f>
        <v>Persona_c194</v>
      </c>
      <c r="F447" s="1"/>
      <c r="G447" s="1">
        <f>_xlfn.XLOOKUP(_xlfn.XLOOKUP(B447,'[1]Detail&lt;Child&gt;'!$A:$A,'[1]Detail&lt;Child&gt;'!$N:$N),'#참조'!P:P,'#참조'!Q:Q)</f>
        <v>4</v>
      </c>
      <c r="H447" s="1">
        <f>_xlfn.XLOOKUP(_xlfn.XLOOKUP(B447,'[1]Detail&lt;Child&gt;'!$A:$A,'[1]Detail&lt;Child&gt;'!$O:$O),'#참조'!R:R,'#참조'!S:S)</f>
        <v>1</v>
      </c>
      <c r="I447" s="1">
        <v>0</v>
      </c>
      <c r="J447" s="2">
        <v>3</v>
      </c>
      <c r="K447" s="2">
        <v>2</v>
      </c>
      <c r="L447" s="2">
        <v>6</v>
      </c>
      <c r="M447" s="2" t="s">
        <v>10</v>
      </c>
      <c r="N447" s="2" t="s">
        <v>407</v>
      </c>
      <c r="O447" s="2">
        <f t="shared" si="308"/>
        <v>3221</v>
      </c>
      <c r="P447" s="2" t="s">
        <v>194</v>
      </c>
      <c r="Q447" s="2" t="str">
        <f t="shared" si="290"/>
        <v>3713,4500</v>
      </c>
      <c r="R447" s="2">
        <f t="shared" si="309"/>
        <v>3713</v>
      </c>
      <c r="S447" s="2">
        <f t="shared" si="305"/>
        <v>4500</v>
      </c>
      <c r="T447" s="2" t="s">
        <v>195</v>
      </c>
      <c r="U447" s="2" t="str">
        <f t="shared" si="291"/>
        <v>250,300</v>
      </c>
      <c r="V447" s="2">
        <f t="shared" si="310"/>
        <v>250</v>
      </c>
      <c r="W447" s="2">
        <f t="shared" si="306"/>
        <v>300</v>
      </c>
      <c r="X447" s="2" t="s">
        <v>196</v>
      </c>
      <c r="Y447" s="2" t="str">
        <f t="shared" si="292"/>
        <v>298,400</v>
      </c>
      <c r="Z447" s="2">
        <f t="shared" si="311"/>
        <v>298</v>
      </c>
      <c r="AA447" s="2">
        <f t="shared" si="307"/>
        <v>400</v>
      </c>
      <c r="AB447" s="2">
        <v>95000</v>
      </c>
      <c r="AC447" s="2" t="str">
        <f>_xlfn.XLOOKUP(B447,'#캐릭터'!A:A,'#캐릭터'!B:B)</f>
        <v>아슈토레스</v>
      </c>
      <c r="AD447" s="2" t="str">
        <f t="shared" si="326"/>
        <v>Uncommon3_아슈토레스</v>
      </c>
      <c r="AE447" s="2">
        <f t="shared" si="327"/>
        <v>0</v>
      </c>
    </row>
    <row r="448" spans="1:31" x14ac:dyDescent="0.2">
      <c r="A448" s="2">
        <f t="shared" si="289"/>
        <v>10194007</v>
      </c>
      <c r="B448" s="1">
        <v>10000194</v>
      </c>
      <c r="C448" s="1" t="s">
        <v>281</v>
      </c>
      <c r="D448" s="1" t="s">
        <v>309</v>
      </c>
      <c r="E448" s="1" t="str">
        <f>"Persona_"&amp;_xlfn.XLOOKUP($B448, '#캐릭터'!$A:$A, '#캐릭터'!$C:$C)</f>
        <v>Persona_c194</v>
      </c>
      <c r="F448" s="1"/>
      <c r="G448" s="1">
        <f>_xlfn.XLOOKUP(_xlfn.XLOOKUP(B448,'[1]Detail&lt;Child&gt;'!$A:$A,'[1]Detail&lt;Child&gt;'!$N:$N),'#참조'!P:P,'#참조'!Q:Q)</f>
        <v>4</v>
      </c>
      <c r="H448" s="1">
        <f>_xlfn.XLOOKUP(_xlfn.XLOOKUP(B448,'[1]Detail&lt;Child&gt;'!$A:$A,'[1]Detail&lt;Child&gt;'!$O:$O),'#참조'!R:R,'#참조'!S:S)</f>
        <v>1</v>
      </c>
      <c r="I448" s="1">
        <v>1</v>
      </c>
      <c r="J448" s="2">
        <v>3</v>
      </c>
      <c r="K448" s="2">
        <v>3</v>
      </c>
      <c r="L448" s="2">
        <v>7</v>
      </c>
      <c r="M448" s="2" t="s">
        <v>11</v>
      </c>
      <c r="N448" s="2" t="s">
        <v>407</v>
      </c>
      <c r="O448" s="2">
        <f t="shared" si="308"/>
        <v>3543</v>
      </c>
      <c r="P448" s="2" t="s">
        <v>194</v>
      </c>
      <c r="Q448" s="2" t="str">
        <f t="shared" si="290"/>
        <v>4827,5800</v>
      </c>
      <c r="R448" s="2">
        <f t="shared" si="309"/>
        <v>4827</v>
      </c>
      <c r="S448" s="2">
        <f t="shared" si="305"/>
        <v>5800</v>
      </c>
      <c r="T448" s="2" t="s">
        <v>195</v>
      </c>
      <c r="U448" s="2" t="str">
        <f t="shared" si="291"/>
        <v>300,400</v>
      </c>
      <c r="V448" s="2">
        <f t="shared" si="310"/>
        <v>300</v>
      </c>
      <c r="W448" s="2">
        <f t="shared" si="306"/>
        <v>400</v>
      </c>
      <c r="X448" s="2" t="s">
        <v>196</v>
      </c>
      <c r="Y448" s="2" t="str">
        <f t="shared" si="292"/>
        <v>387,500</v>
      </c>
      <c r="Z448" s="2">
        <f t="shared" si="311"/>
        <v>387</v>
      </c>
      <c r="AA448" s="2">
        <f t="shared" si="307"/>
        <v>500</v>
      </c>
      <c r="AB448" s="2">
        <v>90000</v>
      </c>
      <c r="AC448" s="2" t="str">
        <f>_xlfn.XLOOKUP(B448,'#캐릭터'!A:A,'#캐릭터'!B:B)</f>
        <v>아슈토레스</v>
      </c>
      <c r="AD448" s="2" t="str">
        <f t="shared" si="326"/>
        <v>Rare1_아슈토레스</v>
      </c>
      <c r="AE448" s="2">
        <f t="shared" si="327"/>
        <v>4101</v>
      </c>
    </row>
    <row r="449" spans="1:31" x14ac:dyDescent="0.2">
      <c r="A449" s="2">
        <f t="shared" si="289"/>
        <v>10194008</v>
      </c>
      <c r="B449" s="1">
        <v>10000194</v>
      </c>
      <c r="C449" s="1" t="s">
        <v>281</v>
      </c>
      <c r="D449" s="1" t="s">
        <v>309</v>
      </c>
      <c r="E449" s="1" t="str">
        <f>"Persona_"&amp;_xlfn.XLOOKUP($B449, '#캐릭터'!$A:$A, '#캐릭터'!$C:$C)</f>
        <v>Persona_c194</v>
      </c>
      <c r="F449" s="1"/>
      <c r="G449" s="1">
        <f>_xlfn.XLOOKUP(_xlfn.XLOOKUP(B449,'[1]Detail&lt;Child&gt;'!$A:$A,'[1]Detail&lt;Child&gt;'!$N:$N),'#참조'!P:P,'#참조'!Q:Q)</f>
        <v>4</v>
      </c>
      <c r="H449" s="1">
        <f>_xlfn.XLOOKUP(_xlfn.XLOOKUP(B449,'[1]Detail&lt;Child&gt;'!$A:$A,'[1]Detail&lt;Child&gt;'!$O:$O),'#참조'!R:R,'#참조'!S:S)</f>
        <v>1</v>
      </c>
      <c r="I449" s="1">
        <v>1</v>
      </c>
      <c r="J449" s="2">
        <v>3</v>
      </c>
      <c r="K449" s="2">
        <v>3</v>
      </c>
      <c r="L449" s="2">
        <v>8</v>
      </c>
      <c r="M449" s="2" t="s">
        <v>12</v>
      </c>
      <c r="N449" s="2" t="s">
        <v>407</v>
      </c>
      <c r="O449" s="2">
        <f t="shared" si="308"/>
        <v>3897</v>
      </c>
      <c r="P449" s="2" t="s">
        <v>194</v>
      </c>
      <c r="Q449" s="2" t="str">
        <f t="shared" si="290"/>
        <v>6275,7500</v>
      </c>
      <c r="R449" s="2">
        <f t="shared" si="309"/>
        <v>6275</v>
      </c>
      <c r="S449" s="2">
        <f t="shared" si="305"/>
        <v>7500</v>
      </c>
      <c r="T449" s="2" t="s">
        <v>195</v>
      </c>
      <c r="U449" s="2" t="str">
        <f t="shared" si="291"/>
        <v>360,400</v>
      </c>
      <c r="V449" s="2">
        <f t="shared" si="310"/>
        <v>360</v>
      </c>
      <c r="W449" s="2">
        <f t="shared" si="306"/>
        <v>400</v>
      </c>
      <c r="X449" s="2" t="s">
        <v>196</v>
      </c>
      <c r="Y449" s="2" t="str">
        <f t="shared" si="292"/>
        <v>503,600</v>
      </c>
      <c r="Z449" s="2">
        <f t="shared" si="311"/>
        <v>503</v>
      </c>
      <c r="AA449" s="2">
        <f t="shared" si="307"/>
        <v>600</v>
      </c>
      <c r="AB449" s="2">
        <v>90000</v>
      </c>
      <c r="AC449" s="2" t="str">
        <f>_xlfn.XLOOKUP(B449,'#캐릭터'!A:A,'#캐릭터'!B:B)</f>
        <v>아슈토레스</v>
      </c>
      <c r="AD449" s="2" t="str">
        <f t="shared" si="326"/>
        <v>Rare2_아슈토레스</v>
      </c>
      <c r="AE449" s="2">
        <f t="shared" si="327"/>
        <v>4101</v>
      </c>
    </row>
    <row r="450" spans="1:31" x14ac:dyDescent="0.2">
      <c r="A450" s="2">
        <f t="shared" si="289"/>
        <v>10194009</v>
      </c>
      <c r="B450" s="1">
        <v>10000194</v>
      </c>
      <c r="C450" s="1" t="s">
        <v>281</v>
      </c>
      <c r="D450" s="1" t="s">
        <v>309</v>
      </c>
      <c r="E450" s="1" t="str">
        <f>"Persona_"&amp;_xlfn.XLOOKUP($B450, '#캐릭터'!$A:$A, '#캐릭터'!$C:$C)</f>
        <v>Persona_c194</v>
      </c>
      <c r="F450" s="1"/>
      <c r="G450" s="1">
        <f>_xlfn.XLOOKUP(_xlfn.XLOOKUP(B450,'[1]Detail&lt;Child&gt;'!$A:$A,'[1]Detail&lt;Child&gt;'!$N:$N),'#참조'!P:P,'#참조'!Q:Q)</f>
        <v>4</v>
      </c>
      <c r="H450" s="1">
        <f>_xlfn.XLOOKUP(_xlfn.XLOOKUP(B450,'[1]Detail&lt;Child&gt;'!$A:$A,'[1]Detail&lt;Child&gt;'!$O:$O),'#참조'!R:R,'#참조'!S:S)</f>
        <v>1</v>
      </c>
      <c r="I450" s="1">
        <v>2</v>
      </c>
      <c r="J450" s="2">
        <v>3</v>
      </c>
      <c r="K450" s="2">
        <v>3</v>
      </c>
      <c r="L450" s="2">
        <v>9</v>
      </c>
      <c r="M450" s="2" t="s">
        <v>13</v>
      </c>
      <c r="N450" s="2" t="s">
        <v>407</v>
      </c>
      <c r="O450" s="2">
        <f t="shared" si="308"/>
        <v>4287</v>
      </c>
      <c r="P450" s="2" t="s">
        <v>194</v>
      </c>
      <c r="Q450" s="2" t="str">
        <f t="shared" si="290"/>
        <v>8158,9800</v>
      </c>
      <c r="R450" s="2">
        <f t="shared" si="309"/>
        <v>8158</v>
      </c>
      <c r="S450" s="2">
        <f t="shared" si="305"/>
        <v>9800</v>
      </c>
      <c r="T450" s="2" t="s">
        <v>195</v>
      </c>
      <c r="U450" s="2" t="str">
        <f t="shared" si="291"/>
        <v>432,500</v>
      </c>
      <c r="V450" s="2">
        <f t="shared" si="310"/>
        <v>432</v>
      </c>
      <c r="W450" s="2">
        <f t="shared" si="306"/>
        <v>500</v>
      </c>
      <c r="X450" s="2" t="s">
        <v>196</v>
      </c>
      <c r="Y450" s="2" t="str">
        <f t="shared" si="292"/>
        <v>654,800</v>
      </c>
      <c r="Z450" s="2">
        <f t="shared" si="311"/>
        <v>654</v>
      </c>
      <c r="AA450" s="2">
        <f t="shared" si="307"/>
        <v>800</v>
      </c>
      <c r="AB450" s="2">
        <v>90000</v>
      </c>
      <c r="AC450" s="2" t="str">
        <f>_xlfn.XLOOKUP(B450,'#캐릭터'!A:A,'#캐릭터'!B:B)</f>
        <v>아슈토레스</v>
      </c>
      <c r="AD450" s="2" t="str">
        <f t="shared" si="326"/>
        <v>Rare3_아슈토레스</v>
      </c>
      <c r="AE450" s="2">
        <f t="shared" si="327"/>
        <v>4102</v>
      </c>
    </row>
    <row r="451" spans="1:31" x14ac:dyDescent="0.2">
      <c r="A451" s="2">
        <f t="shared" si="289"/>
        <v>10194010</v>
      </c>
      <c r="B451" s="1">
        <v>10000194</v>
      </c>
      <c r="C451" s="1" t="s">
        <v>281</v>
      </c>
      <c r="D451" s="1" t="s">
        <v>309</v>
      </c>
      <c r="E451" s="1" t="str">
        <f>"Persona_"&amp;_xlfn.XLOOKUP($B451, '#캐릭터'!$A:$A, '#캐릭터'!$C:$C)</f>
        <v>Persona_c194</v>
      </c>
      <c r="F451" s="1"/>
      <c r="G451" s="1">
        <f>_xlfn.XLOOKUP(_xlfn.XLOOKUP(B451,'[1]Detail&lt;Child&gt;'!$A:$A,'[1]Detail&lt;Child&gt;'!$N:$N),'#참조'!P:P,'#참조'!Q:Q)</f>
        <v>4</v>
      </c>
      <c r="H451" s="1">
        <f>_xlfn.XLOOKUP(_xlfn.XLOOKUP(B451,'[1]Detail&lt;Child&gt;'!$A:$A,'[1]Detail&lt;Child&gt;'!$O:$O),'#참조'!R:R,'#참조'!S:S)</f>
        <v>1</v>
      </c>
      <c r="I451" s="1">
        <v>2</v>
      </c>
      <c r="J451" s="2">
        <v>3</v>
      </c>
      <c r="K451" s="2">
        <v>4</v>
      </c>
      <c r="L451" s="2">
        <v>10</v>
      </c>
      <c r="M451" s="2" t="s">
        <v>14</v>
      </c>
      <c r="N451" s="2" t="s">
        <v>407</v>
      </c>
      <c r="O451" s="2">
        <f t="shared" si="308"/>
        <v>4716</v>
      </c>
      <c r="P451" s="2" t="s">
        <v>194</v>
      </c>
      <c r="Q451" s="2" t="str">
        <f t="shared" si="290"/>
        <v>10605,12700</v>
      </c>
      <c r="R451" s="2">
        <f t="shared" si="309"/>
        <v>10605</v>
      </c>
      <c r="S451" s="2">
        <f t="shared" si="305"/>
        <v>12700</v>
      </c>
      <c r="T451" s="2" t="s">
        <v>195</v>
      </c>
      <c r="U451" s="2" t="str">
        <f t="shared" si="291"/>
        <v>518,600</v>
      </c>
      <c r="V451" s="2">
        <f t="shared" si="310"/>
        <v>518</v>
      </c>
      <c r="W451" s="2">
        <f t="shared" si="306"/>
        <v>600</v>
      </c>
      <c r="X451" s="2" t="s">
        <v>196</v>
      </c>
      <c r="Y451" s="2" t="str">
        <f t="shared" si="292"/>
        <v>850,1000</v>
      </c>
      <c r="Z451" s="2">
        <f t="shared" si="311"/>
        <v>850</v>
      </c>
      <c r="AA451" s="2">
        <f t="shared" si="307"/>
        <v>1000</v>
      </c>
      <c r="AB451" s="2">
        <v>85000</v>
      </c>
      <c r="AC451" s="2" t="str">
        <f>_xlfn.XLOOKUP(B451,'#캐릭터'!A:A,'#캐릭터'!B:B)</f>
        <v>아슈토레스</v>
      </c>
      <c r="AD451" s="2" t="str">
        <f t="shared" si="326"/>
        <v>Unique1_아슈토레스</v>
      </c>
      <c r="AE451" s="2">
        <f t="shared" si="327"/>
        <v>4102</v>
      </c>
    </row>
    <row r="452" spans="1:31" x14ac:dyDescent="0.2">
      <c r="A452" s="2">
        <f t="shared" ref="A452:A478" si="335">INT(1&amp;TEXT(RIGHT(B452,4),"0000")&amp;TEXT(L452,"000"))</f>
        <v>10194011</v>
      </c>
      <c r="B452" s="1">
        <v>10000194</v>
      </c>
      <c r="C452" s="1" t="s">
        <v>281</v>
      </c>
      <c r="D452" s="1" t="s">
        <v>309</v>
      </c>
      <c r="E452" s="1" t="str">
        <f>"Persona_"&amp;_xlfn.XLOOKUP($B452, '#캐릭터'!$A:$A, '#캐릭터'!$C:$C)</f>
        <v>Persona_c194</v>
      </c>
      <c r="F452" s="1"/>
      <c r="G452" s="1">
        <f>_xlfn.XLOOKUP(_xlfn.XLOOKUP(B452,'[1]Detail&lt;Child&gt;'!$A:$A,'[1]Detail&lt;Child&gt;'!$N:$N),'#참조'!P:P,'#참조'!Q:Q)</f>
        <v>4</v>
      </c>
      <c r="H452" s="1">
        <f>_xlfn.XLOOKUP(_xlfn.XLOOKUP(B452,'[1]Detail&lt;Child&gt;'!$A:$A,'[1]Detail&lt;Child&gt;'!$O:$O),'#참조'!R:R,'#참조'!S:S)</f>
        <v>1</v>
      </c>
      <c r="I452" s="1">
        <v>3</v>
      </c>
      <c r="J452" s="2">
        <v>3</v>
      </c>
      <c r="K452" s="2">
        <v>4</v>
      </c>
      <c r="L452" s="2">
        <v>11</v>
      </c>
      <c r="M452" s="2" t="s">
        <v>15</v>
      </c>
      <c r="N452" s="2" t="s">
        <v>407</v>
      </c>
      <c r="O452" s="2">
        <f t="shared" si="308"/>
        <v>5188</v>
      </c>
      <c r="P452" s="2" t="s">
        <v>194</v>
      </c>
      <c r="Q452" s="2" t="str">
        <f t="shared" si="290"/>
        <v>13787,16500</v>
      </c>
      <c r="R452" s="2">
        <f t="shared" si="309"/>
        <v>13787</v>
      </c>
      <c r="S452" s="2">
        <f t="shared" si="305"/>
        <v>16500</v>
      </c>
      <c r="T452" s="2" t="s">
        <v>195</v>
      </c>
      <c r="U452" s="2" t="str">
        <f t="shared" si="291"/>
        <v>622,700</v>
      </c>
      <c r="V452" s="2">
        <f t="shared" si="310"/>
        <v>622</v>
      </c>
      <c r="W452" s="2">
        <f t="shared" si="306"/>
        <v>700</v>
      </c>
      <c r="X452" s="2" t="s">
        <v>196</v>
      </c>
      <c r="Y452" s="2" t="str">
        <f t="shared" si="292"/>
        <v>1105,1300</v>
      </c>
      <c r="Z452" s="2">
        <f t="shared" si="311"/>
        <v>1105</v>
      </c>
      <c r="AA452" s="2">
        <f t="shared" si="307"/>
        <v>1300</v>
      </c>
      <c r="AB452" s="2">
        <v>85000</v>
      </c>
      <c r="AC452" s="2" t="str">
        <f>_xlfn.XLOOKUP(B452,'#캐릭터'!A:A,'#캐릭터'!B:B)</f>
        <v>아슈토레스</v>
      </c>
      <c r="AD452" s="2" t="str">
        <f t="shared" si="326"/>
        <v>Unique2_아슈토레스</v>
      </c>
      <c r="AE452" s="2">
        <f t="shared" si="327"/>
        <v>4103</v>
      </c>
    </row>
    <row r="453" spans="1:31" x14ac:dyDescent="0.2">
      <c r="A453" s="2">
        <f t="shared" si="335"/>
        <v>10194012</v>
      </c>
      <c r="B453" s="1">
        <v>10000194</v>
      </c>
      <c r="C453" s="1" t="s">
        <v>281</v>
      </c>
      <c r="D453" s="1" t="s">
        <v>309</v>
      </c>
      <c r="E453" s="1" t="str">
        <f>"Persona_"&amp;_xlfn.XLOOKUP($B453, '#캐릭터'!$A:$A, '#캐릭터'!$C:$C)</f>
        <v>Persona_c194</v>
      </c>
      <c r="F453" s="1"/>
      <c r="G453" s="1">
        <f>_xlfn.XLOOKUP(_xlfn.XLOOKUP(B453,'[1]Detail&lt;Child&gt;'!$A:$A,'[1]Detail&lt;Child&gt;'!$N:$N),'#참조'!P:P,'#참조'!Q:Q)</f>
        <v>4</v>
      </c>
      <c r="H453" s="1">
        <f>_xlfn.XLOOKUP(_xlfn.XLOOKUP(B453,'[1]Detail&lt;Child&gt;'!$A:$A,'[1]Detail&lt;Child&gt;'!$O:$O),'#참조'!R:R,'#참조'!S:S)</f>
        <v>1</v>
      </c>
      <c r="I453" s="1">
        <v>3</v>
      </c>
      <c r="J453" s="2">
        <v>3</v>
      </c>
      <c r="K453" s="2">
        <v>4</v>
      </c>
      <c r="L453" s="2">
        <v>12</v>
      </c>
      <c r="M453" s="2" t="s">
        <v>16</v>
      </c>
      <c r="N453" s="2" t="s">
        <v>407</v>
      </c>
      <c r="O453" s="2">
        <f t="shared" si="308"/>
        <v>5707</v>
      </c>
      <c r="P453" s="2" t="s">
        <v>194</v>
      </c>
      <c r="Q453" s="2" t="str">
        <f t="shared" ref="Q453:Q478" si="336">R453&amp;","&amp;S453</f>
        <v>17923,21500</v>
      </c>
      <c r="R453" s="2">
        <f t="shared" si="309"/>
        <v>17923</v>
      </c>
      <c r="S453" s="2">
        <f t="shared" si="305"/>
        <v>21500</v>
      </c>
      <c r="T453" s="2" t="s">
        <v>195</v>
      </c>
      <c r="U453" s="2" t="str">
        <f t="shared" ref="U453:U478" si="337">V453&amp;","&amp;W453</f>
        <v>746,900</v>
      </c>
      <c r="V453" s="2">
        <f t="shared" si="310"/>
        <v>746</v>
      </c>
      <c r="W453" s="2">
        <f t="shared" si="306"/>
        <v>900</v>
      </c>
      <c r="X453" s="2" t="s">
        <v>196</v>
      </c>
      <c r="Y453" s="2" t="str">
        <f t="shared" ref="Y453:Y478" si="338">Z453&amp;","&amp;AA453</f>
        <v>1437,1700</v>
      </c>
      <c r="Z453" s="2">
        <f t="shared" si="311"/>
        <v>1437</v>
      </c>
      <c r="AA453" s="2">
        <f t="shared" si="307"/>
        <v>1700</v>
      </c>
      <c r="AB453" s="2">
        <v>85000</v>
      </c>
      <c r="AC453" s="2" t="str">
        <f>_xlfn.XLOOKUP(B453,'#캐릭터'!A:A,'#캐릭터'!B:B)</f>
        <v>아슈토레스</v>
      </c>
      <c r="AD453" s="2" t="str">
        <f t="shared" si="326"/>
        <v>Unique3_아슈토레스</v>
      </c>
      <c r="AE453" s="2">
        <f t="shared" si="327"/>
        <v>4103</v>
      </c>
    </row>
    <row r="454" spans="1:31" x14ac:dyDescent="0.2">
      <c r="A454" s="2">
        <f t="shared" si="335"/>
        <v>10194013</v>
      </c>
      <c r="B454" s="1">
        <v>10000194</v>
      </c>
      <c r="C454" s="1" t="s">
        <v>281</v>
      </c>
      <c r="D454" s="1" t="s">
        <v>309</v>
      </c>
      <c r="E454" s="1" t="str">
        <f>"Persona_"&amp;_xlfn.XLOOKUP($B454, '#캐릭터'!$A:$A, '#캐릭터'!$C:$C)</f>
        <v>Persona_c194</v>
      </c>
      <c r="F454" s="1"/>
      <c r="G454" s="1">
        <f>_xlfn.XLOOKUP(_xlfn.XLOOKUP(B454,'[1]Detail&lt;Child&gt;'!$A:$A,'[1]Detail&lt;Child&gt;'!$N:$N),'#참조'!P:P,'#참조'!Q:Q)</f>
        <v>4</v>
      </c>
      <c r="H454" s="1">
        <f>_xlfn.XLOOKUP(_xlfn.XLOOKUP(B454,'[1]Detail&lt;Child&gt;'!$A:$A,'[1]Detail&lt;Child&gt;'!$O:$O),'#참조'!R:R,'#참조'!S:S)</f>
        <v>1</v>
      </c>
      <c r="I454" s="1">
        <v>4</v>
      </c>
      <c r="J454" s="2">
        <v>3</v>
      </c>
      <c r="K454" s="2">
        <v>5</v>
      </c>
      <c r="L454" s="2">
        <v>13</v>
      </c>
      <c r="M454" s="2" t="s">
        <v>17</v>
      </c>
      <c r="N454" s="2" t="s">
        <v>407</v>
      </c>
      <c r="O454" s="2">
        <f t="shared" si="308"/>
        <v>6278</v>
      </c>
      <c r="P454" s="2" t="s">
        <v>194</v>
      </c>
      <c r="Q454" s="2" t="str">
        <f t="shared" si="336"/>
        <v>23300,28000</v>
      </c>
      <c r="R454" s="2">
        <f t="shared" si="309"/>
        <v>23300</v>
      </c>
      <c r="S454" s="2">
        <f t="shared" si="305"/>
        <v>28000</v>
      </c>
      <c r="T454" s="2" t="s">
        <v>195</v>
      </c>
      <c r="U454" s="2" t="str">
        <f t="shared" si="337"/>
        <v>895,1100</v>
      </c>
      <c r="V454" s="2">
        <f t="shared" si="310"/>
        <v>895</v>
      </c>
      <c r="W454" s="2">
        <f t="shared" si="306"/>
        <v>1100</v>
      </c>
      <c r="X454" s="2" t="s">
        <v>196</v>
      </c>
      <c r="Y454" s="2" t="str">
        <f t="shared" si="338"/>
        <v>1868,2200</v>
      </c>
      <c r="Z454" s="2">
        <f t="shared" si="311"/>
        <v>1868</v>
      </c>
      <c r="AA454" s="2">
        <f t="shared" si="307"/>
        <v>2200</v>
      </c>
      <c r="AB454" s="2">
        <v>80000</v>
      </c>
      <c r="AC454" s="2" t="str">
        <f>_xlfn.XLOOKUP(B454,'#캐릭터'!A:A,'#캐릭터'!B:B)</f>
        <v>아슈토레스</v>
      </c>
      <c r="AD454" s="2" t="str">
        <f t="shared" si="326"/>
        <v>Epic1_아슈토레스</v>
      </c>
      <c r="AE454" s="2">
        <f t="shared" si="327"/>
        <v>4104</v>
      </c>
    </row>
    <row r="455" spans="1:31" x14ac:dyDescent="0.2">
      <c r="A455" s="2">
        <f t="shared" si="335"/>
        <v>10194014</v>
      </c>
      <c r="B455" s="1">
        <v>10000194</v>
      </c>
      <c r="C455" s="1" t="s">
        <v>281</v>
      </c>
      <c r="D455" s="1" t="s">
        <v>309</v>
      </c>
      <c r="E455" s="1" t="str">
        <f>"Persona_"&amp;_xlfn.XLOOKUP($B455, '#캐릭터'!$A:$A, '#캐릭터'!$C:$C)</f>
        <v>Persona_c194</v>
      </c>
      <c r="F455" s="1"/>
      <c r="G455" s="1">
        <f>_xlfn.XLOOKUP(_xlfn.XLOOKUP(B455,'[1]Detail&lt;Child&gt;'!$A:$A,'[1]Detail&lt;Child&gt;'!$N:$N),'#참조'!P:P,'#참조'!Q:Q)</f>
        <v>4</v>
      </c>
      <c r="H455" s="1">
        <f>_xlfn.XLOOKUP(_xlfn.XLOOKUP(B455,'[1]Detail&lt;Child&gt;'!$A:$A,'[1]Detail&lt;Child&gt;'!$O:$O),'#참조'!R:R,'#참조'!S:S)</f>
        <v>1</v>
      </c>
      <c r="I455" s="1">
        <v>4</v>
      </c>
      <c r="J455" s="2">
        <v>3</v>
      </c>
      <c r="K455" s="2">
        <v>5</v>
      </c>
      <c r="L455" s="2">
        <v>14</v>
      </c>
      <c r="M455" s="2" t="s">
        <v>18</v>
      </c>
      <c r="N455" s="2" t="s">
        <v>407</v>
      </c>
      <c r="O455" s="2">
        <f t="shared" si="308"/>
        <v>6906</v>
      </c>
      <c r="P455" s="2" t="s">
        <v>194</v>
      </c>
      <c r="Q455" s="2" t="str">
        <f t="shared" si="336"/>
        <v>30290,36300</v>
      </c>
      <c r="R455" s="2">
        <f t="shared" si="309"/>
        <v>30290</v>
      </c>
      <c r="S455" s="2">
        <f t="shared" si="305"/>
        <v>36300</v>
      </c>
      <c r="T455" s="2" t="s">
        <v>195</v>
      </c>
      <c r="U455" s="2" t="str">
        <f t="shared" si="337"/>
        <v>1074,1300</v>
      </c>
      <c r="V455" s="2">
        <f t="shared" si="310"/>
        <v>1074</v>
      </c>
      <c r="W455" s="2">
        <f t="shared" si="306"/>
        <v>1300</v>
      </c>
      <c r="X455" s="2" t="s">
        <v>196</v>
      </c>
      <c r="Y455" s="2" t="str">
        <f t="shared" si="338"/>
        <v>2428,2900</v>
      </c>
      <c r="Z455" s="2">
        <f t="shared" si="311"/>
        <v>2428</v>
      </c>
      <c r="AA455" s="2">
        <f t="shared" si="307"/>
        <v>2900</v>
      </c>
      <c r="AB455" s="2">
        <v>80000</v>
      </c>
      <c r="AC455" s="2" t="str">
        <f>_xlfn.XLOOKUP(B455,'#캐릭터'!A:A,'#캐릭터'!B:B)</f>
        <v>아슈토레스</v>
      </c>
      <c r="AD455" s="2" t="str">
        <f t="shared" si="326"/>
        <v>Epic2_아슈토레스</v>
      </c>
      <c r="AE455" s="2">
        <f t="shared" si="327"/>
        <v>4104</v>
      </c>
    </row>
    <row r="456" spans="1:31" x14ac:dyDescent="0.2">
      <c r="A456" s="2">
        <f t="shared" si="335"/>
        <v>10194015</v>
      </c>
      <c r="B456" s="1">
        <v>10000194</v>
      </c>
      <c r="C456" s="1" t="s">
        <v>281</v>
      </c>
      <c r="D456" s="1" t="s">
        <v>309</v>
      </c>
      <c r="E456" s="1" t="str">
        <f>"Persona_"&amp;_xlfn.XLOOKUP($B456, '#캐릭터'!$A:$A, '#캐릭터'!$C:$C)</f>
        <v>Persona_c194</v>
      </c>
      <c r="F456" s="1"/>
      <c r="G456" s="1">
        <f>_xlfn.XLOOKUP(_xlfn.XLOOKUP(B456,'[1]Detail&lt;Child&gt;'!$A:$A,'[1]Detail&lt;Child&gt;'!$N:$N),'#참조'!P:P,'#참조'!Q:Q)</f>
        <v>4</v>
      </c>
      <c r="H456" s="1">
        <f>_xlfn.XLOOKUP(_xlfn.XLOOKUP(B456,'[1]Detail&lt;Child&gt;'!$A:$A,'[1]Detail&lt;Child&gt;'!$O:$O),'#참조'!R:R,'#참조'!S:S)</f>
        <v>1</v>
      </c>
      <c r="I456" s="1">
        <v>5</v>
      </c>
      <c r="J456" s="2">
        <v>3</v>
      </c>
      <c r="K456" s="2">
        <v>5</v>
      </c>
      <c r="L456" s="2">
        <v>15</v>
      </c>
      <c r="M456" s="2" t="s">
        <v>19</v>
      </c>
      <c r="N456" s="2" t="s">
        <v>407</v>
      </c>
      <c r="O456" s="2">
        <f t="shared" si="308"/>
        <v>7597</v>
      </c>
      <c r="P456" s="2" t="s">
        <v>194</v>
      </c>
      <c r="Q456" s="2" t="str">
        <f t="shared" si="336"/>
        <v>39377,47300</v>
      </c>
      <c r="R456" s="2">
        <f t="shared" si="309"/>
        <v>39377</v>
      </c>
      <c r="S456" s="2">
        <f t="shared" si="305"/>
        <v>47300</v>
      </c>
      <c r="T456" s="2" t="s">
        <v>195</v>
      </c>
      <c r="U456" s="2" t="str">
        <f t="shared" si="337"/>
        <v>1289,1500</v>
      </c>
      <c r="V456" s="2">
        <f t="shared" si="310"/>
        <v>1289</v>
      </c>
      <c r="W456" s="2">
        <f t="shared" si="306"/>
        <v>1500</v>
      </c>
      <c r="X456" s="2" t="s">
        <v>196</v>
      </c>
      <c r="Y456" s="2" t="str">
        <f t="shared" si="338"/>
        <v>3156,3800</v>
      </c>
      <c r="Z456" s="2">
        <f t="shared" si="311"/>
        <v>3156</v>
      </c>
      <c r="AA456" s="2">
        <f t="shared" si="307"/>
        <v>3800</v>
      </c>
      <c r="AB456" s="2">
        <v>80000</v>
      </c>
      <c r="AC456" s="2" t="str">
        <f>_xlfn.XLOOKUP(B456,'#캐릭터'!A:A,'#캐릭터'!B:B)</f>
        <v>아슈토레스</v>
      </c>
      <c r="AD456" s="2" t="str">
        <f t="shared" si="326"/>
        <v>Epic3_아슈토레스</v>
      </c>
      <c r="AE456" s="2">
        <f t="shared" si="327"/>
        <v>4105</v>
      </c>
    </row>
    <row r="457" spans="1:31" x14ac:dyDescent="0.2">
      <c r="A457" s="2">
        <f t="shared" si="335"/>
        <v>10194016</v>
      </c>
      <c r="B457" s="1">
        <v>10000194</v>
      </c>
      <c r="C457" s="1" t="s">
        <v>281</v>
      </c>
      <c r="D457" s="1" t="s">
        <v>309</v>
      </c>
      <c r="E457" s="1" t="str">
        <f>"Persona_"&amp;_xlfn.XLOOKUP($B457, '#캐릭터'!$A:$A, '#캐릭터'!$C:$C)</f>
        <v>Persona_c194</v>
      </c>
      <c r="F457" s="1"/>
      <c r="G457" s="1">
        <f>_xlfn.XLOOKUP(_xlfn.XLOOKUP(B457,'[1]Detail&lt;Child&gt;'!$A:$A,'[1]Detail&lt;Child&gt;'!$N:$N),'#참조'!P:P,'#참조'!Q:Q)</f>
        <v>4</v>
      </c>
      <c r="H457" s="1">
        <f>_xlfn.XLOOKUP(_xlfn.XLOOKUP(B457,'[1]Detail&lt;Child&gt;'!$A:$A,'[1]Detail&lt;Child&gt;'!$O:$O),'#참조'!R:R,'#참조'!S:S)</f>
        <v>1</v>
      </c>
      <c r="I457" s="1">
        <v>5</v>
      </c>
      <c r="J457" s="2">
        <v>3</v>
      </c>
      <c r="K457" s="2">
        <v>6</v>
      </c>
      <c r="L457" s="2">
        <v>16</v>
      </c>
      <c r="M457" s="2" t="s">
        <v>20</v>
      </c>
      <c r="N457" s="2" t="s">
        <v>407</v>
      </c>
      <c r="O457" s="2">
        <f t="shared" si="308"/>
        <v>8357</v>
      </c>
      <c r="P457" s="2" t="s">
        <v>194</v>
      </c>
      <c r="Q457" s="2" t="str">
        <f t="shared" si="336"/>
        <v>51190,61400</v>
      </c>
      <c r="R457" s="2">
        <f t="shared" si="309"/>
        <v>51190</v>
      </c>
      <c r="S457" s="2">
        <f t="shared" si="305"/>
        <v>61400</v>
      </c>
      <c r="T457" s="2" t="s">
        <v>195</v>
      </c>
      <c r="U457" s="2" t="str">
        <f t="shared" si="337"/>
        <v>1547,1900</v>
      </c>
      <c r="V457" s="2">
        <f t="shared" si="310"/>
        <v>1547</v>
      </c>
      <c r="W457" s="2">
        <f t="shared" si="306"/>
        <v>1900</v>
      </c>
      <c r="X457" s="2" t="s">
        <v>196</v>
      </c>
      <c r="Y457" s="2" t="str">
        <f t="shared" si="338"/>
        <v>4103,4900</v>
      </c>
      <c r="Z457" s="2">
        <f t="shared" si="311"/>
        <v>4103</v>
      </c>
      <c r="AA457" s="2">
        <f t="shared" si="307"/>
        <v>4900</v>
      </c>
      <c r="AB457" s="2">
        <v>75000</v>
      </c>
      <c r="AC457" s="2" t="str">
        <f>_xlfn.XLOOKUP(B457,'#캐릭터'!A:A,'#캐릭터'!B:B)</f>
        <v>아슈토레스</v>
      </c>
      <c r="AD457" s="2" t="str">
        <f t="shared" si="326"/>
        <v>Legendary1_아슈토레스</v>
      </c>
      <c r="AE457" s="2">
        <f t="shared" si="327"/>
        <v>4105</v>
      </c>
    </row>
    <row r="458" spans="1:31" x14ac:dyDescent="0.2">
      <c r="A458" s="2">
        <f t="shared" si="335"/>
        <v>10194017</v>
      </c>
      <c r="B458" s="1">
        <v>10000194</v>
      </c>
      <c r="C458" s="1" t="s">
        <v>281</v>
      </c>
      <c r="D458" s="1" t="s">
        <v>309</v>
      </c>
      <c r="E458" s="1" t="str">
        <f>"Persona_"&amp;_xlfn.XLOOKUP($B458, '#캐릭터'!$A:$A, '#캐릭터'!$C:$C)</f>
        <v>Persona_c194</v>
      </c>
      <c r="F458" s="1"/>
      <c r="G458" s="1">
        <f>_xlfn.XLOOKUP(_xlfn.XLOOKUP(B458,'[1]Detail&lt;Child&gt;'!$A:$A,'[1]Detail&lt;Child&gt;'!$N:$N),'#참조'!P:P,'#참조'!Q:Q)</f>
        <v>4</v>
      </c>
      <c r="H458" s="1">
        <f>_xlfn.XLOOKUP(_xlfn.XLOOKUP(B458,'[1]Detail&lt;Child&gt;'!$A:$A,'[1]Detail&lt;Child&gt;'!$O:$O),'#참조'!R:R,'#참조'!S:S)</f>
        <v>1</v>
      </c>
      <c r="I458" s="1">
        <v>6</v>
      </c>
      <c r="J458" s="2">
        <v>3</v>
      </c>
      <c r="K458" s="2">
        <v>6</v>
      </c>
      <c r="L458" s="2">
        <v>17</v>
      </c>
      <c r="M458" s="2" t="s">
        <v>21</v>
      </c>
      <c r="N458" s="2" t="s">
        <v>407</v>
      </c>
      <c r="O458" s="2">
        <f t="shared" si="308"/>
        <v>9193</v>
      </c>
      <c r="P458" s="2" t="s">
        <v>194</v>
      </c>
      <c r="Q458" s="2" t="str">
        <f t="shared" si="336"/>
        <v>66547,79900</v>
      </c>
      <c r="R458" s="2">
        <f t="shared" si="309"/>
        <v>66547</v>
      </c>
      <c r="S458" s="2">
        <f t="shared" si="305"/>
        <v>79900</v>
      </c>
      <c r="T458" s="2" t="s">
        <v>195</v>
      </c>
      <c r="U458" s="2" t="str">
        <f t="shared" si="337"/>
        <v>1856,2200</v>
      </c>
      <c r="V458" s="2">
        <f t="shared" si="310"/>
        <v>1856</v>
      </c>
      <c r="W458" s="2">
        <f t="shared" si="306"/>
        <v>2200</v>
      </c>
      <c r="X458" s="2" t="s">
        <v>196</v>
      </c>
      <c r="Y458" s="2" t="str">
        <f t="shared" si="338"/>
        <v>5334,6400</v>
      </c>
      <c r="Z458" s="2">
        <f t="shared" si="311"/>
        <v>5334</v>
      </c>
      <c r="AA458" s="2">
        <f t="shared" si="307"/>
        <v>6400</v>
      </c>
      <c r="AB458" s="2">
        <v>75000</v>
      </c>
      <c r="AC458" s="2" t="str">
        <f>_xlfn.XLOOKUP(B458,'#캐릭터'!A:A,'#캐릭터'!B:B)</f>
        <v>아슈토레스</v>
      </c>
      <c r="AD458" s="2" t="str">
        <f t="shared" si="326"/>
        <v>Legendary2_아슈토레스</v>
      </c>
      <c r="AE458" s="2">
        <f t="shared" si="327"/>
        <v>4106</v>
      </c>
    </row>
    <row r="459" spans="1:31" x14ac:dyDescent="0.2">
      <c r="A459" s="2">
        <f t="shared" si="335"/>
        <v>10194018</v>
      </c>
      <c r="B459" s="1">
        <v>10000194</v>
      </c>
      <c r="C459" s="1" t="s">
        <v>281</v>
      </c>
      <c r="D459" s="1" t="s">
        <v>309</v>
      </c>
      <c r="E459" s="1" t="str">
        <f>"Persona_"&amp;_xlfn.XLOOKUP($B459, '#캐릭터'!$A:$A, '#캐릭터'!$C:$C)</f>
        <v>Persona_c194</v>
      </c>
      <c r="F459" s="1"/>
      <c r="G459" s="1">
        <f>_xlfn.XLOOKUP(_xlfn.XLOOKUP(B459,'[1]Detail&lt;Child&gt;'!$A:$A,'[1]Detail&lt;Child&gt;'!$N:$N),'#참조'!P:P,'#참조'!Q:Q)</f>
        <v>4</v>
      </c>
      <c r="H459" s="1">
        <f>_xlfn.XLOOKUP(_xlfn.XLOOKUP(B459,'[1]Detail&lt;Child&gt;'!$A:$A,'[1]Detail&lt;Child&gt;'!$O:$O),'#참조'!R:R,'#참조'!S:S)</f>
        <v>1</v>
      </c>
      <c r="I459" s="1">
        <v>6</v>
      </c>
      <c r="J459" s="2">
        <v>3</v>
      </c>
      <c r="K459" s="2">
        <v>6</v>
      </c>
      <c r="L459" s="2">
        <v>18</v>
      </c>
      <c r="M459" s="2" t="s">
        <v>22</v>
      </c>
      <c r="N459" s="2" t="s">
        <v>407</v>
      </c>
      <c r="O459" s="2">
        <f t="shared" si="308"/>
        <v>10112</v>
      </c>
      <c r="P459" s="2" t="s">
        <v>194</v>
      </c>
      <c r="Q459" s="2" t="str">
        <f t="shared" si="336"/>
        <v>86511,103800</v>
      </c>
      <c r="R459" s="2">
        <f t="shared" si="309"/>
        <v>86511</v>
      </c>
      <c r="S459" s="2">
        <f t="shared" si="305"/>
        <v>103800</v>
      </c>
      <c r="T459" s="2" t="s">
        <v>195</v>
      </c>
      <c r="U459" s="2" t="str">
        <f t="shared" si="337"/>
        <v>2227,2700</v>
      </c>
      <c r="V459" s="2">
        <f t="shared" si="310"/>
        <v>2227</v>
      </c>
      <c r="W459" s="2">
        <f t="shared" si="306"/>
        <v>2700</v>
      </c>
      <c r="X459" s="2" t="s">
        <v>196</v>
      </c>
      <c r="Y459" s="2" t="str">
        <f t="shared" si="338"/>
        <v>6934,8300</v>
      </c>
      <c r="Z459" s="2">
        <f t="shared" si="311"/>
        <v>6934</v>
      </c>
      <c r="AA459" s="2">
        <f t="shared" si="307"/>
        <v>8300</v>
      </c>
      <c r="AB459" s="2">
        <v>75000</v>
      </c>
      <c r="AC459" s="2" t="str">
        <f>_xlfn.XLOOKUP(B459,'#캐릭터'!A:A,'#캐릭터'!B:B)</f>
        <v>아슈토레스</v>
      </c>
      <c r="AD459" s="2" t="str">
        <f t="shared" si="326"/>
        <v>Legendary3_아슈토레스</v>
      </c>
      <c r="AE459" s="2">
        <f t="shared" si="327"/>
        <v>4106</v>
      </c>
    </row>
    <row r="460" spans="1:31" x14ac:dyDescent="0.2">
      <c r="A460" s="2">
        <f t="shared" si="335"/>
        <v>10124000</v>
      </c>
      <c r="B460" s="1">
        <v>10000124</v>
      </c>
      <c r="C460" s="1" t="s">
        <v>281</v>
      </c>
      <c r="D460" s="1" t="s">
        <v>309</v>
      </c>
      <c r="E460" s="1" t="str">
        <f>"Persona_"&amp;_xlfn.XLOOKUP($B460, '#캐릭터'!$A:$A, '#캐릭터'!$C:$C)</f>
        <v>Persona_c124</v>
      </c>
      <c r="F460" s="1"/>
      <c r="G460" s="1">
        <f>_xlfn.XLOOKUP(_xlfn.XLOOKUP(B460,'[1]Detail&lt;Child&gt;'!$A:$A,'[1]Detail&lt;Child&gt;'!$N:$N),'#참조'!P:P,'#참조'!Q:Q)</f>
        <v>2</v>
      </c>
      <c r="H460" s="1">
        <f>_xlfn.XLOOKUP(_xlfn.XLOOKUP(B460,'[1]Detail&lt;Child&gt;'!$A:$A,'[1]Detail&lt;Child&gt;'!$O:$O),'#참조'!R:R,'#참조'!S:S)</f>
        <v>4</v>
      </c>
      <c r="I460" s="1">
        <v>0</v>
      </c>
      <c r="J460" s="2">
        <v>3</v>
      </c>
      <c r="K460" s="2">
        <v>0</v>
      </c>
      <c r="L460" s="2">
        <v>0</v>
      </c>
      <c r="M460" s="2" t="s">
        <v>31</v>
      </c>
      <c r="N460" s="2" t="s">
        <v>407</v>
      </c>
      <c r="O460" s="2">
        <v>0</v>
      </c>
      <c r="P460" s="2" t="s">
        <v>194</v>
      </c>
      <c r="Q460" s="2" t="str">
        <f t="shared" si="336"/>
        <v>1000,1000</v>
      </c>
      <c r="R460" s="2">
        <v>1000</v>
      </c>
      <c r="S460" s="2">
        <f t="shared" ref="S460" si="339">R460</f>
        <v>1000</v>
      </c>
      <c r="T460" s="2" t="s">
        <v>195</v>
      </c>
      <c r="U460" s="2" t="str">
        <f t="shared" si="337"/>
        <v>100,100</v>
      </c>
      <c r="V460" s="2">
        <v>100</v>
      </c>
      <c r="W460" s="2">
        <f t="shared" ref="W460" si="340">V460</f>
        <v>100</v>
      </c>
      <c r="X460" s="2" t="s">
        <v>196</v>
      </c>
      <c r="Y460" s="2" t="str">
        <f t="shared" si="338"/>
        <v>80,80</v>
      </c>
      <c r="Z460" s="2">
        <v>80</v>
      </c>
      <c r="AA460" s="2">
        <f t="shared" ref="AA460" si="341">Z460</f>
        <v>80</v>
      </c>
      <c r="AB460" s="2">
        <v>100000</v>
      </c>
      <c r="AC460" s="2" t="str">
        <f>_xlfn.XLOOKUP(B460,'#캐릭터'!A:A,'#캐릭터'!B:B)</f>
        <v>이브</v>
      </c>
      <c r="AD460" s="2" t="str">
        <f t="shared" ref="AD460:AD478" si="342">M460&amp;"_"&amp;AC460</f>
        <v>Default_이브</v>
      </c>
      <c r="AE460" s="2">
        <f t="shared" ref="AE460:AE478" si="343">IF(I460=0,0,INT(G460&amp;H460&amp;TEXT(I460,"00")))</f>
        <v>0</v>
      </c>
    </row>
    <row r="461" spans="1:31" x14ac:dyDescent="0.2">
      <c r="A461" s="2">
        <f t="shared" si="335"/>
        <v>10124001</v>
      </c>
      <c r="B461" s="1">
        <v>10000124</v>
      </c>
      <c r="C461" s="1" t="s">
        <v>281</v>
      </c>
      <c r="D461" s="1" t="s">
        <v>309</v>
      </c>
      <c r="E461" s="1" t="str">
        <f>"Persona_"&amp;_xlfn.XLOOKUP($B461, '#캐릭터'!$A:$A, '#캐릭터'!$C:$C)</f>
        <v>Persona_c124</v>
      </c>
      <c r="F461" s="1"/>
      <c r="G461" s="1">
        <f>_xlfn.XLOOKUP(_xlfn.XLOOKUP(B461,'[1]Detail&lt;Child&gt;'!$A:$A,'[1]Detail&lt;Child&gt;'!$N:$N),'#참조'!P:P,'#참조'!Q:Q)</f>
        <v>2</v>
      </c>
      <c r="H461" s="1">
        <f>_xlfn.XLOOKUP(_xlfn.XLOOKUP(B461,'[1]Detail&lt;Child&gt;'!$A:$A,'[1]Detail&lt;Child&gt;'!$O:$O),'#참조'!R:R,'#참조'!S:S)</f>
        <v>4</v>
      </c>
      <c r="I461" s="1">
        <v>0</v>
      </c>
      <c r="J461" s="2">
        <v>3</v>
      </c>
      <c r="K461" s="2">
        <v>1</v>
      </c>
      <c r="L461" s="2">
        <v>1</v>
      </c>
      <c r="M461" s="2" t="s">
        <v>5</v>
      </c>
      <c r="N461" s="2" t="s">
        <v>407</v>
      </c>
      <c r="O461" s="2">
        <v>2000</v>
      </c>
      <c r="P461" s="2" t="s">
        <v>194</v>
      </c>
      <c r="Q461" s="2" t="str">
        <f t="shared" si="336"/>
        <v>1000,1200</v>
      </c>
      <c r="R461" s="2">
        <v>1000</v>
      </c>
      <c r="S461" s="2">
        <f t="shared" ref="S461" si="344">ROUND(R461*1.2, -2)</f>
        <v>1200</v>
      </c>
      <c r="T461" s="2" t="s">
        <v>195</v>
      </c>
      <c r="U461" s="2" t="str">
        <f t="shared" si="337"/>
        <v>100,100</v>
      </c>
      <c r="V461" s="2">
        <v>100</v>
      </c>
      <c r="W461" s="2">
        <f t="shared" ref="W461" si="345">ROUND(V461*1.2, -2)</f>
        <v>100</v>
      </c>
      <c r="X461" s="2" t="s">
        <v>196</v>
      </c>
      <c r="Y461" s="2" t="str">
        <f t="shared" si="338"/>
        <v>80,100</v>
      </c>
      <c r="Z461" s="2">
        <v>80</v>
      </c>
      <c r="AA461" s="2">
        <f t="shared" ref="AA461" si="346">ROUND(Z461*1.2, -2)</f>
        <v>100</v>
      </c>
      <c r="AB461" s="2">
        <v>100000</v>
      </c>
      <c r="AC461" s="2" t="str">
        <f>_xlfn.XLOOKUP(B461,'#캐릭터'!A:A,'#캐릭터'!B:B)</f>
        <v>이브</v>
      </c>
      <c r="AD461" s="2" t="str">
        <f t="shared" si="342"/>
        <v>Common1_이브</v>
      </c>
      <c r="AE461" s="2">
        <f t="shared" si="343"/>
        <v>0</v>
      </c>
    </row>
    <row r="462" spans="1:31" x14ac:dyDescent="0.2">
      <c r="A462" s="2">
        <f t="shared" si="335"/>
        <v>10124002</v>
      </c>
      <c r="B462" s="1">
        <v>10000124</v>
      </c>
      <c r="C462" s="1" t="s">
        <v>281</v>
      </c>
      <c r="D462" s="1" t="s">
        <v>309</v>
      </c>
      <c r="E462" s="1" t="str">
        <f>"Persona_"&amp;_xlfn.XLOOKUP($B462, '#캐릭터'!$A:$A, '#캐릭터'!$C:$C)</f>
        <v>Persona_c124</v>
      </c>
      <c r="F462" s="1"/>
      <c r="G462" s="1">
        <f>_xlfn.XLOOKUP(_xlfn.XLOOKUP(B462,'[1]Detail&lt;Child&gt;'!$A:$A,'[1]Detail&lt;Child&gt;'!$N:$N),'#참조'!P:P,'#참조'!Q:Q)</f>
        <v>2</v>
      </c>
      <c r="H462" s="1">
        <f>_xlfn.XLOOKUP(_xlfn.XLOOKUP(B462,'[1]Detail&lt;Child&gt;'!$A:$A,'[1]Detail&lt;Child&gt;'!$O:$O),'#참조'!R:R,'#참조'!S:S)</f>
        <v>4</v>
      </c>
      <c r="I462" s="1">
        <v>0</v>
      </c>
      <c r="J462" s="2">
        <v>3</v>
      </c>
      <c r="K462" s="2">
        <v>1</v>
      </c>
      <c r="L462" s="2">
        <v>2</v>
      </c>
      <c r="M462" s="2" t="s">
        <v>6</v>
      </c>
      <c r="N462" s="2" t="s">
        <v>407</v>
      </c>
      <c r="O462" s="2">
        <f t="shared" ref="O462" si="347">ROUND(O461*1.1, 0)</f>
        <v>2200</v>
      </c>
      <c r="P462" s="2" t="s">
        <v>194</v>
      </c>
      <c r="Q462" s="2" t="str">
        <f t="shared" si="336"/>
        <v>1300,1600</v>
      </c>
      <c r="R462" s="2">
        <f t="shared" ref="R462" si="348">ROUND(R461*1.3, 0)</f>
        <v>1300</v>
      </c>
      <c r="S462" s="2">
        <f t="shared" si="305"/>
        <v>1600</v>
      </c>
      <c r="T462" s="2" t="s">
        <v>195</v>
      </c>
      <c r="U462" s="2" t="str">
        <f t="shared" si="337"/>
        <v>120,100</v>
      </c>
      <c r="V462" s="2">
        <f t="shared" ref="V462" si="349">ROUND(V461*1.2, 0)</f>
        <v>120</v>
      </c>
      <c r="W462" s="2">
        <f t="shared" si="306"/>
        <v>100</v>
      </c>
      <c r="X462" s="2" t="s">
        <v>196</v>
      </c>
      <c r="Y462" s="2" t="str">
        <f t="shared" si="338"/>
        <v>104,100</v>
      </c>
      <c r="Z462" s="2">
        <f t="shared" ref="Z462" si="350">ROUND(Z461*1.3, 0)</f>
        <v>104</v>
      </c>
      <c r="AA462" s="2">
        <f t="shared" si="307"/>
        <v>100</v>
      </c>
      <c r="AB462" s="2">
        <v>100000</v>
      </c>
      <c r="AC462" s="2" t="str">
        <f>_xlfn.XLOOKUP(B462,'#캐릭터'!A:A,'#캐릭터'!B:B)</f>
        <v>이브</v>
      </c>
      <c r="AD462" s="2" t="str">
        <f t="shared" si="342"/>
        <v>Common2_이브</v>
      </c>
      <c r="AE462" s="2">
        <f t="shared" si="343"/>
        <v>0</v>
      </c>
    </row>
    <row r="463" spans="1:31" x14ac:dyDescent="0.2">
      <c r="A463" s="2">
        <f t="shared" si="335"/>
        <v>10124003</v>
      </c>
      <c r="B463" s="1">
        <v>10000124</v>
      </c>
      <c r="C463" s="1" t="s">
        <v>281</v>
      </c>
      <c r="D463" s="1" t="s">
        <v>309</v>
      </c>
      <c r="E463" s="1" t="str">
        <f>"Persona_"&amp;_xlfn.XLOOKUP($B463, '#캐릭터'!$A:$A, '#캐릭터'!$C:$C)</f>
        <v>Persona_c124</v>
      </c>
      <c r="F463" s="1"/>
      <c r="G463" s="1">
        <f>_xlfn.XLOOKUP(_xlfn.XLOOKUP(B463,'[1]Detail&lt;Child&gt;'!$A:$A,'[1]Detail&lt;Child&gt;'!$N:$N),'#참조'!P:P,'#참조'!Q:Q)</f>
        <v>2</v>
      </c>
      <c r="H463" s="1">
        <f>_xlfn.XLOOKUP(_xlfn.XLOOKUP(B463,'[1]Detail&lt;Child&gt;'!$A:$A,'[1]Detail&lt;Child&gt;'!$O:$O),'#참조'!R:R,'#참조'!S:S)</f>
        <v>4</v>
      </c>
      <c r="I463" s="1">
        <v>0</v>
      </c>
      <c r="J463" s="2">
        <v>3</v>
      </c>
      <c r="K463" s="2">
        <v>1</v>
      </c>
      <c r="L463" s="2">
        <v>3</v>
      </c>
      <c r="M463" s="2" t="s">
        <v>7</v>
      </c>
      <c r="N463" s="2" t="s">
        <v>407</v>
      </c>
      <c r="O463" s="2">
        <f t="shared" si="308"/>
        <v>2420</v>
      </c>
      <c r="P463" s="2" t="s">
        <v>194</v>
      </c>
      <c r="Q463" s="2" t="str">
        <f t="shared" si="336"/>
        <v>1690,2000</v>
      </c>
      <c r="R463" s="2">
        <f t="shared" si="309"/>
        <v>1690</v>
      </c>
      <c r="S463" s="2">
        <f t="shared" si="305"/>
        <v>2000</v>
      </c>
      <c r="T463" s="2" t="s">
        <v>195</v>
      </c>
      <c r="U463" s="2" t="str">
        <f t="shared" si="337"/>
        <v>144,200</v>
      </c>
      <c r="V463" s="2">
        <f t="shared" si="310"/>
        <v>144</v>
      </c>
      <c r="W463" s="2">
        <f t="shared" si="306"/>
        <v>200</v>
      </c>
      <c r="X463" s="2" t="s">
        <v>196</v>
      </c>
      <c r="Y463" s="2" t="str">
        <f t="shared" si="338"/>
        <v>135,200</v>
      </c>
      <c r="Z463" s="2">
        <f t="shared" si="311"/>
        <v>135</v>
      </c>
      <c r="AA463" s="2">
        <f t="shared" si="307"/>
        <v>200</v>
      </c>
      <c r="AB463" s="2">
        <v>100000</v>
      </c>
      <c r="AC463" s="2" t="str">
        <f>_xlfn.XLOOKUP(B463,'#캐릭터'!A:A,'#캐릭터'!B:B)</f>
        <v>이브</v>
      </c>
      <c r="AD463" s="2" t="str">
        <f t="shared" si="342"/>
        <v>Common3_이브</v>
      </c>
      <c r="AE463" s="2">
        <f t="shared" si="343"/>
        <v>0</v>
      </c>
    </row>
    <row r="464" spans="1:31" x14ac:dyDescent="0.2">
      <c r="A464" s="2">
        <f t="shared" si="335"/>
        <v>10124004</v>
      </c>
      <c r="B464" s="1">
        <v>10000124</v>
      </c>
      <c r="C464" s="1" t="s">
        <v>281</v>
      </c>
      <c r="D464" s="1" t="s">
        <v>309</v>
      </c>
      <c r="E464" s="1" t="str">
        <f>"Persona_"&amp;_xlfn.XLOOKUP($B464, '#캐릭터'!$A:$A, '#캐릭터'!$C:$C)</f>
        <v>Persona_c124</v>
      </c>
      <c r="F464" s="1"/>
      <c r="G464" s="1">
        <f>_xlfn.XLOOKUP(_xlfn.XLOOKUP(B464,'[1]Detail&lt;Child&gt;'!$A:$A,'[1]Detail&lt;Child&gt;'!$N:$N),'#참조'!P:P,'#참조'!Q:Q)</f>
        <v>2</v>
      </c>
      <c r="H464" s="1">
        <f>_xlfn.XLOOKUP(_xlfn.XLOOKUP(B464,'[1]Detail&lt;Child&gt;'!$A:$A,'[1]Detail&lt;Child&gt;'!$O:$O),'#참조'!R:R,'#참조'!S:S)</f>
        <v>4</v>
      </c>
      <c r="I464" s="1">
        <v>0</v>
      </c>
      <c r="J464" s="2">
        <v>3</v>
      </c>
      <c r="K464" s="2">
        <v>2</v>
      </c>
      <c r="L464" s="2">
        <v>4</v>
      </c>
      <c r="M464" s="2" t="s">
        <v>8</v>
      </c>
      <c r="N464" s="2" t="s">
        <v>407</v>
      </c>
      <c r="O464" s="2">
        <f t="shared" si="308"/>
        <v>2662</v>
      </c>
      <c r="P464" s="2" t="s">
        <v>194</v>
      </c>
      <c r="Q464" s="2" t="str">
        <f t="shared" si="336"/>
        <v>2197,2600</v>
      </c>
      <c r="R464" s="2">
        <f t="shared" si="309"/>
        <v>2197</v>
      </c>
      <c r="S464" s="2">
        <f t="shared" si="305"/>
        <v>2600</v>
      </c>
      <c r="T464" s="2" t="s">
        <v>195</v>
      </c>
      <c r="U464" s="2" t="str">
        <f t="shared" si="337"/>
        <v>173,200</v>
      </c>
      <c r="V464" s="2">
        <f t="shared" si="310"/>
        <v>173</v>
      </c>
      <c r="W464" s="2">
        <f t="shared" si="306"/>
        <v>200</v>
      </c>
      <c r="X464" s="2" t="s">
        <v>196</v>
      </c>
      <c r="Y464" s="2" t="str">
        <f t="shared" si="338"/>
        <v>176,200</v>
      </c>
      <c r="Z464" s="2">
        <f t="shared" si="311"/>
        <v>176</v>
      </c>
      <c r="AA464" s="2">
        <f t="shared" si="307"/>
        <v>200</v>
      </c>
      <c r="AB464" s="2">
        <v>95000</v>
      </c>
      <c r="AC464" s="2" t="str">
        <f>_xlfn.XLOOKUP(B464,'#캐릭터'!A:A,'#캐릭터'!B:B)</f>
        <v>이브</v>
      </c>
      <c r="AD464" s="2" t="str">
        <f t="shared" si="342"/>
        <v>Uncommon1_이브</v>
      </c>
      <c r="AE464" s="2">
        <f t="shared" si="343"/>
        <v>0</v>
      </c>
    </row>
    <row r="465" spans="1:31" x14ac:dyDescent="0.2">
      <c r="A465" s="2">
        <f t="shared" si="335"/>
        <v>10124005</v>
      </c>
      <c r="B465" s="1">
        <v>10000124</v>
      </c>
      <c r="C465" s="1" t="s">
        <v>281</v>
      </c>
      <c r="D465" s="1" t="s">
        <v>309</v>
      </c>
      <c r="E465" s="1" t="str">
        <f>"Persona_"&amp;_xlfn.XLOOKUP($B465, '#캐릭터'!$A:$A, '#캐릭터'!$C:$C)</f>
        <v>Persona_c124</v>
      </c>
      <c r="F465" s="1"/>
      <c r="G465" s="1">
        <f>_xlfn.XLOOKUP(_xlfn.XLOOKUP(B465,'[1]Detail&lt;Child&gt;'!$A:$A,'[1]Detail&lt;Child&gt;'!$N:$N),'#참조'!P:P,'#참조'!Q:Q)</f>
        <v>2</v>
      </c>
      <c r="H465" s="1">
        <f>_xlfn.XLOOKUP(_xlfn.XLOOKUP(B465,'[1]Detail&lt;Child&gt;'!$A:$A,'[1]Detail&lt;Child&gt;'!$O:$O),'#참조'!R:R,'#참조'!S:S)</f>
        <v>4</v>
      </c>
      <c r="I465" s="1">
        <v>0</v>
      </c>
      <c r="J465" s="2">
        <v>3</v>
      </c>
      <c r="K465" s="2">
        <v>2</v>
      </c>
      <c r="L465" s="2">
        <v>5</v>
      </c>
      <c r="M465" s="2" t="s">
        <v>9</v>
      </c>
      <c r="N465" s="2" t="s">
        <v>407</v>
      </c>
      <c r="O465" s="2">
        <f t="shared" si="308"/>
        <v>2928</v>
      </c>
      <c r="P465" s="2" t="s">
        <v>194</v>
      </c>
      <c r="Q465" s="2" t="str">
        <f t="shared" si="336"/>
        <v>2856,3400</v>
      </c>
      <c r="R465" s="2">
        <f t="shared" si="309"/>
        <v>2856</v>
      </c>
      <c r="S465" s="2">
        <f t="shared" si="305"/>
        <v>3400</v>
      </c>
      <c r="T465" s="2" t="s">
        <v>195</v>
      </c>
      <c r="U465" s="2" t="str">
        <f t="shared" si="337"/>
        <v>208,200</v>
      </c>
      <c r="V465" s="2">
        <f t="shared" si="310"/>
        <v>208</v>
      </c>
      <c r="W465" s="2">
        <f t="shared" si="306"/>
        <v>200</v>
      </c>
      <c r="X465" s="2" t="s">
        <v>196</v>
      </c>
      <c r="Y465" s="2" t="str">
        <f t="shared" si="338"/>
        <v>229,300</v>
      </c>
      <c r="Z465" s="2">
        <f t="shared" si="311"/>
        <v>229</v>
      </c>
      <c r="AA465" s="2">
        <f t="shared" si="307"/>
        <v>300</v>
      </c>
      <c r="AB465" s="2">
        <v>95000</v>
      </c>
      <c r="AC465" s="2" t="str">
        <f>_xlfn.XLOOKUP(B465,'#캐릭터'!A:A,'#캐릭터'!B:B)</f>
        <v>이브</v>
      </c>
      <c r="AD465" s="2" t="str">
        <f t="shared" si="342"/>
        <v>Uncommon2_이브</v>
      </c>
      <c r="AE465" s="2">
        <f t="shared" si="343"/>
        <v>0</v>
      </c>
    </row>
    <row r="466" spans="1:31" x14ac:dyDescent="0.2">
      <c r="A466" s="2">
        <f t="shared" si="335"/>
        <v>10124006</v>
      </c>
      <c r="B466" s="1">
        <v>10000124</v>
      </c>
      <c r="C466" s="1" t="s">
        <v>281</v>
      </c>
      <c r="D466" s="1" t="s">
        <v>309</v>
      </c>
      <c r="E466" s="1" t="str">
        <f>"Persona_"&amp;_xlfn.XLOOKUP($B466, '#캐릭터'!$A:$A, '#캐릭터'!$C:$C)</f>
        <v>Persona_c124</v>
      </c>
      <c r="F466" s="1"/>
      <c r="G466" s="1">
        <f>_xlfn.XLOOKUP(_xlfn.XLOOKUP(B466,'[1]Detail&lt;Child&gt;'!$A:$A,'[1]Detail&lt;Child&gt;'!$N:$N),'#참조'!P:P,'#참조'!Q:Q)</f>
        <v>2</v>
      </c>
      <c r="H466" s="1">
        <f>_xlfn.XLOOKUP(_xlfn.XLOOKUP(B466,'[1]Detail&lt;Child&gt;'!$A:$A,'[1]Detail&lt;Child&gt;'!$O:$O),'#참조'!R:R,'#참조'!S:S)</f>
        <v>4</v>
      </c>
      <c r="I466" s="1">
        <v>0</v>
      </c>
      <c r="J466" s="2">
        <v>3</v>
      </c>
      <c r="K466" s="2">
        <v>2</v>
      </c>
      <c r="L466" s="2">
        <v>6</v>
      </c>
      <c r="M466" s="2" t="s">
        <v>10</v>
      </c>
      <c r="N466" s="2" t="s">
        <v>407</v>
      </c>
      <c r="O466" s="2">
        <f t="shared" si="308"/>
        <v>3221</v>
      </c>
      <c r="P466" s="2" t="s">
        <v>194</v>
      </c>
      <c r="Q466" s="2" t="str">
        <f t="shared" si="336"/>
        <v>3713,4500</v>
      </c>
      <c r="R466" s="2">
        <f t="shared" si="309"/>
        <v>3713</v>
      </c>
      <c r="S466" s="2">
        <f t="shared" si="305"/>
        <v>4500</v>
      </c>
      <c r="T466" s="2" t="s">
        <v>195</v>
      </c>
      <c r="U466" s="2" t="str">
        <f t="shared" si="337"/>
        <v>250,300</v>
      </c>
      <c r="V466" s="2">
        <f t="shared" si="310"/>
        <v>250</v>
      </c>
      <c r="W466" s="2">
        <f t="shared" si="306"/>
        <v>300</v>
      </c>
      <c r="X466" s="2" t="s">
        <v>196</v>
      </c>
      <c r="Y466" s="2" t="str">
        <f t="shared" si="338"/>
        <v>298,400</v>
      </c>
      <c r="Z466" s="2">
        <f t="shared" si="311"/>
        <v>298</v>
      </c>
      <c r="AA466" s="2">
        <f t="shared" si="307"/>
        <v>400</v>
      </c>
      <c r="AB466" s="2">
        <v>95000</v>
      </c>
      <c r="AC466" s="2" t="str">
        <f>_xlfn.XLOOKUP(B466,'#캐릭터'!A:A,'#캐릭터'!B:B)</f>
        <v>이브</v>
      </c>
      <c r="AD466" s="2" t="str">
        <f t="shared" si="342"/>
        <v>Uncommon3_이브</v>
      </c>
      <c r="AE466" s="2">
        <f t="shared" si="343"/>
        <v>0</v>
      </c>
    </row>
    <row r="467" spans="1:31" x14ac:dyDescent="0.2">
      <c r="A467" s="2">
        <f t="shared" si="335"/>
        <v>10124007</v>
      </c>
      <c r="B467" s="1">
        <v>10000124</v>
      </c>
      <c r="C467" s="1" t="s">
        <v>281</v>
      </c>
      <c r="D467" s="1" t="s">
        <v>309</v>
      </c>
      <c r="E467" s="1" t="str">
        <f>"Persona_"&amp;_xlfn.XLOOKUP($B467, '#캐릭터'!$A:$A, '#캐릭터'!$C:$C)</f>
        <v>Persona_c124</v>
      </c>
      <c r="F467" s="1"/>
      <c r="G467" s="1">
        <f>_xlfn.XLOOKUP(_xlfn.XLOOKUP(B467,'[1]Detail&lt;Child&gt;'!$A:$A,'[1]Detail&lt;Child&gt;'!$N:$N),'#참조'!P:P,'#참조'!Q:Q)</f>
        <v>2</v>
      </c>
      <c r="H467" s="1">
        <f>_xlfn.XLOOKUP(_xlfn.XLOOKUP(B467,'[1]Detail&lt;Child&gt;'!$A:$A,'[1]Detail&lt;Child&gt;'!$O:$O),'#참조'!R:R,'#참조'!S:S)</f>
        <v>4</v>
      </c>
      <c r="I467" s="1">
        <v>1</v>
      </c>
      <c r="J467" s="2">
        <v>3</v>
      </c>
      <c r="K467" s="2">
        <v>3</v>
      </c>
      <c r="L467" s="2">
        <v>7</v>
      </c>
      <c r="M467" s="2" t="s">
        <v>11</v>
      </c>
      <c r="N467" s="2" t="s">
        <v>407</v>
      </c>
      <c r="O467" s="2">
        <f t="shared" si="308"/>
        <v>3543</v>
      </c>
      <c r="P467" s="2" t="s">
        <v>194</v>
      </c>
      <c r="Q467" s="2" t="str">
        <f t="shared" si="336"/>
        <v>4827,5800</v>
      </c>
      <c r="R467" s="2">
        <f t="shared" si="309"/>
        <v>4827</v>
      </c>
      <c r="S467" s="2">
        <f t="shared" si="305"/>
        <v>5800</v>
      </c>
      <c r="T467" s="2" t="s">
        <v>195</v>
      </c>
      <c r="U467" s="2" t="str">
        <f t="shared" si="337"/>
        <v>300,400</v>
      </c>
      <c r="V467" s="2">
        <f t="shared" si="310"/>
        <v>300</v>
      </c>
      <c r="W467" s="2">
        <f t="shared" si="306"/>
        <v>400</v>
      </c>
      <c r="X467" s="2" t="s">
        <v>196</v>
      </c>
      <c r="Y467" s="2" t="str">
        <f t="shared" si="338"/>
        <v>387,500</v>
      </c>
      <c r="Z467" s="2">
        <f t="shared" si="311"/>
        <v>387</v>
      </c>
      <c r="AA467" s="2">
        <f t="shared" si="307"/>
        <v>500</v>
      </c>
      <c r="AB467" s="2">
        <v>90000</v>
      </c>
      <c r="AC467" s="2" t="str">
        <f>_xlfn.XLOOKUP(B467,'#캐릭터'!A:A,'#캐릭터'!B:B)</f>
        <v>이브</v>
      </c>
      <c r="AD467" s="2" t="str">
        <f t="shared" si="342"/>
        <v>Rare1_이브</v>
      </c>
      <c r="AE467" s="2">
        <f t="shared" si="343"/>
        <v>2401</v>
      </c>
    </row>
    <row r="468" spans="1:31" x14ac:dyDescent="0.2">
      <c r="A468" s="2">
        <f t="shared" si="335"/>
        <v>10124008</v>
      </c>
      <c r="B468" s="1">
        <v>10000124</v>
      </c>
      <c r="C468" s="1" t="s">
        <v>281</v>
      </c>
      <c r="D468" s="1" t="s">
        <v>309</v>
      </c>
      <c r="E468" s="1" t="str">
        <f>"Persona_"&amp;_xlfn.XLOOKUP($B468, '#캐릭터'!$A:$A, '#캐릭터'!$C:$C)</f>
        <v>Persona_c124</v>
      </c>
      <c r="F468" s="1"/>
      <c r="G468" s="1">
        <f>_xlfn.XLOOKUP(_xlfn.XLOOKUP(B468,'[1]Detail&lt;Child&gt;'!$A:$A,'[1]Detail&lt;Child&gt;'!$N:$N),'#참조'!P:P,'#참조'!Q:Q)</f>
        <v>2</v>
      </c>
      <c r="H468" s="1">
        <f>_xlfn.XLOOKUP(_xlfn.XLOOKUP(B468,'[1]Detail&lt;Child&gt;'!$A:$A,'[1]Detail&lt;Child&gt;'!$O:$O),'#참조'!R:R,'#참조'!S:S)</f>
        <v>4</v>
      </c>
      <c r="I468" s="1">
        <v>1</v>
      </c>
      <c r="J468" s="2">
        <v>3</v>
      </c>
      <c r="K468" s="2">
        <v>3</v>
      </c>
      <c r="L468" s="2">
        <v>8</v>
      </c>
      <c r="M468" s="2" t="s">
        <v>12</v>
      </c>
      <c r="N468" s="2" t="s">
        <v>407</v>
      </c>
      <c r="O468" s="2">
        <f t="shared" si="308"/>
        <v>3897</v>
      </c>
      <c r="P468" s="2" t="s">
        <v>194</v>
      </c>
      <c r="Q468" s="2" t="str">
        <f t="shared" si="336"/>
        <v>6275,7500</v>
      </c>
      <c r="R468" s="2">
        <f t="shared" si="309"/>
        <v>6275</v>
      </c>
      <c r="S468" s="2">
        <f t="shared" si="305"/>
        <v>7500</v>
      </c>
      <c r="T468" s="2" t="s">
        <v>195</v>
      </c>
      <c r="U468" s="2" t="str">
        <f t="shared" si="337"/>
        <v>360,400</v>
      </c>
      <c r="V468" s="2">
        <f t="shared" si="310"/>
        <v>360</v>
      </c>
      <c r="W468" s="2">
        <f t="shared" si="306"/>
        <v>400</v>
      </c>
      <c r="X468" s="2" t="s">
        <v>196</v>
      </c>
      <c r="Y468" s="2" t="str">
        <f t="shared" si="338"/>
        <v>503,600</v>
      </c>
      <c r="Z468" s="2">
        <f t="shared" si="311"/>
        <v>503</v>
      </c>
      <c r="AA468" s="2">
        <f t="shared" si="307"/>
        <v>600</v>
      </c>
      <c r="AB468" s="2">
        <v>90000</v>
      </c>
      <c r="AC468" s="2" t="str">
        <f>_xlfn.XLOOKUP(B468,'#캐릭터'!A:A,'#캐릭터'!B:B)</f>
        <v>이브</v>
      </c>
      <c r="AD468" s="2" t="str">
        <f t="shared" si="342"/>
        <v>Rare2_이브</v>
      </c>
      <c r="AE468" s="2">
        <f t="shared" si="343"/>
        <v>2401</v>
      </c>
    </row>
    <row r="469" spans="1:31" x14ac:dyDescent="0.2">
      <c r="A469" s="2">
        <f t="shared" si="335"/>
        <v>10124009</v>
      </c>
      <c r="B469" s="1">
        <v>10000124</v>
      </c>
      <c r="C469" s="1" t="s">
        <v>281</v>
      </c>
      <c r="D469" s="1" t="s">
        <v>309</v>
      </c>
      <c r="E469" s="1" t="str">
        <f>"Persona_"&amp;_xlfn.XLOOKUP($B469, '#캐릭터'!$A:$A, '#캐릭터'!$C:$C)</f>
        <v>Persona_c124</v>
      </c>
      <c r="F469" s="1"/>
      <c r="G469" s="1">
        <f>_xlfn.XLOOKUP(_xlfn.XLOOKUP(B469,'[1]Detail&lt;Child&gt;'!$A:$A,'[1]Detail&lt;Child&gt;'!$N:$N),'#참조'!P:P,'#참조'!Q:Q)</f>
        <v>2</v>
      </c>
      <c r="H469" s="1">
        <f>_xlfn.XLOOKUP(_xlfn.XLOOKUP(B469,'[1]Detail&lt;Child&gt;'!$A:$A,'[1]Detail&lt;Child&gt;'!$O:$O),'#참조'!R:R,'#참조'!S:S)</f>
        <v>4</v>
      </c>
      <c r="I469" s="1">
        <v>2</v>
      </c>
      <c r="J469" s="2">
        <v>3</v>
      </c>
      <c r="K469" s="2">
        <v>3</v>
      </c>
      <c r="L469" s="2">
        <v>9</v>
      </c>
      <c r="M469" s="2" t="s">
        <v>13</v>
      </c>
      <c r="N469" s="2" t="s">
        <v>407</v>
      </c>
      <c r="O469" s="2">
        <f t="shared" si="308"/>
        <v>4287</v>
      </c>
      <c r="P469" s="2" t="s">
        <v>194</v>
      </c>
      <c r="Q469" s="2" t="str">
        <f t="shared" si="336"/>
        <v>8158,9800</v>
      </c>
      <c r="R469" s="2">
        <f t="shared" si="309"/>
        <v>8158</v>
      </c>
      <c r="S469" s="2">
        <f t="shared" si="305"/>
        <v>9800</v>
      </c>
      <c r="T469" s="2" t="s">
        <v>195</v>
      </c>
      <c r="U469" s="2" t="str">
        <f t="shared" si="337"/>
        <v>432,500</v>
      </c>
      <c r="V469" s="2">
        <f t="shared" si="310"/>
        <v>432</v>
      </c>
      <c r="W469" s="2">
        <f t="shared" si="306"/>
        <v>500</v>
      </c>
      <c r="X469" s="2" t="s">
        <v>196</v>
      </c>
      <c r="Y469" s="2" t="str">
        <f t="shared" si="338"/>
        <v>654,800</v>
      </c>
      <c r="Z469" s="2">
        <f t="shared" si="311"/>
        <v>654</v>
      </c>
      <c r="AA469" s="2">
        <f t="shared" si="307"/>
        <v>800</v>
      </c>
      <c r="AB469" s="2">
        <v>90000</v>
      </c>
      <c r="AC469" s="2" t="str">
        <f>_xlfn.XLOOKUP(B469,'#캐릭터'!A:A,'#캐릭터'!B:B)</f>
        <v>이브</v>
      </c>
      <c r="AD469" s="2" t="str">
        <f t="shared" si="342"/>
        <v>Rare3_이브</v>
      </c>
      <c r="AE469" s="2">
        <f t="shared" si="343"/>
        <v>2402</v>
      </c>
    </row>
    <row r="470" spans="1:31" x14ac:dyDescent="0.2">
      <c r="A470" s="2">
        <f t="shared" si="335"/>
        <v>10124010</v>
      </c>
      <c r="B470" s="1">
        <v>10000124</v>
      </c>
      <c r="C470" s="1" t="s">
        <v>281</v>
      </c>
      <c r="D470" s="1" t="s">
        <v>309</v>
      </c>
      <c r="E470" s="1" t="str">
        <f>"Persona_"&amp;_xlfn.XLOOKUP($B470, '#캐릭터'!$A:$A, '#캐릭터'!$C:$C)</f>
        <v>Persona_c124</v>
      </c>
      <c r="F470" s="1"/>
      <c r="G470" s="1">
        <f>_xlfn.XLOOKUP(_xlfn.XLOOKUP(B470,'[1]Detail&lt;Child&gt;'!$A:$A,'[1]Detail&lt;Child&gt;'!$N:$N),'#참조'!P:P,'#참조'!Q:Q)</f>
        <v>2</v>
      </c>
      <c r="H470" s="1">
        <f>_xlfn.XLOOKUP(_xlfn.XLOOKUP(B470,'[1]Detail&lt;Child&gt;'!$A:$A,'[1]Detail&lt;Child&gt;'!$O:$O),'#참조'!R:R,'#참조'!S:S)</f>
        <v>4</v>
      </c>
      <c r="I470" s="1">
        <v>2</v>
      </c>
      <c r="J470" s="2">
        <v>3</v>
      </c>
      <c r="K470" s="2">
        <v>4</v>
      </c>
      <c r="L470" s="2">
        <v>10</v>
      </c>
      <c r="M470" s="2" t="s">
        <v>14</v>
      </c>
      <c r="N470" s="2" t="s">
        <v>407</v>
      </c>
      <c r="O470" s="2">
        <f t="shared" si="308"/>
        <v>4716</v>
      </c>
      <c r="P470" s="2" t="s">
        <v>194</v>
      </c>
      <c r="Q470" s="2" t="str">
        <f t="shared" si="336"/>
        <v>10605,12700</v>
      </c>
      <c r="R470" s="2">
        <f t="shared" si="309"/>
        <v>10605</v>
      </c>
      <c r="S470" s="2">
        <f t="shared" si="305"/>
        <v>12700</v>
      </c>
      <c r="T470" s="2" t="s">
        <v>195</v>
      </c>
      <c r="U470" s="2" t="str">
        <f t="shared" si="337"/>
        <v>518,600</v>
      </c>
      <c r="V470" s="2">
        <f t="shared" si="310"/>
        <v>518</v>
      </c>
      <c r="W470" s="2">
        <f t="shared" si="306"/>
        <v>600</v>
      </c>
      <c r="X470" s="2" t="s">
        <v>196</v>
      </c>
      <c r="Y470" s="2" t="str">
        <f t="shared" si="338"/>
        <v>850,1000</v>
      </c>
      <c r="Z470" s="2">
        <f t="shared" si="311"/>
        <v>850</v>
      </c>
      <c r="AA470" s="2">
        <f t="shared" si="307"/>
        <v>1000</v>
      </c>
      <c r="AB470" s="2">
        <v>85000</v>
      </c>
      <c r="AC470" s="2" t="str">
        <f>_xlfn.XLOOKUP(B470,'#캐릭터'!A:A,'#캐릭터'!B:B)</f>
        <v>이브</v>
      </c>
      <c r="AD470" s="2" t="str">
        <f t="shared" si="342"/>
        <v>Unique1_이브</v>
      </c>
      <c r="AE470" s="2">
        <f t="shared" si="343"/>
        <v>2402</v>
      </c>
    </row>
    <row r="471" spans="1:31" x14ac:dyDescent="0.2">
      <c r="A471" s="2">
        <f t="shared" si="335"/>
        <v>10124011</v>
      </c>
      <c r="B471" s="1">
        <v>10000124</v>
      </c>
      <c r="C471" s="1" t="s">
        <v>281</v>
      </c>
      <c r="D471" s="1" t="s">
        <v>309</v>
      </c>
      <c r="E471" s="1" t="str">
        <f>"Persona_"&amp;_xlfn.XLOOKUP($B471, '#캐릭터'!$A:$A, '#캐릭터'!$C:$C)</f>
        <v>Persona_c124</v>
      </c>
      <c r="F471" s="1"/>
      <c r="G471" s="1">
        <f>_xlfn.XLOOKUP(_xlfn.XLOOKUP(B471,'[1]Detail&lt;Child&gt;'!$A:$A,'[1]Detail&lt;Child&gt;'!$N:$N),'#참조'!P:P,'#참조'!Q:Q)</f>
        <v>2</v>
      </c>
      <c r="H471" s="1">
        <f>_xlfn.XLOOKUP(_xlfn.XLOOKUP(B471,'[1]Detail&lt;Child&gt;'!$A:$A,'[1]Detail&lt;Child&gt;'!$O:$O),'#참조'!R:R,'#참조'!S:S)</f>
        <v>4</v>
      </c>
      <c r="I471" s="1">
        <v>3</v>
      </c>
      <c r="J471" s="2">
        <v>3</v>
      </c>
      <c r="K471" s="2">
        <v>4</v>
      </c>
      <c r="L471" s="2">
        <v>11</v>
      </c>
      <c r="M471" s="2" t="s">
        <v>15</v>
      </c>
      <c r="N471" s="2" t="s">
        <v>407</v>
      </c>
      <c r="O471" s="2">
        <f t="shared" si="308"/>
        <v>5188</v>
      </c>
      <c r="P471" s="2" t="s">
        <v>194</v>
      </c>
      <c r="Q471" s="2" t="str">
        <f t="shared" si="336"/>
        <v>13787,16500</v>
      </c>
      <c r="R471" s="2">
        <f t="shared" si="309"/>
        <v>13787</v>
      </c>
      <c r="S471" s="2">
        <f t="shared" si="305"/>
        <v>16500</v>
      </c>
      <c r="T471" s="2" t="s">
        <v>195</v>
      </c>
      <c r="U471" s="2" t="str">
        <f t="shared" si="337"/>
        <v>622,700</v>
      </c>
      <c r="V471" s="2">
        <f t="shared" si="310"/>
        <v>622</v>
      </c>
      <c r="W471" s="2">
        <f t="shared" si="306"/>
        <v>700</v>
      </c>
      <c r="X471" s="2" t="s">
        <v>196</v>
      </c>
      <c r="Y471" s="2" t="str">
        <f t="shared" si="338"/>
        <v>1105,1300</v>
      </c>
      <c r="Z471" s="2">
        <f t="shared" si="311"/>
        <v>1105</v>
      </c>
      <c r="AA471" s="2">
        <f t="shared" si="307"/>
        <v>1300</v>
      </c>
      <c r="AB471" s="2">
        <v>85000</v>
      </c>
      <c r="AC471" s="2" t="str">
        <f>_xlfn.XLOOKUP(B471,'#캐릭터'!A:A,'#캐릭터'!B:B)</f>
        <v>이브</v>
      </c>
      <c r="AD471" s="2" t="str">
        <f t="shared" si="342"/>
        <v>Unique2_이브</v>
      </c>
      <c r="AE471" s="2">
        <f t="shared" si="343"/>
        <v>2403</v>
      </c>
    </row>
    <row r="472" spans="1:31" x14ac:dyDescent="0.2">
      <c r="A472" s="2">
        <f t="shared" si="335"/>
        <v>10124012</v>
      </c>
      <c r="B472" s="1">
        <v>10000124</v>
      </c>
      <c r="C472" s="1" t="s">
        <v>281</v>
      </c>
      <c r="D472" s="1" t="s">
        <v>309</v>
      </c>
      <c r="E472" s="1" t="str">
        <f>"Persona_"&amp;_xlfn.XLOOKUP($B472, '#캐릭터'!$A:$A, '#캐릭터'!$C:$C)</f>
        <v>Persona_c124</v>
      </c>
      <c r="F472" s="1"/>
      <c r="G472" s="1">
        <f>_xlfn.XLOOKUP(_xlfn.XLOOKUP(B472,'[1]Detail&lt;Child&gt;'!$A:$A,'[1]Detail&lt;Child&gt;'!$N:$N),'#참조'!P:P,'#참조'!Q:Q)</f>
        <v>2</v>
      </c>
      <c r="H472" s="1">
        <f>_xlfn.XLOOKUP(_xlfn.XLOOKUP(B472,'[1]Detail&lt;Child&gt;'!$A:$A,'[1]Detail&lt;Child&gt;'!$O:$O),'#참조'!R:R,'#참조'!S:S)</f>
        <v>4</v>
      </c>
      <c r="I472" s="1">
        <v>3</v>
      </c>
      <c r="J472" s="2">
        <v>3</v>
      </c>
      <c r="K472" s="2">
        <v>4</v>
      </c>
      <c r="L472" s="2">
        <v>12</v>
      </c>
      <c r="M472" s="2" t="s">
        <v>16</v>
      </c>
      <c r="N472" s="2" t="s">
        <v>407</v>
      </c>
      <c r="O472" s="2">
        <f t="shared" si="308"/>
        <v>5707</v>
      </c>
      <c r="P472" s="2" t="s">
        <v>194</v>
      </c>
      <c r="Q472" s="2" t="str">
        <f t="shared" si="336"/>
        <v>17923,21500</v>
      </c>
      <c r="R472" s="2">
        <f t="shared" si="309"/>
        <v>17923</v>
      </c>
      <c r="S472" s="2">
        <f t="shared" ref="S472:S478" si="351">ROUND(R472*1.2, -2)</f>
        <v>21500</v>
      </c>
      <c r="T472" s="2" t="s">
        <v>195</v>
      </c>
      <c r="U472" s="2" t="str">
        <f t="shared" si="337"/>
        <v>746,900</v>
      </c>
      <c r="V472" s="2">
        <f t="shared" si="310"/>
        <v>746</v>
      </c>
      <c r="W472" s="2">
        <f t="shared" ref="W472:W478" si="352">ROUND(V472*1.2, -2)</f>
        <v>900</v>
      </c>
      <c r="X472" s="2" t="s">
        <v>196</v>
      </c>
      <c r="Y472" s="2" t="str">
        <f t="shared" si="338"/>
        <v>1437,1700</v>
      </c>
      <c r="Z472" s="2">
        <f t="shared" si="311"/>
        <v>1437</v>
      </c>
      <c r="AA472" s="2">
        <f t="shared" ref="AA472:AA478" si="353">ROUND(Z472*1.2, -2)</f>
        <v>1700</v>
      </c>
      <c r="AB472" s="2">
        <v>85000</v>
      </c>
      <c r="AC472" s="2" t="str">
        <f>_xlfn.XLOOKUP(B472,'#캐릭터'!A:A,'#캐릭터'!B:B)</f>
        <v>이브</v>
      </c>
      <c r="AD472" s="2" t="str">
        <f t="shared" si="342"/>
        <v>Unique3_이브</v>
      </c>
      <c r="AE472" s="2">
        <f t="shared" si="343"/>
        <v>2403</v>
      </c>
    </row>
    <row r="473" spans="1:31" x14ac:dyDescent="0.2">
      <c r="A473" s="2">
        <f t="shared" si="335"/>
        <v>10124013</v>
      </c>
      <c r="B473" s="1">
        <v>10000124</v>
      </c>
      <c r="C473" s="1" t="s">
        <v>281</v>
      </c>
      <c r="D473" s="1" t="s">
        <v>309</v>
      </c>
      <c r="E473" s="1" t="str">
        <f>"Persona_"&amp;_xlfn.XLOOKUP($B473, '#캐릭터'!$A:$A, '#캐릭터'!$C:$C)</f>
        <v>Persona_c124</v>
      </c>
      <c r="F473" s="1"/>
      <c r="G473" s="1">
        <f>_xlfn.XLOOKUP(_xlfn.XLOOKUP(B473,'[1]Detail&lt;Child&gt;'!$A:$A,'[1]Detail&lt;Child&gt;'!$N:$N),'#참조'!P:P,'#참조'!Q:Q)</f>
        <v>2</v>
      </c>
      <c r="H473" s="1">
        <f>_xlfn.XLOOKUP(_xlfn.XLOOKUP(B473,'[1]Detail&lt;Child&gt;'!$A:$A,'[1]Detail&lt;Child&gt;'!$O:$O),'#참조'!R:R,'#참조'!S:S)</f>
        <v>4</v>
      </c>
      <c r="I473" s="1">
        <v>4</v>
      </c>
      <c r="J473" s="2">
        <v>3</v>
      </c>
      <c r="K473" s="2">
        <v>5</v>
      </c>
      <c r="L473" s="2">
        <v>13</v>
      </c>
      <c r="M473" s="2" t="s">
        <v>17</v>
      </c>
      <c r="N473" s="2" t="s">
        <v>407</v>
      </c>
      <c r="O473" s="2">
        <f t="shared" ref="O473:O478" si="354">ROUND(O472*1.1, 0)</f>
        <v>6278</v>
      </c>
      <c r="P473" s="2" t="s">
        <v>194</v>
      </c>
      <c r="Q473" s="2" t="str">
        <f t="shared" si="336"/>
        <v>23300,28000</v>
      </c>
      <c r="R473" s="2">
        <f t="shared" ref="R473:R478" si="355">ROUND(R472*1.3, 0)</f>
        <v>23300</v>
      </c>
      <c r="S473" s="2">
        <f t="shared" si="351"/>
        <v>28000</v>
      </c>
      <c r="T473" s="2" t="s">
        <v>195</v>
      </c>
      <c r="U473" s="2" t="str">
        <f t="shared" si="337"/>
        <v>895,1100</v>
      </c>
      <c r="V473" s="2">
        <f t="shared" ref="V473:V478" si="356">ROUND(V472*1.2, 0)</f>
        <v>895</v>
      </c>
      <c r="W473" s="2">
        <f t="shared" si="352"/>
        <v>1100</v>
      </c>
      <c r="X473" s="2" t="s">
        <v>196</v>
      </c>
      <c r="Y473" s="2" t="str">
        <f t="shared" si="338"/>
        <v>1868,2200</v>
      </c>
      <c r="Z473" s="2">
        <f t="shared" ref="Z473:Z478" si="357">ROUND(Z472*1.3, 0)</f>
        <v>1868</v>
      </c>
      <c r="AA473" s="2">
        <f t="shared" si="353"/>
        <v>2200</v>
      </c>
      <c r="AB473" s="2">
        <v>80000</v>
      </c>
      <c r="AC473" s="2" t="str">
        <f>_xlfn.XLOOKUP(B473,'#캐릭터'!A:A,'#캐릭터'!B:B)</f>
        <v>이브</v>
      </c>
      <c r="AD473" s="2" t="str">
        <f t="shared" si="342"/>
        <v>Epic1_이브</v>
      </c>
      <c r="AE473" s="2">
        <f t="shared" si="343"/>
        <v>2404</v>
      </c>
    </row>
    <row r="474" spans="1:31" x14ac:dyDescent="0.2">
      <c r="A474" s="2">
        <f t="shared" si="335"/>
        <v>10124014</v>
      </c>
      <c r="B474" s="1">
        <v>10000124</v>
      </c>
      <c r="C474" s="1" t="s">
        <v>281</v>
      </c>
      <c r="D474" s="1" t="s">
        <v>309</v>
      </c>
      <c r="E474" s="1" t="str">
        <f>"Persona_"&amp;_xlfn.XLOOKUP($B474, '#캐릭터'!$A:$A, '#캐릭터'!$C:$C)</f>
        <v>Persona_c124</v>
      </c>
      <c r="F474" s="1"/>
      <c r="G474" s="1">
        <f>_xlfn.XLOOKUP(_xlfn.XLOOKUP(B474,'[1]Detail&lt;Child&gt;'!$A:$A,'[1]Detail&lt;Child&gt;'!$N:$N),'#참조'!P:P,'#참조'!Q:Q)</f>
        <v>2</v>
      </c>
      <c r="H474" s="1">
        <f>_xlfn.XLOOKUP(_xlfn.XLOOKUP(B474,'[1]Detail&lt;Child&gt;'!$A:$A,'[1]Detail&lt;Child&gt;'!$O:$O),'#참조'!R:R,'#참조'!S:S)</f>
        <v>4</v>
      </c>
      <c r="I474" s="1">
        <v>4</v>
      </c>
      <c r="J474" s="2">
        <v>3</v>
      </c>
      <c r="K474" s="2">
        <v>5</v>
      </c>
      <c r="L474" s="2">
        <v>14</v>
      </c>
      <c r="M474" s="2" t="s">
        <v>18</v>
      </c>
      <c r="N474" s="2" t="s">
        <v>407</v>
      </c>
      <c r="O474" s="2">
        <f t="shared" si="354"/>
        <v>6906</v>
      </c>
      <c r="P474" s="2" t="s">
        <v>194</v>
      </c>
      <c r="Q474" s="2" t="str">
        <f t="shared" si="336"/>
        <v>30290,36300</v>
      </c>
      <c r="R474" s="2">
        <f t="shared" si="355"/>
        <v>30290</v>
      </c>
      <c r="S474" s="2">
        <f t="shared" si="351"/>
        <v>36300</v>
      </c>
      <c r="T474" s="2" t="s">
        <v>195</v>
      </c>
      <c r="U474" s="2" t="str">
        <f t="shared" si="337"/>
        <v>1074,1300</v>
      </c>
      <c r="V474" s="2">
        <f t="shared" si="356"/>
        <v>1074</v>
      </c>
      <c r="W474" s="2">
        <f t="shared" si="352"/>
        <v>1300</v>
      </c>
      <c r="X474" s="2" t="s">
        <v>196</v>
      </c>
      <c r="Y474" s="2" t="str">
        <f t="shared" si="338"/>
        <v>2428,2900</v>
      </c>
      <c r="Z474" s="2">
        <f t="shared" si="357"/>
        <v>2428</v>
      </c>
      <c r="AA474" s="2">
        <f t="shared" si="353"/>
        <v>2900</v>
      </c>
      <c r="AB474" s="2">
        <v>80000</v>
      </c>
      <c r="AC474" s="2" t="str">
        <f>_xlfn.XLOOKUP(B474,'#캐릭터'!A:A,'#캐릭터'!B:B)</f>
        <v>이브</v>
      </c>
      <c r="AD474" s="2" t="str">
        <f t="shared" si="342"/>
        <v>Epic2_이브</v>
      </c>
      <c r="AE474" s="2">
        <f t="shared" si="343"/>
        <v>2404</v>
      </c>
    </row>
    <row r="475" spans="1:31" x14ac:dyDescent="0.2">
      <c r="A475" s="2">
        <f t="shared" si="335"/>
        <v>10124015</v>
      </c>
      <c r="B475" s="1">
        <v>10000124</v>
      </c>
      <c r="C475" s="1" t="s">
        <v>281</v>
      </c>
      <c r="D475" s="1" t="s">
        <v>309</v>
      </c>
      <c r="E475" s="1" t="str">
        <f>"Persona_"&amp;_xlfn.XLOOKUP($B475, '#캐릭터'!$A:$A, '#캐릭터'!$C:$C)</f>
        <v>Persona_c124</v>
      </c>
      <c r="F475" s="1"/>
      <c r="G475" s="1">
        <f>_xlfn.XLOOKUP(_xlfn.XLOOKUP(B475,'[1]Detail&lt;Child&gt;'!$A:$A,'[1]Detail&lt;Child&gt;'!$N:$N),'#참조'!P:P,'#참조'!Q:Q)</f>
        <v>2</v>
      </c>
      <c r="H475" s="1">
        <f>_xlfn.XLOOKUP(_xlfn.XLOOKUP(B475,'[1]Detail&lt;Child&gt;'!$A:$A,'[1]Detail&lt;Child&gt;'!$O:$O),'#참조'!R:R,'#참조'!S:S)</f>
        <v>4</v>
      </c>
      <c r="I475" s="1">
        <v>5</v>
      </c>
      <c r="J475" s="2">
        <v>3</v>
      </c>
      <c r="K475" s="2">
        <v>5</v>
      </c>
      <c r="L475" s="2">
        <v>15</v>
      </c>
      <c r="M475" s="2" t="s">
        <v>19</v>
      </c>
      <c r="N475" s="2" t="s">
        <v>407</v>
      </c>
      <c r="O475" s="2">
        <f t="shared" si="354"/>
        <v>7597</v>
      </c>
      <c r="P475" s="2" t="s">
        <v>194</v>
      </c>
      <c r="Q475" s="2" t="str">
        <f t="shared" si="336"/>
        <v>39377,47300</v>
      </c>
      <c r="R475" s="2">
        <f t="shared" si="355"/>
        <v>39377</v>
      </c>
      <c r="S475" s="2">
        <f t="shared" si="351"/>
        <v>47300</v>
      </c>
      <c r="T475" s="2" t="s">
        <v>195</v>
      </c>
      <c r="U475" s="2" t="str">
        <f t="shared" si="337"/>
        <v>1289,1500</v>
      </c>
      <c r="V475" s="2">
        <f t="shared" si="356"/>
        <v>1289</v>
      </c>
      <c r="W475" s="2">
        <f t="shared" si="352"/>
        <v>1500</v>
      </c>
      <c r="X475" s="2" t="s">
        <v>196</v>
      </c>
      <c r="Y475" s="2" t="str">
        <f t="shared" si="338"/>
        <v>3156,3800</v>
      </c>
      <c r="Z475" s="2">
        <f t="shared" si="357"/>
        <v>3156</v>
      </c>
      <c r="AA475" s="2">
        <f t="shared" si="353"/>
        <v>3800</v>
      </c>
      <c r="AB475" s="2">
        <v>80000</v>
      </c>
      <c r="AC475" s="2" t="str">
        <f>_xlfn.XLOOKUP(B475,'#캐릭터'!A:A,'#캐릭터'!B:B)</f>
        <v>이브</v>
      </c>
      <c r="AD475" s="2" t="str">
        <f t="shared" si="342"/>
        <v>Epic3_이브</v>
      </c>
      <c r="AE475" s="2">
        <f t="shared" si="343"/>
        <v>2405</v>
      </c>
    </row>
    <row r="476" spans="1:31" x14ac:dyDescent="0.2">
      <c r="A476" s="2">
        <f t="shared" si="335"/>
        <v>10124016</v>
      </c>
      <c r="B476" s="1">
        <v>10000124</v>
      </c>
      <c r="C476" s="1" t="s">
        <v>281</v>
      </c>
      <c r="D476" s="1" t="s">
        <v>309</v>
      </c>
      <c r="E476" s="1" t="str">
        <f>"Persona_"&amp;_xlfn.XLOOKUP($B476, '#캐릭터'!$A:$A, '#캐릭터'!$C:$C)</f>
        <v>Persona_c124</v>
      </c>
      <c r="F476" s="1"/>
      <c r="G476" s="1">
        <f>_xlfn.XLOOKUP(_xlfn.XLOOKUP(B476,'[1]Detail&lt;Child&gt;'!$A:$A,'[1]Detail&lt;Child&gt;'!$N:$N),'#참조'!P:P,'#참조'!Q:Q)</f>
        <v>2</v>
      </c>
      <c r="H476" s="1">
        <f>_xlfn.XLOOKUP(_xlfn.XLOOKUP(B476,'[1]Detail&lt;Child&gt;'!$A:$A,'[1]Detail&lt;Child&gt;'!$O:$O),'#참조'!R:R,'#참조'!S:S)</f>
        <v>4</v>
      </c>
      <c r="I476" s="1">
        <v>5</v>
      </c>
      <c r="J476" s="2">
        <v>3</v>
      </c>
      <c r="K476" s="2">
        <v>6</v>
      </c>
      <c r="L476" s="2">
        <v>16</v>
      </c>
      <c r="M476" s="2" t="s">
        <v>20</v>
      </c>
      <c r="N476" s="2" t="s">
        <v>407</v>
      </c>
      <c r="O476" s="2">
        <f t="shared" si="354"/>
        <v>8357</v>
      </c>
      <c r="P476" s="2" t="s">
        <v>194</v>
      </c>
      <c r="Q476" s="2" t="str">
        <f t="shared" si="336"/>
        <v>51190,61400</v>
      </c>
      <c r="R476" s="2">
        <f t="shared" si="355"/>
        <v>51190</v>
      </c>
      <c r="S476" s="2">
        <f t="shared" si="351"/>
        <v>61400</v>
      </c>
      <c r="T476" s="2" t="s">
        <v>195</v>
      </c>
      <c r="U476" s="2" t="str">
        <f t="shared" si="337"/>
        <v>1547,1900</v>
      </c>
      <c r="V476" s="2">
        <f t="shared" si="356"/>
        <v>1547</v>
      </c>
      <c r="W476" s="2">
        <f t="shared" si="352"/>
        <v>1900</v>
      </c>
      <c r="X476" s="2" t="s">
        <v>196</v>
      </c>
      <c r="Y476" s="2" t="str">
        <f t="shared" si="338"/>
        <v>4103,4900</v>
      </c>
      <c r="Z476" s="2">
        <f t="shared" si="357"/>
        <v>4103</v>
      </c>
      <c r="AA476" s="2">
        <f t="shared" si="353"/>
        <v>4900</v>
      </c>
      <c r="AB476" s="2">
        <v>75000</v>
      </c>
      <c r="AC476" s="2" t="str">
        <f>_xlfn.XLOOKUP(B476,'#캐릭터'!A:A,'#캐릭터'!B:B)</f>
        <v>이브</v>
      </c>
      <c r="AD476" s="2" t="str">
        <f t="shared" si="342"/>
        <v>Legendary1_이브</v>
      </c>
      <c r="AE476" s="2">
        <f t="shared" si="343"/>
        <v>2405</v>
      </c>
    </row>
    <row r="477" spans="1:31" x14ac:dyDescent="0.2">
      <c r="A477" s="2">
        <f t="shared" si="335"/>
        <v>10124017</v>
      </c>
      <c r="B477" s="1">
        <v>10000124</v>
      </c>
      <c r="C477" s="1" t="s">
        <v>281</v>
      </c>
      <c r="D477" s="1" t="s">
        <v>309</v>
      </c>
      <c r="E477" s="1" t="str">
        <f>"Persona_"&amp;_xlfn.XLOOKUP($B477, '#캐릭터'!$A:$A, '#캐릭터'!$C:$C)</f>
        <v>Persona_c124</v>
      </c>
      <c r="F477" s="1"/>
      <c r="G477" s="1">
        <f>_xlfn.XLOOKUP(_xlfn.XLOOKUP(B477,'[1]Detail&lt;Child&gt;'!$A:$A,'[1]Detail&lt;Child&gt;'!$N:$N),'#참조'!P:P,'#참조'!Q:Q)</f>
        <v>2</v>
      </c>
      <c r="H477" s="1">
        <f>_xlfn.XLOOKUP(_xlfn.XLOOKUP(B477,'[1]Detail&lt;Child&gt;'!$A:$A,'[1]Detail&lt;Child&gt;'!$O:$O),'#참조'!R:R,'#참조'!S:S)</f>
        <v>4</v>
      </c>
      <c r="I477" s="1">
        <v>6</v>
      </c>
      <c r="J477" s="2">
        <v>3</v>
      </c>
      <c r="K477" s="2">
        <v>6</v>
      </c>
      <c r="L477" s="2">
        <v>17</v>
      </c>
      <c r="M477" s="2" t="s">
        <v>21</v>
      </c>
      <c r="N477" s="2" t="s">
        <v>407</v>
      </c>
      <c r="O477" s="2">
        <f t="shared" si="354"/>
        <v>9193</v>
      </c>
      <c r="P477" s="2" t="s">
        <v>194</v>
      </c>
      <c r="Q477" s="2" t="str">
        <f t="shared" si="336"/>
        <v>66547,79900</v>
      </c>
      <c r="R477" s="2">
        <f t="shared" si="355"/>
        <v>66547</v>
      </c>
      <c r="S477" s="2">
        <f t="shared" si="351"/>
        <v>79900</v>
      </c>
      <c r="T477" s="2" t="s">
        <v>195</v>
      </c>
      <c r="U477" s="2" t="str">
        <f t="shared" si="337"/>
        <v>1856,2200</v>
      </c>
      <c r="V477" s="2">
        <f t="shared" si="356"/>
        <v>1856</v>
      </c>
      <c r="W477" s="2">
        <f t="shared" si="352"/>
        <v>2200</v>
      </c>
      <c r="X477" s="2" t="s">
        <v>196</v>
      </c>
      <c r="Y477" s="2" t="str">
        <f t="shared" si="338"/>
        <v>5334,6400</v>
      </c>
      <c r="Z477" s="2">
        <f t="shared" si="357"/>
        <v>5334</v>
      </c>
      <c r="AA477" s="2">
        <f t="shared" si="353"/>
        <v>6400</v>
      </c>
      <c r="AB477" s="2">
        <v>75000</v>
      </c>
      <c r="AC477" s="2" t="str">
        <f>_xlfn.XLOOKUP(B477,'#캐릭터'!A:A,'#캐릭터'!B:B)</f>
        <v>이브</v>
      </c>
      <c r="AD477" s="2" t="str">
        <f t="shared" si="342"/>
        <v>Legendary2_이브</v>
      </c>
      <c r="AE477" s="2">
        <f t="shared" si="343"/>
        <v>2406</v>
      </c>
    </row>
    <row r="478" spans="1:31" x14ac:dyDescent="0.2">
      <c r="A478" s="2">
        <f t="shared" si="335"/>
        <v>10124018</v>
      </c>
      <c r="B478" s="1">
        <v>10000124</v>
      </c>
      <c r="C478" s="1" t="s">
        <v>281</v>
      </c>
      <c r="D478" s="1" t="s">
        <v>309</v>
      </c>
      <c r="E478" s="1" t="str">
        <f>"Persona_"&amp;_xlfn.XLOOKUP($B478, '#캐릭터'!$A:$A, '#캐릭터'!$C:$C)</f>
        <v>Persona_c124</v>
      </c>
      <c r="F478" s="1"/>
      <c r="G478" s="1">
        <f>_xlfn.XLOOKUP(_xlfn.XLOOKUP(B478,'[1]Detail&lt;Child&gt;'!$A:$A,'[1]Detail&lt;Child&gt;'!$N:$N),'#참조'!P:P,'#참조'!Q:Q)</f>
        <v>2</v>
      </c>
      <c r="H478" s="1">
        <f>_xlfn.XLOOKUP(_xlfn.XLOOKUP(B478,'[1]Detail&lt;Child&gt;'!$A:$A,'[1]Detail&lt;Child&gt;'!$O:$O),'#참조'!R:R,'#참조'!S:S)</f>
        <v>4</v>
      </c>
      <c r="I478" s="1">
        <v>6</v>
      </c>
      <c r="J478" s="2">
        <v>3</v>
      </c>
      <c r="K478" s="2">
        <v>6</v>
      </c>
      <c r="L478" s="2">
        <v>18</v>
      </c>
      <c r="M478" s="2" t="s">
        <v>22</v>
      </c>
      <c r="N478" s="2" t="s">
        <v>407</v>
      </c>
      <c r="O478" s="2">
        <f t="shared" si="354"/>
        <v>10112</v>
      </c>
      <c r="P478" s="2" t="s">
        <v>194</v>
      </c>
      <c r="Q478" s="2" t="str">
        <f t="shared" si="336"/>
        <v>86511,103800</v>
      </c>
      <c r="R478" s="2">
        <f t="shared" si="355"/>
        <v>86511</v>
      </c>
      <c r="S478" s="2">
        <f t="shared" si="351"/>
        <v>103800</v>
      </c>
      <c r="T478" s="2" t="s">
        <v>195</v>
      </c>
      <c r="U478" s="2" t="str">
        <f t="shared" si="337"/>
        <v>2227,2700</v>
      </c>
      <c r="V478" s="2">
        <f t="shared" si="356"/>
        <v>2227</v>
      </c>
      <c r="W478" s="2">
        <f t="shared" si="352"/>
        <v>2700</v>
      </c>
      <c r="X478" s="2" t="s">
        <v>196</v>
      </c>
      <c r="Y478" s="2" t="str">
        <f t="shared" si="338"/>
        <v>6934,8300</v>
      </c>
      <c r="Z478" s="2">
        <f t="shared" si="357"/>
        <v>6934</v>
      </c>
      <c r="AA478" s="2">
        <f t="shared" si="353"/>
        <v>8300</v>
      </c>
      <c r="AB478" s="2">
        <v>75000</v>
      </c>
      <c r="AC478" s="2" t="str">
        <f>_xlfn.XLOOKUP(B478,'#캐릭터'!A:A,'#캐릭터'!B:B)</f>
        <v>이브</v>
      </c>
      <c r="AD478" s="2" t="str">
        <f t="shared" si="342"/>
        <v>Legendary3_이브</v>
      </c>
      <c r="AE478" s="2">
        <f t="shared" si="343"/>
        <v>2406</v>
      </c>
    </row>
    <row r="479" spans="1:31" x14ac:dyDescent="0.2">
      <c r="A479" s="2">
        <f t="shared" ref="A479:A497" si="358">INT(1&amp;TEXT(RIGHT(B479,4),"0000")&amp;TEXT(L479,"000"))</f>
        <v>10336000</v>
      </c>
      <c r="B479" s="1">
        <v>10000336</v>
      </c>
      <c r="C479" s="1" t="s">
        <v>281</v>
      </c>
      <c r="D479" s="1" t="s">
        <v>309</v>
      </c>
      <c r="E479" s="1" t="str">
        <f>"Persona_"&amp;_xlfn.XLOOKUP($B479, '#캐릭터'!$A:$A, '#캐릭터'!$C:$C)</f>
        <v>Persona_c336</v>
      </c>
      <c r="F479" s="1"/>
      <c r="G479" s="1">
        <f>_xlfn.XLOOKUP(_xlfn.XLOOKUP(B479,'[1]Detail&lt;Child&gt;'!$A:$A,'[1]Detail&lt;Child&gt;'!$N:$N),'#참조'!P:P,'#참조'!Q:Q)</f>
        <v>3</v>
      </c>
      <c r="H479" s="1">
        <f>_xlfn.XLOOKUP(_xlfn.XLOOKUP(B479,'[1]Detail&lt;Child&gt;'!$A:$A,'[1]Detail&lt;Child&gt;'!$O:$O),'#참조'!R:R,'#참조'!S:S)</f>
        <v>4</v>
      </c>
      <c r="I479" s="1">
        <v>0</v>
      </c>
      <c r="J479" s="2">
        <v>3</v>
      </c>
      <c r="K479" s="2">
        <v>0</v>
      </c>
      <c r="L479" s="2">
        <v>0</v>
      </c>
      <c r="M479" s="2" t="s">
        <v>31</v>
      </c>
      <c r="N479" s="2" t="s">
        <v>407</v>
      </c>
      <c r="O479" s="2">
        <v>0</v>
      </c>
      <c r="P479" s="2" t="s">
        <v>194</v>
      </c>
      <c r="Q479" s="2" t="str">
        <f t="shared" ref="Q479:Q497" si="359">R479&amp;","&amp;S479</f>
        <v>1000,1000</v>
      </c>
      <c r="R479" s="2">
        <v>1000</v>
      </c>
      <c r="S479" s="2">
        <f t="shared" ref="S479" si="360">R479</f>
        <v>1000</v>
      </c>
      <c r="T479" s="2" t="s">
        <v>195</v>
      </c>
      <c r="U479" s="2" t="str">
        <f t="shared" ref="U479:U497" si="361">V479&amp;","&amp;W479</f>
        <v>100,100</v>
      </c>
      <c r="V479" s="2">
        <v>100</v>
      </c>
      <c r="W479" s="2">
        <f t="shared" ref="W479" si="362">V479</f>
        <v>100</v>
      </c>
      <c r="X479" s="2" t="s">
        <v>196</v>
      </c>
      <c r="Y479" s="2" t="str">
        <f t="shared" ref="Y479:Y497" si="363">Z479&amp;","&amp;AA479</f>
        <v>80,80</v>
      </c>
      <c r="Z479" s="2">
        <v>80</v>
      </c>
      <c r="AA479" s="2">
        <f t="shared" ref="AA479" si="364">Z479</f>
        <v>80</v>
      </c>
      <c r="AB479" s="2">
        <v>100000</v>
      </c>
      <c r="AC479" s="2" t="str">
        <f>_xlfn.XLOOKUP(B479,'#캐릭터'!A:A,'#캐릭터'!B:B)</f>
        <v>판</v>
      </c>
      <c r="AD479" s="2" t="str">
        <f t="shared" ref="AD479:AD497" si="365">M479&amp;"_"&amp;AC479</f>
        <v>Default_판</v>
      </c>
      <c r="AE479" s="2">
        <f t="shared" ref="AE479:AE497" si="366">IF(I479=0,0,INT(G479&amp;H479&amp;TEXT(I479,"00")))</f>
        <v>0</v>
      </c>
    </row>
    <row r="480" spans="1:31" x14ac:dyDescent="0.2">
      <c r="A480" s="2">
        <f t="shared" si="358"/>
        <v>10336001</v>
      </c>
      <c r="B480" s="1">
        <v>10000336</v>
      </c>
      <c r="C480" s="1" t="s">
        <v>281</v>
      </c>
      <c r="D480" s="1" t="s">
        <v>309</v>
      </c>
      <c r="E480" s="1" t="str">
        <f>"Persona_"&amp;_xlfn.XLOOKUP($B480, '#캐릭터'!$A:$A, '#캐릭터'!$C:$C)</f>
        <v>Persona_c336</v>
      </c>
      <c r="F480" s="1"/>
      <c r="G480" s="1">
        <f>_xlfn.XLOOKUP(_xlfn.XLOOKUP(B480,'[1]Detail&lt;Child&gt;'!$A:$A,'[1]Detail&lt;Child&gt;'!$N:$N),'#참조'!P:P,'#참조'!Q:Q)</f>
        <v>3</v>
      </c>
      <c r="H480" s="1">
        <f>_xlfn.XLOOKUP(_xlfn.XLOOKUP(B480,'[1]Detail&lt;Child&gt;'!$A:$A,'[1]Detail&lt;Child&gt;'!$O:$O),'#참조'!R:R,'#참조'!S:S)</f>
        <v>4</v>
      </c>
      <c r="I480" s="1">
        <v>0</v>
      </c>
      <c r="J480" s="2">
        <v>3</v>
      </c>
      <c r="K480" s="2">
        <v>1</v>
      </c>
      <c r="L480" s="2">
        <v>1</v>
      </c>
      <c r="M480" s="2" t="s">
        <v>5</v>
      </c>
      <c r="N480" s="2" t="s">
        <v>407</v>
      </c>
      <c r="O480" s="2">
        <v>2000</v>
      </c>
      <c r="P480" s="2" t="s">
        <v>194</v>
      </c>
      <c r="Q480" s="2" t="str">
        <f t="shared" si="359"/>
        <v>1000,1200</v>
      </c>
      <c r="R480" s="2">
        <v>1000</v>
      </c>
      <c r="S480" s="2">
        <f t="shared" ref="S480:S497" si="367">ROUND(R480*1.2, -2)</f>
        <v>1200</v>
      </c>
      <c r="T480" s="2" t="s">
        <v>195</v>
      </c>
      <c r="U480" s="2" t="str">
        <f t="shared" si="361"/>
        <v>100,100</v>
      </c>
      <c r="V480" s="2">
        <v>100</v>
      </c>
      <c r="W480" s="2">
        <f t="shared" ref="W480:W497" si="368">ROUND(V480*1.2, -2)</f>
        <v>100</v>
      </c>
      <c r="X480" s="2" t="s">
        <v>196</v>
      </c>
      <c r="Y480" s="2" t="str">
        <f t="shared" si="363"/>
        <v>80,100</v>
      </c>
      <c r="Z480" s="2">
        <v>80</v>
      </c>
      <c r="AA480" s="2">
        <f t="shared" ref="AA480:AA497" si="369">ROUND(Z480*1.2, -2)</f>
        <v>100</v>
      </c>
      <c r="AB480" s="2">
        <v>100000</v>
      </c>
      <c r="AC480" s="2" t="str">
        <f>_xlfn.XLOOKUP(B480,'#캐릭터'!A:A,'#캐릭터'!B:B)</f>
        <v>판</v>
      </c>
      <c r="AD480" s="2" t="str">
        <f t="shared" si="365"/>
        <v>Common1_판</v>
      </c>
      <c r="AE480" s="2">
        <f t="shared" si="366"/>
        <v>0</v>
      </c>
    </row>
    <row r="481" spans="1:31" x14ac:dyDescent="0.2">
      <c r="A481" s="2">
        <f t="shared" si="358"/>
        <v>10336002</v>
      </c>
      <c r="B481" s="1">
        <v>10000336</v>
      </c>
      <c r="C481" s="1" t="s">
        <v>281</v>
      </c>
      <c r="D481" s="1" t="s">
        <v>309</v>
      </c>
      <c r="E481" s="1" t="str">
        <f>"Persona_"&amp;_xlfn.XLOOKUP($B481, '#캐릭터'!$A:$A, '#캐릭터'!$C:$C)</f>
        <v>Persona_c336</v>
      </c>
      <c r="F481" s="1"/>
      <c r="G481" s="1">
        <f>_xlfn.XLOOKUP(_xlfn.XLOOKUP(B481,'[1]Detail&lt;Child&gt;'!$A:$A,'[1]Detail&lt;Child&gt;'!$N:$N),'#참조'!P:P,'#참조'!Q:Q)</f>
        <v>3</v>
      </c>
      <c r="H481" s="1">
        <f>_xlfn.XLOOKUP(_xlfn.XLOOKUP(B481,'[1]Detail&lt;Child&gt;'!$A:$A,'[1]Detail&lt;Child&gt;'!$O:$O),'#참조'!R:R,'#참조'!S:S)</f>
        <v>4</v>
      </c>
      <c r="I481" s="1">
        <v>0</v>
      </c>
      <c r="J481" s="2">
        <v>3</v>
      </c>
      <c r="K481" s="2">
        <v>1</v>
      </c>
      <c r="L481" s="2">
        <v>2</v>
      </c>
      <c r="M481" s="2" t="s">
        <v>6</v>
      </c>
      <c r="N481" s="2" t="s">
        <v>407</v>
      </c>
      <c r="O481" s="2">
        <f t="shared" ref="O481:O497" si="370">ROUND(O480*1.1, 0)</f>
        <v>2200</v>
      </c>
      <c r="P481" s="2" t="s">
        <v>194</v>
      </c>
      <c r="Q481" s="2" t="str">
        <f t="shared" si="359"/>
        <v>1300,1600</v>
      </c>
      <c r="R481" s="2">
        <f t="shared" ref="R481:R497" si="371">ROUND(R480*1.3, 0)</f>
        <v>1300</v>
      </c>
      <c r="S481" s="2">
        <f t="shared" si="367"/>
        <v>1600</v>
      </c>
      <c r="T481" s="2" t="s">
        <v>195</v>
      </c>
      <c r="U481" s="2" t="str">
        <f t="shared" si="361"/>
        <v>120,100</v>
      </c>
      <c r="V481" s="2">
        <f t="shared" ref="V481:V497" si="372">ROUND(V480*1.2, 0)</f>
        <v>120</v>
      </c>
      <c r="W481" s="2">
        <f t="shared" si="368"/>
        <v>100</v>
      </c>
      <c r="X481" s="2" t="s">
        <v>196</v>
      </c>
      <c r="Y481" s="2" t="str">
        <f t="shared" si="363"/>
        <v>104,100</v>
      </c>
      <c r="Z481" s="2">
        <f t="shared" ref="Z481:Z497" si="373">ROUND(Z480*1.3, 0)</f>
        <v>104</v>
      </c>
      <c r="AA481" s="2">
        <f t="shared" si="369"/>
        <v>100</v>
      </c>
      <c r="AB481" s="2">
        <v>100000</v>
      </c>
      <c r="AC481" s="2" t="str">
        <f>_xlfn.XLOOKUP(B481,'#캐릭터'!A:A,'#캐릭터'!B:B)</f>
        <v>판</v>
      </c>
      <c r="AD481" s="2" t="str">
        <f t="shared" si="365"/>
        <v>Common2_판</v>
      </c>
      <c r="AE481" s="2">
        <f t="shared" si="366"/>
        <v>0</v>
      </c>
    </row>
    <row r="482" spans="1:31" x14ac:dyDescent="0.2">
      <c r="A482" s="2">
        <f t="shared" si="358"/>
        <v>10336003</v>
      </c>
      <c r="B482" s="1">
        <v>10000336</v>
      </c>
      <c r="C482" s="1" t="s">
        <v>281</v>
      </c>
      <c r="D482" s="1" t="s">
        <v>309</v>
      </c>
      <c r="E482" s="1" t="str">
        <f>"Persona_"&amp;_xlfn.XLOOKUP($B482, '#캐릭터'!$A:$A, '#캐릭터'!$C:$C)</f>
        <v>Persona_c336</v>
      </c>
      <c r="F482" s="1"/>
      <c r="G482" s="1">
        <f>_xlfn.XLOOKUP(_xlfn.XLOOKUP(B482,'[1]Detail&lt;Child&gt;'!$A:$A,'[1]Detail&lt;Child&gt;'!$N:$N),'#참조'!P:P,'#참조'!Q:Q)</f>
        <v>3</v>
      </c>
      <c r="H482" s="1">
        <f>_xlfn.XLOOKUP(_xlfn.XLOOKUP(B482,'[1]Detail&lt;Child&gt;'!$A:$A,'[1]Detail&lt;Child&gt;'!$O:$O),'#참조'!R:R,'#참조'!S:S)</f>
        <v>4</v>
      </c>
      <c r="I482" s="1">
        <v>0</v>
      </c>
      <c r="J482" s="2">
        <v>3</v>
      </c>
      <c r="K482" s="2">
        <v>1</v>
      </c>
      <c r="L482" s="2">
        <v>3</v>
      </c>
      <c r="M482" s="2" t="s">
        <v>7</v>
      </c>
      <c r="N482" s="2" t="s">
        <v>407</v>
      </c>
      <c r="O482" s="2">
        <f t="shared" si="370"/>
        <v>2420</v>
      </c>
      <c r="P482" s="2" t="s">
        <v>194</v>
      </c>
      <c r="Q482" s="2" t="str">
        <f t="shared" si="359"/>
        <v>1690,2000</v>
      </c>
      <c r="R482" s="2">
        <f t="shared" si="371"/>
        <v>1690</v>
      </c>
      <c r="S482" s="2">
        <f t="shared" si="367"/>
        <v>2000</v>
      </c>
      <c r="T482" s="2" t="s">
        <v>195</v>
      </c>
      <c r="U482" s="2" t="str">
        <f t="shared" si="361"/>
        <v>144,200</v>
      </c>
      <c r="V482" s="2">
        <f t="shared" si="372"/>
        <v>144</v>
      </c>
      <c r="W482" s="2">
        <f t="shared" si="368"/>
        <v>200</v>
      </c>
      <c r="X482" s="2" t="s">
        <v>196</v>
      </c>
      <c r="Y482" s="2" t="str">
        <f t="shared" si="363"/>
        <v>135,200</v>
      </c>
      <c r="Z482" s="2">
        <f t="shared" si="373"/>
        <v>135</v>
      </c>
      <c r="AA482" s="2">
        <f t="shared" si="369"/>
        <v>200</v>
      </c>
      <c r="AB482" s="2">
        <v>100000</v>
      </c>
      <c r="AC482" s="2" t="str">
        <f>_xlfn.XLOOKUP(B482,'#캐릭터'!A:A,'#캐릭터'!B:B)</f>
        <v>판</v>
      </c>
      <c r="AD482" s="2" t="str">
        <f t="shared" si="365"/>
        <v>Common3_판</v>
      </c>
      <c r="AE482" s="2">
        <f t="shared" si="366"/>
        <v>0</v>
      </c>
    </row>
    <row r="483" spans="1:31" x14ac:dyDescent="0.2">
      <c r="A483" s="2">
        <f t="shared" si="358"/>
        <v>10336004</v>
      </c>
      <c r="B483" s="1">
        <v>10000336</v>
      </c>
      <c r="C483" s="1" t="s">
        <v>281</v>
      </c>
      <c r="D483" s="1" t="s">
        <v>309</v>
      </c>
      <c r="E483" s="1" t="str">
        <f>"Persona_"&amp;_xlfn.XLOOKUP($B483, '#캐릭터'!$A:$A, '#캐릭터'!$C:$C)</f>
        <v>Persona_c336</v>
      </c>
      <c r="F483" s="1"/>
      <c r="G483" s="1">
        <f>_xlfn.XLOOKUP(_xlfn.XLOOKUP(B483,'[1]Detail&lt;Child&gt;'!$A:$A,'[1]Detail&lt;Child&gt;'!$N:$N),'#참조'!P:P,'#참조'!Q:Q)</f>
        <v>3</v>
      </c>
      <c r="H483" s="1">
        <f>_xlfn.XLOOKUP(_xlfn.XLOOKUP(B483,'[1]Detail&lt;Child&gt;'!$A:$A,'[1]Detail&lt;Child&gt;'!$O:$O),'#참조'!R:R,'#참조'!S:S)</f>
        <v>4</v>
      </c>
      <c r="I483" s="1">
        <v>0</v>
      </c>
      <c r="J483" s="2">
        <v>3</v>
      </c>
      <c r="K483" s="2">
        <v>2</v>
      </c>
      <c r="L483" s="2">
        <v>4</v>
      </c>
      <c r="M483" s="2" t="s">
        <v>8</v>
      </c>
      <c r="N483" s="2" t="s">
        <v>407</v>
      </c>
      <c r="O483" s="2">
        <f t="shared" si="370"/>
        <v>2662</v>
      </c>
      <c r="P483" s="2" t="s">
        <v>194</v>
      </c>
      <c r="Q483" s="2" t="str">
        <f t="shared" si="359"/>
        <v>2197,2600</v>
      </c>
      <c r="R483" s="2">
        <f t="shared" si="371"/>
        <v>2197</v>
      </c>
      <c r="S483" s="2">
        <f t="shared" si="367"/>
        <v>2600</v>
      </c>
      <c r="T483" s="2" t="s">
        <v>195</v>
      </c>
      <c r="U483" s="2" t="str">
        <f t="shared" si="361"/>
        <v>173,200</v>
      </c>
      <c r="V483" s="2">
        <f t="shared" si="372"/>
        <v>173</v>
      </c>
      <c r="W483" s="2">
        <f t="shared" si="368"/>
        <v>200</v>
      </c>
      <c r="X483" s="2" t="s">
        <v>196</v>
      </c>
      <c r="Y483" s="2" t="str">
        <f t="shared" si="363"/>
        <v>176,200</v>
      </c>
      <c r="Z483" s="2">
        <f t="shared" si="373"/>
        <v>176</v>
      </c>
      <c r="AA483" s="2">
        <f t="shared" si="369"/>
        <v>200</v>
      </c>
      <c r="AB483" s="2">
        <v>95000</v>
      </c>
      <c r="AC483" s="2" t="str">
        <f>_xlfn.XLOOKUP(B483,'#캐릭터'!A:A,'#캐릭터'!B:B)</f>
        <v>판</v>
      </c>
      <c r="AD483" s="2" t="str">
        <f t="shared" si="365"/>
        <v>Uncommon1_판</v>
      </c>
      <c r="AE483" s="2">
        <f t="shared" si="366"/>
        <v>0</v>
      </c>
    </row>
    <row r="484" spans="1:31" x14ac:dyDescent="0.2">
      <c r="A484" s="2">
        <f t="shared" si="358"/>
        <v>10336005</v>
      </c>
      <c r="B484" s="1">
        <v>10000336</v>
      </c>
      <c r="C484" s="1" t="s">
        <v>281</v>
      </c>
      <c r="D484" s="1" t="s">
        <v>309</v>
      </c>
      <c r="E484" s="1" t="str">
        <f>"Persona_"&amp;_xlfn.XLOOKUP($B484, '#캐릭터'!$A:$A, '#캐릭터'!$C:$C)</f>
        <v>Persona_c336</v>
      </c>
      <c r="F484" s="1"/>
      <c r="G484" s="1">
        <f>_xlfn.XLOOKUP(_xlfn.XLOOKUP(B484,'[1]Detail&lt;Child&gt;'!$A:$A,'[1]Detail&lt;Child&gt;'!$N:$N),'#참조'!P:P,'#참조'!Q:Q)</f>
        <v>3</v>
      </c>
      <c r="H484" s="1">
        <f>_xlfn.XLOOKUP(_xlfn.XLOOKUP(B484,'[1]Detail&lt;Child&gt;'!$A:$A,'[1]Detail&lt;Child&gt;'!$O:$O),'#참조'!R:R,'#참조'!S:S)</f>
        <v>4</v>
      </c>
      <c r="I484" s="1">
        <v>0</v>
      </c>
      <c r="J484" s="2">
        <v>3</v>
      </c>
      <c r="K484" s="2">
        <v>2</v>
      </c>
      <c r="L484" s="2">
        <v>5</v>
      </c>
      <c r="M484" s="2" t="s">
        <v>9</v>
      </c>
      <c r="N484" s="2" t="s">
        <v>407</v>
      </c>
      <c r="O484" s="2">
        <f t="shared" si="370"/>
        <v>2928</v>
      </c>
      <c r="P484" s="2" t="s">
        <v>194</v>
      </c>
      <c r="Q484" s="2" t="str">
        <f t="shared" si="359"/>
        <v>2856,3400</v>
      </c>
      <c r="R484" s="2">
        <f t="shared" si="371"/>
        <v>2856</v>
      </c>
      <c r="S484" s="2">
        <f t="shared" si="367"/>
        <v>3400</v>
      </c>
      <c r="T484" s="2" t="s">
        <v>195</v>
      </c>
      <c r="U484" s="2" t="str">
        <f t="shared" si="361"/>
        <v>208,200</v>
      </c>
      <c r="V484" s="2">
        <f t="shared" si="372"/>
        <v>208</v>
      </c>
      <c r="W484" s="2">
        <f t="shared" si="368"/>
        <v>200</v>
      </c>
      <c r="X484" s="2" t="s">
        <v>196</v>
      </c>
      <c r="Y484" s="2" t="str">
        <f t="shared" si="363"/>
        <v>229,300</v>
      </c>
      <c r="Z484" s="2">
        <f t="shared" si="373"/>
        <v>229</v>
      </c>
      <c r="AA484" s="2">
        <f t="shared" si="369"/>
        <v>300</v>
      </c>
      <c r="AB484" s="2">
        <v>95000</v>
      </c>
      <c r="AC484" s="2" t="str">
        <f>_xlfn.XLOOKUP(B484,'#캐릭터'!A:A,'#캐릭터'!B:B)</f>
        <v>판</v>
      </c>
      <c r="AD484" s="2" t="str">
        <f t="shared" si="365"/>
        <v>Uncommon2_판</v>
      </c>
      <c r="AE484" s="2">
        <f t="shared" si="366"/>
        <v>0</v>
      </c>
    </row>
    <row r="485" spans="1:31" x14ac:dyDescent="0.2">
      <c r="A485" s="2">
        <f t="shared" si="358"/>
        <v>10336006</v>
      </c>
      <c r="B485" s="1">
        <v>10000336</v>
      </c>
      <c r="C485" s="1" t="s">
        <v>281</v>
      </c>
      <c r="D485" s="1" t="s">
        <v>309</v>
      </c>
      <c r="E485" s="1" t="str">
        <f>"Persona_"&amp;_xlfn.XLOOKUP($B485, '#캐릭터'!$A:$A, '#캐릭터'!$C:$C)</f>
        <v>Persona_c336</v>
      </c>
      <c r="F485" s="1"/>
      <c r="G485" s="1">
        <f>_xlfn.XLOOKUP(_xlfn.XLOOKUP(B485,'[1]Detail&lt;Child&gt;'!$A:$A,'[1]Detail&lt;Child&gt;'!$N:$N),'#참조'!P:P,'#참조'!Q:Q)</f>
        <v>3</v>
      </c>
      <c r="H485" s="1">
        <f>_xlfn.XLOOKUP(_xlfn.XLOOKUP(B485,'[1]Detail&lt;Child&gt;'!$A:$A,'[1]Detail&lt;Child&gt;'!$O:$O),'#참조'!R:R,'#참조'!S:S)</f>
        <v>4</v>
      </c>
      <c r="I485" s="1">
        <v>0</v>
      </c>
      <c r="J485" s="2">
        <v>3</v>
      </c>
      <c r="K485" s="2">
        <v>2</v>
      </c>
      <c r="L485" s="2">
        <v>6</v>
      </c>
      <c r="M485" s="2" t="s">
        <v>10</v>
      </c>
      <c r="N485" s="2" t="s">
        <v>407</v>
      </c>
      <c r="O485" s="2">
        <f t="shared" si="370"/>
        <v>3221</v>
      </c>
      <c r="P485" s="2" t="s">
        <v>194</v>
      </c>
      <c r="Q485" s="2" t="str">
        <f t="shared" si="359"/>
        <v>3713,4500</v>
      </c>
      <c r="R485" s="2">
        <f t="shared" si="371"/>
        <v>3713</v>
      </c>
      <c r="S485" s="2">
        <f t="shared" si="367"/>
        <v>4500</v>
      </c>
      <c r="T485" s="2" t="s">
        <v>195</v>
      </c>
      <c r="U485" s="2" t="str">
        <f t="shared" si="361"/>
        <v>250,300</v>
      </c>
      <c r="V485" s="2">
        <f t="shared" si="372"/>
        <v>250</v>
      </c>
      <c r="W485" s="2">
        <f t="shared" si="368"/>
        <v>300</v>
      </c>
      <c r="X485" s="2" t="s">
        <v>196</v>
      </c>
      <c r="Y485" s="2" t="str">
        <f t="shared" si="363"/>
        <v>298,400</v>
      </c>
      <c r="Z485" s="2">
        <f t="shared" si="373"/>
        <v>298</v>
      </c>
      <c r="AA485" s="2">
        <f t="shared" si="369"/>
        <v>400</v>
      </c>
      <c r="AB485" s="2">
        <v>95000</v>
      </c>
      <c r="AC485" s="2" t="str">
        <f>_xlfn.XLOOKUP(B485,'#캐릭터'!A:A,'#캐릭터'!B:B)</f>
        <v>판</v>
      </c>
      <c r="AD485" s="2" t="str">
        <f t="shared" si="365"/>
        <v>Uncommon3_판</v>
      </c>
      <c r="AE485" s="2">
        <f t="shared" si="366"/>
        <v>0</v>
      </c>
    </row>
    <row r="486" spans="1:31" x14ac:dyDescent="0.2">
      <c r="A486" s="2">
        <f t="shared" si="358"/>
        <v>10336007</v>
      </c>
      <c r="B486" s="1">
        <v>10000336</v>
      </c>
      <c r="C486" s="1" t="s">
        <v>281</v>
      </c>
      <c r="D486" s="1" t="s">
        <v>309</v>
      </c>
      <c r="E486" s="1" t="str">
        <f>"Persona_"&amp;_xlfn.XLOOKUP($B486, '#캐릭터'!$A:$A, '#캐릭터'!$C:$C)</f>
        <v>Persona_c336</v>
      </c>
      <c r="F486" s="1"/>
      <c r="G486" s="1">
        <f>_xlfn.XLOOKUP(_xlfn.XLOOKUP(B486,'[1]Detail&lt;Child&gt;'!$A:$A,'[1]Detail&lt;Child&gt;'!$N:$N),'#참조'!P:P,'#참조'!Q:Q)</f>
        <v>3</v>
      </c>
      <c r="H486" s="1">
        <f>_xlfn.XLOOKUP(_xlfn.XLOOKUP(B486,'[1]Detail&lt;Child&gt;'!$A:$A,'[1]Detail&lt;Child&gt;'!$O:$O),'#참조'!R:R,'#참조'!S:S)</f>
        <v>4</v>
      </c>
      <c r="I486" s="1">
        <v>1</v>
      </c>
      <c r="J486" s="2">
        <v>3</v>
      </c>
      <c r="K486" s="2">
        <v>3</v>
      </c>
      <c r="L486" s="2">
        <v>7</v>
      </c>
      <c r="M486" s="2" t="s">
        <v>11</v>
      </c>
      <c r="N486" s="2" t="s">
        <v>407</v>
      </c>
      <c r="O486" s="2">
        <f t="shared" si="370"/>
        <v>3543</v>
      </c>
      <c r="P486" s="2" t="s">
        <v>194</v>
      </c>
      <c r="Q486" s="2" t="str">
        <f t="shared" si="359"/>
        <v>4827,5800</v>
      </c>
      <c r="R486" s="2">
        <f t="shared" si="371"/>
        <v>4827</v>
      </c>
      <c r="S486" s="2">
        <f t="shared" si="367"/>
        <v>5800</v>
      </c>
      <c r="T486" s="2" t="s">
        <v>195</v>
      </c>
      <c r="U486" s="2" t="str">
        <f t="shared" si="361"/>
        <v>300,400</v>
      </c>
      <c r="V486" s="2">
        <f t="shared" si="372"/>
        <v>300</v>
      </c>
      <c r="W486" s="2">
        <f t="shared" si="368"/>
        <v>400</v>
      </c>
      <c r="X486" s="2" t="s">
        <v>196</v>
      </c>
      <c r="Y486" s="2" t="str">
        <f t="shared" si="363"/>
        <v>387,500</v>
      </c>
      <c r="Z486" s="2">
        <f t="shared" si="373"/>
        <v>387</v>
      </c>
      <c r="AA486" s="2">
        <f t="shared" si="369"/>
        <v>500</v>
      </c>
      <c r="AB486" s="2">
        <v>90000</v>
      </c>
      <c r="AC486" s="2" t="str">
        <f>_xlfn.XLOOKUP(B486,'#캐릭터'!A:A,'#캐릭터'!B:B)</f>
        <v>판</v>
      </c>
      <c r="AD486" s="2" t="str">
        <f t="shared" si="365"/>
        <v>Rare1_판</v>
      </c>
      <c r="AE486" s="2">
        <f t="shared" si="366"/>
        <v>3401</v>
      </c>
    </row>
    <row r="487" spans="1:31" x14ac:dyDescent="0.2">
      <c r="A487" s="2">
        <f t="shared" si="358"/>
        <v>10336008</v>
      </c>
      <c r="B487" s="1">
        <v>10000336</v>
      </c>
      <c r="C487" s="1" t="s">
        <v>281</v>
      </c>
      <c r="D487" s="1" t="s">
        <v>309</v>
      </c>
      <c r="E487" s="1" t="str">
        <f>"Persona_"&amp;_xlfn.XLOOKUP($B487, '#캐릭터'!$A:$A, '#캐릭터'!$C:$C)</f>
        <v>Persona_c336</v>
      </c>
      <c r="F487" s="1"/>
      <c r="G487" s="1">
        <f>_xlfn.XLOOKUP(_xlfn.XLOOKUP(B487,'[1]Detail&lt;Child&gt;'!$A:$A,'[1]Detail&lt;Child&gt;'!$N:$N),'#참조'!P:P,'#참조'!Q:Q)</f>
        <v>3</v>
      </c>
      <c r="H487" s="1">
        <f>_xlfn.XLOOKUP(_xlfn.XLOOKUP(B487,'[1]Detail&lt;Child&gt;'!$A:$A,'[1]Detail&lt;Child&gt;'!$O:$O),'#참조'!R:R,'#참조'!S:S)</f>
        <v>4</v>
      </c>
      <c r="I487" s="1">
        <v>1</v>
      </c>
      <c r="J487" s="2">
        <v>3</v>
      </c>
      <c r="K487" s="2">
        <v>3</v>
      </c>
      <c r="L487" s="2">
        <v>8</v>
      </c>
      <c r="M487" s="2" t="s">
        <v>12</v>
      </c>
      <c r="N487" s="2" t="s">
        <v>407</v>
      </c>
      <c r="O487" s="2">
        <f t="shared" si="370"/>
        <v>3897</v>
      </c>
      <c r="P487" s="2" t="s">
        <v>194</v>
      </c>
      <c r="Q487" s="2" t="str">
        <f t="shared" si="359"/>
        <v>6275,7500</v>
      </c>
      <c r="R487" s="2">
        <f t="shared" si="371"/>
        <v>6275</v>
      </c>
      <c r="S487" s="2">
        <f t="shared" si="367"/>
        <v>7500</v>
      </c>
      <c r="T487" s="2" t="s">
        <v>195</v>
      </c>
      <c r="U487" s="2" t="str">
        <f t="shared" si="361"/>
        <v>360,400</v>
      </c>
      <c r="V487" s="2">
        <f t="shared" si="372"/>
        <v>360</v>
      </c>
      <c r="W487" s="2">
        <f t="shared" si="368"/>
        <v>400</v>
      </c>
      <c r="X487" s="2" t="s">
        <v>196</v>
      </c>
      <c r="Y487" s="2" t="str">
        <f t="shared" si="363"/>
        <v>503,600</v>
      </c>
      <c r="Z487" s="2">
        <f t="shared" si="373"/>
        <v>503</v>
      </c>
      <c r="AA487" s="2">
        <f t="shared" si="369"/>
        <v>600</v>
      </c>
      <c r="AB487" s="2">
        <v>90000</v>
      </c>
      <c r="AC487" s="2" t="str">
        <f>_xlfn.XLOOKUP(B487,'#캐릭터'!A:A,'#캐릭터'!B:B)</f>
        <v>판</v>
      </c>
      <c r="AD487" s="2" t="str">
        <f t="shared" si="365"/>
        <v>Rare2_판</v>
      </c>
      <c r="AE487" s="2">
        <f t="shared" si="366"/>
        <v>3401</v>
      </c>
    </row>
    <row r="488" spans="1:31" x14ac:dyDescent="0.2">
      <c r="A488" s="2">
        <f t="shared" si="358"/>
        <v>10336009</v>
      </c>
      <c r="B488" s="1">
        <v>10000336</v>
      </c>
      <c r="C488" s="1" t="s">
        <v>281</v>
      </c>
      <c r="D488" s="1" t="s">
        <v>309</v>
      </c>
      <c r="E488" s="1" t="str">
        <f>"Persona_"&amp;_xlfn.XLOOKUP($B488, '#캐릭터'!$A:$A, '#캐릭터'!$C:$C)</f>
        <v>Persona_c336</v>
      </c>
      <c r="F488" s="1"/>
      <c r="G488" s="1">
        <f>_xlfn.XLOOKUP(_xlfn.XLOOKUP(B488,'[1]Detail&lt;Child&gt;'!$A:$A,'[1]Detail&lt;Child&gt;'!$N:$N),'#참조'!P:P,'#참조'!Q:Q)</f>
        <v>3</v>
      </c>
      <c r="H488" s="1">
        <f>_xlfn.XLOOKUP(_xlfn.XLOOKUP(B488,'[1]Detail&lt;Child&gt;'!$A:$A,'[1]Detail&lt;Child&gt;'!$O:$O),'#참조'!R:R,'#참조'!S:S)</f>
        <v>4</v>
      </c>
      <c r="I488" s="1">
        <v>2</v>
      </c>
      <c r="J488" s="2">
        <v>3</v>
      </c>
      <c r="K488" s="2">
        <v>3</v>
      </c>
      <c r="L488" s="2">
        <v>9</v>
      </c>
      <c r="M488" s="2" t="s">
        <v>13</v>
      </c>
      <c r="N488" s="2" t="s">
        <v>407</v>
      </c>
      <c r="O488" s="2">
        <f t="shared" si="370"/>
        <v>4287</v>
      </c>
      <c r="P488" s="2" t="s">
        <v>194</v>
      </c>
      <c r="Q488" s="2" t="str">
        <f t="shared" si="359"/>
        <v>8158,9800</v>
      </c>
      <c r="R488" s="2">
        <f t="shared" si="371"/>
        <v>8158</v>
      </c>
      <c r="S488" s="2">
        <f t="shared" si="367"/>
        <v>9800</v>
      </c>
      <c r="T488" s="2" t="s">
        <v>195</v>
      </c>
      <c r="U488" s="2" t="str">
        <f t="shared" si="361"/>
        <v>432,500</v>
      </c>
      <c r="V488" s="2">
        <f t="shared" si="372"/>
        <v>432</v>
      </c>
      <c r="W488" s="2">
        <f t="shared" si="368"/>
        <v>500</v>
      </c>
      <c r="X488" s="2" t="s">
        <v>196</v>
      </c>
      <c r="Y488" s="2" t="str">
        <f t="shared" si="363"/>
        <v>654,800</v>
      </c>
      <c r="Z488" s="2">
        <f t="shared" si="373"/>
        <v>654</v>
      </c>
      <c r="AA488" s="2">
        <f t="shared" si="369"/>
        <v>800</v>
      </c>
      <c r="AB488" s="2">
        <v>90000</v>
      </c>
      <c r="AC488" s="2" t="str">
        <f>_xlfn.XLOOKUP(B488,'#캐릭터'!A:A,'#캐릭터'!B:B)</f>
        <v>판</v>
      </c>
      <c r="AD488" s="2" t="str">
        <f t="shared" si="365"/>
        <v>Rare3_판</v>
      </c>
      <c r="AE488" s="2">
        <f t="shared" si="366"/>
        <v>3402</v>
      </c>
    </row>
    <row r="489" spans="1:31" x14ac:dyDescent="0.2">
      <c r="A489" s="2">
        <f t="shared" si="358"/>
        <v>10336010</v>
      </c>
      <c r="B489" s="1">
        <v>10000336</v>
      </c>
      <c r="C489" s="1" t="s">
        <v>281</v>
      </c>
      <c r="D489" s="1" t="s">
        <v>309</v>
      </c>
      <c r="E489" s="1" t="str">
        <f>"Persona_"&amp;_xlfn.XLOOKUP($B489, '#캐릭터'!$A:$A, '#캐릭터'!$C:$C)</f>
        <v>Persona_c336</v>
      </c>
      <c r="F489" s="1"/>
      <c r="G489" s="1">
        <f>_xlfn.XLOOKUP(_xlfn.XLOOKUP(B489,'[1]Detail&lt;Child&gt;'!$A:$A,'[1]Detail&lt;Child&gt;'!$N:$N),'#참조'!P:P,'#참조'!Q:Q)</f>
        <v>3</v>
      </c>
      <c r="H489" s="1">
        <f>_xlfn.XLOOKUP(_xlfn.XLOOKUP(B489,'[1]Detail&lt;Child&gt;'!$A:$A,'[1]Detail&lt;Child&gt;'!$O:$O),'#참조'!R:R,'#참조'!S:S)</f>
        <v>4</v>
      </c>
      <c r="I489" s="1">
        <v>2</v>
      </c>
      <c r="J489" s="2">
        <v>3</v>
      </c>
      <c r="K489" s="2">
        <v>4</v>
      </c>
      <c r="L489" s="2">
        <v>10</v>
      </c>
      <c r="M489" s="2" t="s">
        <v>14</v>
      </c>
      <c r="N489" s="2" t="s">
        <v>407</v>
      </c>
      <c r="O489" s="2">
        <f t="shared" si="370"/>
        <v>4716</v>
      </c>
      <c r="P489" s="2" t="s">
        <v>194</v>
      </c>
      <c r="Q489" s="2" t="str">
        <f t="shared" si="359"/>
        <v>10605,12700</v>
      </c>
      <c r="R489" s="2">
        <f t="shared" si="371"/>
        <v>10605</v>
      </c>
      <c r="S489" s="2">
        <f t="shared" si="367"/>
        <v>12700</v>
      </c>
      <c r="T489" s="2" t="s">
        <v>195</v>
      </c>
      <c r="U489" s="2" t="str">
        <f t="shared" si="361"/>
        <v>518,600</v>
      </c>
      <c r="V489" s="2">
        <f t="shared" si="372"/>
        <v>518</v>
      </c>
      <c r="W489" s="2">
        <f t="shared" si="368"/>
        <v>600</v>
      </c>
      <c r="X489" s="2" t="s">
        <v>196</v>
      </c>
      <c r="Y489" s="2" t="str">
        <f t="shared" si="363"/>
        <v>850,1000</v>
      </c>
      <c r="Z489" s="2">
        <f t="shared" si="373"/>
        <v>850</v>
      </c>
      <c r="AA489" s="2">
        <f t="shared" si="369"/>
        <v>1000</v>
      </c>
      <c r="AB489" s="2">
        <v>85000</v>
      </c>
      <c r="AC489" s="2" t="str">
        <f>_xlfn.XLOOKUP(B489,'#캐릭터'!A:A,'#캐릭터'!B:B)</f>
        <v>판</v>
      </c>
      <c r="AD489" s="2" t="str">
        <f t="shared" si="365"/>
        <v>Unique1_판</v>
      </c>
      <c r="AE489" s="2">
        <f t="shared" si="366"/>
        <v>3402</v>
      </c>
    </row>
    <row r="490" spans="1:31" x14ac:dyDescent="0.2">
      <c r="A490" s="2">
        <f t="shared" si="358"/>
        <v>10336011</v>
      </c>
      <c r="B490" s="1">
        <v>10000336</v>
      </c>
      <c r="C490" s="1" t="s">
        <v>281</v>
      </c>
      <c r="D490" s="1" t="s">
        <v>309</v>
      </c>
      <c r="E490" s="1" t="str">
        <f>"Persona_"&amp;_xlfn.XLOOKUP($B490, '#캐릭터'!$A:$A, '#캐릭터'!$C:$C)</f>
        <v>Persona_c336</v>
      </c>
      <c r="F490" s="1"/>
      <c r="G490" s="1">
        <f>_xlfn.XLOOKUP(_xlfn.XLOOKUP(B490,'[1]Detail&lt;Child&gt;'!$A:$A,'[1]Detail&lt;Child&gt;'!$N:$N),'#참조'!P:P,'#참조'!Q:Q)</f>
        <v>3</v>
      </c>
      <c r="H490" s="1">
        <f>_xlfn.XLOOKUP(_xlfn.XLOOKUP(B490,'[1]Detail&lt;Child&gt;'!$A:$A,'[1]Detail&lt;Child&gt;'!$O:$O),'#참조'!R:R,'#참조'!S:S)</f>
        <v>4</v>
      </c>
      <c r="I490" s="1">
        <v>3</v>
      </c>
      <c r="J490" s="2">
        <v>3</v>
      </c>
      <c r="K490" s="2">
        <v>4</v>
      </c>
      <c r="L490" s="2">
        <v>11</v>
      </c>
      <c r="M490" s="2" t="s">
        <v>15</v>
      </c>
      <c r="N490" s="2" t="s">
        <v>407</v>
      </c>
      <c r="O490" s="2">
        <f t="shared" si="370"/>
        <v>5188</v>
      </c>
      <c r="P490" s="2" t="s">
        <v>194</v>
      </c>
      <c r="Q490" s="2" t="str">
        <f t="shared" si="359"/>
        <v>13787,16500</v>
      </c>
      <c r="R490" s="2">
        <f t="shared" si="371"/>
        <v>13787</v>
      </c>
      <c r="S490" s="2">
        <f t="shared" si="367"/>
        <v>16500</v>
      </c>
      <c r="T490" s="2" t="s">
        <v>195</v>
      </c>
      <c r="U490" s="2" t="str">
        <f t="shared" si="361"/>
        <v>622,700</v>
      </c>
      <c r="V490" s="2">
        <f t="shared" si="372"/>
        <v>622</v>
      </c>
      <c r="W490" s="2">
        <f t="shared" si="368"/>
        <v>700</v>
      </c>
      <c r="X490" s="2" t="s">
        <v>196</v>
      </c>
      <c r="Y490" s="2" t="str">
        <f t="shared" si="363"/>
        <v>1105,1300</v>
      </c>
      <c r="Z490" s="2">
        <f t="shared" si="373"/>
        <v>1105</v>
      </c>
      <c r="AA490" s="2">
        <f t="shared" si="369"/>
        <v>1300</v>
      </c>
      <c r="AB490" s="2">
        <v>85000</v>
      </c>
      <c r="AC490" s="2" t="str">
        <f>_xlfn.XLOOKUP(B490,'#캐릭터'!A:A,'#캐릭터'!B:B)</f>
        <v>판</v>
      </c>
      <c r="AD490" s="2" t="str">
        <f t="shared" si="365"/>
        <v>Unique2_판</v>
      </c>
      <c r="AE490" s="2">
        <f t="shared" si="366"/>
        <v>3403</v>
      </c>
    </row>
    <row r="491" spans="1:31" x14ac:dyDescent="0.2">
      <c r="A491" s="2">
        <f t="shared" si="358"/>
        <v>10336012</v>
      </c>
      <c r="B491" s="1">
        <v>10000336</v>
      </c>
      <c r="C491" s="1" t="s">
        <v>281</v>
      </c>
      <c r="D491" s="1" t="s">
        <v>309</v>
      </c>
      <c r="E491" s="1" t="str">
        <f>"Persona_"&amp;_xlfn.XLOOKUP($B491, '#캐릭터'!$A:$A, '#캐릭터'!$C:$C)</f>
        <v>Persona_c336</v>
      </c>
      <c r="F491" s="1"/>
      <c r="G491" s="1">
        <f>_xlfn.XLOOKUP(_xlfn.XLOOKUP(B491,'[1]Detail&lt;Child&gt;'!$A:$A,'[1]Detail&lt;Child&gt;'!$N:$N),'#참조'!P:P,'#참조'!Q:Q)</f>
        <v>3</v>
      </c>
      <c r="H491" s="1">
        <f>_xlfn.XLOOKUP(_xlfn.XLOOKUP(B491,'[1]Detail&lt;Child&gt;'!$A:$A,'[1]Detail&lt;Child&gt;'!$O:$O),'#참조'!R:R,'#참조'!S:S)</f>
        <v>4</v>
      </c>
      <c r="I491" s="1">
        <v>3</v>
      </c>
      <c r="J491" s="2">
        <v>3</v>
      </c>
      <c r="K491" s="2">
        <v>4</v>
      </c>
      <c r="L491" s="2">
        <v>12</v>
      </c>
      <c r="M491" s="2" t="s">
        <v>16</v>
      </c>
      <c r="N491" s="2" t="s">
        <v>407</v>
      </c>
      <c r="O491" s="2">
        <f t="shared" si="370"/>
        <v>5707</v>
      </c>
      <c r="P491" s="2" t="s">
        <v>194</v>
      </c>
      <c r="Q491" s="2" t="str">
        <f t="shared" si="359"/>
        <v>17923,21500</v>
      </c>
      <c r="R491" s="2">
        <f t="shared" si="371"/>
        <v>17923</v>
      </c>
      <c r="S491" s="2">
        <f t="shared" si="367"/>
        <v>21500</v>
      </c>
      <c r="T491" s="2" t="s">
        <v>195</v>
      </c>
      <c r="U491" s="2" t="str">
        <f t="shared" si="361"/>
        <v>746,900</v>
      </c>
      <c r="V491" s="2">
        <f t="shared" si="372"/>
        <v>746</v>
      </c>
      <c r="W491" s="2">
        <f t="shared" si="368"/>
        <v>900</v>
      </c>
      <c r="X491" s="2" t="s">
        <v>196</v>
      </c>
      <c r="Y491" s="2" t="str">
        <f t="shared" si="363"/>
        <v>1437,1700</v>
      </c>
      <c r="Z491" s="2">
        <f t="shared" si="373"/>
        <v>1437</v>
      </c>
      <c r="AA491" s="2">
        <f t="shared" si="369"/>
        <v>1700</v>
      </c>
      <c r="AB491" s="2">
        <v>85000</v>
      </c>
      <c r="AC491" s="2" t="str">
        <f>_xlfn.XLOOKUP(B491,'#캐릭터'!A:A,'#캐릭터'!B:B)</f>
        <v>판</v>
      </c>
      <c r="AD491" s="2" t="str">
        <f t="shared" si="365"/>
        <v>Unique3_판</v>
      </c>
      <c r="AE491" s="2">
        <f t="shared" si="366"/>
        <v>3403</v>
      </c>
    </row>
    <row r="492" spans="1:31" x14ac:dyDescent="0.2">
      <c r="A492" s="2">
        <f t="shared" si="358"/>
        <v>10336013</v>
      </c>
      <c r="B492" s="1">
        <v>10000336</v>
      </c>
      <c r="C492" s="1" t="s">
        <v>281</v>
      </c>
      <c r="D492" s="1" t="s">
        <v>309</v>
      </c>
      <c r="E492" s="1" t="str">
        <f>"Persona_"&amp;_xlfn.XLOOKUP($B492, '#캐릭터'!$A:$A, '#캐릭터'!$C:$C)</f>
        <v>Persona_c336</v>
      </c>
      <c r="F492" s="1"/>
      <c r="G492" s="1">
        <f>_xlfn.XLOOKUP(_xlfn.XLOOKUP(B492,'[1]Detail&lt;Child&gt;'!$A:$A,'[1]Detail&lt;Child&gt;'!$N:$N),'#참조'!P:P,'#참조'!Q:Q)</f>
        <v>3</v>
      </c>
      <c r="H492" s="1">
        <f>_xlfn.XLOOKUP(_xlfn.XLOOKUP(B492,'[1]Detail&lt;Child&gt;'!$A:$A,'[1]Detail&lt;Child&gt;'!$O:$O),'#참조'!R:R,'#참조'!S:S)</f>
        <v>4</v>
      </c>
      <c r="I492" s="1">
        <v>4</v>
      </c>
      <c r="J492" s="2">
        <v>3</v>
      </c>
      <c r="K492" s="2">
        <v>5</v>
      </c>
      <c r="L492" s="2">
        <v>13</v>
      </c>
      <c r="M492" s="2" t="s">
        <v>17</v>
      </c>
      <c r="N492" s="2" t="s">
        <v>407</v>
      </c>
      <c r="O492" s="2">
        <f t="shared" si="370"/>
        <v>6278</v>
      </c>
      <c r="P492" s="2" t="s">
        <v>194</v>
      </c>
      <c r="Q492" s="2" t="str">
        <f t="shared" si="359"/>
        <v>23300,28000</v>
      </c>
      <c r="R492" s="2">
        <f t="shared" si="371"/>
        <v>23300</v>
      </c>
      <c r="S492" s="2">
        <f t="shared" si="367"/>
        <v>28000</v>
      </c>
      <c r="T492" s="2" t="s">
        <v>195</v>
      </c>
      <c r="U492" s="2" t="str">
        <f t="shared" si="361"/>
        <v>895,1100</v>
      </c>
      <c r="V492" s="2">
        <f t="shared" si="372"/>
        <v>895</v>
      </c>
      <c r="W492" s="2">
        <f t="shared" si="368"/>
        <v>1100</v>
      </c>
      <c r="X492" s="2" t="s">
        <v>196</v>
      </c>
      <c r="Y492" s="2" t="str">
        <f t="shared" si="363"/>
        <v>1868,2200</v>
      </c>
      <c r="Z492" s="2">
        <f t="shared" si="373"/>
        <v>1868</v>
      </c>
      <c r="AA492" s="2">
        <f t="shared" si="369"/>
        <v>2200</v>
      </c>
      <c r="AB492" s="2">
        <v>80000</v>
      </c>
      <c r="AC492" s="2" t="str">
        <f>_xlfn.XLOOKUP(B492,'#캐릭터'!A:A,'#캐릭터'!B:B)</f>
        <v>판</v>
      </c>
      <c r="AD492" s="2" t="str">
        <f t="shared" si="365"/>
        <v>Epic1_판</v>
      </c>
      <c r="AE492" s="2">
        <f t="shared" si="366"/>
        <v>3404</v>
      </c>
    </row>
    <row r="493" spans="1:31" x14ac:dyDescent="0.2">
      <c r="A493" s="2">
        <f t="shared" si="358"/>
        <v>10336014</v>
      </c>
      <c r="B493" s="1">
        <v>10000336</v>
      </c>
      <c r="C493" s="1" t="s">
        <v>281</v>
      </c>
      <c r="D493" s="1" t="s">
        <v>309</v>
      </c>
      <c r="E493" s="1" t="str">
        <f>"Persona_"&amp;_xlfn.XLOOKUP($B493, '#캐릭터'!$A:$A, '#캐릭터'!$C:$C)</f>
        <v>Persona_c336</v>
      </c>
      <c r="F493" s="1"/>
      <c r="G493" s="1">
        <f>_xlfn.XLOOKUP(_xlfn.XLOOKUP(B493,'[1]Detail&lt;Child&gt;'!$A:$A,'[1]Detail&lt;Child&gt;'!$N:$N),'#참조'!P:P,'#참조'!Q:Q)</f>
        <v>3</v>
      </c>
      <c r="H493" s="1">
        <f>_xlfn.XLOOKUP(_xlfn.XLOOKUP(B493,'[1]Detail&lt;Child&gt;'!$A:$A,'[1]Detail&lt;Child&gt;'!$O:$O),'#참조'!R:R,'#참조'!S:S)</f>
        <v>4</v>
      </c>
      <c r="I493" s="1">
        <v>4</v>
      </c>
      <c r="J493" s="2">
        <v>3</v>
      </c>
      <c r="K493" s="2">
        <v>5</v>
      </c>
      <c r="L493" s="2">
        <v>14</v>
      </c>
      <c r="M493" s="2" t="s">
        <v>18</v>
      </c>
      <c r="N493" s="2" t="s">
        <v>407</v>
      </c>
      <c r="O493" s="2">
        <f t="shared" si="370"/>
        <v>6906</v>
      </c>
      <c r="P493" s="2" t="s">
        <v>194</v>
      </c>
      <c r="Q493" s="2" t="str">
        <f t="shared" si="359"/>
        <v>30290,36300</v>
      </c>
      <c r="R493" s="2">
        <f t="shared" si="371"/>
        <v>30290</v>
      </c>
      <c r="S493" s="2">
        <f t="shared" si="367"/>
        <v>36300</v>
      </c>
      <c r="T493" s="2" t="s">
        <v>195</v>
      </c>
      <c r="U493" s="2" t="str">
        <f t="shared" si="361"/>
        <v>1074,1300</v>
      </c>
      <c r="V493" s="2">
        <f t="shared" si="372"/>
        <v>1074</v>
      </c>
      <c r="W493" s="2">
        <f t="shared" si="368"/>
        <v>1300</v>
      </c>
      <c r="X493" s="2" t="s">
        <v>196</v>
      </c>
      <c r="Y493" s="2" t="str">
        <f t="shared" si="363"/>
        <v>2428,2900</v>
      </c>
      <c r="Z493" s="2">
        <f t="shared" si="373"/>
        <v>2428</v>
      </c>
      <c r="AA493" s="2">
        <f t="shared" si="369"/>
        <v>2900</v>
      </c>
      <c r="AB493" s="2">
        <v>80000</v>
      </c>
      <c r="AC493" s="2" t="str">
        <f>_xlfn.XLOOKUP(B493,'#캐릭터'!A:A,'#캐릭터'!B:B)</f>
        <v>판</v>
      </c>
      <c r="AD493" s="2" t="str">
        <f t="shared" si="365"/>
        <v>Epic2_판</v>
      </c>
      <c r="AE493" s="2">
        <f t="shared" si="366"/>
        <v>3404</v>
      </c>
    </row>
    <row r="494" spans="1:31" x14ac:dyDescent="0.2">
      <c r="A494" s="2">
        <f t="shared" si="358"/>
        <v>10336015</v>
      </c>
      <c r="B494" s="1">
        <v>10000336</v>
      </c>
      <c r="C494" s="1" t="s">
        <v>281</v>
      </c>
      <c r="D494" s="1" t="s">
        <v>309</v>
      </c>
      <c r="E494" s="1" t="str">
        <f>"Persona_"&amp;_xlfn.XLOOKUP($B494, '#캐릭터'!$A:$A, '#캐릭터'!$C:$C)</f>
        <v>Persona_c336</v>
      </c>
      <c r="F494" s="1"/>
      <c r="G494" s="1">
        <f>_xlfn.XLOOKUP(_xlfn.XLOOKUP(B494,'[1]Detail&lt;Child&gt;'!$A:$A,'[1]Detail&lt;Child&gt;'!$N:$N),'#참조'!P:P,'#참조'!Q:Q)</f>
        <v>3</v>
      </c>
      <c r="H494" s="1">
        <f>_xlfn.XLOOKUP(_xlfn.XLOOKUP(B494,'[1]Detail&lt;Child&gt;'!$A:$A,'[1]Detail&lt;Child&gt;'!$O:$O),'#참조'!R:R,'#참조'!S:S)</f>
        <v>4</v>
      </c>
      <c r="I494" s="1">
        <v>5</v>
      </c>
      <c r="J494" s="2">
        <v>3</v>
      </c>
      <c r="K494" s="2">
        <v>5</v>
      </c>
      <c r="L494" s="2">
        <v>15</v>
      </c>
      <c r="M494" s="2" t="s">
        <v>19</v>
      </c>
      <c r="N494" s="2" t="s">
        <v>407</v>
      </c>
      <c r="O494" s="2">
        <f t="shared" si="370"/>
        <v>7597</v>
      </c>
      <c r="P494" s="2" t="s">
        <v>194</v>
      </c>
      <c r="Q494" s="2" t="str">
        <f t="shared" si="359"/>
        <v>39377,47300</v>
      </c>
      <c r="R494" s="2">
        <f t="shared" si="371"/>
        <v>39377</v>
      </c>
      <c r="S494" s="2">
        <f t="shared" si="367"/>
        <v>47300</v>
      </c>
      <c r="T494" s="2" t="s">
        <v>195</v>
      </c>
      <c r="U494" s="2" t="str">
        <f t="shared" si="361"/>
        <v>1289,1500</v>
      </c>
      <c r="V494" s="2">
        <f t="shared" si="372"/>
        <v>1289</v>
      </c>
      <c r="W494" s="2">
        <f t="shared" si="368"/>
        <v>1500</v>
      </c>
      <c r="X494" s="2" t="s">
        <v>196</v>
      </c>
      <c r="Y494" s="2" t="str">
        <f t="shared" si="363"/>
        <v>3156,3800</v>
      </c>
      <c r="Z494" s="2">
        <f t="shared" si="373"/>
        <v>3156</v>
      </c>
      <c r="AA494" s="2">
        <f t="shared" si="369"/>
        <v>3800</v>
      </c>
      <c r="AB494" s="2">
        <v>80000</v>
      </c>
      <c r="AC494" s="2" t="str">
        <f>_xlfn.XLOOKUP(B494,'#캐릭터'!A:A,'#캐릭터'!B:B)</f>
        <v>판</v>
      </c>
      <c r="AD494" s="2" t="str">
        <f t="shared" si="365"/>
        <v>Epic3_판</v>
      </c>
      <c r="AE494" s="2">
        <f t="shared" si="366"/>
        <v>3405</v>
      </c>
    </row>
    <row r="495" spans="1:31" x14ac:dyDescent="0.2">
      <c r="A495" s="2">
        <f t="shared" si="358"/>
        <v>10336016</v>
      </c>
      <c r="B495" s="1">
        <v>10000336</v>
      </c>
      <c r="C495" s="1" t="s">
        <v>281</v>
      </c>
      <c r="D495" s="1" t="s">
        <v>309</v>
      </c>
      <c r="E495" s="1" t="str">
        <f>"Persona_"&amp;_xlfn.XLOOKUP($B495, '#캐릭터'!$A:$A, '#캐릭터'!$C:$C)</f>
        <v>Persona_c336</v>
      </c>
      <c r="F495" s="1"/>
      <c r="G495" s="1">
        <f>_xlfn.XLOOKUP(_xlfn.XLOOKUP(B495,'[1]Detail&lt;Child&gt;'!$A:$A,'[1]Detail&lt;Child&gt;'!$N:$N),'#참조'!P:P,'#참조'!Q:Q)</f>
        <v>3</v>
      </c>
      <c r="H495" s="1">
        <f>_xlfn.XLOOKUP(_xlfn.XLOOKUP(B495,'[1]Detail&lt;Child&gt;'!$A:$A,'[1]Detail&lt;Child&gt;'!$O:$O),'#참조'!R:R,'#참조'!S:S)</f>
        <v>4</v>
      </c>
      <c r="I495" s="1">
        <v>5</v>
      </c>
      <c r="J495" s="2">
        <v>3</v>
      </c>
      <c r="K495" s="2">
        <v>6</v>
      </c>
      <c r="L495" s="2">
        <v>16</v>
      </c>
      <c r="M495" s="2" t="s">
        <v>20</v>
      </c>
      <c r="N495" s="2" t="s">
        <v>407</v>
      </c>
      <c r="O495" s="2">
        <f t="shared" si="370"/>
        <v>8357</v>
      </c>
      <c r="P495" s="2" t="s">
        <v>194</v>
      </c>
      <c r="Q495" s="2" t="str">
        <f t="shared" si="359"/>
        <v>51190,61400</v>
      </c>
      <c r="R495" s="2">
        <f t="shared" si="371"/>
        <v>51190</v>
      </c>
      <c r="S495" s="2">
        <f t="shared" si="367"/>
        <v>61400</v>
      </c>
      <c r="T495" s="2" t="s">
        <v>195</v>
      </c>
      <c r="U495" s="2" t="str">
        <f t="shared" si="361"/>
        <v>1547,1900</v>
      </c>
      <c r="V495" s="2">
        <f t="shared" si="372"/>
        <v>1547</v>
      </c>
      <c r="W495" s="2">
        <f t="shared" si="368"/>
        <v>1900</v>
      </c>
      <c r="X495" s="2" t="s">
        <v>196</v>
      </c>
      <c r="Y495" s="2" t="str">
        <f t="shared" si="363"/>
        <v>4103,4900</v>
      </c>
      <c r="Z495" s="2">
        <f t="shared" si="373"/>
        <v>4103</v>
      </c>
      <c r="AA495" s="2">
        <f t="shared" si="369"/>
        <v>4900</v>
      </c>
      <c r="AB495" s="2">
        <v>75000</v>
      </c>
      <c r="AC495" s="2" t="str">
        <f>_xlfn.XLOOKUP(B495,'#캐릭터'!A:A,'#캐릭터'!B:B)</f>
        <v>판</v>
      </c>
      <c r="AD495" s="2" t="str">
        <f t="shared" si="365"/>
        <v>Legendary1_판</v>
      </c>
      <c r="AE495" s="2">
        <f t="shared" si="366"/>
        <v>3405</v>
      </c>
    </row>
    <row r="496" spans="1:31" x14ac:dyDescent="0.2">
      <c r="A496" s="2">
        <f t="shared" si="358"/>
        <v>10336017</v>
      </c>
      <c r="B496" s="1">
        <v>10000336</v>
      </c>
      <c r="C496" s="1" t="s">
        <v>281</v>
      </c>
      <c r="D496" s="1" t="s">
        <v>309</v>
      </c>
      <c r="E496" s="1" t="str">
        <f>"Persona_"&amp;_xlfn.XLOOKUP($B496, '#캐릭터'!$A:$A, '#캐릭터'!$C:$C)</f>
        <v>Persona_c336</v>
      </c>
      <c r="F496" s="1"/>
      <c r="G496" s="1">
        <f>_xlfn.XLOOKUP(_xlfn.XLOOKUP(B496,'[1]Detail&lt;Child&gt;'!$A:$A,'[1]Detail&lt;Child&gt;'!$N:$N),'#참조'!P:P,'#참조'!Q:Q)</f>
        <v>3</v>
      </c>
      <c r="H496" s="1">
        <f>_xlfn.XLOOKUP(_xlfn.XLOOKUP(B496,'[1]Detail&lt;Child&gt;'!$A:$A,'[1]Detail&lt;Child&gt;'!$O:$O),'#참조'!R:R,'#참조'!S:S)</f>
        <v>4</v>
      </c>
      <c r="I496" s="1">
        <v>6</v>
      </c>
      <c r="J496" s="2">
        <v>3</v>
      </c>
      <c r="K496" s="2">
        <v>6</v>
      </c>
      <c r="L496" s="2">
        <v>17</v>
      </c>
      <c r="M496" s="2" t="s">
        <v>21</v>
      </c>
      <c r="N496" s="2" t="s">
        <v>407</v>
      </c>
      <c r="O496" s="2">
        <f t="shared" si="370"/>
        <v>9193</v>
      </c>
      <c r="P496" s="2" t="s">
        <v>194</v>
      </c>
      <c r="Q496" s="2" t="str">
        <f t="shared" si="359"/>
        <v>66547,79900</v>
      </c>
      <c r="R496" s="2">
        <f t="shared" si="371"/>
        <v>66547</v>
      </c>
      <c r="S496" s="2">
        <f t="shared" si="367"/>
        <v>79900</v>
      </c>
      <c r="T496" s="2" t="s">
        <v>195</v>
      </c>
      <c r="U496" s="2" t="str">
        <f t="shared" si="361"/>
        <v>1856,2200</v>
      </c>
      <c r="V496" s="2">
        <f t="shared" si="372"/>
        <v>1856</v>
      </c>
      <c r="W496" s="2">
        <f t="shared" si="368"/>
        <v>2200</v>
      </c>
      <c r="X496" s="2" t="s">
        <v>196</v>
      </c>
      <c r="Y496" s="2" t="str">
        <f t="shared" si="363"/>
        <v>5334,6400</v>
      </c>
      <c r="Z496" s="2">
        <f t="shared" si="373"/>
        <v>5334</v>
      </c>
      <c r="AA496" s="2">
        <f t="shared" si="369"/>
        <v>6400</v>
      </c>
      <c r="AB496" s="2">
        <v>75000</v>
      </c>
      <c r="AC496" s="2" t="str">
        <f>_xlfn.XLOOKUP(B496,'#캐릭터'!A:A,'#캐릭터'!B:B)</f>
        <v>판</v>
      </c>
      <c r="AD496" s="2" t="str">
        <f t="shared" si="365"/>
        <v>Legendary2_판</v>
      </c>
      <c r="AE496" s="2">
        <f t="shared" si="366"/>
        <v>3406</v>
      </c>
    </row>
    <row r="497" spans="1:31" x14ac:dyDescent="0.2">
      <c r="A497" s="2">
        <f t="shared" si="358"/>
        <v>10336018</v>
      </c>
      <c r="B497" s="1">
        <v>10000336</v>
      </c>
      <c r="C497" s="1" t="s">
        <v>281</v>
      </c>
      <c r="D497" s="1" t="s">
        <v>309</v>
      </c>
      <c r="E497" s="1" t="str">
        <f>"Persona_"&amp;_xlfn.XLOOKUP($B497, '#캐릭터'!$A:$A, '#캐릭터'!$C:$C)</f>
        <v>Persona_c336</v>
      </c>
      <c r="F497" s="1"/>
      <c r="G497" s="1">
        <f>_xlfn.XLOOKUP(_xlfn.XLOOKUP(B497,'[1]Detail&lt;Child&gt;'!$A:$A,'[1]Detail&lt;Child&gt;'!$N:$N),'#참조'!P:P,'#참조'!Q:Q)</f>
        <v>3</v>
      </c>
      <c r="H497" s="1">
        <f>_xlfn.XLOOKUP(_xlfn.XLOOKUP(B497,'[1]Detail&lt;Child&gt;'!$A:$A,'[1]Detail&lt;Child&gt;'!$O:$O),'#참조'!R:R,'#참조'!S:S)</f>
        <v>4</v>
      </c>
      <c r="I497" s="1">
        <v>6</v>
      </c>
      <c r="J497" s="2">
        <v>3</v>
      </c>
      <c r="K497" s="2">
        <v>6</v>
      </c>
      <c r="L497" s="2">
        <v>18</v>
      </c>
      <c r="M497" s="2" t="s">
        <v>22</v>
      </c>
      <c r="N497" s="2" t="s">
        <v>407</v>
      </c>
      <c r="O497" s="2">
        <f t="shared" si="370"/>
        <v>10112</v>
      </c>
      <c r="P497" s="2" t="s">
        <v>194</v>
      </c>
      <c r="Q497" s="2" t="str">
        <f t="shared" si="359"/>
        <v>86511,103800</v>
      </c>
      <c r="R497" s="2">
        <f t="shared" si="371"/>
        <v>86511</v>
      </c>
      <c r="S497" s="2">
        <f t="shared" si="367"/>
        <v>103800</v>
      </c>
      <c r="T497" s="2" t="s">
        <v>195</v>
      </c>
      <c r="U497" s="2" t="str">
        <f t="shared" si="361"/>
        <v>2227,2700</v>
      </c>
      <c r="V497" s="2">
        <f t="shared" si="372"/>
        <v>2227</v>
      </c>
      <c r="W497" s="2">
        <f t="shared" si="368"/>
        <v>2700</v>
      </c>
      <c r="X497" s="2" t="s">
        <v>196</v>
      </c>
      <c r="Y497" s="2" t="str">
        <f t="shared" si="363"/>
        <v>6934,8300</v>
      </c>
      <c r="Z497" s="2">
        <f t="shared" si="373"/>
        <v>6934</v>
      </c>
      <c r="AA497" s="2">
        <f t="shared" si="369"/>
        <v>8300</v>
      </c>
      <c r="AB497" s="2">
        <v>75000</v>
      </c>
      <c r="AC497" s="2" t="str">
        <f>_xlfn.XLOOKUP(B497,'#캐릭터'!A:A,'#캐릭터'!B:B)</f>
        <v>판</v>
      </c>
      <c r="AD497" s="2" t="str">
        <f t="shared" si="365"/>
        <v>Legendary3_판</v>
      </c>
      <c r="AE497" s="2">
        <f t="shared" si="366"/>
        <v>3406</v>
      </c>
    </row>
    <row r="498" spans="1:31" x14ac:dyDescent="0.2">
      <c r="A498" s="2">
        <f t="shared" ref="A498:A516" si="374">INT(1&amp;TEXT(RIGHT(B498,4),"0000")&amp;TEXT(L498,"000"))</f>
        <v>10445000</v>
      </c>
      <c r="B498" s="1">
        <v>10000445</v>
      </c>
      <c r="C498" s="1" t="s">
        <v>281</v>
      </c>
      <c r="D498" s="1" t="s">
        <v>309</v>
      </c>
      <c r="E498" s="1" t="str">
        <f>"Persona_"&amp;_xlfn.XLOOKUP($B498, '#캐릭터'!$A:$A, '#캐릭터'!$C:$C)</f>
        <v>Persona_c445</v>
      </c>
      <c r="F498" s="1"/>
      <c r="G498" s="1">
        <f>_xlfn.XLOOKUP(_xlfn.XLOOKUP(B498,'[1]Detail&lt;Child&gt;'!$A:$A,'[1]Detail&lt;Child&gt;'!$N:$N),'#참조'!P:P,'#참조'!Q:Q)</f>
        <v>1</v>
      </c>
      <c r="H498" s="1">
        <f>_xlfn.XLOOKUP(_xlfn.XLOOKUP(B498,'[1]Detail&lt;Child&gt;'!$A:$A,'[1]Detail&lt;Child&gt;'!$O:$O),'#참조'!R:R,'#참조'!S:S)</f>
        <v>1</v>
      </c>
      <c r="I498" s="1">
        <v>0</v>
      </c>
      <c r="J498" s="2">
        <v>3</v>
      </c>
      <c r="K498" s="2">
        <v>0</v>
      </c>
      <c r="L498" s="2">
        <v>0</v>
      </c>
      <c r="M498" s="2" t="s">
        <v>31</v>
      </c>
      <c r="N498" s="2" t="s">
        <v>407</v>
      </c>
      <c r="O498" s="2">
        <v>0</v>
      </c>
      <c r="P498" s="2" t="s">
        <v>194</v>
      </c>
      <c r="Q498" s="2" t="str">
        <f t="shared" ref="Q498:Q516" si="375">R498&amp;","&amp;S498</f>
        <v>1000,1000</v>
      </c>
      <c r="R498" s="2">
        <v>1000</v>
      </c>
      <c r="S498" s="2">
        <f t="shared" ref="S498" si="376">R498</f>
        <v>1000</v>
      </c>
      <c r="T498" s="2" t="s">
        <v>195</v>
      </c>
      <c r="U498" s="2" t="str">
        <f t="shared" ref="U498:U516" si="377">V498&amp;","&amp;W498</f>
        <v>100,100</v>
      </c>
      <c r="V498" s="2">
        <v>100</v>
      </c>
      <c r="W498" s="2">
        <f t="shared" ref="W498" si="378">V498</f>
        <v>100</v>
      </c>
      <c r="X498" s="2" t="s">
        <v>196</v>
      </c>
      <c r="Y498" s="2" t="str">
        <f t="shared" ref="Y498:Y516" si="379">Z498&amp;","&amp;AA498</f>
        <v>80,80</v>
      </c>
      <c r="Z498" s="2">
        <v>80</v>
      </c>
      <c r="AA498" s="2">
        <f t="shared" ref="AA498" si="380">Z498</f>
        <v>80</v>
      </c>
      <c r="AB498" s="2">
        <v>100000</v>
      </c>
      <c r="AC498" s="2" t="str">
        <f>_xlfn.XLOOKUP(B498,'#캐릭터'!A:A,'#캐릭터'!B:B)</f>
        <v>카라라트리</v>
      </c>
      <c r="AD498" s="2" t="str">
        <f t="shared" ref="AD498:AD516" si="381">M498&amp;"_"&amp;AC498</f>
        <v>Default_카라라트리</v>
      </c>
      <c r="AE498" s="2">
        <f t="shared" ref="AE498:AE516" si="382">IF(I498=0,0,INT(G498&amp;H498&amp;TEXT(I498,"00")))</f>
        <v>0</v>
      </c>
    </row>
    <row r="499" spans="1:31" x14ac:dyDescent="0.2">
      <c r="A499" s="2">
        <f t="shared" si="374"/>
        <v>10445001</v>
      </c>
      <c r="B499" s="1">
        <v>10000445</v>
      </c>
      <c r="C499" s="1" t="s">
        <v>281</v>
      </c>
      <c r="D499" s="1" t="s">
        <v>309</v>
      </c>
      <c r="E499" s="1" t="str">
        <f>"Persona_"&amp;_xlfn.XLOOKUP($B499, '#캐릭터'!$A:$A, '#캐릭터'!$C:$C)</f>
        <v>Persona_c445</v>
      </c>
      <c r="F499" s="1"/>
      <c r="G499" s="1">
        <f>_xlfn.XLOOKUP(_xlfn.XLOOKUP(B499,'[1]Detail&lt;Child&gt;'!$A:$A,'[1]Detail&lt;Child&gt;'!$N:$N),'#참조'!P:P,'#참조'!Q:Q)</f>
        <v>1</v>
      </c>
      <c r="H499" s="1">
        <f>_xlfn.XLOOKUP(_xlfn.XLOOKUP(B499,'[1]Detail&lt;Child&gt;'!$A:$A,'[1]Detail&lt;Child&gt;'!$O:$O),'#참조'!R:R,'#참조'!S:S)</f>
        <v>1</v>
      </c>
      <c r="I499" s="1">
        <v>0</v>
      </c>
      <c r="J499" s="2">
        <v>3</v>
      </c>
      <c r="K499" s="2">
        <v>1</v>
      </c>
      <c r="L499" s="2">
        <v>1</v>
      </c>
      <c r="M499" s="2" t="s">
        <v>5</v>
      </c>
      <c r="N499" s="2" t="s">
        <v>407</v>
      </c>
      <c r="O499" s="2">
        <v>2000</v>
      </c>
      <c r="P499" s="2" t="s">
        <v>194</v>
      </c>
      <c r="Q499" s="2" t="str">
        <f t="shared" si="375"/>
        <v>1000,1200</v>
      </c>
      <c r="R499" s="2">
        <v>1000</v>
      </c>
      <c r="S499" s="2">
        <f t="shared" ref="S499:S516" si="383">ROUND(R499*1.2, -2)</f>
        <v>1200</v>
      </c>
      <c r="T499" s="2" t="s">
        <v>195</v>
      </c>
      <c r="U499" s="2" t="str">
        <f t="shared" si="377"/>
        <v>100,100</v>
      </c>
      <c r="V499" s="2">
        <v>100</v>
      </c>
      <c r="W499" s="2">
        <f t="shared" ref="W499:W516" si="384">ROUND(V499*1.2, -2)</f>
        <v>100</v>
      </c>
      <c r="X499" s="2" t="s">
        <v>196</v>
      </c>
      <c r="Y499" s="2" t="str">
        <f t="shared" si="379"/>
        <v>80,100</v>
      </c>
      <c r="Z499" s="2">
        <v>80</v>
      </c>
      <c r="AA499" s="2">
        <f t="shared" ref="AA499:AA516" si="385">ROUND(Z499*1.2, -2)</f>
        <v>100</v>
      </c>
      <c r="AB499" s="2">
        <v>100000</v>
      </c>
      <c r="AC499" s="2" t="str">
        <f>_xlfn.XLOOKUP(B499,'#캐릭터'!A:A,'#캐릭터'!B:B)</f>
        <v>카라라트리</v>
      </c>
      <c r="AD499" s="2" t="str">
        <f t="shared" si="381"/>
        <v>Common1_카라라트리</v>
      </c>
      <c r="AE499" s="2">
        <f t="shared" si="382"/>
        <v>0</v>
      </c>
    </row>
    <row r="500" spans="1:31" x14ac:dyDescent="0.2">
      <c r="A500" s="2">
        <f t="shared" si="374"/>
        <v>10445002</v>
      </c>
      <c r="B500" s="1">
        <v>10000445</v>
      </c>
      <c r="C500" s="1" t="s">
        <v>281</v>
      </c>
      <c r="D500" s="1" t="s">
        <v>309</v>
      </c>
      <c r="E500" s="1" t="str">
        <f>"Persona_"&amp;_xlfn.XLOOKUP($B500, '#캐릭터'!$A:$A, '#캐릭터'!$C:$C)</f>
        <v>Persona_c445</v>
      </c>
      <c r="F500" s="1"/>
      <c r="G500" s="1">
        <f>_xlfn.XLOOKUP(_xlfn.XLOOKUP(B500,'[1]Detail&lt;Child&gt;'!$A:$A,'[1]Detail&lt;Child&gt;'!$N:$N),'#참조'!P:P,'#참조'!Q:Q)</f>
        <v>1</v>
      </c>
      <c r="H500" s="1">
        <f>_xlfn.XLOOKUP(_xlfn.XLOOKUP(B500,'[1]Detail&lt;Child&gt;'!$A:$A,'[1]Detail&lt;Child&gt;'!$O:$O),'#참조'!R:R,'#참조'!S:S)</f>
        <v>1</v>
      </c>
      <c r="I500" s="1">
        <v>0</v>
      </c>
      <c r="J500" s="2">
        <v>3</v>
      </c>
      <c r="K500" s="2">
        <v>1</v>
      </c>
      <c r="L500" s="2">
        <v>2</v>
      </c>
      <c r="M500" s="2" t="s">
        <v>6</v>
      </c>
      <c r="N500" s="2" t="s">
        <v>407</v>
      </c>
      <c r="O500" s="2">
        <f t="shared" ref="O500:O516" si="386">ROUND(O499*1.1, 0)</f>
        <v>2200</v>
      </c>
      <c r="P500" s="2" t="s">
        <v>194</v>
      </c>
      <c r="Q500" s="2" t="str">
        <f t="shared" si="375"/>
        <v>1300,1600</v>
      </c>
      <c r="R500" s="2">
        <f t="shared" ref="R500:R516" si="387">ROUND(R499*1.3, 0)</f>
        <v>1300</v>
      </c>
      <c r="S500" s="2">
        <f t="shared" si="383"/>
        <v>1600</v>
      </c>
      <c r="T500" s="2" t="s">
        <v>195</v>
      </c>
      <c r="U500" s="2" t="str">
        <f t="shared" si="377"/>
        <v>120,100</v>
      </c>
      <c r="V500" s="2">
        <f t="shared" ref="V500:V516" si="388">ROUND(V499*1.2, 0)</f>
        <v>120</v>
      </c>
      <c r="W500" s="2">
        <f t="shared" si="384"/>
        <v>100</v>
      </c>
      <c r="X500" s="2" t="s">
        <v>196</v>
      </c>
      <c r="Y500" s="2" t="str">
        <f t="shared" si="379"/>
        <v>104,100</v>
      </c>
      <c r="Z500" s="2">
        <f t="shared" ref="Z500:Z516" si="389">ROUND(Z499*1.3, 0)</f>
        <v>104</v>
      </c>
      <c r="AA500" s="2">
        <f t="shared" si="385"/>
        <v>100</v>
      </c>
      <c r="AB500" s="2">
        <v>100000</v>
      </c>
      <c r="AC500" s="2" t="str">
        <f>_xlfn.XLOOKUP(B500,'#캐릭터'!A:A,'#캐릭터'!B:B)</f>
        <v>카라라트리</v>
      </c>
      <c r="AD500" s="2" t="str">
        <f t="shared" si="381"/>
        <v>Common2_카라라트리</v>
      </c>
      <c r="AE500" s="2">
        <f t="shared" si="382"/>
        <v>0</v>
      </c>
    </row>
    <row r="501" spans="1:31" x14ac:dyDescent="0.2">
      <c r="A501" s="2">
        <f t="shared" si="374"/>
        <v>10445003</v>
      </c>
      <c r="B501" s="1">
        <v>10000445</v>
      </c>
      <c r="C501" s="1" t="s">
        <v>281</v>
      </c>
      <c r="D501" s="1" t="s">
        <v>309</v>
      </c>
      <c r="E501" s="1" t="str">
        <f>"Persona_"&amp;_xlfn.XLOOKUP($B501, '#캐릭터'!$A:$A, '#캐릭터'!$C:$C)</f>
        <v>Persona_c445</v>
      </c>
      <c r="F501" s="1"/>
      <c r="G501" s="1">
        <f>_xlfn.XLOOKUP(_xlfn.XLOOKUP(B501,'[1]Detail&lt;Child&gt;'!$A:$A,'[1]Detail&lt;Child&gt;'!$N:$N),'#참조'!P:P,'#참조'!Q:Q)</f>
        <v>1</v>
      </c>
      <c r="H501" s="1">
        <f>_xlfn.XLOOKUP(_xlfn.XLOOKUP(B501,'[1]Detail&lt;Child&gt;'!$A:$A,'[1]Detail&lt;Child&gt;'!$O:$O),'#참조'!R:R,'#참조'!S:S)</f>
        <v>1</v>
      </c>
      <c r="I501" s="1">
        <v>0</v>
      </c>
      <c r="J501" s="2">
        <v>3</v>
      </c>
      <c r="K501" s="2">
        <v>1</v>
      </c>
      <c r="L501" s="2">
        <v>3</v>
      </c>
      <c r="M501" s="2" t="s">
        <v>7</v>
      </c>
      <c r="N501" s="2" t="s">
        <v>407</v>
      </c>
      <c r="O501" s="2">
        <f t="shared" si="386"/>
        <v>2420</v>
      </c>
      <c r="P501" s="2" t="s">
        <v>194</v>
      </c>
      <c r="Q501" s="2" t="str">
        <f t="shared" si="375"/>
        <v>1690,2000</v>
      </c>
      <c r="R501" s="2">
        <f t="shared" si="387"/>
        <v>1690</v>
      </c>
      <c r="S501" s="2">
        <f t="shared" si="383"/>
        <v>2000</v>
      </c>
      <c r="T501" s="2" t="s">
        <v>195</v>
      </c>
      <c r="U501" s="2" t="str">
        <f t="shared" si="377"/>
        <v>144,200</v>
      </c>
      <c r="V501" s="2">
        <f t="shared" si="388"/>
        <v>144</v>
      </c>
      <c r="W501" s="2">
        <f t="shared" si="384"/>
        <v>200</v>
      </c>
      <c r="X501" s="2" t="s">
        <v>196</v>
      </c>
      <c r="Y501" s="2" t="str">
        <f t="shared" si="379"/>
        <v>135,200</v>
      </c>
      <c r="Z501" s="2">
        <f t="shared" si="389"/>
        <v>135</v>
      </c>
      <c r="AA501" s="2">
        <f t="shared" si="385"/>
        <v>200</v>
      </c>
      <c r="AB501" s="2">
        <v>100000</v>
      </c>
      <c r="AC501" s="2" t="str">
        <f>_xlfn.XLOOKUP(B501,'#캐릭터'!A:A,'#캐릭터'!B:B)</f>
        <v>카라라트리</v>
      </c>
      <c r="AD501" s="2" t="str">
        <f t="shared" si="381"/>
        <v>Common3_카라라트리</v>
      </c>
      <c r="AE501" s="2">
        <f t="shared" si="382"/>
        <v>0</v>
      </c>
    </row>
    <row r="502" spans="1:31" x14ac:dyDescent="0.2">
      <c r="A502" s="2">
        <f t="shared" si="374"/>
        <v>10445004</v>
      </c>
      <c r="B502" s="1">
        <v>10000445</v>
      </c>
      <c r="C502" s="1" t="s">
        <v>281</v>
      </c>
      <c r="D502" s="1" t="s">
        <v>309</v>
      </c>
      <c r="E502" s="1" t="str">
        <f>"Persona_"&amp;_xlfn.XLOOKUP($B502, '#캐릭터'!$A:$A, '#캐릭터'!$C:$C)</f>
        <v>Persona_c445</v>
      </c>
      <c r="F502" s="1"/>
      <c r="G502" s="1">
        <f>_xlfn.XLOOKUP(_xlfn.XLOOKUP(B502,'[1]Detail&lt;Child&gt;'!$A:$A,'[1]Detail&lt;Child&gt;'!$N:$N),'#참조'!P:P,'#참조'!Q:Q)</f>
        <v>1</v>
      </c>
      <c r="H502" s="1">
        <f>_xlfn.XLOOKUP(_xlfn.XLOOKUP(B502,'[1]Detail&lt;Child&gt;'!$A:$A,'[1]Detail&lt;Child&gt;'!$O:$O),'#참조'!R:R,'#참조'!S:S)</f>
        <v>1</v>
      </c>
      <c r="I502" s="1">
        <v>0</v>
      </c>
      <c r="J502" s="2">
        <v>3</v>
      </c>
      <c r="K502" s="2">
        <v>2</v>
      </c>
      <c r="L502" s="2">
        <v>4</v>
      </c>
      <c r="M502" s="2" t="s">
        <v>8</v>
      </c>
      <c r="N502" s="2" t="s">
        <v>407</v>
      </c>
      <c r="O502" s="2">
        <f t="shared" si="386"/>
        <v>2662</v>
      </c>
      <c r="P502" s="2" t="s">
        <v>194</v>
      </c>
      <c r="Q502" s="2" t="str">
        <f t="shared" si="375"/>
        <v>2197,2600</v>
      </c>
      <c r="R502" s="2">
        <f t="shared" si="387"/>
        <v>2197</v>
      </c>
      <c r="S502" s="2">
        <f t="shared" si="383"/>
        <v>2600</v>
      </c>
      <c r="T502" s="2" t="s">
        <v>195</v>
      </c>
      <c r="U502" s="2" t="str">
        <f t="shared" si="377"/>
        <v>173,200</v>
      </c>
      <c r="V502" s="2">
        <f t="shared" si="388"/>
        <v>173</v>
      </c>
      <c r="W502" s="2">
        <f t="shared" si="384"/>
        <v>200</v>
      </c>
      <c r="X502" s="2" t="s">
        <v>196</v>
      </c>
      <c r="Y502" s="2" t="str">
        <f t="shared" si="379"/>
        <v>176,200</v>
      </c>
      <c r="Z502" s="2">
        <f t="shared" si="389"/>
        <v>176</v>
      </c>
      <c r="AA502" s="2">
        <f t="shared" si="385"/>
        <v>200</v>
      </c>
      <c r="AB502" s="2">
        <v>95000</v>
      </c>
      <c r="AC502" s="2" t="str">
        <f>_xlfn.XLOOKUP(B502,'#캐릭터'!A:A,'#캐릭터'!B:B)</f>
        <v>카라라트리</v>
      </c>
      <c r="AD502" s="2" t="str">
        <f t="shared" si="381"/>
        <v>Uncommon1_카라라트리</v>
      </c>
      <c r="AE502" s="2">
        <f t="shared" si="382"/>
        <v>0</v>
      </c>
    </row>
    <row r="503" spans="1:31" x14ac:dyDescent="0.2">
      <c r="A503" s="2">
        <f t="shared" si="374"/>
        <v>10445005</v>
      </c>
      <c r="B503" s="1">
        <v>10000445</v>
      </c>
      <c r="C503" s="1" t="s">
        <v>281</v>
      </c>
      <c r="D503" s="1" t="s">
        <v>309</v>
      </c>
      <c r="E503" s="1" t="str">
        <f>"Persona_"&amp;_xlfn.XLOOKUP($B503, '#캐릭터'!$A:$A, '#캐릭터'!$C:$C)</f>
        <v>Persona_c445</v>
      </c>
      <c r="F503" s="1"/>
      <c r="G503" s="1">
        <f>_xlfn.XLOOKUP(_xlfn.XLOOKUP(B503,'[1]Detail&lt;Child&gt;'!$A:$A,'[1]Detail&lt;Child&gt;'!$N:$N),'#참조'!P:P,'#참조'!Q:Q)</f>
        <v>1</v>
      </c>
      <c r="H503" s="1">
        <f>_xlfn.XLOOKUP(_xlfn.XLOOKUP(B503,'[1]Detail&lt;Child&gt;'!$A:$A,'[1]Detail&lt;Child&gt;'!$O:$O),'#참조'!R:R,'#참조'!S:S)</f>
        <v>1</v>
      </c>
      <c r="I503" s="1">
        <v>0</v>
      </c>
      <c r="J503" s="2">
        <v>3</v>
      </c>
      <c r="K503" s="2">
        <v>2</v>
      </c>
      <c r="L503" s="2">
        <v>5</v>
      </c>
      <c r="M503" s="2" t="s">
        <v>9</v>
      </c>
      <c r="N503" s="2" t="s">
        <v>407</v>
      </c>
      <c r="O503" s="2">
        <f t="shared" si="386"/>
        <v>2928</v>
      </c>
      <c r="P503" s="2" t="s">
        <v>194</v>
      </c>
      <c r="Q503" s="2" t="str">
        <f t="shared" si="375"/>
        <v>2856,3400</v>
      </c>
      <c r="R503" s="2">
        <f t="shared" si="387"/>
        <v>2856</v>
      </c>
      <c r="S503" s="2">
        <f t="shared" si="383"/>
        <v>3400</v>
      </c>
      <c r="T503" s="2" t="s">
        <v>195</v>
      </c>
      <c r="U503" s="2" t="str">
        <f t="shared" si="377"/>
        <v>208,200</v>
      </c>
      <c r="V503" s="2">
        <f t="shared" si="388"/>
        <v>208</v>
      </c>
      <c r="W503" s="2">
        <f t="shared" si="384"/>
        <v>200</v>
      </c>
      <c r="X503" s="2" t="s">
        <v>196</v>
      </c>
      <c r="Y503" s="2" t="str">
        <f t="shared" si="379"/>
        <v>229,300</v>
      </c>
      <c r="Z503" s="2">
        <f t="shared" si="389"/>
        <v>229</v>
      </c>
      <c r="AA503" s="2">
        <f t="shared" si="385"/>
        <v>300</v>
      </c>
      <c r="AB503" s="2">
        <v>95000</v>
      </c>
      <c r="AC503" s="2" t="str">
        <f>_xlfn.XLOOKUP(B503,'#캐릭터'!A:A,'#캐릭터'!B:B)</f>
        <v>카라라트리</v>
      </c>
      <c r="AD503" s="2" t="str">
        <f t="shared" si="381"/>
        <v>Uncommon2_카라라트리</v>
      </c>
      <c r="AE503" s="2">
        <f t="shared" si="382"/>
        <v>0</v>
      </c>
    </row>
    <row r="504" spans="1:31" x14ac:dyDescent="0.2">
      <c r="A504" s="2">
        <f t="shared" si="374"/>
        <v>10445006</v>
      </c>
      <c r="B504" s="1">
        <v>10000445</v>
      </c>
      <c r="C504" s="1" t="s">
        <v>281</v>
      </c>
      <c r="D504" s="1" t="s">
        <v>309</v>
      </c>
      <c r="E504" s="1" t="str">
        <f>"Persona_"&amp;_xlfn.XLOOKUP($B504, '#캐릭터'!$A:$A, '#캐릭터'!$C:$C)</f>
        <v>Persona_c445</v>
      </c>
      <c r="F504" s="1"/>
      <c r="G504" s="1">
        <f>_xlfn.XLOOKUP(_xlfn.XLOOKUP(B504,'[1]Detail&lt;Child&gt;'!$A:$A,'[1]Detail&lt;Child&gt;'!$N:$N),'#참조'!P:P,'#참조'!Q:Q)</f>
        <v>1</v>
      </c>
      <c r="H504" s="1">
        <f>_xlfn.XLOOKUP(_xlfn.XLOOKUP(B504,'[1]Detail&lt;Child&gt;'!$A:$A,'[1]Detail&lt;Child&gt;'!$O:$O),'#참조'!R:R,'#참조'!S:S)</f>
        <v>1</v>
      </c>
      <c r="I504" s="1">
        <v>0</v>
      </c>
      <c r="J504" s="2">
        <v>3</v>
      </c>
      <c r="K504" s="2">
        <v>2</v>
      </c>
      <c r="L504" s="2">
        <v>6</v>
      </c>
      <c r="M504" s="2" t="s">
        <v>10</v>
      </c>
      <c r="N504" s="2" t="s">
        <v>407</v>
      </c>
      <c r="O504" s="2">
        <f t="shared" si="386"/>
        <v>3221</v>
      </c>
      <c r="P504" s="2" t="s">
        <v>194</v>
      </c>
      <c r="Q504" s="2" t="str">
        <f t="shared" si="375"/>
        <v>3713,4500</v>
      </c>
      <c r="R504" s="2">
        <f t="shared" si="387"/>
        <v>3713</v>
      </c>
      <c r="S504" s="2">
        <f t="shared" si="383"/>
        <v>4500</v>
      </c>
      <c r="T504" s="2" t="s">
        <v>195</v>
      </c>
      <c r="U504" s="2" t="str">
        <f t="shared" si="377"/>
        <v>250,300</v>
      </c>
      <c r="V504" s="2">
        <f t="shared" si="388"/>
        <v>250</v>
      </c>
      <c r="W504" s="2">
        <f t="shared" si="384"/>
        <v>300</v>
      </c>
      <c r="X504" s="2" t="s">
        <v>196</v>
      </c>
      <c r="Y504" s="2" t="str">
        <f t="shared" si="379"/>
        <v>298,400</v>
      </c>
      <c r="Z504" s="2">
        <f t="shared" si="389"/>
        <v>298</v>
      </c>
      <c r="AA504" s="2">
        <f t="shared" si="385"/>
        <v>400</v>
      </c>
      <c r="AB504" s="2">
        <v>95000</v>
      </c>
      <c r="AC504" s="2" t="str">
        <f>_xlfn.XLOOKUP(B504,'#캐릭터'!A:A,'#캐릭터'!B:B)</f>
        <v>카라라트리</v>
      </c>
      <c r="AD504" s="2" t="str">
        <f t="shared" si="381"/>
        <v>Uncommon3_카라라트리</v>
      </c>
      <c r="AE504" s="2">
        <f t="shared" si="382"/>
        <v>0</v>
      </c>
    </row>
    <row r="505" spans="1:31" x14ac:dyDescent="0.2">
      <c r="A505" s="2">
        <f t="shared" si="374"/>
        <v>10445007</v>
      </c>
      <c r="B505" s="1">
        <v>10000445</v>
      </c>
      <c r="C505" s="1" t="s">
        <v>281</v>
      </c>
      <c r="D505" s="1" t="s">
        <v>309</v>
      </c>
      <c r="E505" s="1" t="str">
        <f>"Persona_"&amp;_xlfn.XLOOKUP($B505, '#캐릭터'!$A:$A, '#캐릭터'!$C:$C)</f>
        <v>Persona_c445</v>
      </c>
      <c r="F505" s="1"/>
      <c r="G505" s="1">
        <f>_xlfn.XLOOKUP(_xlfn.XLOOKUP(B505,'[1]Detail&lt;Child&gt;'!$A:$A,'[1]Detail&lt;Child&gt;'!$N:$N),'#참조'!P:P,'#참조'!Q:Q)</f>
        <v>1</v>
      </c>
      <c r="H505" s="1">
        <f>_xlfn.XLOOKUP(_xlfn.XLOOKUP(B505,'[1]Detail&lt;Child&gt;'!$A:$A,'[1]Detail&lt;Child&gt;'!$O:$O),'#참조'!R:R,'#참조'!S:S)</f>
        <v>1</v>
      </c>
      <c r="I505" s="1">
        <v>1</v>
      </c>
      <c r="J505" s="2">
        <v>3</v>
      </c>
      <c r="K505" s="2">
        <v>3</v>
      </c>
      <c r="L505" s="2">
        <v>7</v>
      </c>
      <c r="M505" s="2" t="s">
        <v>11</v>
      </c>
      <c r="N505" s="2" t="s">
        <v>407</v>
      </c>
      <c r="O505" s="2">
        <f t="shared" si="386"/>
        <v>3543</v>
      </c>
      <c r="P505" s="2" t="s">
        <v>194</v>
      </c>
      <c r="Q505" s="2" t="str">
        <f t="shared" si="375"/>
        <v>4827,5800</v>
      </c>
      <c r="R505" s="2">
        <f t="shared" si="387"/>
        <v>4827</v>
      </c>
      <c r="S505" s="2">
        <f t="shared" si="383"/>
        <v>5800</v>
      </c>
      <c r="T505" s="2" t="s">
        <v>195</v>
      </c>
      <c r="U505" s="2" t="str">
        <f t="shared" si="377"/>
        <v>300,400</v>
      </c>
      <c r="V505" s="2">
        <f t="shared" si="388"/>
        <v>300</v>
      </c>
      <c r="W505" s="2">
        <f t="shared" si="384"/>
        <v>400</v>
      </c>
      <c r="X505" s="2" t="s">
        <v>196</v>
      </c>
      <c r="Y505" s="2" t="str">
        <f t="shared" si="379"/>
        <v>387,500</v>
      </c>
      <c r="Z505" s="2">
        <f t="shared" si="389"/>
        <v>387</v>
      </c>
      <c r="AA505" s="2">
        <f t="shared" si="385"/>
        <v>500</v>
      </c>
      <c r="AB505" s="2">
        <v>90000</v>
      </c>
      <c r="AC505" s="2" t="str">
        <f>_xlfn.XLOOKUP(B505,'#캐릭터'!A:A,'#캐릭터'!B:B)</f>
        <v>카라라트리</v>
      </c>
      <c r="AD505" s="2" t="str">
        <f t="shared" si="381"/>
        <v>Rare1_카라라트리</v>
      </c>
      <c r="AE505" s="2">
        <f t="shared" si="382"/>
        <v>1101</v>
      </c>
    </row>
    <row r="506" spans="1:31" x14ac:dyDescent="0.2">
      <c r="A506" s="2">
        <f t="shared" si="374"/>
        <v>10445008</v>
      </c>
      <c r="B506" s="1">
        <v>10000445</v>
      </c>
      <c r="C506" s="1" t="s">
        <v>281</v>
      </c>
      <c r="D506" s="1" t="s">
        <v>309</v>
      </c>
      <c r="E506" s="1" t="str">
        <f>"Persona_"&amp;_xlfn.XLOOKUP($B506, '#캐릭터'!$A:$A, '#캐릭터'!$C:$C)</f>
        <v>Persona_c445</v>
      </c>
      <c r="F506" s="1"/>
      <c r="G506" s="1">
        <f>_xlfn.XLOOKUP(_xlfn.XLOOKUP(B506,'[1]Detail&lt;Child&gt;'!$A:$A,'[1]Detail&lt;Child&gt;'!$N:$N),'#참조'!P:P,'#참조'!Q:Q)</f>
        <v>1</v>
      </c>
      <c r="H506" s="1">
        <f>_xlfn.XLOOKUP(_xlfn.XLOOKUP(B506,'[1]Detail&lt;Child&gt;'!$A:$A,'[1]Detail&lt;Child&gt;'!$O:$O),'#참조'!R:R,'#참조'!S:S)</f>
        <v>1</v>
      </c>
      <c r="I506" s="1">
        <v>1</v>
      </c>
      <c r="J506" s="2">
        <v>3</v>
      </c>
      <c r="K506" s="2">
        <v>3</v>
      </c>
      <c r="L506" s="2">
        <v>8</v>
      </c>
      <c r="M506" s="2" t="s">
        <v>12</v>
      </c>
      <c r="N506" s="2" t="s">
        <v>407</v>
      </c>
      <c r="O506" s="2">
        <f t="shared" si="386"/>
        <v>3897</v>
      </c>
      <c r="P506" s="2" t="s">
        <v>194</v>
      </c>
      <c r="Q506" s="2" t="str">
        <f t="shared" si="375"/>
        <v>6275,7500</v>
      </c>
      <c r="R506" s="2">
        <f t="shared" si="387"/>
        <v>6275</v>
      </c>
      <c r="S506" s="2">
        <f t="shared" si="383"/>
        <v>7500</v>
      </c>
      <c r="T506" s="2" t="s">
        <v>195</v>
      </c>
      <c r="U506" s="2" t="str">
        <f t="shared" si="377"/>
        <v>360,400</v>
      </c>
      <c r="V506" s="2">
        <f t="shared" si="388"/>
        <v>360</v>
      </c>
      <c r="W506" s="2">
        <f t="shared" si="384"/>
        <v>400</v>
      </c>
      <c r="X506" s="2" t="s">
        <v>196</v>
      </c>
      <c r="Y506" s="2" t="str">
        <f t="shared" si="379"/>
        <v>503,600</v>
      </c>
      <c r="Z506" s="2">
        <f t="shared" si="389"/>
        <v>503</v>
      </c>
      <c r="AA506" s="2">
        <f t="shared" si="385"/>
        <v>600</v>
      </c>
      <c r="AB506" s="2">
        <v>90000</v>
      </c>
      <c r="AC506" s="2" t="str">
        <f>_xlfn.XLOOKUP(B506,'#캐릭터'!A:A,'#캐릭터'!B:B)</f>
        <v>카라라트리</v>
      </c>
      <c r="AD506" s="2" t="str">
        <f t="shared" si="381"/>
        <v>Rare2_카라라트리</v>
      </c>
      <c r="AE506" s="2">
        <f t="shared" si="382"/>
        <v>1101</v>
      </c>
    </row>
    <row r="507" spans="1:31" x14ac:dyDescent="0.2">
      <c r="A507" s="2">
        <f t="shared" si="374"/>
        <v>10445009</v>
      </c>
      <c r="B507" s="1">
        <v>10000445</v>
      </c>
      <c r="C507" s="1" t="s">
        <v>281</v>
      </c>
      <c r="D507" s="1" t="s">
        <v>309</v>
      </c>
      <c r="E507" s="1" t="str">
        <f>"Persona_"&amp;_xlfn.XLOOKUP($B507, '#캐릭터'!$A:$A, '#캐릭터'!$C:$C)</f>
        <v>Persona_c445</v>
      </c>
      <c r="F507" s="1"/>
      <c r="G507" s="1">
        <f>_xlfn.XLOOKUP(_xlfn.XLOOKUP(B507,'[1]Detail&lt;Child&gt;'!$A:$A,'[1]Detail&lt;Child&gt;'!$N:$N),'#참조'!P:P,'#참조'!Q:Q)</f>
        <v>1</v>
      </c>
      <c r="H507" s="1">
        <f>_xlfn.XLOOKUP(_xlfn.XLOOKUP(B507,'[1]Detail&lt;Child&gt;'!$A:$A,'[1]Detail&lt;Child&gt;'!$O:$O),'#참조'!R:R,'#참조'!S:S)</f>
        <v>1</v>
      </c>
      <c r="I507" s="1">
        <v>2</v>
      </c>
      <c r="J507" s="2">
        <v>3</v>
      </c>
      <c r="K507" s="2">
        <v>3</v>
      </c>
      <c r="L507" s="2">
        <v>9</v>
      </c>
      <c r="M507" s="2" t="s">
        <v>13</v>
      </c>
      <c r="N507" s="2" t="s">
        <v>407</v>
      </c>
      <c r="O507" s="2">
        <f t="shared" si="386"/>
        <v>4287</v>
      </c>
      <c r="P507" s="2" t="s">
        <v>194</v>
      </c>
      <c r="Q507" s="2" t="str">
        <f t="shared" si="375"/>
        <v>8158,9800</v>
      </c>
      <c r="R507" s="2">
        <f t="shared" si="387"/>
        <v>8158</v>
      </c>
      <c r="S507" s="2">
        <f t="shared" si="383"/>
        <v>9800</v>
      </c>
      <c r="T507" s="2" t="s">
        <v>195</v>
      </c>
      <c r="U507" s="2" t="str">
        <f t="shared" si="377"/>
        <v>432,500</v>
      </c>
      <c r="V507" s="2">
        <f t="shared" si="388"/>
        <v>432</v>
      </c>
      <c r="W507" s="2">
        <f t="shared" si="384"/>
        <v>500</v>
      </c>
      <c r="X507" s="2" t="s">
        <v>196</v>
      </c>
      <c r="Y507" s="2" t="str">
        <f t="shared" si="379"/>
        <v>654,800</v>
      </c>
      <c r="Z507" s="2">
        <f t="shared" si="389"/>
        <v>654</v>
      </c>
      <c r="AA507" s="2">
        <f t="shared" si="385"/>
        <v>800</v>
      </c>
      <c r="AB507" s="2">
        <v>90000</v>
      </c>
      <c r="AC507" s="2" t="str">
        <f>_xlfn.XLOOKUP(B507,'#캐릭터'!A:A,'#캐릭터'!B:B)</f>
        <v>카라라트리</v>
      </c>
      <c r="AD507" s="2" t="str">
        <f t="shared" si="381"/>
        <v>Rare3_카라라트리</v>
      </c>
      <c r="AE507" s="2">
        <f t="shared" si="382"/>
        <v>1102</v>
      </c>
    </row>
    <row r="508" spans="1:31" x14ac:dyDescent="0.2">
      <c r="A508" s="2">
        <f t="shared" si="374"/>
        <v>10445010</v>
      </c>
      <c r="B508" s="1">
        <v>10000445</v>
      </c>
      <c r="C508" s="1" t="s">
        <v>281</v>
      </c>
      <c r="D508" s="1" t="s">
        <v>309</v>
      </c>
      <c r="E508" s="1" t="str">
        <f>"Persona_"&amp;_xlfn.XLOOKUP($B508, '#캐릭터'!$A:$A, '#캐릭터'!$C:$C)</f>
        <v>Persona_c445</v>
      </c>
      <c r="F508" s="1"/>
      <c r="G508" s="1">
        <f>_xlfn.XLOOKUP(_xlfn.XLOOKUP(B508,'[1]Detail&lt;Child&gt;'!$A:$A,'[1]Detail&lt;Child&gt;'!$N:$N),'#참조'!P:P,'#참조'!Q:Q)</f>
        <v>1</v>
      </c>
      <c r="H508" s="1">
        <f>_xlfn.XLOOKUP(_xlfn.XLOOKUP(B508,'[1]Detail&lt;Child&gt;'!$A:$A,'[1]Detail&lt;Child&gt;'!$O:$O),'#참조'!R:R,'#참조'!S:S)</f>
        <v>1</v>
      </c>
      <c r="I508" s="1">
        <v>2</v>
      </c>
      <c r="J508" s="2">
        <v>3</v>
      </c>
      <c r="K508" s="2">
        <v>4</v>
      </c>
      <c r="L508" s="2">
        <v>10</v>
      </c>
      <c r="M508" s="2" t="s">
        <v>14</v>
      </c>
      <c r="N508" s="2" t="s">
        <v>407</v>
      </c>
      <c r="O508" s="2">
        <f t="shared" si="386"/>
        <v>4716</v>
      </c>
      <c r="P508" s="2" t="s">
        <v>194</v>
      </c>
      <c r="Q508" s="2" t="str">
        <f t="shared" si="375"/>
        <v>10605,12700</v>
      </c>
      <c r="R508" s="2">
        <f t="shared" si="387"/>
        <v>10605</v>
      </c>
      <c r="S508" s="2">
        <f t="shared" si="383"/>
        <v>12700</v>
      </c>
      <c r="T508" s="2" t="s">
        <v>195</v>
      </c>
      <c r="U508" s="2" t="str">
        <f t="shared" si="377"/>
        <v>518,600</v>
      </c>
      <c r="V508" s="2">
        <f t="shared" si="388"/>
        <v>518</v>
      </c>
      <c r="W508" s="2">
        <f t="shared" si="384"/>
        <v>600</v>
      </c>
      <c r="X508" s="2" t="s">
        <v>196</v>
      </c>
      <c r="Y508" s="2" t="str">
        <f t="shared" si="379"/>
        <v>850,1000</v>
      </c>
      <c r="Z508" s="2">
        <f t="shared" si="389"/>
        <v>850</v>
      </c>
      <c r="AA508" s="2">
        <f t="shared" si="385"/>
        <v>1000</v>
      </c>
      <c r="AB508" s="2">
        <v>85000</v>
      </c>
      <c r="AC508" s="2" t="str">
        <f>_xlfn.XLOOKUP(B508,'#캐릭터'!A:A,'#캐릭터'!B:B)</f>
        <v>카라라트리</v>
      </c>
      <c r="AD508" s="2" t="str">
        <f t="shared" si="381"/>
        <v>Unique1_카라라트리</v>
      </c>
      <c r="AE508" s="2">
        <f t="shared" si="382"/>
        <v>1102</v>
      </c>
    </row>
    <row r="509" spans="1:31" x14ac:dyDescent="0.2">
      <c r="A509" s="2">
        <f t="shared" si="374"/>
        <v>10445011</v>
      </c>
      <c r="B509" s="1">
        <v>10000445</v>
      </c>
      <c r="C509" s="1" t="s">
        <v>281</v>
      </c>
      <c r="D509" s="1" t="s">
        <v>309</v>
      </c>
      <c r="E509" s="1" t="str">
        <f>"Persona_"&amp;_xlfn.XLOOKUP($B509, '#캐릭터'!$A:$A, '#캐릭터'!$C:$C)</f>
        <v>Persona_c445</v>
      </c>
      <c r="F509" s="1"/>
      <c r="G509" s="1">
        <f>_xlfn.XLOOKUP(_xlfn.XLOOKUP(B509,'[1]Detail&lt;Child&gt;'!$A:$A,'[1]Detail&lt;Child&gt;'!$N:$N),'#참조'!P:P,'#참조'!Q:Q)</f>
        <v>1</v>
      </c>
      <c r="H509" s="1">
        <f>_xlfn.XLOOKUP(_xlfn.XLOOKUP(B509,'[1]Detail&lt;Child&gt;'!$A:$A,'[1]Detail&lt;Child&gt;'!$O:$O),'#참조'!R:R,'#참조'!S:S)</f>
        <v>1</v>
      </c>
      <c r="I509" s="1">
        <v>3</v>
      </c>
      <c r="J509" s="2">
        <v>3</v>
      </c>
      <c r="K509" s="2">
        <v>4</v>
      </c>
      <c r="L509" s="2">
        <v>11</v>
      </c>
      <c r="M509" s="2" t="s">
        <v>15</v>
      </c>
      <c r="N509" s="2" t="s">
        <v>407</v>
      </c>
      <c r="O509" s="2">
        <f t="shared" si="386"/>
        <v>5188</v>
      </c>
      <c r="P509" s="2" t="s">
        <v>194</v>
      </c>
      <c r="Q509" s="2" t="str">
        <f t="shared" si="375"/>
        <v>13787,16500</v>
      </c>
      <c r="R509" s="2">
        <f t="shared" si="387"/>
        <v>13787</v>
      </c>
      <c r="S509" s="2">
        <f t="shared" si="383"/>
        <v>16500</v>
      </c>
      <c r="T509" s="2" t="s">
        <v>195</v>
      </c>
      <c r="U509" s="2" t="str">
        <f t="shared" si="377"/>
        <v>622,700</v>
      </c>
      <c r="V509" s="2">
        <f t="shared" si="388"/>
        <v>622</v>
      </c>
      <c r="W509" s="2">
        <f t="shared" si="384"/>
        <v>700</v>
      </c>
      <c r="X509" s="2" t="s">
        <v>196</v>
      </c>
      <c r="Y509" s="2" t="str">
        <f t="shared" si="379"/>
        <v>1105,1300</v>
      </c>
      <c r="Z509" s="2">
        <f t="shared" si="389"/>
        <v>1105</v>
      </c>
      <c r="AA509" s="2">
        <f t="shared" si="385"/>
        <v>1300</v>
      </c>
      <c r="AB509" s="2">
        <v>85000</v>
      </c>
      <c r="AC509" s="2" t="str">
        <f>_xlfn.XLOOKUP(B509,'#캐릭터'!A:A,'#캐릭터'!B:B)</f>
        <v>카라라트리</v>
      </c>
      <c r="AD509" s="2" t="str">
        <f t="shared" si="381"/>
        <v>Unique2_카라라트리</v>
      </c>
      <c r="AE509" s="2">
        <f t="shared" si="382"/>
        <v>1103</v>
      </c>
    </row>
    <row r="510" spans="1:31" x14ac:dyDescent="0.2">
      <c r="A510" s="2">
        <f t="shared" si="374"/>
        <v>10445012</v>
      </c>
      <c r="B510" s="1">
        <v>10000445</v>
      </c>
      <c r="C510" s="1" t="s">
        <v>281</v>
      </c>
      <c r="D510" s="1" t="s">
        <v>309</v>
      </c>
      <c r="E510" s="1" t="str">
        <f>"Persona_"&amp;_xlfn.XLOOKUP($B510, '#캐릭터'!$A:$A, '#캐릭터'!$C:$C)</f>
        <v>Persona_c445</v>
      </c>
      <c r="F510" s="1"/>
      <c r="G510" s="1">
        <f>_xlfn.XLOOKUP(_xlfn.XLOOKUP(B510,'[1]Detail&lt;Child&gt;'!$A:$A,'[1]Detail&lt;Child&gt;'!$N:$N),'#참조'!P:P,'#참조'!Q:Q)</f>
        <v>1</v>
      </c>
      <c r="H510" s="1">
        <f>_xlfn.XLOOKUP(_xlfn.XLOOKUP(B510,'[1]Detail&lt;Child&gt;'!$A:$A,'[1]Detail&lt;Child&gt;'!$O:$O),'#참조'!R:R,'#참조'!S:S)</f>
        <v>1</v>
      </c>
      <c r="I510" s="1">
        <v>3</v>
      </c>
      <c r="J510" s="2">
        <v>3</v>
      </c>
      <c r="K510" s="2">
        <v>4</v>
      </c>
      <c r="L510" s="2">
        <v>12</v>
      </c>
      <c r="M510" s="2" t="s">
        <v>16</v>
      </c>
      <c r="N510" s="2" t="s">
        <v>407</v>
      </c>
      <c r="O510" s="2">
        <f t="shared" si="386"/>
        <v>5707</v>
      </c>
      <c r="P510" s="2" t="s">
        <v>194</v>
      </c>
      <c r="Q510" s="2" t="str">
        <f t="shared" si="375"/>
        <v>17923,21500</v>
      </c>
      <c r="R510" s="2">
        <f t="shared" si="387"/>
        <v>17923</v>
      </c>
      <c r="S510" s="2">
        <f t="shared" si="383"/>
        <v>21500</v>
      </c>
      <c r="T510" s="2" t="s">
        <v>195</v>
      </c>
      <c r="U510" s="2" t="str">
        <f t="shared" si="377"/>
        <v>746,900</v>
      </c>
      <c r="V510" s="2">
        <f t="shared" si="388"/>
        <v>746</v>
      </c>
      <c r="W510" s="2">
        <f t="shared" si="384"/>
        <v>900</v>
      </c>
      <c r="X510" s="2" t="s">
        <v>196</v>
      </c>
      <c r="Y510" s="2" t="str">
        <f t="shared" si="379"/>
        <v>1437,1700</v>
      </c>
      <c r="Z510" s="2">
        <f t="shared" si="389"/>
        <v>1437</v>
      </c>
      <c r="AA510" s="2">
        <f t="shared" si="385"/>
        <v>1700</v>
      </c>
      <c r="AB510" s="2">
        <v>85000</v>
      </c>
      <c r="AC510" s="2" t="str">
        <f>_xlfn.XLOOKUP(B510,'#캐릭터'!A:A,'#캐릭터'!B:B)</f>
        <v>카라라트리</v>
      </c>
      <c r="AD510" s="2" t="str">
        <f t="shared" si="381"/>
        <v>Unique3_카라라트리</v>
      </c>
      <c r="AE510" s="2">
        <f t="shared" si="382"/>
        <v>1103</v>
      </c>
    </row>
    <row r="511" spans="1:31" x14ac:dyDescent="0.2">
      <c r="A511" s="2">
        <f t="shared" si="374"/>
        <v>10445013</v>
      </c>
      <c r="B511" s="1">
        <v>10000445</v>
      </c>
      <c r="C511" s="1" t="s">
        <v>281</v>
      </c>
      <c r="D511" s="1" t="s">
        <v>309</v>
      </c>
      <c r="E511" s="1" t="str">
        <f>"Persona_"&amp;_xlfn.XLOOKUP($B511, '#캐릭터'!$A:$A, '#캐릭터'!$C:$C)</f>
        <v>Persona_c445</v>
      </c>
      <c r="F511" s="1"/>
      <c r="G511" s="1">
        <f>_xlfn.XLOOKUP(_xlfn.XLOOKUP(B511,'[1]Detail&lt;Child&gt;'!$A:$A,'[1]Detail&lt;Child&gt;'!$N:$N),'#참조'!P:P,'#참조'!Q:Q)</f>
        <v>1</v>
      </c>
      <c r="H511" s="1">
        <f>_xlfn.XLOOKUP(_xlfn.XLOOKUP(B511,'[1]Detail&lt;Child&gt;'!$A:$A,'[1]Detail&lt;Child&gt;'!$O:$O),'#참조'!R:R,'#참조'!S:S)</f>
        <v>1</v>
      </c>
      <c r="I511" s="1">
        <v>4</v>
      </c>
      <c r="J511" s="2">
        <v>3</v>
      </c>
      <c r="K511" s="2">
        <v>5</v>
      </c>
      <c r="L511" s="2">
        <v>13</v>
      </c>
      <c r="M511" s="2" t="s">
        <v>17</v>
      </c>
      <c r="N511" s="2" t="s">
        <v>407</v>
      </c>
      <c r="O511" s="2">
        <f t="shared" si="386"/>
        <v>6278</v>
      </c>
      <c r="P511" s="2" t="s">
        <v>194</v>
      </c>
      <c r="Q511" s="2" t="str">
        <f t="shared" si="375"/>
        <v>23300,28000</v>
      </c>
      <c r="R511" s="2">
        <f t="shared" si="387"/>
        <v>23300</v>
      </c>
      <c r="S511" s="2">
        <f t="shared" si="383"/>
        <v>28000</v>
      </c>
      <c r="T511" s="2" t="s">
        <v>195</v>
      </c>
      <c r="U511" s="2" t="str">
        <f t="shared" si="377"/>
        <v>895,1100</v>
      </c>
      <c r="V511" s="2">
        <f t="shared" si="388"/>
        <v>895</v>
      </c>
      <c r="W511" s="2">
        <f t="shared" si="384"/>
        <v>1100</v>
      </c>
      <c r="X511" s="2" t="s">
        <v>196</v>
      </c>
      <c r="Y511" s="2" t="str">
        <f t="shared" si="379"/>
        <v>1868,2200</v>
      </c>
      <c r="Z511" s="2">
        <f t="shared" si="389"/>
        <v>1868</v>
      </c>
      <c r="AA511" s="2">
        <f t="shared" si="385"/>
        <v>2200</v>
      </c>
      <c r="AB511" s="2">
        <v>80000</v>
      </c>
      <c r="AC511" s="2" t="str">
        <f>_xlfn.XLOOKUP(B511,'#캐릭터'!A:A,'#캐릭터'!B:B)</f>
        <v>카라라트리</v>
      </c>
      <c r="AD511" s="2" t="str">
        <f t="shared" si="381"/>
        <v>Epic1_카라라트리</v>
      </c>
      <c r="AE511" s="2">
        <f t="shared" si="382"/>
        <v>1104</v>
      </c>
    </row>
    <row r="512" spans="1:31" x14ac:dyDescent="0.2">
      <c r="A512" s="2">
        <f t="shared" si="374"/>
        <v>10445014</v>
      </c>
      <c r="B512" s="1">
        <v>10000445</v>
      </c>
      <c r="C512" s="1" t="s">
        <v>281</v>
      </c>
      <c r="D512" s="1" t="s">
        <v>309</v>
      </c>
      <c r="E512" s="1" t="str">
        <f>"Persona_"&amp;_xlfn.XLOOKUP($B512, '#캐릭터'!$A:$A, '#캐릭터'!$C:$C)</f>
        <v>Persona_c445</v>
      </c>
      <c r="F512" s="1"/>
      <c r="G512" s="1">
        <f>_xlfn.XLOOKUP(_xlfn.XLOOKUP(B512,'[1]Detail&lt;Child&gt;'!$A:$A,'[1]Detail&lt;Child&gt;'!$N:$N),'#참조'!P:P,'#참조'!Q:Q)</f>
        <v>1</v>
      </c>
      <c r="H512" s="1">
        <f>_xlfn.XLOOKUP(_xlfn.XLOOKUP(B512,'[1]Detail&lt;Child&gt;'!$A:$A,'[1]Detail&lt;Child&gt;'!$O:$O),'#참조'!R:R,'#참조'!S:S)</f>
        <v>1</v>
      </c>
      <c r="I512" s="1">
        <v>4</v>
      </c>
      <c r="J512" s="2">
        <v>3</v>
      </c>
      <c r="K512" s="2">
        <v>5</v>
      </c>
      <c r="L512" s="2">
        <v>14</v>
      </c>
      <c r="M512" s="2" t="s">
        <v>18</v>
      </c>
      <c r="N512" s="2" t="s">
        <v>407</v>
      </c>
      <c r="O512" s="2">
        <f t="shared" si="386"/>
        <v>6906</v>
      </c>
      <c r="P512" s="2" t="s">
        <v>194</v>
      </c>
      <c r="Q512" s="2" t="str">
        <f t="shared" si="375"/>
        <v>30290,36300</v>
      </c>
      <c r="R512" s="2">
        <f t="shared" si="387"/>
        <v>30290</v>
      </c>
      <c r="S512" s="2">
        <f t="shared" si="383"/>
        <v>36300</v>
      </c>
      <c r="T512" s="2" t="s">
        <v>195</v>
      </c>
      <c r="U512" s="2" t="str">
        <f t="shared" si="377"/>
        <v>1074,1300</v>
      </c>
      <c r="V512" s="2">
        <f t="shared" si="388"/>
        <v>1074</v>
      </c>
      <c r="W512" s="2">
        <f t="shared" si="384"/>
        <v>1300</v>
      </c>
      <c r="X512" s="2" t="s">
        <v>196</v>
      </c>
      <c r="Y512" s="2" t="str">
        <f t="shared" si="379"/>
        <v>2428,2900</v>
      </c>
      <c r="Z512" s="2">
        <f t="shared" si="389"/>
        <v>2428</v>
      </c>
      <c r="AA512" s="2">
        <f t="shared" si="385"/>
        <v>2900</v>
      </c>
      <c r="AB512" s="2">
        <v>80000</v>
      </c>
      <c r="AC512" s="2" t="str">
        <f>_xlfn.XLOOKUP(B512,'#캐릭터'!A:A,'#캐릭터'!B:B)</f>
        <v>카라라트리</v>
      </c>
      <c r="AD512" s="2" t="str">
        <f t="shared" si="381"/>
        <v>Epic2_카라라트리</v>
      </c>
      <c r="AE512" s="2">
        <f t="shared" si="382"/>
        <v>1104</v>
      </c>
    </row>
    <row r="513" spans="1:31" x14ac:dyDescent="0.2">
      <c r="A513" s="2">
        <f t="shared" si="374"/>
        <v>10445015</v>
      </c>
      <c r="B513" s="1">
        <v>10000445</v>
      </c>
      <c r="C513" s="1" t="s">
        <v>281</v>
      </c>
      <c r="D513" s="1" t="s">
        <v>309</v>
      </c>
      <c r="E513" s="1" t="str">
        <f>"Persona_"&amp;_xlfn.XLOOKUP($B513, '#캐릭터'!$A:$A, '#캐릭터'!$C:$C)</f>
        <v>Persona_c445</v>
      </c>
      <c r="F513" s="1"/>
      <c r="G513" s="1">
        <f>_xlfn.XLOOKUP(_xlfn.XLOOKUP(B513,'[1]Detail&lt;Child&gt;'!$A:$A,'[1]Detail&lt;Child&gt;'!$N:$N),'#참조'!P:P,'#참조'!Q:Q)</f>
        <v>1</v>
      </c>
      <c r="H513" s="1">
        <f>_xlfn.XLOOKUP(_xlfn.XLOOKUP(B513,'[1]Detail&lt;Child&gt;'!$A:$A,'[1]Detail&lt;Child&gt;'!$O:$O),'#참조'!R:R,'#참조'!S:S)</f>
        <v>1</v>
      </c>
      <c r="I513" s="1">
        <v>5</v>
      </c>
      <c r="J513" s="2">
        <v>3</v>
      </c>
      <c r="K513" s="2">
        <v>5</v>
      </c>
      <c r="L513" s="2">
        <v>15</v>
      </c>
      <c r="M513" s="2" t="s">
        <v>19</v>
      </c>
      <c r="N513" s="2" t="s">
        <v>407</v>
      </c>
      <c r="O513" s="2">
        <f t="shared" si="386"/>
        <v>7597</v>
      </c>
      <c r="P513" s="2" t="s">
        <v>194</v>
      </c>
      <c r="Q513" s="2" t="str">
        <f t="shared" si="375"/>
        <v>39377,47300</v>
      </c>
      <c r="R513" s="2">
        <f t="shared" si="387"/>
        <v>39377</v>
      </c>
      <c r="S513" s="2">
        <f t="shared" si="383"/>
        <v>47300</v>
      </c>
      <c r="T513" s="2" t="s">
        <v>195</v>
      </c>
      <c r="U513" s="2" t="str">
        <f t="shared" si="377"/>
        <v>1289,1500</v>
      </c>
      <c r="V513" s="2">
        <f t="shared" si="388"/>
        <v>1289</v>
      </c>
      <c r="W513" s="2">
        <f t="shared" si="384"/>
        <v>1500</v>
      </c>
      <c r="X513" s="2" t="s">
        <v>196</v>
      </c>
      <c r="Y513" s="2" t="str">
        <f t="shared" si="379"/>
        <v>3156,3800</v>
      </c>
      <c r="Z513" s="2">
        <f t="shared" si="389"/>
        <v>3156</v>
      </c>
      <c r="AA513" s="2">
        <f t="shared" si="385"/>
        <v>3800</v>
      </c>
      <c r="AB513" s="2">
        <v>80000</v>
      </c>
      <c r="AC513" s="2" t="str">
        <f>_xlfn.XLOOKUP(B513,'#캐릭터'!A:A,'#캐릭터'!B:B)</f>
        <v>카라라트리</v>
      </c>
      <c r="AD513" s="2" t="str">
        <f t="shared" si="381"/>
        <v>Epic3_카라라트리</v>
      </c>
      <c r="AE513" s="2">
        <f t="shared" si="382"/>
        <v>1105</v>
      </c>
    </row>
    <row r="514" spans="1:31" x14ac:dyDescent="0.2">
      <c r="A514" s="2">
        <f t="shared" si="374"/>
        <v>10445016</v>
      </c>
      <c r="B514" s="1">
        <v>10000445</v>
      </c>
      <c r="C514" s="1" t="s">
        <v>281</v>
      </c>
      <c r="D514" s="1" t="s">
        <v>309</v>
      </c>
      <c r="E514" s="1" t="str">
        <f>"Persona_"&amp;_xlfn.XLOOKUP($B514, '#캐릭터'!$A:$A, '#캐릭터'!$C:$C)</f>
        <v>Persona_c445</v>
      </c>
      <c r="F514" s="1"/>
      <c r="G514" s="1">
        <f>_xlfn.XLOOKUP(_xlfn.XLOOKUP(B514,'[1]Detail&lt;Child&gt;'!$A:$A,'[1]Detail&lt;Child&gt;'!$N:$N),'#참조'!P:P,'#참조'!Q:Q)</f>
        <v>1</v>
      </c>
      <c r="H514" s="1">
        <f>_xlfn.XLOOKUP(_xlfn.XLOOKUP(B514,'[1]Detail&lt;Child&gt;'!$A:$A,'[1]Detail&lt;Child&gt;'!$O:$O),'#참조'!R:R,'#참조'!S:S)</f>
        <v>1</v>
      </c>
      <c r="I514" s="1">
        <v>5</v>
      </c>
      <c r="J514" s="2">
        <v>3</v>
      </c>
      <c r="K514" s="2">
        <v>6</v>
      </c>
      <c r="L514" s="2">
        <v>16</v>
      </c>
      <c r="M514" s="2" t="s">
        <v>20</v>
      </c>
      <c r="N514" s="2" t="s">
        <v>407</v>
      </c>
      <c r="O514" s="2">
        <f t="shared" si="386"/>
        <v>8357</v>
      </c>
      <c r="P514" s="2" t="s">
        <v>194</v>
      </c>
      <c r="Q514" s="2" t="str">
        <f t="shared" si="375"/>
        <v>51190,61400</v>
      </c>
      <c r="R514" s="2">
        <f t="shared" si="387"/>
        <v>51190</v>
      </c>
      <c r="S514" s="2">
        <f t="shared" si="383"/>
        <v>61400</v>
      </c>
      <c r="T514" s="2" t="s">
        <v>195</v>
      </c>
      <c r="U514" s="2" t="str">
        <f t="shared" si="377"/>
        <v>1547,1900</v>
      </c>
      <c r="V514" s="2">
        <f t="shared" si="388"/>
        <v>1547</v>
      </c>
      <c r="W514" s="2">
        <f t="shared" si="384"/>
        <v>1900</v>
      </c>
      <c r="X514" s="2" t="s">
        <v>196</v>
      </c>
      <c r="Y514" s="2" t="str">
        <f t="shared" si="379"/>
        <v>4103,4900</v>
      </c>
      <c r="Z514" s="2">
        <f t="shared" si="389"/>
        <v>4103</v>
      </c>
      <c r="AA514" s="2">
        <f t="shared" si="385"/>
        <v>4900</v>
      </c>
      <c r="AB514" s="2">
        <v>75000</v>
      </c>
      <c r="AC514" s="2" t="str">
        <f>_xlfn.XLOOKUP(B514,'#캐릭터'!A:A,'#캐릭터'!B:B)</f>
        <v>카라라트리</v>
      </c>
      <c r="AD514" s="2" t="str">
        <f t="shared" si="381"/>
        <v>Legendary1_카라라트리</v>
      </c>
      <c r="AE514" s="2">
        <f t="shared" si="382"/>
        <v>1105</v>
      </c>
    </row>
    <row r="515" spans="1:31" x14ac:dyDescent="0.2">
      <c r="A515" s="2">
        <f t="shared" si="374"/>
        <v>10445017</v>
      </c>
      <c r="B515" s="1">
        <v>10000445</v>
      </c>
      <c r="C515" s="1" t="s">
        <v>281</v>
      </c>
      <c r="D515" s="1" t="s">
        <v>309</v>
      </c>
      <c r="E515" s="1" t="str">
        <f>"Persona_"&amp;_xlfn.XLOOKUP($B515, '#캐릭터'!$A:$A, '#캐릭터'!$C:$C)</f>
        <v>Persona_c445</v>
      </c>
      <c r="F515" s="1"/>
      <c r="G515" s="1">
        <f>_xlfn.XLOOKUP(_xlfn.XLOOKUP(B515,'[1]Detail&lt;Child&gt;'!$A:$A,'[1]Detail&lt;Child&gt;'!$N:$N),'#참조'!P:P,'#참조'!Q:Q)</f>
        <v>1</v>
      </c>
      <c r="H515" s="1">
        <f>_xlfn.XLOOKUP(_xlfn.XLOOKUP(B515,'[1]Detail&lt;Child&gt;'!$A:$A,'[1]Detail&lt;Child&gt;'!$O:$O),'#참조'!R:R,'#참조'!S:S)</f>
        <v>1</v>
      </c>
      <c r="I515" s="1">
        <v>6</v>
      </c>
      <c r="J515" s="2">
        <v>3</v>
      </c>
      <c r="K515" s="2">
        <v>6</v>
      </c>
      <c r="L515" s="2">
        <v>17</v>
      </c>
      <c r="M515" s="2" t="s">
        <v>21</v>
      </c>
      <c r="N515" s="2" t="s">
        <v>407</v>
      </c>
      <c r="O515" s="2">
        <f t="shared" si="386"/>
        <v>9193</v>
      </c>
      <c r="P515" s="2" t="s">
        <v>194</v>
      </c>
      <c r="Q515" s="2" t="str">
        <f t="shared" si="375"/>
        <v>66547,79900</v>
      </c>
      <c r="R515" s="2">
        <f t="shared" si="387"/>
        <v>66547</v>
      </c>
      <c r="S515" s="2">
        <f t="shared" si="383"/>
        <v>79900</v>
      </c>
      <c r="T515" s="2" t="s">
        <v>195</v>
      </c>
      <c r="U515" s="2" t="str">
        <f t="shared" si="377"/>
        <v>1856,2200</v>
      </c>
      <c r="V515" s="2">
        <f t="shared" si="388"/>
        <v>1856</v>
      </c>
      <c r="W515" s="2">
        <f t="shared" si="384"/>
        <v>2200</v>
      </c>
      <c r="X515" s="2" t="s">
        <v>196</v>
      </c>
      <c r="Y515" s="2" t="str">
        <f t="shared" si="379"/>
        <v>5334,6400</v>
      </c>
      <c r="Z515" s="2">
        <f t="shared" si="389"/>
        <v>5334</v>
      </c>
      <c r="AA515" s="2">
        <f t="shared" si="385"/>
        <v>6400</v>
      </c>
      <c r="AB515" s="2">
        <v>75000</v>
      </c>
      <c r="AC515" s="2" t="str">
        <f>_xlfn.XLOOKUP(B515,'#캐릭터'!A:A,'#캐릭터'!B:B)</f>
        <v>카라라트리</v>
      </c>
      <c r="AD515" s="2" t="str">
        <f t="shared" si="381"/>
        <v>Legendary2_카라라트리</v>
      </c>
      <c r="AE515" s="2">
        <f t="shared" si="382"/>
        <v>1106</v>
      </c>
    </row>
    <row r="516" spans="1:31" x14ac:dyDescent="0.2">
      <c r="A516" s="2">
        <f t="shared" si="374"/>
        <v>10445018</v>
      </c>
      <c r="B516" s="1">
        <v>10000445</v>
      </c>
      <c r="C516" s="1" t="s">
        <v>281</v>
      </c>
      <c r="D516" s="1" t="s">
        <v>309</v>
      </c>
      <c r="E516" s="1" t="str">
        <f>"Persona_"&amp;_xlfn.XLOOKUP($B516, '#캐릭터'!$A:$A, '#캐릭터'!$C:$C)</f>
        <v>Persona_c445</v>
      </c>
      <c r="F516" s="1"/>
      <c r="G516" s="1">
        <f>_xlfn.XLOOKUP(_xlfn.XLOOKUP(B516,'[1]Detail&lt;Child&gt;'!$A:$A,'[1]Detail&lt;Child&gt;'!$N:$N),'#참조'!P:P,'#참조'!Q:Q)</f>
        <v>1</v>
      </c>
      <c r="H516" s="1">
        <f>_xlfn.XLOOKUP(_xlfn.XLOOKUP(B516,'[1]Detail&lt;Child&gt;'!$A:$A,'[1]Detail&lt;Child&gt;'!$O:$O),'#참조'!R:R,'#참조'!S:S)</f>
        <v>1</v>
      </c>
      <c r="I516" s="1">
        <v>6</v>
      </c>
      <c r="J516" s="2">
        <v>3</v>
      </c>
      <c r="K516" s="2">
        <v>6</v>
      </c>
      <c r="L516" s="2">
        <v>18</v>
      </c>
      <c r="M516" s="2" t="s">
        <v>22</v>
      </c>
      <c r="N516" s="2" t="s">
        <v>407</v>
      </c>
      <c r="O516" s="2">
        <f t="shared" si="386"/>
        <v>10112</v>
      </c>
      <c r="P516" s="2" t="s">
        <v>194</v>
      </c>
      <c r="Q516" s="2" t="str">
        <f t="shared" si="375"/>
        <v>86511,103800</v>
      </c>
      <c r="R516" s="2">
        <f t="shared" si="387"/>
        <v>86511</v>
      </c>
      <c r="S516" s="2">
        <f t="shared" si="383"/>
        <v>103800</v>
      </c>
      <c r="T516" s="2" t="s">
        <v>195</v>
      </c>
      <c r="U516" s="2" t="str">
        <f t="shared" si="377"/>
        <v>2227,2700</v>
      </c>
      <c r="V516" s="2">
        <f t="shared" si="388"/>
        <v>2227</v>
      </c>
      <c r="W516" s="2">
        <f t="shared" si="384"/>
        <v>2700</v>
      </c>
      <c r="X516" s="2" t="s">
        <v>196</v>
      </c>
      <c r="Y516" s="2" t="str">
        <f t="shared" si="379"/>
        <v>6934,8300</v>
      </c>
      <c r="Z516" s="2">
        <f t="shared" si="389"/>
        <v>6934</v>
      </c>
      <c r="AA516" s="2">
        <f t="shared" si="385"/>
        <v>8300</v>
      </c>
      <c r="AB516" s="2">
        <v>75000</v>
      </c>
      <c r="AC516" s="2" t="str">
        <f>_xlfn.XLOOKUP(B516,'#캐릭터'!A:A,'#캐릭터'!B:B)</f>
        <v>카라라트리</v>
      </c>
      <c r="AD516" s="2" t="str">
        <f t="shared" si="381"/>
        <v>Legendary3_카라라트리</v>
      </c>
      <c r="AE516" s="2">
        <f t="shared" si="382"/>
        <v>1106</v>
      </c>
    </row>
    <row r="517" spans="1:31" x14ac:dyDescent="0.2">
      <c r="A517" s="2">
        <f t="shared" ref="A517:A535" si="390">INT(1&amp;TEXT(RIGHT(B517,4),"0000")&amp;TEXT(L517,"000"))</f>
        <v>10461000</v>
      </c>
      <c r="B517" s="1">
        <v>10000461</v>
      </c>
      <c r="C517" s="1" t="s">
        <v>281</v>
      </c>
      <c r="D517" s="1" t="s">
        <v>309</v>
      </c>
      <c r="E517" s="1" t="str">
        <f>"Persona_"&amp;_xlfn.XLOOKUP($B517, '#캐릭터'!$A:$A, '#캐릭터'!$C:$C)</f>
        <v>Persona_c461</v>
      </c>
      <c r="F517" s="1"/>
      <c r="G517" s="1">
        <f>_xlfn.XLOOKUP(_xlfn.XLOOKUP(B517,'[1]Detail&lt;Child&gt;'!$A:$A,'[1]Detail&lt;Child&gt;'!$N:$N),'#참조'!P:P,'#참조'!Q:Q)</f>
        <v>3</v>
      </c>
      <c r="H517" s="1">
        <f>_xlfn.XLOOKUP(_xlfn.XLOOKUP(B517,'[1]Detail&lt;Child&gt;'!$A:$A,'[1]Detail&lt;Child&gt;'!$O:$O),'#참조'!R:R,'#참조'!S:S)</f>
        <v>4</v>
      </c>
      <c r="I517" s="1">
        <v>0</v>
      </c>
      <c r="J517" s="2">
        <v>3</v>
      </c>
      <c r="K517" s="2">
        <v>0</v>
      </c>
      <c r="L517" s="2">
        <v>0</v>
      </c>
      <c r="M517" s="2" t="s">
        <v>31</v>
      </c>
      <c r="N517" s="2" t="s">
        <v>407</v>
      </c>
      <c r="O517" s="2">
        <v>0</v>
      </c>
      <c r="P517" s="2" t="s">
        <v>194</v>
      </c>
      <c r="Q517" s="2" t="str">
        <f t="shared" ref="Q517:Q535" si="391">R517&amp;","&amp;S517</f>
        <v>1000,1000</v>
      </c>
      <c r="R517" s="2">
        <v>1000</v>
      </c>
      <c r="S517" s="2">
        <f t="shared" ref="S517" si="392">R517</f>
        <v>1000</v>
      </c>
      <c r="T517" s="2" t="s">
        <v>195</v>
      </c>
      <c r="U517" s="2" t="str">
        <f t="shared" ref="U517:U535" si="393">V517&amp;","&amp;W517</f>
        <v>100,100</v>
      </c>
      <c r="V517" s="2">
        <v>100</v>
      </c>
      <c r="W517" s="2">
        <f t="shared" ref="W517" si="394">V517</f>
        <v>100</v>
      </c>
      <c r="X517" s="2" t="s">
        <v>196</v>
      </c>
      <c r="Y517" s="2" t="str">
        <f t="shared" ref="Y517:Y535" si="395">Z517&amp;","&amp;AA517</f>
        <v>80,80</v>
      </c>
      <c r="Z517" s="2">
        <v>80</v>
      </c>
      <c r="AA517" s="2">
        <f t="shared" ref="AA517" si="396">Z517</f>
        <v>80</v>
      </c>
      <c r="AB517" s="2">
        <v>100000</v>
      </c>
      <c r="AC517" s="2" t="str">
        <f>_xlfn.XLOOKUP(B517,'#캐릭터'!A:A,'#캐릭터'!B:B)</f>
        <v>아우로라</v>
      </c>
      <c r="AD517" s="2" t="str">
        <f t="shared" ref="AD517:AD535" si="397">M517&amp;"_"&amp;AC517</f>
        <v>Default_아우로라</v>
      </c>
      <c r="AE517" s="2">
        <f t="shared" ref="AE517:AE535" si="398">IF(I517=0,0,INT(G517&amp;H517&amp;TEXT(I517,"00")))</f>
        <v>0</v>
      </c>
    </row>
    <row r="518" spans="1:31" x14ac:dyDescent="0.2">
      <c r="A518" s="2">
        <f t="shared" si="390"/>
        <v>10461001</v>
      </c>
      <c r="B518" s="1">
        <v>10000461</v>
      </c>
      <c r="C518" s="1" t="s">
        <v>281</v>
      </c>
      <c r="D518" s="1" t="s">
        <v>309</v>
      </c>
      <c r="E518" s="1" t="str">
        <f>"Persona_"&amp;_xlfn.XLOOKUP($B518, '#캐릭터'!$A:$A, '#캐릭터'!$C:$C)</f>
        <v>Persona_c461</v>
      </c>
      <c r="F518" s="1"/>
      <c r="G518" s="1">
        <f>_xlfn.XLOOKUP(_xlfn.XLOOKUP(B518,'[1]Detail&lt;Child&gt;'!$A:$A,'[1]Detail&lt;Child&gt;'!$N:$N),'#참조'!P:P,'#참조'!Q:Q)</f>
        <v>3</v>
      </c>
      <c r="H518" s="1">
        <f>_xlfn.XLOOKUP(_xlfn.XLOOKUP(B518,'[1]Detail&lt;Child&gt;'!$A:$A,'[1]Detail&lt;Child&gt;'!$O:$O),'#참조'!R:R,'#참조'!S:S)</f>
        <v>4</v>
      </c>
      <c r="I518" s="1">
        <v>0</v>
      </c>
      <c r="J518" s="2">
        <v>3</v>
      </c>
      <c r="K518" s="2">
        <v>1</v>
      </c>
      <c r="L518" s="2">
        <v>1</v>
      </c>
      <c r="M518" s="2" t="s">
        <v>5</v>
      </c>
      <c r="N518" s="2" t="s">
        <v>407</v>
      </c>
      <c r="O518" s="2">
        <v>2000</v>
      </c>
      <c r="P518" s="2" t="s">
        <v>194</v>
      </c>
      <c r="Q518" s="2" t="str">
        <f t="shared" si="391"/>
        <v>1000,1200</v>
      </c>
      <c r="R518" s="2">
        <v>1000</v>
      </c>
      <c r="S518" s="2">
        <f t="shared" ref="S518:S535" si="399">ROUND(R518*1.2, -2)</f>
        <v>1200</v>
      </c>
      <c r="T518" s="2" t="s">
        <v>195</v>
      </c>
      <c r="U518" s="2" t="str">
        <f t="shared" si="393"/>
        <v>100,100</v>
      </c>
      <c r="V518" s="2">
        <v>100</v>
      </c>
      <c r="W518" s="2">
        <f t="shared" ref="W518:W535" si="400">ROUND(V518*1.2, -2)</f>
        <v>100</v>
      </c>
      <c r="X518" s="2" t="s">
        <v>196</v>
      </c>
      <c r="Y518" s="2" t="str">
        <f t="shared" si="395"/>
        <v>80,100</v>
      </c>
      <c r="Z518" s="2">
        <v>80</v>
      </c>
      <c r="AA518" s="2">
        <f t="shared" ref="AA518:AA535" si="401">ROUND(Z518*1.2, -2)</f>
        <v>100</v>
      </c>
      <c r="AB518" s="2">
        <v>100000</v>
      </c>
      <c r="AC518" s="2" t="str">
        <f>_xlfn.XLOOKUP(B518,'#캐릭터'!A:A,'#캐릭터'!B:B)</f>
        <v>아우로라</v>
      </c>
      <c r="AD518" s="2" t="str">
        <f t="shared" si="397"/>
        <v>Common1_아우로라</v>
      </c>
      <c r="AE518" s="2">
        <f t="shared" si="398"/>
        <v>0</v>
      </c>
    </row>
    <row r="519" spans="1:31" x14ac:dyDescent="0.2">
      <c r="A519" s="2">
        <f t="shared" si="390"/>
        <v>10461002</v>
      </c>
      <c r="B519" s="1">
        <v>10000461</v>
      </c>
      <c r="C519" s="1" t="s">
        <v>281</v>
      </c>
      <c r="D519" s="1" t="s">
        <v>309</v>
      </c>
      <c r="E519" s="1" t="str">
        <f>"Persona_"&amp;_xlfn.XLOOKUP($B519, '#캐릭터'!$A:$A, '#캐릭터'!$C:$C)</f>
        <v>Persona_c461</v>
      </c>
      <c r="F519" s="1"/>
      <c r="G519" s="1">
        <f>_xlfn.XLOOKUP(_xlfn.XLOOKUP(B519,'[1]Detail&lt;Child&gt;'!$A:$A,'[1]Detail&lt;Child&gt;'!$N:$N),'#참조'!P:P,'#참조'!Q:Q)</f>
        <v>3</v>
      </c>
      <c r="H519" s="1">
        <f>_xlfn.XLOOKUP(_xlfn.XLOOKUP(B519,'[1]Detail&lt;Child&gt;'!$A:$A,'[1]Detail&lt;Child&gt;'!$O:$O),'#참조'!R:R,'#참조'!S:S)</f>
        <v>4</v>
      </c>
      <c r="I519" s="1">
        <v>0</v>
      </c>
      <c r="J519" s="2">
        <v>3</v>
      </c>
      <c r="K519" s="2">
        <v>1</v>
      </c>
      <c r="L519" s="2">
        <v>2</v>
      </c>
      <c r="M519" s="2" t="s">
        <v>6</v>
      </c>
      <c r="N519" s="2" t="s">
        <v>407</v>
      </c>
      <c r="O519" s="2">
        <f t="shared" ref="O519:O535" si="402">ROUND(O518*1.1, 0)</f>
        <v>2200</v>
      </c>
      <c r="P519" s="2" t="s">
        <v>194</v>
      </c>
      <c r="Q519" s="2" t="str">
        <f t="shared" si="391"/>
        <v>1300,1600</v>
      </c>
      <c r="R519" s="2">
        <f t="shared" ref="R519:R535" si="403">ROUND(R518*1.3, 0)</f>
        <v>1300</v>
      </c>
      <c r="S519" s="2">
        <f t="shared" si="399"/>
        <v>1600</v>
      </c>
      <c r="T519" s="2" t="s">
        <v>195</v>
      </c>
      <c r="U519" s="2" t="str">
        <f t="shared" si="393"/>
        <v>120,100</v>
      </c>
      <c r="V519" s="2">
        <f t="shared" ref="V519:V535" si="404">ROUND(V518*1.2, 0)</f>
        <v>120</v>
      </c>
      <c r="W519" s="2">
        <f t="shared" si="400"/>
        <v>100</v>
      </c>
      <c r="X519" s="2" t="s">
        <v>196</v>
      </c>
      <c r="Y519" s="2" t="str">
        <f t="shared" si="395"/>
        <v>104,100</v>
      </c>
      <c r="Z519" s="2">
        <f t="shared" ref="Z519:Z535" si="405">ROUND(Z518*1.3, 0)</f>
        <v>104</v>
      </c>
      <c r="AA519" s="2">
        <f t="shared" si="401"/>
        <v>100</v>
      </c>
      <c r="AB519" s="2">
        <v>100000</v>
      </c>
      <c r="AC519" s="2" t="str">
        <f>_xlfn.XLOOKUP(B519,'#캐릭터'!A:A,'#캐릭터'!B:B)</f>
        <v>아우로라</v>
      </c>
      <c r="AD519" s="2" t="str">
        <f t="shared" si="397"/>
        <v>Common2_아우로라</v>
      </c>
      <c r="AE519" s="2">
        <f t="shared" si="398"/>
        <v>0</v>
      </c>
    </row>
    <row r="520" spans="1:31" x14ac:dyDescent="0.2">
      <c r="A520" s="2">
        <f t="shared" si="390"/>
        <v>10461003</v>
      </c>
      <c r="B520" s="1">
        <v>10000461</v>
      </c>
      <c r="C520" s="1" t="s">
        <v>281</v>
      </c>
      <c r="D520" s="1" t="s">
        <v>309</v>
      </c>
      <c r="E520" s="1" t="str">
        <f>"Persona_"&amp;_xlfn.XLOOKUP($B520, '#캐릭터'!$A:$A, '#캐릭터'!$C:$C)</f>
        <v>Persona_c461</v>
      </c>
      <c r="F520" s="1"/>
      <c r="G520" s="1">
        <f>_xlfn.XLOOKUP(_xlfn.XLOOKUP(B520,'[1]Detail&lt;Child&gt;'!$A:$A,'[1]Detail&lt;Child&gt;'!$N:$N),'#참조'!P:P,'#참조'!Q:Q)</f>
        <v>3</v>
      </c>
      <c r="H520" s="1">
        <f>_xlfn.XLOOKUP(_xlfn.XLOOKUP(B520,'[1]Detail&lt;Child&gt;'!$A:$A,'[1]Detail&lt;Child&gt;'!$O:$O),'#참조'!R:R,'#참조'!S:S)</f>
        <v>4</v>
      </c>
      <c r="I520" s="1">
        <v>0</v>
      </c>
      <c r="J520" s="2">
        <v>3</v>
      </c>
      <c r="K520" s="2">
        <v>1</v>
      </c>
      <c r="L520" s="2">
        <v>3</v>
      </c>
      <c r="M520" s="2" t="s">
        <v>7</v>
      </c>
      <c r="N520" s="2" t="s">
        <v>407</v>
      </c>
      <c r="O520" s="2">
        <f t="shared" si="402"/>
        <v>2420</v>
      </c>
      <c r="P520" s="2" t="s">
        <v>194</v>
      </c>
      <c r="Q520" s="2" t="str">
        <f t="shared" si="391"/>
        <v>1690,2000</v>
      </c>
      <c r="R520" s="2">
        <f t="shared" si="403"/>
        <v>1690</v>
      </c>
      <c r="S520" s="2">
        <f t="shared" si="399"/>
        <v>2000</v>
      </c>
      <c r="T520" s="2" t="s">
        <v>195</v>
      </c>
      <c r="U520" s="2" t="str">
        <f t="shared" si="393"/>
        <v>144,200</v>
      </c>
      <c r="V520" s="2">
        <f t="shared" si="404"/>
        <v>144</v>
      </c>
      <c r="W520" s="2">
        <f t="shared" si="400"/>
        <v>200</v>
      </c>
      <c r="X520" s="2" t="s">
        <v>196</v>
      </c>
      <c r="Y520" s="2" t="str">
        <f t="shared" si="395"/>
        <v>135,200</v>
      </c>
      <c r="Z520" s="2">
        <f t="shared" si="405"/>
        <v>135</v>
      </c>
      <c r="AA520" s="2">
        <f t="shared" si="401"/>
        <v>200</v>
      </c>
      <c r="AB520" s="2">
        <v>100000</v>
      </c>
      <c r="AC520" s="2" t="str">
        <f>_xlfn.XLOOKUP(B520,'#캐릭터'!A:A,'#캐릭터'!B:B)</f>
        <v>아우로라</v>
      </c>
      <c r="AD520" s="2" t="str">
        <f t="shared" si="397"/>
        <v>Common3_아우로라</v>
      </c>
      <c r="AE520" s="2">
        <f t="shared" si="398"/>
        <v>0</v>
      </c>
    </row>
    <row r="521" spans="1:31" x14ac:dyDescent="0.2">
      <c r="A521" s="2">
        <f t="shared" si="390"/>
        <v>10461004</v>
      </c>
      <c r="B521" s="1">
        <v>10000461</v>
      </c>
      <c r="C521" s="1" t="s">
        <v>281</v>
      </c>
      <c r="D521" s="1" t="s">
        <v>309</v>
      </c>
      <c r="E521" s="1" t="str">
        <f>"Persona_"&amp;_xlfn.XLOOKUP($B521, '#캐릭터'!$A:$A, '#캐릭터'!$C:$C)</f>
        <v>Persona_c461</v>
      </c>
      <c r="F521" s="1"/>
      <c r="G521" s="1">
        <f>_xlfn.XLOOKUP(_xlfn.XLOOKUP(B521,'[1]Detail&lt;Child&gt;'!$A:$A,'[1]Detail&lt;Child&gt;'!$N:$N),'#참조'!P:P,'#참조'!Q:Q)</f>
        <v>3</v>
      </c>
      <c r="H521" s="1">
        <f>_xlfn.XLOOKUP(_xlfn.XLOOKUP(B521,'[1]Detail&lt;Child&gt;'!$A:$A,'[1]Detail&lt;Child&gt;'!$O:$O),'#참조'!R:R,'#참조'!S:S)</f>
        <v>4</v>
      </c>
      <c r="I521" s="1">
        <v>0</v>
      </c>
      <c r="J521" s="2">
        <v>3</v>
      </c>
      <c r="K521" s="2">
        <v>2</v>
      </c>
      <c r="L521" s="2">
        <v>4</v>
      </c>
      <c r="M521" s="2" t="s">
        <v>8</v>
      </c>
      <c r="N521" s="2" t="s">
        <v>407</v>
      </c>
      <c r="O521" s="2">
        <f t="shared" si="402"/>
        <v>2662</v>
      </c>
      <c r="P521" s="2" t="s">
        <v>194</v>
      </c>
      <c r="Q521" s="2" t="str">
        <f t="shared" si="391"/>
        <v>2197,2600</v>
      </c>
      <c r="R521" s="2">
        <f t="shared" si="403"/>
        <v>2197</v>
      </c>
      <c r="S521" s="2">
        <f t="shared" si="399"/>
        <v>2600</v>
      </c>
      <c r="T521" s="2" t="s">
        <v>195</v>
      </c>
      <c r="U521" s="2" t="str">
        <f t="shared" si="393"/>
        <v>173,200</v>
      </c>
      <c r="V521" s="2">
        <f t="shared" si="404"/>
        <v>173</v>
      </c>
      <c r="W521" s="2">
        <f t="shared" si="400"/>
        <v>200</v>
      </c>
      <c r="X521" s="2" t="s">
        <v>196</v>
      </c>
      <c r="Y521" s="2" t="str">
        <f t="shared" si="395"/>
        <v>176,200</v>
      </c>
      <c r="Z521" s="2">
        <f t="shared" si="405"/>
        <v>176</v>
      </c>
      <c r="AA521" s="2">
        <f t="shared" si="401"/>
        <v>200</v>
      </c>
      <c r="AB521" s="2">
        <v>95000</v>
      </c>
      <c r="AC521" s="2" t="str">
        <f>_xlfn.XLOOKUP(B521,'#캐릭터'!A:A,'#캐릭터'!B:B)</f>
        <v>아우로라</v>
      </c>
      <c r="AD521" s="2" t="str">
        <f t="shared" si="397"/>
        <v>Uncommon1_아우로라</v>
      </c>
      <c r="AE521" s="2">
        <f t="shared" si="398"/>
        <v>0</v>
      </c>
    </row>
    <row r="522" spans="1:31" x14ac:dyDescent="0.2">
      <c r="A522" s="2">
        <f t="shared" si="390"/>
        <v>10461005</v>
      </c>
      <c r="B522" s="1">
        <v>10000461</v>
      </c>
      <c r="C522" s="1" t="s">
        <v>281</v>
      </c>
      <c r="D522" s="1" t="s">
        <v>309</v>
      </c>
      <c r="E522" s="1" t="str">
        <f>"Persona_"&amp;_xlfn.XLOOKUP($B522, '#캐릭터'!$A:$A, '#캐릭터'!$C:$C)</f>
        <v>Persona_c461</v>
      </c>
      <c r="F522" s="1"/>
      <c r="G522" s="1">
        <f>_xlfn.XLOOKUP(_xlfn.XLOOKUP(B522,'[1]Detail&lt;Child&gt;'!$A:$A,'[1]Detail&lt;Child&gt;'!$N:$N),'#참조'!P:P,'#참조'!Q:Q)</f>
        <v>3</v>
      </c>
      <c r="H522" s="1">
        <f>_xlfn.XLOOKUP(_xlfn.XLOOKUP(B522,'[1]Detail&lt;Child&gt;'!$A:$A,'[1]Detail&lt;Child&gt;'!$O:$O),'#참조'!R:R,'#참조'!S:S)</f>
        <v>4</v>
      </c>
      <c r="I522" s="1">
        <v>0</v>
      </c>
      <c r="J522" s="2">
        <v>3</v>
      </c>
      <c r="K522" s="2">
        <v>2</v>
      </c>
      <c r="L522" s="2">
        <v>5</v>
      </c>
      <c r="M522" s="2" t="s">
        <v>9</v>
      </c>
      <c r="N522" s="2" t="s">
        <v>407</v>
      </c>
      <c r="O522" s="2">
        <f t="shared" si="402"/>
        <v>2928</v>
      </c>
      <c r="P522" s="2" t="s">
        <v>194</v>
      </c>
      <c r="Q522" s="2" t="str">
        <f t="shared" si="391"/>
        <v>2856,3400</v>
      </c>
      <c r="R522" s="2">
        <f t="shared" si="403"/>
        <v>2856</v>
      </c>
      <c r="S522" s="2">
        <f t="shared" si="399"/>
        <v>3400</v>
      </c>
      <c r="T522" s="2" t="s">
        <v>195</v>
      </c>
      <c r="U522" s="2" t="str">
        <f t="shared" si="393"/>
        <v>208,200</v>
      </c>
      <c r="V522" s="2">
        <f t="shared" si="404"/>
        <v>208</v>
      </c>
      <c r="W522" s="2">
        <f t="shared" si="400"/>
        <v>200</v>
      </c>
      <c r="X522" s="2" t="s">
        <v>196</v>
      </c>
      <c r="Y522" s="2" t="str">
        <f t="shared" si="395"/>
        <v>229,300</v>
      </c>
      <c r="Z522" s="2">
        <f t="shared" si="405"/>
        <v>229</v>
      </c>
      <c r="AA522" s="2">
        <f t="shared" si="401"/>
        <v>300</v>
      </c>
      <c r="AB522" s="2">
        <v>95000</v>
      </c>
      <c r="AC522" s="2" t="str">
        <f>_xlfn.XLOOKUP(B522,'#캐릭터'!A:A,'#캐릭터'!B:B)</f>
        <v>아우로라</v>
      </c>
      <c r="AD522" s="2" t="str">
        <f t="shared" si="397"/>
        <v>Uncommon2_아우로라</v>
      </c>
      <c r="AE522" s="2">
        <f t="shared" si="398"/>
        <v>0</v>
      </c>
    </row>
    <row r="523" spans="1:31" x14ac:dyDescent="0.2">
      <c r="A523" s="2">
        <f t="shared" si="390"/>
        <v>10461006</v>
      </c>
      <c r="B523" s="1">
        <v>10000461</v>
      </c>
      <c r="C523" s="1" t="s">
        <v>281</v>
      </c>
      <c r="D523" s="1" t="s">
        <v>309</v>
      </c>
      <c r="E523" s="1" t="str">
        <f>"Persona_"&amp;_xlfn.XLOOKUP($B523, '#캐릭터'!$A:$A, '#캐릭터'!$C:$C)</f>
        <v>Persona_c461</v>
      </c>
      <c r="F523" s="1"/>
      <c r="G523" s="1">
        <f>_xlfn.XLOOKUP(_xlfn.XLOOKUP(B523,'[1]Detail&lt;Child&gt;'!$A:$A,'[1]Detail&lt;Child&gt;'!$N:$N),'#참조'!P:P,'#참조'!Q:Q)</f>
        <v>3</v>
      </c>
      <c r="H523" s="1">
        <f>_xlfn.XLOOKUP(_xlfn.XLOOKUP(B523,'[1]Detail&lt;Child&gt;'!$A:$A,'[1]Detail&lt;Child&gt;'!$O:$O),'#참조'!R:R,'#참조'!S:S)</f>
        <v>4</v>
      </c>
      <c r="I523" s="1">
        <v>0</v>
      </c>
      <c r="J523" s="2">
        <v>3</v>
      </c>
      <c r="K523" s="2">
        <v>2</v>
      </c>
      <c r="L523" s="2">
        <v>6</v>
      </c>
      <c r="M523" s="2" t="s">
        <v>10</v>
      </c>
      <c r="N523" s="2" t="s">
        <v>407</v>
      </c>
      <c r="O523" s="2">
        <f t="shared" si="402"/>
        <v>3221</v>
      </c>
      <c r="P523" s="2" t="s">
        <v>194</v>
      </c>
      <c r="Q523" s="2" t="str">
        <f t="shared" si="391"/>
        <v>3713,4500</v>
      </c>
      <c r="R523" s="2">
        <f t="shared" si="403"/>
        <v>3713</v>
      </c>
      <c r="S523" s="2">
        <f t="shared" si="399"/>
        <v>4500</v>
      </c>
      <c r="T523" s="2" t="s">
        <v>195</v>
      </c>
      <c r="U523" s="2" t="str">
        <f t="shared" si="393"/>
        <v>250,300</v>
      </c>
      <c r="V523" s="2">
        <f t="shared" si="404"/>
        <v>250</v>
      </c>
      <c r="W523" s="2">
        <f t="shared" si="400"/>
        <v>300</v>
      </c>
      <c r="X523" s="2" t="s">
        <v>196</v>
      </c>
      <c r="Y523" s="2" t="str">
        <f t="shared" si="395"/>
        <v>298,400</v>
      </c>
      <c r="Z523" s="2">
        <f t="shared" si="405"/>
        <v>298</v>
      </c>
      <c r="AA523" s="2">
        <f t="shared" si="401"/>
        <v>400</v>
      </c>
      <c r="AB523" s="2">
        <v>95000</v>
      </c>
      <c r="AC523" s="2" t="str">
        <f>_xlfn.XLOOKUP(B523,'#캐릭터'!A:A,'#캐릭터'!B:B)</f>
        <v>아우로라</v>
      </c>
      <c r="AD523" s="2" t="str">
        <f t="shared" si="397"/>
        <v>Uncommon3_아우로라</v>
      </c>
      <c r="AE523" s="2">
        <f t="shared" si="398"/>
        <v>0</v>
      </c>
    </row>
    <row r="524" spans="1:31" x14ac:dyDescent="0.2">
      <c r="A524" s="2">
        <f t="shared" si="390"/>
        <v>10461007</v>
      </c>
      <c r="B524" s="1">
        <v>10000461</v>
      </c>
      <c r="C524" s="1" t="s">
        <v>281</v>
      </c>
      <c r="D524" s="1" t="s">
        <v>309</v>
      </c>
      <c r="E524" s="1" t="str">
        <f>"Persona_"&amp;_xlfn.XLOOKUP($B524, '#캐릭터'!$A:$A, '#캐릭터'!$C:$C)</f>
        <v>Persona_c461</v>
      </c>
      <c r="F524" s="1"/>
      <c r="G524" s="1">
        <f>_xlfn.XLOOKUP(_xlfn.XLOOKUP(B524,'[1]Detail&lt;Child&gt;'!$A:$A,'[1]Detail&lt;Child&gt;'!$N:$N),'#참조'!P:P,'#참조'!Q:Q)</f>
        <v>3</v>
      </c>
      <c r="H524" s="1">
        <f>_xlfn.XLOOKUP(_xlfn.XLOOKUP(B524,'[1]Detail&lt;Child&gt;'!$A:$A,'[1]Detail&lt;Child&gt;'!$O:$O),'#참조'!R:R,'#참조'!S:S)</f>
        <v>4</v>
      </c>
      <c r="I524" s="1">
        <v>1</v>
      </c>
      <c r="J524" s="2">
        <v>3</v>
      </c>
      <c r="K524" s="2">
        <v>3</v>
      </c>
      <c r="L524" s="2">
        <v>7</v>
      </c>
      <c r="M524" s="2" t="s">
        <v>11</v>
      </c>
      <c r="N524" s="2" t="s">
        <v>407</v>
      </c>
      <c r="O524" s="2">
        <f t="shared" si="402"/>
        <v>3543</v>
      </c>
      <c r="P524" s="2" t="s">
        <v>194</v>
      </c>
      <c r="Q524" s="2" t="str">
        <f t="shared" si="391"/>
        <v>4827,5800</v>
      </c>
      <c r="R524" s="2">
        <f t="shared" si="403"/>
        <v>4827</v>
      </c>
      <c r="S524" s="2">
        <f t="shared" si="399"/>
        <v>5800</v>
      </c>
      <c r="T524" s="2" t="s">
        <v>195</v>
      </c>
      <c r="U524" s="2" t="str">
        <f t="shared" si="393"/>
        <v>300,400</v>
      </c>
      <c r="V524" s="2">
        <f t="shared" si="404"/>
        <v>300</v>
      </c>
      <c r="W524" s="2">
        <f t="shared" si="400"/>
        <v>400</v>
      </c>
      <c r="X524" s="2" t="s">
        <v>196</v>
      </c>
      <c r="Y524" s="2" t="str">
        <f t="shared" si="395"/>
        <v>387,500</v>
      </c>
      <c r="Z524" s="2">
        <f t="shared" si="405"/>
        <v>387</v>
      </c>
      <c r="AA524" s="2">
        <f t="shared" si="401"/>
        <v>500</v>
      </c>
      <c r="AB524" s="2">
        <v>90000</v>
      </c>
      <c r="AC524" s="2" t="str">
        <f>_xlfn.XLOOKUP(B524,'#캐릭터'!A:A,'#캐릭터'!B:B)</f>
        <v>아우로라</v>
      </c>
      <c r="AD524" s="2" t="str">
        <f t="shared" si="397"/>
        <v>Rare1_아우로라</v>
      </c>
      <c r="AE524" s="2">
        <f t="shared" si="398"/>
        <v>3401</v>
      </c>
    </row>
    <row r="525" spans="1:31" x14ac:dyDescent="0.2">
      <c r="A525" s="2">
        <f t="shared" si="390"/>
        <v>10461008</v>
      </c>
      <c r="B525" s="1">
        <v>10000461</v>
      </c>
      <c r="C525" s="1" t="s">
        <v>281</v>
      </c>
      <c r="D525" s="1" t="s">
        <v>309</v>
      </c>
      <c r="E525" s="1" t="str">
        <f>"Persona_"&amp;_xlfn.XLOOKUP($B525, '#캐릭터'!$A:$A, '#캐릭터'!$C:$C)</f>
        <v>Persona_c461</v>
      </c>
      <c r="F525" s="1"/>
      <c r="G525" s="1">
        <f>_xlfn.XLOOKUP(_xlfn.XLOOKUP(B525,'[1]Detail&lt;Child&gt;'!$A:$A,'[1]Detail&lt;Child&gt;'!$N:$N),'#참조'!P:P,'#참조'!Q:Q)</f>
        <v>3</v>
      </c>
      <c r="H525" s="1">
        <f>_xlfn.XLOOKUP(_xlfn.XLOOKUP(B525,'[1]Detail&lt;Child&gt;'!$A:$A,'[1]Detail&lt;Child&gt;'!$O:$O),'#참조'!R:R,'#참조'!S:S)</f>
        <v>4</v>
      </c>
      <c r="I525" s="1">
        <v>1</v>
      </c>
      <c r="J525" s="2">
        <v>3</v>
      </c>
      <c r="K525" s="2">
        <v>3</v>
      </c>
      <c r="L525" s="2">
        <v>8</v>
      </c>
      <c r="M525" s="2" t="s">
        <v>12</v>
      </c>
      <c r="N525" s="2" t="s">
        <v>407</v>
      </c>
      <c r="O525" s="2">
        <f t="shared" si="402"/>
        <v>3897</v>
      </c>
      <c r="P525" s="2" t="s">
        <v>194</v>
      </c>
      <c r="Q525" s="2" t="str">
        <f t="shared" si="391"/>
        <v>6275,7500</v>
      </c>
      <c r="R525" s="2">
        <f t="shared" si="403"/>
        <v>6275</v>
      </c>
      <c r="S525" s="2">
        <f t="shared" si="399"/>
        <v>7500</v>
      </c>
      <c r="T525" s="2" t="s">
        <v>195</v>
      </c>
      <c r="U525" s="2" t="str">
        <f t="shared" si="393"/>
        <v>360,400</v>
      </c>
      <c r="V525" s="2">
        <f t="shared" si="404"/>
        <v>360</v>
      </c>
      <c r="W525" s="2">
        <f t="shared" si="400"/>
        <v>400</v>
      </c>
      <c r="X525" s="2" t="s">
        <v>196</v>
      </c>
      <c r="Y525" s="2" t="str">
        <f t="shared" si="395"/>
        <v>503,600</v>
      </c>
      <c r="Z525" s="2">
        <f t="shared" si="405"/>
        <v>503</v>
      </c>
      <c r="AA525" s="2">
        <f t="shared" si="401"/>
        <v>600</v>
      </c>
      <c r="AB525" s="2">
        <v>90000</v>
      </c>
      <c r="AC525" s="2" t="str">
        <f>_xlfn.XLOOKUP(B525,'#캐릭터'!A:A,'#캐릭터'!B:B)</f>
        <v>아우로라</v>
      </c>
      <c r="AD525" s="2" t="str">
        <f t="shared" si="397"/>
        <v>Rare2_아우로라</v>
      </c>
      <c r="AE525" s="2">
        <f t="shared" si="398"/>
        <v>3401</v>
      </c>
    </row>
    <row r="526" spans="1:31" x14ac:dyDescent="0.2">
      <c r="A526" s="2">
        <f t="shared" si="390"/>
        <v>10461009</v>
      </c>
      <c r="B526" s="1">
        <v>10000461</v>
      </c>
      <c r="C526" s="1" t="s">
        <v>281</v>
      </c>
      <c r="D526" s="1" t="s">
        <v>309</v>
      </c>
      <c r="E526" s="1" t="str">
        <f>"Persona_"&amp;_xlfn.XLOOKUP($B526, '#캐릭터'!$A:$A, '#캐릭터'!$C:$C)</f>
        <v>Persona_c461</v>
      </c>
      <c r="F526" s="1"/>
      <c r="G526" s="1">
        <f>_xlfn.XLOOKUP(_xlfn.XLOOKUP(B526,'[1]Detail&lt;Child&gt;'!$A:$A,'[1]Detail&lt;Child&gt;'!$N:$N),'#참조'!P:P,'#참조'!Q:Q)</f>
        <v>3</v>
      </c>
      <c r="H526" s="1">
        <f>_xlfn.XLOOKUP(_xlfn.XLOOKUP(B526,'[1]Detail&lt;Child&gt;'!$A:$A,'[1]Detail&lt;Child&gt;'!$O:$O),'#참조'!R:R,'#참조'!S:S)</f>
        <v>4</v>
      </c>
      <c r="I526" s="1">
        <v>2</v>
      </c>
      <c r="J526" s="2">
        <v>3</v>
      </c>
      <c r="K526" s="2">
        <v>3</v>
      </c>
      <c r="L526" s="2">
        <v>9</v>
      </c>
      <c r="M526" s="2" t="s">
        <v>13</v>
      </c>
      <c r="N526" s="2" t="s">
        <v>407</v>
      </c>
      <c r="O526" s="2">
        <f t="shared" si="402"/>
        <v>4287</v>
      </c>
      <c r="P526" s="2" t="s">
        <v>194</v>
      </c>
      <c r="Q526" s="2" t="str">
        <f t="shared" si="391"/>
        <v>8158,9800</v>
      </c>
      <c r="R526" s="2">
        <f t="shared" si="403"/>
        <v>8158</v>
      </c>
      <c r="S526" s="2">
        <f t="shared" si="399"/>
        <v>9800</v>
      </c>
      <c r="T526" s="2" t="s">
        <v>195</v>
      </c>
      <c r="U526" s="2" t="str">
        <f t="shared" si="393"/>
        <v>432,500</v>
      </c>
      <c r="V526" s="2">
        <f t="shared" si="404"/>
        <v>432</v>
      </c>
      <c r="W526" s="2">
        <f t="shared" si="400"/>
        <v>500</v>
      </c>
      <c r="X526" s="2" t="s">
        <v>196</v>
      </c>
      <c r="Y526" s="2" t="str">
        <f t="shared" si="395"/>
        <v>654,800</v>
      </c>
      <c r="Z526" s="2">
        <f t="shared" si="405"/>
        <v>654</v>
      </c>
      <c r="AA526" s="2">
        <f t="shared" si="401"/>
        <v>800</v>
      </c>
      <c r="AB526" s="2">
        <v>90000</v>
      </c>
      <c r="AC526" s="2" t="str">
        <f>_xlfn.XLOOKUP(B526,'#캐릭터'!A:A,'#캐릭터'!B:B)</f>
        <v>아우로라</v>
      </c>
      <c r="AD526" s="2" t="str">
        <f t="shared" si="397"/>
        <v>Rare3_아우로라</v>
      </c>
      <c r="AE526" s="2">
        <f t="shared" si="398"/>
        <v>3402</v>
      </c>
    </row>
    <row r="527" spans="1:31" x14ac:dyDescent="0.2">
      <c r="A527" s="2">
        <f t="shared" si="390"/>
        <v>10461010</v>
      </c>
      <c r="B527" s="1">
        <v>10000461</v>
      </c>
      <c r="C527" s="1" t="s">
        <v>281</v>
      </c>
      <c r="D527" s="1" t="s">
        <v>309</v>
      </c>
      <c r="E527" s="1" t="str">
        <f>"Persona_"&amp;_xlfn.XLOOKUP($B527, '#캐릭터'!$A:$A, '#캐릭터'!$C:$C)</f>
        <v>Persona_c461</v>
      </c>
      <c r="F527" s="1"/>
      <c r="G527" s="1">
        <f>_xlfn.XLOOKUP(_xlfn.XLOOKUP(B527,'[1]Detail&lt;Child&gt;'!$A:$A,'[1]Detail&lt;Child&gt;'!$N:$N),'#참조'!P:P,'#참조'!Q:Q)</f>
        <v>3</v>
      </c>
      <c r="H527" s="1">
        <f>_xlfn.XLOOKUP(_xlfn.XLOOKUP(B527,'[1]Detail&lt;Child&gt;'!$A:$A,'[1]Detail&lt;Child&gt;'!$O:$O),'#참조'!R:R,'#참조'!S:S)</f>
        <v>4</v>
      </c>
      <c r="I527" s="1">
        <v>2</v>
      </c>
      <c r="J527" s="2">
        <v>3</v>
      </c>
      <c r="K527" s="2">
        <v>4</v>
      </c>
      <c r="L527" s="2">
        <v>10</v>
      </c>
      <c r="M527" s="2" t="s">
        <v>14</v>
      </c>
      <c r="N527" s="2" t="s">
        <v>407</v>
      </c>
      <c r="O527" s="2">
        <f t="shared" si="402"/>
        <v>4716</v>
      </c>
      <c r="P527" s="2" t="s">
        <v>194</v>
      </c>
      <c r="Q527" s="2" t="str">
        <f t="shared" si="391"/>
        <v>10605,12700</v>
      </c>
      <c r="R527" s="2">
        <f t="shared" si="403"/>
        <v>10605</v>
      </c>
      <c r="S527" s="2">
        <f t="shared" si="399"/>
        <v>12700</v>
      </c>
      <c r="T527" s="2" t="s">
        <v>195</v>
      </c>
      <c r="U527" s="2" t="str">
        <f t="shared" si="393"/>
        <v>518,600</v>
      </c>
      <c r="V527" s="2">
        <f t="shared" si="404"/>
        <v>518</v>
      </c>
      <c r="W527" s="2">
        <f t="shared" si="400"/>
        <v>600</v>
      </c>
      <c r="X527" s="2" t="s">
        <v>196</v>
      </c>
      <c r="Y527" s="2" t="str">
        <f t="shared" si="395"/>
        <v>850,1000</v>
      </c>
      <c r="Z527" s="2">
        <f t="shared" si="405"/>
        <v>850</v>
      </c>
      <c r="AA527" s="2">
        <f t="shared" si="401"/>
        <v>1000</v>
      </c>
      <c r="AB527" s="2">
        <v>85000</v>
      </c>
      <c r="AC527" s="2" t="str">
        <f>_xlfn.XLOOKUP(B527,'#캐릭터'!A:A,'#캐릭터'!B:B)</f>
        <v>아우로라</v>
      </c>
      <c r="AD527" s="2" t="str">
        <f t="shared" si="397"/>
        <v>Unique1_아우로라</v>
      </c>
      <c r="AE527" s="2">
        <f t="shared" si="398"/>
        <v>3402</v>
      </c>
    </row>
    <row r="528" spans="1:31" x14ac:dyDescent="0.2">
      <c r="A528" s="2">
        <f t="shared" si="390"/>
        <v>10461011</v>
      </c>
      <c r="B528" s="1">
        <v>10000461</v>
      </c>
      <c r="C528" s="1" t="s">
        <v>281</v>
      </c>
      <c r="D528" s="1" t="s">
        <v>309</v>
      </c>
      <c r="E528" s="1" t="str">
        <f>"Persona_"&amp;_xlfn.XLOOKUP($B528, '#캐릭터'!$A:$A, '#캐릭터'!$C:$C)</f>
        <v>Persona_c461</v>
      </c>
      <c r="F528" s="1"/>
      <c r="G528" s="1">
        <f>_xlfn.XLOOKUP(_xlfn.XLOOKUP(B528,'[1]Detail&lt;Child&gt;'!$A:$A,'[1]Detail&lt;Child&gt;'!$N:$N),'#참조'!P:P,'#참조'!Q:Q)</f>
        <v>3</v>
      </c>
      <c r="H528" s="1">
        <f>_xlfn.XLOOKUP(_xlfn.XLOOKUP(B528,'[1]Detail&lt;Child&gt;'!$A:$A,'[1]Detail&lt;Child&gt;'!$O:$O),'#참조'!R:R,'#참조'!S:S)</f>
        <v>4</v>
      </c>
      <c r="I528" s="1">
        <v>3</v>
      </c>
      <c r="J528" s="2">
        <v>3</v>
      </c>
      <c r="K528" s="2">
        <v>4</v>
      </c>
      <c r="L528" s="2">
        <v>11</v>
      </c>
      <c r="M528" s="2" t="s">
        <v>15</v>
      </c>
      <c r="N528" s="2" t="s">
        <v>407</v>
      </c>
      <c r="O528" s="2">
        <f t="shared" si="402"/>
        <v>5188</v>
      </c>
      <c r="P528" s="2" t="s">
        <v>194</v>
      </c>
      <c r="Q528" s="2" t="str">
        <f t="shared" si="391"/>
        <v>13787,16500</v>
      </c>
      <c r="R528" s="2">
        <f t="shared" si="403"/>
        <v>13787</v>
      </c>
      <c r="S528" s="2">
        <f t="shared" si="399"/>
        <v>16500</v>
      </c>
      <c r="T528" s="2" t="s">
        <v>195</v>
      </c>
      <c r="U528" s="2" t="str">
        <f t="shared" si="393"/>
        <v>622,700</v>
      </c>
      <c r="V528" s="2">
        <f t="shared" si="404"/>
        <v>622</v>
      </c>
      <c r="W528" s="2">
        <f t="shared" si="400"/>
        <v>700</v>
      </c>
      <c r="X528" s="2" t="s">
        <v>196</v>
      </c>
      <c r="Y528" s="2" t="str">
        <f t="shared" si="395"/>
        <v>1105,1300</v>
      </c>
      <c r="Z528" s="2">
        <f t="shared" si="405"/>
        <v>1105</v>
      </c>
      <c r="AA528" s="2">
        <f t="shared" si="401"/>
        <v>1300</v>
      </c>
      <c r="AB528" s="2">
        <v>85000</v>
      </c>
      <c r="AC528" s="2" t="str">
        <f>_xlfn.XLOOKUP(B528,'#캐릭터'!A:A,'#캐릭터'!B:B)</f>
        <v>아우로라</v>
      </c>
      <c r="AD528" s="2" t="str">
        <f t="shared" si="397"/>
        <v>Unique2_아우로라</v>
      </c>
      <c r="AE528" s="2">
        <f t="shared" si="398"/>
        <v>3403</v>
      </c>
    </row>
    <row r="529" spans="1:31" x14ac:dyDescent="0.2">
      <c r="A529" s="2">
        <f t="shared" si="390"/>
        <v>10461012</v>
      </c>
      <c r="B529" s="1">
        <v>10000461</v>
      </c>
      <c r="C529" s="1" t="s">
        <v>281</v>
      </c>
      <c r="D529" s="1" t="s">
        <v>309</v>
      </c>
      <c r="E529" s="1" t="str">
        <f>"Persona_"&amp;_xlfn.XLOOKUP($B529, '#캐릭터'!$A:$A, '#캐릭터'!$C:$C)</f>
        <v>Persona_c461</v>
      </c>
      <c r="F529" s="1"/>
      <c r="G529" s="1">
        <f>_xlfn.XLOOKUP(_xlfn.XLOOKUP(B529,'[1]Detail&lt;Child&gt;'!$A:$A,'[1]Detail&lt;Child&gt;'!$N:$N),'#참조'!P:P,'#참조'!Q:Q)</f>
        <v>3</v>
      </c>
      <c r="H529" s="1">
        <f>_xlfn.XLOOKUP(_xlfn.XLOOKUP(B529,'[1]Detail&lt;Child&gt;'!$A:$A,'[1]Detail&lt;Child&gt;'!$O:$O),'#참조'!R:R,'#참조'!S:S)</f>
        <v>4</v>
      </c>
      <c r="I529" s="1">
        <v>3</v>
      </c>
      <c r="J529" s="2">
        <v>3</v>
      </c>
      <c r="K529" s="2">
        <v>4</v>
      </c>
      <c r="L529" s="2">
        <v>12</v>
      </c>
      <c r="M529" s="2" t="s">
        <v>16</v>
      </c>
      <c r="N529" s="2" t="s">
        <v>407</v>
      </c>
      <c r="O529" s="2">
        <f t="shared" si="402"/>
        <v>5707</v>
      </c>
      <c r="P529" s="2" t="s">
        <v>194</v>
      </c>
      <c r="Q529" s="2" t="str">
        <f t="shared" si="391"/>
        <v>17923,21500</v>
      </c>
      <c r="R529" s="2">
        <f t="shared" si="403"/>
        <v>17923</v>
      </c>
      <c r="S529" s="2">
        <f t="shared" si="399"/>
        <v>21500</v>
      </c>
      <c r="T529" s="2" t="s">
        <v>195</v>
      </c>
      <c r="U529" s="2" t="str">
        <f t="shared" si="393"/>
        <v>746,900</v>
      </c>
      <c r="V529" s="2">
        <f t="shared" si="404"/>
        <v>746</v>
      </c>
      <c r="W529" s="2">
        <f t="shared" si="400"/>
        <v>900</v>
      </c>
      <c r="X529" s="2" t="s">
        <v>196</v>
      </c>
      <c r="Y529" s="2" t="str">
        <f t="shared" si="395"/>
        <v>1437,1700</v>
      </c>
      <c r="Z529" s="2">
        <f t="shared" si="405"/>
        <v>1437</v>
      </c>
      <c r="AA529" s="2">
        <f t="shared" si="401"/>
        <v>1700</v>
      </c>
      <c r="AB529" s="2">
        <v>85000</v>
      </c>
      <c r="AC529" s="2" t="str">
        <f>_xlfn.XLOOKUP(B529,'#캐릭터'!A:A,'#캐릭터'!B:B)</f>
        <v>아우로라</v>
      </c>
      <c r="AD529" s="2" t="str">
        <f t="shared" si="397"/>
        <v>Unique3_아우로라</v>
      </c>
      <c r="AE529" s="2">
        <f t="shared" si="398"/>
        <v>3403</v>
      </c>
    </row>
    <row r="530" spans="1:31" x14ac:dyDescent="0.2">
      <c r="A530" s="2">
        <f t="shared" si="390"/>
        <v>10461013</v>
      </c>
      <c r="B530" s="1">
        <v>10000461</v>
      </c>
      <c r="C530" s="1" t="s">
        <v>281</v>
      </c>
      <c r="D530" s="1" t="s">
        <v>309</v>
      </c>
      <c r="E530" s="1" t="str">
        <f>"Persona_"&amp;_xlfn.XLOOKUP($B530, '#캐릭터'!$A:$A, '#캐릭터'!$C:$C)</f>
        <v>Persona_c461</v>
      </c>
      <c r="F530" s="1"/>
      <c r="G530" s="1">
        <f>_xlfn.XLOOKUP(_xlfn.XLOOKUP(B530,'[1]Detail&lt;Child&gt;'!$A:$A,'[1]Detail&lt;Child&gt;'!$N:$N),'#참조'!P:P,'#참조'!Q:Q)</f>
        <v>3</v>
      </c>
      <c r="H530" s="1">
        <f>_xlfn.XLOOKUP(_xlfn.XLOOKUP(B530,'[1]Detail&lt;Child&gt;'!$A:$A,'[1]Detail&lt;Child&gt;'!$O:$O),'#참조'!R:R,'#참조'!S:S)</f>
        <v>4</v>
      </c>
      <c r="I530" s="1">
        <v>4</v>
      </c>
      <c r="J530" s="2">
        <v>3</v>
      </c>
      <c r="K530" s="2">
        <v>5</v>
      </c>
      <c r="L530" s="2">
        <v>13</v>
      </c>
      <c r="M530" s="2" t="s">
        <v>17</v>
      </c>
      <c r="N530" s="2" t="s">
        <v>407</v>
      </c>
      <c r="O530" s="2">
        <f t="shared" si="402"/>
        <v>6278</v>
      </c>
      <c r="P530" s="2" t="s">
        <v>194</v>
      </c>
      <c r="Q530" s="2" t="str">
        <f t="shared" si="391"/>
        <v>23300,28000</v>
      </c>
      <c r="R530" s="2">
        <f t="shared" si="403"/>
        <v>23300</v>
      </c>
      <c r="S530" s="2">
        <f t="shared" si="399"/>
        <v>28000</v>
      </c>
      <c r="T530" s="2" t="s">
        <v>195</v>
      </c>
      <c r="U530" s="2" t="str">
        <f t="shared" si="393"/>
        <v>895,1100</v>
      </c>
      <c r="V530" s="2">
        <f t="shared" si="404"/>
        <v>895</v>
      </c>
      <c r="W530" s="2">
        <f t="shared" si="400"/>
        <v>1100</v>
      </c>
      <c r="X530" s="2" t="s">
        <v>196</v>
      </c>
      <c r="Y530" s="2" t="str">
        <f t="shared" si="395"/>
        <v>1868,2200</v>
      </c>
      <c r="Z530" s="2">
        <f t="shared" si="405"/>
        <v>1868</v>
      </c>
      <c r="AA530" s="2">
        <f t="shared" si="401"/>
        <v>2200</v>
      </c>
      <c r="AB530" s="2">
        <v>80000</v>
      </c>
      <c r="AC530" s="2" t="str">
        <f>_xlfn.XLOOKUP(B530,'#캐릭터'!A:A,'#캐릭터'!B:B)</f>
        <v>아우로라</v>
      </c>
      <c r="AD530" s="2" t="str">
        <f t="shared" si="397"/>
        <v>Epic1_아우로라</v>
      </c>
      <c r="AE530" s="2">
        <f t="shared" si="398"/>
        <v>3404</v>
      </c>
    </row>
    <row r="531" spans="1:31" x14ac:dyDescent="0.2">
      <c r="A531" s="2">
        <f t="shared" si="390"/>
        <v>10461014</v>
      </c>
      <c r="B531" s="1">
        <v>10000461</v>
      </c>
      <c r="C531" s="1" t="s">
        <v>281</v>
      </c>
      <c r="D531" s="1" t="s">
        <v>309</v>
      </c>
      <c r="E531" s="1" t="str">
        <f>"Persona_"&amp;_xlfn.XLOOKUP($B531, '#캐릭터'!$A:$A, '#캐릭터'!$C:$C)</f>
        <v>Persona_c461</v>
      </c>
      <c r="F531" s="1"/>
      <c r="G531" s="1">
        <f>_xlfn.XLOOKUP(_xlfn.XLOOKUP(B531,'[1]Detail&lt;Child&gt;'!$A:$A,'[1]Detail&lt;Child&gt;'!$N:$N),'#참조'!P:P,'#참조'!Q:Q)</f>
        <v>3</v>
      </c>
      <c r="H531" s="1">
        <f>_xlfn.XLOOKUP(_xlfn.XLOOKUP(B531,'[1]Detail&lt;Child&gt;'!$A:$A,'[1]Detail&lt;Child&gt;'!$O:$O),'#참조'!R:R,'#참조'!S:S)</f>
        <v>4</v>
      </c>
      <c r="I531" s="1">
        <v>4</v>
      </c>
      <c r="J531" s="2">
        <v>3</v>
      </c>
      <c r="K531" s="2">
        <v>5</v>
      </c>
      <c r="L531" s="2">
        <v>14</v>
      </c>
      <c r="M531" s="2" t="s">
        <v>18</v>
      </c>
      <c r="N531" s="2" t="s">
        <v>407</v>
      </c>
      <c r="O531" s="2">
        <f t="shared" si="402"/>
        <v>6906</v>
      </c>
      <c r="P531" s="2" t="s">
        <v>194</v>
      </c>
      <c r="Q531" s="2" t="str">
        <f t="shared" si="391"/>
        <v>30290,36300</v>
      </c>
      <c r="R531" s="2">
        <f t="shared" si="403"/>
        <v>30290</v>
      </c>
      <c r="S531" s="2">
        <f t="shared" si="399"/>
        <v>36300</v>
      </c>
      <c r="T531" s="2" t="s">
        <v>195</v>
      </c>
      <c r="U531" s="2" t="str">
        <f t="shared" si="393"/>
        <v>1074,1300</v>
      </c>
      <c r="V531" s="2">
        <f t="shared" si="404"/>
        <v>1074</v>
      </c>
      <c r="W531" s="2">
        <f t="shared" si="400"/>
        <v>1300</v>
      </c>
      <c r="X531" s="2" t="s">
        <v>196</v>
      </c>
      <c r="Y531" s="2" t="str">
        <f t="shared" si="395"/>
        <v>2428,2900</v>
      </c>
      <c r="Z531" s="2">
        <f t="shared" si="405"/>
        <v>2428</v>
      </c>
      <c r="AA531" s="2">
        <f t="shared" si="401"/>
        <v>2900</v>
      </c>
      <c r="AB531" s="2">
        <v>80000</v>
      </c>
      <c r="AC531" s="2" t="str">
        <f>_xlfn.XLOOKUP(B531,'#캐릭터'!A:A,'#캐릭터'!B:B)</f>
        <v>아우로라</v>
      </c>
      <c r="AD531" s="2" t="str">
        <f t="shared" si="397"/>
        <v>Epic2_아우로라</v>
      </c>
      <c r="AE531" s="2">
        <f t="shared" si="398"/>
        <v>3404</v>
      </c>
    </row>
    <row r="532" spans="1:31" x14ac:dyDescent="0.2">
      <c r="A532" s="2">
        <f t="shared" si="390"/>
        <v>10461015</v>
      </c>
      <c r="B532" s="1">
        <v>10000461</v>
      </c>
      <c r="C532" s="1" t="s">
        <v>281</v>
      </c>
      <c r="D532" s="1" t="s">
        <v>309</v>
      </c>
      <c r="E532" s="1" t="str">
        <f>"Persona_"&amp;_xlfn.XLOOKUP($B532, '#캐릭터'!$A:$A, '#캐릭터'!$C:$C)</f>
        <v>Persona_c461</v>
      </c>
      <c r="F532" s="1"/>
      <c r="G532" s="1">
        <f>_xlfn.XLOOKUP(_xlfn.XLOOKUP(B532,'[1]Detail&lt;Child&gt;'!$A:$A,'[1]Detail&lt;Child&gt;'!$N:$N),'#참조'!P:P,'#참조'!Q:Q)</f>
        <v>3</v>
      </c>
      <c r="H532" s="1">
        <f>_xlfn.XLOOKUP(_xlfn.XLOOKUP(B532,'[1]Detail&lt;Child&gt;'!$A:$A,'[1]Detail&lt;Child&gt;'!$O:$O),'#참조'!R:R,'#참조'!S:S)</f>
        <v>4</v>
      </c>
      <c r="I532" s="1">
        <v>5</v>
      </c>
      <c r="J532" s="2">
        <v>3</v>
      </c>
      <c r="K532" s="2">
        <v>5</v>
      </c>
      <c r="L532" s="2">
        <v>15</v>
      </c>
      <c r="M532" s="2" t="s">
        <v>19</v>
      </c>
      <c r="N532" s="2" t="s">
        <v>407</v>
      </c>
      <c r="O532" s="2">
        <f t="shared" si="402"/>
        <v>7597</v>
      </c>
      <c r="P532" s="2" t="s">
        <v>194</v>
      </c>
      <c r="Q532" s="2" t="str">
        <f t="shared" si="391"/>
        <v>39377,47300</v>
      </c>
      <c r="R532" s="2">
        <f t="shared" si="403"/>
        <v>39377</v>
      </c>
      <c r="S532" s="2">
        <f t="shared" si="399"/>
        <v>47300</v>
      </c>
      <c r="T532" s="2" t="s">
        <v>195</v>
      </c>
      <c r="U532" s="2" t="str">
        <f t="shared" si="393"/>
        <v>1289,1500</v>
      </c>
      <c r="V532" s="2">
        <f t="shared" si="404"/>
        <v>1289</v>
      </c>
      <c r="W532" s="2">
        <f t="shared" si="400"/>
        <v>1500</v>
      </c>
      <c r="X532" s="2" t="s">
        <v>196</v>
      </c>
      <c r="Y532" s="2" t="str">
        <f t="shared" si="395"/>
        <v>3156,3800</v>
      </c>
      <c r="Z532" s="2">
        <f t="shared" si="405"/>
        <v>3156</v>
      </c>
      <c r="AA532" s="2">
        <f t="shared" si="401"/>
        <v>3800</v>
      </c>
      <c r="AB532" s="2">
        <v>80000</v>
      </c>
      <c r="AC532" s="2" t="str">
        <f>_xlfn.XLOOKUP(B532,'#캐릭터'!A:A,'#캐릭터'!B:B)</f>
        <v>아우로라</v>
      </c>
      <c r="AD532" s="2" t="str">
        <f t="shared" si="397"/>
        <v>Epic3_아우로라</v>
      </c>
      <c r="AE532" s="2">
        <f t="shared" si="398"/>
        <v>3405</v>
      </c>
    </row>
    <row r="533" spans="1:31" x14ac:dyDescent="0.2">
      <c r="A533" s="2">
        <f t="shared" si="390"/>
        <v>10461016</v>
      </c>
      <c r="B533" s="1">
        <v>10000461</v>
      </c>
      <c r="C533" s="1" t="s">
        <v>281</v>
      </c>
      <c r="D533" s="1" t="s">
        <v>309</v>
      </c>
      <c r="E533" s="1" t="str">
        <f>"Persona_"&amp;_xlfn.XLOOKUP($B533, '#캐릭터'!$A:$A, '#캐릭터'!$C:$C)</f>
        <v>Persona_c461</v>
      </c>
      <c r="F533" s="1"/>
      <c r="G533" s="1">
        <f>_xlfn.XLOOKUP(_xlfn.XLOOKUP(B533,'[1]Detail&lt;Child&gt;'!$A:$A,'[1]Detail&lt;Child&gt;'!$N:$N),'#참조'!P:P,'#참조'!Q:Q)</f>
        <v>3</v>
      </c>
      <c r="H533" s="1">
        <f>_xlfn.XLOOKUP(_xlfn.XLOOKUP(B533,'[1]Detail&lt;Child&gt;'!$A:$A,'[1]Detail&lt;Child&gt;'!$O:$O),'#참조'!R:R,'#참조'!S:S)</f>
        <v>4</v>
      </c>
      <c r="I533" s="1">
        <v>5</v>
      </c>
      <c r="J533" s="2">
        <v>3</v>
      </c>
      <c r="K533" s="2">
        <v>6</v>
      </c>
      <c r="L533" s="2">
        <v>16</v>
      </c>
      <c r="M533" s="2" t="s">
        <v>20</v>
      </c>
      <c r="N533" s="2" t="s">
        <v>407</v>
      </c>
      <c r="O533" s="2">
        <f t="shared" si="402"/>
        <v>8357</v>
      </c>
      <c r="P533" s="2" t="s">
        <v>194</v>
      </c>
      <c r="Q533" s="2" t="str">
        <f t="shared" si="391"/>
        <v>51190,61400</v>
      </c>
      <c r="R533" s="2">
        <f t="shared" si="403"/>
        <v>51190</v>
      </c>
      <c r="S533" s="2">
        <f t="shared" si="399"/>
        <v>61400</v>
      </c>
      <c r="T533" s="2" t="s">
        <v>195</v>
      </c>
      <c r="U533" s="2" t="str">
        <f t="shared" si="393"/>
        <v>1547,1900</v>
      </c>
      <c r="V533" s="2">
        <f t="shared" si="404"/>
        <v>1547</v>
      </c>
      <c r="W533" s="2">
        <f t="shared" si="400"/>
        <v>1900</v>
      </c>
      <c r="X533" s="2" t="s">
        <v>196</v>
      </c>
      <c r="Y533" s="2" t="str">
        <f t="shared" si="395"/>
        <v>4103,4900</v>
      </c>
      <c r="Z533" s="2">
        <f t="shared" si="405"/>
        <v>4103</v>
      </c>
      <c r="AA533" s="2">
        <f t="shared" si="401"/>
        <v>4900</v>
      </c>
      <c r="AB533" s="2">
        <v>75000</v>
      </c>
      <c r="AC533" s="2" t="str">
        <f>_xlfn.XLOOKUP(B533,'#캐릭터'!A:A,'#캐릭터'!B:B)</f>
        <v>아우로라</v>
      </c>
      <c r="AD533" s="2" t="str">
        <f t="shared" si="397"/>
        <v>Legendary1_아우로라</v>
      </c>
      <c r="AE533" s="2">
        <f t="shared" si="398"/>
        <v>3405</v>
      </c>
    </row>
    <row r="534" spans="1:31" x14ac:dyDescent="0.2">
      <c r="A534" s="2">
        <f t="shared" si="390"/>
        <v>10461017</v>
      </c>
      <c r="B534" s="1">
        <v>10000461</v>
      </c>
      <c r="C534" s="1" t="s">
        <v>281</v>
      </c>
      <c r="D534" s="1" t="s">
        <v>309</v>
      </c>
      <c r="E534" s="1" t="str">
        <f>"Persona_"&amp;_xlfn.XLOOKUP($B534, '#캐릭터'!$A:$A, '#캐릭터'!$C:$C)</f>
        <v>Persona_c461</v>
      </c>
      <c r="F534" s="1"/>
      <c r="G534" s="1">
        <f>_xlfn.XLOOKUP(_xlfn.XLOOKUP(B534,'[1]Detail&lt;Child&gt;'!$A:$A,'[1]Detail&lt;Child&gt;'!$N:$N),'#참조'!P:P,'#참조'!Q:Q)</f>
        <v>3</v>
      </c>
      <c r="H534" s="1">
        <f>_xlfn.XLOOKUP(_xlfn.XLOOKUP(B534,'[1]Detail&lt;Child&gt;'!$A:$A,'[1]Detail&lt;Child&gt;'!$O:$O),'#참조'!R:R,'#참조'!S:S)</f>
        <v>4</v>
      </c>
      <c r="I534" s="1">
        <v>6</v>
      </c>
      <c r="J534" s="2">
        <v>3</v>
      </c>
      <c r="K534" s="2">
        <v>6</v>
      </c>
      <c r="L534" s="2">
        <v>17</v>
      </c>
      <c r="M534" s="2" t="s">
        <v>21</v>
      </c>
      <c r="N534" s="2" t="s">
        <v>407</v>
      </c>
      <c r="O534" s="2">
        <f t="shared" si="402"/>
        <v>9193</v>
      </c>
      <c r="P534" s="2" t="s">
        <v>194</v>
      </c>
      <c r="Q534" s="2" t="str">
        <f t="shared" si="391"/>
        <v>66547,79900</v>
      </c>
      <c r="R534" s="2">
        <f t="shared" si="403"/>
        <v>66547</v>
      </c>
      <c r="S534" s="2">
        <f t="shared" si="399"/>
        <v>79900</v>
      </c>
      <c r="T534" s="2" t="s">
        <v>195</v>
      </c>
      <c r="U534" s="2" t="str">
        <f t="shared" si="393"/>
        <v>1856,2200</v>
      </c>
      <c r="V534" s="2">
        <f t="shared" si="404"/>
        <v>1856</v>
      </c>
      <c r="W534" s="2">
        <f t="shared" si="400"/>
        <v>2200</v>
      </c>
      <c r="X534" s="2" t="s">
        <v>196</v>
      </c>
      <c r="Y534" s="2" t="str">
        <f t="shared" si="395"/>
        <v>5334,6400</v>
      </c>
      <c r="Z534" s="2">
        <f t="shared" si="405"/>
        <v>5334</v>
      </c>
      <c r="AA534" s="2">
        <f t="shared" si="401"/>
        <v>6400</v>
      </c>
      <c r="AB534" s="2">
        <v>75000</v>
      </c>
      <c r="AC534" s="2" t="str">
        <f>_xlfn.XLOOKUP(B534,'#캐릭터'!A:A,'#캐릭터'!B:B)</f>
        <v>아우로라</v>
      </c>
      <c r="AD534" s="2" t="str">
        <f t="shared" si="397"/>
        <v>Legendary2_아우로라</v>
      </c>
      <c r="AE534" s="2">
        <f t="shared" si="398"/>
        <v>3406</v>
      </c>
    </row>
    <row r="535" spans="1:31" x14ac:dyDescent="0.2">
      <c r="A535" s="2">
        <f t="shared" si="390"/>
        <v>10461018</v>
      </c>
      <c r="B535" s="1">
        <v>10000461</v>
      </c>
      <c r="C535" s="1" t="s">
        <v>281</v>
      </c>
      <c r="D535" s="1" t="s">
        <v>309</v>
      </c>
      <c r="E535" s="1" t="str">
        <f>"Persona_"&amp;_xlfn.XLOOKUP($B535, '#캐릭터'!$A:$A, '#캐릭터'!$C:$C)</f>
        <v>Persona_c461</v>
      </c>
      <c r="F535" s="1"/>
      <c r="G535" s="1">
        <f>_xlfn.XLOOKUP(_xlfn.XLOOKUP(B535,'[1]Detail&lt;Child&gt;'!$A:$A,'[1]Detail&lt;Child&gt;'!$N:$N),'#참조'!P:P,'#참조'!Q:Q)</f>
        <v>3</v>
      </c>
      <c r="H535" s="1">
        <f>_xlfn.XLOOKUP(_xlfn.XLOOKUP(B535,'[1]Detail&lt;Child&gt;'!$A:$A,'[1]Detail&lt;Child&gt;'!$O:$O),'#참조'!R:R,'#참조'!S:S)</f>
        <v>4</v>
      </c>
      <c r="I535" s="1">
        <v>6</v>
      </c>
      <c r="J535" s="2">
        <v>3</v>
      </c>
      <c r="K535" s="2">
        <v>6</v>
      </c>
      <c r="L535" s="2">
        <v>18</v>
      </c>
      <c r="M535" s="2" t="s">
        <v>22</v>
      </c>
      <c r="N535" s="2" t="s">
        <v>407</v>
      </c>
      <c r="O535" s="2">
        <f t="shared" si="402"/>
        <v>10112</v>
      </c>
      <c r="P535" s="2" t="s">
        <v>194</v>
      </c>
      <c r="Q535" s="2" t="str">
        <f t="shared" si="391"/>
        <v>86511,103800</v>
      </c>
      <c r="R535" s="2">
        <f t="shared" si="403"/>
        <v>86511</v>
      </c>
      <c r="S535" s="2">
        <f t="shared" si="399"/>
        <v>103800</v>
      </c>
      <c r="T535" s="2" t="s">
        <v>195</v>
      </c>
      <c r="U535" s="2" t="str">
        <f t="shared" si="393"/>
        <v>2227,2700</v>
      </c>
      <c r="V535" s="2">
        <f t="shared" si="404"/>
        <v>2227</v>
      </c>
      <c r="W535" s="2">
        <f t="shared" si="400"/>
        <v>2700</v>
      </c>
      <c r="X535" s="2" t="s">
        <v>196</v>
      </c>
      <c r="Y535" s="2" t="str">
        <f t="shared" si="395"/>
        <v>6934,8300</v>
      </c>
      <c r="Z535" s="2">
        <f t="shared" si="405"/>
        <v>6934</v>
      </c>
      <c r="AA535" s="2">
        <f t="shared" si="401"/>
        <v>8300</v>
      </c>
      <c r="AB535" s="2">
        <v>75000</v>
      </c>
      <c r="AC535" s="2" t="str">
        <f>_xlfn.XLOOKUP(B535,'#캐릭터'!A:A,'#캐릭터'!B:B)</f>
        <v>아우로라</v>
      </c>
      <c r="AD535" s="2" t="str">
        <f t="shared" si="397"/>
        <v>Legendary3_아우로라</v>
      </c>
      <c r="AE535" s="2">
        <f t="shared" si="398"/>
        <v>3406</v>
      </c>
    </row>
    <row r="536" spans="1:31" x14ac:dyDescent="0.2">
      <c r="A536" s="2">
        <f t="shared" ref="A536:A554" si="406">INT(1&amp;TEXT(RIGHT(B536,4),"0000")&amp;TEXT(L536,"000"))</f>
        <v>10283000</v>
      </c>
      <c r="B536" s="1">
        <v>10000283</v>
      </c>
      <c r="C536" s="1" t="s">
        <v>281</v>
      </c>
      <c r="D536" s="1" t="s">
        <v>309</v>
      </c>
      <c r="E536" s="1" t="str">
        <f>"Persona_"&amp;_xlfn.XLOOKUP($B536, '#캐릭터'!$A:$A, '#캐릭터'!$C:$C)</f>
        <v>Persona_c283</v>
      </c>
      <c r="F536" s="1"/>
      <c r="G536" s="1">
        <f>_xlfn.XLOOKUP(_xlfn.XLOOKUP(B536,'[1]Detail&lt;Child&gt;'!$A:$A,'[1]Detail&lt;Child&gt;'!$N:$N),'#참조'!P:P,'#참조'!Q:Q)</f>
        <v>1</v>
      </c>
      <c r="H536" s="1">
        <f>_xlfn.XLOOKUP(_xlfn.XLOOKUP(B536,'[1]Detail&lt;Child&gt;'!$A:$A,'[1]Detail&lt;Child&gt;'!$O:$O),'#참조'!R:R,'#참조'!S:S)</f>
        <v>1</v>
      </c>
      <c r="I536" s="1">
        <v>0</v>
      </c>
      <c r="J536" s="2">
        <v>3</v>
      </c>
      <c r="K536" s="2">
        <v>0</v>
      </c>
      <c r="L536" s="2">
        <v>0</v>
      </c>
      <c r="M536" s="2" t="s">
        <v>31</v>
      </c>
      <c r="N536" s="2" t="s">
        <v>407</v>
      </c>
      <c r="O536" s="2">
        <v>0</v>
      </c>
      <c r="P536" s="2" t="s">
        <v>194</v>
      </c>
      <c r="Q536" s="2" t="str">
        <f t="shared" ref="Q536:Q554" si="407">R536&amp;","&amp;S536</f>
        <v>1000,1000</v>
      </c>
      <c r="R536" s="2">
        <v>1000</v>
      </c>
      <c r="S536" s="2">
        <f t="shared" ref="S536" si="408">R536</f>
        <v>1000</v>
      </c>
      <c r="T536" s="2" t="s">
        <v>195</v>
      </c>
      <c r="U536" s="2" t="str">
        <f t="shared" ref="U536:U554" si="409">V536&amp;","&amp;W536</f>
        <v>100,100</v>
      </c>
      <c r="V536" s="2">
        <v>100</v>
      </c>
      <c r="W536" s="2">
        <f t="shared" ref="W536" si="410">V536</f>
        <v>100</v>
      </c>
      <c r="X536" s="2" t="s">
        <v>196</v>
      </c>
      <c r="Y536" s="2" t="str">
        <f t="shared" ref="Y536:Y554" si="411">Z536&amp;","&amp;AA536</f>
        <v>80,80</v>
      </c>
      <c r="Z536" s="2">
        <v>80</v>
      </c>
      <c r="AA536" s="2">
        <f t="shared" ref="AA536" si="412">Z536</f>
        <v>80</v>
      </c>
      <c r="AB536" s="2">
        <v>100000</v>
      </c>
      <c r="AC536" s="2" t="str">
        <f>_xlfn.XLOOKUP(B536,'#캐릭터'!A:A,'#캐릭터'!B:B)</f>
        <v>모건</v>
      </c>
      <c r="AD536" s="2" t="str">
        <f t="shared" ref="AD536:AD554" si="413">M536&amp;"_"&amp;AC536</f>
        <v>Default_모건</v>
      </c>
      <c r="AE536" s="2">
        <f t="shared" ref="AE536:AE554" si="414">IF(I536=0,0,INT(G536&amp;H536&amp;TEXT(I536,"00")))</f>
        <v>0</v>
      </c>
    </row>
    <row r="537" spans="1:31" x14ac:dyDescent="0.2">
      <c r="A537" s="2">
        <f t="shared" si="406"/>
        <v>10283001</v>
      </c>
      <c r="B537" s="1">
        <v>10000283</v>
      </c>
      <c r="C537" s="1" t="s">
        <v>281</v>
      </c>
      <c r="D537" s="1" t="s">
        <v>309</v>
      </c>
      <c r="E537" s="1" t="str">
        <f>"Persona_"&amp;_xlfn.XLOOKUP($B537, '#캐릭터'!$A:$A, '#캐릭터'!$C:$C)</f>
        <v>Persona_c283</v>
      </c>
      <c r="F537" s="1"/>
      <c r="G537" s="1">
        <f>_xlfn.XLOOKUP(_xlfn.XLOOKUP(B537,'[1]Detail&lt;Child&gt;'!$A:$A,'[1]Detail&lt;Child&gt;'!$N:$N),'#참조'!P:P,'#참조'!Q:Q)</f>
        <v>1</v>
      </c>
      <c r="H537" s="1">
        <f>_xlfn.XLOOKUP(_xlfn.XLOOKUP(B537,'[1]Detail&lt;Child&gt;'!$A:$A,'[1]Detail&lt;Child&gt;'!$O:$O),'#참조'!R:R,'#참조'!S:S)</f>
        <v>1</v>
      </c>
      <c r="I537" s="1">
        <v>0</v>
      </c>
      <c r="J537" s="2">
        <v>3</v>
      </c>
      <c r="K537" s="2">
        <v>1</v>
      </c>
      <c r="L537" s="2">
        <v>1</v>
      </c>
      <c r="M537" s="2" t="s">
        <v>5</v>
      </c>
      <c r="N537" s="2" t="s">
        <v>407</v>
      </c>
      <c r="O537" s="2">
        <v>2000</v>
      </c>
      <c r="P537" s="2" t="s">
        <v>194</v>
      </c>
      <c r="Q537" s="2" t="str">
        <f t="shared" si="407"/>
        <v>1000,1200</v>
      </c>
      <c r="R537" s="2">
        <v>1000</v>
      </c>
      <c r="S537" s="2">
        <f t="shared" ref="S537:S554" si="415">ROUND(R537*1.2, -2)</f>
        <v>1200</v>
      </c>
      <c r="T537" s="2" t="s">
        <v>195</v>
      </c>
      <c r="U537" s="2" t="str">
        <f t="shared" si="409"/>
        <v>100,100</v>
      </c>
      <c r="V537" s="2">
        <v>100</v>
      </c>
      <c r="W537" s="2">
        <f t="shared" ref="W537:W554" si="416">ROUND(V537*1.2, -2)</f>
        <v>100</v>
      </c>
      <c r="X537" s="2" t="s">
        <v>196</v>
      </c>
      <c r="Y537" s="2" t="str">
        <f t="shared" si="411"/>
        <v>80,100</v>
      </c>
      <c r="Z537" s="2">
        <v>80</v>
      </c>
      <c r="AA537" s="2">
        <f t="shared" ref="AA537:AA554" si="417">ROUND(Z537*1.2, -2)</f>
        <v>100</v>
      </c>
      <c r="AB537" s="2">
        <v>100000</v>
      </c>
      <c r="AC537" s="2" t="str">
        <f>_xlfn.XLOOKUP(B537,'#캐릭터'!A:A,'#캐릭터'!B:B)</f>
        <v>모건</v>
      </c>
      <c r="AD537" s="2" t="str">
        <f t="shared" si="413"/>
        <v>Common1_모건</v>
      </c>
      <c r="AE537" s="2">
        <f t="shared" si="414"/>
        <v>0</v>
      </c>
    </row>
    <row r="538" spans="1:31" x14ac:dyDescent="0.2">
      <c r="A538" s="2">
        <f t="shared" si="406"/>
        <v>10283002</v>
      </c>
      <c r="B538" s="1">
        <v>10000283</v>
      </c>
      <c r="C538" s="1" t="s">
        <v>281</v>
      </c>
      <c r="D538" s="1" t="s">
        <v>309</v>
      </c>
      <c r="E538" s="1" t="str">
        <f>"Persona_"&amp;_xlfn.XLOOKUP($B538, '#캐릭터'!$A:$A, '#캐릭터'!$C:$C)</f>
        <v>Persona_c283</v>
      </c>
      <c r="F538" s="1"/>
      <c r="G538" s="1">
        <f>_xlfn.XLOOKUP(_xlfn.XLOOKUP(B538,'[1]Detail&lt;Child&gt;'!$A:$A,'[1]Detail&lt;Child&gt;'!$N:$N),'#참조'!P:P,'#참조'!Q:Q)</f>
        <v>1</v>
      </c>
      <c r="H538" s="1">
        <f>_xlfn.XLOOKUP(_xlfn.XLOOKUP(B538,'[1]Detail&lt;Child&gt;'!$A:$A,'[1]Detail&lt;Child&gt;'!$O:$O),'#참조'!R:R,'#참조'!S:S)</f>
        <v>1</v>
      </c>
      <c r="I538" s="1">
        <v>0</v>
      </c>
      <c r="J538" s="2">
        <v>3</v>
      </c>
      <c r="K538" s="2">
        <v>1</v>
      </c>
      <c r="L538" s="2">
        <v>2</v>
      </c>
      <c r="M538" s="2" t="s">
        <v>6</v>
      </c>
      <c r="N538" s="2" t="s">
        <v>407</v>
      </c>
      <c r="O538" s="2">
        <f t="shared" ref="O538:O554" si="418">ROUND(O537*1.1, 0)</f>
        <v>2200</v>
      </c>
      <c r="P538" s="2" t="s">
        <v>194</v>
      </c>
      <c r="Q538" s="2" t="str">
        <f t="shared" si="407"/>
        <v>1300,1600</v>
      </c>
      <c r="R538" s="2">
        <f t="shared" ref="R538:R554" si="419">ROUND(R537*1.3, 0)</f>
        <v>1300</v>
      </c>
      <c r="S538" s="2">
        <f t="shared" si="415"/>
        <v>1600</v>
      </c>
      <c r="T538" s="2" t="s">
        <v>195</v>
      </c>
      <c r="U538" s="2" t="str">
        <f t="shared" si="409"/>
        <v>120,100</v>
      </c>
      <c r="V538" s="2">
        <f t="shared" ref="V538:V554" si="420">ROUND(V537*1.2, 0)</f>
        <v>120</v>
      </c>
      <c r="W538" s="2">
        <f t="shared" si="416"/>
        <v>100</v>
      </c>
      <c r="X538" s="2" t="s">
        <v>196</v>
      </c>
      <c r="Y538" s="2" t="str">
        <f t="shared" si="411"/>
        <v>104,100</v>
      </c>
      <c r="Z538" s="2">
        <f t="shared" ref="Z538:Z554" si="421">ROUND(Z537*1.3, 0)</f>
        <v>104</v>
      </c>
      <c r="AA538" s="2">
        <f t="shared" si="417"/>
        <v>100</v>
      </c>
      <c r="AB538" s="2">
        <v>100000</v>
      </c>
      <c r="AC538" s="2" t="str">
        <f>_xlfn.XLOOKUP(B538,'#캐릭터'!A:A,'#캐릭터'!B:B)</f>
        <v>모건</v>
      </c>
      <c r="AD538" s="2" t="str">
        <f t="shared" si="413"/>
        <v>Common2_모건</v>
      </c>
      <c r="AE538" s="2">
        <f t="shared" si="414"/>
        <v>0</v>
      </c>
    </row>
    <row r="539" spans="1:31" x14ac:dyDescent="0.2">
      <c r="A539" s="2">
        <f t="shared" si="406"/>
        <v>10283003</v>
      </c>
      <c r="B539" s="1">
        <v>10000283</v>
      </c>
      <c r="C539" s="1" t="s">
        <v>281</v>
      </c>
      <c r="D539" s="1" t="s">
        <v>309</v>
      </c>
      <c r="E539" s="1" t="str">
        <f>"Persona_"&amp;_xlfn.XLOOKUP($B539, '#캐릭터'!$A:$A, '#캐릭터'!$C:$C)</f>
        <v>Persona_c283</v>
      </c>
      <c r="F539" s="1"/>
      <c r="G539" s="1">
        <f>_xlfn.XLOOKUP(_xlfn.XLOOKUP(B539,'[1]Detail&lt;Child&gt;'!$A:$A,'[1]Detail&lt;Child&gt;'!$N:$N),'#참조'!P:P,'#참조'!Q:Q)</f>
        <v>1</v>
      </c>
      <c r="H539" s="1">
        <f>_xlfn.XLOOKUP(_xlfn.XLOOKUP(B539,'[1]Detail&lt;Child&gt;'!$A:$A,'[1]Detail&lt;Child&gt;'!$O:$O),'#참조'!R:R,'#참조'!S:S)</f>
        <v>1</v>
      </c>
      <c r="I539" s="1">
        <v>0</v>
      </c>
      <c r="J539" s="2">
        <v>3</v>
      </c>
      <c r="K539" s="2">
        <v>1</v>
      </c>
      <c r="L539" s="2">
        <v>3</v>
      </c>
      <c r="M539" s="2" t="s">
        <v>7</v>
      </c>
      <c r="N539" s="2" t="s">
        <v>407</v>
      </c>
      <c r="O539" s="2">
        <f t="shared" si="418"/>
        <v>2420</v>
      </c>
      <c r="P539" s="2" t="s">
        <v>194</v>
      </c>
      <c r="Q539" s="2" t="str">
        <f t="shared" si="407"/>
        <v>1690,2000</v>
      </c>
      <c r="R539" s="2">
        <f t="shared" si="419"/>
        <v>1690</v>
      </c>
      <c r="S539" s="2">
        <f t="shared" si="415"/>
        <v>2000</v>
      </c>
      <c r="T539" s="2" t="s">
        <v>195</v>
      </c>
      <c r="U539" s="2" t="str">
        <f t="shared" si="409"/>
        <v>144,200</v>
      </c>
      <c r="V539" s="2">
        <f t="shared" si="420"/>
        <v>144</v>
      </c>
      <c r="W539" s="2">
        <f t="shared" si="416"/>
        <v>200</v>
      </c>
      <c r="X539" s="2" t="s">
        <v>196</v>
      </c>
      <c r="Y539" s="2" t="str">
        <f t="shared" si="411"/>
        <v>135,200</v>
      </c>
      <c r="Z539" s="2">
        <f t="shared" si="421"/>
        <v>135</v>
      </c>
      <c r="AA539" s="2">
        <f t="shared" si="417"/>
        <v>200</v>
      </c>
      <c r="AB539" s="2">
        <v>100000</v>
      </c>
      <c r="AC539" s="2" t="str">
        <f>_xlfn.XLOOKUP(B539,'#캐릭터'!A:A,'#캐릭터'!B:B)</f>
        <v>모건</v>
      </c>
      <c r="AD539" s="2" t="str">
        <f t="shared" si="413"/>
        <v>Common3_모건</v>
      </c>
      <c r="AE539" s="2">
        <f t="shared" si="414"/>
        <v>0</v>
      </c>
    </row>
    <row r="540" spans="1:31" x14ac:dyDescent="0.2">
      <c r="A540" s="2">
        <f t="shared" si="406"/>
        <v>10283004</v>
      </c>
      <c r="B540" s="1">
        <v>10000283</v>
      </c>
      <c r="C540" s="1" t="s">
        <v>281</v>
      </c>
      <c r="D540" s="1" t="s">
        <v>309</v>
      </c>
      <c r="E540" s="1" t="str">
        <f>"Persona_"&amp;_xlfn.XLOOKUP($B540, '#캐릭터'!$A:$A, '#캐릭터'!$C:$C)</f>
        <v>Persona_c283</v>
      </c>
      <c r="F540" s="1"/>
      <c r="G540" s="1">
        <f>_xlfn.XLOOKUP(_xlfn.XLOOKUP(B540,'[1]Detail&lt;Child&gt;'!$A:$A,'[1]Detail&lt;Child&gt;'!$N:$N),'#참조'!P:P,'#참조'!Q:Q)</f>
        <v>1</v>
      </c>
      <c r="H540" s="1">
        <f>_xlfn.XLOOKUP(_xlfn.XLOOKUP(B540,'[1]Detail&lt;Child&gt;'!$A:$A,'[1]Detail&lt;Child&gt;'!$O:$O),'#참조'!R:R,'#참조'!S:S)</f>
        <v>1</v>
      </c>
      <c r="I540" s="1">
        <v>0</v>
      </c>
      <c r="J540" s="2">
        <v>3</v>
      </c>
      <c r="K540" s="2">
        <v>2</v>
      </c>
      <c r="L540" s="2">
        <v>4</v>
      </c>
      <c r="M540" s="2" t="s">
        <v>8</v>
      </c>
      <c r="N540" s="2" t="s">
        <v>407</v>
      </c>
      <c r="O540" s="2">
        <f t="shared" si="418"/>
        <v>2662</v>
      </c>
      <c r="P540" s="2" t="s">
        <v>194</v>
      </c>
      <c r="Q540" s="2" t="str">
        <f t="shared" si="407"/>
        <v>2197,2600</v>
      </c>
      <c r="R540" s="2">
        <f t="shared" si="419"/>
        <v>2197</v>
      </c>
      <c r="S540" s="2">
        <f t="shared" si="415"/>
        <v>2600</v>
      </c>
      <c r="T540" s="2" t="s">
        <v>195</v>
      </c>
      <c r="U540" s="2" t="str">
        <f t="shared" si="409"/>
        <v>173,200</v>
      </c>
      <c r="V540" s="2">
        <f t="shared" si="420"/>
        <v>173</v>
      </c>
      <c r="W540" s="2">
        <f t="shared" si="416"/>
        <v>200</v>
      </c>
      <c r="X540" s="2" t="s">
        <v>196</v>
      </c>
      <c r="Y540" s="2" t="str">
        <f t="shared" si="411"/>
        <v>176,200</v>
      </c>
      <c r="Z540" s="2">
        <f t="shared" si="421"/>
        <v>176</v>
      </c>
      <c r="AA540" s="2">
        <f t="shared" si="417"/>
        <v>200</v>
      </c>
      <c r="AB540" s="2">
        <v>95000</v>
      </c>
      <c r="AC540" s="2" t="str">
        <f>_xlfn.XLOOKUP(B540,'#캐릭터'!A:A,'#캐릭터'!B:B)</f>
        <v>모건</v>
      </c>
      <c r="AD540" s="2" t="str">
        <f t="shared" si="413"/>
        <v>Uncommon1_모건</v>
      </c>
      <c r="AE540" s="2">
        <f t="shared" si="414"/>
        <v>0</v>
      </c>
    </row>
    <row r="541" spans="1:31" x14ac:dyDescent="0.2">
      <c r="A541" s="2">
        <f t="shared" si="406"/>
        <v>10283005</v>
      </c>
      <c r="B541" s="1">
        <v>10000283</v>
      </c>
      <c r="C541" s="1" t="s">
        <v>281</v>
      </c>
      <c r="D541" s="1" t="s">
        <v>309</v>
      </c>
      <c r="E541" s="1" t="str">
        <f>"Persona_"&amp;_xlfn.XLOOKUP($B541, '#캐릭터'!$A:$A, '#캐릭터'!$C:$C)</f>
        <v>Persona_c283</v>
      </c>
      <c r="F541" s="1"/>
      <c r="G541" s="1">
        <f>_xlfn.XLOOKUP(_xlfn.XLOOKUP(B541,'[1]Detail&lt;Child&gt;'!$A:$A,'[1]Detail&lt;Child&gt;'!$N:$N),'#참조'!P:P,'#참조'!Q:Q)</f>
        <v>1</v>
      </c>
      <c r="H541" s="1">
        <f>_xlfn.XLOOKUP(_xlfn.XLOOKUP(B541,'[1]Detail&lt;Child&gt;'!$A:$A,'[1]Detail&lt;Child&gt;'!$O:$O),'#참조'!R:R,'#참조'!S:S)</f>
        <v>1</v>
      </c>
      <c r="I541" s="1">
        <v>0</v>
      </c>
      <c r="J541" s="2">
        <v>3</v>
      </c>
      <c r="K541" s="2">
        <v>2</v>
      </c>
      <c r="L541" s="2">
        <v>5</v>
      </c>
      <c r="M541" s="2" t="s">
        <v>9</v>
      </c>
      <c r="N541" s="2" t="s">
        <v>407</v>
      </c>
      <c r="O541" s="2">
        <f t="shared" si="418"/>
        <v>2928</v>
      </c>
      <c r="P541" s="2" t="s">
        <v>194</v>
      </c>
      <c r="Q541" s="2" t="str">
        <f t="shared" si="407"/>
        <v>2856,3400</v>
      </c>
      <c r="R541" s="2">
        <f t="shared" si="419"/>
        <v>2856</v>
      </c>
      <c r="S541" s="2">
        <f t="shared" si="415"/>
        <v>3400</v>
      </c>
      <c r="T541" s="2" t="s">
        <v>195</v>
      </c>
      <c r="U541" s="2" t="str">
        <f t="shared" si="409"/>
        <v>208,200</v>
      </c>
      <c r="V541" s="2">
        <f t="shared" si="420"/>
        <v>208</v>
      </c>
      <c r="W541" s="2">
        <f t="shared" si="416"/>
        <v>200</v>
      </c>
      <c r="X541" s="2" t="s">
        <v>196</v>
      </c>
      <c r="Y541" s="2" t="str">
        <f t="shared" si="411"/>
        <v>229,300</v>
      </c>
      <c r="Z541" s="2">
        <f t="shared" si="421"/>
        <v>229</v>
      </c>
      <c r="AA541" s="2">
        <f t="shared" si="417"/>
        <v>300</v>
      </c>
      <c r="AB541" s="2">
        <v>95000</v>
      </c>
      <c r="AC541" s="2" t="str">
        <f>_xlfn.XLOOKUP(B541,'#캐릭터'!A:A,'#캐릭터'!B:B)</f>
        <v>모건</v>
      </c>
      <c r="AD541" s="2" t="str">
        <f t="shared" si="413"/>
        <v>Uncommon2_모건</v>
      </c>
      <c r="AE541" s="2">
        <f t="shared" si="414"/>
        <v>0</v>
      </c>
    </row>
    <row r="542" spans="1:31" x14ac:dyDescent="0.2">
      <c r="A542" s="2">
        <f t="shared" si="406"/>
        <v>10283006</v>
      </c>
      <c r="B542" s="1">
        <v>10000283</v>
      </c>
      <c r="C542" s="1" t="s">
        <v>281</v>
      </c>
      <c r="D542" s="1" t="s">
        <v>309</v>
      </c>
      <c r="E542" s="1" t="str">
        <f>"Persona_"&amp;_xlfn.XLOOKUP($B542, '#캐릭터'!$A:$A, '#캐릭터'!$C:$C)</f>
        <v>Persona_c283</v>
      </c>
      <c r="F542" s="1"/>
      <c r="G542" s="1">
        <f>_xlfn.XLOOKUP(_xlfn.XLOOKUP(B542,'[1]Detail&lt;Child&gt;'!$A:$A,'[1]Detail&lt;Child&gt;'!$N:$N),'#참조'!P:P,'#참조'!Q:Q)</f>
        <v>1</v>
      </c>
      <c r="H542" s="1">
        <f>_xlfn.XLOOKUP(_xlfn.XLOOKUP(B542,'[1]Detail&lt;Child&gt;'!$A:$A,'[1]Detail&lt;Child&gt;'!$O:$O),'#참조'!R:R,'#참조'!S:S)</f>
        <v>1</v>
      </c>
      <c r="I542" s="1">
        <v>0</v>
      </c>
      <c r="J542" s="2">
        <v>3</v>
      </c>
      <c r="K542" s="2">
        <v>2</v>
      </c>
      <c r="L542" s="2">
        <v>6</v>
      </c>
      <c r="M542" s="2" t="s">
        <v>10</v>
      </c>
      <c r="N542" s="2" t="s">
        <v>407</v>
      </c>
      <c r="O542" s="2">
        <f t="shared" si="418"/>
        <v>3221</v>
      </c>
      <c r="P542" s="2" t="s">
        <v>194</v>
      </c>
      <c r="Q542" s="2" t="str">
        <f t="shared" si="407"/>
        <v>3713,4500</v>
      </c>
      <c r="R542" s="2">
        <f t="shared" si="419"/>
        <v>3713</v>
      </c>
      <c r="S542" s="2">
        <f t="shared" si="415"/>
        <v>4500</v>
      </c>
      <c r="T542" s="2" t="s">
        <v>195</v>
      </c>
      <c r="U542" s="2" t="str">
        <f t="shared" si="409"/>
        <v>250,300</v>
      </c>
      <c r="V542" s="2">
        <f t="shared" si="420"/>
        <v>250</v>
      </c>
      <c r="W542" s="2">
        <f t="shared" si="416"/>
        <v>300</v>
      </c>
      <c r="X542" s="2" t="s">
        <v>196</v>
      </c>
      <c r="Y542" s="2" t="str">
        <f t="shared" si="411"/>
        <v>298,400</v>
      </c>
      <c r="Z542" s="2">
        <f t="shared" si="421"/>
        <v>298</v>
      </c>
      <c r="AA542" s="2">
        <f t="shared" si="417"/>
        <v>400</v>
      </c>
      <c r="AB542" s="2">
        <v>95000</v>
      </c>
      <c r="AC542" s="2" t="str">
        <f>_xlfn.XLOOKUP(B542,'#캐릭터'!A:A,'#캐릭터'!B:B)</f>
        <v>모건</v>
      </c>
      <c r="AD542" s="2" t="str">
        <f t="shared" si="413"/>
        <v>Uncommon3_모건</v>
      </c>
      <c r="AE542" s="2">
        <f t="shared" si="414"/>
        <v>0</v>
      </c>
    </row>
    <row r="543" spans="1:31" x14ac:dyDescent="0.2">
      <c r="A543" s="2">
        <f t="shared" si="406"/>
        <v>10283007</v>
      </c>
      <c r="B543" s="1">
        <v>10000283</v>
      </c>
      <c r="C543" s="1" t="s">
        <v>281</v>
      </c>
      <c r="D543" s="1" t="s">
        <v>309</v>
      </c>
      <c r="E543" s="1" t="str">
        <f>"Persona_"&amp;_xlfn.XLOOKUP($B543, '#캐릭터'!$A:$A, '#캐릭터'!$C:$C)</f>
        <v>Persona_c283</v>
      </c>
      <c r="F543" s="1"/>
      <c r="G543" s="1">
        <f>_xlfn.XLOOKUP(_xlfn.XLOOKUP(B543,'[1]Detail&lt;Child&gt;'!$A:$A,'[1]Detail&lt;Child&gt;'!$N:$N),'#참조'!P:P,'#참조'!Q:Q)</f>
        <v>1</v>
      </c>
      <c r="H543" s="1">
        <f>_xlfn.XLOOKUP(_xlfn.XLOOKUP(B543,'[1]Detail&lt;Child&gt;'!$A:$A,'[1]Detail&lt;Child&gt;'!$O:$O),'#참조'!R:R,'#참조'!S:S)</f>
        <v>1</v>
      </c>
      <c r="I543" s="1">
        <v>1</v>
      </c>
      <c r="J543" s="2">
        <v>3</v>
      </c>
      <c r="K543" s="2">
        <v>3</v>
      </c>
      <c r="L543" s="2">
        <v>7</v>
      </c>
      <c r="M543" s="2" t="s">
        <v>11</v>
      </c>
      <c r="N543" s="2" t="s">
        <v>407</v>
      </c>
      <c r="O543" s="2">
        <f t="shared" si="418"/>
        <v>3543</v>
      </c>
      <c r="P543" s="2" t="s">
        <v>194</v>
      </c>
      <c r="Q543" s="2" t="str">
        <f t="shared" si="407"/>
        <v>4827,5800</v>
      </c>
      <c r="R543" s="2">
        <f t="shared" si="419"/>
        <v>4827</v>
      </c>
      <c r="S543" s="2">
        <f t="shared" si="415"/>
        <v>5800</v>
      </c>
      <c r="T543" s="2" t="s">
        <v>195</v>
      </c>
      <c r="U543" s="2" t="str">
        <f t="shared" si="409"/>
        <v>300,400</v>
      </c>
      <c r="V543" s="2">
        <f t="shared" si="420"/>
        <v>300</v>
      </c>
      <c r="W543" s="2">
        <f t="shared" si="416"/>
        <v>400</v>
      </c>
      <c r="X543" s="2" t="s">
        <v>196</v>
      </c>
      <c r="Y543" s="2" t="str">
        <f t="shared" si="411"/>
        <v>387,500</v>
      </c>
      <c r="Z543" s="2">
        <f t="shared" si="421"/>
        <v>387</v>
      </c>
      <c r="AA543" s="2">
        <f t="shared" si="417"/>
        <v>500</v>
      </c>
      <c r="AB543" s="2">
        <v>90000</v>
      </c>
      <c r="AC543" s="2" t="str">
        <f>_xlfn.XLOOKUP(B543,'#캐릭터'!A:A,'#캐릭터'!B:B)</f>
        <v>모건</v>
      </c>
      <c r="AD543" s="2" t="str">
        <f t="shared" si="413"/>
        <v>Rare1_모건</v>
      </c>
      <c r="AE543" s="2">
        <f t="shared" si="414"/>
        <v>1101</v>
      </c>
    </row>
    <row r="544" spans="1:31" x14ac:dyDescent="0.2">
      <c r="A544" s="2">
        <f t="shared" si="406"/>
        <v>10283008</v>
      </c>
      <c r="B544" s="1">
        <v>10000283</v>
      </c>
      <c r="C544" s="1" t="s">
        <v>281</v>
      </c>
      <c r="D544" s="1" t="s">
        <v>309</v>
      </c>
      <c r="E544" s="1" t="str">
        <f>"Persona_"&amp;_xlfn.XLOOKUP($B544, '#캐릭터'!$A:$A, '#캐릭터'!$C:$C)</f>
        <v>Persona_c283</v>
      </c>
      <c r="F544" s="1"/>
      <c r="G544" s="1">
        <f>_xlfn.XLOOKUP(_xlfn.XLOOKUP(B544,'[1]Detail&lt;Child&gt;'!$A:$A,'[1]Detail&lt;Child&gt;'!$N:$N),'#참조'!P:P,'#참조'!Q:Q)</f>
        <v>1</v>
      </c>
      <c r="H544" s="1">
        <f>_xlfn.XLOOKUP(_xlfn.XLOOKUP(B544,'[1]Detail&lt;Child&gt;'!$A:$A,'[1]Detail&lt;Child&gt;'!$O:$O),'#참조'!R:R,'#참조'!S:S)</f>
        <v>1</v>
      </c>
      <c r="I544" s="1">
        <v>1</v>
      </c>
      <c r="J544" s="2">
        <v>3</v>
      </c>
      <c r="K544" s="2">
        <v>3</v>
      </c>
      <c r="L544" s="2">
        <v>8</v>
      </c>
      <c r="M544" s="2" t="s">
        <v>12</v>
      </c>
      <c r="N544" s="2" t="s">
        <v>407</v>
      </c>
      <c r="O544" s="2">
        <f t="shared" si="418"/>
        <v>3897</v>
      </c>
      <c r="P544" s="2" t="s">
        <v>194</v>
      </c>
      <c r="Q544" s="2" t="str">
        <f t="shared" si="407"/>
        <v>6275,7500</v>
      </c>
      <c r="R544" s="2">
        <f t="shared" si="419"/>
        <v>6275</v>
      </c>
      <c r="S544" s="2">
        <f t="shared" si="415"/>
        <v>7500</v>
      </c>
      <c r="T544" s="2" t="s">
        <v>195</v>
      </c>
      <c r="U544" s="2" t="str">
        <f t="shared" si="409"/>
        <v>360,400</v>
      </c>
      <c r="V544" s="2">
        <f t="shared" si="420"/>
        <v>360</v>
      </c>
      <c r="W544" s="2">
        <f t="shared" si="416"/>
        <v>400</v>
      </c>
      <c r="X544" s="2" t="s">
        <v>196</v>
      </c>
      <c r="Y544" s="2" t="str">
        <f t="shared" si="411"/>
        <v>503,600</v>
      </c>
      <c r="Z544" s="2">
        <f t="shared" si="421"/>
        <v>503</v>
      </c>
      <c r="AA544" s="2">
        <f t="shared" si="417"/>
        <v>600</v>
      </c>
      <c r="AB544" s="2">
        <v>90000</v>
      </c>
      <c r="AC544" s="2" t="str">
        <f>_xlfn.XLOOKUP(B544,'#캐릭터'!A:A,'#캐릭터'!B:B)</f>
        <v>모건</v>
      </c>
      <c r="AD544" s="2" t="str">
        <f t="shared" si="413"/>
        <v>Rare2_모건</v>
      </c>
      <c r="AE544" s="2">
        <f t="shared" si="414"/>
        <v>1101</v>
      </c>
    </row>
    <row r="545" spans="1:31" x14ac:dyDescent="0.2">
      <c r="A545" s="2">
        <f t="shared" si="406"/>
        <v>10283009</v>
      </c>
      <c r="B545" s="1">
        <v>10000283</v>
      </c>
      <c r="C545" s="1" t="s">
        <v>281</v>
      </c>
      <c r="D545" s="1" t="s">
        <v>309</v>
      </c>
      <c r="E545" s="1" t="str">
        <f>"Persona_"&amp;_xlfn.XLOOKUP($B545, '#캐릭터'!$A:$A, '#캐릭터'!$C:$C)</f>
        <v>Persona_c283</v>
      </c>
      <c r="F545" s="1"/>
      <c r="G545" s="1">
        <f>_xlfn.XLOOKUP(_xlfn.XLOOKUP(B545,'[1]Detail&lt;Child&gt;'!$A:$A,'[1]Detail&lt;Child&gt;'!$N:$N),'#참조'!P:P,'#참조'!Q:Q)</f>
        <v>1</v>
      </c>
      <c r="H545" s="1">
        <f>_xlfn.XLOOKUP(_xlfn.XLOOKUP(B545,'[1]Detail&lt;Child&gt;'!$A:$A,'[1]Detail&lt;Child&gt;'!$O:$O),'#참조'!R:R,'#참조'!S:S)</f>
        <v>1</v>
      </c>
      <c r="I545" s="1">
        <v>2</v>
      </c>
      <c r="J545" s="2">
        <v>3</v>
      </c>
      <c r="K545" s="2">
        <v>3</v>
      </c>
      <c r="L545" s="2">
        <v>9</v>
      </c>
      <c r="M545" s="2" t="s">
        <v>13</v>
      </c>
      <c r="N545" s="2" t="s">
        <v>407</v>
      </c>
      <c r="O545" s="2">
        <f t="shared" si="418"/>
        <v>4287</v>
      </c>
      <c r="P545" s="2" t="s">
        <v>194</v>
      </c>
      <c r="Q545" s="2" t="str">
        <f t="shared" si="407"/>
        <v>8158,9800</v>
      </c>
      <c r="R545" s="2">
        <f t="shared" si="419"/>
        <v>8158</v>
      </c>
      <c r="S545" s="2">
        <f t="shared" si="415"/>
        <v>9800</v>
      </c>
      <c r="T545" s="2" t="s">
        <v>195</v>
      </c>
      <c r="U545" s="2" t="str">
        <f t="shared" si="409"/>
        <v>432,500</v>
      </c>
      <c r="V545" s="2">
        <f t="shared" si="420"/>
        <v>432</v>
      </c>
      <c r="W545" s="2">
        <f t="shared" si="416"/>
        <v>500</v>
      </c>
      <c r="X545" s="2" t="s">
        <v>196</v>
      </c>
      <c r="Y545" s="2" t="str">
        <f t="shared" si="411"/>
        <v>654,800</v>
      </c>
      <c r="Z545" s="2">
        <f t="shared" si="421"/>
        <v>654</v>
      </c>
      <c r="AA545" s="2">
        <f t="shared" si="417"/>
        <v>800</v>
      </c>
      <c r="AB545" s="2">
        <v>90000</v>
      </c>
      <c r="AC545" s="2" t="str">
        <f>_xlfn.XLOOKUP(B545,'#캐릭터'!A:A,'#캐릭터'!B:B)</f>
        <v>모건</v>
      </c>
      <c r="AD545" s="2" t="str">
        <f t="shared" si="413"/>
        <v>Rare3_모건</v>
      </c>
      <c r="AE545" s="2">
        <f t="shared" si="414"/>
        <v>1102</v>
      </c>
    </row>
    <row r="546" spans="1:31" x14ac:dyDescent="0.2">
      <c r="A546" s="2">
        <f t="shared" si="406"/>
        <v>10283010</v>
      </c>
      <c r="B546" s="1">
        <v>10000283</v>
      </c>
      <c r="C546" s="1" t="s">
        <v>281</v>
      </c>
      <c r="D546" s="1" t="s">
        <v>309</v>
      </c>
      <c r="E546" s="1" t="str">
        <f>"Persona_"&amp;_xlfn.XLOOKUP($B546, '#캐릭터'!$A:$A, '#캐릭터'!$C:$C)</f>
        <v>Persona_c283</v>
      </c>
      <c r="F546" s="1"/>
      <c r="G546" s="1">
        <f>_xlfn.XLOOKUP(_xlfn.XLOOKUP(B546,'[1]Detail&lt;Child&gt;'!$A:$A,'[1]Detail&lt;Child&gt;'!$N:$N),'#참조'!P:P,'#참조'!Q:Q)</f>
        <v>1</v>
      </c>
      <c r="H546" s="1">
        <f>_xlfn.XLOOKUP(_xlfn.XLOOKUP(B546,'[1]Detail&lt;Child&gt;'!$A:$A,'[1]Detail&lt;Child&gt;'!$O:$O),'#참조'!R:R,'#참조'!S:S)</f>
        <v>1</v>
      </c>
      <c r="I546" s="1">
        <v>2</v>
      </c>
      <c r="J546" s="2">
        <v>3</v>
      </c>
      <c r="K546" s="2">
        <v>4</v>
      </c>
      <c r="L546" s="2">
        <v>10</v>
      </c>
      <c r="M546" s="2" t="s">
        <v>14</v>
      </c>
      <c r="N546" s="2" t="s">
        <v>407</v>
      </c>
      <c r="O546" s="2">
        <f t="shared" si="418"/>
        <v>4716</v>
      </c>
      <c r="P546" s="2" t="s">
        <v>194</v>
      </c>
      <c r="Q546" s="2" t="str">
        <f t="shared" si="407"/>
        <v>10605,12700</v>
      </c>
      <c r="R546" s="2">
        <f t="shared" si="419"/>
        <v>10605</v>
      </c>
      <c r="S546" s="2">
        <f t="shared" si="415"/>
        <v>12700</v>
      </c>
      <c r="T546" s="2" t="s">
        <v>195</v>
      </c>
      <c r="U546" s="2" t="str">
        <f t="shared" si="409"/>
        <v>518,600</v>
      </c>
      <c r="V546" s="2">
        <f t="shared" si="420"/>
        <v>518</v>
      </c>
      <c r="W546" s="2">
        <f t="shared" si="416"/>
        <v>600</v>
      </c>
      <c r="X546" s="2" t="s">
        <v>196</v>
      </c>
      <c r="Y546" s="2" t="str">
        <f t="shared" si="411"/>
        <v>850,1000</v>
      </c>
      <c r="Z546" s="2">
        <f t="shared" si="421"/>
        <v>850</v>
      </c>
      <c r="AA546" s="2">
        <f t="shared" si="417"/>
        <v>1000</v>
      </c>
      <c r="AB546" s="2">
        <v>85000</v>
      </c>
      <c r="AC546" s="2" t="str">
        <f>_xlfn.XLOOKUP(B546,'#캐릭터'!A:A,'#캐릭터'!B:B)</f>
        <v>모건</v>
      </c>
      <c r="AD546" s="2" t="str">
        <f t="shared" si="413"/>
        <v>Unique1_모건</v>
      </c>
      <c r="AE546" s="2">
        <f t="shared" si="414"/>
        <v>1102</v>
      </c>
    </row>
    <row r="547" spans="1:31" x14ac:dyDescent="0.2">
      <c r="A547" s="2">
        <f t="shared" si="406"/>
        <v>10283011</v>
      </c>
      <c r="B547" s="1">
        <v>10000283</v>
      </c>
      <c r="C547" s="1" t="s">
        <v>281</v>
      </c>
      <c r="D547" s="1" t="s">
        <v>309</v>
      </c>
      <c r="E547" s="1" t="str">
        <f>"Persona_"&amp;_xlfn.XLOOKUP($B547, '#캐릭터'!$A:$A, '#캐릭터'!$C:$C)</f>
        <v>Persona_c283</v>
      </c>
      <c r="F547" s="1"/>
      <c r="G547" s="1">
        <f>_xlfn.XLOOKUP(_xlfn.XLOOKUP(B547,'[1]Detail&lt;Child&gt;'!$A:$A,'[1]Detail&lt;Child&gt;'!$N:$N),'#참조'!P:P,'#참조'!Q:Q)</f>
        <v>1</v>
      </c>
      <c r="H547" s="1">
        <f>_xlfn.XLOOKUP(_xlfn.XLOOKUP(B547,'[1]Detail&lt;Child&gt;'!$A:$A,'[1]Detail&lt;Child&gt;'!$O:$O),'#참조'!R:R,'#참조'!S:S)</f>
        <v>1</v>
      </c>
      <c r="I547" s="1">
        <v>3</v>
      </c>
      <c r="J547" s="2">
        <v>3</v>
      </c>
      <c r="K547" s="2">
        <v>4</v>
      </c>
      <c r="L547" s="2">
        <v>11</v>
      </c>
      <c r="M547" s="2" t="s">
        <v>15</v>
      </c>
      <c r="N547" s="2" t="s">
        <v>407</v>
      </c>
      <c r="O547" s="2">
        <f t="shared" si="418"/>
        <v>5188</v>
      </c>
      <c r="P547" s="2" t="s">
        <v>194</v>
      </c>
      <c r="Q547" s="2" t="str">
        <f t="shared" si="407"/>
        <v>13787,16500</v>
      </c>
      <c r="R547" s="2">
        <f t="shared" si="419"/>
        <v>13787</v>
      </c>
      <c r="S547" s="2">
        <f t="shared" si="415"/>
        <v>16500</v>
      </c>
      <c r="T547" s="2" t="s">
        <v>195</v>
      </c>
      <c r="U547" s="2" t="str">
        <f t="shared" si="409"/>
        <v>622,700</v>
      </c>
      <c r="V547" s="2">
        <f t="shared" si="420"/>
        <v>622</v>
      </c>
      <c r="W547" s="2">
        <f t="shared" si="416"/>
        <v>700</v>
      </c>
      <c r="X547" s="2" t="s">
        <v>196</v>
      </c>
      <c r="Y547" s="2" t="str">
        <f t="shared" si="411"/>
        <v>1105,1300</v>
      </c>
      <c r="Z547" s="2">
        <f t="shared" si="421"/>
        <v>1105</v>
      </c>
      <c r="AA547" s="2">
        <f t="shared" si="417"/>
        <v>1300</v>
      </c>
      <c r="AB547" s="2">
        <v>85000</v>
      </c>
      <c r="AC547" s="2" t="str">
        <f>_xlfn.XLOOKUP(B547,'#캐릭터'!A:A,'#캐릭터'!B:B)</f>
        <v>모건</v>
      </c>
      <c r="AD547" s="2" t="str">
        <f t="shared" si="413"/>
        <v>Unique2_모건</v>
      </c>
      <c r="AE547" s="2">
        <f t="shared" si="414"/>
        <v>1103</v>
      </c>
    </row>
    <row r="548" spans="1:31" x14ac:dyDescent="0.2">
      <c r="A548" s="2">
        <f t="shared" si="406"/>
        <v>10283012</v>
      </c>
      <c r="B548" s="1">
        <v>10000283</v>
      </c>
      <c r="C548" s="1" t="s">
        <v>281</v>
      </c>
      <c r="D548" s="1" t="s">
        <v>309</v>
      </c>
      <c r="E548" s="1" t="str">
        <f>"Persona_"&amp;_xlfn.XLOOKUP($B548, '#캐릭터'!$A:$A, '#캐릭터'!$C:$C)</f>
        <v>Persona_c283</v>
      </c>
      <c r="F548" s="1"/>
      <c r="G548" s="1">
        <f>_xlfn.XLOOKUP(_xlfn.XLOOKUP(B548,'[1]Detail&lt;Child&gt;'!$A:$A,'[1]Detail&lt;Child&gt;'!$N:$N),'#참조'!P:P,'#참조'!Q:Q)</f>
        <v>1</v>
      </c>
      <c r="H548" s="1">
        <f>_xlfn.XLOOKUP(_xlfn.XLOOKUP(B548,'[1]Detail&lt;Child&gt;'!$A:$A,'[1]Detail&lt;Child&gt;'!$O:$O),'#참조'!R:R,'#참조'!S:S)</f>
        <v>1</v>
      </c>
      <c r="I548" s="1">
        <v>3</v>
      </c>
      <c r="J548" s="2">
        <v>3</v>
      </c>
      <c r="K548" s="2">
        <v>4</v>
      </c>
      <c r="L548" s="2">
        <v>12</v>
      </c>
      <c r="M548" s="2" t="s">
        <v>16</v>
      </c>
      <c r="N548" s="2" t="s">
        <v>407</v>
      </c>
      <c r="O548" s="2">
        <f t="shared" si="418"/>
        <v>5707</v>
      </c>
      <c r="P548" s="2" t="s">
        <v>194</v>
      </c>
      <c r="Q548" s="2" t="str">
        <f t="shared" si="407"/>
        <v>17923,21500</v>
      </c>
      <c r="R548" s="2">
        <f t="shared" si="419"/>
        <v>17923</v>
      </c>
      <c r="S548" s="2">
        <f t="shared" si="415"/>
        <v>21500</v>
      </c>
      <c r="T548" s="2" t="s">
        <v>195</v>
      </c>
      <c r="U548" s="2" t="str">
        <f t="shared" si="409"/>
        <v>746,900</v>
      </c>
      <c r="V548" s="2">
        <f t="shared" si="420"/>
        <v>746</v>
      </c>
      <c r="W548" s="2">
        <f t="shared" si="416"/>
        <v>900</v>
      </c>
      <c r="X548" s="2" t="s">
        <v>196</v>
      </c>
      <c r="Y548" s="2" t="str">
        <f t="shared" si="411"/>
        <v>1437,1700</v>
      </c>
      <c r="Z548" s="2">
        <f t="shared" si="421"/>
        <v>1437</v>
      </c>
      <c r="AA548" s="2">
        <f t="shared" si="417"/>
        <v>1700</v>
      </c>
      <c r="AB548" s="2">
        <v>85000</v>
      </c>
      <c r="AC548" s="2" t="str">
        <f>_xlfn.XLOOKUP(B548,'#캐릭터'!A:A,'#캐릭터'!B:B)</f>
        <v>모건</v>
      </c>
      <c r="AD548" s="2" t="str">
        <f t="shared" si="413"/>
        <v>Unique3_모건</v>
      </c>
      <c r="AE548" s="2">
        <f t="shared" si="414"/>
        <v>1103</v>
      </c>
    </row>
    <row r="549" spans="1:31" x14ac:dyDescent="0.2">
      <c r="A549" s="2">
        <f t="shared" si="406"/>
        <v>10283013</v>
      </c>
      <c r="B549" s="1">
        <v>10000283</v>
      </c>
      <c r="C549" s="1" t="s">
        <v>281</v>
      </c>
      <c r="D549" s="1" t="s">
        <v>309</v>
      </c>
      <c r="E549" s="1" t="str">
        <f>"Persona_"&amp;_xlfn.XLOOKUP($B549, '#캐릭터'!$A:$A, '#캐릭터'!$C:$C)</f>
        <v>Persona_c283</v>
      </c>
      <c r="F549" s="1"/>
      <c r="G549" s="1">
        <f>_xlfn.XLOOKUP(_xlfn.XLOOKUP(B549,'[1]Detail&lt;Child&gt;'!$A:$A,'[1]Detail&lt;Child&gt;'!$N:$N),'#참조'!P:P,'#참조'!Q:Q)</f>
        <v>1</v>
      </c>
      <c r="H549" s="1">
        <f>_xlfn.XLOOKUP(_xlfn.XLOOKUP(B549,'[1]Detail&lt;Child&gt;'!$A:$A,'[1]Detail&lt;Child&gt;'!$O:$O),'#참조'!R:R,'#참조'!S:S)</f>
        <v>1</v>
      </c>
      <c r="I549" s="1">
        <v>4</v>
      </c>
      <c r="J549" s="2">
        <v>3</v>
      </c>
      <c r="K549" s="2">
        <v>5</v>
      </c>
      <c r="L549" s="2">
        <v>13</v>
      </c>
      <c r="M549" s="2" t="s">
        <v>17</v>
      </c>
      <c r="N549" s="2" t="s">
        <v>407</v>
      </c>
      <c r="O549" s="2">
        <f t="shared" si="418"/>
        <v>6278</v>
      </c>
      <c r="P549" s="2" t="s">
        <v>194</v>
      </c>
      <c r="Q549" s="2" t="str">
        <f t="shared" si="407"/>
        <v>23300,28000</v>
      </c>
      <c r="R549" s="2">
        <f t="shared" si="419"/>
        <v>23300</v>
      </c>
      <c r="S549" s="2">
        <f t="shared" si="415"/>
        <v>28000</v>
      </c>
      <c r="T549" s="2" t="s">
        <v>195</v>
      </c>
      <c r="U549" s="2" t="str">
        <f t="shared" si="409"/>
        <v>895,1100</v>
      </c>
      <c r="V549" s="2">
        <f t="shared" si="420"/>
        <v>895</v>
      </c>
      <c r="W549" s="2">
        <f t="shared" si="416"/>
        <v>1100</v>
      </c>
      <c r="X549" s="2" t="s">
        <v>196</v>
      </c>
      <c r="Y549" s="2" t="str">
        <f t="shared" si="411"/>
        <v>1868,2200</v>
      </c>
      <c r="Z549" s="2">
        <f t="shared" si="421"/>
        <v>1868</v>
      </c>
      <c r="AA549" s="2">
        <f t="shared" si="417"/>
        <v>2200</v>
      </c>
      <c r="AB549" s="2">
        <v>80000</v>
      </c>
      <c r="AC549" s="2" t="str">
        <f>_xlfn.XLOOKUP(B549,'#캐릭터'!A:A,'#캐릭터'!B:B)</f>
        <v>모건</v>
      </c>
      <c r="AD549" s="2" t="str">
        <f t="shared" si="413"/>
        <v>Epic1_모건</v>
      </c>
      <c r="AE549" s="2">
        <f t="shared" si="414"/>
        <v>1104</v>
      </c>
    </row>
    <row r="550" spans="1:31" x14ac:dyDescent="0.2">
      <c r="A550" s="2">
        <f t="shared" si="406"/>
        <v>10283014</v>
      </c>
      <c r="B550" s="1">
        <v>10000283</v>
      </c>
      <c r="C550" s="1" t="s">
        <v>281</v>
      </c>
      <c r="D550" s="1" t="s">
        <v>309</v>
      </c>
      <c r="E550" s="1" t="str">
        <f>"Persona_"&amp;_xlfn.XLOOKUP($B550, '#캐릭터'!$A:$A, '#캐릭터'!$C:$C)</f>
        <v>Persona_c283</v>
      </c>
      <c r="F550" s="1"/>
      <c r="G550" s="1">
        <f>_xlfn.XLOOKUP(_xlfn.XLOOKUP(B550,'[1]Detail&lt;Child&gt;'!$A:$A,'[1]Detail&lt;Child&gt;'!$N:$N),'#참조'!P:P,'#참조'!Q:Q)</f>
        <v>1</v>
      </c>
      <c r="H550" s="1">
        <f>_xlfn.XLOOKUP(_xlfn.XLOOKUP(B550,'[1]Detail&lt;Child&gt;'!$A:$A,'[1]Detail&lt;Child&gt;'!$O:$O),'#참조'!R:R,'#참조'!S:S)</f>
        <v>1</v>
      </c>
      <c r="I550" s="1">
        <v>4</v>
      </c>
      <c r="J550" s="2">
        <v>3</v>
      </c>
      <c r="K550" s="2">
        <v>5</v>
      </c>
      <c r="L550" s="2">
        <v>14</v>
      </c>
      <c r="M550" s="2" t="s">
        <v>18</v>
      </c>
      <c r="N550" s="2" t="s">
        <v>407</v>
      </c>
      <c r="O550" s="2">
        <f t="shared" si="418"/>
        <v>6906</v>
      </c>
      <c r="P550" s="2" t="s">
        <v>194</v>
      </c>
      <c r="Q550" s="2" t="str">
        <f t="shared" si="407"/>
        <v>30290,36300</v>
      </c>
      <c r="R550" s="2">
        <f t="shared" si="419"/>
        <v>30290</v>
      </c>
      <c r="S550" s="2">
        <f t="shared" si="415"/>
        <v>36300</v>
      </c>
      <c r="T550" s="2" t="s">
        <v>195</v>
      </c>
      <c r="U550" s="2" t="str">
        <f t="shared" si="409"/>
        <v>1074,1300</v>
      </c>
      <c r="V550" s="2">
        <f t="shared" si="420"/>
        <v>1074</v>
      </c>
      <c r="W550" s="2">
        <f t="shared" si="416"/>
        <v>1300</v>
      </c>
      <c r="X550" s="2" t="s">
        <v>196</v>
      </c>
      <c r="Y550" s="2" t="str">
        <f t="shared" si="411"/>
        <v>2428,2900</v>
      </c>
      <c r="Z550" s="2">
        <f t="shared" si="421"/>
        <v>2428</v>
      </c>
      <c r="AA550" s="2">
        <f t="shared" si="417"/>
        <v>2900</v>
      </c>
      <c r="AB550" s="2">
        <v>80000</v>
      </c>
      <c r="AC550" s="2" t="str">
        <f>_xlfn.XLOOKUP(B550,'#캐릭터'!A:A,'#캐릭터'!B:B)</f>
        <v>모건</v>
      </c>
      <c r="AD550" s="2" t="str">
        <f t="shared" si="413"/>
        <v>Epic2_모건</v>
      </c>
      <c r="AE550" s="2">
        <f t="shared" si="414"/>
        <v>1104</v>
      </c>
    </row>
    <row r="551" spans="1:31" x14ac:dyDescent="0.2">
      <c r="A551" s="2">
        <f t="shared" si="406"/>
        <v>10283015</v>
      </c>
      <c r="B551" s="1">
        <v>10000283</v>
      </c>
      <c r="C551" s="1" t="s">
        <v>281</v>
      </c>
      <c r="D551" s="1" t="s">
        <v>309</v>
      </c>
      <c r="E551" s="1" t="str">
        <f>"Persona_"&amp;_xlfn.XLOOKUP($B551, '#캐릭터'!$A:$A, '#캐릭터'!$C:$C)</f>
        <v>Persona_c283</v>
      </c>
      <c r="F551" s="1"/>
      <c r="G551" s="1">
        <f>_xlfn.XLOOKUP(_xlfn.XLOOKUP(B551,'[1]Detail&lt;Child&gt;'!$A:$A,'[1]Detail&lt;Child&gt;'!$N:$N),'#참조'!P:P,'#참조'!Q:Q)</f>
        <v>1</v>
      </c>
      <c r="H551" s="1">
        <f>_xlfn.XLOOKUP(_xlfn.XLOOKUP(B551,'[1]Detail&lt;Child&gt;'!$A:$A,'[1]Detail&lt;Child&gt;'!$O:$O),'#참조'!R:R,'#참조'!S:S)</f>
        <v>1</v>
      </c>
      <c r="I551" s="1">
        <v>5</v>
      </c>
      <c r="J551" s="2">
        <v>3</v>
      </c>
      <c r="K551" s="2">
        <v>5</v>
      </c>
      <c r="L551" s="2">
        <v>15</v>
      </c>
      <c r="M551" s="2" t="s">
        <v>19</v>
      </c>
      <c r="N551" s="2" t="s">
        <v>407</v>
      </c>
      <c r="O551" s="2">
        <f t="shared" si="418"/>
        <v>7597</v>
      </c>
      <c r="P551" s="2" t="s">
        <v>194</v>
      </c>
      <c r="Q551" s="2" t="str">
        <f t="shared" si="407"/>
        <v>39377,47300</v>
      </c>
      <c r="R551" s="2">
        <f t="shared" si="419"/>
        <v>39377</v>
      </c>
      <c r="S551" s="2">
        <f t="shared" si="415"/>
        <v>47300</v>
      </c>
      <c r="T551" s="2" t="s">
        <v>195</v>
      </c>
      <c r="U551" s="2" t="str">
        <f t="shared" si="409"/>
        <v>1289,1500</v>
      </c>
      <c r="V551" s="2">
        <f t="shared" si="420"/>
        <v>1289</v>
      </c>
      <c r="W551" s="2">
        <f t="shared" si="416"/>
        <v>1500</v>
      </c>
      <c r="X551" s="2" t="s">
        <v>196</v>
      </c>
      <c r="Y551" s="2" t="str">
        <f t="shared" si="411"/>
        <v>3156,3800</v>
      </c>
      <c r="Z551" s="2">
        <f t="shared" si="421"/>
        <v>3156</v>
      </c>
      <c r="AA551" s="2">
        <f t="shared" si="417"/>
        <v>3800</v>
      </c>
      <c r="AB551" s="2">
        <v>80000</v>
      </c>
      <c r="AC551" s="2" t="str">
        <f>_xlfn.XLOOKUP(B551,'#캐릭터'!A:A,'#캐릭터'!B:B)</f>
        <v>모건</v>
      </c>
      <c r="AD551" s="2" t="str">
        <f t="shared" si="413"/>
        <v>Epic3_모건</v>
      </c>
      <c r="AE551" s="2">
        <f t="shared" si="414"/>
        <v>1105</v>
      </c>
    </row>
    <row r="552" spans="1:31" x14ac:dyDescent="0.2">
      <c r="A552" s="2">
        <f t="shared" si="406"/>
        <v>10283016</v>
      </c>
      <c r="B552" s="1">
        <v>10000283</v>
      </c>
      <c r="C552" s="1" t="s">
        <v>281</v>
      </c>
      <c r="D552" s="1" t="s">
        <v>309</v>
      </c>
      <c r="E552" s="1" t="str">
        <f>"Persona_"&amp;_xlfn.XLOOKUP($B552, '#캐릭터'!$A:$A, '#캐릭터'!$C:$C)</f>
        <v>Persona_c283</v>
      </c>
      <c r="F552" s="1"/>
      <c r="G552" s="1">
        <f>_xlfn.XLOOKUP(_xlfn.XLOOKUP(B552,'[1]Detail&lt;Child&gt;'!$A:$A,'[1]Detail&lt;Child&gt;'!$N:$N),'#참조'!P:P,'#참조'!Q:Q)</f>
        <v>1</v>
      </c>
      <c r="H552" s="1">
        <f>_xlfn.XLOOKUP(_xlfn.XLOOKUP(B552,'[1]Detail&lt;Child&gt;'!$A:$A,'[1]Detail&lt;Child&gt;'!$O:$O),'#참조'!R:R,'#참조'!S:S)</f>
        <v>1</v>
      </c>
      <c r="I552" s="1">
        <v>5</v>
      </c>
      <c r="J552" s="2">
        <v>3</v>
      </c>
      <c r="K552" s="2">
        <v>6</v>
      </c>
      <c r="L552" s="2">
        <v>16</v>
      </c>
      <c r="M552" s="2" t="s">
        <v>20</v>
      </c>
      <c r="N552" s="2" t="s">
        <v>407</v>
      </c>
      <c r="O552" s="2">
        <f t="shared" si="418"/>
        <v>8357</v>
      </c>
      <c r="P552" s="2" t="s">
        <v>194</v>
      </c>
      <c r="Q552" s="2" t="str">
        <f t="shared" si="407"/>
        <v>51190,61400</v>
      </c>
      <c r="R552" s="2">
        <f t="shared" si="419"/>
        <v>51190</v>
      </c>
      <c r="S552" s="2">
        <f t="shared" si="415"/>
        <v>61400</v>
      </c>
      <c r="T552" s="2" t="s">
        <v>195</v>
      </c>
      <c r="U552" s="2" t="str">
        <f t="shared" si="409"/>
        <v>1547,1900</v>
      </c>
      <c r="V552" s="2">
        <f t="shared" si="420"/>
        <v>1547</v>
      </c>
      <c r="W552" s="2">
        <f t="shared" si="416"/>
        <v>1900</v>
      </c>
      <c r="X552" s="2" t="s">
        <v>196</v>
      </c>
      <c r="Y552" s="2" t="str">
        <f t="shared" si="411"/>
        <v>4103,4900</v>
      </c>
      <c r="Z552" s="2">
        <f t="shared" si="421"/>
        <v>4103</v>
      </c>
      <c r="AA552" s="2">
        <f t="shared" si="417"/>
        <v>4900</v>
      </c>
      <c r="AB552" s="2">
        <v>75000</v>
      </c>
      <c r="AC552" s="2" t="str">
        <f>_xlfn.XLOOKUP(B552,'#캐릭터'!A:A,'#캐릭터'!B:B)</f>
        <v>모건</v>
      </c>
      <c r="AD552" s="2" t="str">
        <f t="shared" si="413"/>
        <v>Legendary1_모건</v>
      </c>
      <c r="AE552" s="2">
        <f t="shared" si="414"/>
        <v>1105</v>
      </c>
    </row>
    <row r="553" spans="1:31" x14ac:dyDescent="0.2">
      <c r="A553" s="2">
        <f t="shared" si="406"/>
        <v>10283017</v>
      </c>
      <c r="B553" s="1">
        <v>10000283</v>
      </c>
      <c r="C553" s="1" t="s">
        <v>281</v>
      </c>
      <c r="D553" s="1" t="s">
        <v>309</v>
      </c>
      <c r="E553" s="1" t="str">
        <f>"Persona_"&amp;_xlfn.XLOOKUP($B553, '#캐릭터'!$A:$A, '#캐릭터'!$C:$C)</f>
        <v>Persona_c283</v>
      </c>
      <c r="F553" s="1"/>
      <c r="G553" s="1">
        <f>_xlfn.XLOOKUP(_xlfn.XLOOKUP(B553,'[1]Detail&lt;Child&gt;'!$A:$A,'[1]Detail&lt;Child&gt;'!$N:$N),'#참조'!P:P,'#참조'!Q:Q)</f>
        <v>1</v>
      </c>
      <c r="H553" s="1">
        <f>_xlfn.XLOOKUP(_xlfn.XLOOKUP(B553,'[1]Detail&lt;Child&gt;'!$A:$A,'[1]Detail&lt;Child&gt;'!$O:$O),'#참조'!R:R,'#참조'!S:S)</f>
        <v>1</v>
      </c>
      <c r="I553" s="1">
        <v>6</v>
      </c>
      <c r="J553" s="2">
        <v>3</v>
      </c>
      <c r="K553" s="2">
        <v>6</v>
      </c>
      <c r="L553" s="2">
        <v>17</v>
      </c>
      <c r="M553" s="2" t="s">
        <v>21</v>
      </c>
      <c r="N553" s="2" t="s">
        <v>407</v>
      </c>
      <c r="O553" s="2">
        <f t="shared" si="418"/>
        <v>9193</v>
      </c>
      <c r="P553" s="2" t="s">
        <v>194</v>
      </c>
      <c r="Q553" s="2" t="str">
        <f t="shared" si="407"/>
        <v>66547,79900</v>
      </c>
      <c r="R553" s="2">
        <f t="shared" si="419"/>
        <v>66547</v>
      </c>
      <c r="S553" s="2">
        <f t="shared" si="415"/>
        <v>79900</v>
      </c>
      <c r="T553" s="2" t="s">
        <v>195</v>
      </c>
      <c r="U553" s="2" t="str">
        <f t="shared" si="409"/>
        <v>1856,2200</v>
      </c>
      <c r="V553" s="2">
        <f t="shared" si="420"/>
        <v>1856</v>
      </c>
      <c r="W553" s="2">
        <f t="shared" si="416"/>
        <v>2200</v>
      </c>
      <c r="X553" s="2" t="s">
        <v>196</v>
      </c>
      <c r="Y553" s="2" t="str">
        <f t="shared" si="411"/>
        <v>5334,6400</v>
      </c>
      <c r="Z553" s="2">
        <f t="shared" si="421"/>
        <v>5334</v>
      </c>
      <c r="AA553" s="2">
        <f t="shared" si="417"/>
        <v>6400</v>
      </c>
      <c r="AB553" s="2">
        <v>75000</v>
      </c>
      <c r="AC553" s="2" t="str">
        <f>_xlfn.XLOOKUP(B553,'#캐릭터'!A:A,'#캐릭터'!B:B)</f>
        <v>모건</v>
      </c>
      <c r="AD553" s="2" t="str">
        <f t="shared" si="413"/>
        <v>Legendary2_모건</v>
      </c>
      <c r="AE553" s="2">
        <f t="shared" si="414"/>
        <v>1106</v>
      </c>
    </row>
    <row r="554" spans="1:31" x14ac:dyDescent="0.2">
      <c r="A554" s="2">
        <f t="shared" si="406"/>
        <v>10283018</v>
      </c>
      <c r="B554" s="1">
        <v>10000283</v>
      </c>
      <c r="C554" s="1" t="s">
        <v>281</v>
      </c>
      <c r="D554" s="1" t="s">
        <v>309</v>
      </c>
      <c r="E554" s="1" t="str">
        <f>"Persona_"&amp;_xlfn.XLOOKUP($B554, '#캐릭터'!$A:$A, '#캐릭터'!$C:$C)</f>
        <v>Persona_c283</v>
      </c>
      <c r="F554" s="1"/>
      <c r="G554" s="1">
        <f>_xlfn.XLOOKUP(_xlfn.XLOOKUP(B554,'[1]Detail&lt;Child&gt;'!$A:$A,'[1]Detail&lt;Child&gt;'!$N:$N),'#참조'!P:P,'#참조'!Q:Q)</f>
        <v>1</v>
      </c>
      <c r="H554" s="1">
        <f>_xlfn.XLOOKUP(_xlfn.XLOOKUP(B554,'[1]Detail&lt;Child&gt;'!$A:$A,'[1]Detail&lt;Child&gt;'!$O:$O),'#참조'!R:R,'#참조'!S:S)</f>
        <v>1</v>
      </c>
      <c r="I554" s="1">
        <v>6</v>
      </c>
      <c r="J554" s="2">
        <v>3</v>
      </c>
      <c r="K554" s="2">
        <v>6</v>
      </c>
      <c r="L554" s="2">
        <v>18</v>
      </c>
      <c r="M554" s="2" t="s">
        <v>22</v>
      </c>
      <c r="N554" s="2" t="s">
        <v>407</v>
      </c>
      <c r="O554" s="2">
        <f t="shared" si="418"/>
        <v>10112</v>
      </c>
      <c r="P554" s="2" t="s">
        <v>194</v>
      </c>
      <c r="Q554" s="2" t="str">
        <f t="shared" si="407"/>
        <v>86511,103800</v>
      </c>
      <c r="R554" s="2">
        <f t="shared" si="419"/>
        <v>86511</v>
      </c>
      <c r="S554" s="2">
        <f t="shared" si="415"/>
        <v>103800</v>
      </c>
      <c r="T554" s="2" t="s">
        <v>195</v>
      </c>
      <c r="U554" s="2" t="str">
        <f t="shared" si="409"/>
        <v>2227,2700</v>
      </c>
      <c r="V554" s="2">
        <f t="shared" si="420"/>
        <v>2227</v>
      </c>
      <c r="W554" s="2">
        <f t="shared" si="416"/>
        <v>2700</v>
      </c>
      <c r="X554" s="2" t="s">
        <v>196</v>
      </c>
      <c r="Y554" s="2" t="str">
        <f t="shared" si="411"/>
        <v>6934,8300</v>
      </c>
      <c r="Z554" s="2">
        <f t="shared" si="421"/>
        <v>6934</v>
      </c>
      <c r="AA554" s="2">
        <f t="shared" si="417"/>
        <v>8300</v>
      </c>
      <c r="AB554" s="2">
        <v>75000</v>
      </c>
      <c r="AC554" s="2" t="str">
        <f>_xlfn.XLOOKUP(B554,'#캐릭터'!A:A,'#캐릭터'!B:B)</f>
        <v>모건</v>
      </c>
      <c r="AD554" s="2" t="str">
        <f t="shared" si="413"/>
        <v>Legendary3_모건</v>
      </c>
      <c r="AE554" s="2">
        <f t="shared" si="414"/>
        <v>1106</v>
      </c>
    </row>
    <row r="555" spans="1:31" x14ac:dyDescent="0.2">
      <c r="A555" s="2">
        <f t="shared" ref="A555:A592" si="422">INT(1&amp;TEXT(RIGHT(B555,4),"0000")&amp;TEXT(L555,"000"))</f>
        <v>10400000</v>
      </c>
      <c r="B555" s="1">
        <v>10000400</v>
      </c>
      <c r="C555" s="1" t="s">
        <v>281</v>
      </c>
      <c r="D555" s="1" t="s">
        <v>309</v>
      </c>
      <c r="E555" s="1" t="str">
        <f>"Persona_"&amp;_xlfn.XLOOKUP($B555, '#캐릭터'!$A:$A, '#캐릭터'!$C:$C)</f>
        <v>Persona_c400</v>
      </c>
      <c r="F555" s="1"/>
      <c r="G555" s="1">
        <f>_xlfn.XLOOKUP(_xlfn.XLOOKUP(B555,'[1]Detail&lt;Child&gt;'!$A:$A,'[1]Detail&lt;Child&gt;'!$N:$N),'#참조'!P:P,'#참조'!Q:Q)</f>
        <v>5</v>
      </c>
      <c r="H555" s="1">
        <f>_xlfn.XLOOKUP(_xlfn.XLOOKUP(B555,'[1]Detail&lt;Child&gt;'!$A:$A,'[1]Detail&lt;Child&gt;'!$O:$O),'#참조'!R:R,'#참조'!S:S)</f>
        <v>1</v>
      </c>
      <c r="I555" s="1">
        <v>0</v>
      </c>
      <c r="J555" s="2">
        <v>3</v>
      </c>
      <c r="K555" s="2">
        <v>0</v>
      </c>
      <c r="L555" s="2">
        <v>0</v>
      </c>
      <c r="M555" s="2" t="s">
        <v>31</v>
      </c>
      <c r="N555" s="2" t="s">
        <v>407</v>
      </c>
      <c r="O555" s="2">
        <v>0</v>
      </c>
      <c r="P555" s="2" t="s">
        <v>194</v>
      </c>
      <c r="Q555" s="2" t="str">
        <f t="shared" ref="Q555:Q592" si="423">R555&amp;","&amp;S555</f>
        <v>1000,1000</v>
      </c>
      <c r="R555" s="2">
        <v>1000</v>
      </c>
      <c r="S555" s="2">
        <f t="shared" ref="S555" si="424">R555</f>
        <v>1000</v>
      </c>
      <c r="T555" s="2" t="s">
        <v>195</v>
      </c>
      <c r="U555" s="2" t="str">
        <f t="shared" ref="U555:U592" si="425">V555&amp;","&amp;W555</f>
        <v>100,100</v>
      </c>
      <c r="V555" s="2">
        <v>100</v>
      </c>
      <c r="W555" s="2">
        <f t="shared" ref="W555" si="426">V555</f>
        <v>100</v>
      </c>
      <c r="X555" s="2" t="s">
        <v>196</v>
      </c>
      <c r="Y555" s="2" t="str">
        <f t="shared" ref="Y555:Y592" si="427">Z555&amp;","&amp;AA555</f>
        <v>80,80</v>
      </c>
      <c r="Z555" s="2">
        <v>80</v>
      </c>
      <c r="AA555" s="2">
        <f t="shared" ref="AA555" si="428">Z555</f>
        <v>80</v>
      </c>
      <c r="AB555" s="2">
        <v>100000</v>
      </c>
      <c r="AC555" s="2" t="str">
        <f>_xlfn.XLOOKUP(B555,'#캐릭터'!A:A,'#캐릭터'!B:B)</f>
        <v>반시</v>
      </c>
      <c r="AD555" s="2" t="str">
        <f t="shared" ref="AD555:AD592" si="429">M555&amp;"_"&amp;AC555</f>
        <v>Default_반시</v>
      </c>
      <c r="AE555" s="2">
        <f t="shared" ref="AE555:AE592" si="430">IF(I555=0,0,INT(G555&amp;H555&amp;TEXT(I555,"00")))</f>
        <v>0</v>
      </c>
    </row>
    <row r="556" spans="1:31" x14ac:dyDescent="0.2">
      <c r="A556" s="2">
        <f t="shared" si="422"/>
        <v>10400001</v>
      </c>
      <c r="B556" s="1">
        <v>10000400</v>
      </c>
      <c r="C556" s="1" t="s">
        <v>281</v>
      </c>
      <c r="D556" s="1" t="s">
        <v>309</v>
      </c>
      <c r="E556" s="1" t="str">
        <f>"Persona_"&amp;_xlfn.XLOOKUP($B556, '#캐릭터'!$A:$A, '#캐릭터'!$C:$C)</f>
        <v>Persona_c400</v>
      </c>
      <c r="F556" s="1"/>
      <c r="G556" s="1">
        <f>_xlfn.XLOOKUP(_xlfn.XLOOKUP(B556,'[1]Detail&lt;Child&gt;'!$A:$A,'[1]Detail&lt;Child&gt;'!$N:$N),'#참조'!P:P,'#참조'!Q:Q)</f>
        <v>5</v>
      </c>
      <c r="H556" s="1">
        <f>_xlfn.XLOOKUP(_xlfn.XLOOKUP(B556,'[1]Detail&lt;Child&gt;'!$A:$A,'[1]Detail&lt;Child&gt;'!$O:$O),'#참조'!R:R,'#참조'!S:S)</f>
        <v>1</v>
      </c>
      <c r="I556" s="1">
        <v>0</v>
      </c>
      <c r="J556" s="2">
        <v>3</v>
      </c>
      <c r="K556" s="2">
        <v>1</v>
      </c>
      <c r="L556" s="2">
        <v>1</v>
      </c>
      <c r="M556" s="2" t="s">
        <v>5</v>
      </c>
      <c r="N556" s="2" t="s">
        <v>407</v>
      </c>
      <c r="O556" s="2">
        <v>2000</v>
      </c>
      <c r="P556" s="2" t="s">
        <v>194</v>
      </c>
      <c r="Q556" s="2" t="str">
        <f t="shared" si="423"/>
        <v>1000,1200</v>
      </c>
      <c r="R556" s="2">
        <v>1000</v>
      </c>
      <c r="S556" s="2">
        <f t="shared" ref="S556:S573" si="431">ROUND(R556*1.2, -2)</f>
        <v>1200</v>
      </c>
      <c r="T556" s="2" t="s">
        <v>195</v>
      </c>
      <c r="U556" s="2" t="str">
        <f t="shared" si="425"/>
        <v>100,100</v>
      </c>
      <c r="V556" s="2">
        <v>100</v>
      </c>
      <c r="W556" s="2">
        <f t="shared" ref="W556:W573" si="432">ROUND(V556*1.2, -2)</f>
        <v>100</v>
      </c>
      <c r="X556" s="2" t="s">
        <v>196</v>
      </c>
      <c r="Y556" s="2" t="str">
        <f t="shared" si="427"/>
        <v>80,100</v>
      </c>
      <c r="Z556" s="2">
        <v>80</v>
      </c>
      <c r="AA556" s="2">
        <f t="shared" ref="AA556:AA573" si="433">ROUND(Z556*1.2, -2)</f>
        <v>100</v>
      </c>
      <c r="AB556" s="2">
        <v>100000</v>
      </c>
      <c r="AC556" s="2" t="str">
        <f>_xlfn.XLOOKUP(B556,'#캐릭터'!A:A,'#캐릭터'!B:B)</f>
        <v>반시</v>
      </c>
      <c r="AD556" s="2" t="str">
        <f t="shared" si="429"/>
        <v>Common1_반시</v>
      </c>
      <c r="AE556" s="2">
        <f t="shared" si="430"/>
        <v>0</v>
      </c>
    </row>
    <row r="557" spans="1:31" x14ac:dyDescent="0.2">
      <c r="A557" s="2">
        <f t="shared" si="422"/>
        <v>10400002</v>
      </c>
      <c r="B557" s="1">
        <v>10000400</v>
      </c>
      <c r="C557" s="1" t="s">
        <v>281</v>
      </c>
      <c r="D557" s="1" t="s">
        <v>309</v>
      </c>
      <c r="E557" s="1" t="str">
        <f>"Persona_"&amp;_xlfn.XLOOKUP($B557, '#캐릭터'!$A:$A, '#캐릭터'!$C:$C)</f>
        <v>Persona_c400</v>
      </c>
      <c r="F557" s="1"/>
      <c r="G557" s="1">
        <f>_xlfn.XLOOKUP(_xlfn.XLOOKUP(B557,'[1]Detail&lt;Child&gt;'!$A:$A,'[1]Detail&lt;Child&gt;'!$N:$N),'#참조'!P:P,'#참조'!Q:Q)</f>
        <v>5</v>
      </c>
      <c r="H557" s="1">
        <f>_xlfn.XLOOKUP(_xlfn.XLOOKUP(B557,'[1]Detail&lt;Child&gt;'!$A:$A,'[1]Detail&lt;Child&gt;'!$O:$O),'#참조'!R:R,'#참조'!S:S)</f>
        <v>1</v>
      </c>
      <c r="I557" s="1">
        <v>0</v>
      </c>
      <c r="J557" s="2">
        <v>3</v>
      </c>
      <c r="K557" s="2">
        <v>1</v>
      </c>
      <c r="L557" s="2">
        <v>2</v>
      </c>
      <c r="M557" s="2" t="s">
        <v>6</v>
      </c>
      <c r="N557" s="2" t="s">
        <v>407</v>
      </c>
      <c r="O557" s="2">
        <f t="shared" ref="O557:O573" si="434">ROUND(O556*1.1, 0)</f>
        <v>2200</v>
      </c>
      <c r="P557" s="2" t="s">
        <v>194</v>
      </c>
      <c r="Q557" s="2" t="str">
        <f t="shared" si="423"/>
        <v>1300,1600</v>
      </c>
      <c r="R557" s="2">
        <f t="shared" ref="R557:R573" si="435">ROUND(R556*1.3, 0)</f>
        <v>1300</v>
      </c>
      <c r="S557" s="2">
        <f t="shared" si="431"/>
        <v>1600</v>
      </c>
      <c r="T557" s="2" t="s">
        <v>195</v>
      </c>
      <c r="U557" s="2" t="str">
        <f t="shared" si="425"/>
        <v>120,100</v>
      </c>
      <c r="V557" s="2">
        <f t="shared" ref="V557:V573" si="436">ROUND(V556*1.2, 0)</f>
        <v>120</v>
      </c>
      <c r="W557" s="2">
        <f t="shared" si="432"/>
        <v>100</v>
      </c>
      <c r="X557" s="2" t="s">
        <v>196</v>
      </c>
      <c r="Y557" s="2" t="str">
        <f t="shared" si="427"/>
        <v>104,100</v>
      </c>
      <c r="Z557" s="2">
        <f t="shared" ref="Z557:Z573" si="437">ROUND(Z556*1.3, 0)</f>
        <v>104</v>
      </c>
      <c r="AA557" s="2">
        <f t="shared" si="433"/>
        <v>100</v>
      </c>
      <c r="AB557" s="2">
        <v>100000</v>
      </c>
      <c r="AC557" s="2" t="str">
        <f>_xlfn.XLOOKUP(B557,'#캐릭터'!A:A,'#캐릭터'!B:B)</f>
        <v>반시</v>
      </c>
      <c r="AD557" s="2" t="str">
        <f t="shared" si="429"/>
        <v>Common2_반시</v>
      </c>
      <c r="AE557" s="2">
        <f t="shared" si="430"/>
        <v>0</v>
      </c>
    </row>
    <row r="558" spans="1:31" x14ac:dyDescent="0.2">
      <c r="A558" s="2">
        <f t="shared" si="422"/>
        <v>10400003</v>
      </c>
      <c r="B558" s="1">
        <v>10000400</v>
      </c>
      <c r="C558" s="1" t="s">
        <v>281</v>
      </c>
      <c r="D558" s="1" t="s">
        <v>309</v>
      </c>
      <c r="E558" s="1" t="str">
        <f>"Persona_"&amp;_xlfn.XLOOKUP($B558, '#캐릭터'!$A:$A, '#캐릭터'!$C:$C)</f>
        <v>Persona_c400</v>
      </c>
      <c r="F558" s="1"/>
      <c r="G558" s="1">
        <f>_xlfn.XLOOKUP(_xlfn.XLOOKUP(B558,'[1]Detail&lt;Child&gt;'!$A:$A,'[1]Detail&lt;Child&gt;'!$N:$N),'#참조'!P:P,'#참조'!Q:Q)</f>
        <v>5</v>
      </c>
      <c r="H558" s="1">
        <f>_xlfn.XLOOKUP(_xlfn.XLOOKUP(B558,'[1]Detail&lt;Child&gt;'!$A:$A,'[1]Detail&lt;Child&gt;'!$O:$O),'#참조'!R:R,'#참조'!S:S)</f>
        <v>1</v>
      </c>
      <c r="I558" s="1">
        <v>0</v>
      </c>
      <c r="J558" s="2">
        <v>3</v>
      </c>
      <c r="K558" s="2">
        <v>1</v>
      </c>
      <c r="L558" s="2">
        <v>3</v>
      </c>
      <c r="M558" s="2" t="s">
        <v>7</v>
      </c>
      <c r="N558" s="2" t="s">
        <v>407</v>
      </c>
      <c r="O558" s="2">
        <f t="shared" si="434"/>
        <v>2420</v>
      </c>
      <c r="P558" s="2" t="s">
        <v>194</v>
      </c>
      <c r="Q558" s="2" t="str">
        <f t="shared" si="423"/>
        <v>1690,2000</v>
      </c>
      <c r="R558" s="2">
        <f t="shared" si="435"/>
        <v>1690</v>
      </c>
      <c r="S558" s="2">
        <f t="shared" si="431"/>
        <v>2000</v>
      </c>
      <c r="T558" s="2" t="s">
        <v>195</v>
      </c>
      <c r="U558" s="2" t="str">
        <f t="shared" si="425"/>
        <v>144,200</v>
      </c>
      <c r="V558" s="2">
        <f t="shared" si="436"/>
        <v>144</v>
      </c>
      <c r="W558" s="2">
        <f t="shared" si="432"/>
        <v>200</v>
      </c>
      <c r="X558" s="2" t="s">
        <v>196</v>
      </c>
      <c r="Y558" s="2" t="str">
        <f t="shared" si="427"/>
        <v>135,200</v>
      </c>
      <c r="Z558" s="2">
        <f t="shared" si="437"/>
        <v>135</v>
      </c>
      <c r="AA558" s="2">
        <f t="shared" si="433"/>
        <v>200</v>
      </c>
      <c r="AB558" s="2">
        <v>100000</v>
      </c>
      <c r="AC558" s="2" t="str">
        <f>_xlfn.XLOOKUP(B558,'#캐릭터'!A:A,'#캐릭터'!B:B)</f>
        <v>반시</v>
      </c>
      <c r="AD558" s="2" t="str">
        <f t="shared" si="429"/>
        <v>Common3_반시</v>
      </c>
      <c r="AE558" s="2">
        <f t="shared" si="430"/>
        <v>0</v>
      </c>
    </row>
    <row r="559" spans="1:31" x14ac:dyDescent="0.2">
      <c r="A559" s="2">
        <f t="shared" si="422"/>
        <v>10400004</v>
      </c>
      <c r="B559" s="1">
        <v>10000400</v>
      </c>
      <c r="C559" s="1" t="s">
        <v>281</v>
      </c>
      <c r="D559" s="1" t="s">
        <v>309</v>
      </c>
      <c r="E559" s="1" t="str">
        <f>"Persona_"&amp;_xlfn.XLOOKUP($B559, '#캐릭터'!$A:$A, '#캐릭터'!$C:$C)</f>
        <v>Persona_c400</v>
      </c>
      <c r="F559" s="1"/>
      <c r="G559" s="1">
        <f>_xlfn.XLOOKUP(_xlfn.XLOOKUP(B559,'[1]Detail&lt;Child&gt;'!$A:$A,'[1]Detail&lt;Child&gt;'!$N:$N),'#참조'!P:P,'#참조'!Q:Q)</f>
        <v>5</v>
      </c>
      <c r="H559" s="1">
        <f>_xlfn.XLOOKUP(_xlfn.XLOOKUP(B559,'[1]Detail&lt;Child&gt;'!$A:$A,'[1]Detail&lt;Child&gt;'!$O:$O),'#참조'!R:R,'#참조'!S:S)</f>
        <v>1</v>
      </c>
      <c r="I559" s="1">
        <v>0</v>
      </c>
      <c r="J559" s="2">
        <v>3</v>
      </c>
      <c r="K559" s="2">
        <v>2</v>
      </c>
      <c r="L559" s="2">
        <v>4</v>
      </c>
      <c r="M559" s="2" t="s">
        <v>8</v>
      </c>
      <c r="N559" s="2" t="s">
        <v>407</v>
      </c>
      <c r="O559" s="2">
        <f t="shared" si="434"/>
        <v>2662</v>
      </c>
      <c r="P559" s="2" t="s">
        <v>194</v>
      </c>
      <c r="Q559" s="2" t="str">
        <f t="shared" si="423"/>
        <v>2197,2600</v>
      </c>
      <c r="R559" s="2">
        <f t="shared" si="435"/>
        <v>2197</v>
      </c>
      <c r="S559" s="2">
        <f t="shared" si="431"/>
        <v>2600</v>
      </c>
      <c r="T559" s="2" t="s">
        <v>195</v>
      </c>
      <c r="U559" s="2" t="str">
        <f t="shared" si="425"/>
        <v>173,200</v>
      </c>
      <c r="V559" s="2">
        <f t="shared" si="436"/>
        <v>173</v>
      </c>
      <c r="W559" s="2">
        <f t="shared" si="432"/>
        <v>200</v>
      </c>
      <c r="X559" s="2" t="s">
        <v>196</v>
      </c>
      <c r="Y559" s="2" t="str">
        <f t="shared" si="427"/>
        <v>176,200</v>
      </c>
      <c r="Z559" s="2">
        <f t="shared" si="437"/>
        <v>176</v>
      </c>
      <c r="AA559" s="2">
        <f t="shared" si="433"/>
        <v>200</v>
      </c>
      <c r="AB559" s="2">
        <v>95000</v>
      </c>
      <c r="AC559" s="2" t="str">
        <f>_xlfn.XLOOKUP(B559,'#캐릭터'!A:A,'#캐릭터'!B:B)</f>
        <v>반시</v>
      </c>
      <c r="AD559" s="2" t="str">
        <f t="shared" si="429"/>
        <v>Uncommon1_반시</v>
      </c>
      <c r="AE559" s="2">
        <f t="shared" si="430"/>
        <v>0</v>
      </c>
    </row>
    <row r="560" spans="1:31" x14ac:dyDescent="0.2">
      <c r="A560" s="2">
        <f t="shared" si="422"/>
        <v>10400005</v>
      </c>
      <c r="B560" s="1">
        <v>10000400</v>
      </c>
      <c r="C560" s="1" t="s">
        <v>281</v>
      </c>
      <c r="D560" s="1" t="s">
        <v>309</v>
      </c>
      <c r="E560" s="1" t="str">
        <f>"Persona_"&amp;_xlfn.XLOOKUP($B560, '#캐릭터'!$A:$A, '#캐릭터'!$C:$C)</f>
        <v>Persona_c400</v>
      </c>
      <c r="F560" s="1"/>
      <c r="G560" s="1">
        <f>_xlfn.XLOOKUP(_xlfn.XLOOKUP(B560,'[1]Detail&lt;Child&gt;'!$A:$A,'[1]Detail&lt;Child&gt;'!$N:$N),'#참조'!P:P,'#참조'!Q:Q)</f>
        <v>5</v>
      </c>
      <c r="H560" s="1">
        <f>_xlfn.XLOOKUP(_xlfn.XLOOKUP(B560,'[1]Detail&lt;Child&gt;'!$A:$A,'[1]Detail&lt;Child&gt;'!$O:$O),'#참조'!R:R,'#참조'!S:S)</f>
        <v>1</v>
      </c>
      <c r="I560" s="1">
        <v>0</v>
      </c>
      <c r="J560" s="2">
        <v>3</v>
      </c>
      <c r="K560" s="2">
        <v>2</v>
      </c>
      <c r="L560" s="2">
        <v>5</v>
      </c>
      <c r="M560" s="2" t="s">
        <v>9</v>
      </c>
      <c r="N560" s="2" t="s">
        <v>407</v>
      </c>
      <c r="O560" s="2">
        <f t="shared" si="434"/>
        <v>2928</v>
      </c>
      <c r="P560" s="2" t="s">
        <v>194</v>
      </c>
      <c r="Q560" s="2" t="str">
        <f t="shared" si="423"/>
        <v>2856,3400</v>
      </c>
      <c r="R560" s="2">
        <f t="shared" si="435"/>
        <v>2856</v>
      </c>
      <c r="S560" s="2">
        <f t="shared" si="431"/>
        <v>3400</v>
      </c>
      <c r="T560" s="2" t="s">
        <v>195</v>
      </c>
      <c r="U560" s="2" t="str">
        <f t="shared" si="425"/>
        <v>208,200</v>
      </c>
      <c r="V560" s="2">
        <f t="shared" si="436"/>
        <v>208</v>
      </c>
      <c r="W560" s="2">
        <f t="shared" si="432"/>
        <v>200</v>
      </c>
      <c r="X560" s="2" t="s">
        <v>196</v>
      </c>
      <c r="Y560" s="2" t="str">
        <f t="shared" si="427"/>
        <v>229,300</v>
      </c>
      <c r="Z560" s="2">
        <f t="shared" si="437"/>
        <v>229</v>
      </c>
      <c r="AA560" s="2">
        <f t="shared" si="433"/>
        <v>300</v>
      </c>
      <c r="AB560" s="2">
        <v>95000</v>
      </c>
      <c r="AC560" s="2" t="str">
        <f>_xlfn.XLOOKUP(B560,'#캐릭터'!A:A,'#캐릭터'!B:B)</f>
        <v>반시</v>
      </c>
      <c r="AD560" s="2" t="str">
        <f t="shared" si="429"/>
        <v>Uncommon2_반시</v>
      </c>
      <c r="AE560" s="2">
        <f t="shared" si="430"/>
        <v>0</v>
      </c>
    </row>
    <row r="561" spans="1:31" x14ac:dyDescent="0.2">
      <c r="A561" s="2">
        <f t="shared" si="422"/>
        <v>10400006</v>
      </c>
      <c r="B561" s="1">
        <v>10000400</v>
      </c>
      <c r="C561" s="1" t="s">
        <v>281</v>
      </c>
      <c r="D561" s="1" t="s">
        <v>309</v>
      </c>
      <c r="E561" s="1" t="str">
        <f>"Persona_"&amp;_xlfn.XLOOKUP($B561, '#캐릭터'!$A:$A, '#캐릭터'!$C:$C)</f>
        <v>Persona_c400</v>
      </c>
      <c r="F561" s="1"/>
      <c r="G561" s="1">
        <f>_xlfn.XLOOKUP(_xlfn.XLOOKUP(B561,'[1]Detail&lt;Child&gt;'!$A:$A,'[1]Detail&lt;Child&gt;'!$N:$N),'#참조'!P:P,'#참조'!Q:Q)</f>
        <v>5</v>
      </c>
      <c r="H561" s="1">
        <f>_xlfn.XLOOKUP(_xlfn.XLOOKUP(B561,'[1]Detail&lt;Child&gt;'!$A:$A,'[1]Detail&lt;Child&gt;'!$O:$O),'#참조'!R:R,'#참조'!S:S)</f>
        <v>1</v>
      </c>
      <c r="I561" s="1">
        <v>0</v>
      </c>
      <c r="J561" s="2">
        <v>3</v>
      </c>
      <c r="K561" s="2">
        <v>2</v>
      </c>
      <c r="L561" s="2">
        <v>6</v>
      </c>
      <c r="M561" s="2" t="s">
        <v>10</v>
      </c>
      <c r="N561" s="2" t="s">
        <v>407</v>
      </c>
      <c r="O561" s="2">
        <f t="shared" si="434"/>
        <v>3221</v>
      </c>
      <c r="P561" s="2" t="s">
        <v>194</v>
      </c>
      <c r="Q561" s="2" t="str">
        <f t="shared" si="423"/>
        <v>3713,4500</v>
      </c>
      <c r="R561" s="2">
        <f t="shared" si="435"/>
        <v>3713</v>
      </c>
      <c r="S561" s="2">
        <f t="shared" si="431"/>
        <v>4500</v>
      </c>
      <c r="T561" s="2" t="s">
        <v>195</v>
      </c>
      <c r="U561" s="2" t="str">
        <f t="shared" si="425"/>
        <v>250,300</v>
      </c>
      <c r="V561" s="2">
        <f t="shared" si="436"/>
        <v>250</v>
      </c>
      <c r="W561" s="2">
        <f t="shared" si="432"/>
        <v>300</v>
      </c>
      <c r="X561" s="2" t="s">
        <v>196</v>
      </c>
      <c r="Y561" s="2" t="str">
        <f t="shared" si="427"/>
        <v>298,400</v>
      </c>
      <c r="Z561" s="2">
        <f t="shared" si="437"/>
        <v>298</v>
      </c>
      <c r="AA561" s="2">
        <f t="shared" si="433"/>
        <v>400</v>
      </c>
      <c r="AB561" s="2">
        <v>95000</v>
      </c>
      <c r="AC561" s="2" t="str">
        <f>_xlfn.XLOOKUP(B561,'#캐릭터'!A:A,'#캐릭터'!B:B)</f>
        <v>반시</v>
      </c>
      <c r="AD561" s="2" t="str">
        <f t="shared" si="429"/>
        <v>Uncommon3_반시</v>
      </c>
      <c r="AE561" s="2">
        <f t="shared" si="430"/>
        <v>0</v>
      </c>
    </row>
    <row r="562" spans="1:31" x14ac:dyDescent="0.2">
      <c r="A562" s="2">
        <f t="shared" si="422"/>
        <v>10400007</v>
      </c>
      <c r="B562" s="1">
        <v>10000400</v>
      </c>
      <c r="C562" s="1" t="s">
        <v>281</v>
      </c>
      <c r="D562" s="1" t="s">
        <v>309</v>
      </c>
      <c r="E562" s="1" t="str">
        <f>"Persona_"&amp;_xlfn.XLOOKUP($B562, '#캐릭터'!$A:$A, '#캐릭터'!$C:$C)</f>
        <v>Persona_c400</v>
      </c>
      <c r="F562" s="1"/>
      <c r="G562" s="1">
        <f>_xlfn.XLOOKUP(_xlfn.XLOOKUP(B562,'[1]Detail&lt;Child&gt;'!$A:$A,'[1]Detail&lt;Child&gt;'!$N:$N),'#참조'!P:P,'#참조'!Q:Q)</f>
        <v>5</v>
      </c>
      <c r="H562" s="1">
        <f>_xlfn.XLOOKUP(_xlfn.XLOOKUP(B562,'[1]Detail&lt;Child&gt;'!$A:$A,'[1]Detail&lt;Child&gt;'!$O:$O),'#참조'!R:R,'#참조'!S:S)</f>
        <v>1</v>
      </c>
      <c r="I562" s="1">
        <v>1</v>
      </c>
      <c r="J562" s="2">
        <v>3</v>
      </c>
      <c r="K562" s="2">
        <v>3</v>
      </c>
      <c r="L562" s="2">
        <v>7</v>
      </c>
      <c r="M562" s="2" t="s">
        <v>11</v>
      </c>
      <c r="N562" s="2" t="s">
        <v>407</v>
      </c>
      <c r="O562" s="2">
        <f t="shared" si="434"/>
        <v>3543</v>
      </c>
      <c r="P562" s="2" t="s">
        <v>194</v>
      </c>
      <c r="Q562" s="2" t="str">
        <f t="shared" si="423"/>
        <v>4827,5800</v>
      </c>
      <c r="R562" s="2">
        <f t="shared" si="435"/>
        <v>4827</v>
      </c>
      <c r="S562" s="2">
        <f t="shared" si="431"/>
        <v>5800</v>
      </c>
      <c r="T562" s="2" t="s">
        <v>195</v>
      </c>
      <c r="U562" s="2" t="str">
        <f t="shared" si="425"/>
        <v>300,400</v>
      </c>
      <c r="V562" s="2">
        <f t="shared" si="436"/>
        <v>300</v>
      </c>
      <c r="W562" s="2">
        <f t="shared" si="432"/>
        <v>400</v>
      </c>
      <c r="X562" s="2" t="s">
        <v>196</v>
      </c>
      <c r="Y562" s="2" t="str">
        <f t="shared" si="427"/>
        <v>387,500</v>
      </c>
      <c r="Z562" s="2">
        <f t="shared" si="437"/>
        <v>387</v>
      </c>
      <c r="AA562" s="2">
        <f t="shared" si="433"/>
        <v>500</v>
      </c>
      <c r="AB562" s="2">
        <v>90000</v>
      </c>
      <c r="AC562" s="2" t="str">
        <f>_xlfn.XLOOKUP(B562,'#캐릭터'!A:A,'#캐릭터'!B:B)</f>
        <v>반시</v>
      </c>
      <c r="AD562" s="2" t="str">
        <f t="shared" si="429"/>
        <v>Rare1_반시</v>
      </c>
      <c r="AE562" s="2">
        <f t="shared" si="430"/>
        <v>5101</v>
      </c>
    </row>
    <row r="563" spans="1:31" x14ac:dyDescent="0.2">
      <c r="A563" s="2">
        <f t="shared" si="422"/>
        <v>10400008</v>
      </c>
      <c r="B563" s="1">
        <v>10000400</v>
      </c>
      <c r="C563" s="1" t="s">
        <v>281</v>
      </c>
      <c r="D563" s="1" t="s">
        <v>309</v>
      </c>
      <c r="E563" s="1" t="str">
        <f>"Persona_"&amp;_xlfn.XLOOKUP($B563, '#캐릭터'!$A:$A, '#캐릭터'!$C:$C)</f>
        <v>Persona_c400</v>
      </c>
      <c r="F563" s="1"/>
      <c r="G563" s="1">
        <f>_xlfn.XLOOKUP(_xlfn.XLOOKUP(B563,'[1]Detail&lt;Child&gt;'!$A:$A,'[1]Detail&lt;Child&gt;'!$N:$N),'#참조'!P:P,'#참조'!Q:Q)</f>
        <v>5</v>
      </c>
      <c r="H563" s="1">
        <f>_xlfn.XLOOKUP(_xlfn.XLOOKUP(B563,'[1]Detail&lt;Child&gt;'!$A:$A,'[1]Detail&lt;Child&gt;'!$O:$O),'#참조'!R:R,'#참조'!S:S)</f>
        <v>1</v>
      </c>
      <c r="I563" s="1">
        <v>1</v>
      </c>
      <c r="J563" s="2">
        <v>3</v>
      </c>
      <c r="K563" s="2">
        <v>3</v>
      </c>
      <c r="L563" s="2">
        <v>8</v>
      </c>
      <c r="M563" s="2" t="s">
        <v>12</v>
      </c>
      <c r="N563" s="2" t="s">
        <v>407</v>
      </c>
      <c r="O563" s="2">
        <f t="shared" si="434"/>
        <v>3897</v>
      </c>
      <c r="P563" s="2" t="s">
        <v>194</v>
      </c>
      <c r="Q563" s="2" t="str">
        <f t="shared" si="423"/>
        <v>6275,7500</v>
      </c>
      <c r="R563" s="2">
        <f t="shared" si="435"/>
        <v>6275</v>
      </c>
      <c r="S563" s="2">
        <f t="shared" si="431"/>
        <v>7500</v>
      </c>
      <c r="T563" s="2" t="s">
        <v>195</v>
      </c>
      <c r="U563" s="2" t="str">
        <f t="shared" si="425"/>
        <v>360,400</v>
      </c>
      <c r="V563" s="2">
        <f t="shared" si="436"/>
        <v>360</v>
      </c>
      <c r="W563" s="2">
        <f t="shared" si="432"/>
        <v>400</v>
      </c>
      <c r="X563" s="2" t="s">
        <v>196</v>
      </c>
      <c r="Y563" s="2" t="str">
        <f t="shared" si="427"/>
        <v>503,600</v>
      </c>
      <c r="Z563" s="2">
        <f t="shared" si="437"/>
        <v>503</v>
      </c>
      <c r="AA563" s="2">
        <f t="shared" si="433"/>
        <v>600</v>
      </c>
      <c r="AB563" s="2">
        <v>90000</v>
      </c>
      <c r="AC563" s="2" t="str">
        <f>_xlfn.XLOOKUP(B563,'#캐릭터'!A:A,'#캐릭터'!B:B)</f>
        <v>반시</v>
      </c>
      <c r="AD563" s="2" t="str">
        <f t="shared" si="429"/>
        <v>Rare2_반시</v>
      </c>
      <c r="AE563" s="2">
        <f t="shared" si="430"/>
        <v>5101</v>
      </c>
    </row>
    <row r="564" spans="1:31" x14ac:dyDescent="0.2">
      <c r="A564" s="2">
        <f t="shared" si="422"/>
        <v>10400009</v>
      </c>
      <c r="B564" s="1">
        <v>10000400</v>
      </c>
      <c r="C564" s="1" t="s">
        <v>281</v>
      </c>
      <c r="D564" s="1" t="s">
        <v>309</v>
      </c>
      <c r="E564" s="1" t="str">
        <f>"Persona_"&amp;_xlfn.XLOOKUP($B564, '#캐릭터'!$A:$A, '#캐릭터'!$C:$C)</f>
        <v>Persona_c400</v>
      </c>
      <c r="F564" s="1"/>
      <c r="G564" s="1">
        <f>_xlfn.XLOOKUP(_xlfn.XLOOKUP(B564,'[1]Detail&lt;Child&gt;'!$A:$A,'[1]Detail&lt;Child&gt;'!$N:$N),'#참조'!P:P,'#참조'!Q:Q)</f>
        <v>5</v>
      </c>
      <c r="H564" s="1">
        <f>_xlfn.XLOOKUP(_xlfn.XLOOKUP(B564,'[1]Detail&lt;Child&gt;'!$A:$A,'[1]Detail&lt;Child&gt;'!$O:$O),'#참조'!R:R,'#참조'!S:S)</f>
        <v>1</v>
      </c>
      <c r="I564" s="1">
        <v>2</v>
      </c>
      <c r="J564" s="2">
        <v>3</v>
      </c>
      <c r="K564" s="2">
        <v>3</v>
      </c>
      <c r="L564" s="2">
        <v>9</v>
      </c>
      <c r="M564" s="2" t="s">
        <v>13</v>
      </c>
      <c r="N564" s="2" t="s">
        <v>407</v>
      </c>
      <c r="O564" s="2">
        <f t="shared" si="434"/>
        <v>4287</v>
      </c>
      <c r="P564" s="2" t="s">
        <v>194</v>
      </c>
      <c r="Q564" s="2" t="str">
        <f t="shared" si="423"/>
        <v>8158,9800</v>
      </c>
      <c r="R564" s="2">
        <f t="shared" si="435"/>
        <v>8158</v>
      </c>
      <c r="S564" s="2">
        <f t="shared" si="431"/>
        <v>9800</v>
      </c>
      <c r="T564" s="2" t="s">
        <v>195</v>
      </c>
      <c r="U564" s="2" t="str">
        <f t="shared" si="425"/>
        <v>432,500</v>
      </c>
      <c r="V564" s="2">
        <f t="shared" si="436"/>
        <v>432</v>
      </c>
      <c r="W564" s="2">
        <f t="shared" si="432"/>
        <v>500</v>
      </c>
      <c r="X564" s="2" t="s">
        <v>196</v>
      </c>
      <c r="Y564" s="2" t="str">
        <f t="shared" si="427"/>
        <v>654,800</v>
      </c>
      <c r="Z564" s="2">
        <f t="shared" si="437"/>
        <v>654</v>
      </c>
      <c r="AA564" s="2">
        <f t="shared" si="433"/>
        <v>800</v>
      </c>
      <c r="AB564" s="2">
        <v>90000</v>
      </c>
      <c r="AC564" s="2" t="str">
        <f>_xlfn.XLOOKUP(B564,'#캐릭터'!A:A,'#캐릭터'!B:B)</f>
        <v>반시</v>
      </c>
      <c r="AD564" s="2" t="str">
        <f t="shared" si="429"/>
        <v>Rare3_반시</v>
      </c>
      <c r="AE564" s="2">
        <f t="shared" si="430"/>
        <v>5102</v>
      </c>
    </row>
    <row r="565" spans="1:31" x14ac:dyDescent="0.2">
      <c r="A565" s="2">
        <f t="shared" si="422"/>
        <v>10400010</v>
      </c>
      <c r="B565" s="1">
        <v>10000400</v>
      </c>
      <c r="C565" s="1" t="s">
        <v>281</v>
      </c>
      <c r="D565" s="1" t="s">
        <v>309</v>
      </c>
      <c r="E565" s="1" t="str">
        <f>"Persona_"&amp;_xlfn.XLOOKUP($B565, '#캐릭터'!$A:$A, '#캐릭터'!$C:$C)</f>
        <v>Persona_c400</v>
      </c>
      <c r="F565" s="1"/>
      <c r="G565" s="1">
        <f>_xlfn.XLOOKUP(_xlfn.XLOOKUP(B565,'[1]Detail&lt;Child&gt;'!$A:$A,'[1]Detail&lt;Child&gt;'!$N:$N),'#참조'!P:P,'#참조'!Q:Q)</f>
        <v>5</v>
      </c>
      <c r="H565" s="1">
        <f>_xlfn.XLOOKUP(_xlfn.XLOOKUP(B565,'[1]Detail&lt;Child&gt;'!$A:$A,'[1]Detail&lt;Child&gt;'!$O:$O),'#참조'!R:R,'#참조'!S:S)</f>
        <v>1</v>
      </c>
      <c r="I565" s="1">
        <v>2</v>
      </c>
      <c r="J565" s="2">
        <v>3</v>
      </c>
      <c r="K565" s="2">
        <v>4</v>
      </c>
      <c r="L565" s="2">
        <v>10</v>
      </c>
      <c r="M565" s="2" t="s">
        <v>14</v>
      </c>
      <c r="N565" s="2" t="s">
        <v>407</v>
      </c>
      <c r="O565" s="2">
        <f t="shared" si="434"/>
        <v>4716</v>
      </c>
      <c r="P565" s="2" t="s">
        <v>194</v>
      </c>
      <c r="Q565" s="2" t="str">
        <f t="shared" si="423"/>
        <v>10605,12700</v>
      </c>
      <c r="R565" s="2">
        <f t="shared" si="435"/>
        <v>10605</v>
      </c>
      <c r="S565" s="2">
        <f t="shared" si="431"/>
        <v>12700</v>
      </c>
      <c r="T565" s="2" t="s">
        <v>195</v>
      </c>
      <c r="U565" s="2" t="str">
        <f t="shared" si="425"/>
        <v>518,600</v>
      </c>
      <c r="V565" s="2">
        <f t="shared" si="436"/>
        <v>518</v>
      </c>
      <c r="W565" s="2">
        <f t="shared" si="432"/>
        <v>600</v>
      </c>
      <c r="X565" s="2" t="s">
        <v>196</v>
      </c>
      <c r="Y565" s="2" t="str">
        <f t="shared" si="427"/>
        <v>850,1000</v>
      </c>
      <c r="Z565" s="2">
        <f t="shared" si="437"/>
        <v>850</v>
      </c>
      <c r="AA565" s="2">
        <f t="shared" si="433"/>
        <v>1000</v>
      </c>
      <c r="AB565" s="2">
        <v>85000</v>
      </c>
      <c r="AC565" s="2" t="str">
        <f>_xlfn.XLOOKUP(B565,'#캐릭터'!A:A,'#캐릭터'!B:B)</f>
        <v>반시</v>
      </c>
      <c r="AD565" s="2" t="str">
        <f t="shared" si="429"/>
        <v>Unique1_반시</v>
      </c>
      <c r="AE565" s="2">
        <f t="shared" si="430"/>
        <v>5102</v>
      </c>
    </row>
    <row r="566" spans="1:31" x14ac:dyDescent="0.2">
      <c r="A566" s="2">
        <f t="shared" si="422"/>
        <v>10400011</v>
      </c>
      <c r="B566" s="1">
        <v>10000400</v>
      </c>
      <c r="C566" s="1" t="s">
        <v>281</v>
      </c>
      <c r="D566" s="1" t="s">
        <v>309</v>
      </c>
      <c r="E566" s="1" t="str">
        <f>"Persona_"&amp;_xlfn.XLOOKUP($B566, '#캐릭터'!$A:$A, '#캐릭터'!$C:$C)</f>
        <v>Persona_c400</v>
      </c>
      <c r="F566" s="1"/>
      <c r="G566" s="1">
        <f>_xlfn.XLOOKUP(_xlfn.XLOOKUP(B566,'[1]Detail&lt;Child&gt;'!$A:$A,'[1]Detail&lt;Child&gt;'!$N:$N),'#참조'!P:P,'#참조'!Q:Q)</f>
        <v>5</v>
      </c>
      <c r="H566" s="1">
        <f>_xlfn.XLOOKUP(_xlfn.XLOOKUP(B566,'[1]Detail&lt;Child&gt;'!$A:$A,'[1]Detail&lt;Child&gt;'!$O:$O),'#참조'!R:R,'#참조'!S:S)</f>
        <v>1</v>
      </c>
      <c r="I566" s="1">
        <v>3</v>
      </c>
      <c r="J566" s="2">
        <v>3</v>
      </c>
      <c r="K566" s="2">
        <v>4</v>
      </c>
      <c r="L566" s="2">
        <v>11</v>
      </c>
      <c r="M566" s="2" t="s">
        <v>15</v>
      </c>
      <c r="N566" s="2" t="s">
        <v>407</v>
      </c>
      <c r="O566" s="2">
        <f t="shared" si="434"/>
        <v>5188</v>
      </c>
      <c r="P566" s="2" t="s">
        <v>194</v>
      </c>
      <c r="Q566" s="2" t="str">
        <f t="shared" si="423"/>
        <v>13787,16500</v>
      </c>
      <c r="R566" s="2">
        <f t="shared" si="435"/>
        <v>13787</v>
      </c>
      <c r="S566" s="2">
        <f t="shared" si="431"/>
        <v>16500</v>
      </c>
      <c r="T566" s="2" t="s">
        <v>195</v>
      </c>
      <c r="U566" s="2" t="str">
        <f t="shared" si="425"/>
        <v>622,700</v>
      </c>
      <c r="V566" s="2">
        <f t="shared" si="436"/>
        <v>622</v>
      </c>
      <c r="W566" s="2">
        <f t="shared" si="432"/>
        <v>700</v>
      </c>
      <c r="X566" s="2" t="s">
        <v>196</v>
      </c>
      <c r="Y566" s="2" t="str">
        <f t="shared" si="427"/>
        <v>1105,1300</v>
      </c>
      <c r="Z566" s="2">
        <f t="shared" si="437"/>
        <v>1105</v>
      </c>
      <c r="AA566" s="2">
        <f t="shared" si="433"/>
        <v>1300</v>
      </c>
      <c r="AB566" s="2">
        <v>85000</v>
      </c>
      <c r="AC566" s="2" t="str">
        <f>_xlfn.XLOOKUP(B566,'#캐릭터'!A:A,'#캐릭터'!B:B)</f>
        <v>반시</v>
      </c>
      <c r="AD566" s="2" t="str">
        <f t="shared" si="429"/>
        <v>Unique2_반시</v>
      </c>
      <c r="AE566" s="2">
        <f t="shared" si="430"/>
        <v>5103</v>
      </c>
    </row>
    <row r="567" spans="1:31" x14ac:dyDescent="0.2">
      <c r="A567" s="2">
        <f t="shared" si="422"/>
        <v>10400012</v>
      </c>
      <c r="B567" s="1">
        <v>10000400</v>
      </c>
      <c r="C567" s="1" t="s">
        <v>281</v>
      </c>
      <c r="D567" s="1" t="s">
        <v>309</v>
      </c>
      <c r="E567" s="1" t="str">
        <f>"Persona_"&amp;_xlfn.XLOOKUP($B567, '#캐릭터'!$A:$A, '#캐릭터'!$C:$C)</f>
        <v>Persona_c400</v>
      </c>
      <c r="F567" s="1"/>
      <c r="G567" s="1">
        <f>_xlfn.XLOOKUP(_xlfn.XLOOKUP(B567,'[1]Detail&lt;Child&gt;'!$A:$A,'[1]Detail&lt;Child&gt;'!$N:$N),'#참조'!P:P,'#참조'!Q:Q)</f>
        <v>5</v>
      </c>
      <c r="H567" s="1">
        <f>_xlfn.XLOOKUP(_xlfn.XLOOKUP(B567,'[1]Detail&lt;Child&gt;'!$A:$A,'[1]Detail&lt;Child&gt;'!$O:$O),'#참조'!R:R,'#참조'!S:S)</f>
        <v>1</v>
      </c>
      <c r="I567" s="1">
        <v>3</v>
      </c>
      <c r="J567" s="2">
        <v>3</v>
      </c>
      <c r="K567" s="2">
        <v>4</v>
      </c>
      <c r="L567" s="2">
        <v>12</v>
      </c>
      <c r="M567" s="2" t="s">
        <v>16</v>
      </c>
      <c r="N567" s="2" t="s">
        <v>407</v>
      </c>
      <c r="O567" s="2">
        <f t="shared" si="434"/>
        <v>5707</v>
      </c>
      <c r="P567" s="2" t="s">
        <v>194</v>
      </c>
      <c r="Q567" s="2" t="str">
        <f t="shared" si="423"/>
        <v>17923,21500</v>
      </c>
      <c r="R567" s="2">
        <f t="shared" si="435"/>
        <v>17923</v>
      </c>
      <c r="S567" s="2">
        <f t="shared" si="431"/>
        <v>21500</v>
      </c>
      <c r="T567" s="2" t="s">
        <v>195</v>
      </c>
      <c r="U567" s="2" t="str">
        <f t="shared" si="425"/>
        <v>746,900</v>
      </c>
      <c r="V567" s="2">
        <f t="shared" si="436"/>
        <v>746</v>
      </c>
      <c r="W567" s="2">
        <f t="shared" si="432"/>
        <v>900</v>
      </c>
      <c r="X567" s="2" t="s">
        <v>196</v>
      </c>
      <c r="Y567" s="2" t="str">
        <f t="shared" si="427"/>
        <v>1437,1700</v>
      </c>
      <c r="Z567" s="2">
        <f t="shared" si="437"/>
        <v>1437</v>
      </c>
      <c r="AA567" s="2">
        <f t="shared" si="433"/>
        <v>1700</v>
      </c>
      <c r="AB567" s="2">
        <v>85000</v>
      </c>
      <c r="AC567" s="2" t="str">
        <f>_xlfn.XLOOKUP(B567,'#캐릭터'!A:A,'#캐릭터'!B:B)</f>
        <v>반시</v>
      </c>
      <c r="AD567" s="2" t="str">
        <f t="shared" si="429"/>
        <v>Unique3_반시</v>
      </c>
      <c r="AE567" s="2">
        <f t="shared" si="430"/>
        <v>5103</v>
      </c>
    </row>
    <row r="568" spans="1:31" x14ac:dyDescent="0.2">
      <c r="A568" s="2">
        <f t="shared" si="422"/>
        <v>10400013</v>
      </c>
      <c r="B568" s="1">
        <v>10000400</v>
      </c>
      <c r="C568" s="1" t="s">
        <v>281</v>
      </c>
      <c r="D568" s="1" t="s">
        <v>309</v>
      </c>
      <c r="E568" s="1" t="str">
        <f>"Persona_"&amp;_xlfn.XLOOKUP($B568, '#캐릭터'!$A:$A, '#캐릭터'!$C:$C)</f>
        <v>Persona_c400</v>
      </c>
      <c r="F568" s="1"/>
      <c r="G568" s="1">
        <f>_xlfn.XLOOKUP(_xlfn.XLOOKUP(B568,'[1]Detail&lt;Child&gt;'!$A:$A,'[1]Detail&lt;Child&gt;'!$N:$N),'#참조'!P:P,'#참조'!Q:Q)</f>
        <v>5</v>
      </c>
      <c r="H568" s="1">
        <f>_xlfn.XLOOKUP(_xlfn.XLOOKUP(B568,'[1]Detail&lt;Child&gt;'!$A:$A,'[1]Detail&lt;Child&gt;'!$O:$O),'#참조'!R:R,'#참조'!S:S)</f>
        <v>1</v>
      </c>
      <c r="I568" s="1">
        <v>4</v>
      </c>
      <c r="J568" s="2">
        <v>3</v>
      </c>
      <c r="K568" s="2">
        <v>5</v>
      </c>
      <c r="L568" s="2">
        <v>13</v>
      </c>
      <c r="M568" s="2" t="s">
        <v>17</v>
      </c>
      <c r="N568" s="2" t="s">
        <v>407</v>
      </c>
      <c r="O568" s="2">
        <f t="shared" si="434"/>
        <v>6278</v>
      </c>
      <c r="P568" s="2" t="s">
        <v>194</v>
      </c>
      <c r="Q568" s="2" t="str">
        <f t="shared" si="423"/>
        <v>23300,28000</v>
      </c>
      <c r="R568" s="2">
        <f t="shared" si="435"/>
        <v>23300</v>
      </c>
      <c r="S568" s="2">
        <f t="shared" si="431"/>
        <v>28000</v>
      </c>
      <c r="T568" s="2" t="s">
        <v>195</v>
      </c>
      <c r="U568" s="2" t="str">
        <f t="shared" si="425"/>
        <v>895,1100</v>
      </c>
      <c r="V568" s="2">
        <f t="shared" si="436"/>
        <v>895</v>
      </c>
      <c r="W568" s="2">
        <f t="shared" si="432"/>
        <v>1100</v>
      </c>
      <c r="X568" s="2" t="s">
        <v>196</v>
      </c>
      <c r="Y568" s="2" t="str">
        <f t="shared" si="427"/>
        <v>1868,2200</v>
      </c>
      <c r="Z568" s="2">
        <f t="shared" si="437"/>
        <v>1868</v>
      </c>
      <c r="AA568" s="2">
        <f t="shared" si="433"/>
        <v>2200</v>
      </c>
      <c r="AB568" s="2">
        <v>80000</v>
      </c>
      <c r="AC568" s="2" t="str">
        <f>_xlfn.XLOOKUP(B568,'#캐릭터'!A:A,'#캐릭터'!B:B)</f>
        <v>반시</v>
      </c>
      <c r="AD568" s="2" t="str">
        <f t="shared" si="429"/>
        <v>Epic1_반시</v>
      </c>
      <c r="AE568" s="2">
        <f t="shared" si="430"/>
        <v>5104</v>
      </c>
    </row>
    <row r="569" spans="1:31" x14ac:dyDescent="0.2">
      <c r="A569" s="2">
        <f t="shared" si="422"/>
        <v>10400014</v>
      </c>
      <c r="B569" s="1">
        <v>10000400</v>
      </c>
      <c r="C569" s="1" t="s">
        <v>281</v>
      </c>
      <c r="D569" s="1" t="s">
        <v>309</v>
      </c>
      <c r="E569" s="1" t="str">
        <f>"Persona_"&amp;_xlfn.XLOOKUP($B569, '#캐릭터'!$A:$A, '#캐릭터'!$C:$C)</f>
        <v>Persona_c400</v>
      </c>
      <c r="F569" s="1"/>
      <c r="G569" s="1">
        <f>_xlfn.XLOOKUP(_xlfn.XLOOKUP(B569,'[1]Detail&lt;Child&gt;'!$A:$A,'[1]Detail&lt;Child&gt;'!$N:$N),'#참조'!P:P,'#참조'!Q:Q)</f>
        <v>5</v>
      </c>
      <c r="H569" s="1">
        <f>_xlfn.XLOOKUP(_xlfn.XLOOKUP(B569,'[1]Detail&lt;Child&gt;'!$A:$A,'[1]Detail&lt;Child&gt;'!$O:$O),'#참조'!R:R,'#참조'!S:S)</f>
        <v>1</v>
      </c>
      <c r="I569" s="1">
        <v>4</v>
      </c>
      <c r="J569" s="2">
        <v>3</v>
      </c>
      <c r="K569" s="2">
        <v>5</v>
      </c>
      <c r="L569" s="2">
        <v>14</v>
      </c>
      <c r="M569" s="2" t="s">
        <v>18</v>
      </c>
      <c r="N569" s="2" t="s">
        <v>407</v>
      </c>
      <c r="O569" s="2">
        <f t="shared" si="434"/>
        <v>6906</v>
      </c>
      <c r="P569" s="2" t="s">
        <v>194</v>
      </c>
      <c r="Q569" s="2" t="str">
        <f t="shared" si="423"/>
        <v>30290,36300</v>
      </c>
      <c r="R569" s="2">
        <f t="shared" si="435"/>
        <v>30290</v>
      </c>
      <c r="S569" s="2">
        <f t="shared" si="431"/>
        <v>36300</v>
      </c>
      <c r="T569" s="2" t="s">
        <v>195</v>
      </c>
      <c r="U569" s="2" t="str">
        <f t="shared" si="425"/>
        <v>1074,1300</v>
      </c>
      <c r="V569" s="2">
        <f t="shared" si="436"/>
        <v>1074</v>
      </c>
      <c r="W569" s="2">
        <f t="shared" si="432"/>
        <v>1300</v>
      </c>
      <c r="X569" s="2" t="s">
        <v>196</v>
      </c>
      <c r="Y569" s="2" t="str">
        <f t="shared" si="427"/>
        <v>2428,2900</v>
      </c>
      <c r="Z569" s="2">
        <f t="shared" si="437"/>
        <v>2428</v>
      </c>
      <c r="AA569" s="2">
        <f t="shared" si="433"/>
        <v>2900</v>
      </c>
      <c r="AB569" s="2">
        <v>80000</v>
      </c>
      <c r="AC569" s="2" t="str">
        <f>_xlfn.XLOOKUP(B569,'#캐릭터'!A:A,'#캐릭터'!B:B)</f>
        <v>반시</v>
      </c>
      <c r="AD569" s="2" t="str">
        <f t="shared" si="429"/>
        <v>Epic2_반시</v>
      </c>
      <c r="AE569" s="2">
        <f t="shared" si="430"/>
        <v>5104</v>
      </c>
    </row>
    <row r="570" spans="1:31" x14ac:dyDescent="0.2">
      <c r="A570" s="2">
        <f t="shared" si="422"/>
        <v>10400015</v>
      </c>
      <c r="B570" s="1">
        <v>10000400</v>
      </c>
      <c r="C570" s="1" t="s">
        <v>281</v>
      </c>
      <c r="D570" s="1" t="s">
        <v>309</v>
      </c>
      <c r="E570" s="1" t="str">
        <f>"Persona_"&amp;_xlfn.XLOOKUP($B570, '#캐릭터'!$A:$A, '#캐릭터'!$C:$C)</f>
        <v>Persona_c400</v>
      </c>
      <c r="F570" s="1"/>
      <c r="G570" s="1">
        <f>_xlfn.XLOOKUP(_xlfn.XLOOKUP(B570,'[1]Detail&lt;Child&gt;'!$A:$A,'[1]Detail&lt;Child&gt;'!$N:$N),'#참조'!P:P,'#참조'!Q:Q)</f>
        <v>5</v>
      </c>
      <c r="H570" s="1">
        <f>_xlfn.XLOOKUP(_xlfn.XLOOKUP(B570,'[1]Detail&lt;Child&gt;'!$A:$A,'[1]Detail&lt;Child&gt;'!$O:$O),'#참조'!R:R,'#참조'!S:S)</f>
        <v>1</v>
      </c>
      <c r="I570" s="1">
        <v>5</v>
      </c>
      <c r="J570" s="2">
        <v>3</v>
      </c>
      <c r="K570" s="2">
        <v>5</v>
      </c>
      <c r="L570" s="2">
        <v>15</v>
      </c>
      <c r="M570" s="2" t="s">
        <v>19</v>
      </c>
      <c r="N570" s="2" t="s">
        <v>407</v>
      </c>
      <c r="O570" s="2">
        <f t="shared" si="434"/>
        <v>7597</v>
      </c>
      <c r="P570" s="2" t="s">
        <v>194</v>
      </c>
      <c r="Q570" s="2" t="str">
        <f t="shared" si="423"/>
        <v>39377,47300</v>
      </c>
      <c r="R570" s="2">
        <f t="shared" si="435"/>
        <v>39377</v>
      </c>
      <c r="S570" s="2">
        <f t="shared" si="431"/>
        <v>47300</v>
      </c>
      <c r="T570" s="2" t="s">
        <v>195</v>
      </c>
      <c r="U570" s="2" t="str">
        <f t="shared" si="425"/>
        <v>1289,1500</v>
      </c>
      <c r="V570" s="2">
        <f t="shared" si="436"/>
        <v>1289</v>
      </c>
      <c r="W570" s="2">
        <f t="shared" si="432"/>
        <v>1500</v>
      </c>
      <c r="X570" s="2" t="s">
        <v>196</v>
      </c>
      <c r="Y570" s="2" t="str">
        <f t="shared" si="427"/>
        <v>3156,3800</v>
      </c>
      <c r="Z570" s="2">
        <f t="shared" si="437"/>
        <v>3156</v>
      </c>
      <c r="AA570" s="2">
        <f t="shared" si="433"/>
        <v>3800</v>
      </c>
      <c r="AB570" s="2">
        <v>80000</v>
      </c>
      <c r="AC570" s="2" t="str">
        <f>_xlfn.XLOOKUP(B570,'#캐릭터'!A:A,'#캐릭터'!B:B)</f>
        <v>반시</v>
      </c>
      <c r="AD570" s="2" t="str">
        <f t="shared" si="429"/>
        <v>Epic3_반시</v>
      </c>
      <c r="AE570" s="2">
        <f t="shared" si="430"/>
        <v>5105</v>
      </c>
    </row>
    <row r="571" spans="1:31" x14ac:dyDescent="0.2">
      <c r="A571" s="2">
        <f t="shared" si="422"/>
        <v>10400016</v>
      </c>
      <c r="B571" s="1">
        <v>10000400</v>
      </c>
      <c r="C571" s="1" t="s">
        <v>281</v>
      </c>
      <c r="D571" s="1" t="s">
        <v>309</v>
      </c>
      <c r="E571" s="1" t="str">
        <f>"Persona_"&amp;_xlfn.XLOOKUP($B571, '#캐릭터'!$A:$A, '#캐릭터'!$C:$C)</f>
        <v>Persona_c400</v>
      </c>
      <c r="F571" s="1"/>
      <c r="G571" s="1">
        <f>_xlfn.XLOOKUP(_xlfn.XLOOKUP(B571,'[1]Detail&lt;Child&gt;'!$A:$A,'[1]Detail&lt;Child&gt;'!$N:$N),'#참조'!P:P,'#참조'!Q:Q)</f>
        <v>5</v>
      </c>
      <c r="H571" s="1">
        <f>_xlfn.XLOOKUP(_xlfn.XLOOKUP(B571,'[1]Detail&lt;Child&gt;'!$A:$A,'[1]Detail&lt;Child&gt;'!$O:$O),'#참조'!R:R,'#참조'!S:S)</f>
        <v>1</v>
      </c>
      <c r="I571" s="1">
        <v>5</v>
      </c>
      <c r="J571" s="2">
        <v>3</v>
      </c>
      <c r="K571" s="2">
        <v>6</v>
      </c>
      <c r="L571" s="2">
        <v>16</v>
      </c>
      <c r="M571" s="2" t="s">
        <v>20</v>
      </c>
      <c r="N571" s="2" t="s">
        <v>407</v>
      </c>
      <c r="O571" s="2">
        <f t="shared" si="434"/>
        <v>8357</v>
      </c>
      <c r="P571" s="2" t="s">
        <v>194</v>
      </c>
      <c r="Q571" s="2" t="str">
        <f t="shared" si="423"/>
        <v>51190,61400</v>
      </c>
      <c r="R571" s="2">
        <f t="shared" si="435"/>
        <v>51190</v>
      </c>
      <c r="S571" s="2">
        <f t="shared" si="431"/>
        <v>61400</v>
      </c>
      <c r="T571" s="2" t="s">
        <v>195</v>
      </c>
      <c r="U571" s="2" t="str">
        <f t="shared" si="425"/>
        <v>1547,1900</v>
      </c>
      <c r="V571" s="2">
        <f t="shared" si="436"/>
        <v>1547</v>
      </c>
      <c r="W571" s="2">
        <f t="shared" si="432"/>
        <v>1900</v>
      </c>
      <c r="X571" s="2" t="s">
        <v>196</v>
      </c>
      <c r="Y571" s="2" t="str">
        <f t="shared" si="427"/>
        <v>4103,4900</v>
      </c>
      <c r="Z571" s="2">
        <f t="shared" si="437"/>
        <v>4103</v>
      </c>
      <c r="AA571" s="2">
        <f t="shared" si="433"/>
        <v>4900</v>
      </c>
      <c r="AB571" s="2">
        <v>75000</v>
      </c>
      <c r="AC571" s="2" t="str">
        <f>_xlfn.XLOOKUP(B571,'#캐릭터'!A:A,'#캐릭터'!B:B)</f>
        <v>반시</v>
      </c>
      <c r="AD571" s="2" t="str">
        <f t="shared" si="429"/>
        <v>Legendary1_반시</v>
      </c>
      <c r="AE571" s="2">
        <f t="shared" si="430"/>
        <v>5105</v>
      </c>
    </row>
    <row r="572" spans="1:31" x14ac:dyDescent="0.2">
      <c r="A572" s="2">
        <f t="shared" si="422"/>
        <v>10400017</v>
      </c>
      <c r="B572" s="1">
        <v>10000400</v>
      </c>
      <c r="C572" s="1" t="s">
        <v>281</v>
      </c>
      <c r="D572" s="1" t="s">
        <v>309</v>
      </c>
      <c r="E572" s="1" t="str">
        <f>"Persona_"&amp;_xlfn.XLOOKUP($B572, '#캐릭터'!$A:$A, '#캐릭터'!$C:$C)</f>
        <v>Persona_c400</v>
      </c>
      <c r="F572" s="1"/>
      <c r="G572" s="1">
        <f>_xlfn.XLOOKUP(_xlfn.XLOOKUP(B572,'[1]Detail&lt;Child&gt;'!$A:$A,'[1]Detail&lt;Child&gt;'!$N:$N),'#참조'!P:P,'#참조'!Q:Q)</f>
        <v>5</v>
      </c>
      <c r="H572" s="1">
        <f>_xlfn.XLOOKUP(_xlfn.XLOOKUP(B572,'[1]Detail&lt;Child&gt;'!$A:$A,'[1]Detail&lt;Child&gt;'!$O:$O),'#참조'!R:R,'#참조'!S:S)</f>
        <v>1</v>
      </c>
      <c r="I572" s="1">
        <v>6</v>
      </c>
      <c r="J572" s="2">
        <v>3</v>
      </c>
      <c r="K572" s="2">
        <v>6</v>
      </c>
      <c r="L572" s="2">
        <v>17</v>
      </c>
      <c r="M572" s="2" t="s">
        <v>21</v>
      </c>
      <c r="N572" s="2" t="s">
        <v>407</v>
      </c>
      <c r="O572" s="2">
        <f t="shared" si="434"/>
        <v>9193</v>
      </c>
      <c r="P572" s="2" t="s">
        <v>194</v>
      </c>
      <c r="Q572" s="2" t="str">
        <f t="shared" si="423"/>
        <v>66547,79900</v>
      </c>
      <c r="R572" s="2">
        <f t="shared" si="435"/>
        <v>66547</v>
      </c>
      <c r="S572" s="2">
        <f t="shared" si="431"/>
        <v>79900</v>
      </c>
      <c r="T572" s="2" t="s">
        <v>195</v>
      </c>
      <c r="U572" s="2" t="str">
        <f t="shared" si="425"/>
        <v>1856,2200</v>
      </c>
      <c r="V572" s="2">
        <f t="shared" si="436"/>
        <v>1856</v>
      </c>
      <c r="W572" s="2">
        <f t="shared" si="432"/>
        <v>2200</v>
      </c>
      <c r="X572" s="2" t="s">
        <v>196</v>
      </c>
      <c r="Y572" s="2" t="str">
        <f t="shared" si="427"/>
        <v>5334,6400</v>
      </c>
      <c r="Z572" s="2">
        <f t="shared" si="437"/>
        <v>5334</v>
      </c>
      <c r="AA572" s="2">
        <f t="shared" si="433"/>
        <v>6400</v>
      </c>
      <c r="AB572" s="2">
        <v>75000</v>
      </c>
      <c r="AC572" s="2" t="str">
        <f>_xlfn.XLOOKUP(B572,'#캐릭터'!A:A,'#캐릭터'!B:B)</f>
        <v>반시</v>
      </c>
      <c r="AD572" s="2" t="str">
        <f t="shared" si="429"/>
        <v>Legendary2_반시</v>
      </c>
      <c r="AE572" s="2">
        <f t="shared" si="430"/>
        <v>5106</v>
      </c>
    </row>
    <row r="573" spans="1:31" x14ac:dyDescent="0.2">
      <c r="A573" s="2">
        <f t="shared" si="422"/>
        <v>10400018</v>
      </c>
      <c r="B573" s="1">
        <v>10000400</v>
      </c>
      <c r="C573" s="1" t="s">
        <v>281</v>
      </c>
      <c r="D573" s="1" t="s">
        <v>309</v>
      </c>
      <c r="E573" s="1" t="str">
        <f>"Persona_"&amp;_xlfn.XLOOKUP($B573, '#캐릭터'!$A:$A, '#캐릭터'!$C:$C)</f>
        <v>Persona_c400</v>
      </c>
      <c r="F573" s="1"/>
      <c r="G573" s="1">
        <f>_xlfn.XLOOKUP(_xlfn.XLOOKUP(B573,'[1]Detail&lt;Child&gt;'!$A:$A,'[1]Detail&lt;Child&gt;'!$N:$N),'#참조'!P:P,'#참조'!Q:Q)</f>
        <v>5</v>
      </c>
      <c r="H573" s="1">
        <f>_xlfn.XLOOKUP(_xlfn.XLOOKUP(B573,'[1]Detail&lt;Child&gt;'!$A:$A,'[1]Detail&lt;Child&gt;'!$O:$O),'#참조'!R:R,'#참조'!S:S)</f>
        <v>1</v>
      </c>
      <c r="I573" s="1">
        <v>6</v>
      </c>
      <c r="J573" s="2">
        <v>3</v>
      </c>
      <c r="K573" s="2">
        <v>6</v>
      </c>
      <c r="L573" s="2">
        <v>18</v>
      </c>
      <c r="M573" s="2" t="s">
        <v>22</v>
      </c>
      <c r="N573" s="2" t="s">
        <v>407</v>
      </c>
      <c r="O573" s="2">
        <f t="shared" si="434"/>
        <v>10112</v>
      </c>
      <c r="P573" s="2" t="s">
        <v>194</v>
      </c>
      <c r="Q573" s="2" t="str">
        <f t="shared" si="423"/>
        <v>86511,103800</v>
      </c>
      <c r="R573" s="2">
        <f t="shared" si="435"/>
        <v>86511</v>
      </c>
      <c r="S573" s="2">
        <f t="shared" si="431"/>
        <v>103800</v>
      </c>
      <c r="T573" s="2" t="s">
        <v>195</v>
      </c>
      <c r="U573" s="2" t="str">
        <f t="shared" si="425"/>
        <v>2227,2700</v>
      </c>
      <c r="V573" s="2">
        <f t="shared" si="436"/>
        <v>2227</v>
      </c>
      <c r="W573" s="2">
        <f t="shared" si="432"/>
        <v>2700</v>
      </c>
      <c r="X573" s="2" t="s">
        <v>196</v>
      </c>
      <c r="Y573" s="2" t="str">
        <f t="shared" si="427"/>
        <v>6934,8300</v>
      </c>
      <c r="Z573" s="2">
        <f t="shared" si="437"/>
        <v>6934</v>
      </c>
      <c r="AA573" s="2">
        <f t="shared" si="433"/>
        <v>8300</v>
      </c>
      <c r="AB573" s="2">
        <v>75000</v>
      </c>
      <c r="AC573" s="2" t="str">
        <f>_xlfn.XLOOKUP(B573,'#캐릭터'!A:A,'#캐릭터'!B:B)</f>
        <v>반시</v>
      </c>
      <c r="AD573" s="2" t="str">
        <f t="shared" si="429"/>
        <v>Legendary3_반시</v>
      </c>
      <c r="AE573" s="2">
        <f t="shared" si="430"/>
        <v>5106</v>
      </c>
    </row>
    <row r="574" spans="1:31" x14ac:dyDescent="0.2">
      <c r="A574" s="2">
        <f t="shared" si="422"/>
        <v>10447000</v>
      </c>
      <c r="B574" s="1">
        <v>10000447</v>
      </c>
      <c r="C574" s="1" t="s">
        <v>281</v>
      </c>
      <c r="D574" s="1" t="s">
        <v>309</v>
      </c>
      <c r="E574" s="1" t="str">
        <f>"Persona_"&amp;_xlfn.XLOOKUP($B574, '#캐릭터'!$A:$A, '#캐릭터'!$C:$C)</f>
        <v>Persona_c447</v>
      </c>
      <c r="F574" s="1"/>
      <c r="G574" s="1">
        <f>_xlfn.XLOOKUP(_xlfn.XLOOKUP(B574,'[1]Detail&lt;Child&gt;'!$A:$A,'[1]Detail&lt;Child&gt;'!$N:$N),'#참조'!P:P,'#참조'!Q:Q)</f>
        <v>3</v>
      </c>
      <c r="H574" s="1">
        <f>_xlfn.XLOOKUP(_xlfn.XLOOKUP(B574,'[1]Detail&lt;Child&gt;'!$A:$A,'[1]Detail&lt;Child&gt;'!$O:$O),'#참조'!R:R,'#참조'!S:S)</f>
        <v>4</v>
      </c>
      <c r="I574" s="1">
        <v>0</v>
      </c>
      <c r="J574" s="2">
        <v>3</v>
      </c>
      <c r="K574" s="2">
        <v>0</v>
      </c>
      <c r="L574" s="2">
        <v>0</v>
      </c>
      <c r="M574" s="2" t="s">
        <v>31</v>
      </c>
      <c r="N574" s="2" t="s">
        <v>407</v>
      </c>
      <c r="O574" s="2">
        <v>0</v>
      </c>
      <c r="P574" s="2" t="s">
        <v>194</v>
      </c>
      <c r="Q574" s="2" t="str">
        <f t="shared" si="423"/>
        <v>1000,1000</v>
      </c>
      <c r="R574" s="2">
        <v>1000</v>
      </c>
      <c r="S574" s="2">
        <f t="shared" ref="S574" si="438">R574</f>
        <v>1000</v>
      </c>
      <c r="T574" s="2" t="s">
        <v>195</v>
      </c>
      <c r="U574" s="2" t="str">
        <f t="shared" si="425"/>
        <v>100,100</v>
      </c>
      <c r="V574" s="2">
        <v>100</v>
      </c>
      <c r="W574" s="2">
        <f t="shared" ref="W574" si="439">V574</f>
        <v>100</v>
      </c>
      <c r="X574" s="2" t="s">
        <v>196</v>
      </c>
      <c r="Y574" s="2" t="str">
        <f t="shared" si="427"/>
        <v>80,80</v>
      </c>
      <c r="Z574" s="2">
        <v>80</v>
      </c>
      <c r="AA574" s="2">
        <f t="shared" ref="AA574" si="440">Z574</f>
        <v>80</v>
      </c>
      <c r="AB574" s="2">
        <v>100000</v>
      </c>
      <c r="AC574" s="2" t="str">
        <f>_xlfn.XLOOKUP(B574,'#캐릭터'!A:A,'#캐릭터'!B:B)</f>
        <v>미리암</v>
      </c>
      <c r="AD574" s="2" t="str">
        <f t="shared" si="429"/>
        <v>Default_미리암</v>
      </c>
      <c r="AE574" s="2">
        <f t="shared" si="430"/>
        <v>0</v>
      </c>
    </row>
    <row r="575" spans="1:31" x14ac:dyDescent="0.2">
      <c r="A575" s="2">
        <f t="shared" si="422"/>
        <v>10447001</v>
      </c>
      <c r="B575" s="1">
        <v>10000447</v>
      </c>
      <c r="C575" s="1" t="s">
        <v>281</v>
      </c>
      <c r="D575" s="1" t="s">
        <v>309</v>
      </c>
      <c r="E575" s="1" t="str">
        <f>"Persona_"&amp;_xlfn.XLOOKUP($B575, '#캐릭터'!$A:$A, '#캐릭터'!$C:$C)</f>
        <v>Persona_c447</v>
      </c>
      <c r="F575" s="1"/>
      <c r="G575" s="1">
        <f>_xlfn.XLOOKUP(_xlfn.XLOOKUP(B575,'[1]Detail&lt;Child&gt;'!$A:$A,'[1]Detail&lt;Child&gt;'!$N:$N),'#참조'!P:P,'#참조'!Q:Q)</f>
        <v>3</v>
      </c>
      <c r="H575" s="1">
        <f>_xlfn.XLOOKUP(_xlfn.XLOOKUP(B575,'[1]Detail&lt;Child&gt;'!$A:$A,'[1]Detail&lt;Child&gt;'!$O:$O),'#참조'!R:R,'#참조'!S:S)</f>
        <v>4</v>
      </c>
      <c r="I575" s="1">
        <v>0</v>
      </c>
      <c r="J575" s="2">
        <v>3</v>
      </c>
      <c r="K575" s="2">
        <v>1</v>
      </c>
      <c r="L575" s="2">
        <v>1</v>
      </c>
      <c r="M575" s="2" t="s">
        <v>5</v>
      </c>
      <c r="N575" s="2" t="s">
        <v>407</v>
      </c>
      <c r="O575" s="2">
        <v>2000</v>
      </c>
      <c r="P575" s="2" t="s">
        <v>194</v>
      </c>
      <c r="Q575" s="2" t="str">
        <f t="shared" si="423"/>
        <v>1000,1200</v>
      </c>
      <c r="R575" s="2">
        <v>1000</v>
      </c>
      <c r="S575" s="2">
        <f t="shared" ref="S575:S592" si="441">ROUND(R575*1.2, -2)</f>
        <v>1200</v>
      </c>
      <c r="T575" s="2" t="s">
        <v>195</v>
      </c>
      <c r="U575" s="2" t="str">
        <f t="shared" si="425"/>
        <v>100,100</v>
      </c>
      <c r="V575" s="2">
        <v>100</v>
      </c>
      <c r="W575" s="2">
        <f t="shared" ref="W575:W592" si="442">ROUND(V575*1.2, -2)</f>
        <v>100</v>
      </c>
      <c r="X575" s="2" t="s">
        <v>196</v>
      </c>
      <c r="Y575" s="2" t="str">
        <f t="shared" si="427"/>
        <v>80,100</v>
      </c>
      <c r="Z575" s="2">
        <v>80</v>
      </c>
      <c r="AA575" s="2">
        <f t="shared" ref="AA575:AA592" si="443">ROUND(Z575*1.2, -2)</f>
        <v>100</v>
      </c>
      <c r="AB575" s="2">
        <v>100000</v>
      </c>
      <c r="AC575" s="2" t="str">
        <f>_xlfn.XLOOKUP(B575,'#캐릭터'!A:A,'#캐릭터'!B:B)</f>
        <v>미리암</v>
      </c>
      <c r="AD575" s="2" t="str">
        <f t="shared" si="429"/>
        <v>Common1_미리암</v>
      </c>
      <c r="AE575" s="2">
        <f t="shared" si="430"/>
        <v>0</v>
      </c>
    </row>
    <row r="576" spans="1:31" x14ac:dyDescent="0.2">
      <c r="A576" s="2">
        <f t="shared" si="422"/>
        <v>10447002</v>
      </c>
      <c r="B576" s="1">
        <v>10000447</v>
      </c>
      <c r="C576" s="1" t="s">
        <v>281</v>
      </c>
      <c r="D576" s="1" t="s">
        <v>309</v>
      </c>
      <c r="E576" s="1" t="str">
        <f>"Persona_"&amp;_xlfn.XLOOKUP($B576, '#캐릭터'!$A:$A, '#캐릭터'!$C:$C)</f>
        <v>Persona_c447</v>
      </c>
      <c r="F576" s="1"/>
      <c r="G576" s="1">
        <f>_xlfn.XLOOKUP(_xlfn.XLOOKUP(B576,'[1]Detail&lt;Child&gt;'!$A:$A,'[1]Detail&lt;Child&gt;'!$N:$N),'#참조'!P:P,'#참조'!Q:Q)</f>
        <v>3</v>
      </c>
      <c r="H576" s="1">
        <f>_xlfn.XLOOKUP(_xlfn.XLOOKUP(B576,'[1]Detail&lt;Child&gt;'!$A:$A,'[1]Detail&lt;Child&gt;'!$O:$O),'#참조'!R:R,'#참조'!S:S)</f>
        <v>4</v>
      </c>
      <c r="I576" s="1">
        <v>0</v>
      </c>
      <c r="J576" s="2">
        <v>3</v>
      </c>
      <c r="K576" s="2">
        <v>1</v>
      </c>
      <c r="L576" s="2">
        <v>2</v>
      </c>
      <c r="M576" s="2" t="s">
        <v>6</v>
      </c>
      <c r="N576" s="2" t="s">
        <v>407</v>
      </c>
      <c r="O576" s="2">
        <f t="shared" ref="O576:O592" si="444">ROUND(O575*1.1, 0)</f>
        <v>2200</v>
      </c>
      <c r="P576" s="2" t="s">
        <v>194</v>
      </c>
      <c r="Q576" s="2" t="str">
        <f t="shared" si="423"/>
        <v>1300,1600</v>
      </c>
      <c r="R576" s="2">
        <f t="shared" ref="R576:R592" si="445">ROUND(R575*1.3, 0)</f>
        <v>1300</v>
      </c>
      <c r="S576" s="2">
        <f t="shared" si="441"/>
        <v>1600</v>
      </c>
      <c r="T576" s="2" t="s">
        <v>195</v>
      </c>
      <c r="U576" s="2" t="str">
        <f t="shared" si="425"/>
        <v>120,100</v>
      </c>
      <c r="V576" s="2">
        <f t="shared" ref="V576:V592" si="446">ROUND(V575*1.2, 0)</f>
        <v>120</v>
      </c>
      <c r="W576" s="2">
        <f t="shared" si="442"/>
        <v>100</v>
      </c>
      <c r="X576" s="2" t="s">
        <v>196</v>
      </c>
      <c r="Y576" s="2" t="str">
        <f t="shared" si="427"/>
        <v>104,100</v>
      </c>
      <c r="Z576" s="2">
        <f t="shared" ref="Z576:Z592" si="447">ROUND(Z575*1.3, 0)</f>
        <v>104</v>
      </c>
      <c r="AA576" s="2">
        <f t="shared" si="443"/>
        <v>100</v>
      </c>
      <c r="AB576" s="2">
        <v>100000</v>
      </c>
      <c r="AC576" s="2" t="str">
        <f>_xlfn.XLOOKUP(B576,'#캐릭터'!A:A,'#캐릭터'!B:B)</f>
        <v>미리암</v>
      </c>
      <c r="AD576" s="2" t="str">
        <f t="shared" si="429"/>
        <v>Common2_미리암</v>
      </c>
      <c r="AE576" s="2">
        <f t="shared" si="430"/>
        <v>0</v>
      </c>
    </row>
    <row r="577" spans="1:31" x14ac:dyDescent="0.2">
      <c r="A577" s="2">
        <f t="shared" si="422"/>
        <v>10447003</v>
      </c>
      <c r="B577" s="1">
        <v>10000447</v>
      </c>
      <c r="C577" s="1" t="s">
        <v>281</v>
      </c>
      <c r="D577" s="1" t="s">
        <v>309</v>
      </c>
      <c r="E577" s="1" t="str">
        <f>"Persona_"&amp;_xlfn.XLOOKUP($B577, '#캐릭터'!$A:$A, '#캐릭터'!$C:$C)</f>
        <v>Persona_c447</v>
      </c>
      <c r="F577" s="1"/>
      <c r="G577" s="1">
        <f>_xlfn.XLOOKUP(_xlfn.XLOOKUP(B577,'[1]Detail&lt;Child&gt;'!$A:$A,'[1]Detail&lt;Child&gt;'!$N:$N),'#참조'!P:P,'#참조'!Q:Q)</f>
        <v>3</v>
      </c>
      <c r="H577" s="1">
        <f>_xlfn.XLOOKUP(_xlfn.XLOOKUP(B577,'[1]Detail&lt;Child&gt;'!$A:$A,'[1]Detail&lt;Child&gt;'!$O:$O),'#참조'!R:R,'#참조'!S:S)</f>
        <v>4</v>
      </c>
      <c r="I577" s="1">
        <v>0</v>
      </c>
      <c r="J577" s="2">
        <v>3</v>
      </c>
      <c r="K577" s="2">
        <v>1</v>
      </c>
      <c r="L577" s="2">
        <v>3</v>
      </c>
      <c r="M577" s="2" t="s">
        <v>7</v>
      </c>
      <c r="N577" s="2" t="s">
        <v>407</v>
      </c>
      <c r="O577" s="2">
        <f t="shared" si="444"/>
        <v>2420</v>
      </c>
      <c r="P577" s="2" t="s">
        <v>194</v>
      </c>
      <c r="Q577" s="2" t="str">
        <f t="shared" si="423"/>
        <v>1690,2000</v>
      </c>
      <c r="R577" s="2">
        <f t="shared" si="445"/>
        <v>1690</v>
      </c>
      <c r="S577" s="2">
        <f t="shared" si="441"/>
        <v>2000</v>
      </c>
      <c r="T577" s="2" t="s">
        <v>195</v>
      </c>
      <c r="U577" s="2" t="str">
        <f t="shared" si="425"/>
        <v>144,200</v>
      </c>
      <c r="V577" s="2">
        <f t="shared" si="446"/>
        <v>144</v>
      </c>
      <c r="W577" s="2">
        <f t="shared" si="442"/>
        <v>200</v>
      </c>
      <c r="X577" s="2" t="s">
        <v>196</v>
      </c>
      <c r="Y577" s="2" t="str">
        <f t="shared" si="427"/>
        <v>135,200</v>
      </c>
      <c r="Z577" s="2">
        <f t="shared" si="447"/>
        <v>135</v>
      </c>
      <c r="AA577" s="2">
        <f t="shared" si="443"/>
        <v>200</v>
      </c>
      <c r="AB577" s="2">
        <v>100000</v>
      </c>
      <c r="AC577" s="2" t="str">
        <f>_xlfn.XLOOKUP(B577,'#캐릭터'!A:A,'#캐릭터'!B:B)</f>
        <v>미리암</v>
      </c>
      <c r="AD577" s="2" t="str">
        <f t="shared" si="429"/>
        <v>Common3_미리암</v>
      </c>
      <c r="AE577" s="2">
        <f t="shared" si="430"/>
        <v>0</v>
      </c>
    </row>
    <row r="578" spans="1:31" x14ac:dyDescent="0.2">
      <c r="A578" s="2">
        <f t="shared" si="422"/>
        <v>10447004</v>
      </c>
      <c r="B578" s="1">
        <v>10000447</v>
      </c>
      <c r="C578" s="1" t="s">
        <v>281</v>
      </c>
      <c r="D578" s="1" t="s">
        <v>309</v>
      </c>
      <c r="E578" s="1" t="str">
        <f>"Persona_"&amp;_xlfn.XLOOKUP($B578, '#캐릭터'!$A:$A, '#캐릭터'!$C:$C)</f>
        <v>Persona_c447</v>
      </c>
      <c r="F578" s="1"/>
      <c r="G578" s="1">
        <f>_xlfn.XLOOKUP(_xlfn.XLOOKUP(B578,'[1]Detail&lt;Child&gt;'!$A:$A,'[1]Detail&lt;Child&gt;'!$N:$N),'#참조'!P:P,'#참조'!Q:Q)</f>
        <v>3</v>
      </c>
      <c r="H578" s="1">
        <f>_xlfn.XLOOKUP(_xlfn.XLOOKUP(B578,'[1]Detail&lt;Child&gt;'!$A:$A,'[1]Detail&lt;Child&gt;'!$O:$O),'#참조'!R:R,'#참조'!S:S)</f>
        <v>4</v>
      </c>
      <c r="I578" s="1">
        <v>0</v>
      </c>
      <c r="J578" s="2">
        <v>3</v>
      </c>
      <c r="K578" s="2">
        <v>2</v>
      </c>
      <c r="L578" s="2">
        <v>4</v>
      </c>
      <c r="M578" s="2" t="s">
        <v>8</v>
      </c>
      <c r="N578" s="2" t="s">
        <v>407</v>
      </c>
      <c r="O578" s="2">
        <f t="shared" si="444"/>
        <v>2662</v>
      </c>
      <c r="P578" s="2" t="s">
        <v>194</v>
      </c>
      <c r="Q578" s="2" t="str">
        <f t="shared" si="423"/>
        <v>2197,2600</v>
      </c>
      <c r="R578" s="2">
        <f t="shared" si="445"/>
        <v>2197</v>
      </c>
      <c r="S578" s="2">
        <f t="shared" si="441"/>
        <v>2600</v>
      </c>
      <c r="T578" s="2" t="s">
        <v>195</v>
      </c>
      <c r="U578" s="2" t="str">
        <f t="shared" si="425"/>
        <v>173,200</v>
      </c>
      <c r="V578" s="2">
        <f t="shared" si="446"/>
        <v>173</v>
      </c>
      <c r="W578" s="2">
        <f t="shared" si="442"/>
        <v>200</v>
      </c>
      <c r="X578" s="2" t="s">
        <v>196</v>
      </c>
      <c r="Y578" s="2" t="str">
        <f t="shared" si="427"/>
        <v>176,200</v>
      </c>
      <c r="Z578" s="2">
        <f t="shared" si="447"/>
        <v>176</v>
      </c>
      <c r="AA578" s="2">
        <f t="shared" si="443"/>
        <v>200</v>
      </c>
      <c r="AB578" s="2">
        <v>95000</v>
      </c>
      <c r="AC578" s="2" t="str">
        <f>_xlfn.XLOOKUP(B578,'#캐릭터'!A:A,'#캐릭터'!B:B)</f>
        <v>미리암</v>
      </c>
      <c r="AD578" s="2" t="str">
        <f t="shared" si="429"/>
        <v>Uncommon1_미리암</v>
      </c>
      <c r="AE578" s="2">
        <f t="shared" si="430"/>
        <v>0</v>
      </c>
    </row>
    <row r="579" spans="1:31" x14ac:dyDescent="0.2">
      <c r="A579" s="2">
        <f t="shared" si="422"/>
        <v>10447005</v>
      </c>
      <c r="B579" s="1">
        <v>10000447</v>
      </c>
      <c r="C579" s="1" t="s">
        <v>281</v>
      </c>
      <c r="D579" s="1" t="s">
        <v>309</v>
      </c>
      <c r="E579" s="1" t="str">
        <f>"Persona_"&amp;_xlfn.XLOOKUP($B579, '#캐릭터'!$A:$A, '#캐릭터'!$C:$C)</f>
        <v>Persona_c447</v>
      </c>
      <c r="F579" s="1"/>
      <c r="G579" s="1">
        <f>_xlfn.XLOOKUP(_xlfn.XLOOKUP(B579,'[1]Detail&lt;Child&gt;'!$A:$A,'[1]Detail&lt;Child&gt;'!$N:$N),'#참조'!P:P,'#참조'!Q:Q)</f>
        <v>3</v>
      </c>
      <c r="H579" s="1">
        <f>_xlfn.XLOOKUP(_xlfn.XLOOKUP(B579,'[1]Detail&lt;Child&gt;'!$A:$A,'[1]Detail&lt;Child&gt;'!$O:$O),'#참조'!R:R,'#참조'!S:S)</f>
        <v>4</v>
      </c>
      <c r="I579" s="1">
        <v>0</v>
      </c>
      <c r="J579" s="2">
        <v>3</v>
      </c>
      <c r="K579" s="2">
        <v>2</v>
      </c>
      <c r="L579" s="2">
        <v>5</v>
      </c>
      <c r="M579" s="2" t="s">
        <v>9</v>
      </c>
      <c r="N579" s="2" t="s">
        <v>407</v>
      </c>
      <c r="O579" s="2">
        <f t="shared" si="444"/>
        <v>2928</v>
      </c>
      <c r="P579" s="2" t="s">
        <v>194</v>
      </c>
      <c r="Q579" s="2" t="str">
        <f t="shared" si="423"/>
        <v>2856,3400</v>
      </c>
      <c r="R579" s="2">
        <f t="shared" si="445"/>
        <v>2856</v>
      </c>
      <c r="S579" s="2">
        <f t="shared" si="441"/>
        <v>3400</v>
      </c>
      <c r="T579" s="2" t="s">
        <v>195</v>
      </c>
      <c r="U579" s="2" t="str">
        <f t="shared" si="425"/>
        <v>208,200</v>
      </c>
      <c r="V579" s="2">
        <f t="shared" si="446"/>
        <v>208</v>
      </c>
      <c r="W579" s="2">
        <f t="shared" si="442"/>
        <v>200</v>
      </c>
      <c r="X579" s="2" t="s">
        <v>196</v>
      </c>
      <c r="Y579" s="2" t="str">
        <f t="shared" si="427"/>
        <v>229,300</v>
      </c>
      <c r="Z579" s="2">
        <f t="shared" si="447"/>
        <v>229</v>
      </c>
      <c r="AA579" s="2">
        <f t="shared" si="443"/>
        <v>300</v>
      </c>
      <c r="AB579" s="2">
        <v>95000</v>
      </c>
      <c r="AC579" s="2" t="str">
        <f>_xlfn.XLOOKUP(B579,'#캐릭터'!A:A,'#캐릭터'!B:B)</f>
        <v>미리암</v>
      </c>
      <c r="AD579" s="2" t="str">
        <f t="shared" si="429"/>
        <v>Uncommon2_미리암</v>
      </c>
      <c r="AE579" s="2">
        <f t="shared" si="430"/>
        <v>0</v>
      </c>
    </row>
    <row r="580" spans="1:31" x14ac:dyDescent="0.2">
      <c r="A580" s="2">
        <f t="shared" si="422"/>
        <v>10447006</v>
      </c>
      <c r="B580" s="1">
        <v>10000447</v>
      </c>
      <c r="C580" s="1" t="s">
        <v>281</v>
      </c>
      <c r="D580" s="1" t="s">
        <v>309</v>
      </c>
      <c r="E580" s="1" t="str">
        <f>"Persona_"&amp;_xlfn.XLOOKUP($B580, '#캐릭터'!$A:$A, '#캐릭터'!$C:$C)</f>
        <v>Persona_c447</v>
      </c>
      <c r="F580" s="1"/>
      <c r="G580" s="1">
        <f>_xlfn.XLOOKUP(_xlfn.XLOOKUP(B580,'[1]Detail&lt;Child&gt;'!$A:$A,'[1]Detail&lt;Child&gt;'!$N:$N),'#참조'!P:P,'#참조'!Q:Q)</f>
        <v>3</v>
      </c>
      <c r="H580" s="1">
        <f>_xlfn.XLOOKUP(_xlfn.XLOOKUP(B580,'[1]Detail&lt;Child&gt;'!$A:$A,'[1]Detail&lt;Child&gt;'!$O:$O),'#참조'!R:R,'#참조'!S:S)</f>
        <v>4</v>
      </c>
      <c r="I580" s="1">
        <v>0</v>
      </c>
      <c r="J580" s="2">
        <v>3</v>
      </c>
      <c r="K580" s="2">
        <v>2</v>
      </c>
      <c r="L580" s="2">
        <v>6</v>
      </c>
      <c r="M580" s="2" t="s">
        <v>10</v>
      </c>
      <c r="N580" s="2" t="s">
        <v>407</v>
      </c>
      <c r="O580" s="2">
        <f t="shared" si="444"/>
        <v>3221</v>
      </c>
      <c r="P580" s="2" t="s">
        <v>194</v>
      </c>
      <c r="Q580" s="2" t="str">
        <f t="shared" si="423"/>
        <v>3713,4500</v>
      </c>
      <c r="R580" s="2">
        <f t="shared" si="445"/>
        <v>3713</v>
      </c>
      <c r="S580" s="2">
        <f t="shared" si="441"/>
        <v>4500</v>
      </c>
      <c r="T580" s="2" t="s">
        <v>195</v>
      </c>
      <c r="U580" s="2" t="str">
        <f t="shared" si="425"/>
        <v>250,300</v>
      </c>
      <c r="V580" s="2">
        <f t="shared" si="446"/>
        <v>250</v>
      </c>
      <c r="W580" s="2">
        <f t="shared" si="442"/>
        <v>300</v>
      </c>
      <c r="X580" s="2" t="s">
        <v>196</v>
      </c>
      <c r="Y580" s="2" t="str">
        <f t="shared" si="427"/>
        <v>298,400</v>
      </c>
      <c r="Z580" s="2">
        <f t="shared" si="447"/>
        <v>298</v>
      </c>
      <c r="AA580" s="2">
        <f t="shared" si="443"/>
        <v>400</v>
      </c>
      <c r="AB580" s="2">
        <v>95000</v>
      </c>
      <c r="AC580" s="2" t="str">
        <f>_xlfn.XLOOKUP(B580,'#캐릭터'!A:A,'#캐릭터'!B:B)</f>
        <v>미리암</v>
      </c>
      <c r="AD580" s="2" t="str">
        <f t="shared" si="429"/>
        <v>Uncommon3_미리암</v>
      </c>
      <c r="AE580" s="2">
        <f t="shared" si="430"/>
        <v>0</v>
      </c>
    </row>
    <row r="581" spans="1:31" x14ac:dyDescent="0.2">
      <c r="A581" s="2">
        <f t="shared" si="422"/>
        <v>10447007</v>
      </c>
      <c r="B581" s="1">
        <v>10000447</v>
      </c>
      <c r="C581" s="1" t="s">
        <v>281</v>
      </c>
      <c r="D581" s="1" t="s">
        <v>309</v>
      </c>
      <c r="E581" s="1" t="str">
        <f>"Persona_"&amp;_xlfn.XLOOKUP($B581, '#캐릭터'!$A:$A, '#캐릭터'!$C:$C)</f>
        <v>Persona_c447</v>
      </c>
      <c r="F581" s="1"/>
      <c r="G581" s="1">
        <f>_xlfn.XLOOKUP(_xlfn.XLOOKUP(B581,'[1]Detail&lt;Child&gt;'!$A:$A,'[1]Detail&lt;Child&gt;'!$N:$N),'#참조'!P:P,'#참조'!Q:Q)</f>
        <v>3</v>
      </c>
      <c r="H581" s="1">
        <f>_xlfn.XLOOKUP(_xlfn.XLOOKUP(B581,'[1]Detail&lt;Child&gt;'!$A:$A,'[1]Detail&lt;Child&gt;'!$O:$O),'#참조'!R:R,'#참조'!S:S)</f>
        <v>4</v>
      </c>
      <c r="I581" s="1">
        <v>1</v>
      </c>
      <c r="J581" s="2">
        <v>3</v>
      </c>
      <c r="K581" s="2">
        <v>3</v>
      </c>
      <c r="L581" s="2">
        <v>7</v>
      </c>
      <c r="M581" s="2" t="s">
        <v>11</v>
      </c>
      <c r="N581" s="2" t="s">
        <v>407</v>
      </c>
      <c r="O581" s="2">
        <f t="shared" si="444"/>
        <v>3543</v>
      </c>
      <c r="P581" s="2" t="s">
        <v>194</v>
      </c>
      <c r="Q581" s="2" t="str">
        <f t="shared" si="423"/>
        <v>4827,5800</v>
      </c>
      <c r="R581" s="2">
        <f t="shared" si="445"/>
        <v>4827</v>
      </c>
      <c r="S581" s="2">
        <f t="shared" si="441"/>
        <v>5800</v>
      </c>
      <c r="T581" s="2" t="s">
        <v>195</v>
      </c>
      <c r="U581" s="2" t="str">
        <f t="shared" si="425"/>
        <v>300,400</v>
      </c>
      <c r="V581" s="2">
        <f t="shared" si="446"/>
        <v>300</v>
      </c>
      <c r="W581" s="2">
        <f t="shared" si="442"/>
        <v>400</v>
      </c>
      <c r="X581" s="2" t="s">
        <v>196</v>
      </c>
      <c r="Y581" s="2" t="str">
        <f t="shared" si="427"/>
        <v>387,500</v>
      </c>
      <c r="Z581" s="2">
        <f t="shared" si="447"/>
        <v>387</v>
      </c>
      <c r="AA581" s="2">
        <f t="shared" si="443"/>
        <v>500</v>
      </c>
      <c r="AB581" s="2">
        <v>90000</v>
      </c>
      <c r="AC581" s="2" t="str">
        <f>_xlfn.XLOOKUP(B581,'#캐릭터'!A:A,'#캐릭터'!B:B)</f>
        <v>미리암</v>
      </c>
      <c r="AD581" s="2" t="str">
        <f t="shared" si="429"/>
        <v>Rare1_미리암</v>
      </c>
      <c r="AE581" s="2">
        <f t="shared" si="430"/>
        <v>3401</v>
      </c>
    </row>
    <row r="582" spans="1:31" x14ac:dyDescent="0.2">
      <c r="A582" s="2">
        <f t="shared" si="422"/>
        <v>10447008</v>
      </c>
      <c r="B582" s="1">
        <v>10000447</v>
      </c>
      <c r="C582" s="1" t="s">
        <v>281</v>
      </c>
      <c r="D582" s="1" t="s">
        <v>309</v>
      </c>
      <c r="E582" s="1" t="str">
        <f>"Persona_"&amp;_xlfn.XLOOKUP($B582, '#캐릭터'!$A:$A, '#캐릭터'!$C:$C)</f>
        <v>Persona_c447</v>
      </c>
      <c r="F582" s="1"/>
      <c r="G582" s="1">
        <f>_xlfn.XLOOKUP(_xlfn.XLOOKUP(B582,'[1]Detail&lt;Child&gt;'!$A:$A,'[1]Detail&lt;Child&gt;'!$N:$N),'#참조'!P:P,'#참조'!Q:Q)</f>
        <v>3</v>
      </c>
      <c r="H582" s="1">
        <f>_xlfn.XLOOKUP(_xlfn.XLOOKUP(B582,'[1]Detail&lt;Child&gt;'!$A:$A,'[1]Detail&lt;Child&gt;'!$O:$O),'#참조'!R:R,'#참조'!S:S)</f>
        <v>4</v>
      </c>
      <c r="I582" s="1">
        <v>1</v>
      </c>
      <c r="J582" s="2">
        <v>3</v>
      </c>
      <c r="K582" s="2">
        <v>3</v>
      </c>
      <c r="L582" s="2">
        <v>8</v>
      </c>
      <c r="M582" s="2" t="s">
        <v>12</v>
      </c>
      <c r="N582" s="2" t="s">
        <v>407</v>
      </c>
      <c r="O582" s="2">
        <f t="shared" si="444"/>
        <v>3897</v>
      </c>
      <c r="P582" s="2" t="s">
        <v>194</v>
      </c>
      <c r="Q582" s="2" t="str">
        <f t="shared" si="423"/>
        <v>6275,7500</v>
      </c>
      <c r="R582" s="2">
        <f t="shared" si="445"/>
        <v>6275</v>
      </c>
      <c r="S582" s="2">
        <f t="shared" si="441"/>
        <v>7500</v>
      </c>
      <c r="T582" s="2" t="s">
        <v>195</v>
      </c>
      <c r="U582" s="2" t="str">
        <f t="shared" si="425"/>
        <v>360,400</v>
      </c>
      <c r="V582" s="2">
        <f t="shared" si="446"/>
        <v>360</v>
      </c>
      <c r="W582" s="2">
        <f t="shared" si="442"/>
        <v>400</v>
      </c>
      <c r="X582" s="2" t="s">
        <v>196</v>
      </c>
      <c r="Y582" s="2" t="str">
        <f t="shared" si="427"/>
        <v>503,600</v>
      </c>
      <c r="Z582" s="2">
        <f t="shared" si="447"/>
        <v>503</v>
      </c>
      <c r="AA582" s="2">
        <f t="shared" si="443"/>
        <v>600</v>
      </c>
      <c r="AB582" s="2">
        <v>90000</v>
      </c>
      <c r="AC582" s="2" t="str">
        <f>_xlfn.XLOOKUP(B582,'#캐릭터'!A:A,'#캐릭터'!B:B)</f>
        <v>미리암</v>
      </c>
      <c r="AD582" s="2" t="str">
        <f t="shared" si="429"/>
        <v>Rare2_미리암</v>
      </c>
      <c r="AE582" s="2">
        <f t="shared" si="430"/>
        <v>3401</v>
      </c>
    </row>
    <row r="583" spans="1:31" x14ac:dyDescent="0.2">
      <c r="A583" s="2">
        <f t="shared" si="422"/>
        <v>10447009</v>
      </c>
      <c r="B583" s="1">
        <v>10000447</v>
      </c>
      <c r="C583" s="1" t="s">
        <v>281</v>
      </c>
      <c r="D583" s="1" t="s">
        <v>309</v>
      </c>
      <c r="E583" s="1" t="str">
        <f>"Persona_"&amp;_xlfn.XLOOKUP($B583, '#캐릭터'!$A:$A, '#캐릭터'!$C:$C)</f>
        <v>Persona_c447</v>
      </c>
      <c r="F583" s="1"/>
      <c r="G583" s="1">
        <f>_xlfn.XLOOKUP(_xlfn.XLOOKUP(B583,'[1]Detail&lt;Child&gt;'!$A:$A,'[1]Detail&lt;Child&gt;'!$N:$N),'#참조'!P:P,'#참조'!Q:Q)</f>
        <v>3</v>
      </c>
      <c r="H583" s="1">
        <f>_xlfn.XLOOKUP(_xlfn.XLOOKUP(B583,'[1]Detail&lt;Child&gt;'!$A:$A,'[1]Detail&lt;Child&gt;'!$O:$O),'#참조'!R:R,'#참조'!S:S)</f>
        <v>4</v>
      </c>
      <c r="I583" s="1">
        <v>2</v>
      </c>
      <c r="J583" s="2">
        <v>3</v>
      </c>
      <c r="K583" s="2">
        <v>3</v>
      </c>
      <c r="L583" s="2">
        <v>9</v>
      </c>
      <c r="M583" s="2" t="s">
        <v>13</v>
      </c>
      <c r="N583" s="2" t="s">
        <v>407</v>
      </c>
      <c r="O583" s="2">
        <f t="shared" si="444"/>
        <v>4287</v>
      </c>
      <c r="P583" s="2" t="s">
        <v>194</v>
      </c>
      <c r="Q583" s="2" t="str">
        <f t="shared" si="423"/>
        <v>8158,9800</v>
      </c>
      <c r="R583" s="2">
        <f t="shared" si="445"/>
        <v>8158</v>
      </c>
      <c r="S583" s="2">
        <f t="shared" si="441"/>
        <v>9800</v>
      </c>
      <c r="T583" s="2" t="s">
        <v>195</v>
      </c>
      <c r="U583" s="2" t="str">
        <f t="shared" si="425"/>
        <v>432,500</v>
      </c>
      <c r="V583" s="2">
        <f t="shared" si="446"/>
        <v>432</v>
      </c>
      <c r="W583" s="2">
        <f t="shared" si="442"/>
        <v>500</v>
      </c>
      <c r="X583" s="2" t="s">
        <v>196</v>
      </c>
      <c r="Y583" s="2" t="str">
        <f t="shared" si="427"/>
        <v>654,800</v>
      </c>
      <c r="Z583" s="2">
        <f t="shared" si="447"/>
        <v>654</v>
      </c>
      <c r="AA583" s="2">
        <f t="shared" si="443"/>
        <v>800</v>
      </c>
      <c r="AB583" s="2">
        <v>90000</v>
      </c>
      <c r="AC583" s="2" t="str">
        <f>_xlfn.XLOOKUP(B583,'#캐릭터'!A:A,'#캐릭터'!B:B)</f>
        <v>미리암</v>
      </c>
      <c r="AD583" s="2" t="str">
        <f t="shared" si="429"/>
        <v>Rare3_미리암</v>
      </c>
      <c r="AE583" s="2">
        <f t="shared" si="430"/>
        <v>3402</v>
      </c>
    </row>
    <row r="584" spans="1:31" x14ac:dyDescent="0.2">
      <c r="A584" s="2">
        <f t="shared" si="422"/>
        <v>10447010</v>
      </c>
      <c r="B584" s="1">
        <v>10000447</v>
      </c>
      <c r="C584" s="1" t="s">
        <v>281</v>
      </c>
      <c r="D584" s="1" t="s">
        <v>309</v>
      </c>
      <c r="E584" s="1" t="str">
        <f>"Persona_"&amp;_xlfn.XLOOKUP($B584, '#캐릭터'!$A:$A, '#캐릭터'!$C:$C)</f>
        <v>Persona_c447</v>
      </c>
      <c r="F584" s="1"/>
      <c r="G584" s="1">
        <f>_xlfn.XLOOKUP(_xlfn.XLOOKUP(B584,'[1]Detail&lt;Child&gt;'!$A:$A,'[1]Detail&lt;Child&gt;'!$N:$N),'#참조'!P:P,'#참조'!Q:Q)</f>
        <v>3</v>
      </c>
      <c r="H584" s="1">
        <f>_xlfn.XLOOKUP(_xlfn.XLOOKUP(B584,'[1]Detail&lt;Child&gt;'!$A:$A,'[1]Detail&lt;Child&gt;'!$O:$O),'#참조'!R:R,'#참조'!S:S)</f>
        <v>4</v>
      </c>
      <c r="I584" s="1">
        <v>2</v>
      </c>
      <c r="J584" s="2">
        <v>3</v>
      </c>
      <c r="K584" s="2">
        <v>4</v>
      </c>
      <c r="L584" s="2">
        <v>10</v>
      </c>
      <c r="M584" s="2" t="s">
        <v>14</v>
      </c>
      <c r="N584" s="2" t="s">
        <v>407</v>
      </c>
      <c r="O584" s="2">
        <f t="shared" si="444"/>
        <v>4716</v>
      </c>
      <c r="P584" s="2" t="s">
        <v>194</v>
      </c>
      <c r="Q584" s="2" t="str">
        <f t="shared" si="423"/>
        <v>10605,12700</v>
      </c>
      <c r="R584" s="2">
        <f t="shared" si="445"/>
        <v>10605</v>
      </c>
      <c r="S584" s="2">
        <f t="shared" si="441"/>
        <v>12700</v>
      </c>
      <c r="T584" s="2" t="s">
        <v>195</v>
      </c>
      <c r="U584" s="2" t="str">
        <f t="shared" si="425"/>
        <v>518,600</v>
      </c>
      <c r="V584" s="2">
        <f t="shared" si="446"/>
        <v>518</v>
      </c>
      <c r="W584" s="2">
        <f t="shared" si="442"/>
        <v>600</v>
      </c>
      <c r="X584" s="2" t="s">
        <v>196</v>
      </c>
      <c r="Y584" s="2" t="str">
        <f t="shared" si="427"/>
        <v>850,1000</v>
      </c>
      <c r="Z584" s="2">
        <f t="shared" si="447"/>
        <v>850</v>
      </c>
      <c r="AA584" s="2">
        <f t="shared" si="443"/>
        <v>1000</v>
      </c>
      <c r="AB584" s="2">
        <v>85000</v>
      </c>
      <c r="AC584" s="2" t="str">
        <f>_xlfn.XLOOKUP(B584,'#캐릭터'!A:A,'#캐릭터'!B:B)</f>
        <v>미리암</v>
      </c>
      <c r="AD584" s="2" t="str">
        <f t="shared" si="429"/>
        <v>Unique1_미리암</v>
      </c>
      <c r="AE584" s="2">
        <f t="shared" si="430"/>
        <v>3402</v>
      </c>
    </row>
    <row r="585" spans="1:31" x14ac:dyDescent="0.2">
      <c r="A585" s="2">
        <f t="shared" si="422"/>
        <v>10447011</v>
      </c>
      <c r="B585" s="1">
        <v>10000447</v>
      </c>
      <c r="C585" s="1" t="s">
        <v>281</v>
      </c>
      <c r="D585" s="1" t="s">
        <v>309</v>
      </c>
      <c r="E585" s="1" t="str">
        <f>"Persona_"&amp;_xlfn.XLOOKUP($B585, '#캐릭터'!$A:$A, '#캐릭터'!$C:$C)</f>
        <v>Persona_c447</v>
      </c>
      <c r="F585" s="1"/>
      <c r="G585" s="1">
        <f>_xlfn.XLOOKUP(_xlfn.XLOOKUP(B585,'[1]Detail&lt;Child&gt;'!$A:$A,'[1]Detail&lt;Child&gt;'!$N:$N),'#참조'!P:P,'#참조'!Q:Q)</f>
        <v>3</v>
      </c>
      <c r="H585" s="1">
        <f>_xlfn.XLOOKUP(_xlfn.XLOOKUP(B585,'[1]Detail&lt;Child&gt;'!$A:$A,'[1]Detail&lt;Child&gt;'!$O:$O),'#참조'!R:R,'#참조'!S:S)</f>
        <v>4</v>
      </c>
      <c r="I585" s="1">
        <v>3</v>
      </c>
      <c r="J585" s="2">
        <v>3</v>
      </c>
      <c r="K585" s="2">
        <v>4</v>
      </c>
      <c r="L585" s="2">
        <v>11</v>
      </c>
      <c r="M585" s="2" t="s">
        <v>15</v>
      </c>
      <c r="N585" s="2" t="s">
        <v>407</v>
      </c>
      <c r="O585" s="2">
        <f t="shared" si="444"/>
        <v>5188</v>
      </c>
      <c r="P585" s="2" t="s">
        <v>194</v>
      </c>
      <c r="Q585" s="2" t="str">
        <f t="shared" si="423"/>
        <v>13787,16500</v>
      </c>
      <c r="R585" s="2">
        <f t="shared" si="445"/>
        <v>13787</v>
      </c>
      <c r="S585" s="2">
        <f t="shared" si="441"/>
        <v>16500</v>
      </c>
      <c r="T585" s="2" t="s">
        <v>195</v>
      </c>
      <c r="U585" s="2" t="str">
        <f t="shared" si="425"/>
        <v>622,700</v>
      </c>
      <c r="V585" s="2">
        <f t="shared" si="446"/>
        <v>622</v>
      </c>
      <c r="W585" s="2">
        <f t="shared" si="442"/>
        <v>700</v>
      </c>
      <c r="X585" s="2" t="s">
        <v>196</v>
      </c>
      <c r="Y585" s="2" t="str">
        <f t="shared" si="427"/>
        <v>1105,1300</v>
      </c>
      <c r="Z585" s="2">
        <f t="shared" si="447"/>
        <v>1105</v>
      </c>
      <c r="AA585" s="2">
        <f t="shared" si="443"/>
        <v>1300</v>
      </c>
      <c r="AB585" s="2">
        <v>85000</v>
      </c>
      <c r="AC585" s="2" t="str">
        <f>_xlfn.XLOOKUP(B585,'#캐릭터'!A:A,'#캐릭터'!B:B)</f>
        <v>미리암</v>
      </c>
      <c r="AD585" s="2" t="str">
        <f t="shared" si="429"/>
        <v>Unique2_미리암</v>
      </c>
      <c r="AE585" s="2">
        <f t="shared" si="430"/>
        <v>3403</v>
      </c>
    </row>
    <row r="586" spans="1:31" x14ac:dyDescent="0.2">
      <c r="A586" s="2">
        <f t="shared" si="422"/>
        <v>10447012</v>
      </c>
      <c r="B586" s="1">
        <v>10000447</v>
      </c>
      <c r="C586" s="1" t="s">
        <v>281</v>
      </c>
      <c r="D586" s="1" t="s">
        <v>309</v>
      </c>
      <c r="E586" s="1" t="str">
        <f>"Persona_"&amp;_xlfn.XLOOKUP($B586, '#캐릭터'!$A:$A, '#캐릭터'!$C:$C)</f>
        <v>Persona_c447</v>
      </c>
      <c r="F586" s="1"/>
      <c r="G586" s="1">
        <f>_xlfn.XLOOKUP(_xlfn.XLOOKUP(B586,'[1]Detail&lt;Child&gt;'!$A:$A,'[1]Detail&lt;Child&gt;'!$N:$N),'#참조'!P:P,'#참조'!Q:Q)</f>
        <v>3</v>
      </c>
      <c r="H586" s="1">
        <f>_xlfn.XLOOKUP(_xlfn.XLOOKUP(B586,'[1]Detail&lt;Child&gt;'!$A:$A,'[1]Detail&lt;Child&gt;'!$O:$O),'#참조'!R:R,'#참조'!S:S)</f>
        <v>4</v>
      </c>
      <c r="I586" s="1">
        <v>3</v>
      </c>
      <c r="J586" s="2">
        <v>3</v>
      </c>
      <c r="K586" s="2">
        <v>4</v>
      </c>
      <c r="L586" s="2">
        <v>12</v>
      </c>
      <c r="M586" s="2" t="s">
        <v>16</v>
      </c>
      <c r="N586" s="2" t="s">
        <v>407</v>
      </c>
      <c r="O586" s="2">
        <f t="shared" si="444"/>
        <v>5707</v>
      </c>
      <c r="P586" s="2" t="s">
        <v>194</v>
      </c>
      <c r="Q586" s="2" t="str">
        <f t="shared" si="423"/>
        <v>17923,21500</v>
      </c>
      <c r="R586" s="2">
        <f t="shared" si="445"/>
        <v>17923</v>
      </c>
      <c r="S586" s="2">
        <f t="shared" si="441"/>
        <v>21500</v>
      </c>
      <c r="T586" s="2" t="s">
        <v>195</v>
      </c>
      <c r="U586" s="2" t="str">
        <f t="shared" si="425"/>
        <v>746,900</v>
      </c>
      <c r="V586" s="2">
        <f t="shared" si="446"/>
        <v>746</v>
      </c>
      <c r="W586" s="2">
        <f t="shared" si="442"/>
        <v>900</v>
      </c>
      <c r="X586" s="2" t="s">
        <v>196</v>
      </c>
      <c r="Y586" s="2" t="str">
        <f t="shared" si="427"/>
        <v>1437,1700</v>
      </c>
      <c r="Z586" s="2">
        <f t="shared" si="447"/>
        <v>1437</v>
      </c>
      <c r="AA586" s="2">
        <f t="shared" si="443"/>
        <v>1700</v>
      </c>
      <c r="AB586" s="2">
        <v>85000</v>
      </c>
      <c r="AC586" s="2" t="str">
        <f>_xlfn.XLOOKUP(B586,'#캐릭터'!A:A,'#캐릭터'!B:B)</f>
        <v>미리암</v>
      </c>
      <c r="AD586" s="2" t="str">
        <f t="shared" si="429"/>
        <v>Unique3_미리암</v>
      </c>
      <c r="AE586" s="2">
        <f t="shared" si="430"/>
        <v>3403</v>
      </c>
    </row>
    <row r="587" spans="1:31" x14ac:dyDescent="0.2">
      <c r="A587" s="2">
        <f t="shared" si="422"/>
        <v>10447013</v>
      </c>
      <c r="B587" s="1">
        <v>10000447</v>
      </c>
      <c r="C587" s="1" t="s">
        <v>281</v>
      </c>
      <c r="D587" s="1" t="s">
        <v>309</v>
      </c>
      <c r="E587" s="1" t="str">
        <f>"Persona_"&amp;_xlfn.XLOOKUP($B587, '#캐릭터'!$A:$A, '#캐릭터'!$C:$C)</f>
        <v>Persona_c447</v>
      </c>
      <c r="F587" s="1"/>
      <c r="G587" s="1">
        <f>_xlfn.XLOOKUP(_xlfn.XLOOKUP(B587,'[1]Detail&lt;Child&gt;'!$A:$A,'[1]Detail&lt;Child&gt;'!$N:$N),'#참조'!P:P,'#참조'!Q:Q)</f>
        <v>3</v>
      </c>
      <c r="H587" s="1">
        <f>_xlfn.XLOOKUP(_xlfn.XLOOKUP(B587,'[1]Detail&lt;Child&gt;'!$A:$A,'[1]Detail&lt;Child&gt;'!$O:$O),'#참조'!R:R,'#참조'!S:S)</f>
        <v>4</v>
      </c>
      <c r="I587" s="1">
        <v>4</v>
      </c>
      <c r="J587" s="2">
        <v>3</v>
      </c>
      <c r="K587" s="2">
        <v>5</v>
      </c>
      <c r="L587" s="2">
        <v>13</v>
      </c>
      <c r="M587" s="2" t="s">
        <v>17</v>
      </c>
      <c r="N587" s="2" t="s">
        <v>407</v>
      </c>
      <c r="O587" s="2">
        <f t="shared" si="444"/>
        <v>6278</v>
      </c>
      <c r="P587" s="2" t="s">
        <v>194</v>
      </c>
      <c r="Q587" s="2" t="str">
        <f t="shared" si="423"/>
        <v>23300,28000</v>
      </c>
      <c r="R587" s="2">
        <f t="shared" si="445"/>
        <v>23300</v>
      </c>
      <c r="S587" s="2">
        <f t="shared" si="441"/>
        <v>28000</v>
      </c>
      <c r="T587" s="2" t="s">
        <v>195</v>
      </c>
      <c r="U587" s="2" t="str">
        <f t="shared" si="425"/>
        <v>895,1100</v>
      </c>
      <c r="V587" s="2">
        <f t="shared" si="446"/>
        <v>895</v>
      </c>
      <c r="W587" s="2">
        <f t="shared" si="442"/>
        <v>1100</v>
      </c>
      <c r="X587" s="2" t="s">
        <v>196</v>
      </c>
      <c r="Y587" s="2" t="str">
        <f t="shared" si="427"/>
        <v>1868,2200</v>
      </c>
      <c r="Z587" s="2">
        <f t="shared" si="447"/>
        <v>1868</v>
      </c>
      <c r="AA587" s="2">
        <f t="shared" si="443"/>
        <v>2200</v>
      </c>
      <c r="AB587" s="2">
        <v>80000</v>
      </c>
      <c r="AC587" s="2" t="str">
        <f>_xlfn.XLOOKUP(B587,'#캐릭터'!A:A,'#캐릭터'!B:B)</f>
        <v>미리암</v>
      </c>
      <c r="AD587" s="2" t="str">
        <f t="shared" si="429"/>
        <v>Epic1_미리암</v>
      </c>
      <c r="AE587" s="2">
        <f t="shared" si="430"/>
        <v>3404</v>
      </c>
    </row>
    <row r="588" spans="1:31" x14ac:dyDescent="0.2">
      <c r="A588" s="2">
        <f t="shared" si="422"/>
        <v>10447014</v>
      </c>
      <c r="B588" s="1">
        <v>10000447</v>
      </c>
      <c r="C588" s="1" t="s">
        <v>281</v>
      </c>
      <c r="D588" s="1" t="s">
        <v>309</v>
      </c>
      <c r="E588" s="1" t="str">
        <f>"Persona_"&amp;_xlfn.XLOOKUP($B588, '#캐릭터'!$A:$A, '#캐릭터'!$C:$C)</f>
        <v>Persona_c447</v>
      </c>
      <c r="F588" s="1"/>
      <c r="G588" s="1">
        <f>_xlfn.XLOOKUP(_xlfn.XLOOKUP(B588,'[1]Detail&lt;Child&gt;'!$A:$A,'[1]Detail&lt;Child&gt;'!$N:$N),'#참조'!P:P,'#참조'!Q:Q)</f>
        <v>3</v>
      </c>
      <c r="H588" s="1">
        <f>_xlfn.XLOOKUP(_xlfn.XLOOKUP(B588,'[1]Detail&lt;Child&gt;'!$A:$A,'[1]Detail&lt;Child&gt;'!$O:$O),'#참조'!R:R,'#참조'!S:S)</f>
        <v>4</v>
      </c>
      <c r="I588" s="1">
        <v>4</v>
      </c>
      <c r="J588" s="2">
        <v>3</v>
      </c>
      <c r="K588" s="2">
        <v>5</v>
      </c>
      <c r="L588" s="2">
        <v>14</v>
      </c>
      <c r="M588" s="2" t="s">
        <v>18</v>
      </c>
      <c r="N588" s="2" t="s">
        <v>407</v>
      </c>
      <c r="O588" s="2">
        <f t="shared" si="444"/>
        <v>6906</v>
      </c>
      <c r="P588" s="2" t="s">
        <v>194</v>
      </c>
      <c r="Q588" s="2" t="str">
        <f t="shared" si="423"/>
        <v>30290,36300</v>
      </c>
      <c r="R588" s="2">
        <f t="shared" si="445"/>
        <v>30290</v>
      </c>
      <c r="S588" s="2">
        <f t="shared" si="441"/>
        <v>36300</v>
      </c>
      <c r="T588" s="2" t="s">
        <v>195</v>
      </c>
      <c r="U588" s="2" t="str">
        <f t="shared" si="425"/>
        <v>1074,1300</v>
      </c>
      <c r="V588" s="2">
        <f t="shared" si="446"/>
        <v>1074</v>
      </c>
      <c r="W588" s="2">
        <f t="shared" si="442"/>
        <v>1300</v>
      </c>
      <c r="X588" s="2" t="s">
        <v>196</v>
      </c>
      <c r="Y588" s="2" t="str">
        <f t="shared" si="427"/>
        <v>2428,2900</v>
      </c>
      <c r="Z588" s="2">
        <f t="shared" si="447"/>
        <v>2428</v>
      </c>
      <c r="AA588" s="2">
        <f t="shared" si="443"/>
        <v>2900</v>
      </c>
      <c r="AB588" s="2">
        <v>80000</v>
      </c>
      <c r="AC588" s="2" t="str">
        <f>_xlfn.XLOOKUP(B588,'#캐릭터'!A:A,'#캐릭터'!B:B)</f>
        <v>미리암</v>
      </c>
      <c r="AD588" s="2" t="str">
        <f t="shared" si="429"/>
        <v>Epic2_미리암</v>
      </c>
      <c r="AE588" s="2">
        <f t="shared" si="430"/>
        <v>3404</v>
      </c>
    </row>
    <row r="589" spans="1:31" x14ac:dyDescent="0.2">
      <c r="A589" s="2">
        <f t="shared" si="422"/>
        <v>10447015</v>
      </c>
      <c r="B589" s="1">
        <v>10000447</v>
      </c>
      <c r="C589" s="1" t="s">
        <v>281</v>
      </c>
      <c r="D589" s="1" t="s">
        <v>309</v>
      </c>
      <c r="E589" s="1" t="str">
        <f>"Persona_"&amp;_xlfn.XLOOKUP($B589, '#캐릭터'!$A:$A, '#캐릭터'!$C:$C)</f>
        <v>Persona_c447</v>
      </c>
      <c r="F589" s="1"/>
      <c r="G589" s="1">
        <f>_xlfn.XLOOKUP(_xlfn.XLOOKUP(B589,'[1]Detail&lt;Child&gt;'!$A:$A,'[1]Detail&lt;Child&gt;'!$N:$N),'#참조'!P:P,'#참조'!Q:Q)</f>
        <v>3</v>
      </c>
      <c r="H589" s="1">
        <f>_xlfn.XLOOKUP(_xlfn.XLOOKUP(B589,'[1]Detail&lt;Child&gt;'!$A:$A,'[1]Detail&lt;Child&gt;'!$O:$O),'#참조'!R:R,'#참조'!S:S)</f>
        <v>4</v>
      </c>
      <c r="I589" s="1">
        <v>5</v>
      </c>
      <c r="J589" s="2">
        <v>3</v>
      </c>
      <c r="K589" s="2">
        <v>5</v>
      </c>
      <c r="L589" s="2">
        <v>15</v>
      </c>
      <c r="M589" s="2" t="s">
        <v>19</v>
      </c>
      <c r="N589" s="2" t="s">
        <v>407</v>
      </c>
      <c r="O589" s="2">
        <f t="shared" si="444"/>
        <v>7597</v>
      </c>
      <c r="P589" s="2" t="s">
        <v>194</v>
      </c>
      <c r="Q589" s="2" t="str">
        <f t="shared" si="423"/>
        <v>39377,47300</v>
      </c>
      <c r="R589" s="2">
        <f t="shared" si="445"/>
        <v>39377</v>
      </c>
      <c r="S589" s="2">
        <f t="shared" si="441"/>
        <v>47300</v>
      </c>
      <c r="T589" s="2" t="s">
        <v>195</v>
      </c>
      <c r="U589" s="2" t="str">
        <f t="shared" si="425"/>
        <v>1289,1500</v>
      </c>
      <c r="V589" s="2">
        <f t="shared" si="446"/>
        <v>1289</v>
      </c>
      <c r="W589" s="2">
        <f t="shared" si="442"/>
        <v>1500</v>
      </c>
      <c r="X589" s="2" t="s">
        <v>196</v>
      </c>
      <c r="Y589" s="2" t="str">
        <f t="shared" si="427"/>
        <v>3156,3800</v>
      </c>
      <c r="Z589" s="2">
        <f t="shared" si="447"/>
        <v>3156</v>
      </c>
      <c r="AA589" s="2">
        <f t="shared" si="443"/>
        <v>3800</v>
      </c>
      <c r="AB589" s="2">
        <v>80000</v>
      </c>
      <c r="AC589" s="2" t="str">
        <f>_xlfn.XLOOKUP(B589,'#캐릭터'!A:A,'#캐릭터'!B:B)</f>
        <v>미리암</v>
      </c>
      <c r="AD589" s="2" t="str">
        <f t="shared" si="429"/>
        <v>Epic3_미리암</v>
      </c>
      <c r="AE589" s="2">
        <f t="shared" si="430"/>
        <v>3405</v>
      </c>
    </row>
    <row r="590" spans="1:31" x14ac:dyDescent="0.2">
      <c r="A590" s="2">
        <f t="shared" si="422"/>
        <v>10447016</v>
      </c>
      <c r="B590" s="1">
        <v>10000447</v>
      </c>
      <c r="C590" s="1" t="s">
        <v>281</v>
      </c>
      <c r="D590" s="1" t="s">
        <v>309</v>
      </c>
      <c r="E590" s="1" t="str">
        <f>"Persona_"&amp;_xlfn.XLOOKUP($B590, '#캐릭터'!$A:$A, '#캐릭터'!$C:$C)</f>
        <v>Persona_c447</v>
      </c>
      <c r="F590" s="1"/>
      <c r="G590" s="1">
        <f>_xlfn.XLOOKUP(_xlfn.XLOOKUP(B590,'[1]Detail&lt;Child&gt;'!$A:$A,'[1]Detail&lt;Child&gt;'!$N:$N),'#참조'!P:P,'#참조'!Q:Q)</f>
        <v>3</v>
      </c>
      <c r="H590" s="1">
        <f>_xlfn.XLOOKUP(_xlfn.XLOOKUP(B590,'[1]Detail&lt;Child&gt;'!$A:$A,'[1]Detail&lt;Child&gt;'!$O:$O),'#참조'!R:R,'#참조'!S:S)</f>
        <v>4</v>
      </c>
      <c r="I590" s="1">
        <v>5</v>
      </c>
      <c r="J590" s="2">
        <v>3</v>
      </c>
      <c r="K590" s="2">
        <v>6</v>
      </c>
      <c r="L590" s="2">
        <v>16</v>
      </c>
      <c r="M590" s="2" t="s">
        <v>20</v>
      </c>
      <c r="N590" s="2" t="s">
        <v>407</v>
      </c>
      <c r="O590" s="2">
        <f t="shared" si="444"/>
        <v>8357</v>
      </c>
      <c r="P590" s="2" t="s">
        <v>194</v>
      </c>
      <c r="Q590" s="2" t="str">
        <f t="shared" si="423"/>
        <v>51190,61400</v>
      </c>
      <c r="R590" s="2">
        <f t="shared" si="445"/>
        <v>51190</v>
      </c>
      <c r="S590" s="2">
        <f t="shared" si="441"/>
        <v>61400</v>
      </c>
      <c r="T590" s="2" t="s">
        <v>195</v>
      </c>
      <c r="U590" s="2" t="str">
        <f t="shared" si="425"/>
        <v>1547,1900</v>
      </c>
      <c r="V590" s="2">
        <f t="shared" si="446"/>
        <v>1547</v>
      </c>
      <c r="W590" s="2">
        <f t="shared" si="442"/>
        <v>1900</v>
      </c>
      <c r="X590" s="2" t="s">
        <v>196</v>
      </c>
      <c r="Y590" s="2" t="str">
        <f t="shared" si="427"/>
        <v>4103,4900</v>
      </c>
      <c r="Z590" s="2">
        <f t="shared" si="447"/>
        <v>4103</v>
      </c>
      <c r="AA590" s="2">
        <f t="shared" si="443"/>
        <v>4900</v>
      </c>
      <c r="AB590" s="2">
        <v>75000</v>
      </c>
      <c r="AC590" s="2" t="str">
        <f>_xlfn.XLOOKUP(B590,'#캐릭터'!A:A,'#캐릭터'!B:B)</f>
        <v>미리암</v>
      </c>
      <c r="AD590" s="2" t="str">
        <f t="shared" si="429"/>
        <v>Legendary1_미리암</v>
      </c>
      <c r="AE590" s="2">
        <f t="shared" si="430"/>
        <v>3405</v>
      </c>
    </row>
    <row r="591" spans="1:31" x14ac:dyDescent="0.2">
      <c r="A591" s="2">
        <f t="shared" si="422"/>
        <v>10447017</v>
      </c>
      <c r="B591" s="1">
        <v>10000447</v>
      </c>
      <c r="C591" s="1" t="s">
        <v>281</v>
      </c>
      <c r="D591" s="1" t="s">
        <v>309</v>
      </c>
      <c r="E591" s="1" t="str">
        <f>"Persona_"&amp;_xlfn.XLOOKUP($B591, '#캐릭터'!$A:$A, '#캐릭터'!$C:$C)</f>
        <v>Persona_c447</v>
      </c>
      <c r="F591" s="1"/>
      <c r="G591" s="1">
        <f>_xlfn.XLOOKUP(_xlfn.XLOOKUP(B591,'[1]Detail&lt;Child&gt;'!$A:$A,'[1]Detail&lt;Child&gt;'!$N:$N),'#참조'!P:P,'#참조'!Q:Q)</f>
        <v>3</v>
      </c>
      <c r="H591" s="1">
        <f>_xlfn.XLOOKUP(_xlfn.XLOOKUP(B591,'[1]Detail&lt;Child&gt;'!$A:$A,'[1]Detail&lt;Child&gt;'!$O:$O),'#참조'!R:R,'#참조'!S:S)</f>
        <v>4</v>
      </c>
      <c r="I591" s="1">
        <v>6</v>
      </c>
      <c r="J591" s="2">
        <v>3</v>
      </c>
      <c r="K591" s="2">
        <v>6</v>
      </c>
      <c r="L591" s="2">
        <v>17</v>
      </c>
      <c r="M591" s="2" t="s">
        <v>21</v>
      </c>
      <c r="N591" s="2" t="s">
        <v>407</v>
      </c>
      <c r="O591" s="2">
        <f t="shared" si="444"/>
        <v>9193</v>
      </c>
      <c r="P591" s="2" t="s">
        <v>194</v>
      </c>
      <c r="Q591" s="2" t="str">
        <f t="shared" si="423"/>
        <v>66547,79900</v>
      </c>
      <c r="R591" s="2">
        <f t="shared" si="445"/>
        <v>66547</v>
      </c>
      <c r="S591" s="2">
        <f t="shared" si="441"/>
        <v>79900</v>
      </c>
      <c r="T591" s="2" t="s">
        <v>195</v>
      </c>
      <c r="U591" s="2" t="str">
        <f t="shared" si="425"/>
        <v>1856,2200</v>
      </c>
      <c r="V591" s="2">
        <f t="shared" si="446"/>
        <v>1856</v>
      </c>
      <c r="W591" s="2">
        <f t="shared" si="442"/>
        <v>2200</v>
      </c>
      <c r="X591" s="2" t="s">
        <v>196</v>
      </c>
      <c r="Y591" s="2" t="str">
        <f t="shared" si="427"/>
        <v>5334,6400</v>
      </c>
      <c r="Z591" s="2">
        <f t="shared" si="447"/>
        <v>5334</v>
      </c>
      <c r="AA591" s="2">
        <f t="shared" si="443"/>
        <v>6400</v>
      </c>
      <c r="AB591" s="2">
        <v>75000</v>
      </c>
      <c r="AC591" s="2" t="str">
        <f>_xlfn.XLOOKUP(B591,'#캐릭터'!A:A,'#캐릭터'!B:B)</f>
        <v>미리암</v>
      </c>
      <c r="AD591" s="2" t="str">
        <f t="shared" si="429"/>
        <v>Legendary2_미리암</v>
      </c>
      <c r="AE591" s="2">
        <f t="shared" si="430"/>
        <v>3406</v>
      </c>
    </row>
    <row r="592" spans="1:31" x14ac:dyDescent="0.2">
      <c r="A592" s="2">
        <f t="shared" si="422"/>
        <v>10447018</v>
      </c>
      <c r="B592" s="1">
        <v>10000447</v>
      </c>
      <c r="C592" s="1" t="s">
        <v>281</v>
      </c>
      <c r="D592" s="1" t="s">
        <v>309</v>
      </c>
      <c r="E592" s="1" t="str">
        <f>"Persona_"&amp;_xlfn.XLOOKUP($B592, '#캐릭터'!$A:$A, '#캐릭터'!$C:$C)</f>
        <v>Persona_c447</v>
      </c>
      <c r="F592" s="1"/>
      <c r="G592" s="1">
        <f>_xlfn.XLOOKUP(_xlfn.XLOOKUP(B592,'[1]Detail&lt;Child&gt;'!$A:$A,'[1]Detail&lt;Child&gt;'!$N:$N),'#참조'!P:P,'#참조'!Q:Q)</f>
        <v>3</v>
      </c>
      <c r="H592" s="1">
        <f>_xlfn.XLOOKUP(_xlfn.XLOOKUP(B592,'[1]Detail&lt;Child&gt;'!$A:$A,'[1]Detail&lt;Child&gt;'!$O:$O),'#참조'!R:R,'#참조'!S:S)</f>
        <v>4</v>
      </c>
      <c r="I592" s="1">
        <v>6</v>
      </c>
      <c r="J592" s="2">
        <v>3</v>
      </c>
      <c r="K592" s="2">
        <v>6</v>
      </c>
      <c r="L592" s="2">
        <v>18</v>
      </c>
      <c r="M592" s="2" t="s">
        <v>22</v>
      </c>
      <c r="N592" s="2" t="s">
        <v>407</v>
      </c>
      <c r="O592" s="2">
        <f t="shared" si="444"/>
        <v>10112</v>
      </c>
      <c r="P592" s="2" t="s">
        <v>194</v>
      </c>
      <c r="Q592" s="2" t="str">
        <f t="shared" si="423"/>
        <v>86511,103800</v>
      </c>
      <c r="R592" s="2">
        <f t="shared" si="445"/>
        <v>86511</v>
      </c>
      <c r="S592" s="2">
        <f t="shared" si="441"/>
        <v>103800</v>
      </c>
      <c r="T592" s="2" t="s">
        <v>195</v>
      </c>
      <c r="U592" s="2" t="str">
        <f t="shared" si="425"/>
        <v>2227,2700</v>
      </c>
      <c r="V592" s="2">
        <f t="shared" si="446"/>
        <v>2227</v>
      </c>
      <c r="W592" s="2">
        <f t="shared" si="442"/>
        <v>2700</v>
      </c>
      <c r="X592" s="2" t="s">
        <v>196</v>
      </c>
      <c r="Y592" s="2" t="str">
        <f t="shared" si="427"/>
        <v>6934,8300</v>
      </c>
      <c r="Z592" s="2">
        <f t="shared" si="447"/>
        <v>6934</v>
      </c>
      <c r="AA592" s="2">
        <f t="shared" si="443"/>
        <v>8300</v>
      </c>
      <c r="AB592" s="2">
        <v>75000</v>
      </c>
      <c r="AC592" s="2" t="str">
        <f>_xlfn.XLOOKUP(B592,'#캐릭터'!A:A,'#캐릭터'!B:B)</f>
        <v>미리암</v>
      </c>
      <c r="AD592" s="2" t="str">
        <f t="shared" si="429"/>
        <v>Legendary3_미리암</v>
      </c>
      <c r="AE592" s="2">
        <f t="shared" si="430"/>
        <v>3406</v>
      </c>
    </row>
    <row r="593" spans="1:31" x14ac:dyDescent="0.2">
      <c r="A593" s="2">
        <f t="shared" ref="A593:A611" si="448">INT(1&amp;TEXT(RIGHT(B593,4),"0000")&amp;TEXT(L593,"000"))</f>
        <v>10462000</v>
      </c>
      <c r="B593" s="1">
        <v>10000462</v>
      </c>
      <c r="C593" s="1" t="s">
        <v>281</v>
      </c>
      <c r="D593" s="1" t="s">
        <v>309</v>
      </c>
      <c r="E593" s="1" t="str">
        <f>"Persona_"&amp;_xlfn.XLOOKUP($B593, '#캐릭터'!$A:$A, '#캐릭터'!$C:$C)</f>
        <v>Persona_c462</v>
      </c>
      <c r="F593" s="1" t="s">
        <v>431</v>
      </c>
      <c r="G593" s="1">
        <f>_xlfn.XLOOKUP(_xlfn.XLOOKUP(B593,'[1]Detail&lt;Child&gt;'!$A:$A,'[1]Detail&lt;Child&gt;'!$N:$N),'#참조'!P:P,'#참조'!Q:Q)</f>
        <v>3</v>
      </c>
      <c r="H593" s="1">
        <f>_xlfn.XLOOKUP(_xlfn.XLOOKUP(B593,'[1]Detail&lt;Child&gt;'!$A:$A,'[1]Detail&lt;Child&gt;'!$O:$O),'#참조'!R:R,'#참조'!S:S)</f>
        <v>4</v>
      </c>
      <c r="I593" s="1">
        <v>0</v>
      </c>
      <c r="J593" s="2">
        <v>3</v>
      </c>
      <c r="K593" s="2">
        <v>0</v>
      </c>
      <c r="L593" s="2">
        <v>0</v>
      </c>
      <c r="M593" s="2" t="s">
        <v>31</v>
      </c>
      <c r="N593" s="2" t="s">
        <v>407</v>
      </c>
      <c r="O593" s="2">
        <v>0</v>
      </c>
      <c r="P593" s="2" t="s">
        <v>194</v>
      </c>
      <c r="Q593" s="2" t="str">
        <f t="shared" ref="Q593:Q611" si="449">R593&amp;","&amp;S593</f>
        <v>1000,1000</v>
      </c>
      <c r="R593" s="2">
        <v>1000</v>
      </c>
      <c r="S593" s="2">
        <f t="shared" ref="S593" si="450">R593</f>
        <v>1000</v>
      </c>
      <c r="T593" s="2" t="s">
        <v>195</v>
      </c>
      <c r="U593" s="2" t="str">
        <f t="shared" ref="U593:U611" si="451">V593&amp;","&amp;W593</f>
        <v>100,100</v>
      </c>
      <c r="V593" s="2">
        <v>100</v>
      </c>
      <c r="W593" s="2">
        <f t="shared" ref="W593" si="452">V593</f>
        <v>100</v>
      </c>
      <c r="X593" s="2" t="s">
        <v>196</v>
      </c>
      <c r="Y593" s="2" t="str">
        <f t="shared" ref="Y593:Y611" si="453">Z593&amp;","&amp;AA593</f>
        <v>80,80</v>
      </c>
      <c r="Z593" s="2">
        <v>80</v>
      </c>
      <c r="AA593" s="2">
        <f t="shared" ref="AA593" si="454">Z593</f>
        <v>80</v>
      </c>
      <c r="AB593" s="2">
        <v>100000</v>
      </c>
      <c r="AC593" s="2" t="str">
        <f>_xlfn.XLOOKUP(B593,'#캐릭터'!A:A,'#캐릭터'!B:B)</f>
        <v>데레사</v>
      </c>
      <c r="AD593" s="2" t="str">
        <f t="shared" ref="AD593:AD611" si="455">M593&amp;"_"&amp;AC593</f>
        <v>Default_데레사</v>
      </c>
      <c r="AE593" s="2">
        <f t="shared" ref="AE593:AE611" si="456">IF(I593=0,0,INT(G593&amp;H593&amp;TEXT(I593,"00")))</f>
        <v>0</v>
      </c>
    </row>
    <row r="594" spans="1:31" x14ac:dyDescent="0.2">
      <c r="A594" s="2">
        <f t="shared" si="448"/>
        <v>10462001</v>
      </c>
      <c r="B594" s="1">
        <v>10000462</v>
      </c>
      <c r="C594" s="1" t="s">
        <v>281</v>
      </c>
      <c r="D594" s="1" t="s">
        <v>309</v>
      </c>
      <c r="E594" s="1" t="str">
        <f>"Persona_"&amp;_xlfn.XLOOKUP($B594, '#캐릭터'!$A:$A, '#캐릭터'!$C:$C)</f>
        <v>Persona_c462</v>
      </c>
      <c r="F594" s="1" t="s">
        <v>431</v>
      </c>
      <c r="G594" s="1">
        <f>_xlfn.XLOOKUP(_xlfn.XLOOKUP(B594,'[1]Detail&lt;Child&gt;'!$A:$A,'[1]Detail&lt;Child&gt;'!$N:$N),'#참조'!P:P,'#참조'!Q:Q)</f>
        <v>3</v>
      </c>
      <c r="H594" s="1">
        <f>_xlfn.XLOOKUP(_xlfn.XLOOKUP(B594,'[1]Detail&lt;Child&gt;'!$A:$A,'[1]Detail&lt;Child&gt;'!$O:$O),'#참조'!R:R,'#참조'!S:S)</f>
        <v>4</v>
      </c>
      <c r="I594" s="1">
        <v>0</v>
      </c>
      <c r="J594" s="2">
        <v>3</v>
      </c>
      <c r="K594" s="2">
        <v>1</v>
      </c>
      <c r="L594" s="2">
        <v>1</v>
      </c>
      <c r="M594" s="2" t="s">
        <v>5</v>
      </c>
      <c r="N594" s="2" t="s">
        <v>407</v>
      </c>
      <c r="O594" s="2">
        <v>2000</v>
      </c>
      <c r="P594" s="2" t="s">
        <v>194</v>
      </c>
      <c r="Q594" s="2" t="str">
        <f t="shared" si="449"/>
        <v>1000,1200</v>
      </c>
      <c r="R594" s="2">
        <v>1000</v>
      </c>
      <c r="S594" s="2">
        <f t="shared" ref="S594:S611" si="457">ROUND(R594*1.2, -2)</f>
        <v>1200</v>
      </c>
      <c r="T594" s="2" t="s">
        <v>195</v>
      </c>
      <c r="U594" s="2" t="str">
        <f t="shared" si="451"/>
        <v>100,100</v>
      </c>
      <c r="V594" s="2">
        <v>100</v>
      </c>
      <c r="W594" s="2">
        <f t="shared" ref="W594:W611" si="458">ROUND(V594*1.2, -2)</f>
        <v>100</v>
      </c>
      <c r="X594" s="2" t="s">
        <v>196</v>
      </c>
      <c r="Y594" s="2" t="str">
        <f t="shared" si="453"/>
        <v>80,100</v>
      </c>
      <c r="Z594" s="2">
        <v>80</v>
      </c>
      <c r="AA594" s="2">
        <f t="shared" ref="AA594:AA611" si="459">ROUND(Z594*1.2, -2)</f>
        <v>100</v>
      </c>
      <c r="AB594" s="2">
        <v>100000</v>
      </c>
      <c r="AC594" s="2" t="str">
        <f>_xlfn.XLOOKUP(B594,'#캐릭터'!A:A,'#캐릭터'!B:B)</f>
        <v>데레사</v>
      </c>
      <c r="AD594" s="2" t="str">
        <f t="shared" si="455"/>
        <v>Common1_데레사</v>
      </c>
      <c r="AE594" s="2">
        <f t="shared" si="456"/>
        <v>0</v>
      </c>
    </row>
    <row r="595" spans="1:31" x14ac:dyDescent="0.2">
      <c r="A595" s="2">
        <f t="shared" si="448"/>
        <v>10462002</v>
      </c>
      <c r="B595" s="1">
        <v>10000462</v>
      </c>
      <c r="C595" s="1" t="s">
        <v>281</v>
      </c>
      <c r="D595" s="1" t="s">
        <v>309</v>
      </c>
      <c r="E595" s="1" t="str">
        <f>"Persona_"&amp;_xlfn.XLOOKUP($B595, '#캐릭터'!$A:$A, '#캐릭터'!$C:$C)</f>
        <v>Persona_c462</v>
      </c>
      <c r="F595" s="1" t="s">
        <v>431</v>
      </c>
      <c r="G595" s="1">
        <f>_xlfn.XLOOKUP(_xlfn.XLOOKUP(B595,'[1]Detail&lt;Child&gt;'!$A:$A,'[1]Detail&lt;Child&gt;'!$N:$N),'#참조'!P:P,'#참조'!Q:Q)</f>
        <v>3</v>
      </c>
      <c r="H595" s="1">
        <f>_xlfn.XLOOKUP(_xlfn.XLOOKUP(B595,'[1]Detail&lt;Child&gt;'!$A:$A,'[1]Detail&lt;Child&gt;'!$O:$O),'#참조'!R:R,'#참조'!S:S)</f>
        <v>4</v>
      </c>
      <c r="I595" s="1">
        <v>0</v>
      </c>
      <c r="J595" s="2">
        <v>3</v>
      </c>
      <c r="K595" s="2">
        <v>1</v>
      </c>
      <c r="L595" s="2">
        <v>2</v>
      </c>
      <c r="M595" s="2" t="s">
        <v>6</v>
      </c>
      <c r="N595" s="2" t="s">
        <v>407</v>
      </c>
      <c r="O595" s="2">
        <f t="shared" ref="O595:O611" si="460">ROUND(O594*1.1, 0)</f>
        <v>2200</v>
      </c>
      <c r="P595" s="2" t="s">
        <v>194</v>
      </c>
      <c r="Q595" s="2" t="str">
        <f t="shared" si="449"/>
        <v>1300,1600</v>
      </c>
      <c r="R595" s="2">
        <f t="shared" ref="R595:R611" si="461">ROUND(R594*1.3, 0)</f>
        <v>1300</v>
      </c>
      <c r="S595" s="2">
        <f t="shared" si="457"/>
        <v>1600</v>
      </c>
      <c r="T595" s="2" t="s">
        <v>195</v>
      </c>
      <c r="U595" s="2" t="str">
        <f t="shared" si="451"/>
        <v>120,100</v>
      </c>
      <c r="V595" s="2">
        <f t="shared" ref="V595:V611" si="462">ROUND(V594*1.2, 0)</f>
        <v>120</v>
      </c>
      <c r="W595" s="2">
        <f t="shared" si="458"/>
        <v>100</v>
      </c>
      <c r="X595" s="2" t="s">
        <v>196</v>
      </c>
      <c r="Y595" s="2" t="str">
        <f t="shared" si="453"/>
        <v>104,100</v>
      </c>
      <c r="Z595" s="2">
        <f t="shared" ref="Z595:Z611" si="463">ROUND(Z594*1.3, 0)</f>
        <v>104</v>
      </c>
      <c r="AA595" s="2">
        <f t="shared" si="459"/>
        <v>100</v>
      </c>
      <c r="AB595" s="2">
        <v>100000</v>
      </c>
      <c r="AC595" s="2" t="str">
        <f>_xlfn.XLOOKUP(B595,'#캐릭터'!A:A,'#캐릭터'!B:B)</f>
        <v>데레사</v>
      </c>
      <c r="AD595" s="2" t="str">
        <f t="shared" si="455"/>
        <v>Common2_데레사</v>
      </c>
      <c r="AE595" s="2">
        <f t="shared" si="456"/>
        <v>0</v>
      </c>
    </row>
    <row r="596" spans="1:31" x14ac:dyDescent="0.2">
      <c r="A596" s="2">
        <f t="shared" si="448"/>
        <v>10462003</v>
      </c>
      <c r="B596" s="1">
        <v>10000462</v>
      </c>
      <c r="C596" s="1" t="s">
        <v>281</v>
      </c>
      <c r="D596" s="1" t="s">
        <v>309</v>
      </c>
      <c r="E596" s="1" t="str">
        <f>"Persona_"&amp;_xlfn.XLOOKUP($B596, '#캐릭터'!$A:$A, '#캐릭터'!$C:$C)</f>
        <v>Persona_c462</v>
      </c>
      <c r="F596" s="1" t="s">
        <v>431</v>
      </c>
      <c r="G596" s="1">
        <f>_xlfn.XLOOKUP(_xlfn.XLOOKUP(B596,'[1]Detail&lt;Child&gt;'!$A:$A,'[1]Detail&lt;Child&gt;'!$N:$N),'#참조'!P:P,'#참조'!Q:Q)</f>
        <v>3</v>
      </c>
      <c r="H596" s="1">
        <f>_xlfn.XLOOKUP(_xlfn.XLOOKUP(B596,'[1]Detail&lt;Child&gt;'!$A:$A,'[1]Detail&lt;Child&gt;'!$O:$O),'#참조'!R:R,'#참조'!S:S)</f>
        <v>4</v>
      </c>
      <c r="I596" s="1">
        <v>0</v>
      </c>
      <c r="J596" s="2">
        <v>3</v>
      </c>
      <c r="K596" s="2">
        <v>1</v>
      </c>
      <c r="L596" s="2">
        <v>3</v>
      </c>
      <c r="M596" s="2" t="s">
        <v>7</v>
      </c>
      <c r="N596" s="2" t="s">
        <v>407</v>
      </c>
      <c r="O596" s="2">
        <f t="shared" si="460"/>
        <v>2420</v>
      </c>
      <c r="P596" s="2" t="s">
        <v>194</v>
      </c>
      <c r="Q596" s="2" t="str">
        <f t="shared" si="449"/>
        <v>1690,2000</v>
      </c>
      <c r="R596" s="2">
        <f t="shared" si="461"/>
        <v>1690</v>
      </c>
      <c r="S596" s="2">
        <f t="shared" si="457"/>
        <v>2000</v>
      </c>
      <c r="T596" s="2" t="s">
        <v>195</v>
      </c>
      <c r="U596" s="2" t="str">
        <f t="shared" si="451"/>
        <v>144,200</v>
      </c>
      <c r="V596" s="2">
        <f t="shared" si="462"/>
        <v>144</v>
      </c>
      <c r="W596" s="2">
        <f t="shared" si="458"/>
        <v>200</v>
      </c>
      <c r="X596" s="2" t="s">
        <v>196</v>
      </c>
      <c r="Y596" s="2" t="str">
        <f t="shared" si="453"/>
        <v>135,200</v>
      </c>
      <c r="Z596" s="2">
        <f t="shared" si="463"/>
        <v>135</v>
      </c>
      <c r="AA596" s="2">
        <f t="shared" si="459"/>
        <v>200</v>
      </c>
      <c r="AB596" s="2">
        <v>100000</v>
      </c>
      <c r="AC596" s="2" t="str">
        <f>_xlfn.XLOOKUP(B596,'#캐릭터'!A:A,'#캐릭터'!B:B)</f>
        <v>데레사</v>
      </c>
      <c r="AD596" s="2" t="str">
        <f t="shared" si="455"/>
        <v>Common3_데레사</v>
      </c>
      <c r="AE596" s="2">
        <f t="shared" si="456"/>
        <v>0</v>
      </c>
    </row>
    <row r="597" spans="1:31" x14ac:dyDescent="0.2">
      <c r="A597" s="2">
        <f t="shared" si="448"/>
        <v>10462004</v>
      </c>
      <c r="B597" s="1">
        <v>10000462</v>
      </c>
      <c r="C597" s="1" t="s">
        <v>281</v>
      </c>
      <c r="D597" s="1" t="s">
        <v>309</v>
      </c>
      <c r="E597" s="1" t="str">
        <f>"Persona_"&amp;_xlfn.XLOOKUP($B597, '#캐릭터'!$A:$A, '#캐릭터'!$C:$C)</f>
        <v>Persona_c462</v>
      </c>
      <c r="F597" s="1" t="s">
        <v>431</v>
      </c>
      <c r="G597" s="1">
        <f>_xlfn.XLOOKUP(_xlfn.XLOOKUP(B597,'[1]Detail&lt;Child&gt;'!$A:$A,'[1]Detail&lt;Child&gt;'!$N:$N),'#참조'!P:P,'#참조'!Q:Q)</f>
        <v>3</v>
      </c>
      <c r="H597" s="1">
        <f>_xlfn.XLOOKUP(_xlfn.XLOOKUP(B597,'[1]Detail&lt;Child&gt;'!$A:$A,'[1]Detail&lt;Child&gt;'!$O:$O),'#참조'!R:R,'#참조'!S:S)</f>
        <v>4</v>
      </c>
      <c r="I597" s="1">
        <v>0</v>
      </c>
      <c r="J597" s="2">
        <v>3</v>
      </c>
      <c r="K597" s="2">
        <v>2</v>
      </c>
      <c r="L597" s="2">
        <v>4</v>
      </c>
      <c r="M597" s="2" t="s">
        <v>8</v>
      </c>
      <c r="N597" s="2" t="s">
        <v>407</v>
      </c>
      <c r="O597" s="2">
        <f t="shared" si="460"/>
        <v>2662</v>
      </c>
      <c r="P597" s="2" t="s">
        <v>194</v>
      </c>
      <c r="Q597" s="2" t="str">
        <f t="shared" si="449"/>
        <v>2197,2600</v>
      </c>
      <c r="R597" s="2">
        <f t="shared" si="461"/>
        <v>2197</v>
      </c>
      <c r="S597" s="2">
        <f t="shared" si="457"/>
        <v>2600</v>
      </c>
      <c r="T597" s="2" t="s">
        <v>195</v>
      </c>
      <c r="U597" s="2" t="str">
        <f t="shared" si="451"/>
        <v>173,200</v>
      </c>
      <c r="V597" s="2">
        <f t="shared" si="462"/>
        <v>173</v>
      </c>
      <c r="W597" s="2">
        <f t="shared" si="458"/>
        <v>200</v>
      </c>
      <c r="X597" s="2" t="s">
        <v>196</v>
      </c>
      <c r="Y597" s="2" t="str">
        <f t="shared" si="453"/>
        <v>176,200</v>
      </c>
      <c r="Z597" s="2">
        <f t="shared" si="463"/>
        <v>176</v>
      </c>
      <c r="AA597" s="2">
        <f t="shared" si="459"/>
        <v>200</v>
      </c>
      <c r="AB597" s="2">
        <v>95000</v>
      </c>
      <c r="AC597" s="2" t="str">
        <f>_xlfn.XLOOKUP(B597,'#캐릭터'!A:A,'#캐릭터'!B:B)</f>
        <v>데레사</v>
      </c>
      <c r="AD597" s="2" t="str">
        <f t="shared" si="455"/>
        <v>Uncommon1_데레사</v>
      </c>
      <c r="AE597" s="2">
        <f t="shared" si="456"/>
        <v>0</v>
      </c>
    </row>
    <row r="598" spans="1:31" x14ac:dyDescent="0.2">
      <c r="A598" s="2">
        <f t="shared" si="448"/>
        <v>10462005</v>
      </c>
      <c r="B598" s="1">
        <v>10000462</v>
      </c>
      <c r="C598" s="1" t="s">
        <v>281</v>
      </c>
      <c r="D598" s="1" t="s">
        <v>309</v>
      </c>
      <c r="E598" s="1" t="str">
        <f>"Persona_"&amp;_xlfn.XLOOKUP($B598, '#캐릭터'!$A:$A, '#캐릭터'!$C:$C)</f>
        <v>Persona_c462</v>
      </c>
      <c r="F598" s="1" t="s">
        <v>431</v>
      </c>
      <c r="G598" s="1">
        <f>_xlfn.XLOOKUP(_xlfn.XLOOKUP(B598,'[1]Detail&lt;Child&gt;'!$A:$A,'[1]Detail&lt;Child&gt;'!$N:$N),'#참조'!P:P,'#참조'!Q:Q)</f>
        <v>3</v>
      </c>
      <c r="H598" s="1">
        <f>_xlfn.XLOOKUP(_xlfn.XLOOKUP(B598,'[1]Detail&lt;Child&gt;'!$A:$A,'[1]Detail&lt;Child&gt;'!$O:$O),'#참조'!R:R,'#참조'!S:S)</f>
        <v>4</v>
      </c>
      <c r="I598" s="1">
        <v>0</v>
      </c>
      <c r="J598" s="2">
        <v>3</v>
      </c>
      <c r="K598" s="2">
        <v>2</v>
      </c>
      <c r="L598" s="2">
        <v>5</v>
      </c>
      <c r="M598" s="2" t="s">
        <v>9</v>
      </c>
      <c r="N598" s="2" t="s">
        <v>407</v>
      </c>
      <c r="O598" s="2">
        <f t="shared" si="460"/>
        <v>2928</v>
      </c>
      <c r="P598" s="2" t="s">
        <v>194</v>
      </c>
      <c r="Q598" s="2" t="str">
        <f t="shared" si="449"/>
        <v>2856,3400</v>
      </c>
      <c r="R598" s="2">
        <f t="shared" si="461"/>
        <v>2856</v>
      </c>
      <c r="S598" s="2">
        <f t="shared" si="457"/>
        <v>3400</v>
      </c>
      <c r="T598" s="2" t="s">
        <v>195</v>
      </c>
      <c r="U598" s="2" t="str">
        <f t="shared" si="451"/>
        <v>208,200</v>
      </c>
      <c r="V598" s="2">
        <f t="shared" si="462"/>
        <v>208</v>
      </c>
      <c r="W598" s="2">
        <f t="shared" si="458"/>
        <v>200</v>
      </c>
      <c r="X598" s="2" t="s">
        <v>196</v>
      </c>
      <c r="Y598" s="2" t="str">
        <f t="shared" si="453"/>
        <v>229,300</v>
      </c>
      <c r="Z598" s="2">
        <f t="shared" si="463"/>
        <v>229</v>
      </c>
      <c r="AA598" s="2">
        <f t="shared" si="459"/>
        <v>300</v>
      </c>
      <c r="AB598" s="2">
        <v>95000</v>
      </c>
      <c r="AC598" s="2" t="str">
        <f>_xlfn.XLOOKUP(B598,'#캐릭터'!A:A,'#캐릭터'!B:B)</f>
        <v>데레사</v>
      </c>
      <c r="AD598" s="2" t="str">
        <f t="shared" si="455"/>
        <v>Uncommon2_데레사</v>
      </c>
      <c r="AE598" s="2">
        <f t="shared" si="456"/>
        <v>0</v>
      </c>
    </row>
    <row r="599" spans="1:31" x14ac:dyDescent="0.2">
      <c r="A599" s="2">
        <f t="shared" si="448"/>
        <v>10462006</v>
      </c>
      <c r="B599" s="1">
        <v>10000462</v>
      </c>
      <c r="C599" s="1" t="s">
        <v>281</v>
      </c>
      <c r="D599" s="1" t="s">
        <v>309</v>
      </c>
      <c r="E599" s="1" t="str">
        <f>"Persona_"&amp;_xlfn.XLOOKUP($B599, '#캐릭터'!$A:$A, '#캐릭터'!$C:$C)</f>
        <v>Persona_c462</v>
      </c>
      <c r="F599" s="1" t="s">
        <v>431</v>
      </c>
      <c r="G599" s="1">
        <f>_xlfn.XLOOKUP(_xlfn.XLOOKUP(B599,'[1]Detail&lt;Child&gt;'!$A:$A,'[1]Detail&lt;Child&gt;'!$N:$N),'#참조'!P:P,'#참조'!Q:Q)</f>
        <v>3</v>
      </c>
      <c r="H599" s="1">
        <f>_xlfn.XLOOKUP(_xlfn.XLOOKUP(B599,'[1]Detail&lt;Child&gt;'!$A:$A,'[1]Detail&lt;Child&gt;'!$O:$O),'#참조'!R:R,'#참조'!S:S)</f>
        <v>4</v>
      </c>
      <c r="I599" s="1">
        <v>0</v>
      </c>
      <c r="J599" s="2">
        <v>3</v>
      </c>
      <c r="K599" s="2">
        <v>2</v>
      </c>
      <c r="L599" s="2">
        <v>6</v>
      </c>
      <c r="M599" s="2" t="s">
        <v>10</v>
      </c>
      <c r="N599" s="2" t="s">
        <v>407</v>
      </c>
      <c r="O599" s="2">
        <f t="shared" si="460"/>
        <v>3221</v>
      </c>
      <c r="P599" s="2" t="s">
        <v>194</v>
      </c>
      <c r="Q599" s="2" t="str">
        <f t="shared" si="449"/>
        <v>3713,4500</v>
      </c>
      <c r="R599" s="2">
        <f t="shared" si="461"/>
        <v>3713</v>
      </c>
      <c r="S599" s="2">
        <f t="shared" si="457"/>
        <v>4500</v>
      </c>
      <c r="T599" s="2" t="s">
        <v>195</v>
      </c>
      <c r="U599" s="2" t="str">
        <f t="shared" si="451"/>
        <v>250,300</v>
      </c>
      <c r="V599" s="2">
        <f t="shared" si="462"/>
        <v>250</v>
      </c>
      <c r="W599" s="2">
        <f t="shared" si="458"/>
        <v>300</v>
      </c>
      <c r="X599" s="2" t="s">
        <v>196</v>
      </c>
      <c r="Y599" s="2" t="str">
        <f t="shared" si="453"/>
        <v>298,400</v>
      </c>
      <c r="Z599" s="2">
        <f t="shared" si="463"/>
        <v>298</v>
      </c>
      <c r="AA599" s="2">
        <f t="shared" si="459"/>
        <v>400</v>
      </c>
      <c r="AB599" s="2">
        <v>95000</v>
      </c>
      <c r="AC599" s="2" t="str">
        <f>_xlfn.XLOOKUP(B599,'#캐릭터'!A:A,'#캐릭터'!B:B)</f>
        <v>데레사</v>
      </c>
      <c r="AD599" s="2" t="str">
        <f t="shared" si="455"/>
        <v>Uncommon3_데레사</v>
      </c>
      <c r="AE599" s="2">
        <f t="shared" si="456"/>
        <v>0</v>
      </c>
    </row>
    <row r="600" spans="1:31" x14ac:dyDescent="0.2">
      <c r="A600" s="2">
        <f t="shared" si="448"/>
        <v>10462007</v>
      </c>
      <c r="B600" s="1">
        <v>10000462</v>
      </c>
      <c r="C600" s="1" t="s">
        <v>281</v>
      </c>
      <c r="D600" s="1" t="s">
        <v>309</v>
      </c>
      <c r="E600" s="1" t="str">
        <f>"Persona_"&amp;_xlfn.XLOOKUP($B600, '#캐릭터'!$A:$A, '#캐릭터'!$C:$C)</f>
        <v>Persona_c462</v>
      </c>
      <c r="F600" s="1" t="s">
        <v>431</v>
      </c>
      <c r="G600" s="1">
        <f>_xlfn.XLOOKUP(_xlfn.XLOOKUP(B600,'[1]Detail&lt;Child&gt;'!$A:$A,'[1]Detail&lt;Child&gt;'!$N:$N),'#참조'!P:P,'#참조'!Q:Q)</f>
        <v>3</v>
      </c>
      <c r="H600" s="1">
        <f>_xlfn.XLOOKUP(_xlfn.XLOOKUP(B600,'[1]Detail&lt;Child&gt;'!$A:$A,'[1]Detail&lt;Child&gt;'!$O:$O),'#참조'!R:R,'#참조'!S:S)</f>
        <v>4</v>
      </c>
      <c r="I600" s="1">
        <v>1</v>
      </c>
      <c r="J600" s="2">
        <v>3</v>
      </c>
      <c r="K600" s="2">
        <v>3</v>
      </c>
      <c r="L600" s="2">
        <v>7</v>
      </c>
      <c r="M600" s="2" t="s">
        <v>11</v>
      </c>
      <c r="N600" s="2" t="s">
        <v>407</v>
      </c>
      <c r="O600" s="2">
        <f t="shared" si="460"/>
        <v>3543</v>
      </c>
      <c r="P600" s="2" t="s">
        <v>194</v>
      </c>
      <c r="Q600" s="2" t="str">
        <f t="shared" si="449"/>
        <v>4827,5800</v>
      </c>
      <c r="R600" s="2">
        <f t="shared" si="461"/>
        <v>4827</v>
      </c>
      <c r="S600" s="2">
        <f t="shared" si="457"/>
        <v>5800</v>
      </c>
      <c r="T600" s="2" t="s">
        <v>195</v>
      </c>
      <c r="U600" s="2" t="str">
        <f t="shared" si="451"/>
        <v>300,400</v>
      </c>
      <c r="V600" s="2">
        <f t="shared" si="462"/>
        <v>300</v>
      </c>
      <c r="W600" s="2">
        <f t="shared" si="458"/>
        <v>400</v>
      </c>
      <c r="X600" s="2" t="s">
        <v>196</v>
      </c>
      <c r="Y600" s="2" t="str">
        <f t="shared" si="453"/>
        <v>387,500</v>
      </c>
      <c r="Z600" s="2">
        <f t="shared" si="463"/>
        <v>387</v>
      </c>
      <c r="AA600" s="2">
        <f t="shared" si="459"/>
        <v>500</v>
      </c>
      <c r="AB600" s="2">
        <v>90000</v>
      </c>
      <c r="AC600" s="2" t="str">
        <f>_xlfn.XLOOKUP(B600,'#캐릭터'!A:A,'#캐릭터'!B:B)</f>
        <v>데레사</v>
      </c>
      <c r="AD600" s="2" t="str">
        <f t="shared" si="455"/>
        <v>Rare1_데레사</v>
      </c>
      <c r="AE600" s="2">
        <f t="shared" si="456"/>
        <v>3401</v>
      </c>
    </row>
    <row r="601" spans="1:31" x14ac:dyDescent="0.2">
      <c r="A601" s="2">
        <f t="shared" si="448"/>
        <v>10462008</v>
      </c>
      <c r="B601" s="1">
        <v>10000462</v>
      </c>
      <c r="C601" s="1" t="s">
        <v>281</v>
      </c>
      <c r="D601" s="1" t="s">
        <v>309</v>
      </c>
      <c r="E601" s="1" t="str">
        <f>"Persona_"&amp;_xlfn.XLOOKUP($B601, '#캐릭터'!$A:$A, '#캐릭터'!$C:$C)</f>
        <v>Persona_c462</v>
      </c>
      <c r="F601" s="1" t="s">
        <v>431</v>
      </c>
      <c r="G601" s="1">
        <f>_xlfn.XLOOKUP(_xlfn.XLOOKUP(B601,'[1]Detail&lt;Child&gt;'!$A:$A,'[1]Detail&lt;Child&gt;'!$N:$N),'#참조'!P:P,'#참조'!Q:Q)</f>
        <v>3</v>
      </c>
      <c r="H601" s="1">
        <f>_xlfn.XLOOKUP(_xlfn.XLOOKUP(B601,'[1]Detail&lt;Child&gt;'!$A:$A,'[1]Detail&lt;Child&gt;'!$O:$O),'#참조'!R:R,'#참조'!S:S)</f>
        <v>4</v>
      </c>
      <c r="I601" s="1">
        <v>1</v>
      </c>
      <c r="J601" s="2">
        <v>3</v>
      </c>
      <c r="K601" s="2">
        <v>3</v>
      </c>
      <c r="L601" s="2">
        <v>8</v>
      </c>
      <c r="M601" s="2" t="s">
        <v>12</v>
      </c>
      <c r="N601" s="2" t="s">
        <v>407</v>
      </c>
      <c r="O601" s="2">
        <f t="shared" si="460"/>
        <v>3897</v>
      </c>
      <c r="P601" s="2" t="s">
        <v>194</v>
      </c>
      <c r="Q601" s="2" t="str">
        <f t="shared" si="449"/>
        <v>6275,7500</v>
      </c>
      <c r="R601" s="2">
        <f t="shared" si="461"/>
        <v>6275</v>
      </c>
      <c r="S601" s="2">
        <f t="shared" si="457"/>
        <v>7500</v>
      </c>
      <c r="T601" s="2" t="s">
        <v>195</v>
      </c>
      <c r="U601" s="2" t="str">
        <f t="shared" si="451"/>
        <v>360,400</v>
      </c>
      <c r="V601" s="2">
        <f t="shared" si="462"/>
        <v>360</v>
      </c>
      <c r="W601" s="2">
        <f t="shared" si="458"/>
        <v>400</v>
      </c>
      <c r="X601" s="2" t="s">
        <v>196</v>
      </c>
      <c r="Y601" s="2" t="str">
        <f t="shared" si="453"/>
        <v>503,600</v>
      </c>
      <c r="Z601" s="2">
        <f t="shared" si="463"/>
        <v>503</v>
      </c>
      <c r="AA601" s="2">
        <f t="shared" si="459"/>
        <v>600</v>
      </c>
      <c r="AB601" s="2">
        <v>90000</v>
      </c>
      <c r="AC601" s="2" t="str">
        <f>_xlfn.XLOOKUP(B601,'#캐릭터'!A:A,'#캐릭터'!B:B)</f>
        <v>데레사</v>
      </c>
      <c r="AD601" s="2" t="str">
        <f t="shared" si="455"/>
        <v>Rare2_데레사</v>
      </c>
      <c r="AE601" s="2">
        <f t="shared" si="456"/>
        <v>3401</v>
      </c>
    </row>
    <row r="602" spans="1:31" x14ac:dyDescent="0.2">
      <c r="A602" s="2">
        <f t="shared" si="448"/>
        <v>10462009</v>
      </c>
      <c r="B602" s="1">
        <v>10000462</v>
      </c>
      <c r="C602" s="1" t="s">
        <v>281</v>
      </c>
      <c r="D602" s="1" t="s">
        <v>309</v>
      </c>
      <c r="E602" s="1" t="str">
        <f>"Persona_"&amp;_xlfn.XLOOKUP($B602, '#캐릭터'!$A:$A, '#캐릭터'!$C:$C)</f>
        <v>Persona_c462</v>
      </c>
      <c r="F602" s="1" t="s">
        <v>431</v>
      </c>
      <c r="G602" s="1">
        <f>_xlfn.XLOOKUP(_xlfn.XLOOKUP(B602,'[1]Detail&lt;Child&gt;'!$A:$A,'[1]Detail&lt;Child&gt;'!$N:$N),'#참조'!P:P,'#참조'!Q:Q)</f>
        <v>3</v>
      </c>
      <c r="H602" s="1">
        <f>_xlfn.XLOOKUP(_xlfn.XLOOKUP(B602,'[1]Detail&lt;Child&gt;'!$A:$A,'[1]Detail&lt;Child&gt;'!$O:$O),'#참조'!R:R,'#참조'!S:S)</f>
        <v>4</v>
      </c>
      <c r="I602" s="1">
        <v>2</v>
      </c>
      <c r="J602" s="2">
        <v>3</v>
      </c>
      <c r="K602" s="2">
        <v>3</v>
      </c>
      <c r="L602" s="2">
        <v>9</v>
      </c>
      <c r="M602" s="2" t="s">
        <v>13</v>
      </c>
      <c r="N602" s="2" t="s">
        <v>407</v>
      </c>
      <c r="O602" s="2">
        <f t="shared" si="460"/>
        <v>4287</v>
      </c>
      <c r="P602" s="2" t="s">
        <v>194</v>
      </c>
      <c r="Q602" s="2" t="str">
        <f t="shared" si="449"/>
        <v>8158,9800</v>
      </c>
      <c r="R602" s="2">
        <f t="shared" si="461"/>
        <v>8158</v>
      </c>
      <c r="S602" s="2">
        <f t="shared" si="457"/>
        <v>9800</v>
      </c>
      <c r="T602" s="2" t="s">
        <v>195</v>
      </c>
      <c r="U602" s="2" t="str">
        <f t="shared" si="451"/>
        <v>432,500</v>
      </c>
      <c r="V602" s="2">
        <f t="shared" si="462"/>
        <v>432</v>
      </c>
      <c r="W602" s="2">
        <f t="shared" si="458"/>
        <v>500</v>
      </c>
      <c r="X602" s="2" t="s">
        <v>196</v>
      </c>
      <c r="Y602" s="2" t="str">
        <f t="shared" si="453"/>
        <v>654,800</v>
      </c>
      <c r="Z602" s="2">
        <f t="shared" si="463"/>
        <v>654</v>
      </c>
      <c r="AA602" s="2">
        <f t="shared" si="459"/>
        <v>800</v>
      </c>
      <c r="AB602" s="2">
        <v>90000</v>
      </c>
      <c r="AC602" s="2" t="str">
        <f>_xlfn.XLOOKUP(B602,'#캐릭터'!A:A,'#캐릭터'!B:B)</f>
        <v>데레사</v>
      </c>
      <c r="AD602" s="2" t="str">
        <f t="shared" si="455"/>
        <v>Rare3_데레사</v>
      </c>
      <c r="AE602" s="2">
        <f t="shared" si="456"/>
        <v>3402</v>
      </c>
    </row>
    <row r="603" spans="1:31" x14ac:dyDescent="0.2">
      <c r="A603" s="2">
        <f t="shared" si="448"/>
        <v>10462010</v>
      </c>
      <c r="B603" s="1">
        <v>10000462</v>
      </c>
      <c r="C603" s="1" t="s">
        <v>281</v>
      </c>
      <c r="D603" s="1" t="s">
        <v>309</v>
      </c>
      <c r="E603" s="1" t="str">
        <f>"Persona_"&amp;_xlfn.XLOOKUP($B603, '#캐릭터'!$A:$A, '#캐릭터'!$C:$C)</f>
        <v>Persona_c462</v>
      </c>
      <c r="F603" s="1" t="s">
        <v>431</v>
      </c>
      <c r="G603" s="1">
        <f>_xlfn.XLOOKUP(_xlfn.XLOOKUP(B603,'[1]Detail&lt;Child&gt;'!$A:$A,'[1]Detail&lt;Child&gt;'!$N:$N),'#참조'!P:P,'#참조'!Q:Q)</f>
        <v>3</v>
      </c>
      <c r="H603" s="1">
        <f>_xlfn.XLOOKUP(_xlfn.XLOOKUP(B603,'[1]Detail&lt;Child&gt;'!$A:$A,'[1]Detail&lt;Child&gt;'!$O:$O),'#참조'!R:R,'#참조'!S:S)</f>
        <v>4</v>
      </c>
      <c r="I603" s="1">
        <v>2</v>
      </c>
      <c r="J603" s="2">
        <v>3</v>
      </c>
      <c r="K603" s="2">
        <v>4</v>
      </c>
      <c r="L603" s="2">
        <v>10</v>
      </c>
      <c r="M603" s="2" t="s">
        <v>14</v>
      </c>
      <c r="N603" s="2" t="s">
        <v>407</v>
      </c>
      <c r="O603" s="2">
        <f t="shared" si="460"/>
        <v>4716</v>
      </c>
      <c r="P603" s="2" t="s">
        <v>194</v>
      </c>
      <c r="Q603" s="2" t="str">
        <f t="shared" si="449"/>
        <v>10605,12700</v>
      </c>
      <c r="R603" s="2">
        <f t="shared" si="461"/>
        <v>10605</v>
      </c>
      <c r="S603" s="2">
        <f t="shared" si="457"/>
        <v>12700</v>
      </c>
      <c r="T603" s="2" t="s">
        <v>195</v>
      </c>
      <c r="U603" s="2" t="str">
        <f t="shared" si="451"/>
        <v>518,600</v>
      </c>
      <c r="V603" s="2">
        <f t="shared" si="462"/>
        <v>518</v>
      </c>
      <c r="W603" s="2">
        <f t="shared" si="458"/>
        <v>600</v>
      </c>
      <c r="X603" s="2" t="s">
        <v>196</v>
      </c>
      <c r="Y603" s="2" t="str">
        <f t="shared" si="453"/>
        <v>850,1000</v>
      </c>
      <c r="Z603" s="2">
        <f t="shared" si="463"/>
        <v>850</v>
      </c>
      <c r="AA603" s="2">
        <f t="shared" si="459"/>
        <v>1000</v>
      </c>
      <c r="AB603" s="2">
        <v>85000</v>
      </c>
      <c r="AC603" s="2" t="str">
        <f>_xlfn.XLOOKUP(B603,'#캐릭터'!A:A,'#캐릭터'!B:B)</f>
        <v>데레사</v>
      </c>
      <c r="AD603" s="2" t="str">
        <f t="shared" si="455"/>
        <v>Unique1_데레사</v>
      </c>
      <c r="AE603" s="2">
        <f t="shared" si="456"/>
        <v>3402</v>
      </c>
    </row>
    <row r="604" spans="1:31" x14ac:dyDescent="0.2">
      <c r="A604" s="2">
        <f t="shared" si="448"/>
        <v>10462011</v>
      </c>
      <c r="B604" s="1">
        <v>10000462</v>
      </c>
      <c r="C604" s="1" t="s">
        <v>281</v>
      </c>
      <c r="D604" s="1" t="s">
        <v>309</v>
      </c>
      <c r="E604" s="1" t="str">
        <f>"Persona_"&amp;_xlfn.XLOOKUP($B604, '#캐릭터'!$A:$A, '#캐릭터'!$C:$C)</f>
        <v>Persona_c462</v>
      </c>
      <c r="F604" s="1" t="s">
        <v>431</v>
      </c>
      <c r="G604" s="1">
        <f>_xlfn.XLOOKUP(_xlfn.XLOOKUP(B604,'[1]Detail&lt;Child&gt;'!$A:$A,'[1]Detail&lt;Child&gt;'!$N:$N),'#참조'!P:P,'#참조'!Q:Q)</f>
        <v>3</v>
      </c>
      <c r="H604" s="1">
        <f>_xlfn.XLOOKUP(_xlfn.XLOOKUP(B604,'[1]Detail&lt;Child&gt;'!$A:$A,'[1]Detail&lt;Child&gt;'!$O:$O),'#참조'!R:R,'#참조'!S:S)</f>
        <v>4</v>
      </c>
      <c r="I604" s="1">
        <v>3</v>
      </c>
      <c r="J604" s="2">
        <v>3</v>
      </c>
      <c r="K604" s="2">
        <v>4</v>
      </c>
      <c r="L604" s="2">
        <v>11</v>
      </c>
      <c r="M604" s="2" t="s">
        <v>15</v>
      </c>
      <c r="N604" s="2" t="s">
        <v>407</v>
      </c>
      <c r="O604" s="2">
        <f t="shared" si="460"/>
        <v>5188</v>
      </c>
      <c r="P604" s="2" t="s">
        <v>194</v>
      </c>
      <c r="Q604" s="2" t="str">
        <f t="shared" si="449"/>
        <v>13787,16500</v>
      </c>
      <c r="R604" s="2">
        <f t="shared" si="461"/>
        <v>13787</v>
      </c>
      <c r="S604" s="2">
        <f t="shared" si="457"/>
        <v>16500</v>
      </c>
      <c r="T604" s="2" t="s">
        <v>195</v>
      </c>
      <c r="U604" s="2" t="str">
        <f t="shared" si="451"/>
        <v>622,700</v>
      </c>
      <c r="V604" s="2">
        <f t="shared" si="462"/>
        <v>622</v>
      </c>
      <c r="W604" s="2">
        <f t="shared" si="458"/>
        <v>700</v>
      </c>
      <c r="X604" s="2" t="s">
        <v>196</v>
      </c>
      <c r="Y604" s="2" t="str">
        <f t="shared" si="453"/>
        <v>1105,1300</v>
      </c>
      <c r="Z604" s="2">
        <f t="shared" si="463"/>
        <v>1105</v>
      </c>
      <c r="AA604" s="2">
        <f t="shared" si="459"/>
        <v>1300</v>
      </c>
      <c r="AB604" s="2">
        <v>85000</v>
      </c>
      <c r="AC604" s="2" t="str">
        <f>_xlfn.XLOOKUP(B604,'#캐릭터'!A:A,'#캐릭터'!B:B)</f>
        <v>데레사</v>
      </c>
      <c r="AD604" s="2" t="str">
        <f t="shared" si="455"/>
        <v>Unique2_데레사</v>
      </c>
      <c r="AE604" s="2">
        <f t="shared" si="456"/>
        <v>3403</v>
      </c>
    </row>
    <row r="605" spans="1:31" x14ac:dyDescent="0.2">
      <c r="A605" s="2">
        <f t="shared" si="448"/>
        <v>10462012</v>
      </c>
      <c r="B605" s="1">
        <v>10000462</v>
      </c>
      <c r="C605" s="1" t="s">
        <v>281</v>
      </c>
      <c r="D605" s="1" t="s">
        <v>309</v>
      </c>
      <c r="E605" s="1" t="str">
        <f>"Persona_"&amp;_xlfn.XLOOKUP($B605, '#캐릭터'!$A:$A, '#캐릭터'!$C:$C)</f>
        <v>Persona_c462</v>
      </c>
      <c r="F605" s="1" t="s">
        <v>431</v>
      </c>
      <c r="G605" s="1">
        <f>_xlfn.XLOOKUP(_xlfn.XLOOKUP(B605,'[1]Detail&lt;Child&gt;'!$A:$A,'[1]Detail&lt;Child&gt;'!$N:$N),'#참조'!P:P,'#참조'!Q:Q)</f>
        <v>3</v>
      </c>
      <c r="H605" s="1">
        <f>_xlfn.XLOOKUP(_xlfn.XLOOKUP(B605,'[1]Detail&lt;Child&gt;'!$A:$A,'[1]Detail&lt;Child&gt;'!$O:$O),'#참조'!R:R,'#참조'!S:S)</f>
        <v>4</v>
      </c>
      <c r="I605" s="1">
        <v>3</v>
      </c>
      <c r="J605" s="2">
        <v>3</v>
      </c>
      <c r="K605" s="2">
        <v>4</v>
      </c>
      <c r="L605" s="2">
        <v>12</v>
      </c>
      <c r="M605" s="2" t="s">
        <v>16</v>
      </c>
      <c r="N605" s="2" t="s">
        <v>407</v>
      </c>
      <c r="O605" s="2">
        <f t="shared" si="460"/>
        <v>5707</v>
      </c>
      <c r="P605" s="2" t="s">
        <v>194</v>
      </c>
      <c r="Q605" s="2" t="str">
        <f t="shared" si="449"/>
        <v>17923,21500</v>
      </c>
      <c r="R605" s="2">
        <f t="shared" si="461"/>
        <v>17923</v>
      </c>
      <c r="S605" s="2">
        <f t="shared" si="457"/>
        <v>21500</v>
      </c>
      <c r="T605" s="2" t="s">
        <v>195</v>
      </c>
      <c r="U605" s="2" t="str">
        <f t="shared" si="451"/>
        <v>746,900</v>
      </c>
      <c r="V605" s="2">
        <f t="shared" si="462"/>
        <v>746</v>
      </c>
      <c r="W605" s="2">
        <f t="shared" si="458"/>
        <v>900</v>
      </c>
      <c r="X605" s="2" t="s">
        <v>196</v>
      </c>
      <c r="Y605" s="2" t="str">
        <f t="shared" si="453"/>
        <v>1437,1700</v>
      </c>
      <c r="Z605" s="2">
        <f t="shared" si="463"/>
        <v>1437</v>
      </c>
      <c r="AA605" s="2">
        <f t="shared" si="459"/>
        <v>1700</v>
      </c>
      <c r="AB605" s="2">
        <v>85000</v>
      </c>
      <c r="AC605" s="2" t="str">
        <f>_xlfn.XLOOKUP(B605,'#캐릭터'!A:A,'#캐릭터'!B:B)</f>
        <v>데레사</v>
      </c>
      <c r="AD605" s="2" t="str">
        <f t="shared" si="455"/>
        <v>Unique3_데레사</v>
      </c>
      <c r="AE605" s="2">
        <f t="shared" si="456"/>
        <v>3403</v>
      </c>
    </row>
    <row r="606" spans="1:31" x14ac:dyDescent="0.2">
      <c r="A606" s="2">
        <f t="shared" si="448"/>
        <v>10462013</v>
      </c>
      <c r="B606" s="1">
        <v>10000462</v>
      </c>
      <c r="C606" s="1" t="s">
        <v>281</v>
      </c>
      <c r="D606" s="1" t="s">
        <v>309</v>
      </c>
      <c r="E606" s="1" t="str">
        <f>"Persona_"&amp;_xlfn.XLOOKUP($B606, '#캐릭터'!$A:$A, '#캐릭터'!$C:$C)</f>
        <v>Persona_c462</v>
      </c>
      <c r="F606" s="1" t="s">
        <v>431</v>
      </c>
      <c r="G606" s="1">
        <f>_xlfn.XLOOKUP(_xlfn.XLOOKUP(B606,'[1]Detail&lt;Child&gt;'!$A:$A,'[1]Detail&lt;Child&gt;'!$N:$N),'#참조'!P:P,'#참조'!Q:Q)</f>
        <v>3</v>
      </c>
      <c r="H606" s="1">
        <f>_xlfn.XLOOKUP(_xlfn.XLOOKUP(B606,'[1]Detail&lt;Child&gt;'!$A:$A,'[1]Detail&lt;Child&gt;'!$O:$O),'#참조'!R:R,'#참조'!S:S)</f>
        <v>4</v>
      </c>
      <c r="I606" s="1">
        <v>4</v>
      </c>
      <c r="J606" s="2">
        <v>3</v>
      </c>
      <c r="K606" s="2">
        <v>5</v>
      </c>
      <c r="L606" s="2">
        <v>13</v>
      </c>
      <c r="M606" s="2" t="s">
        <v>17</v>
      </c>
      <c r="N606" s="2" t="s">
        <v>407</v>
      </c>
      <c r="O606" s="2">
        <f t="shared" si="460"/>
        <v>6278</v>
      </c>
      <c r="P606" s="2" t="s">
        <v>194</v>
      </c>
      <c r="Q606" s="2" t="str">
        <f t="shared" si="449"/>
        <v>23300,28000</v>
      </c>
      <c r="R606" s="2">
        <f t="shared" si="461"/>
        <v>23300</v>
      </c>
      <c r="S606" s="2">
        <f t="shared" si="457"/>
        <v>28000</v>
      </c>
      <c r="T606" s="2" t="s">
        <v>195</v>
      </c>
      <c r="U606" s="2" t="str">
        <f t="shared" si="451"/>
        <v>895,1100</v>
      </c>
      <c r="V606" s="2">
        <f t="shared" si="462"/>
        <v>895</v>
      </c>
      <c r="W606" s="2">
        <f t="shared" si="458"/>
        <v>1100</v>
      </c>
      <c r="X606" s="2" t="s">
        <v>196</v>
      </c>
      <c r="Y606" s="2" t="str">
        <f t="shared" si="453"/>
        <v>1868,2200</v>
      </c>
      <c r="Z606" s="2">
        <f t="shared" si="463"/>
        <v>1868</v>
      </c>
      <c r="AA606" s="2">
        <f t="shared" si="459"/>
        <v>2200</v>
      </c>
      <c r="AB606" s="2">
        <v>80000</v>
      </c>
      <c r="AC606" s="2" t="str">
        <f>_xlfn.XLOOKUP(B606,'#캐릭터'!A:A,'#캐릭터'!B:B)</f>
        <v>데레사</v>
      </c>
      <c r="AD606" s="2" t="str">
        <f t="shared" si="455"/>
        <v>Epic1_데레사</v>
      </c>
      <c r="AE606" s="2">
        <f t="shared" si="456"/>
        <v>3404</v>
      </c>
    </row>
    <row r="607" spans="1:31" x14ac:dyDescent="0.2">
      <c r="A607" s="2">
        <f t="shared" si="448"/>
        <v>10462014</v>
      </c>
      <c r="B607" s="1">
        <v>10000462</v>
      </c>
      <c r="C607" s="1" t="s">
        <v>281</v>
      </c>
      <c r="D607" s="1" t="s">
        <v>309</v>
      </c>
      <c r="E607" s="1" t="str">
        <f>"Persona_"&amp;_xlfn.XLOOKUP($B607, '#캐릭터'!$A:$A, '#캐릭터'!$C:$C)</f>
        <v>Persona_c462</v>
      </c>
      <c r="F607" s="1" t="s">
        <v>431</v>
      </c>
      <c r="G607" s="1">
        <f>_xlfn.XLOOKUP(_xlfn.XLOOKUP(B607,'[1]Detail&lt;Child&gt;'!$A:$A,'[1]Detail&lt;Child&gt;'!$N:$N),'#참조'!P:P,'#참조'!Q:Q)</f>
        <v>3</v>
      </c>
      <c r="H607" s="1">
        <f>_xlfn.XLOOKUP(_xlfn.XLOOKUP(B607,'[1]Detail&lt;Child&gt;'!$A:$A,'[1]Detail&lt;Child&gt;'!$O:$O),'#참조'!R:R,'#참조'!S:S)</f>
        <v>4</v>
      </c>
      <c r="I607" s="1">
        <v>4</v>
      </c>
      <c r="J607" s="2">
        <v>3</v>
      </c>
      <c r="K607" s="2">
        <v>5</v>
      </c>
      <c r="L607" s="2">
        <v>14</v>
      </c>
      <c r="M607" s="2" t="s">
        <v>18</v>
      </c>
      <c r="N607" s="2" t="s">
        <v>407</v>
      </c>
      <c r="O607" s="2">
        <f t="shared" si="460"/>
        <v>6906</v>
      </c>
      <c r="P607" s="2" t="s">
        <v>194</v>
      </c>
      <c r="Q607" s="2" t="str">
        <f t="shared" si="449"/>
        <v>30290,36300</v>
      </c>
      <c r="R607" s="2">
        <f t="shared" si="461"/>
        <v>30290</v>
      </c>
      <c r="S607" s="2">
        <f t="shared" si="457"/>
        <v>36300</v>
      </c>
      <c r="T607" s="2" t="s">
        <v>195</v>
      </c>
      <c r="U607" s="2" t="str">
        <f t="shared" si="451"/>
        <v>1074,1300</v>
      </c>
      <c r="V607" s="2">
        <f t="shared" si="462"/>
        <v>1074</v>
      </c>
      <c r="W607" s="2">
        <f t="shared" si="458"/>
        <v>1300</v>
      </c>
      <c r="X607" s="2" t="s">
        <v>196</v>
      </c>
      <c r="Y607" s="2" t="str">
        <f t="shared" si="453"/>
        <v>2428,2900</v>
      </c>
      <c r="Z607" s="2">
        <f t="shared" si="463"/>
        <v>2428</v>
      </c>
      <c r="AA607" s="2">
        <f t="shared" si="459"/>
        <v>2900</v>
      </c>
      <c r="AB607" s="2">
        <v>80000</v>
      </c>
      <c r="AC607" s="2" t="str">
        <f>_xlfn.XLOOKUP(B607,'#캐릭터'!A:A,'#캐릭터'!B:B)</f>
        <v>데레사</v>
      </c>
      <c r="AD607" s="2" t="str">
        <f t="shared" si="455"/>
        <v>Epic2_데레사</v>
      </c>
      <c r="AE607" s="2">
        <f t="shared" si="456"/>
        <v>3404</v>
      </c>
    </row>
    <row r="608" spans="1:31" x14ac:dyDescent="0.2">
      <c r="A608" s="2">
        <f t="shared" si="448"/>
        <v>10462015</v>
      </c>
      <c r="B608" s="1">
        <v>10000462</v>
      </c>
      <c r="C608" s="1" t="s">
        <v>281</v>
      </c>
      <c r="D608" s="1" t="s">
        <v>309</v>
      </c>
      <c r="E608" s="1" t="str">
        <f>"Persona_"&amp;_xlfn.XLOOKUP($B608, '#캐릭터'!$A:$A, '#캐릭터'!$C:$C)</f>
        <v>Persona_c462</v>
      </c>
      <c r="F608" s="1" t="s">
        <v>431</v>
      </c>
      <c r="G608" s="1">
        <f>_xlfn.XLOOKUP(_xlfn.XLOOKUP(B608,'[1]Detail&lt;Child&gt;'!$A:$A,'[1]Detail&lt;Child&gt;'!$N:$N),'#참조'!P:P,'#참조'!Q:Q)</f>
        <v>3</v>
      </c>
      <c r="H608" s="1">
        <f>_xlfn.XLOOKUP(_xlfn.XLOOKUP(B608,'[1]Detail&lt;Child&gt;'!$A:$A,'[1]Detail&lt;Child&gt;'!$O:$O),'#참조'!R:R,'#참조'!S:S)</f>
        <v>4</v>
      </c>
      <c r="I608" s="1">
        <v>5</v>
      </c>
      <c r="J608" s="2">
        <v>3</v>
      </c>
      <c r="K608" s="2">
        <v>5</v>
      </c>
      <c r="L608" s="2">
        <v>15</v>
      </c>
      <c r="M608" s="2" t="s">
        <v>19</v>
      </c>
      <c r="N608" s="2" t="s">
        <v>407</v>
      </c>
      <c r="O608" s="2">
        <f t="shared" si="460"/>
        <v>7597</v>
      </c>
      <c r="P608" s="2" t="s">
        <v>194</v>
      </c>
      <c r="Q608" s="2" t="str">
        <f t="shared" si="449"/>
        <v>39377,47300</v>
      </c>
      <c r="R608" s="2">
        <f t="shared" si="461"/>
        <v>39377</v>
      </c>
      <c r="S608" s="2">
        <f t="shared" si="457"/>
        <v>47300</v>
      </c>
      <c r="T608" s="2" t="s">
        <v>195</v>
      </c>
      <c r="U608" s="2" t="str">
        <f t="shared" si="451"/>
        <v>1289,1500</v>
      </c>
      <c r="V608" s="2">
        <f t="shared" si="462"/>
        <v>1289</v>
      </c>
      <c r="W608" s="2">
        <f t="shared" si="458"/>
        <v>1500</v>
      </c>
      <c r="X608" s="2" t="s">
        <v>196</v>
      </c>
      <c r="Y608" s="2" t="str">
        <f t="shared" si="453"/>
        <v>3156,3800</v>
      </c>
      <c r="Z608" s="2">
        <f t="shared" si="463"/>
        <v>3156</v>
      </c>
      <c r="AA608" s="2">
        <f t="shared" si="459"/>
        <v>3800</v>
      </c>
      <c r="AB608" s="2">
        <v>80000</v>
      </c>
      <c r="AC608" s="2" t="str">
        <f>_xlfn.XLOOKUP(B608,'#캐릭터'!A:A,'#캐릭터'!B:B)</f>
        <v>데레사</v>
      </c>
      <c r="AD608" s="2" t="str">
        <f t="shared" si="455"/>
        <v>Epic3_데레사</v>
      </c>
      <c r="AE608" s="2">
        <f t="shared" si="456"/>
        <v>3405</v>
      </c>
    </row>
    <row r="609" spans="1:31" x14ac:dyDescent="0.2">
      <c r="A609" s="2">
        <f t="shared" si="448"/>
        <v>10462016</v>
      </c>
      <c r="B609" s="1">
        <v>10000462</v>
      </c>
      <c r="C609" s="1" t="s">
        <v>281</v>
      </c>
      <c r="D609" s="1" t="s">
        <v>309</v>
      </c>
      <c r="E609" s="1" t="str">
        <f>"Persona_"&amp;_xlfn.XLOOKUP($B609, '#캐릭터'!$A:$A, '#캐릭터'!$C:$C)</f>
        <v>Persona_c462</v>
      </c>
      <c r="F609" s="1" t="s">
        <v>431</v>
      </c>
      <c r="G609" s="1">
        <f>_xlfn.XLOOKUP(_xlfn.XLOOKUP(B609,'[1]Detail&lt;Child&gt;'!$A:$A,'[1]Detail&lt;Child&gt;'!$N:$N),'#참조'!P:P,'#참조'!Q:Q)</f>
        <v>3</v>
      </c>
      <c r="H609" s="1">
        <f>_xlfn.XLOOKUP(_xlfn.XLOOKUP(B609,'[1]Detail&lt;Child&gt;'!$A:$A,'[1]Detail&lt;Child&gt;'!$O:$O),'#참조'!R:R,'#참조'!S:S)</f>
        <v>4</v>
      </c>
      <c r="I609" s="1">
        <v>5</v>
      </c>
      <c r="J609" s="2">
        <v>3</v>
      </c>
      <c r="K609" s="2">
        <v>6</v>
      </c>
      <c r="L609" s="2">
        <v>16</v>
      </c>
      <c r="M609" s="2" t="s">
        <v>20</v>
      </c>
      <c r="N609" s="2" t="s">
        <v>407</v>
      </c>
      <c r="O609" s="2">
        <f t="shared" si="460"/>
        <v>8357</v>
      </c>
      <c r="P609" s="2" t="s">
        <v>194</v>
      </c>
      <c r="Q609" s="2" t="str">
        <f t="shared" si="449"/>
        <v>51190,61400</v>
      </c>
      <c r="R609" s="2">
        <f t="shared" si="461"/>
        <v>51190</v>
      </c>
      <c r="S609" s="2">
        <f t="shared" si="457"/>
        <v>61400</v>
      </c>
      <c r="T609" s="2" t="s">
        <v>195</v>
      </c>
      <c r="U609" s="2" t="str">
        <f t="shared" si="451"/>
        <v>1547,1900</v>
      </c>
      <c r="V609" s="2">
        <f t="shared" si="462"/>
        <v>1547</v>
      </c>
      <c r="W609" s="2">
        <f t="shared" si="458"/>
        <v>1900</v>
      </c>
      <c r="X609" s="2" t="s">
        <v>196</v>
      </c>
      <c r="Y609" s="2" t="str">
        <f t="shared" si="453"/>
        <v>4103,4900</v>
      </c>
      <c r="Z609" s="2">
        <f t="shared" si="463"/>
        <v>4103</v>
      </c>
      <c r="AA609" s="2">
        <f t="shared" si="459"/>
        <v>4900</v>
      </c>
      <c r="AB609" s="2">
        <v>75000</v>
      </c>
      <c r="AC609" s="2" t="str">
        <f>_xlfn.XLOOKUP(B609,'#캐릭터'!A:A,'#캐릭터'!B:B)</f>
        <v>데레사</v>
      </c>
      <c r="AD609" s="2" t="str">
        <f t="shared" si="455"/>
        <v>Legendary1_데레사</v>
      </c>
      <c r="AE609" s="2">
        <f t="shared" si="456"/>
        <v>3405</v>
      </c>
    </row>
    <row r="610" spans="1:31" x14ac:dyDescent="0.2">
      <c r="A610" s="2">
        <f t="shared" si="448"/>
        <v>10462017</v>
      </c>
      <c r="B610" s="1">
        <v>10000462</v>
      </c>
      <c r="C610" s="1" t="s">
        <v>281</v>
      </c>
      <c r="D610" s="1" t="s">
        <v>309</v>
      </c>
      <c r="E610" s="1" t="str">
        <f>"Persona_"&amp;_xlfn.XLOOKUP($B610, '#캐릭터'!$A:$A, '#캐릭터'!$C:$C)</f>
        <v>Persona_c462</v>
      </c>
      <c r="F610" s="1" t="s">
        <v>431</v>
      </c>
      <c r="G610" s="1">
        <f>_xlfn.XLOOKUP(_xlfn.XLOOKUP(B610,'[1]Detail&lt;Child&gt;'!$A:$A,'[1]Detail&lt;Child&gt;'!$N:$N),'#참조'!P:P,'#참조'!Q:Q)</f>
        <v>3</v>
      </c>
      <c r="H610" s="1">
        <f>_xlfn.XLOOKUP(_xlfn.XLOOKUP(B610,'[1]Detail&lt;Child&gt;'!$A:$A,'[1]Detail&lt;Child&gt;'!$O:$O),'#참조'!R:R,'#참조'!S:S)</f>
        <v>4</v>
      </c>
      <c r="I610" s="1">
        <v>6</v>
      </c>
      <c r="J610" s="2">
        <v>3</v>
      </c>
      <c r="K610" s="2">
        <v>6</v>
      </c>
      <c r="L610" s="2">
        <v>17</v>
      </c>
      <c r="M610" s="2" t="s">
        <v>21</v>
      </c>
      <c r="N610" s="2" t="s">
        <v>407</v>
      </c>
      <c r="O610" s="2">
        <f t="shared" si="460"/>
        <v>9193</v>
      </c>
      <c r="P610" s="2" t="s">
        <v>194</v>
      </c>
      <c r="Q610" s="2" t="str">
        <f t="shared" si="449"/>
        <v>66547,79900</v>
      </c>
      <c r="R610" s="2">
        <f t="shared" si="461"/>
        <v>66547</v>
      </c>
      <c r="S610" s="2">
        <f t="shared" si="457"/>
        <v>79900</v>
      </c>
      <c r="T610" s="2" t="s">
        <v>195</v>
      </c>
      <c r="U610" s="2" t="str">
        <f t="shared" si="451"/>
        <v>1856,2200</v>
      </c>
      <c r="V610" s="2">
        <f t="shared" si="462"/>
        <v>1856</v>
      </c>
      <c r="W610" s="2">
        <f t="shared" si="458"/>
        <v>2200</v>
      </c>
      <c r="X610" s="2" t="s">
        <v>196</v>
      </c>
      <c r="Y610" s="2" t="str">
        <f t="shared" si="453"/>
        <v>5334,6400</v>
      </c>
      <c r="Z610" s="2">
        <f t="shared" si="463"/>
        <v>5334</v>
      </c>
      <c r="AA610" s="2">
        <f t="shared" si="459"/>
        <v>6400</v>
      </c>
      <c r="AB610" s="2">
        <v>75000</v>
      </c>
      <c r="AC610" s="2" t="str">
        <f>_xlfn.XLOOKUP(B610,'#캐릭터'!A:A,'#캐릭터'!B:B)</f>
        <v>데레사</v>
      </c>
      <c r="AD610" s="2" t="str">
        <f t="shared" si="455"/>
        <v>Legendary2_데레사</v>
      </c>
      <c r="AE610" s="2">
        <f t="shared" si="456"/>
        <v>3406</v>
      </c>
    </row>
    <row r="611" spans="1:31" x14ac:dyDescent="0.2">
      <c r="A611" s="2">
        <f t="shared" si="448"/>
        <v>10462018</v>
      </c>
      <c r="B611" s="1">
        <v>10000462</v>
      </c>
      <c r="C611" s="1" t="s">
        <v>281</v>
      </c>
      <c r="D611" s="1" t="s">
        <v>309</v>
      </c>
      <c r="E611" s="1" t="str">
        <f>"Persona_"&amp;_xlfn.XLOOKUP($B611, '#캐릭터'!$A:$A, '#캐릭터'!$C:$C)</f>
        <v>Persona_c462</v>
      </c>
      <c r="F611" s="1" t="s">
        <v>431</v>
      </c>
      <c r="G611" s="1">
        <f>_xlfn.XLOOKUP(_xlfn.XLOOKUP(B611,'[1]Detail&lt;Child&gt;'!$A:$A,'[1]Detail&lt;Child&gt;'!$N:$N),'#참조'!P:P,'#참조'!Q:Q)</f>
        <v>3</v>
      </c>
      <c r="H611" s="1">
        <f>_xlfn.XLOOKUP(_xlfn.XLOOKUP(B611,'[1]Detail&lt;Child&gt;'!$A:$A,'[1]Detail&lt;Child&gt;'!$O:$O),'#참조'!R:R,'#참조'!S:S)</f>
        <v>4</v>
      </c>
      <c r="I611" s="1">
        <v>6</v>
      </c>
      <c r="J611" s="2">
        <v>3</v>
      </c>
      <c r="K611" s="2">
        <v>6</v>
      </c>
      <c r="L611" s="2">
        <v>18</v>
      </c>
      <c r="M611" s="2" t="s">
        <v>22</v>
      </c>
      <c r="N611" s="2" t="s">
        <v>407</v>
      </c>
      <c r="O611" s="2">
        <f t="shared" si="460"/>
        <v>10112</v>
      </c>
      <c r="P611" s="2" t="s">
        <v>194</v>
      </c>
      <c r="Q611" s="2" t="str">
        <f t="shared" si="449"/>
        <v>86511,103800</v>
      </c>
      <c r="R611" s="2">
        <f t="shared" si="461"/>
        <v>86511</v>
      </c>
      <c r="S611" s="2">
        <f t="shared" si="457"/>
        <v>103800</v>
      </c>
      <c r="T611" s="2" t="s">
        <v>195</v>
      </c>
      <c r="U611" s="2" t="str">
        <f t="shared" si="451"/>
        <v>2227,2700</v>
      </c>
      <c r="V611" s="2">
        <f t="shared" si="462"/>
        <v>2227</v>
      </c>
      <c r="W611" s="2">
        <f t="shared" si="458"/>
        <v>2700</v>
      </c>
      <c r="X611" s="2" t="s">
        <v>196</v>
      </c>
      <c r="Y611" s="2" t="str">
        <f t="shared" si="453"/>
        <v>6934,8300</v>
      </c>
      <c r="Z611" s="2">
        <f t="shared" si="463"/>
        <v>6934</v>
      </c>
      <c r="AA611" s="2">
        <f t="shared" si="459"/>
        <v>8300</v>
      </c>
      <c r="AB611" s="2">
        <v>75000</v>
      </c>
      <c r="AC611" s="2" t="str">
        <f>_xlfn.XLOOKUP(B611,'#캐릭터'!A:A,'#캐릭터'!B:B)</f>
        <v>데레사</v>
      </c>
      <c r="AD611" s="2" t="str">
        <f t="shared" si="455"/>
        <v>Legendary3_데레사</v>
      </c>
      <c r="AE611" s="2">
        <f t="shared" si="456"/>
        <v>3406</v>
      </c>
    </row>
    <row r="612" spans="1:31" x14ac:dyDescent="0.2">
      <c r="A612" s="2">
        <f t="shared" ref="A612:A630" si="464">INT(1&amp;TEXT(RIGHT(B612,4),"0000")&amp;TEXT(L612,"000"))</f>
        <v>10281000</v>
      </c>
      <c r="B612" s="1">
        <v>10000281</v>
      </c>
      <c r="C612" s="1" t="s">
        <v>281</v>
      </c>
      <c r="D612" s="1" t="s">
        <v>309</v>
      </c>
      <c r="E612" s="1" t="str">
        <f>"Persona_"&amp;_xlfn.XLOOKUP($B612, '#캐릭터'!$A:$A, '#캐릭터'!$C:$C)</f>
        <v>Persona_c281</v>
      </c>
      <c r="F612" s="1" t="s">
        <v>432</v>
      </c>
      <c r="G612" s="1">
        <f>_xlfn.XLOOKUP(_xlfn.XLOOKUP(B612,'[1]Detail&lt;Child&gt;'!$A:$A,'[1]Detail&lt;Child&gt;'!$N:$N),'#참조'!P:P,'#참조'!Q:Q)</f>
        <v>2</v>
      </c>
      <c r="H612" s="1">
        <f>_xlfn.XLOOKUP(_xlfn.XLOOKUP(B612,'[1]Detail&lt;Child&gt;'!$A:$A,'[1]Detail&lt;Child&gt;'!$O:$O),'#참조'!R:R,'#참조'!S:S)</f>
        <v>4</v>
      </c>
      <c r="I612" s="1">
        <v>0</v>
      </c>
      <c r="J612" s="2">
        <v>3</v>
      </c>
      <c r="K612" s="2">
        <v>0</v>
      </c>
      <c r="L612" s="2">
        <v>0</v>
      </c>
      <c r="M612" s="2" t="s">
        <v>31</v>
      </c>
      <c r="N612" s="2" t="s">
        <v>407</v>
      </c>
      <c r="O612" s="2">
        <v>0</v>
      </c>
      <c r="P612" s="2" t="s">
        <v>194</v>
      </c>
      <c r="Q612" s="2" t="str">
        <f t="shared" ref="Q612:Q630" si="465">R612&amp;","&amp;S612</f>
        <v>1000,1000</v>
      </c>
      <c r="R612" s="2">
        <v>1000</v>
      </c>
      <c r="S612" s="2">
        <f t="shared" ref="S612" si="466">R612</f>
        <v>1000</v>
      </c>
      <c r="T612" s="2" t="s">
        <v>195</v>
      </c>
      <c r="U612" s="2" t="str">
        <f t="shared" ref="U612:U630" si="467">V612&amp;","&amp;W612</f>
        <v>100,100</v>
      </c>
      <c r="V612" s="2">
        <v>100</v>
      </c>
      <c r="W612" s="2">
        <f t="shared" ref="W612" si="468">V612</f>
        <v>100</v>
      </c>
      <c r="X612" s="2" t="s">
        <v>196</v>
      </c>
      <c r="Y612" s="2" t="str">
        <f t="shared" ref="Y612:Y630" si="469">Z612&amp;","&amp;AA612</f>
        <v>80,80</v>
      </c>
      <c r="Z612" s="2">
        <v>80</v>
      </c>
      <c r="AA612" s="2">
        <f t="shared" ref="AA612" si="470">Z612</f>
        <v>80</v>
      </c>
      <c r="AB612" s="2">
        <v>100000</v>
      </c>
      <c r="AC612" s="2" t="str">
        <f>_xlfn.XLOOKUP(B612,'#캐릭터'!A:A,'#캐릭터'!B:B)</f>
        <v>티스베</v>
      </c>
      <c r="AD612" s="2" t="str">
        <f t="shared" ref="AD612:AD630" si="471">M612&amp;"_"&amp;AC612</f>
        <v>Default_티스베</v>
      </c>
      <c r="AE612" s="2">
        <f t="shared" ref="AE612:AE630" si="472">IF(I612=0,0,INT(G612&amp;H612&amp;TEXT(I612,"00")))</f>
        <v>0</v>
      </c>
    </row>
    <row r="613" spans="1:31" x14ac:dyDescent="0.2">
      <c r="A613" s="2">
        <f t="shared" si="464"/>
        <v>10281001</v>
      </c>
      <c r="B613" s="1">
        <v>10000281</v>
      </c>
      <c r="C613" s="1" t="s">
        <v>281</v>
      </c>
      <c r="D613" s="1" t="s">
        <v>309</v>
      </c>
      <c r="E613" s="1" t="str">
        <f>"Persona_"&amp;_xlfn.XLOOKUP($B613, '#캐릭터'!$A:$A, '#캐릭터'!$C:$C)</f>
        <v>Persona_c281</v>
      </c>
      <c r="F613" s="1" t="s">
        <v>432</v>
      </c>
      <c r="G613" s="1">
        <f>_xlfn.XLOOKUP(_xlfn.XLOOKUP(B613,'[1]Detail&lt;Child&gt;'!$A:$A,'[1]Detail&lt;Child&gt;'!$N:$N),'#참조'!P:P,'#참조'!Q:Q)</f>
        <v>2</v>
      </c>
      <c r="H613" s="1">
        <f>_xlfn.XLOOKUP(_xlfn.XLOOKUP(B613,'[1]Detail&lt;Child&gt;'!$A:$A,'[1]Detail&lt;Child&gt;'!$O:$O),'#참조'!R:R,'#참조'!S:S)</f>
        <v>4</v>
      </c>
      <c r="I613" s="1">
        <v>0</v>
      </c>
      <c r="J613" s="2">
        <v>3</v>
      </c>
      <c r="K613" s="2">
        <v>1</v>
      </c>
      <c r="L613" s="2">
        <v>1</v>
      </c>
      <c r="M613" s="2" t="s">
        <v>5</v>
      </c>
      <c r="N613" s="2" t="s">
        <v>407</v>
      </c>
      <c r="O613" s="2">
        <v>2000</v>
      </c>
      <c r="P613" s="2" t="s">
        <v>194</v>
      </c>
      <c r="Q613" s="2" t="str">
        <f t="shared" si="465"/>
        <v>1000,1200</v>
      </c>
      <c r="R613" s="2">
        <v>1000</v>
      </c>
      <c r="S613" s="2">
        <f t="shared" ref="S613:S630" si="473">ROUND(R613*1.2, -2)</f>
        <v>1200</v>
      </c>
      <c r="T613" s="2" t="s">
        <v>195</v>
      </c>
      <c r="U613" s="2" t="str">
        <f t="shared" si="467"/>
        <v>100,100</v>
      </c>
      <c r="V613" s="2">
        <v>100</v>
      </c>
      <c r="W613" s="2">
        <f t="shared" ref="W613:W630" si="474">ROUND(V613*1.2, -2)</f>
        <v>100</v>
      </c>
      <c r="X613" s="2" t="s">
        <v>196</v>
      </c>
      <c r="Y613" s="2" t="str">
        <f t="shared" si="469"/>
        <v>80,100</v>
      </c>
      <c r="Z613" s="2">
        <v>80</v>
      </c>
      <c r="AA613" s="2">
        <f t="shared" ref="AA613:AA630" si="475">ROUND(Z613*1.2, -2)</f>
        <v>100</v>
      </c>
      <c r="AB613" s="2">
        <v>100000</v>
      </c>
      <c r="AC613" s="2" t="str">
        <f>_xlfn.XLOOKUP(B613,'#캐릭터'!A:A,'#캐릭터'!B:B)</f>
        <v>티스베</v>
      </c>
      <c r="AD613" s="2" t="str">
        <f t="shared" si="471"/>
        <v>Common1_티스베</v>
      </c>
      <c r="AE613" s="2">
        <f t="shared" si="472"/>
        <v>0</v>
      </c>
    </row>
    <row r="614" spans="1:31" x14ac:dyDescent="0.2">
      <c r="A614" s="2">
        <f t="shared" si="464"/>
        <v>10281002</v>
      </c>
      <c r="B614" s="1">
        <v>10000281</v>
      </c>
      <c r="C614" s="1" t="s">
        <v>281</v>
      </c>
      <c r="D614" s="1" t="s">
        <v>309</v>
      </c>
      <c r="E614" s="1" t="str">
        <f>"Persona_"&amp;_xlfn.XLOOKUP($B614, '#캐릭터'!$A:$A, '#캐릭터'!$C:$C)</f>
        <v>Persona_c281</v>
      </c>
      <c r="F614" s="1" t="s">
        <v>432</v>
      </c>
      <c r="G614" s="1">
        <f>_xlfn.XLOOKUP(_xlfn.XLOOKUP(B614,'[1]Detail&lt;Child&gt;'!$A:$A,'[1]Detail&lt;Child&gt;'!$N:$N),'#참조'!P:P,'#참조'!Q:Q)</f>
        <v>2</v>
      </c>
      <c r="H614" s="1">
        <f>_xlfn.XLOOKUP(_xlfn.XLOOKUP(B614,'[1]Detail&lt;Child&gt;'!$A:$A,'[1]Detail&lt;Child&gt;'!$O:$O),'#참조'!R:R,'#참조'!S:S)</f>
        <v>4</v>
      </c>
      <c r="I614" s="1">
        <v>0</v>
      </c>
      <c r="J614" s="2">
        <v>3</v>
      </c>
      <c r="K614" s="2">
        <v>1</v>
      </c>
      <c r="L614" s="2">
        <v>2</v>
      </c>
      <c r="M614" s="2" t="s">
        <v>6</v>
      </c>
      <c r="N614" s="2" t="s">
        <v>407</v>
      </c>
      <c r="O614" s="2">
        <f t="shared" ref="O614:O630" si="476">ROUND(O613*1.1, 0)</f>
        <v>2200</v>
      </c>
      <c r="P614" s="2" t="s">
        <v>194</v>
      </c>
      <c r="Q614" s="2" t="str">
        <f t="shared" si="465"/>
        <v>1300,1600</v>
      </c>
      <c r="R614" s="2">
        <f t="shared" ref="R614:R630" si="477">ROUND(R613*1.3, 0)</f>
        <v>1300</v>
      </c>
      <c r="S614" s="2">
        <f t="shared" si="473"/>
        <v>1600</v>
      </c>
      <c r="T614" s="2" t="s">
        <v>195</v>
      </c>
      <c r="U614" s="2" t="str">
        <f t="shared" si="467"/>
        <v>120,100</v>
      </c>
      <c r="V614" s="2">
        <f t="shared" ref="V614:V630" si="478">ROUND(V613*1.2, 0)</f>
        <v>120</v>
      </c>
      <c r="W614" s="2">
        <f t="shared" si="474"/>
        <v>100</v>
      </c>
      <c r="X614" s="2" t="s">
        <v>196</v>
      </c>
      <c r="Y614" s="2" t="str">
        <f t="shared" si="469"/>
        <v>104,100</v>
      </c>
      <c r="Z614" s="2">
        <f t="shared" ref="Z614:Z630" si="479">ROUND(Z613*1.3, 0)</f>
        <v>104</v>
      </c>
      <c r="AA614" s="2">
        <f t="shared" si="475"/>
        <v>100</v>
      </c>
      <c r="AB614" s="2">
        <v>100000</v>
      </c>
      <c r="AC614" s="2" t="str">
        <f>_xlfn.XLOOKUP(B614,'#캐릭터'!A:A,'#캐릭터'!B:B)</f>
        <v>티스베</v>
      </c>
      <c r="AD614" s="2" t="str">
        <f t="shared" si="471"/>
        <v>Common2_티스베</v>
      </c>
      <c r="AE614" s="2">
        <f t="shared" si="472"/>
        <v>0</v>
      </c>
    </row>
    <row r="615" spans="1:31" x14ac:dyDescent="0.2">
      <c r="A615" s="2">
        <f t="shared" si="464"/>
        <v>10281003</v>
      </c>
      <c r="B615" s="1">
        <v>10000281</v>
      </c>
      <c r="C615" s="1" t="s">
        <v>281</v>
      </c>
      <c r="D615" s="1" t="s">
        <v>309</v>
      </c>
      <c r="E615" s="1" t="str">
        <f>"Persona_"&amp;_xlfn.XLOOKUP($B615, '#캐릭터'!$A:$A, '#캐릭터'!$C:$C)</f>
        <v>Persona_c281</v>
      </c>
      <c r="F615" s="1" t="s">
        <v>432</v>
      </c>
      <c r="G615" s="1">
        <f>_xlfn.XLOOKUP(_xlfn.XLOOKUP(B615,'[1]Detail&lt;Child&gt;'!$A:$A,'[1]Detail&lt;Child&gt;'!$N:$N),'#참조'!P:P,'#참조'!Q:Q)</f>
        <v>2</v>
      </c>
      <c r="H615" s="1">
        <f>_xlfn.XLOOKUP(_xlfn.XLOOKUP(B615,'[1]Detail&lt;Child&gt;'!$A:$A,'[1]Detail&lt;Child&gt;'!$O:$O),'#참조'!R:R,'#참조'!S:S)</f>
        <v>4</v>
      </c>
      <c r="I615" s="1">
        <v>0</v>
      </c>
      <c r="J615" s="2">
        <v>3</v>
      </c>
      <c r="K615" s="2">
        <v>1</v>
      </c>
      <c r="L615" s="2">
        <v>3</v>
      </c>
      <c r="M615" s="2" t="s">
        <v>7</v>
      </c>
      <c r="N615" s="2" t="s">
        <v>407</v>
      </c>
      <c r="O615" s="2">
        <f t="shared" si="476"/>
        <v>2420</v>
      </c>
      <c r="P615" s="2" t="s">
        <v>194</v>
      </c>
      <c r="Q615" s="2" t="str">
        <f t="shared" si="465"/>
        <v>1690,2000</v>
      </c>
      <c r="R615" s="2">
        <f t="shared" si="477"/>
        <v>1690</v>
      </c>
      <c r="S615" s="2">
        <f t="shared" si="473"/>
        <v>2000</v>
      </c>
      <c r="T615" s="2" t="s">
        <v>195</v>
      </c>
      <c r="U615" s="2" t="str">
        <f t="shared" si="467"/>
        <v>144,200</v>
      </c>
      <c r="V615" s="2">
        <f t="shared" si="478"/>
        <v>144</v>
      </c>
      <c r="W615" s="2">
        <f t="shared" si="474"/>
        <v>200</v>
      </c>
      <c r="X615" s="2" t="s">
        <v>196</v>
      </c>
      <c r="Y615" s="2" t="str">
        <f t="shared" si="469"/>
        <v>135,200</v>
      </c>
      <c r="Z615" s="2">
        <f t="shared" si="479"/>
        <v>135</v>
      </c>
      <c r="AA615" s="2">
        <f t="shared" si="475"/>
        <v>200</v>
      </c>
      <c r="AB615" s="2">
        <v>100000</v>
      </c>
      <c r="AC615" s="2" t="str">
        <f>_xlfn.XLOOKUP(B615,'#캐릭터'!A:A,'#캐릭터'!B:B)</f>
        <v>티스베</v>
      </c>
      <c r="AD615" s="2" t="str">
        <f t="shared" si="471"/>
        <v>Common3_티스베</v>
      </c>
      <c r="AE615" s="2">
        <f t="shared" si="472"/>
        <v>0</v>
      </c>
    </row>
    <row r="616" spans="1:31" x14ac:dyDescent="0.2">
      <c r="A616" s="2">
        <f t="shared" si="464"/>
        <v>10281004</v>
      </c>
      <c r="B616" s="1">
        <v>10000281</v>
      </c>
      <c r="C616" s="1" t="s">
        <v>281</v>
      </c>
      <c r="D616" s="1" t="s">
        <v>309</v>
      </c>
      <c r="E616" s="1" t="str">
        <f>"Persona_"&amp;_xlfn.XLOOKUP($B616, '#캐릭터'!$A:$A, '#캐릭터'!$C:$C)</f>
        <v>Persona_c281</v>
      </c>
      <c r="F616" s="1" t="s">
        <v>432</v>
      </c>
      <c r="G616" s="1">
        <f>_xlfn.XLOOKUP(_xlfn.XLOOKUP(B616,'[1]Detail&lt;Child&gt;'!$A:$A,'[1]Detail&lt;Child&gt;'!$N:$N),'#참조'!P:P,'#참조'!Q:Q)</f>
        <v>2</v>
      </c>
      <c r="H616" s="1">
        <f>_xlfn.XLOOKUP(_xlfn.XLOOKUP(B616,'[1]Detail&lt;Child&gt;'!$A:$A,'[1]Detail&lt;Child&gt;'!$O:$O),'#참조'!R:R,'#참조'!S:S)</f>
        <v>4</v>
      </c>
      <c r="I616" s="1">
        <v>0</v>
      </c>
      <c r="J616" s="2">
        <v>3</v>
      </c>
      <c r="K616" s="2">
        <v>2</v>
      </c>
      <c r="L616" s="2">
        <v>4</v>
      </c>
      <c r="M616" s="2" t="s">
        <v>8</v>
      </c>
      <c r="N616" s="2" t="s">
        <v>407</v>
      </c>
      <c r="O616" s="2">
        <f t="shared" si="476"/>
        <v>2662</v>
      </c>
      <c r="P616" s="2" t="s">
        <v>194</v>
      </c>
      <c r="Q616" s="2" t="str">
        <f t="shared" si="465"/>
        <v>2197,2600</v>
      </c>
      <c r="R616" s="2">
        <f t="shared" si="477"/>
        <v>2197</v>
      </c>
      <c r="S616" s="2">
        <f t="shared" si="473"/>
        <v>2600</v>
      </c>
      <c r="T616" s="2" t="s">
        <v>195</v>
      </c>
      <c r="U616" s="2" t="str">
        <f t="shared" si="467"/>
        <v>173,200</v>
      </c>
      <c r="V616" s="2">
        <f t="shared" si="478"/>
        <v>173</v>
      </c>
      <c r="W616" s="2">
        <f t="shared" si="474"/>
        <v>200</v>
      </c>
      <c r="X616" s="2" t="s">
        <v>196</v>
      </c>
      <c r="Y616" s="2" t="str">
        <f t="shared" si="469"/>
        <v>176,200</v>
      </c>
      <c r="Z616" s="2">
        <f t="shared" si="479"/>
        <v>176</v>
      </c>
      <c r="AA616" s="2">
        <f t="shared" si="475"/>
        <v>200</v>
      </c>
      <c r="AB616" s="2">
        <v>95000</v>
      </c>
      <c r="AC616" s="2" t="str">
        <f>_xlfn.XLOOKUP(B616,'#캐릭터'!A:A,'#캐릭터'!B:B)</f>
        <v>티스베</v>
      </c>
      <c r="AD616" s="2" t="str">
        <f t="shared" si="471"/>
        <v>Uncommon1_티스베</v>
      </c>
      <c r="AE616" s="2">
        <f t="shared" si="472"/>
        <v>0</v>
      </c>
    </row>
    <row r="617" spans="1:31" x14ac:dyDescent="0.2">
      <c r="A617" s="2">
        <f t="shared" si="464"/>
        <v>10281005</v>
      </c>
      <c r="B617" s="1">
        <v>10000281</v>
      </c>
      <c r="C617" s="1" t="s">
        <v>281</v>
      </c>
      <c r="D617" s="1" t="s">
        <v>309</v>
      </c>
      <c r="E617" s="1" t="str">
        <f>"Persona_"&amp;_xlfn.XLOOKUP($B617, '#캐릭터'!$A:$A, '#캐릭터'!$C:$C)</f>
        <v>Persona_c281</v>
      </c>
      <c r="F617" s="1" t="s">
        <v>432</v>
      </c>
      <c r="G617" s="1">
        <f>_xlfn.XLOOKUP(_xlfn.XLOOKUP(B617,'[1]Detail&lt;Child&gt;'!$A:$A,'[1]Detail&lt;Child&gt;'!$N:$N),'#참조'!P:P,'#참조'!Q:Q)</f>
        <v>2</v>
      </c>
      <c r="H617" s="1">
        <f>_xlfn.XLOOKUP(_xlfn.XLOOKUP(B617,'[1]Detail&lt;Child&gt;'!$A:$A,'[1]Detail&lt;Child&gt;'!$O:$O),'#참조'!R:R,'#참조'!S:S)</f>
        <v>4</v>
      </c>
      <c r="I617" s="1">
        <v>0</v>
      </c>
      <c r="J617" s="2">
        <v>3</v>
      </c>
      <c r="K617" s="2">
        <v>2</v>
      </c>
      <c r="L617" s="2">
        <v>5</v>
      </c>
      <c r="M617" s="2" t="s">
        <v>9</v>
      </c>
      <c r="N617" s="2" t="s">
        <v>407</v>
      </c>
      <c r="O617" s="2">
        <f t="shared" si="476"/>
        <v>2928</v>
      </c>
      <c r="P617" s="2" t="s">
        <v>194</v>
      </c>
      <c r="Q617" s="2" t="str">
        <f t="shared" si="465"/>
        <v>2856,3400</v>
      </c>
      <c r="R617" s="2">
        <f t="shared" si="477"/>
        <v>2856</v>
      </c>
      <c r="S617" s="2">
        <f t="shared" si="473"/>
        <v>3400</v>
      </c>
      <c r="T617" s="2" t="s">
        <v>195</v>
      </c>
      <c r="U617" s="2" t="str">
        <f t="shared" si="467"/>
        <v>208,200</v>
      </c>
      <c r="V617" s="2">
        <f t="shared" si="478"/>
        <v>208</v>
      </c>
      <c r="W617" s="2">
        <f t="shared" si="474"/>
        <v>200</v>
      </c>
      <c r="X617" s="2" t="s">
        <v>196</v>
      </c>
      <c r="Y617" s="2" t="str">
        <f t="shared" si="469"/>
        <v>229,300</v>
      </c>
      <c r="Z617" s="2">
        <f t="shared" si="479"/>
        <v>229</v>
      </c>
      <c r="AA617" s="2">
        <f t="shared" si="475"/>
        <v>300</v>
      </c>
      <c r="AB617" s="2">
        <v>95000</v>
      </c>
      <c r="AC617" s="2" t="str">
        <f>_xlfn.XLOOKUP(B617,'#캐릭터'!A:A,'#캐릭터'!B:B)</f>
        <v>티스베</v>
      </c>
      <c r="AD617" s="2" t="str">
        <f t="shared" si="471"/>
        <v>Uncommon2_티스베</v>
      </c>
      <c r="AE617" s="2">
        <f t="shared" si="472"/>
        <v>0</v>
      </c>
    </row>
    <row r="618" spans="1:31" x14ac:dyDescent="0.2">
      <c r="A618" s="2">
        <f t="shared" si="464"/>
        <v>10281006</v>
      </c>
      <c r="B618" s="1">
        <v>10000281</v>
      </c>
      <c r="C618" s="1" t="s">
        <v>281</v>
      </c>
      <c r="D618" s="1" t="s">
        <v>309</v>
      </c>
      <c r="E618" s="1" t="str">
        <f>"Persona_"&amp;_xlfn.XLOOKUP($B618, '#캐릭터'!$A:$A, '#캐릭터'!$C:$C)</f>
        <v>Persona_c281</v>
      </c>
      <c r="F618" s="1" t="s">
        <v>432</v>
      </c>
      <c r="G618" s="1">
        <f>_xlfn.XLOOKUP(_xlfn.XLOOKUP(B618,'[1]Detail&lt;Child&gt;'!$A:$A,'[1]Detail&lt;Child&gt;'!$N:$N),'#참조'!P:P,'#참조'!Q:Q)</f>
        <v>2</v>
      </c>
      <c r="H618" s="1">
        <f>_xlfn.XLOOKUP(_xlfn.XLOOKUP(B618,'[1]Detail&lt;Child&gt;'!$A:$A,'[1]Detail&lt;Child&gt;'!$O:$O),'#참조'!R:R,'#참조'!S:S)</f>
        <v>4</v>
      </c>
      <c r="I618" s="1">
        <v>0</v>
      </c>
      <c r="J618" s="2">
        <v>3</v>
      </c>
      <c r="K618" s="2">
        <v>2</v>
      </c>
      <c r="L618" s="2">
        <v>6</v>
      </c>
      <c r="M618" s="2" t="s">
        <v>10</v>
      </c>
      <c r="N618" s="2" t="s">
        <v>407</v>
      </c>
      <c r="O618" s="2">
        <f t="shared" si="476"/>
        <v>3221</v>
      </c>
      <c r="P618" s="2" t="s">
        <v>194</v>
      </c>
      <c r="Q618" s="2" t="str">
        <f t="shared" si="465"/>
        <v>3713,4500</v>
      </c>
      <c r="R618" s="2">
        <f t="shared" si="477"/>
        <v>3713</v>
      </c>
      <c r="S618" s="2">
        <f t="shared" si="473"/>
        <v>4500</v>
      </c>
      <c r="T618" s="2" t="s">
        <v>195</v>
      </c>
      <c r="U618" s="2" t="str">
        <f t="shared" si="467"/>
        <v>250,300</v>
      </c>
      <c r="V618" s="2">
        <f t="shared" si="478"/>
        <v>250</v>
      </c>
      <c r="W618" s="2">
        <f t="shared" si="474"/>
        <v>300</v>
      </c>
      <c r="X618" s="2" t="s">
        <v>196</v>
      </c>
      <c r="Y618" s="2" t="str">
        <f t="shared" si="469"/>
        <v>298,400</v>
      </c>
      <c r="Z618" s="2">
        <f t="shared" si="479"/>
        <v>298</v>
      </c>
      <c r="AA618" s="2">
        <f t="shared" si="475"/>
        <v>400</v>
      </c>
      <c r="AB618" s="2">
        <v>95000</v>
      </c>
      <c r="AC618" s="2" t="str">
        <f>_xlfn.XLOOKUP(B618,'#캐릭터'!A:A,'#캐릭터'!B:B)</f>
        <v>티스베</v>
      </c>
      <c r="AD618" s="2" t="str">
        <f t="shared" si="471"/>
        <v>Uncommon3_티스베</v>
      </c>
      <c r="AE618" s="2">
        <f t="shared" si="472"/>
        <v>0</v>
      </c>
    </row>
    <row r="619" spans="1:31" x14ac:dyDescent="0.2">
      <c r="A619" s="2">
        <f t="shared" si="464"/>
        <v>10281007</v>
      </c>
      <c r="B619" s="1">
        <v>10000281</v>
      </c>
      <c r="C619" s="1" t="s">
        <v>281</v>
      </c>
      <c r="D619" s="1" t="s">
        <v>309</v>
      </c>
      <c r="E619" s="1" t="str">
        <f>"Persona_"&amp;_xlfn.XLOOKUP($B619, '#캐릭터'!$A:$A, '#캐릭터'!$C:$C)</f>
        <v>Persona_c281</v>
      </c>
      <c r="F619" s="1" t="s">
        <v>432</v>
      </c>
      <c r="G619" s="1">
        <f>_xlfn.XLOOKUP(_xlfn.XLOOKUP(B619,'[1]Detail&lt;Child&gt;'!$A:$A,'[1]Detail&lt;Child&gt;'!$N:$N),'#참조'!P:P,'#참조'!Q:Q)</f>
        <v>2</v>
      </c>
      <c r="H619" s="1">
        <f>_xlfn.XLOOKUP(_xlfn.XLOOKUP(B619,'[1]Detail&lt;Child&gt;'!$A:$A,'[1]Detail&lt;Child&gt;'!$O:$O),'#참조'!R:R,'#참조'!S:S)</f>
        <v>4</v>
      </c>
      <c r="I619" s="1">
        <v>1</v>
      </c>
      <c r="J619" s="2">
        <v>3</v>
      </c>
      <c r="K619" s="2">
        <v>3</v>
      </c>
      <c r="L619" s="2">
        <v>7</v>
      </c>
      <c r="M619" s="2" t="s">
        <v>11</v>
      </c>
      <c r="N619" s="2" t="s">
        <v>407</v>
      </c>
      <c r="O619" s="2">
        <f t="shared" si="476"/>
        <v>3543</v>
      </c>
      <c r="P619" s="2" t="s">
        <v>194</v>
      </c>
      <c r="Q619" s="2" t="str">
        <f t="shared" si="465"/>
        <v>4827,5800</v>
      </c>
      <c r="R619" s="2">
        <f t="shared" si="477"/>
        <v>4827</v>
      </c>
      <c r="S619" s="2">
        <f t="shared" si="473"/>
        <v>5800</v>
      </c>
      <c r="T619" s="2" t="s">
        <v>195</v>
      </c>
      <c r="U619" s="2" t="str">
        <f t="shared" si="467"/>
        <v>300,400</v>
      </c>
      <c r="V619" s="2">
        <f t="shared" si="478"/>
        <v>300</v>
      </c>
      <c r="W619" s="2">
        <f t="shared" si="474"/>
        <v>400</v>
      </c>
      <c r="X619" s="2" t="s">
        <v>196</v>
      </c>
      <c r="Y619" s="2" t="str">
        <f t="shared" si="469"/>
        <v>387,500</v>
      </c>
      <c r="Z619" s="2">
        <f t="shared" si="479"/>
        <v>387</v>
      </c>
      <c r="AA619" s="2">
        <f t="shared" si="475"/>
        <v>500</v>
      </c>
      <c r="AB619" s="2">
        <v>90000</v>
      </c>
      <c r="AC619" s="2" t="str">
        <f>_xlfn.XLOOKUP(B619,'#캐릭터'!A:A,'#캐릭터'!B:B)</f>
        <v>티스베</v>
      </c>
      <c r="AD619" s="2" t="str">
        <f t="shared" si="471"/>
        <v>Rare1_티스베</v>
      </c>
      <c r="AE619" s="2">
        <f t="shared" si="472"/>
        <v>2401</v>
      </c>
    </row>
    <row r="620" spans="1:31" x14ac:dyDescent="0.2">
      <c r="A620" s="2">
        <f t="shared" si="464"/>
        <v>10281008</v>
      </c>
      <c r="B620" s="1">
        <v>10000281</v>
      </c>
      <c r="C620" s="1" t="s">
        <v>281</v>
      </c>
      <c r="D620" s="1" t="s">
        <v>309</v>
      </c>
      <c r="E620" s="1" t="str">
        <f>"Persona_"&amp;_xlfn.XLOOKUP($B620, '#캐릭터'!$A:$A, '#캐릭터'!$C:$C)</f>
        <v>Persona_c281</v>
      </c>
      <c r="F620" s="1" t="s">
        <v>432</v>
      </c>
      <c r="G620" s="1">
        <f>_xlfn.XLOOKUP(_xlfn.XLOOKUP(B620,'[1]Detail&lt;Child&gt;'!$A:$A,'[1]Detail&lt;Child&gt;'!$N:$N),'#참조'!P:P,'#참조'!Q:Q)</f>
        <v>2</v>
      </c>
      <c r="H620" s="1">
        <f>_xlfn.XLOOKUP(_xlfn.XLOOKUP(B620,'[1]Detail&lt;Child&gt;'!$A:$A,'[1]Detail&lt;Child&gt;'!$O:$O),'#참조'!R:R,'#참조'!S:S)</f>
        <v>4</v>
      </c>
      <c r="I620" s="1">
        <v>1</v>
      </c>
      <c r="J620" s="2">
        <v>3</v>
      </c>
      <c r="K620" s="2">
        <v>3</v>
      </c>
      <c r="L620" s="2">
        <v>8</v>
      </c>
      <c r="M620" s="2" t="s">
        <v>12</v>
      </c>
      <c r="N620" s="2" t="s">
        <v>407</v>
      </c>
      <c r="O620" s="2">
        <f t="shared" si="476"/>
        <v>3897</v>
      </c>
      <c r="P620" s="2" t="s">
        <v>194</v>
      </c>
      <c r="Q620" s="2" t="str">
        <f t="shared" si="465"/>
        <v>6275,7500</v>
      </c>
      <c r="R620" s="2">
        <f t="shared" si="477"/>
        <v>6275</v>
      </c>
      <c r="S620" s="2">
        <f t="shared" si="473"/>
        <v>7500</v>
      </c>
      <c r="T620" s="2" t="s">
        <v>195</v>
      </c>
      <c r="U620" s="2" t="str">
        <f t="shared" si="467"/>
        <v>360,400</v>
      </c>
      <c r="V620" s="2">
        <f t="shared" si="478"/>
        <v>360</v>
      </c>
      <c r="W620" s="2">
        <f t="shared" si="474"/>
        <v>400</v>
      </c>
      <c r="X620" s="2" t="s">
        <v>196</v>
      </c>
      <c r="Y620" s="2" t="str">
        <f t="shared" si="469"/>
        <v>503,600</v>
      </c>
      <c r="Z620" s="2">
        <f t="shared" si="479"/>
        <v>503</v>
      </c>
      <c r="AA620" s="2">
        <f t="shared" si="475"/>
        <v>600</v>
      </c>
      <c r="AB620" s="2">
        <v>90000</v>
      </c>
      <c r="AC620" s="2" t="str">
        <f>_xlfn.XLOOKUP(B620,'#캐릭터'!A:A,'#캐릭터'!B:B)</f>
        <v>티스베</v>
      </c>
      <c r="AD620" s="2" t="str">
        <f t="shared" si="471"/>
        <v>Rare2_티스베</v>
      </c>
      <c r="AE620" s="2">
        <f t="shared" si="472"/>
        <v>2401</v>
      </c>
    </row>
    <row r="621" spans="1:31" x14ac:dyDescent="0.2">
      <c r="A621" s="2">
        <f t="shared" si="464"/>
        <v>10281009</v>
      </c>
      <c r="B621" s="1">
        <v>10000281</v>
      </c>
      <c r="C621" s="1" t="s">
        <v>281</v>
      </c>
      <c r="D621" s="1" t="s">
        <v>309</v>
      </c>
      <c r="E621" s="1" t="str">
        <f>"Persona_"&amp;_xlfn.XLOOKUP($B621, '#캐릭터'!$A:$A, '#캐릭터'!$C:$C)</f>
        <v>Persona_c281</v>
      </c>
      <c r="F621" s="1" t="s">
        <v>432</v>
      </c>
      <c r="G621" s="1">
        <f>_xlfn.XLOOKUP(_xlfn.XLOOKUP(B621,'[1]Detail&lt;Child&gt;'!$A:$A,'[1]Detail&lt;Child&gt;'!$N:$N),'#참조'!P:P,'#참조'!Q:Q)</f>
        <v>2</v>
      </c>
      <c r="H621" s="1">
        <f>_xlfn.XLOOKUP(_xlfn.XLOOKUP(B621,'[1]Detail&lt;Child&gt;'!$A:$A,'[1]Detail&lt;Child&gt;'!$O:$O),'#참조'!R:R,'#참조'!S:S)</f>
        <v>4</v>
      </c>
      <c r="I621" s="1">
        <v>2</v>
      </c>
      <c r="J621" s="2">
        <v>3</v>
      </c>
      <c r="K621" s="2">
        <v>3</v>
      </c>
      <c r="L621" s="2">
        <v>9</v>
      </c>
      <c r="M621" s="2" t="s">
        <v>13</v>
      </c>
      <c r="N621" s="2" t="s">
        <v>407</v>
      </c>
      <c r="O621" s="2">
        <f t="shared" si="476"/>
        <v>4287</v>
      </c>
      <c r="P621" s="2" t="s">
        <v>194</v>
      </c>
      <c r="Q621" s="2" t="str">
        <f t="shared" si="465"/>
        <v>8158,9800</v>
      </c>
      <c r="R621" s="2">
        <f t="shared" si="477"/>
        <v>8158</v>
      </c>
      <c r="S621" s="2">
        <f t="shared" si="473"/>
        <v>9800</v>
      </c>
      <c r="T621" s="2" t="s">
        <v>195</v>
      </c>
      <c r="U621" s="2" t="str">
        <f t="shared" si="467"/>
        <v>432,500</v>
      </c>
      <c r="V621" s="2">
        <f t="shared" si="478"/>
        <v>432</v>
      </c>
      <c r="W621" s="2">
        <f t="shared" si="474"/>
        <v>500</v>
      </c>
      <c r="X621" s="2" t="s">
        <v>196</v>
      </c>
      <c r="Y621" s="2" t="str">
        <f t="shared" si="469"/>
        <v>654,800</v>
      </c>
      <c r="Z621" s="2">
        <f t="shared" si="479"/>
        <v>654</v>
      </c>
      <c r="AA621" s="2">
        <f t="shared" si="475"/>
        <v>800</v>
      </c>
      <c r="AB621" s="2">
        <v>90000</v>
      </c>
      <c r="AC621" s="2" t="str">
        <f>_xlfn.XLOOKUP(B621,'#캐릭터'!A:A,'#캐릭터'!B:B)</f>
        <v>티스베</v>
      </c>
      <c r="AD621" s="2" t="str">
        <f t="shared" si="471"/>
        <v>Rare3_티스베</v>
      </c>
      <c r="AE621" s="2">
        <f t="shared" si="472"/>
        <v>2402</v>
      </c>
    </row>
    <row r="622" spans="1:31" x14ac:dyDescent="0.2">
      <c r="A622" s="2">
        <f t="shared" si="464"/>
        <v>10281010</v>
      </c>
      <c r="B622" s="1">
        <v>10000281</v>
      </c>
      <c r="C622" s="1" t="s">
        <v>281</v>
      </c>
      <c r="D622" s="1" t="s">
        <v>309</v>
      </c>
      <c r="E622" s="1" t="str">
        <f>"Persona_"&amp;_xlfn.XLOOKUP($B622, '#캐릭터'!$A:$A, '#캐릭터'!$C:$C)</f>
        <v>Persona_c281</v>
      </c>
      <c r="F622" s="1" t="s">
        <v>432</v>
      </c>
      <c r="G622" s="1">
        <f>_xlfn.XLOOKUP(_xlfn.XLOOKUP(B622,'[1]Detail&lt;Child&gt;'!$A:$A,'[1]Detail&lt;Child&gt;'!$N:$N),'#참조'!P:P,'#참조'!Q:Q)</f>
        <v>2</v>
      </c>
      <c r="H622" s="1">
        <f>_xlfn.XLOOKUP(_xlfn.XLOOKUP(B622,'[1]Detail&lt;Child&gt;'!$A:$A,'[1]Detail&lt;Child&gt;'!$O:$O),'#참조'!R:R,'#참조'!S:S)</f>
        <v>4</v>
      </c>
      <c r="I622" s="1">
        <v>2</v>
      </c>
      <c r="J622" s="2">
        <v>3</v>
      </c>
      <c r="K622" s="2">
        <v>4</v>
      </c>
      <c r="L622" s="2">
        <v>10</v>
      </c>
      <c r="M622" s="2" t="s">
        <v>14</v>
      </c>
      <c r="N622" s="2" t="s">
        <v>407</v>
      </c>
      <c r="O622" s="2">
        <f t="shared" si="476"/>
        <v>4716</v>
      </c>
      <c r="P622" s="2" t="s">
        <v>194</v>
      </c>
      <c r="Q622" s="2" t="str">
        <f t="shared" si="465"/>
        <v>10605,12700</v>
      </c>
      <c r="R622" s="2">
        <f t="shared" si="477"/>
        <v>10605</v>
      </c>
      <c r="S622" s="2">
        <f t="shared" si="473"/>
        <v>12700</v>
      </c>
      <c r="T622" s="2" t="s">
        <v>195</v>
      </c>
      <c r="U622" s="2" t="str">
        <f t="shared" si="467"/>
        <v>518,600</v>
      </c>
      <c r="V622" s="2">
        <f t="shared" si="478"/>
        <v>518</v>
      </c>
      <c r="W622" s="2">
        <f t="shared" si="474"/>
        <v>600</v>
      </c>
      <c r="X622" s="2" t="s">
        <v>196</v>
      </c>
      <c r="Y622" s="2" t="str">
        <f t="shared" si="469"/>
        <v>850,1000</v>
      </c>
      <c r="Z622" s="2">
        <f t="shared" si="479"/>
        <v>850</v>
      </c>
      <c r="AA622" s="2">
        <f t="shared" si="475"/>
        <v>1000</v>
      </c>
      <c r="AB622" s="2">
        <v>85000</v>
      </c>
      <c r="AC622" s="2" t="str">
        <f>_xlfn.XLOOKUP(B622,'#캐릭터'!A:A,'#캐릭터'!B:B)</f>
        <v>티스베</v>
      </c>
      <c r="AD622" s="2" t="str">
        <f t="shared" si="471"/>
        <v>Unique1_티스베</v>
      </c>
      <c r="AE622" s="2">
        <f t="shared" si="472"/>
        <v>2402</v>
      </c>
    </row>
    <row r="623" spans="1:31" x14ac:dyDescent="0.2">
      <c r="A623" s="2">
        <f t="shared" si="464"/>
        <v>10281011</v>
      </c>
      <c r="B623" s="1">
        <v>10000281</v>
      </c>
      <c r="C623" s="1" t="s">
        <v>281</v>
      </c>
      <c r="D623" s="1" t="s">
        <v>309</v>
      </c>
      <c r="E623" s="1" t="str">
        <f>"Persona_"&amp;_xlfn.XLOOKUP($B623, '#캐릭터'!$A:$A, '#캐릭터'!$C:$C)</f>
        <v>Persona_c281</v>
      </c>
      <c r="F623" s="1" t="s">
        <v>432</v>
      </c>
      <c r="G623" s="1">
        <f>_xlfn.XLOOKUP(_xlfn.XLOOKUP(B623,'[1]Detail&lt;Child&gt;'!$A:$A,'[1]Detail&lt;Child&gt;'!$N:$N),'#참조'!P:P,'#참조'!Q:Q)</f>
        <v>2</v>
      </c>
      <c r="H623" s="1">
        <f>_xlfn.XLOOKUP(_xlfn.XLOOKUP(B623,'[1]Detail&lt;Child&gt;'!$A:$A,'[1]Detail&lt;Child&gt;'!$O:$O),'#참조'!R:R,'#참조'!S:S)</f>
        <v>4</v>
      </c>
      <c r="I623" s="1">
        <v>3</v>
      </c>
      <c r="J623" s="2">
        <v>3</v>
      </c>
      <c r="K623" s="2">
        <v>4</v>
      </c>
      <c r="L623" s="2">
        <v>11</v>
      </c>
      <c r="M623" s="2" t="s">
        <v>15</v>
      </c>
      <c r="N623" s="2" t="s">
        <v>407</v>
      </c>
      <c r="O623" s="2">
        <f t="shared" si="476"/>
        <v>5188</v>
      </c>
      <c r="P623" s="2" t="s">
        <v>194</v>
      </c>
      <c r="Q623" s="2" t="str">
        <f t="shared" si="465"/>
        <v>13787,16500</v>
      </c>
      <c r="R623" s="2">
        <f t="shared" si="477"/>
        <v>13787</v>
      </c>
      <c r="S623" s="2">
        <f t="shared" si="473"/>
        <v>16500</v>
      </c>
      <c r="T623" s="2" t="s">
        <v>195</v>
      </c>
      <c r="U623" s="2" t="str">
        <f t="shared" si="467"/>
        <v>622,700</v>
      </c>
      <c r="V623" s="2">
        <f t="shared" si="478"/>
        <v>622</v>
      </c>
      <c r="W623" s="2">
        <f t="shared" si="474"/>
        <v>700</v>
      </c>
      <c r="X623" s="2" t="s">
        <v>196</v>
      </c>
      <c r="Y623" s="2" t="str">
        <f t="shared" si="469"/>
        <v>1105,1300</v>
      </c>
      <c r="Z623" s="2">
        <f t="shared" si="479"/>
        <v>1105</v>
      </c>
      <c r="AA623" s="2">
        <f t="shared" si="475"/>
        <v>1300</v>
      </c>
      <c r="AB623" s="2">
        <v>85000</v>
      </c>
      <c r="AC623" s="2" t="str">
        <f>_xlfn.XLOOKUP(B623,'#캐릭터'!A:A,'#캐릭터'!B:B)</f>
        <v>티스베</v>
      </c>
      <c r="AD623" s="2" t="str">
        <f t="shared" si="471"/>
        <v>Unique2_티스베</v>
      </c>
      <c r="AE623" s="2">
        <f t="shared" si="472"/>
        <v>2403</v>
      </c>
    </row>
    <row r="624" spans="1:31" x14ac:dyDescent="0.2">
      <c r="A624" s="2">
        <f t="shared" si="464"/>
        <v>10281012</v>
      </c>
      <c r="B624" s="1">
        <v>10000281</v>
      </c>
      <c r="C624" s="1" t="s">
        <v>281</v>
      </c>
      <c r="D624" s="1" t="s">
        <v>309</v>
      </c>
      <c r="E624" s="1" t="str">
        <f>"Persona_"&amp;_xlfn.XLOOKUP($B624, '#캐릭터'!$A:$A, '#캐릭터'!$C:$C)</f>
        <v>Persona_c281</v>
      </c>
      <c r="F624" s="1" t="s">
        <v>432</v>
      </c>
      <c r="G624" s="1">
        <f>_xlfn.XLOOKUP(_xlfn.XLOOKUP(B624,'[1]Detail&lt;Child&gt;'!$A:$A,'[1]Detail&lt;Child&gt;'!$N:$N),'#참조'!P:P,'#참조'!Q:Q)</f>
        <v>2</v>
      </c>
      <c r="H624" s="1">
        <f>_xlfn.XLOOKUP(_xlfn.XLOOKUP(B624,'[1]Detail&lt;Child&gt;'!$A:$A,'[1]Detail&lt;Child&gt;'!$O:$O),'#참조'!R:R,'#참조'!S:S)</f>
        <v>4</v>
      </c>
      <c r="I624" s="1">
        <v>3</v>
      </c>
      <c r="J624" s="2">
        <v>3</v>
      </c>
      <c r="K624" s="2">
        <v>4</v>
      </c>
      <c r="L624" s="2">
        <v>12</v>
      </c>
      <c r="M624" s="2" t="s">
        <v>16</v>
      </c>
      <c r="N624" s="2" t="s">
        <v>407</v>
      </c>
      <c r="O624" s="2">
        <f t="shared" si="476"/>
        <v>5707</v>
      </c>
      <c r="P624" s="2" t="s">
        <v>194</v>
      </c>
      <c r="Q624" s="2" t="str">
        <f t="shared" si="465"/>
        <v>17923,21500</v>
      </c>
      <c r="R624" s="2">
        <f t="shared" si="477"/>
        <v>17923</v>
      </c>
      <c r="S624" s="2">
        <f t="shared" si="473"/>
        <v>21500</v>
      </c>
      <c r="T624" s="2" t="s">
        <v>195</v>
      </c>
      <c r="U624" s="2" t="str">
        <f t="shared" si="467"/>
        <v>746,900</v>
      </c>
      <c r="V624" s="2">
        <f t="shared" si="478"/>
        <v>746</v>
      </c>
      <c r="W624" s="2">
        <f t="shared" si="474"/>
        <v>900</v>
      </c>
      <c r="X624" s="2" t="s">
        <v>196</v>
      </c>
      <c r="Y624" s="2" t="str">
        <f t="shared" si="469"/>
        <v>1437,1700</v>
      </c>
      <c r="Z624" s="2">
        <f t="shared" si="479"/>
        <v>1437</v>
      </c>
      <c r="AA624" s="2">
        <f t="shared" si="475"/>
        <v>1700</v>
      </c>
      <c r="AB624" s="2">
        <v>85000</v>
      </c>
      <c r="AC624" s="2" t="str">
        <f>_xlfn.XLOOKUP(B624,'#캐릭터'!A:A,'#캐릭터'!B:B)</f>
        <v>티스베</v>
      </c>
      <c r="AD624" s="2" t="str">
        <f t="shared" si="471"/>
        <v>Unique3_티스베</v>
      </c>
      <c r="AE624" s="2">
        <f t="shared" si="472"/>
        <v>2403</v>
      </c>
    </row>
    <row r="625" spans="1:31" x14ac:dyDescent="0.2">
      <c r="A625" s="2">
        <f t="shared" si="464"/>
        <v>10281013</v>
      </c>
      <c r="B625" s="1">
        <v>10000281</v>
      </c>
      <c r="C625" s="1" t="s">
        <v>281</v>
      </c>
      <c r="D625" s="1" t="s">
        <v>309</v>
      </c>
      <c r="E625" s="1" t="str">
        <f>"Persona_"&amp;_xlfn.XLOOKUP($B625, '#캐릭터'!$A:$A, '#캐릭터'!$C:$C)</f>
        <v>Persona_c281</v>
      </c>
      <c r="F625" s="1" t="s">
        <v>432</v>
      </c>
      <c r="G625" s="1">
        <f>_xlfn.XLOOKUP(_xlfn.XLOOKUP(B625,'[1]Detail&lt;Child&gt;'!$A:$A,'[1]Detail&lt;Child&gt;'!$N:$N),'#참조'!P:P,'#참조'!Q:Q)</f>
        <v>2</v>
      </c>
      <c r="H625" s="1">
        <f>_xlfn.XLOOKUP(_xlfn.XLOOKUP(B625,'[1]Detail&lt;Child&gt;'!$A:$A,'[1]Detail&lt;Child&gt;'!$O:$O),'#참조'!R:R,'#참조'!S:S)</f>
        <v>4</v>
      </c>
      <c r="I625" s="1">
        <v>4</v>
      </c>
      <c r="J625" s="2">
        <v>3</v>
      </c>
      <c r="K625" s="2">
        <v>5</v>
      </c>
      <c r="L625" s="2">
        <v>13</v>
      </c>
      <c r="M625" s="2" t="s">
        <v>17</v>
      </c>
      <c r="N625" s="2" t="s">
        <v>407</v>
      </c>
      <c r="O625" s="2">
        <f t="shared" si="476"/>
        <v>6278</v>
      </c>
      <c r="P625" s="2" t="s">
        <v>194</v>
      </c>
      <c r="Q625" s="2" t="str">
        <f t="shared" si="465"/>
        <v>23300,28000</v>
      </c>
      <c r="R625" s="2">
        <f t="shared" si="477"/>
        <v>23300</v>
      </c>
      <c r="S625" s="2">
        <f t="shared" si="473"/>
        <v>28000</v>
      </c>
      <c r="T625" s="2" t="s">
        <v>195</v>
      </c>
      <c r="U625" s="2" t="str">
        <f t="shared" si="467"/>
        <v>895,1100</v>
      </c>
      <c r="V625" s="2">
        <f t="shared" si="478"/>
        <v>895</v>
      </c>
      <c r="W625" s="2">
        <f t="shared" si="474"/>
        <v>1100</v>
      </c>
      <c r="X625" s="2" t="s">
        <v>196</v>
      </c>
      <c r="Y625" s="2" t="str">
        <f t="shared" si="469"/>
        <v>1868,2200</v>
      </c>
      <c r="Z625" s="2">
        <f t="shared" si="479"/>
        <v>1868</v>
      </c>
      <c r="AA625" s="2">
        <f t="shared" si="475"/>
        <v>2200</v>
      </c>
      <c r="AB625" s="2">
        <v>80000</v>
      </c>
      <c r="AC625" s="2" t="str">
        <f>_xlfn.XLOOKUP(B625,'#캐릭터'!A:A,'#캐릭터'!B:B)</f>
        <v>티스베</v>
      </c>
      <c r="AD625" s="2" t="str">
        <f t="shared" si="471"/>
        <v>Epic1_티스베</v>
      </c>
      <c r="AE625" s="2">
        <f t="shared" si="472"/>
        <v>2404</v>
      </c>
    </row>
    <row r="626" spans="1:31" x14ac:dyDescent="0.2">
      <c r="A626" s="2">
        <f t="shared" si="464"/>
        <v>10281014</v>
      </c>
      <c r="B626" s="1">
        <v>10000281</v>
      </c>
      <c r="C626" s="1" t="s">
        <v>281</v>
      </c>
      <c r="D626" s="1" t="s">
        <v>309</v>
      </c>
      <c r="E626" s="1" t="str">
        <f>"Persona_"&amp;_xlfn.XLOOKUP($B626, '#캐릭터'!$A:$A, '#캐릭터'!$C:$C)</f>
        <v>Persona_c281</v>
      </c>
      <c r="F626" s="1" t="s">
        <v>432</v>
      </c>
      <c r="G626" s="1">
        <f>_xlfn.XLOOKUP(_xlfn.XLOOKUP(B626,'[1]Detail&lt;Child&gt;'!$A:$A,'[1]Detail&lt;Child&gt;'!$N:$N),'#참조'!P:P,'#참조'!Q:Q)</f>
        <v>2</v>
      </c>
      <c r="H626" s="1">
        <f>_xlfn.XLOOKUP(_xlfn.XLOOKUP(B626,'[1]Detail&lt;Child&gt;'!$A:$A,'[1]Detail&lt;Child&gt;'!$O:$O),'#참조'!R:R,'#참조'!S:S)</f>
        <v>4</v>
      </c>
      <c r="I626" s="1">
        <v>4</v>
      </c>
      <c r="J626" s="2">
        <v>3</v>
      </c>
      <c r="K626" s="2">
        <v>5</v>
      </c>
      <c r="L626" s="2">
        <v>14</v>
      </c>
      <c r="M626" s="2" t="s">
        <v>18</v>
      </c>
      <c r="N626" s="2" t="s">
        <v>407</v>
      </c>
      <c r="O626" s="2">
        <f t="shared" si="476"/>
        <v>6906</v>
      </c>
      <c r="P626" s="2" t="s">
        <v>194</v>
      </c>
      <c r="Q626" s="2" t="str">
        <f t="shared" si="465"/>
        <v>30290,36300</v>
      </c>
      <c r="R626" s="2">
        <f t="shared" si="477"/>
        <v>30290</v>
      </c>
      <c r="S626" s="2">
        <f t="shared" si="473"/>
        <v>36300</v>
      </c>
      <c r="T626" s="2" t="s">
        <v>195</v>
      </c>
      <c r="U626" s="2" t="str">
        <f t="shared" si="467"/>
        <v>1074,1300</v>
      </c>
      <c r="V626" s="2">
        <f t="shared" si="478"/>
        <v>1074</v>
      </c>
      <c r="W626" s="2">
        <f t="shared" si="474"/>
        <v>1300</v>
      </c>
      <c r="X626" s="2" t="s">
        <v>196</v>
      </c>
      <c r="Y626" s="2" t="str">
        <f t="shared" si="469"/>
        <v>2428,2900</v>
      </c>
      <c r="Z626" s="2">
        <f t="shared" si="479"/>
        <v>2428</v>
      </c>
      <c r="AA626" s="2">
        <f t="shared" si="475"/>
        <v>2900</v>
      </c>
      <c r="AB626" s="2">
        <v>80000</v>
      </c>
      <c r="AC626" s="2" t="str">
        <f>_xlfn.XLOOKUP(B626,'#캐릭터'!A:A,'#캐릭터'!B:B)</f>
        <v>티스베</v>
      </c>
      <c r="AD626" s="2" t="str">
        <f t="shared" si="471"/>
        <v>Epic2_티스베</v>
      </c>
      <c r="AE626" s="2">
        <f t="shared" si="472"/>
        <v>2404</v>
      </c>
    </row>
    <row r="627" spans="1:31" x14ac:dyDescent="0.2">
      <c r="A627" s="2">
        <f t="shared" si="464"/>
        <v>10281015</v>
      </c>
      <c r="B627" s="1">
        <v>10000281</v>
      </c>
      <c r="C627" s="1" t="s">
        <v>281</v>
      </c>
      <c r="D627" s="1" t="s">
        <v>309</v>
      </c>
      <c r="E627" s="1" t="str">
        <f>"Persona_"&amp;_xlfn.XLOOKUP($B627, '#캐릭터'!$A:$A, '#캐릭터'!$C:$C)</f>
        <v>Persona_c281</v>
      </c>
      <c r="F627" s="1" t="s">
        <v>432</v>
      </c>
      <c r="G627" s="1">
        <f>_xlfn.XLOOKUP(_xlfn.XLOOKUP(B627,'[1]Detail&lt;Child&gt;'!$A:$A,'[1]Detail&lt;Child&gt;'!$N:$N),'#참조'!P:P,'#참조'!Q:Q)</f>
        <v>2</v>
      </c>
      <c r="H627" s="1">
        <f>_xlfn.XLOOKUP(_xlfn.XLOOKUP(B627,'[1]Detail&lt;Child&gt;'!$A:$A,'[1]Detail&lt;Child&gt;'!$O:$O),'#참조'!R:R,'#참조'!S:S)</f>
        <v>4</v>
      </c>
      <c r="I627" s="1">
        <v>5</v>
      </c>
      <c r="J627" s="2">
        <v>3</v>
      </c>
      <c r="K627" s="2">
        <v>5</v>
      </c>
      <c r="L627" s="2">
        <v>15</v>
      </c>
      <c r="M627" s="2" t="s">
        <v>19</v>
      </c>
      <c r="N627" s="2" t="s">
        <v>407</v>
      </c>
      <c r="O627" s="2">
        <f t="shared" si="476"/>
        <v>7597</v>
      </c>
      <c r="P627" s="2" t="s">
        <v>194</v>
      </c>
      <c r="Q627" s="2" t="str">
        <f t="shared" si="465"/>
        <v>39377,47300</v>
      </c>
      <c r="R627" s="2">
        <f t="shared" si="477"/>
        <v>39377</v>
      </c>
      <c r="S627" s="2">
        <f t="shared" si="473"/>
        <v>47300</v>
      </c>
      <c r="T627" s="2" t="s">
        <v>195</v>
      </c>
      <c r="U627" s="2" t="str">
        <f t="shared" si="467"/>
        <v>1289,1500</v>
      </c>
      <c r="V627" s="2">
        <f t="shared" si="478"/>
        <v>1289</v>
      </c>
      <c r="W627" s="2">
        <f t="shared" si="474"/>
        <v>1500</v>
      </c>
      <c r="X627" s="2" t="s">
        <v>196</v>
      </c>
      <c r="Y627" s="2" t="str">
        <f t="shared" si="469"/>
        <v>3156,3800</v>
      </c>
      <c r="Z627" s="2">
        <f t="shared" si="479"/>
        <v>3156</v>
      </c>
      <c r="AA627" s="2">
        <f t="shared" si="475"/>
        <v>3800</v>
      </c>
      <c r="AB627" s="2">
        <v>80000</v>
      </c>
      <c r="AC627" s="2" t="str">
        <f>_xlfn.XLOOKUP(B627,'#캐릭터'!A:A,'#캐릭터'!B:B)</f>
        <v>티스베</v>
      </c>
      <c r="AD627" s="2" t="str">
        <f t="shared" si="471"/>
        <v>Epic3_티스베</v>
      </c>
      <c r="AE627" s="2">
        <f t="shared" si="472"/>
        <v>2405</v>
      </c>
    </row>
    <row r="628" spans="1:31" x14ac:dyDescent="0.2">
      <c r="A628" s="2">
        <f t="shared" si="464"/>
        <v>10281016</v>
      </c>
      <c r="B628" s="1">
        <v>10000281</v>
      </c>
      <c r="C628" s="1" t="s">
        <v>281</v>
      </c>
      <c r="D628" s="1" t="s">
        <v>309</v>
      </c>
      <c r="E628" s="1" t="str">
        <f>"Persona_"&amp;_xlfn.XLOOKUP($B628, '#캐릭터'!$A:$A, '#캐릭터'!$C:$C)</f>
        <v>Persona_c281</v>
      </c>
      <c r="F628" s="1" t="s">
        <v>432</v>
      </c>
      <c r="G628" s="1">
        <f>_xlfn.XLOOKUP(_xlfn.XLOOKUP(B628,'[1]Detail&lt;Child&gt;'!$A:$A,'[1]Detail&lt;Child&gt;'!$N:$N),'#참조'!P:P,'#참조'!Q:Q)</f>
        <v>2</v>
      </c>
      <c r="H628" s="1">
        <f>_xlfn.XLOOKUP(_xlfn.XLOOKUP(B628,'[1]Detail&lt;Child&gt;'!$A:$A,'[1]Detail&lt;Child&gt;'!$O:$O),'#참조'!R:R,'#참조'!S:S)</f>
        <v>4</v>
      </c>
      <c r="I628" s="1">
        <v>5</v>
      </c>
      <c r="J628" s="2">
        <v>3</v>
      </c>
      <c r="K628" s="2">
        <v>6</v>
      </c>
      <c r="L628" s="2">
        <v>16</v>
      </c>
      <c r="M628" s="2" t="s">
        <v>20</v>
      </c>
      <c r="N628" s="2" t="s">
        <v>407</v>
      </c>
      <c r="O628" s="2">
        <f t="shared" si="476"/>
        <v>8357</v>
      </c>
      <c r="P628" s="2" t="s">
        <v>194</v>
      </c>
      <c r="Q628" s="2" t="str">
        <f t="shared" si="465"/>
        <v>51190,61400</v>
      </c>
      <c r="R628" s="2">
        <f t="shared" si="477"/>
        <v>51190</v>
      </c>
      <c r="S628" s="2">
        <f t="shared" si="473"/>
        <v>61400</v>
      </c>
      <c r="T628" s="2" t="s">
        <v>195</v>
      </c>
      <c r="U628" s="2" t="str">
        <f t="shared" si="467"/>
        <v>1547,1900</v>
      </c>
      <c r="V628" s="2">
        <f t="shared" si="478"/>
        <v>1547</v>
      </c>
      <c r="W628" s="2">
        <f t="shared" si="474"/>
        <v>1900</v>
      </c>
      <c r="X628" s="2" t="s">
        <v>196</v>
      </c>
      <c r="Y628" s="2" t="str">
        <f t="shared" si="469"/>
        <v>4103,4900</v>
      </c>
      <c r="Z628" s="2">
        <f t="shared" si="479"/>
        <v>4103</v>
      </c>
      <c r="AA628" s="2">
        <f t="shared" si="475"/>
        <v>4900</v>
      </c>
      <c r="AB628" s="2">
        <v>75000</v>
      </c>
      <c r="AC628" s="2" t="str">
        <f>_xlfn.XLOOKUP(B628,'#캐릭터'!A:A,'#캐릭터'!B:B)</f>
        <v>티스베</v>
      </c>
      <c r="AD628" s="2" t="str">
        <f t="shared" si="471"/>
        <v>Legendary1_티스베</v>
      </c>
      <c r="AE628" s="2">
        <f t="shared" si="472"/>
        <v>2405</v>
      </c>
    </row>
    <row r="629" spans="1:31" x14ac:dyDescent="0.2">
      <c r="A629" s="2">
        <f t="shared" si="464"/>
        <v>10281017</v>
      </c>
      <c r="B629" s="1">
        <v>10000281</v>
      </c>
      <c r="C629" s="1" t="s">
        <v>281</v>
      </c>
      <c r="D629" s="1" t="s">
        <v>309</v>
      </c>
      <c r="E629" s="1" t="str">
        <f>"Persona_"&amp;_xlfn.XLOOKUP($B629, '#캐릭터'!$A:$A, '#캐릭터'!$C:$C)</f>
        <v>Persona_c281</v>
      </c>
      <c r="F629" s="1" t="s">
        <v>432</v>
      </c>
      <c r="G629" s="1">
        <f>_xlfn.XLOOKUP(_xlfn.XLOOKUP(B629,'[1]Detail&lt;Child&gt;'!$A:$A,'[1]Detail&lt;Child&gt;'!$N:$N),'#참조'!P:P,'#참조'!Q:Q)</f>
        <v>2</v>
      </c>
      <c r="H629" s="1">
        <f>_xlfn.XLOOKUP(_xlfn.XLOOKUP(B629,'[1]Detail&lt;Child&gt;'!$A:$A,'[1]Detail&lt;Child&gt;'!$O:$O),'#참조'!R:R,'#참조'!S:S)</f>
        <v>4</v>
      </c>
      <c r="I629" s="1">
        <v>6</v>
      </c>
      <c r="J629" s="2">
        <v>3</v>
      </c>
      <c r="K629" s="2">
        <v>6</v>
      </c>
      <c r="L629" s="2">
        <v>17</v>
      </c>
      <c r="M629" s="2" t="s">
        <v>21</v>
      </c>
      <c r="N629" s="2" t="s">
        <v>407</v>
      </c>
      <c r="O629" s="2">
        <f t="shared" si="476"/>
        <v>9193</v>
      </c>
      <c r="P629" s="2" t="s">
        <v>194</v>
      </c>
      <c r="Q629" s="2" t="str">
        <f t="shared" si="465"/>
        <v>66547,79900</v>
      </c>
      <c r="R629" s="2">
        <f t="shared" si="477"/>
        <v>66547</v>
      </c>
      <c r="S629" s="2">
        <f t="shared" si="473"/>
        <v>79900</v>
      </c>
      <c r="T629" s="2" t="s">
        <v>195</v>
      </c>
      <c r="U629" s="2" t="str">
        <f t="shared" si="467"/>
        <v>1856,2200</v>
      </c>
      <c r="V629" s="2">
        <f t="shared" si="478"/>
        <v>1856</v>
      </c>
      <c r="W629" s="2">
        <f t="shared" si="474"/>
        <v>2200</v>
      </c>
      <c r="X629" s="2" t="s">
        <v>196</v>
      </c>
      <c r="Y629" s="2" t="str">
        <f t="shared" si="469"/>
        <v>5334,6400</v>
      </c>
      <c r="Z629" s="2">
        <f t="shared" si="479"/>
        <v>5334</v>
      </c>
      <c r="AA629" s="2">
        <f t="shared" si="475"/>
        <v>6400</v>
      </c>
      <c r="AB629" s="2">
        <v>75000</v>
      </c>
      <c r="AC629" s="2" t="str">
        <f>_xlfn.XLOOKUP(B629,'#캐릭터'!A:A,'#캐릭터'!B:B)</f>
        <v>티스베</v>
      </c>
      <c r="AD629" s="2" t="str">
        <f t="shared" si="471"/>
        <v>Legendary2_티스베</v>
      </c>
      <c r="AE629" s="2">
        <f t="shared" si="472"/>
        <v>2406</v>
      </c>
    </row>
    <row r="630" spans="1:31" x14ac:dyDescent="0.2">
      <c r="A630" s="2">
        <f t="shared" si="464"/>
        <v>10281018</v>
      </c>
      <c r="B630" s="1">
        <v>10000281</v>
      </c>
      <c r="C630" s="1" t="s">
        <v>281</v>
      </c>
      <c r="D630" s="1" t="s">
        <v>309</v>
      </c>
      <c r="E630" s="1" t="str">
        <f>"Persona_"&amp;_xlfn.XLOOKUP($B630, '#캐릭터'!$A:$A, '#캐릭터'!$C:$C)</f>
        <v>Persona_c281</v>
      </c>
      <c r="F630" s="1" t="s">
        <v>432</v>
      </c>
      <c r="G630" s="1">
        <f>_xlfn.XLOOKUP(_xlfn.XLOOKUP(B630,'[1]Detail&lt;Child&gt;'!$A:$A,'[1]Detail&lt;Child&gt;'!$N:$N),'#참조'!P:P,'#참조'!Q:Q)</f>
        <v>2</v>
      </c>
      <c r="H630" s="1">
        <f>_xlfn.XLOOKUP(_xlfn.XLOOKUP(B630,'[1]Detail&lt;Child&gt;'!$A:$A,'[1]Detail&lt;Child&gt;'!$O:$O),'#참조'!R:R,'#참조'!S:S)</f>
        <v>4</v>
      </c>
      <c r="I630" s="1">
        <v>6</v>
      </c>
      <c r="J630" s="2">
        <v>3</v>
      </c>
      <c r="K630" s="2">
        <v>6</v>
      </c>
      <c r="L630" s="2">
        <v>18</v>
      </c>
      <c r="M630" s="2" t="s">
        <v>22</v>
      </c>
      <c r="N630" s="2" t="s">
        <v>407</v>
      </c>
      <c r="O630" s="2">
        <f t="shared" si="476"/>
        <v>10112</v>
      </c>
      <c r="P630" s="2" t="s">
        <v>194</v>
      </c>
      <c r="Q630" s="2" t="str">
        <f t="shared" si="465"/>
        <v>86511,103800</v>
      </c>
      <c r="R630" s="2">
        <f t="shared" si="477"/>
        <v>86511</v>
      </c>
      <c r="S630" s="2">
        <f t="shared" si="473"/>
        <v>103800</v>
      </c>
      <c r="T630" s="2" t="s">
        <v>195</v>
      </c>
      <c r="U630" s="2" t="str">
        <f t="shared" si="467"/>
        <v>2227,2700</v>
      </c>
      <c r="V630" s="2">
        <f t="shared" si="478"/>
        <v>2227</v>
      </c>
      <c r="W630" s="2">
        <f t="shared" si="474"/>
        <v>2700</v>
      </c>
      <c r="X630" s="2" t="s">
        <v>196</v>
      </c>
      <c r="Y630" s="2" t="str">
        <f t="shared" si="469"/>
        <v>6934,8300</v>
      </c>
      <c r="Z630" s="2">
        <f t="shared" si="479"/>
        <v>6934</v>
      </c>
      <c r="AA630" s="2">
        <f t="shared" si="475"/>
        <v>8300</v>
      </c>
      <c r="AB630" s="2">
        <v>75000</v>
      </c>
      <c r="AC630" s="2" t="str">
        <f>_xlfn.XLOOKUP(B630,'#캐릭터'!A:A,'#캐릭터'!B:B)</f>
        <v>티스베</v>
      </c>
      <c r="AD630" s="2" t="str">
        <f t="shared" si="471"/>
        <v>Legendary3_티스베</v>
      </c>
      <c r="AE630" s="2">
        <f t="shared" si="472"/>
        <v>2406</v>
      </c>
    </row>
    <row r="631" spans="1:31" x14ac:dyDescent="0.2">
      <c r="A631" s="2">
        <f t="shared" ref="A631:A649" si="480">INT(1&amp;TEXT(RIGHT(B631,4),"0000")&amp;TEXT(L631,"000"))</f>
        <v>10514000</v>
      </c>
      <c r="B631" s="1">
        <v>10000514</v>
      </c>
      <c r="C631" s="1" t="s">
        <v>281</v>
      </c>
      <c r="D631" s="1" t="s">
        <v>309</v>
      </c>
      <c r="E631" s="1" t="str">
        <f>"Persona_"&amp;_xlfn.XLOOKUP($B631, '#캐릭터'!$A:$A, '#캐릭터'!$C:$C)</f>
        <v>Persona_c514</v>
      </c>
      <c r="F631" s="1" t="s">
        <v>433</v>
      </c>
      <c r="G631" s="1">
        <f>_xlfn.XLOOKUP(_xlfn.XLOOKUP(B631,'[1]Detail&lt;Child&gt;'!$A:$A,'[1]Detail&lt;Child&gt;'!$N:$N),'#참조'!P:P,'#참조'!Q:Q)</f>
        <v>5</v>
      </c>
      <c r="H631" s="1">
        <f>_xlfn.XLOOKUP(_xlfn.XLOOKUP(B631,'[1]Detail&lt;Child&gt;'!$A:$A,'[1]Detail&lt;Child&gt;'!$O:$O),'#참조'!R:R,'#참조'!S:S)</f>
        <v>1</v>
      </c>
      <c r="I631" s="1">
        <v>0</v>
      </c>
      <c r="J631" s="2">
        <v>3</v>
      </c>
      <c r="K631" s="2">
        <v>0</v>
      </c>
      <c r="L631" s="2">
        <v>0</v>
      </c>
      <c r="M631" s="2" t="s">
        <v>31</v>
      </c>
      <c r="N631" s="2" t="s">
        <v>407</v>
      </c>
      <c r="O631" s="2">
        <v>0</v>
      </c>
      <c r="P631" s="2" t="s">
        <v>194</v>
      </c>
      <c r="Q631" s="2" t="str">
        <f t="shared" ref="Q631:Q649" si="481">R631&amp;","&amp;S631</f>
        <v>1000,1000</v>
      </c>
      <c r="R631" s="2">
        <v>1000</v>
      </c>
      <c r="S631" s="2">
        <f t="shared" ref="S631" si="482">R631</f>
        <v>1000</v>
      </c>
      <c r="T631" s="2" t="s">
        <v>195</v>
      </c>
      <c r="U631" s="2" t="str">
        <f t="shared" ref="U631:U649" si="483">V631&amp;","&amp;W631</f>
        <v>100,100</v>
      </c>
      <c r="V631" s="2">
        <v>100</v>
      </c>
      <c r="W631" s="2">
        <f t="shared" ref="W631" si="484">V631</f>
        <v>100</v>
      </c>
      <c r="X631" s="2" t="s">
        <v>196</v>
      </c>
      <c r="Y631" s="2" t="str">
        <f t="shared" ref="Y631:Y649" si="485">Z631&amp;","&amp;AA631</f>
        <v>80,80</v>
      </c>
      <c r="Z631" s="2">
        <v>80</v>
      </c>
      <c r="AA631" s="2">
        <f t="shared" ref="AA631" si="486">Z631</f>
        <v>80</v>
      </c>
      <c r="AB631" s="2">
        <v>100000</v>
      </c>
      <c r="AC631" s="2" t="str">
        <f>_xlfn.XLOOKUP(B631,'#캐릭터'!A:A,'#캐릭터'!B:B)</f>
        <v>두엣샤</v>
      </c>
      <c r="AD631" s="2" t="str">
        <f t="shared" ref="AD631:AD649" si="487">M631&amp;"_"&amp;AC631</f>
        <v>Default_두엣샤</v>
      </c>
      <c r="AE631" s="2">
        <f t="shared" ref="AE631:AE649" si="488">IF(I631=0,0,INT(G631&amp;H631&amp;TEXT(I631,"00")))</f>
        <v>0</v>
      </c>
    </row>
    <row r="632" spans="1:31" x14ac:dyDescent="0.2">
      <c r="A632" s="2">
        <f t="shared" si="480"/>
        <v>10514001</v>
      </c>
      <c r="B632" s="1">
        <v>10000514</v>
      </c>
      <c r="C632" s="1" t="s">
        <v>281</v>
      </c>
      <c r="D632" s="1" t="s">
        <v>309</v>
      </c>
      <c r="E632" s="1" t="str">
        <f>"Persona_"&amp;_xlfn.XLOOKUP($B632, '#캐릭터'!$A:$A, '#캐릭터'!$C:$C)</f>
        <v>Persona_c514</v>
      </c>
      <c r="F632" s="1" t="s">
        <v>433</v>
      </c>
      <c r="G632" s="1">
        <f>_xlfn.XLOOKUP(_xlfn.XLOOKUP(B632,'[1]Detail&lt;Child&gt;'!$A:$A,'[1]Detail&lt;Child&gt;'!$N:$N),'#참조'!P:P,'#참조'!Q:Q)</f>
        <v>5</v>
      </c>
      <c r="H632" s="1">
        <f>_xlfn.XLOOKUP(_xlfn.XLOOKUP(B632,'[1]Detail&lt;Child&gt;'!$A:$A,'[1]Detail&lt;Child&gt;'!$O:$O),'#참조'!R:R,'#참조'!S:S)</f>
        <v>1</v>
      </c>
      <c r="I632" s="1">
        <v>0</v>
      </c>
      <c r="J632" s="2">
        <v>3</v>
      </c>
      <c r="K632" s="2">
        <v>1</v>
      </c>
      <c r="L632" s="2">
        <v>1</v>
      </c>
      <c r="M632" s="2" t="s">
        <v>5</v>
      </c>
      <c r="N632" s="2" t="s">
        <v>407</v>
      </c>
      <c r="O632" s="2">
        <v>2000</v>
      </c>
      <c r="P632" s="2" t="s">
        <v>194</v>
      </c>
      <c r="Q632" s="2" t="str">
        <f t="shared" si="481"/>
        <v>1000,1200</v>
      </c>
      <c r="R632" s="2">
        <v>1000</v>
      </c>
      <c r="S632" s="2">
        <f t="shared" ref="S632:S649" si="489">ROUND(R632*1.2, -2)</f>
        <v>1200</v>
      </c>
      <c r="T632" s="2" t="s">
        <v>195</v>
      </c>
      <c r="U632" s="2" t="str">
        <f t="shared" si="483"/>
        <v>100,100</v>
      </c>
      <c r="V632" s="2">
        <v>100</v>
      </c>
      <c r="W632" s="2">
        <f t="shared" ref="W632:W649" si="490">ROUND(V632*1.2, -2)</f>
        <v>100</v>
      </c>
      <c r="X632" s="2" t="s">
        <v>196</v>
      </c>
      <c r="Y632" s="2" t="str">
        <f t="shared" si="485"/>
        <v>80,100</v>
      </c>
      <c r="Z632" s="2">
        <v>80</v>
      </c>
      <c r="AA632" s="2">
        <f t="shared" ref="AA632:AA649" si="491">ROUND(Z632*1.2, -2)</f>
        <v>100</v>
      </c>
      <c r="AB632" s="2">
        <v>100000</v>
      </c>
      <c r="AC632" s="2" t="str">
        <f>_xlfn.XLOOKUP(B632,'#캐릭터'!A:A,'#캐릭터'!B:B)</f>
        <v>두엣샤</v>
      </c>
      <c r="AD632" s="2" t="str">
        <f t="shared" si="487"/>
        <v>Common1_두엣샤</v>
      </c>
      <c r="AE632" s="2">
        <f t="shared" si="488"/>
        <v>0</v>
      </c>
    </row>
    <row r="633" spans="1:31" x14ac:dyDescent="0.2">
      <c r="A633" s="2">
        <f t="shared" si="480"/>
        <v>10514002</v>
      </c>
      <c r="B633" s="1">
        <v>10000514</v>
      </c>
      <c r="C633" s="1" t="s">
        <v>281</v>
      </c>
      <c r="D633" s="1" t="s">
        <v>309</v>
      </c>
      <c r="E633" s="1" t="str">
        <f>"Persona_"&amp;_xlfn.XLOOKUP($B633, '#캐릭터'!$A:$A, '#캐릭터'!$C:$C)</f>
        <v>Persona_c514</v>
      </c>
      <c r="F633" s="1" t="s">
        <v>433</v>
      </c>
      <c r="G633" s="1">
        <f>_xlfn.XLOOKUP(_xlfn.XLOOKUP(B633,'[1]Detail&lt;Child&gt;'!$A:$A,'[1]Detail&lt;Child&gt;'!$N:$N),'#참조'!P:P,'#참조'!Q:Q)</f>
        <v>5</v>
      </c>
      <c r="H633" s="1">
        <f>_xlfn.XLOOKUP(_xlfn.XLOOKUP(B633,'[1]Detail&lt;Child&gt;'!$A:$A,'[1]Detail&lt;Child&gt;'!$O:$O),'#참조'!R:R,'#참조'!S:S)</f>
        <v>1</v>
      </c>
      <c r="I633" s="1">
        <v>0</v>
      </c>
      <c r="J633" s="2">
        <v>3</v>
      </c>
      <c r="K633" s="2">
        <v>1</v>
      </c>
      <c r="L633" s="2">
        <v>2</v>
      </c>
      <c r="M633" s="2" t="s">
        <v>6</v>
      </c>
      <c r="N633" s="2" t="s">
        <v>407</v>
      </c>
      <c r="O633" s="2">
        <f t="shared" ref="O633:O649" si="492">ROUND(O632*1.1, 0)</f>
        <v>2200</v>
      </c>
      <c r="P633" s="2" t="s">
        <v>194</v>
      </c>
      <c r="Q633" s="2" t="str">
        <f t="shared" si="481"/>
        <v>1300,1600</v>
      </c>
      <c r="R633" s="2">
        <f t="shared" ref="R633:R649" si="493">ROUND(R632*1.3, 0)</f>
        <v>1300</v>
      </c>
      <c r="S633" s="2">
        <f t="shared" si="489"/>
        <v>1600</v>
      </c>
      <c r="T633" s="2" t="s">
        <v>195</v>
      </c>
      <c r="U633" s="2" t="str">
        <f t="shared" si="483"/>
        <v>120,100</v>
      </c>
      <c r="V633" s="2">
        <f t="shared" ref="V633:V649" si="494">ROUND(V632*1.2, 0)</f>
        <v>120</v>
      </c>
      <c r="W633" s="2">
        <f t="shared" si="490"/>
        <v>100</v>
      </c>
      <c r="X633" s="2" t="s">
        <v>196</v>
      </c>
      <c r="Y633" s="2" t="str">
        <f t="shared" si="485"/>
        <v>104,100</v>
      </c>
      <c r="Z633" s="2">
        <f t="shared" ref="Z633:Z649" si="495">ROUND(Z632*1.3, 0)</f>
        <v>104</v>
      </c>
      <c r="AA633" s="2">
        <f t="shared" si="491"/>
        <v>100</v>
      </c>
      <c r="AB633" s="2">
        <v>100000</v>
      </c>
      <c r="AC633" s="2" t="str">
        <f>_xlfn.XLOOKUP(B633,'#캐릭터'!A:A,'#캐릭터'!B:B)</f>
        <v>두엣샤</v>
      </c>
      <c r="AD633" s="2" t="str">
        <f t="shared" si="487"/>
        <v>Common2_두엣샤</v>
      </c>
      <c r="AE633" s="2">
        <f t="shared" si="488"/>
        <v>0</v>
      </c>
    </row>
    <row r="634" spans="1:31" x14ac:dyDescent="0.2">
      <c r="A634" s="2">
        <f t="shared" si="480"/>
        <v>10514003</v>
      </c>
      <c r="B634" s="1">
        <v>10000514</v>
      </c>
      <c r="C634" s="1" t="s">
        <v>281</v>
      </c>
      <c r="D634" s="1" t="s">
        <v>309</v>
      </c>
      <c r="E634" s="1" t="str">
        <f>"Persona_"&amp;_xlfn.XLOOKUP($B634, '#캐릭터'!$A:$A, '#캐릭터'!$C:$C)</f>
        <v>Persona_c514</v>
      </c>
      <c r="F634" s="1" t="s">
        <v>433</v>
      </c>
      <c r="G634" s="1">
        <f>_xlfn.XLOOKUP(_xlfn.XLOOKUP(B634,'[1]Detail&lt;Child&gt;'!$A:$A,'[1]Detail&lt;Child&gt;'!$N:$N),'#참조'!P:P,'#참조'!Q:Q)</f>
        <v>5</v>
      </c>
      <c r="H634" s="1">
        <f>_xlfn.XLOOKUP(_xlfn.XLOOKUP(B634,'[1]Detail&lt;Child&gt;'!$A:$A,'[1]Detail&lt;Child&gt;'!$O:$O),'#참조'!R:R,'#참조'!S:S)</f>
        <v>1</v>
      </c>
      <c r="I634" s="1">
        <v>0</v>
      </c>
      <c r="J634" s="2">
        <v>3</v>
      </c>
      <c r="K634" s="2">
        <v>1</v>
      </c>
      <c r="L634" s="2">
        <v>3</v>
      </c>
      <c r="M634" s="2" t="s">
        <v>7</v>
      </c>
      <c r="N634" s="2" t="s">
        <v>407</v>
      </c>
      <c r="O634" s="2">
        <f t="shared" si="492"/>
        <v>2420</v>
      </c>
      <c r="P634" s="2" t="s">
        <v>194</v>
      </c>
      <c r="Q634" s="2" t="str">
        <f t="shared" si="481"/>
        <v>1690,2000</v>
      </c>
      <c r="R634" s="2">
        <f t="shared" si="493"/>
        <v>1690</v>
      </c>
      <c r="S634" s="2">
        <f t="shared" si="489"/>
        <v>2000</v>
      </c>
      <c r="T634" s="2" t="s">
        <v>195</v>
      </c>
      <c r="U634" s="2" t="str">
        <f t="shared" si="483"/>
        <v>144,200</v>
      </c>
      <c r="V634" s="2">
        <f t="shared" si="494"/>
        <v>144</v>
      </c>
      <c r="W634" s="2">
        <f t="shared" si="490"/>
        <v>200</v>
      </c>
      <c r="X634" s="2" t="s">
        <v>196</v>
      </c>
      <c r="Y634" s="2" t="str">
        <f t="shared" si="485"/>
        <v>135,200</v>
      </c>
      <c r="Z634" s="2">
        <f t="shared" si="495"/>
        <v>135</v>
      </c>
      <c r="AA634" s="2">
        <f t="shared" si="491"/>
        <v>200</v>
      </c>
      <c r="AB634" s="2">
        <v>100000</v>
      </c>
      <c r="AC634" s="2" t="str">
        <f>_xlfn.XLOOKUP(B634,'#캐릭터'!A:A,'#캐릭터'!B:B)</f>
        <v>두엣샤</v>
      </c>
      <c r="AD634" s="2" t="str">
        <f t="shared" si="487"/>
        <v>Common3_두엣샤</v>
      </c>
      <c r="AE634" s="2">
        <f t="shared" si="488"/>
        <v>0</v>
      </c>
    </row>
    <row r="635" spans="1:31" x14ac:dyDescent="0.2">
      <c r="A635" s="2">
        <f t="shared" si="480"/>
        <v>10514004</v>
      </c>
      <c r="B635" s="1">
        <v>10000514</v>
      </c>
      <c r="C635" s="1" t="s">
        <v>281</v>
      </c>
      <c r="D635" s="1" t="s">
        <v>309</v>
      </c>
      <c r="E635" s="1" t="str">
        <f>"Persona_"&amp;_xlfn.XLOOKUP($B635, '#캐릭터'!$A:$A, '#캐릭터'!$C:$C)</f>
        <v>Persona_c514</v>
      </c>
      <c r="F635" s="1" t="s">
        <v>433</v>
      </c>
      <c r="G635" s="1">
        <f>_xlfn.XLOOKUP(_xlfn.XLOOKUP(B635,'[1]Detail&lt;Child&gt;'!$A:$A,'[1]Detail&lt;Child&gt;'!$N:$N),'#참조'!P:P,'#참조'!Q:Q)</f>
        <v>5</v>
      </c>
      <c r="H635" s="1">
        <f>_xlfn.XLOOKUP(_xlfn.XLOOKUP(B635,'[1]Detail&lt;Child&gt;'!$A:$A,'[1]Detail&lt;Child&gt;'!$O:$O),'#참조'!R:R,'#참조'!S:S)</f>
        <v>1</v>
      </c>
      <c r="I635" s="1">
        <v>0</v>
      </c>
      <c r="J635" s="2">
        <v>3</v>
      </c>
      <c r="K635" s="2">
        <v>2</v>
      </c>
      <c r="L635" s="2">
        <v>4</v>
      </c>
      <c r="M635" s="2" t="s">
        <v>8</v>
      </c>
      <c r="N635" s="2" t="s">
        <v>407</v>
      </c>
      <c r="O635" s="2">
        <f t="shared" si="492"/>
        <v>2662</v>
      </c>
      <c r="P635" s="2" t="s">
        <v>194</v>
      </c>
      <c r="Q635" s="2" t="str">
        <f t="shared" si="481"/>
        <v>2197,2600</v>
      </c>
      <c r="R635" s="2">
        <f t="shared" si="493"/>
        <v>2197</v>
      </c>
      <c r="S635" s="2">
        <f t="shared" si="489"/>
        <v>2600</v>
      </c>
      <c r="T635" s="2" t="s">
        <v>195</v>
      </c>
      <c r="U635" s="2" t="str">
        <f t="shared" si="483"/>
        <v>173,200</v>
      </c>
      <c r="V635" s="2">
        <f t="shared" si="494"/>
        <v>173</v>
      </c>
      <c r="W635" s="2">
        <f t="shared" si="490"/>
        <v>200</v>
      </c>
      <c r="X635" s="2" t="s">
        <v>196</v>
      </c>
      <c r="Y635" s="2" t="str">
        <f t="shared" si="485"/>
        <v>176,200</v>
      </c>
      <c r="Z635" s="2">
        <f t="shared" si="495"/>
        <v>176</v>
      </c>
      <c r="AA635" s="2">
        <f t="shared" si="491"/>
        <v>200</v>
      </c>
      <c r="AB635" s="2">
        <v>95000</v>
      </c>
      <c r="AC635" s="2" t="str">
        <f>_xlfn.XLOOKUP(B635,'#캐릭터'!A:A,'#캐릭터'!B:B)</f>
        <v>두엣샤</v>
      </c>
      <c r="AD635" s="2" t="str">
        <f t="shared" si="487"/>
        <v>Uncommon1_두엣샤</v>
      </c>
      <c r="AE635" s="2">
        <f t="shared" si="488"/>
        <v>0</v>
      </c>
    </row>
    <row r="636" spans="1:31" x14ac:dyDescent="0.2">
      <c r="A636" s="2">
        <f t="shared" si="480"/>
        <v>10514005</v>
      </c>
      <c r="B636" s="1">
        <v>10000514</v>
      </c>
      <c r="C636" s="1" t="s">
        <v>281</v>
      </c>
      <c r="D636" s="1" t="s">
        <v>309</v>
      </c>
      <c r="E636" s="1" t="str">
        <f>"Persona_"&amp;_xlfn.XLOOKUP($B636, '#캐릭터'!$A:$A, '#캐릭터'!$C:$C)</f>
        <v>Persona_c514</v>
      </c>
      <c r="F636" s="1" t="s">
        <v>433</v>
      </c>
      <c r="G636" s="1">
        <f>_xlfn.XLOOKUP(_xlfn.XLOOKUP(B636,'[1]Detail&lt;Child&gt;'!$A:$A,'[1]Detail&lt;Child&gt;'!$N:$N),'#참조'!P:P,'#참조'!Q:Q)</f>
        <v>5</v>
      </c>
      <c r="H636" s="1">
        <f>_xlfn.XLOOKUP(_xlfn.XLOOKUP(B636,'[1]Detail&lt;Child&gt;'!$A:$A,'[1]Detail&lt;Child&gt;'!$O:$O),'#참조'!R:R,'#참조'!S:S)</f>
        <v>1</v>
      </c>
      <c r="I636" s="1">
        <v>0</v>
      </c>
      <c r="J636" s="2">
        <v>3</v>
      </c>
      <c r="K636" s="2">
        <v>2</v>
      </c>
      <c r="L636" s="2">
        <v>5</v>
      </c>
      <c r="M636" s="2" t="s">
        <v>9</v>
      </c>
      <c r="N636" s="2" t="s">
        <v>407</v>
      </c>
      <c r="O636" s="2">
        <f t="shared" si="492"/>
        <v>2928</v>
      </c>
      <c r="P636" s="2" t="s">
        <v>194</v>
      </c>
      <c r="Q636" s="2" t="str">
        <f t="shared" si="481"/>
        <v>2856,3400</v>
      </c>
      <c r="R636" s="2">
        <f t="shared" si="493"/>
        <v>2856</v>
      </c>
      <c r="S636" s="2">
        <f t="shared" si="489"/>
        <v>3400</v>
      </c>
      <c r="T636" s="2" t="s">
        <v>195</v>
      </c>
      <c r="U636" s="2" t="str">
        <f t="shared" si="483"/>
        <v>208,200</v>
      </c>
      <c r="V636" s="2">
        <f t="shared" si="494"/>
        <v>208</v>
      </c>
      <c r="W636" s="2">
        <f t="shared" si="490"/>
        <v>200</v>
      </c>
      <c r="X636" s="2" t="s">
        <v>196</v>
      </c>
      <c r="Y636" s="2" t="str">
        <f t="shared" si="485"/>
        <v>229,300</v>
      </c>
      <c r="Z636" s="2">
        <f t="shared" si="495"/>
        <v>229</v>
      </c>
      <c r="AA636" s="2">
        <f t="shared" si="491"/>
        <v>300</v>
      </c>
      <c r="AB636" s="2">
        <v>95000</v>
      </c>
      <c r="AC636" s="2" t="str">
        <f>_xlfn.XLOOKUP(B636,'#캐릭터'!A:A,'#캐릭터'!B:B)</f>
        <v>두엣샤</v>
      </c>
      <c r="AD636" s="2" t="str">
        <f t="shared" si="487"/>
        <v>Uncommon2_두엣샤</v>
      </c>
      <c r="AE636" s="2">
        <f t="shared" si="488"/>
        <v>0</v>
      </c>
    </row>
    <row r="637" spans="1:31" x14ac:dyDescent="0.2">
      <c r="A637" s="2">
        <f t="shared" si="480"/>
        <v>10514006</v>
      </c>
      <c r="B637" s="1">
        <v>10000514</v>
      </c>
      <c r="C637" s="1" t="s">
        <v>281</v>
      </c>
      <c r="D637" s="1" t="s">
        <v>309</v>
      </c>
      <c r="E637" s="1" t="str">
        <f>"Persona_"&amp;_xlfn.XLOOKUP($B637, '#캐릭터'!$A:$A, '#캐릭터'!$C:$C)</f>
        <v>Persona_c514</v>
      </c>
      <c r="F637" s="1" t="s">
        <v>433</v>
      </c>
      <c r="G637" s="1">
        <f>_xlfn.XLOOKUP(_xlfn.XLOOKUP(B637,'[1]Detail&lt;Child&gt;'!$A:$A,'[1]Detail&lt;Child&gt;'!$N:$N),'#참조'!P:P,'#참조'!Q:Q)</f>
        <v>5</v>
      </c>
      <c r="H637" s="1">
        <f>_xlfn.XLOOKUP(_xlfn.XLOOKUP(B637,'[1]Detail&lt;Child&gt;'!$A:$A,'[1]Detail&lt;Child&gt;'!$O:$O),'#참조'!R:R,'#참조'!S:S)</f>
        <v>1</v>
      </c>
      <c r="I637" s="1">
        <v>0</v>
      </c>
      <c r="J637" s="2">
        <v>3</v>
      </c>
      <c r="K637" s="2">
        <v>2</v>
      </c>
      <c r="L637" s="2">
        <v>6</v>
      </c>
      <c r="M637" s="2" t="s">
        <v>10</v>
      </c>
      <c r="N637" s="2" t="s">
        <v>407</v>
      </c>
      <c r="O637" s="2">
        <f t="shared" si="492"/>
        <v>3221</v>
      </c>
      <c r="P637" s="2" t="s">
        <v>194</v>
      </c>
      <c r="Q637" s="2" t="str">
        <f t="shared" si="481"/>
        <v>3713,4500</v>
      </c>
      <c r="R637" s="2">
        <f t="shared" si="493"/>
        <v>3713</v>
      </c>
      <c r="S637" s="2">
        <f t="shared" si="489"/>
        <v>4500</v>
      </c>
      <c r="T637" s="2" t="s">
        <v>195</v>
      </c>
      <c r="U637" s="2" t="str">
        <f t="shared" si="483"/>
        <v>250,300</v>
      </c>
      <c r="V637" s="2">
        <f t="shared" si="494"/>
        <v>250</v>
      </c>
      <c r="W637" s="2">
        <f t="shared" si="490"/>
        <v>300</v>
      </c>
      <c r="X637" s="2" t="s">
        <v>196</v>
      </c>
      <c r="Y637" s="2" t="str">
        <f t="shared" si="485"/>
        <v>298,400</v>
      </c>
      <c r="Z637" s="2">
        <f t="shared" si="495"/>
        <v>298</v>
      </c>
      <c r="AA637" s="2">
        <f t="shared" si="491"/>
        <v>400</v>
      </c>
      <c r="AB637" s="2">
        <v>95000</v>
      </c>
      <c r="AC637" s="2" t="str">
        <f>_xlfn.XLOOKUP(B637,'#캐릭터'!A:A,'#캐릭터'!B:B)</f>
        <v>두엣샤</v>
      </c>
      <c r="AD637" s="2" t="str">
        <f t="shared" si="487"/>
        <v>Uncommon3_두엣샤</v>
      </c>
      <c r="AE637" s="2">
        <f t="shared" si="488"/>
        <v>0</v>
      </c>
    </row>
    <row r="638" spans="1:31" x14ac:dyDescent="0.2">
      <c r="A638" s="2">
        <f t="shared" si="480"/>
        <v>10514007</v>
      </c>
      <c r="B638" s="1">
        <v>10000514</v>
      </c>
      <c r="C638" s="1" t="s">
        <v>281</v>
      </c>
      <c r="D638" s="1" t="s">
        <v>309</v>
      </c>
      <c r="E638" s="1" t="str">
        <f>"Persona_"&amp;_xlfn.XLOOKUP($B638, '#캐릭터'!$A:$A, '#캐릭터'!$C:$C)</f>
        <v>Persona_c514</v>
      </c>
      <c r="F638" s="1" t="s">
        <v>433</v>
      </c>
      <c r="G638" s="1">
        <f>_xlfn.XLOOKUP(_xlfn.XLOOKUP(B638,'[1]Detail&lt;Child&gt;'!$A:$A,'[1]Detail&lt;Child&gt;'!$N:$N),'#참조'!P:P,'#참조'!Q:Q)</f>
        <v>5</v>
      </c>
      <c r="H638" s="1">
        <f>_xlfn.XLOOKUP(_xlfn.XLOOKUP(B638,'[1]Detail&lt;Child&gt;'!$A:$A,'[1]Detail&lt;Child&gt;'!$O:$O),'#참조'!R:R,'#참조'!S:S)</f>
        <v>1</v>
      </c>
      <c r="I638" s="1">
        <v>1</v>
      </c>
      <c r="J638" s="2">
        <v>3</v>
      </c>
      <c r="K638" s="2">
        <v>3</v>
      </c>
      <c r="L638" s="2">
        <v>7</v>
      </c>
      <c r="M638" s="2" t="s">
        <v>11</v>
      </c>
      <c r="N638" s="2" t="s">
        <v>407</v>
      </c>
      <c r="O638" s="2">
        <f t="shared" si="492"/>
        <v>3543</v>
      </c>
      <c r="P638" s="2" t="s">
        <v>194</v>
      </c>
      <c r="Q638" s="2" t="str">
        <f t="shared" si="481"/>
        <v>4827,5800</v>
      </c>
      <c r="R638" s="2">
        <f t="shared" si="493"/>
        <v>4827</v>
      </c>
      <c r="S638" s="2">
        <f t="shared" si="489"/>
        <v>5800</v>
      </c>
      <c r="T638" s="2" t="s">
        <v>195</v>
      </c>
      <c r="U638" s="2" t="str">
        <f t="shared" si="483"/>
        <v>300,400</v>
      </c>
      <c r="V638" s="2">
        <f t="shared" si="494"/>
        <v>300</v>
      </c>
      <c r="W638" s="2">
        <f t="shared" si="490"/>
        <v>400</v>
      </c>
      <c r="X638" s="2" t="s">
        <v>196</v>
      </c>
      <c r="Y638" s="2" t="str">
        <f t="shared" si="485"/>
        <v>387,500</v>
      </c>
      <c r="Z638" s="2">
        <f t="shared" si="495"/>
        <v>387</v>
      </c>
      <c r="AA638" s="2">
        <f t="shared" si="491"/>
        <v>500</v>
      </c>
      <c r="AB638" s="2">
        <v>90000</v>
      </c>
      <c r="AC638" s="2" t="str">
        <f>_xlfn.XLOOKUP(B638,'#캐릭터'!A:A,'#캐릭터'!B:B)</f>
        <v>두엣샤</v>
      </c>
      <c r="AD638" s="2" t="str">
        <f t="shared" si="487"/>
        <v>Rare1_두엣샤</v>
      </c>
      <c r="AE638" s="2">
        <f t="shared" si="488"/>
        <v>5101</v>
      </c>
    </row>
    <row r="639" spans="1:31" x14ac:dyDescent="0.2">
      <c r="A639" s="2">
        <f t="shared" si="480"/>
        <v>10514008</v>
      </c>
      <c r="B639" s="1">
        <v>10000514</v>
      </c>
      <c r="C639" s="1" t="s">
        <v>281</v>
      </c>
      <c r="D639" s="1" t="s">
        <v>309</v>
      </c>
      <c r="E639" s="1" t="str">
        <f>"Persona_"&amp;_xlfn.XLOOKUP($B639, '#캐릭터'!$A:$A, '#캐릭터'!$C:$C)</f>
        <v>Persona_c514</v>
      </c>
      <c r="F639" s="1" t="s">
        <v>433</v>
      </c>
      <c r="G639" s="1">
        <f>_xlfn.XLOOKUP(_xlfn.XLOOKUP(B639,'[1]Detail&lt;Child&gt;'!$A:$A,'[1]Detail&lt;Child&gt;'!$N:$N),'#참조'!P:P,'#참조'!Q:Q)</f>
        <v>5</v>
      </c>
      <c r="H639" s="1">
        <f>_xlfn.XLOOKUP(_xlfn.XLOOKUP(B639,'[1]Detail&lt;Child&gt;'!$A:$A,'[1]Detail&lt;Child&gt;'!$O:$O),'#참조'!R:R,'#참조'!S:S)</f>
        <v>1</v>
      </c>
      <c r="I639" s="1">
        <v>1</v>
      </c>
      <c r="J639" s="2">
        <v>3</v>
      </c>
      <c r="K639" s="2">
        <v>3</v>
      </c>
      <c r="L639" s="2">
        <v>8</v>
      </c>
      <c r="M639" s="2" t="s">
        <v>12</v>
      </c>
      <c r="N639" s="2" t="s">
        <v>407</v>
      </c>
      <c r="O639" s="2">
        <f t="shared" si="492"/>
        <v>3897</v>
      </c>
      <c r="P639" s="2" t="s">
        <v>194</v>
      </c>
      <c r="Q639" s="2" t="str">
        <f t="shared" si="481"/>
        <v>6275,7500</v>
      </c>
      <c r="R639" s="2">
        <f t="shared" si="493"/>
        <v>6275</v>
      </c>
      <c r="S639" s="2">
        <f t="shared" si="489"/>
        <v>7500</v>
      </c>
      <c r="T639" s="2" t="s">
        <v>195</v>
      </c>
      <c r="U639" s="2" t="str">
        <f t="shared" si="483"/>
        <v>360,400</v>
      </c>
      <c r="V639" s="2">
        <f t="shared" si="494"/>
        <v>360</v>
      </c>
      <c r="W639" s="2">
        <f t="shared" si="490"/>
        <v>400</v>
      </c>
      <c r="X639" s="2" t="s">
        <v>196</v>
      </c>
      <c r="Y639" s="2" t="str">
        <f t="shared" si="485"/>
        <v>503,600</v>
      </c>
      <c r="Z639" s="2">
        <f t="shared" si="495"/>
        <v>503</v>
      </c>
      <c r="AA639" s="2">
        <f t="shared" si="491"/>
        <v>600</v>
      </c>
      <c r="AB639" s="2">
        <v>90000</v>
      </c>
      <c r="AC639" s="2" t="str">
        <f>_xlfn.XLOOKUP(B639,'#캐릭터'!A:A,'#캐릭터'!B:B)</f>
        <v>두엣샤</v>
      </c>
      <c r="AD639" s="2" t="str">
        <f t="shared" si="487"/>
        <v>Rare2_두엣샤</v>
      </c>
      <c r="AE639" s="2">
        <f t="shared" si="488"/>
        <v>5101</v>
      </c>
    </row>
    <row r="640" spans="1:31" x14ac:dyDescent="0.2">
      <c r="A640" s="2">
        <f t="shared" si="480"/>
        <v>10514009</v>
      </c>
      <c r="B640" s="1">
        <v>10000514</v>
      </c>
      <c r="C640" s="1" t="s">
        <v>281</v>
      </c>
      <c r="D640" s="1" t="s">
        <v>309</v>
      </c>
      <c r="E640" s="1" t="str">
        <f>"Persona_"&amp;_xlfn.XLOOKUP($B640, '#캐릭터'!$A:$A, '#캐릭터'!$C:$C)</f>
        <v>Persona_c514</v>
      </c>
      <c r="F640" s="1" t="s">
        <v>433</v>
      </c>
      <c r="G640" s="1">
        <f>_xlfn.XLOOKUP(_xlfn.XLOOKUP(B640,'[1]Detail&lt;Child&gt;'!$A:$A,'[1]Detail&lt;Child&gt;'!$N:$N),'#참조'!P:P,'#참조'!Q:Q)</f>
        <v>5</v>
      </c>
      <c r="H640" s="1">
        <f>_xlfn.XLOOKUP(_xlfn.XLOOKUP(B640,'[1]Detail&lt;Child&gt;'!$A:$A,'[1]Detail&lt;Child&gt;'!$O:$O),'#참조'!R:R,'#참조'!S:S)</f>
        <v>1</v>
      </c>
      <c r="I640" s="1">
        <v>2</v>
      </c>
      <c r="J640" s="2">
        <v>3</v>
      </c>
      <c r="K640" s="2">
        <v>3</v>
      </c>
      <c r="L640" s="2">
        <v>9</v>
      </c>
      <c r="M640" s="2" t="s">
        <v>13</v>
      </c>
      <c r="N640" s="2" t="s">
        <v>407</v>
      </c>
      <c r="O640" s="2">
        <f t="shared" si="492"/>
        <v>4287</v>
      </c>
      <c r="P640" s="2" t="s">
        <v>194</v>
      </c>
      <c r="Q640" s="2" t="str">
        <f t="shared" si="481"/>
        <v>8158,9800</v>
      </c>
      <c r="R640" s="2">
        <f t="shared" si="493"/>
        <v>8158</v>
      </c>
      <c r="S640" s="2">
        <f t="shared" si="489"/>
        <v>9800</v>
      </c>
      <c r="T640" s="2" t="s">
        <v>195</v>
      </c>
      <c r="U640" s="2" t="str">
        <f t="shared" si="483"/>
        <v>432,500</v>
      </c>
      <c r="V640" s="2">
        <f t="shared" si="494"/>
        <v>432</v>
      </c>
      <c r="W640" s="2">
        <f t="shared" si="490"/>
        <v>500</v>
      </c>
      <c r="X640" s="2" t="s">
        <v>196</v>
      </c>
      <c r="Y640" s="2" t="str">
        <f t="shared" si="485"/>
        <v>654,800</v>
      </c>
      <c r="Z640" s="2">
        <f t="shared" si="495"/>
        <v>654</v>
      </c>
      <c r="AA640" s="2">
        <f t="shared" si="491"/>
        <v>800</v>
      </c>
      <c r="AB640" s="2">
        <v>90000</v>
      </c>
      <c r="AC640" s="2" t="str">
        <f>_xlfn.XLOOKUP(B640,'#캐릭터'!A:A,'#캐릭터'!B:B)</f>
        <v>두엣샤</v>
      </c>
      <c r="AD640" s="2" t="str">
        <f t="shared" si="487"/>
        <v>Rare3_두엣샤</v>
      </c>
      <c r="AE640" s="2">
        <f t="shared" si="488"/>
        <v>5102</v>
      </c>
    </row>
    <row r="641" spans="1:31" x14ac:dyDescent="0.2">
      <c r="A641" s="2">
        <f t="shared" si="480"/>
        <v>10514010</v>
      </c>
      <c r="B641" s="1">
        <v>10000514</v>
      </c>
      <c r="C641" s="1" t="s">
        <v>281</v>
      </c>
      <c r="D641" s="1" t="s">
        <v>309</v>
      </c>
      <c r="E641" s="1" t="str">
        <f>"Persona_"&amp;_xlfn.XLOOKUP($B641, '#캐릭터'!$A:$A, '#캐릭터'!$C:$C)</f>
        <v>Persona_c514</v>
      </c>
      <c r="F641" s="1" t="s">
        <v>433</v>
      </c>
      <c r="G641" s="1">
        <f>_xlfn.XLOOKUP(_xlfn.XLOOKUP(B641,'[1]Detail&lt;Child&gt;'!$A:$A,'[1]Detail&lt;Child&gt;'!$N:$N),'#참조'!P:P,'#참조'!Q:Q)</f>
        <v>5</v>
      </c>
      <c r="H641" s="1">
        <f>_xlfn.XLOOKUP(_xlfn.XLOOKUP(B641,'[1]Detail&lt;Child&gt;'!$A:$A,'[1]Detail&lt;Child&gt;'!$O:$O),'#참조'!R:R,'#참조'!S:S)</f>
        <v>1</v>
      </c>
      <c r="I641" s="1">
        <v>2</v>
      </c>
      <c r="J641" s="2">
        <v>3</v>
      </c>
      <c r="K641" s="2">
        <v>4</v>
      </c>
      <c r="L641" s="2">
        <v>10</v>
      </c>
      <c r="M641" s="2" t="s">
        <v>14</v>
      </c>
      <c r="N641" s="2" t="s">
        <v>407</v>
      </c>
      <c r="O641" s="2">
        <f t="shared" si="492"/>
        <v>4716</v>
      </c>
      <c r="P641" s="2" t="s">
        <v>194</v>
      </c>
      <c r="Q641" s="2" t="str">
        <f t="shared" si="481"/>
        <v>10605,12700</v>
      </c>
      <c r="R641" s="2">
        <f t="shared" si="493"/>
        <v>10605</v>
      </c>
      <c r="S641" s="2">
        <f t="shared" si="489"/>
        <v>12700</v>
      </c>
      <c r="T641" s="2" t="s">
        <v>195</v>
      </c>
      <c r="U641" s="2" t="str">
        <f t="shared" si="483"/>
        <v>518,600</v>
      </c>
      <c r="V641" s="2">
        <f t="shared" si="494"/>
        <v>518</v>
      </c>
      <c r="W641" s="2">
        <f t="shared" si="490"/>
        <v>600</v>
      </c>
      <c r="X641" s="2" t="s">
        <v>196</v>
      </c>
      <c r="Y641" s="2" t="str">
        <f t="shared" si="485"/>
        <v>850,1000</v>
      </c>
      <c r="Z641" s="2">
        <f t="shared" si="495"/>
        <v>850</v>
      </c>
      <c r="AA641" s="2">
        <f t="shared" si="491"/>
        <v>1000</v>
      </c>
      <c r="AB641" s="2">
        <v>85000</v>
      </c>
      <c r="AC641" s="2" t="str">
        <f>_xlfn.XLOOKUP(B641,'#캐릭터'!A:A,'#캐릭터'!B:B)</f>
        <v>두엣샤</v>
      </c>
      <c r="AD641" s="2" t="str">
        <f t="shared" si="487"/>
        <v>Unique1_두엣샤</v>
      </c>
      <c r="AE641" s="2">
        <f t="shared" si="488"/>
        <v>5102</v>
      </c>
    </row>
    <row r="642" spans="1:31" x14ac:dyDescent="0.2">
      <c r="A642" s="2">
        <f t="shared" si="480"/>
        <v>10514011</v>
      </c>
      <c r="B642" s="1">
        <v>10000514</v>
      </c>
      <c r="C642" s="1" t="s">
        <v>281</v>
      </c>
      <c r="D642" s="1" t="s">
        <v>309</v>
      </c>
      <c r="E642" s="1" t="str">
        <f>"Persona_"&amp;_xlfn.XLOOKUP($B642, '#캐릭터'!$A:$A, '#캐릭터'!$C:$C)</f>
        <v>Persona_c514</v>
      </c>
      <c r="F642" s="1" t="s">
        <v>433</v>
      </c>
      <c r="G642" s="1">
        <f>_xlfn.XLOOKUP(_xlfn.XLOOKUP(B642,'[1]Detail&lt;Child&gt;'!$A:$A,'[1]Detail&lt;Child&gt;'!$N:$N),'#참조'!P:P,'#참조'!Q:Q)</f>
        <v>5</v>
      </c>
      <c r="H642" s="1">
        <f>_xlfn.XLOOKUP(_xlfn.XLOOKUP(B642,'[1]Detail&lt;Child&gt;'!$A:$A,'[1]Detail&lt;Child&gt;'!$O:$O),'#참조'!R:R,'#참조'!S:S)</f>
        <v>1</v>
      </c>
      <c r="I642" s="1">
        <v>3</v>
      </c>
      <c r="J642" s="2">
        <v>3</v>
      </c>
      <c r="K642" s="2">
        <v>4</v>
      </c>
      <c r="L642" s="2">
        <v>11</v>
      </c>
      <c r="M642" s="2" t="s">
        <v>15</v>
      </c>
      <c r="N642" s="2" t="s">
        <v>407</v>
      </c>
      <c r="O642" s="2">
        <f t="shared" si="492"/>
        <v>5188</v>
      </c>
      <c r="P642" s="2" t="s">
        <v>194</v>
      </c>
      <c r="Q642" s="2" t="str">
        <f t="shared" si="481"/>
        <v>13787,16500</v>
      </c>
      <c r="R642" s="2">
        <f t="shared" si="493"/>
        <v>13787</v>
      </c>
      <c r="S642" s="2">
        <f t="shared" si="489"/>
        <v>16500</v>
      </c>
      <c r="T642" s="2" t="s">
        <v>195</v>
      </c>
      <c r="U642" s="2" t="str">
        <f t="shared" si="483"/>
        <v>622,700</v>
      </c>
      <c r="V642" s="2">
        <f t="shared" si="494"/>
        <v>622</v>
      </c>
      <c r="W642" s="2">
        <f t="shared" si="490"/>
        <v>700</v>
      </c>
      <c r="X642" s="2" t="s">
        <v>196</v>
      </c>
      <c r="Y642" s="2" t="str">
        <f t="shared" si="485"/>
        <v>1105,1300</v>
      </c>
      <c r="Z642" s="2">
        <f t="shared" si="495"/>
        <v>1105</v>
      </c>
      <c r="AA642" s="2">
        <f t="shared" si="491"/>
        <v>1300</v>
      </c>
      <c r="AB642" s="2">
        <v>85000</v>
      </c>
      <c r="AC642" s="2" t="str">
        <f>_xlfn.XLOOKUP(B642,'#캐릭터'!A:A,'#캐릭터'!B:B)</f>
        <v>두엣샤</v>
      </c>
      <c r="AD642" s="2" t="str">
        <f t="shared" si="487"/>
        <v>Unique2_두엣샤</v>
      </c>
      <c r="AE642" s="2">
        <f t="shared" si="488"/>
        <v>5103</v>
      </c>
    </row>
    <row r="643" spans="1:31" x14ac:dyDescent="0.2">
      <c r="A643" s="2">
        <f t="shared" si="480"/>
        <v>10514012</v>
      </c>
      <c r="B643" s="1">
        <v>10000514</v>
      </c>
      <c r="C643" s="1" t="s">
        <v>281</v>
      </c>
      <c r="D643" s="1" t="s">
        <v>309</v>
      </c>
      <c r="E643" s="1" t="str">
        <f>"Persona_"&amp;_xlfn.XLOOKUP($B643, '#캐릭터'!$A:$A, '#캐릭터'!$C:$C)</f>
        <v>Persona_c514</v>
      </c>
      <c r="F643" s="1" t="s">
        <v>433</v>
      </c>
      <c r="G643" s="1">
        <f>_xlfn.XLOOKUP(_xlfn.XLOOKUP(B643,'[1]Detail&lt;Child&gt;'!$A:$A,'[1]Detail&lt;Child&gt;'!$N:$N),'#참조'!P:P,'#참조'!Q:Q)</f>
        <v>5</v>
      </c>
      <c r="H643" s="1">
        <f>_xlfn.XLOOKUP(_xlfn.XLOOKUP(B643,'[1]Detail&lt;Child&gt;'!$A:$A,'[1]Detail&lt;Child&gt;'!$O:$O),'#참조'!R:R,'#참조'!S:S)</f>
        <v>1</v>
      </c>
      <c r="I643" s="1">
        <v>3</v>
      </c>
      <c r="J643" s="2">
        <v>3</v>
      </c>
      <c r="K643" s="2">
        <v>4</v>
      </c>
      <c r="L643" s="2">
        <v>12</v>
      </c>
      <c r="M643" s="2" t="s">
        <v>16</v>
      </c>
      <c r="N643" s="2" t="s">
        <v>407</v>
      </c>
      <c r="O643" s="2">
        <f t="shared" si="492"/>
        <v>5707</v>
      </c>
      <c r="P643" s="2" t="s">
        <v>194</v>
      </c>
      <c r="Q643" s="2" t="str">
        <f t="shared" si="481"/>
        <v>17923,21500</v>
      </c>
      <c r="R643" s="2">
        <f t="shared" si="493"/>
        <v>17923</v>
      </c>
      <c r="S643" s="2">
        <f t="shared" si="489"/>
        <v>21500</v>
      </c>
      <c r="T643" s="2" t="s">
        <v>195</v>
      </c>
      <c r="U643" s="2" t="str">
        <f t="shared" si="483"/>
        <v>746,900</v>
      </c>
      <c r="V643" s="2">
        <f t="shared" si="494"/>
        <v>746</v>
      </c>
      <c r="W643" s="2">
        <f t="shared" si="490"/>
        <v>900</v>
      </c>
      <c r="X643" s="2" t="s">
        <v>196</v>
      </c>
      <c r="Y643" s="2" t="str">
        <f t="shared" si="485"/>
        <v>1437,1700</v>
      </c>
      <c r="Z643" s="2">
        <f t="shared" si="495"/>
        <v>1437</v>
      </c>
      <c r="AA643" s="2">
        <f t="shared" si="491"/>
        <v>1700</v>
      </c>
      <c r="AB643" s="2">
        <v>85000</v>
      </c>
      <c r="AC643" s="2" t="str">
        <f>_xlfn.XLOOKUP(B643,'#캐릭터'!A:A,'#캐릭터'!B:B)</f>
        <v>두엣샤</v>
      </c>
      <c r="AD643" s="2" t="str">
        <f t="shared" si="487"/>
        <v>Unique3_두엣샤</v>
      </c>
      <c r="AE643" s="2">
        <f t="shared" si="488"/>
        <v>5103</v>
      </c>
    </row>
    <row r="644" spans="1:31" x14ac:dyDescent="0.2">
      <c r="A644" s="2">
        <f t="shared" si="480"/>
        <v>10514013</v>
      </c>
      <c r="B644" s="1">
        <v>10000514</v>
      </c>
      <c r="C644" s="1" t="s">
        <v>281</v>
      </c>
      <c r="D644" s="1" t="s">
        <v>309</v>
      </c>
      <c r="E644" s="1" t="str">
        <f>"Persona_"&amp;_xlfn.XLOOKUP($B644, '#캐릭터'!$A:$A, '#캐릭터'!$C:$C)</f>
        <v>Persona_c514</v>
      </c>
      <c r="F644" s="1" t="s">
        <v>433</v>
      </c>
      <c r="G644" s="1">
        <f>_xlfn.XLOOKUP(_xlfn.XLOOKUP(B644,'[1]Detail&lt;Child&gt;'!$A:$A,'[1]Detail&lt;Child&gt;'!$N:$N),'#참조'!P:P,'#참조'!Q:Q)</f>
        <v>5</v>
      </c>
      <c r="H644" s="1">
        <f>_xlfn.XLOOKUP(_xlfn.XLOOKUP(B644,'[1]Detail&lt;Child&gt;'!$A:$A,'[1]Detail&lt;Child&gt;'!$O:$O),'#참조'!R:R,'#참조'!S:S)</f>
        <v>1</v>
      </c>
      <c r="I644" s="1">
        <v>4</v>
      </c>
      <c r="J644" s="2">
        <v>3</v>
      </c>
      <c r="K644" s="2">
        <v>5</v>
      </c>
      <c r="L644" s="2">
        <v>13</v>
      </c>
      <c r="M644" s="2" t="s">
        <v>17</v>
      </c>
      <c r="N644" s="2" t="s">
        <v>407</v>
      </c>
      <c r="O644" s="2">
        <f t="shared" si="492"/>
        <v>6278</v>
      </c>
      <c r="P644" s="2" t="s">
        <v>194</v>
      </c>
      <c r="Q644" s="2" t="str">
        <f t="shared" si="481"/>
        <v>23300,28000</v>
      </c>
      <c r="R644" s="2">
        <f t="shared" si="493"/>
        <v>23300</v>
      </c>
      <c r="S644" s="2">
        <f t="shared" si="489"/>
        <v>28000</v>
      </c>
      <c r="T644" s="2" t="s">
        <v>195</v>
      </c>
      <c r="U644" s="2" t="str">
        <f t="shared" si="483"/>
        <v>895,1100</v>
      </c>
      <c r="V644" s="2">
        <f t="shared" si="494"/>
        <v>895</v>
      </c>
      <c r="W644" s="2">
        <f t="shared" si="490"/>
        <v>1100</v>
      </c>
      <c r="X644" s="2" t="s">
        <v>196</v>
      </c>
      <c r="Y644" s="2" t="str">
        <f t="shared" si="485"/>
        <v>1868,2200</v>
      </c>
      <c r="Z644" s="2">
        <f t="shared" si="495"/>
        <v>1868</v>
      </c>
      <c r="AA644" s="2">
        <f t="shared" si="491"/>
        <v>2200</v>
      </c>
      <c r="AB644" s="2">
        <v>80000</v>
      </c>
      <c r="AC644" s="2" t="str">
        <f>_xlfn.XLOOKUP(B644,'#캐릭터'!A:A,'#캐릭터'!B:B)</f>
        <v>두엣샤</v>
      </c>
      <c r="AD644" s="2" t="str">
        <f t="shared" si="487"/>
        <v>Epic1_두엣샤</v>
      </c>
      <c r="AE644" s="2">
        <f t="shared" si="488"/>
        <v>5104</v>
      </c>
    </row>
    <row r="645" spans="1:31" x14ac:dyDescent="0.2">
      <c r="A645" s="2">
        <f t="shared" si="480"/>
        <v>10514014</v>
      </c>
      <c r="B645" s="1">
        <v>10000514</v>
      </c>
      <c r="C645" s="1" t="s">
        <v>281</v>
      </c>
      <c r="D645" s="1" t="s">
        <v>309</v>
      </c>
      <c r="E645" s="1" t="str">
        <f>"Persona_"&amp;_xlfn.XLOOKUP($B645, '#캐릭터'!$A:$A, '#캐릭터'!$C:$C)</f>
        <v>Persona_c514</v>
      </c>
      <c r="F645" s="1" t="s">
        <v>433</v>
      </c>
      <c r="G645" s="1">
        <f>_xlfn.XLOOKUP(_xlfn.XLOOKUP(B645,'[1]Detail&lt;Child&gt;'!$A:$A,'[1]Detail&lt;Child&gt;'!$N:$N),'#참조'!P:P,'#참조'!Q:Q)</f>
        <v>5</v>
      </c>
      <c r="H645" s="1">
        <f>_xlfn.XLOOKUP(_xlfn.XLOOKUP(B645,'[1]Detail&lt;Child&gt;'!$A:$A,'[1]Detail&lt;Child&gt;'!$O:$O),'#참조'!R:R,'#참조'!S:S)</f>
        <v>1</v>
      </c>
      <c r="I645" s="1">
        <v>4</v>
      </c>
      <c r="J645" s="2">
        <v>3</v>
      </c>
      <c r="K645" s="2">
        <v>5</v>
      </c>
      <c r="L645" s="2">
        <v>14</v>
      </c>
      <c r="M645" s="2" t="s">
        <v>18</v>
      </c>
      <c r="N645" s="2" t="s">
        <v>407</v>
      </c>
      <c r="O645" s="2">
        <f t="shared" si="492"/>
        <v>6906</v>
      </c>
      <c r="P645" s="2" t="s">
        <v>194</v>
      </c>
      <c r="Q645" s="2" t="str">
        <f t="shared" si="481"/>
        <v>30290,36300</v>
      </c>
      <c r="R645" s="2">
        <f t="shared" si="493"/>
        <v>30290</v>
      </c>
      <c r="S645" s="2">
        <f t="shared" si="489"/>
        <v>36300</v>
      </c>
      <c r="T645" s="2" t="s">
        <v>195</v>
      </c>
      <c r="U645" s="2" t="str">
        <f t="shared" si="483"/>
        <v>1074,1300</v>
      </c>
      <c r="V645" s="2">
        <f t="shared" si="494"/>
        <v>1074</v>
      </c>
      <c r="W645" s="2">
        <f t="shared" si="490"/>
        <v>1300</v>
      </c>
      <c r="X645" s="2" t="s">
        <v>196</v>
      </c>
      <c r="Y645" s="2" t="str">
        <f t="shared" si="485"/>
        <v>2428,2900</v>
      </c>
      <c r="Z645" s="2">
        <f t="shared" si="495"/>
        <v>2428</v>
      </c>
      <c r="AA645" s="2">
        <f t="shared" si="491"/>
        <v>2900</v>
      </c>
      <c r="AB645" s="2">
        <v>80000</v>
      </c>
      <c r="AC645" s="2" t="str">
        <f>_xlfn.XLOOKUP(B645,'#캐릭터'!A:A,'#캐릭터'!B:B)</f>
        <v>두엣샤</v>
      </c>
      <c r="AD645" s="2" t="str">
        <f t="shared" si="487"/>
        <v>Epic2_두엣샤</v>
      </c>
      <c r="AE645" s="2">
        <f t="shared" si="488"/>
        <v>5104</v>
      </c>
    </row>
    <row r="646" spans="1:31" x14ac:dyDescent="0.2">
      <c r="A646" s="2">
        <f t="shared" si="480"/>
        <v>10514015</v>
      </c>
      <c r="B646" s="1">
        <v>10000514</v>
      </c>
      <c r="C646" s="1" t="s">
        <v>281</v>
      </c>
      <c r="D646" s="1" t="s">
        <v>309</v>
      </c>
      <c r="E646" s="1" t="str">
        <f>"Persona_"&amp;_xlfn.XLOOKUP($B646, '#캐릭터'!$A:$A, '#캐릭터'!$C:$C)</f>
        <v>Persona_c514</v>
      </c>
      <c r="F646" s="1" t="s">
        <v>433</v>
      </c>
      <c r="G646" s="1">
        <f>_xlfn.XLOOKUP(_xlfn.XLOOKUP(B646,'[1]Detail&lt;Child&gt;'!$A:$A,'[1]Detail&lt;Child&gt;'!$N:$N),'#참조'!P:P,'#참조'!Q:Q)</f>
        <v>5</v>
      </c>
      <c r="H646" s="1">
        <f>_xlfn.XLOOKUP(_xlfn.XLOOKUP(B646,'[1]Detail&lt;Child&gt;'!$A:$A,'[1]Detail&lt;Child&gt;'!$O:$O),'#참조'!R:R,'#참조'!S:S)</f>
        <v>1</v>
      </c>
      <c r="I646" s="1">
        <v>5</v>
      </c>
      <c r="J646" s="2">
        <v>3</v>
      </c>
      <c r="K646" s="2">
        <v>5</v>
      </c>
      <c r="L646" s="2">
        <v>15</v>
      </c>
      <c r="M646" s="2" t="s">
        <v>19</v>
      </c>
      <c r="N646" s="2" t="s">
        <v>407</v>
      </c>
      <c r="O646" s="2">
        <f t="shared" si="492"/>
        <v>7597</v>
      </c>
      <c r="P646" s="2" t="s">
        <v>194</v>
      </c>
      <c r="Q646" s="2" t="str">
        <f t="shared" si="481"/>
        <v>39377,47300</v>
      </c>
      <c r="R646" s="2">
        <f t="shared" si="493"/>
        <v>39377</v>
      </c>
      <c r="S646" s="2">
        <f t="shared" si="489"/>
        <v>47300</v>
      </c>
      <c r="T646" s="2" t="s">
        <v>195</v>
      </c>
      <c r="U646" s="2" t="str">
        <f t="shared" si="483"/>
        <v>1289,1500</v>
      </c>
      <c r="V646" s="2">
        <f t="shared" si="494"/>
        <v>1289</v>
      </c>
      <c r="W646" s="2">
        <f t="shared" si="490"/>
        <v>1500</v>
      </c>
      <c r="X646" s="2" t="s">
        <v>196</v>
      </c>
      <c r="Y646" s="2" t="str">
        <f t="shared" si="485"/>
        <v>3156,3800</v>
      </c>
      <c r="Z646" s="2">
        <f t="shared" si="495"/>
        <v>3156</v>
      </c>
      <c r="AA646" s="2">
        <f t="shared" si="491"/>
        <v>3800</v>
      </c>
      <c r="AB646" s="2">
        <v>80000</v>
      </c>
      <c r="AC646" s="2" t="str">
        <f>_xlfn.XLOOKUP(B646,'#캐릭터'!A:A,'#캐릭터'!B:B)</f>
        <v>두엣샤</v>
      </c>
      <c r="AD646" s="2" t="str">
        <f t="shared" si="487"/>
        <v>Epic3_두엣샤</v>
      </c>
      <c r="AE646" s="2">
        <f t="shared" si="488"/>
        <v>5105</v>
      </c>
    </row>
    <row r="647" spans="1:31" x14ac:dyDescent="0.2">
      <c r="A647" s="2">
        <f t="shared" si="480"/>
        <v>10514016</v>
      </c>
      <c r="B647" s="1">
        <v>10000514</v>
      </c>
      <c r="C647" s="1" t="s">
        <v>281</v>
      </c>
      <c r="D647" s="1" t="s">
        <v>309</v>
      </c>
      <c r="E647" s="1" t="str">
        <f>"Persona_"&amp;_xlfn.XLOOKUP($B647, '#캐릭터'!$A:$A, '#캐릭터'!$C:$C)</f>
        <v>Persona_c514</v>
      </c>
      <c r="F647" s="1" t="s">
        <v>433</v>
      </c>
      <c r="G647" s="1">
        <f>_xlfn.XLOOKUP(_xlfn.XLOOKUP(B647,'[1]Detail&lt;Child&gt;'!$A:$A,'[1]Detail&lt;Child&gt;'!$N:$N),'#참조'!P:P,'#참조'!Q:Q)</f>
        <v>5</v>
      </c>
      <c r="H647" s="1">
        <f>_xlfn.XLOOKUP(_xlfn.XLOOKUP(B647,'[1]Detail&lt;Child&gt;'!$A:$A,'[1]Detail&lt;Child&gt;'!$O:$O),'#참조'!R:R,'#참조'!S:S)</f>
        <v>1</v>
      </c>
      <c r="I647" s="1">
        <v>5</v>
      </c>
      <c r="J647" s="2">
        <v>3</v>
      </c>
      <c r="K647" s="2">
        <v>6</v>
      </c>
      <c r="L647" s="2">
        <v>16</v>
      </c>
      <c r="M647" s="2" t="s">
        <v>20</v>
      </c>
      <c r="N647" s="2" t="s">
        <v>407</v>
      </c>
      <c r="O647" s="2">
        <f t="shared" si="492"/>
        <v>8357</v>
      </c>
      <c r="P647" s="2" t="s">
        <v>194</v>
      </c>
      <c r="Q647" s="2" t="str">
        <f t="shared" si="481"/>
        <v>51190,61400</v>
      </c>
      <c r="R647" s="2">
        <f t="shared" si="493"/>
        <v>51190</v>
      </c>
      <c r="S647" s="2">
        <f t="shared" si="489"/>
        <v>61400</v>
      </c>
      <c r="T647" s="2" t="s">
        <v>195</v>
      </c>
      <c r="U647" s="2" t="str">
        <f t="shared" si="483"/>
        <v>1547,1900</v>
      </c>
      <c r="V647" s="2">
        <f t="shared" si="494"/>
        <v>1547</v>
      </c>
      <c r="W647" s="2">
        <f t="shared" si="490"/>
        <v>1900</v>
      </c>
      <c r="X647" s="2" t="s">
        <v>196</v>
      </c>
      <c r="Y647" s="2" t="str">
        <f t="shared" si="485"/>
        <v>4103,4900</v>
      </c>
      <c r="Z647" s="2">
        <f t="shared" si="495"/>
        <v>4103</v>
      </c>
      <c r="AA647" s="2">
        <f t="shared" si="491"/>
        <v>4900</v>
      </c>
      <c r="AB647" s="2">
        <v>75000</v>
      </c>
      <c r="AC647" s="2" t="str">
        <f>_xlfn.XLOOKUP(B647,'#캐릭터'!A:A,'#캐릭터'!B:B)</f>
        <v>두엣샤</v>
      </c>
      <c r="AD647" s="2" t="str">
        <f t="shared" si="487"/>
        <v>Legendary1_두엣샤</v>
      </c>
      <c r="AE647" s="2">
        <f t="shared" si="488"/>
        <v>5105</v>
      </c>
    </row>
    <row r="648" spans="1:31" x14ac:dyDescent="0.2">
      <c r="A648" s="2">
        <f t="shared" si="480"/>
        <v>10514017</v>
      </c>
      <c r="B648" s="1">
        <v>10000514</v>
      </c>
      <c r="C648" s="1" t="s">
        <v>281</v>
      </c>
      <c r="D648" s="1" t="s">
        <v>309</v>
      </c>
      <c r="E648" s="1" t="str">
        <f>"Persona_"&amp;_xlfn.XLOOKUP($B648, '#캐릭터'!$A:$A, '#캐릭터'!$C:$C)</f>
        <v>Persona_c514</v>
      </c>
      <c r="F648" s="1" t="s">
        <v>433</v>
      </c>
      <c r="G648" s="1">
        <f>_xlfn.XLOOKUP(_xlfn.XLOOKUP(B648,'[1]Detail&lt;Child&gt;'!$A:$A,'[1]Detail&lt;Child&gt;'!$N:$N),'#참조'!P:P,'#참조'!Q:Q)</f>
        <v>5</v>
      </c>
      <c r="H648" s="1">
        <f>_xlfn.XLOOKUP(_xlfn.XLOOKUP(B648,'[1]Detail&lt;Child&gt;'!$A:$A,'[1]Detail&lt;Child&gt;'!$O:$O),'#참조'!R:R,'#참조'!S:S)</f>
        <v>1</v>
      </c>
      <c r="I648" s="1">
        <v>6</v>
      </c>
      <c r="J648" s="2">
        <v>3</v>
      </c>
      <c r="K648" s="2">
        <v>6</v>
      </c>
      <c r="L648" s="2">
        <v>17</v>
      </c>
      <c r="M648" s="2" t="s">
        <v>21</v>
      </c>
      <c r="N648" s="2" t="s">
        <v>407</v>
      </c>
      <c r="O648" s="2">
        <f t="shared" si="492"/>
        <v>9193</v>
      </c>
      <c r="P648" s="2" t="s">
        <v>194</v>
      </c>
      <c r="Q648" s="2" t="str">
        <f t="shared" si="481"/>
        <v>66547,79900</v>
      </c>
      <c r="R648" s="2">
        <f t="shared" si="493"/>
        <v>66547</v>
      </c>
      <c r="S648" s="2">
        <f t="shared" si="489"/>
        <v>79900</v>
      </c>
      <c r="T648" s="2" t="s">
        <v>195</v>
      </c>
      <c r="U648" s="2" t="str">
        <f t="shared" si="483"/>
        <v>1856,2200</v>
      </c>
      <c r="V648" s="2">
        <f t="shared" si="494"/>
        <v>1856</v>
      </c>
      <c r="W648" s="2">
        <f t="shared" si="490"/>
        <v>2200</v>
      </c>
      <c r="X648" s="2" t="s">
        <v>196</v>
      </c>
      <c r="Y648" s="2" t="str">
        <f t="shared" si="485"/>
        <v>5334,6400</v>
      </c>
      <c r="Z648" s="2">
        <f t="shared" si="495"/>
        <v>5334</v>
      </c>
      <c r="AA648" s="2">
        <f t="shared" si="491"/>
        <v>6400</v>
      </c>
      <c r="AB648" s="2">
        <v>75000</v>
      </c>
      <c r="AC648" s="2" t="str">
        <f>_xlfn.XLOOKUP(B648,'#캐릭터'!A:A,'#캐릭터'!B:B)</f>
        <v>두엣샤</v>
      </c>
      <c r="AD648" s="2" t="str">
        <f t="shared" si="487"/>
        <v>Legendary2_두엣샤</v>
      </c>
      <c r="AE648" s="2">
        <f t="shared" si="488"/>
        <v>5106</v>
      </c>
    </row>
    <row r="649" spans="1:31" x14ac:dyDescent="0.2">
      <c r="A649" s="2">
        <f t="shared" si="480"/>
        <v>10514018</v>
      </c>
      <c r="B649" s="1">
        <v>10000514</v>
      </c>
      <c r="C649" s="1" t="s">
        <v>281</v>
      </c>
      <c r="D649" s="1" t="s">
        <v>309</v>
      </c>
      <c r="E649" s="1" t="str">
        <f>"Persona_"&amp;_xlfn.XLOOKUP($B649, '#캐릭터'!$A:$A, '#캐릭터'!$C:$C)</f>
        <v>Persona_c514</v>
      </c>
      <c r="F649" s="1" t="s">
        <v>433</v>
      </c>
      <c r="G649" s="1">
        <f>_xlfn.XLOOKUP(_xlfn.XLOOKUP(B649,'[1]Detail&lt;Child&gt;'!$A:$A,'[1]Detail&lt;Child&gt;'!$N:$N),'#참조'!P:P,'#참조'!Q:Q)</f>
        <v>5</v>
      </c>
      <c r="H649" s="1">
        <f>_xlfn.XLOOKUP(_xlfn.XLOOKUP(B649,'[1]Detail&lt;Child&gt;'!$A:$A,'[1]Detail&lt;Child&gt;'!$O:$O),'#참조'!R:R,'#참조'!S:S)</f>
        <v>1</v>
      </c>
      <c r="I649" s="1">
        <v>6</v>
      </c>
      <c r="J649" s="2">
        <v>3</v>
      </c>
      <c r="K649" s="2">
        <v>6</v>
      </c>
      <c r="L649" s="2">
        <v>18</v>
      </c>
      <c r="M649" s="2" t="s">
        <v>22</v>
      </c>
      <c r="N649" s="2" t="s">
        <v>407</v>
      </c>
      <c r="O649" s="2">
        <f t="shared" si="492"/>
        <v>10112</v>
      </c>
      <c r="P649" s="2" t="s">
        <v>194</v>
      </c>
      <c r="Q649" s="2" t="str">
        <f t="shared" si="481"/>
        <v>86511,103800</v>
      </c>
      <c r="R649" s="2">
        <f t="shared" si="493"/>
        <v>86511</v>
      </c>
      <c r="S649" s="2">
        <f t="shared" si="489"/>
        <v>103800</v>
      </c>
      <c r="T649" s="2" t="s">
        <v>195</v>
      </c>
      <c r="U649" s="2" t="str">
        <f t="shared" si="483"/>
        <v>2227,2700</v>
      </c>
      <c r="V649" s="2">
        <f t="shared" si="494"/>
        <v>2227</v>
      </c>
      <c r="W649" s="2">
        <f t="shared" si="490"/>
        <v>2700</v>
      </c>
      <c r="X649" s="2" t="s">
        <v>196</v>
      </c>
      <c r="Y649" s="2" t="str">
        <f t="shared" si="485"/>
        <v>6934,8300</v>
      </c>
      <c r="Z649" s="2">
        <f t="shared" si="495"/>
        <v>6934</v>
      </c>
      <c r="AA649" s="2">
        <f t="shared" si="491"/>
        <v>8300</v>
      </c>
      <c r="AB649" s="2">
        <v>75000</v>
      </c>
      <c r="AC649" s="2" t="str">
        <f>_xlfn.XLOOKUP(B649,'#캐릭터'!A:A,'#캐릭터'!B:B)</f>
        <v>두엣샤</v>
      </c>
      <c r="AD649" s="2" t="str">
        <f t="shared" si="487"/>
        <v>Legendary3_두엣샤</v>
      </c>
      <c r="AE649" s="2">
        <f t="shared" si="488"/>
        <v>5106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26F3-86BF-4013-969A-3FCAEBA2CFF1}">
  <dimension ref="A1:M19"/>
  <sheetViews>
    <sheetView workbookViewId="0">
      <selection activeCell="F32" sqref="F32"/>
    </sheetView>
  </sheetViews>
  <sheetFormatPr defaultRowHeight="16.5" x14ac:dyDescent="0.3"/>
  <cols>
    <col min="1" max="2" width="9" style="3"/>
    <col min="3" max="3" width="10.875" style="3" bestFit="1" customWidth="1"/>
    <col min="4" max="4" width="10.875" style="3" customWidth="1"/>
    <col min="5" max="5" width="25" style="3" bestFit="1" customWidth="1"/>
    <col min="6" max="6" width="26.375" style="3" bestFit="1" customWidth="1"/>
    <col min="7" max="7" width="25.5" style="3" bestFit="1" customWidth="1"/>
    <col min="8" max="8" width="16.875" style="4" bestFit="1" customWidth="1"/>
    <col min="9" max="9" width="9" style="4"/>
    <col min="10" max="10" width="11.375" style="4" bestFit="1" customWidth="1"/>
    <col min="11" max="11" width="9" style="4"/>
    <col min="12" max="12" width="11.625" style="4" bestFit="1" customWidth="1"/>
    <col min="13" max="13" width="9" style="4"/>
  </cols>
  <sheetData>
    <row r="1" spans="1:13" x14ac:dyDescent="0.3">
      <c r="A1" s="3" t="s">
        <v>0</v>
      </c>
      <c r="B1" s="3" t="s">
        <v>74</v>
      </c>
      <c r="C1" s="3" t="s">
        <v>263</v>
      </c>
      <c r="D1" s="3" t="s">
        <v>37</v>
      </c>
      <c r="E1" s="3" t="s">
        <v>156</v>
      </c>
      <c r="F1" s="3" t="s">
        <v>4</v>
      </c>
      <c r="G1" s="3" t="s">
        <v>155</v>
      </c>
      <c r="H1" s="4" t="s">
        <v>73</v>
      </c>
      <c r="I1" s="4" t="s">
        <v>3</v>
      </c>
      <c r="J1" s="4" t="s">
        <v>73</v>
      </c>
      <c r="K1" s="4" t="s">
        <v>3</v>
      </c>
      <c r="L1" s="4" t="s">
        <v>73</v>
      </c>
      <c r="M1" s="4" t="s">
        <v>3</v>
      </c>
    </row>
    <row r="4" spans="1:13" x14ac:dyDescent="0.3">
      <c r="A4" s="3">
        <v>101</v>
      </c>
      <c r="B4" s="3" t="s">
        <v>236</v>
      </c>
      <c r="C4" s="3" t="s">
        <v>264</v>
      </c>
      <c r="D4" s="3" t="s">
        <v>279</v>
      </c>
      <c r="E4" s="3" t="str">
        <f>"Icon_Persona_Desire_"&amp;C4</f>
        <v>Icon_Persona_Desire_Superbia</v>
      </c>
      <c r="F4" s="2" t="str">
        <f>LOWER("persona_desire_"&amp;$C4&amp;"_"&amp;F$1)</f>
        <v>persona_desire_superbia_name</v>
      </c>
      <c r="G4" s="2" t="str">
        <f>LOWER("persona_desire_"&amp;$C4&amp;"_"&amp;G$1)</f>
        <v>persona_desire_superbia_desc</v>
      </c>
      <c r="H4" s="16" t="s">
        <v>170</v>
      </c>
      <c r="I4" s="16">
        <v>20000</v>
      </c>
      <c r="J4" s="16" t="s">
        <v>256</v>
      </c>
      <c r="K4" s="16">
        <v>-10</v>
      </c>
      <c r="L4" s="16" t="s">
        <v>259</v>
      </c>
      <c r="M4" s="16">
        <v>0</v>
      </c>
    </row>
    <row r="5" spans="1:13" x14ac:dyDescent="0.3">
      <c r="A5" s="3">
        <v>102</v>
      </c>
      <c r="B5" s="3" t="s">
        <v>237</v>
      </c>
      <c r="C5" s="3" t="s">
        <v>265</v>
      </c>
      <c r="D5" s="3" t="s">
        <v>279</v>
      </c>
      <c r="E5" s="3" t="str">
        <f t="shared" ref="E5:E19" si="0">"Icon_Persona_Desire_"&amp;C5</f>
        <v>Icon_Persona_Desire_Avaritia</v>
      </c>
      <c r="F5" s="2" t="str">
        <f t="shared" ref="F5:G19" si="1">LOWER("persona_desire_"&amp;$C5&amp;"_"&amp;F$1)</f>
        <v>persona_desire_avaritia_name</v>
      </c>
      <c r="G5" s="2" t="str">
        <f t="shared" si="1"/>
        <v>persona_desire_avaritia_desc</v>
      </c>
      <c r="H5" s="17" t="s">
        <v>171</v>
      </c>
      <c r="I5" s="16">
        <v>20000</v>
      </c>
      <c r="J5" s="17" t="s">
        <v>174</v>
      </c>
      <c r="K5" s="16">
        <v>-5</v>
      </c>
      <c r="L5" s="17" t="s">
        <v>259</v>
      </c>
      <c r="M5" s="16">
        <v>0</v>
      </c>
    </row>
    <row r="6" spans="1:13" x14ac:dyDescent="0.3">
      <c r="A6" s="3">
        <v>103</v>
      </c>
      <c r="B6" s="3" t="s">
        <v>238</v>
      </c>
      <c r="C6" s="3" t="s">
        <v>266</v>
      </c>
      <c r="D6" s="3" t="s">
        <v>279</v>
      </c>
      <c r="E6" s="3" t="str">
        <f t="shared" si="0"/>
        <v>Icon_Persona_Desire_Invidia</v>
      </c>
      <c r="F6" s="2" t="str">
        <f t="shared" si="1"/>
        <v>persona_desire_invidia_name</v>
      </c>
      <c r="G6" s="2" t="str">
        <f t="shared" si="1"/>
        <v>persona_desire_invidia_desc</v>
      </c>
      <c r="H6" s="17" t="s">
        <v>253</v>
      </c>
      <c r="I6" s="16">
        <v>20000</v>
      </c>
      <c r="J6" s="17" t="s">
        <v>308</v>
      </c>
      <c r="K6" s="16">
        <v>-10</v>
      </c>
      <c r="L6" s="17" t="s">
        <v>259</v>
      </c>
      <c r="M6" s="16">
        <v>0</v>
      </c>
    </row>
    <row r="7" spans="1:13" x14ac:dyDescent="0.3">
      <c r="A7" s="3">
        <v>104</v>
      </c>
      <c r="B7" s="3" t="s">
        <v>239</v>
      </c>
      <c r="C7" s="3" t="s">
        <v>267</v>
      </c>
      <c r="D7" s="3" t="s">
        <v>279</v>
      </c>
      <c r="E7" s="3" t="str">
        <f t="shared" si="0"/>
        <v>Icon_Persona_Desire_Ira</v>
      </c>
      <c r="F7" s="2" t="str">
        <f t="shared" si="1"/>
        <v>persona_desire_ira_name</v>
      </c>
      <c r="G7" s="2" t="str">
        <f t="shared" si="1"/>
        <v>persona_desire_ira_desc</v>
      </c>
      <c r="H7" s="16" t="s">
        <v>170</v>
      </c>
      <c r="I7" s="16">
        <v>20000</v>
      </c>
      <c r="J7" s="17" t="s">
        <v>252</v>
      </c>
      <c r="K7" s="16">
        <v>-20000</v>
      </c>
      <c r="L7" s="17" t="s">
        <v>259</v>
      </c>
      <c r="M7" s="16">
        <v>0</v>
      </c>
    </row>
    <row r="8" spans="1:13" x14ac:dyDescent="0.3">
      <c r="A8" s="3">
        <v>105</v>
      </c>
      <c r="B8" s="3" t="s">
        <v>240</v>
      </c>
      <c r="C8" s="3" t="s">
        <v>280</v>
      </c>
      <c r="D8" s="3" t="s">
        <v>279</v>
      </c>
      <c r="E8" s="3" t="str">
        <f t="shared" si="0"/>
        <v>Icon_Persona_Desire_Luxuria</v>
      </c>
      <c r="F8" s="2" t="str">
        <f t="shared" si="1"/>
        <v>persona_desire_luxuria_name</v>
      </c>
      <c r="G8" s="2" t="str">
        <f t="shared" si="1"/>
        <v>persona_desire_luxuria_desc</v>
      </c>
      <c r="H8" s="16" t="s">
        <v>254</v>
      </c>
      <c r="I8" s="16">
        <v>5</v>
      </c>
      <c r="J8" s="17" t="s">
        <v>255</v>
      </c>
      <c r="K8" s="16">
        <v>-20000</v>
      </c>
      <c r="L8" s="17" t="s">
        <v>259</v>
      </c>
      <c r="M8" s="16">
        <v>0</v>
      </c>
    </row>
    <row r="9" spans="1:13" x14ac:dyDescent="0.3">
      <c r="A9" s="3">
        <v>106</v>
      </c>
      <c r="B9" s="3" t="s">
        <v>241</v>
      </c>
      <c r="C9" s="3" t="s">
        <v>268</v>
      </c>
      <c r="D9" s="3" t="s">
        <v>279</v>
      </c>
      <c r="E9" s="3" t="str">
        <f t="shared" si="0"/>
        <v>Icon_Persona_Desire_Gula</v>
      </c>
      <c r="F9" s="2" t="str">
        <f t="shared" si="1"/>
        <v>persona_desire_gula_name</v>
      </c>
      <c r="G9" s="2" t="str">
        <f t="shared" si="1"/>
        <v>persona_desire_gula_desc</v>
      </c>
      <c r="H9" s="16" t="s">
        <v>174</v>
      </c>
      <c r="I9" s="16">
        <v>5</v>
      </c>
      <c r="J9" s="4" t="s">
        <v>308</v>
      </c>
      <c r="K9" s="16">
        <v>-10</v>
      </c>
      <c r="L9" s="17" t="s">
        <v>259</v>
      </c>
      <c r="M9" s="16">
        <v>0</v>
      </c>
    </row>
    <row r="10" spans="1:13" x14ac:dyDescent="0.3">
      <c r="A10" s="3">
        <v>107</v>
      </c>
      <c r="B10" s="3" t="s">
        <v>242</v>
      </c>
      <c r="C10" s="3" t="s">
        <v>269</v>
      </c>
      <c r="D10" s="3" t="s">
        <v>279</v>
      </c>
      <c r="E10" s="3" t="str">
        <f t="shared" si="0"/>
        <v>Icon_Persona_Desire_Pigritia</v>
      </c>
      <c r="F10" s="2" t="str">
        <f t="shared" si="1"/>
        <v>persona_desire_pigritia_name</v>
      </c>
      <c r="G10" s="2" t="str">
        <f t="shared" si="1"/>
        <v>persona_desire_pigritia_desc</v>
      </c>
      <c r="H10" s="16" t="s">
        <v>172</v>
      </c>
      <c r="I10" s="16">
        <v>20000</v>
      </c>
      <c r="J10" s="17" t="s">
        <v>174</v>
      </c>
      <c r="K10" s="16">
        <v>-5</v>
      </c>
      <c r="L10" s="17" t="s">
        <v>259</v>
      </c>
      <c r="M10" s="16">
        <v>0</v>
      </c>
    </row>
    <row r="11" spans="1:13" x14ac:dyDescent="0.3">
      <c r="A11" s="3">
        <v>108</v>
      </c>
      <c r="B11" s="3" t="s">
        <v>243</v>
      </c>
      <c r="C11" s="3" t="s">
        <v>270</v>
      </c>
      <c r="D11" s="3" t="s">
        <v>279</v>
      </c>
      <c r="E11" s="3" t="str">
        <f t="shared" si="0"/>
        <v>Icon_Persona_Desire_Obsession</v>
      </c>
      <c r="F11" s="2" t="str">
        <f t="shared" si="1"/>
        <v>persona_desire_obsession_name</v>
      </c>
      <c r="G11" s="2" t="str">
        <f t="shared" si="1"/>
        <v>persona_desire_obsession_desc</v>
      </c>
      <c r="H11" s="17" t="s">
        <v>173</v>
      </c>
      <c r="I11" s="16">
        <v>10</v>
      </c>
      <c r="J11" s="17" t="s">
        <v>252</v>
      </c>
      <c r="K11" s="16">
        <v>-20000</v>
      </c>
      <c r="L11" s="17" t="s">
        <v>259</v>
      </c>
      <c r="M11" s="16">
        <v>0</v>
      </c>
    </row>
    <row r="12" spans="1:13" x14ac:dyDescent="0.3">
      <c r="A12" s="3">
        <v>109</v>
      </c>
      <c r="B12" s="3" t="s">
        <v>244</v>
      </c>
      <c r="C12" s="3" t="s">
        <v>271</v>
      </c>
      <c r="D12" s="3" t="s">
        <v>279</v>
      </c>
      <c r="E12" s="3" t="str">
        <f t="shared" si="0"/>
        <v>Icon_Persona_Desire_Humilitas</v>
      </c>
      <c r="F12" s="2" t="str">
        <f t="shared" si="1"/>
        <v>persona_desire_humilitas_name</v>
      </c>
      <c r="G12" s="2" t="str">
        <f t="shared" si="1"/>
        <v>persona_desire_humilitas_desc</v>
      </c>
      <c r="H12" s="16" t="s">
        <v>171</v>
      </c>
      <c r="I12" s="16">
        <v>20000</v>
      </c>
      <c r="J12" s="17" t="s">
        <v>253</v>
      </c>
      <c r="K12" s="16">
        <v>-20000</v>
      </c>
      <c r="L12" s="17" t="s">
        <v>259</v>
      </c>
      <c r="M12" s="16">
        <v>0</v>
      </c>
    </row>
    <row r="13" spans="1:13" x14ac:dyDescent="0.3">
      <c r="A13" s="3">
        <v>110</v>
      </c>
      <c r="B13" s="3" t="s">
        <v>245</v>
      </c>
      <c r="C13" s="3" t="s">
        <v>272</v>
      </c>
      <c r="D13" s="3" t="s">
        <v>279</v>
      </c>
      <c r="E13" s="3" t="str">
        <f t="shared" si="0"/>
        <v>Icon_Persona_Desire_Caritas</v>
      </c>
      <c r="F13" s="2" t="str">
        <f t="shared" si="1"/>
        <v>persona_desire_caritas_name</v>
      </c>
      <c r="G13" s="2" t="str">
        <f t="shared" si="1"/>
        <v>persona_desire_caritas_desc</v>
      </c>
      <c r="H13" s="16" t="s">
        <v>172</v>
      </c>
      <c r="I13" s="16">
        <v>20000</v>
      </c>
      <c r="J13" s="17" t="s">
        <v>253</v>
      </c>
      <c r="K13" s="16">
        <v>-20000</v>
      </c>
      <c r="L13" s="17" t="s">
        <v>259</v>
      </c>
      <c r="M13" s="16">
        <v>0</v>
      </c>
    </row>
    <row r="14" spans="1:13" x14ac:dyDescent="0.3">
      <c r="A14" s="3">
        <v>111</v>
      </c>
      <c r="B14" s="3" t="s">
        <v>246</v>
      </c>
      <c r="C14" s="3" t="s">
        <v>273</v>
      </c>
      <c r="D14" s="3" t="s">
        <v>279</v>
      </c>
      <c r="E14" s="3" t="str">
        <f t="shared" si="0"/>
        <v>Icon_Persona_Desire_Benevolentia</v>
      </c>
      <c r="F14" s="2" t="str">
        <f t="shared" si="1"/>
        <v>persona_desire_benevolentia_name</v>
      </c>
      <c r="G14" s="2" t="str">
        <f t="shared" si="1"/>
        <v>persona_desire_benevolentia_desc</v>
      </c>
      <c r="H14" s="18" t="s">
        <v>255</v>
      </c>
      <c r="I14" s="18">
        <v>0</v>
      </c>
      <c r="J14" s="19" t="s">
        <v>253</v>
      </c>
      <c r="K14" s="18">
        <v>0</v>
      </c>
      <c r="L14" s="19" t="s">
        <v>259</v>
      </c>
      <c r="M14" s="18">
        <v>0</v>
      </c>
    </row>
    <row r="15" spans="1:13" x14ac:dyDescent="0.3">
      <c r="A15" s="3">
        <v>112</v>
      </c>
      <c r="B15" s="3" t="s">
        <v>247</v>
      </c>
      <c r="C15" s="3" t="s">
        <v>274</v>
      </c>
      <c r="D15" s="3" t="s">
        <v>279</v>
      </c>
      <c r="E15" s="3" t="str">
        <f t="shared" si="0"/>
        <v>Icon_Persona_Desire_Patientia</v>
      </c>
      <c r="F15" s="2" t="str">
        <f t="shared" si="1"/>
        <v>persona_desire_patientia_name</v>
      </c>
      <c r="G15" s="2" t="str">
        <f t="shared" si="1"/>
        <v>persona_desire_patientia_desc</v>
      </c>
      <c r="H15" s="16" t="s">
        <v>171</v>
      </c>
      <c r="I15" s="16">
        <v>20000</v>
      </c>
      <c r="J15" s="17" t="s">
        <v>256</v>
      </c>
      <c r="K15" s="16">
        <v>-10</v>
      </c>
      <c r="L15" s="17" t="s">
        <v>259</v>
      </c>
      <c r="M15" s="16">
        <v>0</v>
      </c>
    </row>
    <row r="16" spans="1:13" x14ac:dyDescent="0.3">
      <c r="A16" s="3">
        <v>113</v>
      </c>
      <c r="B16" s="3" t="s">
        <v>248</v>
      </c>
      <c r="C16" s="3" t="s">
        <v>275</v>
      </c>
      <c r="D16" s="3" t="s">
        <v>279</v>
      </c>
      <c r="E16" s="3" t="str">
        <f t="shared" si="0"/>
        <v>Icon_Persona_Desire_Castitas</v>
      </c>
      <c r="F16" s="2" t="str">
        <f t="shared" si="1"/>
        <v>persona_desire_castitas_name</v>
      </c>
      <c r="G16" s="2" t="str">
        <f t="shared" si="1"/>
        <v>persona_desire_castitas_desc</v>
      </c>
      <c r="H16" s="16" t="s">
        <v>257</v>
      </c>
      <c r="I16" s="16">
        <v>10</v>
      </c>
      <c r="J16" s="17" t="s">
        <v>252</v>
      </c>
      <c r="K16" s="16">
        <v>-20000</v>
      </c>
      <c r="L16" s="17" t="s">
        <v>259</v>
      </c>
      <c r="M16" s="16">
        <v>0</v>
      </c>
    </row>
    <row r="17" spans="1:13" x14ac:dyDescent="0.3">
      <c r="A17" s="3">
        <v>114</v>
      </c>
      <c r="B17" s="3" t="s">
        <v>249</v>
      </c>
      <c r="C17" s="3" t="s">
        <v>276</v>
      </c>
      <c r="D17" s="3" t="s">
        <v>279</v>
      </c>
      <c r="E17" s="3" t="str">
        <f t="shared" si="0"/>
        <v>Icon_Persona_Desire_Temperantia</v>
      </c>
      <c r="F17" s="2" t="str">
        <f t="shared" si="1"/>
        <v>persona_desire_temperantia_name</v>
      </c>
      <c r="G17" s="2" t="str">
        <f t="shared" si="1"/>
        <v>persona_desire_temperantia_desc</v>
      </c>
      <c r="H17" s="16" t="s">
        <v>257</v>
      </c>
      <c r="I17" s="16">
        <v>10</v>
      </c>
      <c r="J17" s="17" t="s">
        <v>174</v>
      </c>
      <c r="K17" s="16">
        <v>-5</v>
      </c>
      <c r="L17" s="17" t="s">
        <v>259</v>
      </c>
      <c r="M17" s="16">
        <v>0</v>
      </c>
    </row>
    <row r="18" spans="1:13" x14ac:dyDescent="0.3">
      <c r="A18" s="3">
        <v>115</v>
      </c>
      <c r="B18" s="3" t="s">
        <v>250</v>
      </c>
      <c r="C18" s="3" t="s">
        <v>277</v>
      </c>
      <c r="D18" s="3" t="s">
        <v>279</v>
      </c>
      <c r="E18" s="3" t="str">
        <f t="shared" si="0"/>
        <v>Icon_Persona_Desire_Industria</v>
      </c>
      <c r="F18" s="2" t="str">
        <f t="shared" si="1"/>
        <v>persona_desire_industria_name</v>
      </c>
      <c r="G18" s="2" t="str">
        <f t="shared" si="1"/>
        <v>persona_desire_industria_desc</v>
      </c>
      <c r="H18" s="16" t="s">
        <v>258</v>
      </c>
      <c r="I18" s="16">
        <v>10</v>
      </c>
      <c r="J18" s="17" t="s">
        <v>256</v>
      </c>
      <c r="K18" s="16">
        <v>-10</v>
      </c>
      <c r="L18" s="17" t="s">
        <v>259</v>
      </c>
      <c r="M18" s="16">
        <v>0</v>
      </c>
    </row>
    <row r="19" spans="1:13" x14ac:dyDescent="0.3">
      <c r="A19" s="3">
        <v>116</v>
      </c>
      <c r="B19" s="3" t="s">
        <v>251</v>
      </c>
      <c r="C19" s="3" t="s">
        <v>278</v>
      </c>
      <c r="D19" s="3" t="s">
        <v>279</v>
      </c>
      <c r="E19" s="3" t="str">
        <f t="shared" si="0"/>
        <v>Icon_Persona_Desire_Definitio</v>
      </c>
      <c r="F19" s="2" t="str">
        <f t="shared" si="1"/>
        <v>persona_desire_definitio_name</v>
      </c>
      <c r="G19" s="2" t="str">
        <f t="shared" si="1"/>
        <v>persona_desire_definitio_desc</v>
      </c>
      <c r="H19" s="16" t="s">
        <v>256</v>
      </c>
      <c r="I19" s="16">
        <v>10</v>
      </c>
      <c r="J19" s="17" t="s">
        <v>255</v>
      </c>
      <c r="K19" s="16">
        <v>-20000</v>
      </c>
      <c r="L19" s="17" t="s">
        <v>259</v>
      </c>
      <c r="M19" s="1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40F28-DB79-44D2-91FD-A87824D9C081}">
  <dimension ref="A1:T1503"/>
  <sheetViews>
    <sheetView workbookViewId="0">
      <selection activeCell="G27" sqref="G27"/>
    </sheetView>
  </sheetViews>
  <sheetFormatPr defaultRowHeight="16.5" x14ac:dyDescent="0.3"/>
  <cols>
    <col min="1" max="2" width="9" style="3"/>
    <col min="3" max="3" width="22.875" style="3" bestFit="1" customWidth="1"/>
    <col min="4" max="6" width="10.5" style="3" customWidth="1"/>
    <col min="7" max="7" width="11.875" style="3" bestFit="1" customWidth="1"/>
    <col min="8" max="8" width="10.5" style="3" customWidth="1"/>
    <col min="9" max="9" width="9" style="3"/>
    <col min="18" max="18" width="13.75" bestFit="1" customWidth="1"/>
  </cols>
  <sheetData>
    <row r="1" spans="1:20" x14ac:dyDescent="0.3">
      <c r="A1" s="3" t="s">
        <v>0</v>
      </c>
      <c r="B1" s="3" t="s">
        <v>206</v>
      </c>
      <c r="C1" s="3" t="s">
        <v>74</v>
      </c>
      <c r="D1" s="3" t="s">
        <v>220</v>
      </c>
      <c r="E1" s="3" t="s">
        <v>221</v>
      </c>
      <c r="F1" s="3" t="s">
        <v>205</v>
      </c>
      <c r="G1" s="3" t="s">
        <v>55</v>
      </c>
      <c r="H1" s="3" t="s">
        <v>203</v>
      </c>
      <c r="I1" s="3" t="s">
        <v>75</v>
      </c>
      <c r="J1" s="3" t="s">
        <v>207</v>
      </c>
      <c r="K1" s="3" t="s">
        <v>234</v>
      </c>
      <c r="L1" s="3" t="s">
        <v>234</v>
      </c>
      <c r="M1" s="3" t="s">
        <v>234</v>
      </c>
      <c r="N1" s="3" t="s">
        <v>234</v>
      </c>
      <c r="O1" s="3" t="s">
        <v>234</v>
      </c>
      <c r="P1" s="3" t="s">
        <v>234</v>
      </c>
      <c r="Q1" s="3" t="s">
        <v>234</v>
      </c>
      <c r="R1" s="3" t="s">
        <v>234</v>
      </c>
      <c r="S1" s="3" t="s">
        <v>234</v>
      </c>
      <c r="T1" s="3" t="s">
        <v>234</v>
      </c>
    </row>
    <row r="3" spans="1:20" x14ac:dyDescent="0.3">
      <c r="K3">
        <v>1</v>
      </c>
      <c r="L3">
        <v>2</v>
      </c>
      <c r="M3">
        <v>3</v>
      </c>
      <c r="N3">
        <v>4</v>
      </c>
      <c r="O3">
        <v>5</v>
      </c>
      <c r="P3">
        <v>6</v>
      </c>
    </row>
    <row r="4" spans="1:20" x14ac:dyDescent="0.3">
      <c r="A4" s="14">
        <f>INT(H4&amp;TEXT(B4,"000"))</f>
        <v>1101001</v>
      </c>
      <c r="B4" s="14">
        <v>1</v>
      </c>
      <c r="C4" s="14" t="s">
        <v>336</v>
      </c>
      <c r="D4" s="14">
        <v>1</v>
      </c>
      <c r="E4" s="14">
        <v>1</v>
      </c>
      <c r="F4" s="14">
        <v>1</v>
      </c>
      <c r="G4" s="14" t="s">
        <v>208</v>
      </c>
      <c r="H4" s="14">
        <f>INT(D4&amp;E4&amp;TEXT(F4,"00"))</f>
        <v>1101</v>
      </c>
      <c r="I4" s="14">
        <v>7000101</v>
      </c>
      <c r="J4" s="14">
        <v>20000</v>
      </c>
      <c r="K4" s="5">
        <f>J4/SUM(J4:J13)</f>
        <v>0.17761989342806395</v>
      </c>
      <c r="L4" s="5">
        <f>K14</f>
        <v>0.17224880382775121</v>
      </c>
      <c r="M4" s="5">
        <f>K24</f>
        <v>0.16597510373443983</v>
      </c>
      <c r="N4" s="5">
        <f>K34</f>
        <v>0.15855039637599094</v>
      </c>
      <c r="O4" s="5">
        <f>K44</f>
        <v>0.14962593516209477</v>
      </c>
      <c r="P4" s="5">
        <f>K54</f>
        <v>0.13869625520110956</v>
      </c>
      <c r="Q4" s="20">
        <v>7000101</v>
      </c>
      <c r="R4" t="str">
        <f t="shared" ref="R4:R35" si="0">_xlfn.XLOOKUP(Q4,I:I,C:C)</f>
        <v>투쟁심</v>
      </c>
      <c r="S4">
        <f t="shared" ref="S4:S35" si="1">_xlfn.XLOOKUP(Q4,I:I,A:A)</f>
        <v>1101001</v>
      </c>
      <c r="T4" t="str">
        <f>_xlfn.XLOOKUP(Q4,'[2]Skill&lt;Talent&gt;'!$A:$A,'[2]Skill&lt;Talent&gt;'!$C:$C)</f>
        <v>매 턴 시작시 공격력이 &lt;color=#87cefa&gt;5%&lt;/color&gt; 증가</v>
      </c>
    </row>
    <row r="5" spans="1:20" x14ac:dyDescent="0.3">
      <c r="A5" s="14">
        <f t="shared" ref="A5:A33" si="2">INT(H5&amp;TEXT(B5,"000"))</f>
        <v>1101002</v>
      </c>
      <c r="B5" s="14">
        <v>2</v>
      </c>
      <c r="C5" s="14" t="s">
        <v>337</v>
      </c>
      <c r="D5" s="14">
        <v>1</v>
      </c>
      <c r="E5" s="14">
        <v>1</v>
      </c>
      <c r="F5" s="14">
        <v>1</v>
      </c>
      <c r="G5" s="14" t="s">
        <v>208</v>
      </c>
      <c r="H5" s="14">
        <f t="shared" ref="H5:H33" si="3">INT(D5&amp;E5&amp;TEXT(F5,"00"))</f>
        <v>1101</v>
      </c>
      <c r="I5" s="14">
        <v>7000106</v>
      </c>
      <c r="J5" s="14">
        <v>20000</v>
      </c>
      <c r="K5" s="5">
        <f>J5/SUM(J4:J13)</f>
        <v>0.17761989342806395</v>
      </c>
      <c r="L5" s="5">
        <f t="shared" ref="L5:L13" si="4">K15</f>
        <v>0.17224880382775121</v>
      </c>
      <c r="M5" s="5">
        <f t="shared" ref="M5:M13" si="5">K25</f>
        <v>0.16597510373443983</v>
      </c>
      <c r="N5" s="5">
        <f t="shared" ref="N5:N13" si="6">K35</f>
        <v>0.15855039637599094</v>
      </c>
      <c r="O5" s="5">
        <f t="shared" ref="O5:O13" si="7">K45</f>
        <v>0.14962593516209477</v>
      </c>
      <c r="P5" s="5">
        <f t="shared" ref="P5:P13" si="8">K55</f>
        <v>0.13869625520110956</v>
      </c>
      <c r="Q5" s="20">
        <v>7000102</v>
      </c>
      <c r="R5" t="str">
        <f t="shared" si="0"/>
        <v>인내심</v>
      </c>
      <c r="S5">
        <f t="shared" si="1"/>
        <v>1201001</v>
      </c>
      <c r="T5" t="str">
        <f>_xlfn.XLOOKUP(Q5,'[2]Skill&lt;Talent&gt;'!$A:$A,'[2]Skill&lt;Talent&gt;'!$C:$C)</f>
        <v>매 턴 시작시 방어력이 &lt;color=#87cefa&gt;5%&lt;/color&gt; 증가</v>
      </c>
    </row>
    <row r="6" spans="1:20" x14ac:dyDescent="0.3">
      <c r="A6" s="14">
        <f t="shared" si="2"/>
        <v>1101003</v>
      </c>
      <c r="B6" s="14">
        <v>3</v>
      </c>
      <c r="C6" s="14" t="s">
        <v>338</v>
      </c>
      <c r="D6" s="14">
        <v>1</v>
      </c>
      <c r="E6" s="14">
        <v>1</v>
      </c>
      <c r="F6" s="14">
        <v>1</v>
      </c>
      <c r="G6" s="14" t="s">
        <v>208</v>
      </c>
      <c r="H6" s="14">
        <f t="shared" si="3"/>
        <v>1101</v>
      </c>
      <c r="I6" s="14">
        <v>7000107</v>
      </c>
      <c r="J6" s="14">
        <v>20000</v>
      </c>
      <c r="K6" s="5">
        <f>J6/SUM(J4:J13)</f>
        <v>0.17761989342806395</v>
      </c>
      <c r="L6" s="5">
        <f t="shared" si="4"/>
        <v>0.17224880382775121</v>
      </c>
      <c r="M6" s="5">
        <f t="shared" si="5"/>
        <v>0.16597510373443983</v>
      </c>
      <c r="N6" s="5">
        <f t="shared" si="6"/>
        <v>0.15855039637599094</v>
      </c>
      <c r="O6" s="5">
        <f t="shared" si="7"/>
        <v>0.14962593516209477</v>
      </c>
      <c r="P6" s="5">
        <f t="shared" si="8"/>
        <v>0.13869625520110956</v>
      </c>
      <c r="Q6" s="20">
        <v>7000103</v>
      </c>
      <c r="R6" t="str">
        <f t="shared" si="0"/>
        <v>생존본능</v>
      </c>
      <c r="S6">
        <f t="shared" si="1"/>
        <v>1501001</v>
      </c>
      <c r="T6" t="str">
        <f>_xlfn.XLOOKUP(Q6,'[2]Skill&lt;Talent&gt;'!$A:$A,'[2]Skill&lt;Talent&gt;'!$C:$C)</f>
        <v>매 턴 시작시 최대 체력의 &lt;color=#87cefa&gt;7%&lt;/color&gt; 회복</v>
      </c>
    </row>
    <row r="7" spans="1:20" x14ac:dyDescent="0.3">
      <c r="A7" s="14">
        <f t="shared" si="2"/>
        <v>1101004</v>
      </c>
      <c r="B7" s="14">
        <v>4</v>
      </c>
      <c r="C7" s="14" t="s">
        <v>348</v>
      </c>
      <c r="D7" s="14">
        <v>1</v>
      </c>
      <c r="E7" s="14">
        <v>1</v>
      </c>
      <c r="F7" s="14">
        <v>1</v>
      </c>
      <c r="G7" s="14" t="s">
        <v>223</v>
      </c>
      <c r="H7" s="14">
        <f t="shared" si="3"/>
        <v>1101</v>
      </c>
      <c r="I7" s="14">
        <v>7000108</v>
      </c>
      <c r="J7" s="14">
        <v>15000</v>
      </c>
      <c r="K7" s="5">
        <f>J7/SUM(J4:J13)</f>
        <v>0.13321492007104796</v>
      </c>
      <c r="L7" s="5">
        <f t="shared" si="4"/>
        <v>0.13875598086124402</v>
      </c>
      <c r="M7" s="5">
        <f t="shared" si="5"/>
        <v>0.14522821576763487</v>
      </c>
      <c r="N7" s="5">
        <f t="shared" si="6"/>
        <v>0.15288788221970556</v>
      </c>
      <c r="O7" s="5">
        <f t="shared" si="7"/>
        <v>0.16209476309226933</v>
      </c>
      <c r="P7" s="5">
        <f t="shared" si="8"/>
        <v>0.17337031900138697</v>
      </c>
      <c r="Q7" s="20">
        <v>7000104</v>
      </c>
      <c r="R7" t="str">
        <f t="shared" si="0"/>
        <v>집중</v>
      </c>
      <c r="S7">
        <f t="shared" si="1"/>
        <v>1401001</v>
      </c>
      <c r="T7" t="str">
        <f>_xlfn.XLOOKUP(Q7,'[2]Skill&lt;Talent&gt;'!$A:$A,'[2]Skill&lt;Talent&gt;'!$C:$C)</f>
        <v>매 턴 시작시 Sp를 &lt;color=#87cefa&gt;20&lt;/color&gt; 충전</v>
      </c>
    </row>
    <row r="8" spans="1:20" x14ac:dyDescent="0.3">
      <c r="A8" s="14">
        <f t="shared" si="2"/>
        <v>1101005</v>
      </c>
      <c r="B8" s="14">
        <v>5</v>
      </c>
      <c r="C8" s="14" t="s">
        <v>340</v>
      </c>
      <c r="D8" s="14">
        <v>1</v>
      </c>
      <c r="E8" s="14">
        <v>1</v>
      </c>
      <c r="F8" s="14">
        <v>1</v>
      </c>
      <c r="G8" s="14" t="s">
        <v>223</v>
      </c>
      <c r="H8" s="14">
        <f t="shared" si="3"/>
        <v>1101</v>
      </c>
      <c r="I8" s="14">
        <v>7000126</v>
      </c>
      <c r="J8" s="14">
        <v>15000</v>
      </c>
      <c r="K8" s="5">
        <f>J8/SUM(J4:J13)</f>
        <v>0.13321492007104796</v>
      </c>
      <c r="L8" s="5">
        <f t="shared" si="4"/>
        <v>0.13875598086124402</v>
      </c>
      <c r="M8" s="5">
        <f t="shared" si="5"/>
        <v>0.14522821576763487</v>
      </c>
      <c r="N8" s="5">
        <f t="shared" si="6"/>
        <v>0.15288788221970556</v>
      </c>
      <c r="O8" s="5">
        <f t="shared" si="7"/>
        <v>0.16209476309226933</v>
      </c>
      <c r="P8" s="5">
        <f t="shared" si="8"/>
        <v>0.17337031900138697</v>
      </c>
      <c r="Q8" s="20">
        <v>7000105</v>
      </c>
      <c r="R8" t="str">
        <f t="shared" si="0"/>
        <v>자기 합리화</v>
      </c>
      <c r="S8">
        <f t="shared" si="1"/>
        <v>1301001</v>
      </c>
      <c r="T8" t="str">
        <f>_xlfn.XLOOKUP(Q8,'[2]Skill&lt;Talent&gt;'!$A:$A,'[2]Skill&lt;Talent&gt;'!$C:$C)</f>
        <v>매 턴 시작시 디버프 1개 해제</v>
      </c>
    </row>
    <row r="9" spans="1:20" x14ac:dyDescent="0.3">
      <c r="A9" s="14">
        <f t="shared" si="2"/>
        <v>1101006</v>
      </c>
      <c r="B9" s="14">
        <v>6</v>
      </c>
      <c r="C9" s="14" t="s">
        <v>341</v>
      </c>
      <c r="D9" s="14">
        <v>1</v>
      </c>
      <c r="E9" s="14">
        <v>1</v>
      </c>
      <c r="F9" s="14">
        <v>1</v>
      </c>
      <c r="G9" s="14" t="s">
        <v>222</v>
      </c>
      <c r="H9" s="14">
        <f t="shared" si="3"/>
        <v>1101</v>
      </c>
      <c r="I9" s="14">
        <v>7000127</v>
      </c>
      <c r="J9" s="14">
        <v>10000</v>
      </c>
      <c r="K9" s="5">
        <f>J9/SUM(J4:J13)</f>
        <v>8.8809946714031973E-2</v>
      </c>
      <c r="L9" s="5">
        <f t="shared" si="4"/>
        <v>9.0909090909090912E-2</v>
      </c>
      <c r="M9" s="5">
        <f t="shared" si="5"/>
        <v>9.3360995850622408E-2</v>
      </c>
      <c r="N9" s="5">
        <f t="shared" si="6"/>
        <v>9.6262740656851642E-2</v>
      </c>
      <c r="O9" s="5">
        <f t="shared" si="7"/>
        <v>9.9750623441396513E-2</v>
      </c>
      <c r="P9" s="5">
        <f t="shared" si="8"/>
        <v>0.10402219140083217</v>
      </c>
      <c r="Q9" s="20">
        <v>7000106</v>
      </c>
      <c r="R9" t="str">
        <f t="shared" si="0"/>
        <v>원칙주의자</v>
      </c>
      <c r="S9">
        <f t="shared" si="1"/>
        <v>1101002</v>
      </c>
      <c r="T9" t="str">
        <f>_xlfn.XLOOKUP(Q9,'[2]Skill&lt;Talent&gt;'!$A:$A,'[2]Skill&lt;Talent&gt;'!$C:$C)</f>
        <v>노멀 대미지 &lt;color=#87cefa&gt;{buff:main}_{value:1}%&lt;/color&gt; 증가</v>
      </c>
    </row>
    <row r="10" spans="1:20" x14ac:dyDescent="0.3">
      <c r="A10" s="14">
        <f t="shared" si="2"/>
        <v>1101007</v>
      </c>
      <c r="B10" s="14">
        <v>7</v>
      </c>
      <c r="C10" s="14" t="s">
        <v>342</v>
      </c>
      <c r="D10" s="14">
        <v>1</v>
      </c>
      <c r="E10" s="14">
        <v>1</v>
      </c>
      <c r="F10" s="14">
        <v>1</v>
      </c>
      <c r="G10" s="14" t="s">
        <v>222</v>
      </c>
      <c r="H10" s="14">
        <f t="shared" si="3"/>
        <v>1101</v>
      </c>
      <c r="I10" s="14">
        <v>7000129</v>
      </c>
      <c r="J10" s="14">
        <v>10000</v>
      </c>
      <c r="K10" s="5">
        <f>J10/SUM(J4:J13)</f>
        <v>8.8809946714031973E-2</v>
      </c>
      <c r="L10" s="5">
        <f t="shared" si="4"/>
        <v>9.0909090909090912E-2</v>
      </c>
      <c r="M10" s="5">
        <f t="shared" si="5"/>
        <v>9.3360995850622408E-2</v>
      </c>
      <c r="N10" s="5">
        <f t="shared" si="6"/>
        <v>9.6262740656851642E-2</v>
      </c>
      <c r="O10" s="5">
        <f t="shared" si="7"/>
        <v>9.9750623441396513E-2</v>
      </c>
      <c r="P10" s="5">
        <f t="shared" si="8"/>
        <v>0.10402219140083217</v>
      </c>
      <c r="Q10" s="20">
        <v>7000107</v>
      </c>
      <c r="R10" t="str">
        <f t="shared" si="0"/>
        <v>기교꾼</v>
      </c>
      <c r="S10">
        <f t="shared" si="1"/>
        <v>1101003</v>
      </c>
      <c r="T10" t="str">
        <f>_xlfn.XLOOKUP(Q10,'[2]Skill&lt;Talent&gt;'!$A:$A,'[2]Skill&lt;Talent&gt;'!$C:$C)</f>
        <v>액티브 대미지 &lt;color=#87cefa&gt;{buff:main}_{value:1}%&lt;/color&gt; 증가</v>
      </c>
    </row>
    <row r="11" spans="1:20" x14ac:dyDescent="0.3">
      <c r="A11" s="14">
        <f t="shared" si="2"/>
        <v>1101008</v>
      </c>
      <c r="B11" s="14">
        <v>8</v>
      </c>
      <c r="C11" s="14" t="s">
        <v>343</v>
      </c>
      <c r="D11" s="14">
        <v>1</v>
      </c>
      <c r="E11" s="14">
        <v>1</v>
      </c>
      <c r="F11" s="14">
        <v>1</v>
      </c>
      <c r="G11" s="14" t="s">
        <v>211</v>
      </c>
      <c r="H11" s="14">
        <f t="shared" si="3"/>
        <v>1101</v>
      </c>
      <c r="I11" s="14">
        <v>7000130</v>
      </c>
      <c r="J11" s="14">
        <v>2000</v>
      </c>
      <c r="K11" s="5">
        <f>J11/SUM(J4:J13)</f>
        <v>1.7761989342806393E-2</v>
      </c>
      <c r="L11" s="5">
        <f t="shared" si="4"/>
        <v>1.8181818181818181E-2</v>
      </c>
      <c r="M11" s="5">
        <f t="shared" si="5"/>
        <v>1.8672199170124481E-2</v>
      </c>
      <c r="N11" s="5">
        <f t="shared" si="6"/>
        <v>1.9252548131370329E-2</v>
      </c>
      <c r="O11" s="5">
        <f t="shared" si="7"/>
        <v>1.9950124688279301E-2</v>
      </c>
      <c r="P11" s="5">
        <f t="shared" si="8"/>
        <v>2.0804438280166437E-2</v>
      </c>
      <c r="Q11" s="20">
        <v>7000108</v>
      </c>
      <c r="R11" t="str">
        <f t="shared" si="0"/>
        <v>극의 해방</v>
      </c>
      <c r="S11">
        <f t="shared" si="1"/>
        <v>1101004</v>
      </c>
      <c r="T11" t="str">
        <f>_xlfn.XLOOKUP(Q11,'[2]Skill&lt;Talent&gt;'!$A:$A,'[2]Skill&lt;Talent&gt;'!$C:$C)</f>
        <v>얼티밋 대미지 &lt;color=#87cefa&gt;{buff:main}_{value:1}%&lt;/color&gt; 증가</v>
      </c>
    </row>
    <row r="12" spans="1:20" x14ac:dyDescent="0.3">
      <c r="A12" s="14">
        <f t="shared" si="2"/>
        <v>1101009</v>
      </c>
      <c r="B12" s="14">
        <v>9</v>
      </c>
      <c r="C12" s="14" t="s">
        <v>344</v>
      </c>
      <c r="D12" s="14">
        <v>1</v>
      </c>
      <c r="E12" s="14">
        <v>1</v>
      </c>
      <c r="F12" s="14">
        <v>1</v>
      </c>
      <c r="G12" s="14" t="s">
        <v>212</v>
      </c>
      <c r="H12" s="14">
        <f t="shared" si="3"/>
        <v>1101</v>
      </c>
      <c r="I12" s="14">
        <v>7000163</v>
      </c>
      <c r="J12" s="14">
        <v>500</v>
      </c>
      <c r="K12" s="5">
        <f>J12/SUM(J4:J13)</f>
        <v>4.4404973357015983E-3</v>
      </c>
      <c r="L12" s="5">
        <f t="shared" si="4"/>
        <v>4.7846889952153108E-3</v>
      </c>
      <c r="M12" s="5">
        <f t="shared" si="5"/>
        <v>5.1867219917012446E-3</v>
      </c>
      <c r="N12" s="5">
        <f t="shared" si="6"/>
        <v>5.6625141562853904E-3</v>
      </c>
      <c r="O12" s="5">
        <f t="shared" si="7"/>
        <v>6.2344139650872821E-3</v>
      </c>
      <c r="P12" s="5">
        <f t="shared" si="8"/>
        <v>6.9348127600554789E-3</v>
      </c>
      <c r="Q12" s="20">
        <v>7000109</v>
      </c>
      <c r="R12" t="str">
        <f t="shared" si="0"/>
        <v>예리</v>
      </c>
      <c r="S12">
        <f t="shared" si="1"/>
        <v>2101003</v>
      </c>
      <c r="T12" t="str">
        <f>_xlfn.XLOOKUP(Q12,'[2]Skill&lt;Talent&gt;'!$A:$A,'[2]Skill&lt;Talent&gt;'!$C:$C)</f>
        <v>약점 대미지 &lt;color=#87cefa&gt;{buff:main}_{value:1}%&lt;/color&gt; 증가</v>
      </c>
    </row>
    <row r="13" spans="1:20" x14ac:dyDescent="0.3">
      <c r="A13" s="14">
        <f t="shared" si="2"/>
        <v>1101010</v>
      </c>
      <c r="B13" s="14">
        <v>10</v>
      </c>
      <c r="C13" s="14" t="s">
        <v>345</v>
      </c>
      <c r="D13" s="14">
        <v>1</v>
      </c>
      <c r="E13" s="14">
        <v>1</v>
      </c>
      <c r="F13" s="14">
        <v>1</v>
      </c>
      <c r="G13" s="14" t="s">
        <v>213</v>
      </c>
      <c r="H13" s="14">
        <f t="shared" si="3"/>
        <v>1101</v>
      </c>
      <c r="I13" s="14">
        <v>7000174</v>
      </c>
      <c r="J13" s="14">
        <v>100</v>
      </c>
      <c r="K13" s="5">
        <f>J13/SUM(J4:J13)</f>
        <v>8.8809946714031975E-4</v>
      </c>
      <c r="L13" s="5">
        <f t="shared" si="4"/>
        <v>9.5693779904306223E-4</v>
      </c>
      <c r="M13" s="5">
        <f t="shared" si="5"/>
        <v>1.037344398340249E-3</v>
      </c>
      <c r="N13" s="5">
        <f t="shared" si="6"/>
        <v>1.1325028312570782E-3</v>
      </c>
      <c r="O13" s="5">
        <f t="shared" si="7"/>
        <v>1.2468827930174563E-3</v>
      </c>
      <c r="P13" s="5">
        <f t="shared" si="8"/>
        <v>1.3869625520110957E-3</v>
      </c>
      <c r="Q13" s="20">
        <v>7000110</v>
      </c>
      <c r="R13" t="str">
        <f t="shared" si="0"/>
        <v>복수심</v>
      </c>
      <c r="S13">
        <f t="shared" si="1"/>
        <v>1201002</v>
      </c>
      <c r="T13" t="str">
        <f>_xlfn.XLOOKUP(Q13,'[2]Skill&lt;Talent&gt;'!$A:$A,'[2]Skill&lt;Talent&gt;'!$C:$C)</f>
        <v>배틀 시작시 1턴 동안 반격 확률 50% 증가</v>
      </c>
    </row>
    <row r="14" spans="1:20" x14ac:dyDescent="0.3">
      <c r="A14" s="14">
        <f t="shared" si="2"/>
        <v>1102001</v>
      </c>
      <c r="B14" s="14">
        <v>1</v>
      </c>
      <c r="C14" s="14" t="str">
        <f>C4</f>
        <v>투쟁심</v>
      </c>
      <c r="D14" s="14">
        <v>1</v>
      </c>
      <c r="E14" s="14">
        <v>1</v>
      </c>
      <c r="F14" s="14">
        <v>2</v>
      </c>
      <c r="G14" s="14" t="s">
        <v>208</v>
      </c>
      <c r="H14" s="14">
        <f t="shared" si="3"/>
        <v>1102</v>
      </c>
      <c r="I14" s="14">
        <v>7000101</v>
      </c>
      <c r="J14" s="14">
        <v>18000</v>
      </c>
      <c r="K14" s="5">
        <f>J14/SUM(J14:J23)</f>
        <v>0.17224880382775121</v>
      </c>
      <c r="Q14" s="20">
        <v>7000111</v>
      </c>
      <c r="R14" t="str">
        <f t="shared" si="0"/>
        <v>결벽증</v>
      </c>
      <c r="S14">
        <f t="shared" si="1"/>
        <v>2201002</v>
      </c>
      <c r="T14" t="str">
        <f>_xlfn.XLOOKUP(Q14,'[2]Skill&lt;Talent&gt;'!$A:$A,'[2]Skill&lt;Talent&gt;'!$C:$C)</f>
        <v>배틀 시작시 1턴 동안 면역 부여</v>
      </c>
    </row>
    <row r="15" spans="1:20" x14ac:dyDescent="0.3">
      <c r="A15" s="14">
        <f t="shared" si="2"/>
        <v>1102002</v>
      </c>
      <c r="B15" s="14">
        <v>2</v>
      </c>
      <c r="C15" s="14" t="str">
        <f t="shared" ref="C15:C63" si="9">C5</f>
        <v>원칙주의자</v>
      </c>
      <c r="D15" s="14">
        <v>1</v>
      </c>
      <c r="E15" s="14">
        <v>1</v>
      </c>
      <c r="F15" s="14">
        <v>2</v>
      </c>
      <c r="G15" s="14" t="s">
        <v>208</v>
      </c>
      <c r="H15" s="14">
        <f t="shared" si="3"/>
        <v>1102</v>
      </c>
      <c r="I15" s="14">
        <v>7000106</v>
      </c>
      <c r="J15" s="14">
        <v>18000</v>
      </c>
      <c r="K15" s="5">
        <f>J15/SUM(J14:J23)</f>
        <v>0.17224880382775121</v>
      </c>
      <c r="Q15" s="20">
        <v>7000112</v>
      </c>
      <c r="R15" t="str">
        <f t="shared" si="0"/>
        <v>허영심</v>
      </c>
      <c r="S15">
        <f t="shared" si="1"/>
        <v>2201009</v>
      </c>
      <c r="T15" t="str">
        <f>_xlfn.XLOOKUP(Q15,'[2]Skill&lt;Talent&gt;'!$A:$A,'[2]Skill&lt;Talent&gt;'!$C:$C)</f>
        <v>배틀 시작시 가까운 적 1명에게 1턴 동안 도발 부여</v>
      </c>
    </row>
    <row r="16" spans="1:20" x14ac:dyDescent="0.3">
      <c r="A16" s="14">
        <f t="shared" si="2"/>
        <v>1102003</v>
      </c>
      <c r="B16" s="14">
        <v>3</v>
      </c>
      <c r="C16" s="14" t="str">
        <f t="shared" si="9"/>
        <v>기교꾼</v>
      </c>
      <c r="D16" s="14">
        <v>1</v>
      </c>
      <c r="E16" s="14">
        <v>1</v>
      </c>
      <c r="F16" s="14">
        <v>2</v>
      </c>
      <c r="G16" s="14" t="s">
        <v>208</v>
      </c>
      <c r="H16" s="14">
        <f t="shared" si="3"/>
        <v>1102</v>
      </c>
      <c r="I16" s="14">
        <v>7000107</v>
      </c>
      <c r="J16" s="14">
        <v>18000</v>
      </c>
      <c r="K16" s="5">
        <f>J16/SUM(J14:J23)</f>
        <v>0.17224880382775121</v>
      </c>
      <c r="Q16" s="20">
        <v>7000113</v>
      </c>
      <c r="R16" t="str">
        <f t="shared" si="0"/>
        <v>완벽주의자</v>
      </c>
      <c r="S16">
        <f t="shared" si="1"/>
        <v>2201003</v>
      </c>
      <c r="T16" t="str">
        <f>_xlfn.XLOOKUP(Q16,'[2]Skill&lt;Talent&gt;'!$A:$A,'[2]Skill&lt;Talent&gt;'!$C:$C)</f>
        <v>배틀 시작시 1턴 동안 무적 부여</v>
      </c>
    </row>
    <row r="17" spans="1:20" x14ac:dyDescent="0.3">
      <c r="A17" s="14">
        <f t="shared" si="2"/>
        <v>1102004</v>
      </c>
      <c r="B17" s="14">
        <v>4</v>
      </c>
      <c r="C17" s="14" t="str">
        <f t="shared" si="9"/>
        <v>극의 해방</v>
      </c>
      <c r="D17" s="14">
        <v>1</v>
      </c>
      <c r="E17" s="14">
        <v>1</v>
      </c>
      <c r="F17" s="14">
        <v>2</v>
      </c>
      <c r="G17" s="14" t="s">
        <v>209</v>
      </c>
      <c r="H17" s="14">
        <f t="shared" si="3"/>
        <v>1102</v>
      </c>
      <c r="I17" s="14">
        <v>7000108</v>
      </c>
      <c r="J17" s="14">
        <v>14500</v>
      </c>
      <c r="K17" s="5">
        <f>J17/SUM(J14:J23)</f>
        <v>0.13875598086124402</v>
      </c>
      <c r="Q17" s="20">
        <v>7000114</v>
      </c>
      <c r="R17" t="str">
        <f t="shared" si="0"/>
        <v>성급</v>
      </c>
      <c r="S17">
        <f t="shared" si="1"/>
        <v>1201003</v>
      </c>
      <c r="T17" t="str">
        <f>_xlfn.XLOOKUP(Q17,'[2]Skill&lt;Talent&gt;'!$A:$A,'[2]Skill&lt;Talent&gt;'!$C:$C)</f>
        <v>배틀 시작시 액티브 쿨타임 2턴 감소</v>
      </c>
    </row>
    <row r="18" spans="1:20" x14ac:dyDescent="0.3">
      <c r="A18" s="14">
        <f t="shared" si="2"/>
        <v>1102005</v>
      </c>
      <c r="B18" s="14">
        <v>5</v>
      </c>
      <c r="C18" s="14" t="str">
        <f t="shared" si="9"/>
        <v>격노</v>
      </c>
      <c r="D18" s="14">
        <v>1</v>
      </c>
      <c r="E18" s="14">
        <v>1</v>
      </c>
      <c r="F18" s="14">
        <v>2</v>
      </c>
      <c r="G18" s="14" t="s">
        <v>209</v>
      </c>
      <c r="H18" s="14">
        <f t="shared" si="3"/>
        <v>1102</v>
      </c>
      <c r="I18" s="14">
        <v>7000126</v>
      </c>
      <c r="J18" s="14">
        <v>14500</v>
      </c>
      <c r="K18" s="5">
        <f>J18/SUM(J14:J23)</f>
        <v>0.13875598086124402</v>
      </c>
      <c r="Q18" s="20">
        <v>7000115</v>
      </c>
      <c r="R18" t="str">
        <f t="shared" si="0"/>
        <v>만전태세</v>
      </c>
      <c r="S18">
        <f t="shared" si="1"/>
        <v>1401002</v>
      </c>
      <c r="T18" t="str">
        <f>_xlfn.XLOOKUP(Q18,'[2]Skill&lt;Talent&gt;'!$A:$A,'[2]Skill&lt;Talent&gt;'!$C:$C)</f>
        <v>배틀 시작시 Sp &lt;color=#87cefa&gt;150&lt;/color&gt; 충전</v>
      </c>
    </row>
    <row r="19" spans="1:20" x14ac:dyDescent="0.3">
      <c r="A19" s="14">
        <f t="shared" si="2"/>
        <v>1102006</v>
      </c>
      <c r="B19" s="14">
        <v>6</v>
      </c>
      <c r="C19" s="14" t="str">
        <f t="shared" si="9"/>
        <v>광분</v>
      </c>
      <c r="D19" s="14">
        <v>1</v>
      </c>
      <c r="E19" s="14">
        <v>1</v>
      </c>
      <c r="F19" s="14">
        <v>2</v>
      </c>
      <c r="G19" s="14" t="s">
        <v>210</v>
      </c>
      <c r="H19" s="14">
        <f t="shared" si="3"/>
        <v>1102</v>
      </c>
      <c r="I19" s="14">
        <v>7000127</v>
      </c>
      <c r="J19" s="14">
        <v>9500</v>
      </c>
      <c r="K19" s="5">
        <f>J19/SUM(J14:J23)</f>
        <v>9.0909090909090912E-2</v>
      </c>
      <c r="Q19" s="20">
        <v>7000116</v>
      </c>
      <c r="R19" t="str">
        <f t="shared" si="0"/>
        <v>투지</v>
      </c>
      <c r="S19">
        <f t="shared" si="1"/>
        <v>1201004</v>
      </c>
      <c r="T19" t="str">
        <f>_xlfn.XLOOKUP(Q19,'[2]Skill&lt;Talent&gt;'!$A:$A,'[2]Skill&lt;Talent&gt;'!$C:$C)</f>
        <v>회복 중 공격력 &lt;color=#87cefa&gt;{buff:main}_{value:1}%&lt;/color&gt; 증가</v>
      </c>
    </row>
    <row r="20" spans="1:20" x14ac:dyDescent="0.3">
      <c r="A20" s="14">
        <f t="shared" si="2"/>
        <v>1102007</v>
      </c>
      <c r="B20" s="14">
        <v>7</v>
      </c>
      <c r="C20" s="14" t="str">
        <f t="shared" si="9"/>
        <v>다혈질</v>
      </c>
      <c r="D20" s="14">
        <v>1</v>
      </c>
      <c r="E20" s="14">
        <v>1</v>
      </c>
      <c r="F20" s="14">
        <v>2</v>
      </c>
      <c r="G20" s="14" t="s">
        <v>210</v>
      </c>
      <c r="H20" s="14">
        <f t="shared" si="3"/>
        <v>1102</v>
      </c>
      <c r="I20" s="14">
        <v>7000129</v>
      </c>
      <c r="J20" s="14">
        <v>9500</v>
      </c>
      <c r="K20" s="5">
        <f>J20/SUM(J14:J23)</f>
        <v>9.0909090909090912E-2</v>
      </c>
      <c r="Q20" s="20">
        <v>7000117</v>
      </c>
      <c r="R20" t="str">
        <f t="shared" si="0"/>
        <v>방어기제</v>
      </c>
      <c r="S20">
        <f t="shared" si="1"/>
        <v>1501003</v>
      </c>
      <c r="T20" t="str">
        <f>_xlfn.XLOOKUP(Q20,'[2]Skill&lt;Talent&gt;'!$A:$A,'[2]Skill&lt;Talent&gt;'!$C:$C)</f>
        <v>회복 중 방어력 &lt;color=#87cefa&gt;{buff:main}_{value:1}%&lt;/color&gt; 증가</v>
      </c>
    </row>
    <row r="21" spans="1:20" x14ac:dyDescent="0.3">
      <c r="A21" s="14">
        <f t="shared" si="2"/>
        <v>1102008</v>
      </c>
      <c r="B21" s="14">
        <v>8</v>
      </c>
      <c r="C21" s="14" t="str">
        <f t="shared" si="9"/>
        <v>광폭화</v>
      </c>
      <c r="D21" s="14">
        <v>1</v>
      </c>
      <c r="E21" s="14">
        <v>1</v>
      </c>
      <c r="F21" s="14">
        <v>2</v>
      </c>
      <c r="G21" s="14" t="s">
        <v>211</v>
      </c>
      <c r="H21" s="14">
        <f t="shared" si="3"/>
        <v>1102</v>
      </c>
      <c r="I21" s="14">
        <v>7000130</v>
      </c>
      <c r="J21" s="14">
        <v>1900</v>
      </c>
      <c r="K21" s="5">
        <f>J21/SUM(J14:J23)</f>
        <v>1.8181818181818181E-2</v>
      </c>
      <c r="Q21" s="20">
        <v>7000118</v>
      </c>
      <c r="R21" t="str">
        <f t="shared" si="0"/>
        <v>경계심</v>
      </c>
      <c r="S21">
        <f t="shared" si="1"/>
        <v>2201005</v>
      </c>
      <c r="T21" t="str">
        <f>_xlfn.XLOOKUP(Q21,'[2]Skill&lt;Talent&gt;'!$A:$A,'[2]Skill&lt;Talent&gt;'!$C:$C)</f>
        <v>회복 중 속도 &lt;color=#87cefa&gt;20&lt;/color&gt; 증가</v>
      </c>
    </row>
    <row r="22" spans="1:20" x14ac:dyDescent="0.3">
      <c r="A22" s="14">
        <f t="shared" si="2"/>
        <v>1102009</v>
      </c>
      <c r="B22" s="14">
        <v>9</v>
      </c>
      <c r="C22" s="14" t="str">
        <f t="shared" si="9"/>
        <v>독기</v>
      </c>
      <c r="D22" s="14">
        <v>1</v>
      </c>
      <c r="E22" s="14">
        <v>1</v>
      </c>
      <c r="F22" s="14">
        <v>2</v>
      </c>
      <c r="G22" s="14" t="s">
        <v>212</v>
      </c>
      <c r="H22" s="14">
        <f t="shared" si="3"/>
        <v>1102</v>
      </c>
      <c r="I22" s="14">
        <v>7000163</v>
      </c>
      <c r="J22" s="14">
        <v>500</v>
      </c>
      <c r="K22" s="5">
        <f>J22/SUM(J14:J23)</f>
        <v>4.7846889952153108E-3</v>
      </c>
      <c r="Q22" s="20">
        <v>7000119</v>
      </c>
      <c r="R22" t="str">
        <f t="shared" si="0"/>
        <v>다재다능</v>
      </c>
      <c r="S22">
        <f t="shared" si="1"/>
        <v>1401010</v>
      </c>
      <c r="T22" t="str">
        <f>_xlfn.XLOOKUP(Q22,'[2]Skill&lt;Talent&gt;'!$A:$A,'[2]Skill&lt;Talent&gt;'!$C:$C)</f>
        <v>보호막 중 공격력 &lt;color=#87cefa&gt;{buff:main}_{value:1}%&lt;/color&gt; 증가</v>
      </c>
    </row>
    <row r="23" spans="1:20" x14ac:dyDescent="0.3">
      <c r="A23" s="14">
        <f t="shared" si="2"/>
        <v>1102010</v>
      </c>
      <c r="B23" s="14">
        <v>10</v>
      </c>
      <c r="C23" s="14" t="str">
        <f t="shared" si="9"/>
        <v>자기연소</v>
      </c>
      <c r="D23" s="14">
        <v>1</v>
      </c>
      <c r="E23" s="14">
        <v>1</v>
      </c>
      <c r="F23" s="14">
        <v>2</v>
      </c>
      <c r="G23" s="14" t="s">
        <v>213</v>
      </c>
      <c r="H23" s="14">
        <f t="shared" si="3"/>
        <v>1102</v>
      </c>
      <c r="I23" s="14">
        <v>7000174</v>
      </c>
      <c r="J23" s="14">
        <v>100</v>
      </c>
      <c r="K23" s="5">
        <f>J23/SUM(J14:J23)</f>
        <v>9.5693779904306223E-4</v>
      </c>
      <c r="Q23" s="20">
        <v>7000120</v>
      </c>
      <c r="R23" t="str">
        <f t="shared" si="0"/>
        <v>철벽</v>
      </c>
      <c r="S23">
        <f t="shared" si="1"/>
        <v>1201005</v>
      </c>
      <c r="T23" t="str">
        <f>_xlfn.XLOOKUP(Q23,'[2]Skill&lt;Talent&gt;'!$A:$A,'[2]Skill&lt;Talent&gt;'!$C:$C)</f>
        <v>보호막 중 방어력 &lt;color=#87cefa&gt;{buff:main}_{value:1}%&lt;/color&gt; 증가</v>
      </c>
    </row>
    <row r="24" spans="1:20" x14ac:dyDescent="0.3">
      <c r="A24" s="14">
        <f t="shared" si="2"/>
        <v>1103001</v>
      </c>
      <c r="B24" s="14">
        <v>1</v>
      </c>
      <c r="C24" s="14" t="str">
        <f>C14</f>
        <v>투쟁심</v>
      </c>
      <c r="D24" s="14">
        <v>1</v>
      </c>
      <c r="E24" s="14">
        <v>1</v>
      </c>
      <c r="F24" s="14">
        <v>3</v>
      </c>
      <c r="G24" s="14" t="s">
        <v>208</v>
      </c>
      <c r="H24" s="14">
        <f t="shared" si="3"/>
        <v>1103</v>
      </c>
      <c r="I24" s="14">
        <v>7000101</v>
      </c>
      <c r="J24" s="14">
        <v>16000</v>
      </c>
      <c r="K24" s="5">
        <f>J24/SUM(J24:J33)</f>
        <v>0.16597510373443983</v>
      </c>
      <c r="Q24" s="20">
        <v>7000121</v>
      </c>
      <c r="R24" t="str">
        <f t="shared" si="0"/>
        <v>겁쟁이</v>
      </c>
      <c r="S24">
        <f t="shared" si="1"/>
        <v>4201003</v>
      </c>
      <c r="T24" t="str">
        <f>_xlfn.XLOOKUP(Q24,'[2]Skill&lt;Talent&gt;'!$A:$A,'[2]Skill&lt;Talent&gt;'!$C:$C)</f>
        <v>보호막 중 속도 &lt;color=#87cefa&gt;20&lt;/color&gt; 증가</v>
      </c>
    </row>
    <row r="25" spans="1:20" x14ac:dyDescent="0.3">
      <c r="A25" s="14">
        <f t="shared" si="2"/>
        <v>1103002</v>
      </c>
      <c r="B25" s="14">
        <v>2</v>
      </c>
      <c r="C25" s="14" t="str">
        <f t="shared" si="9"/>
        <v>원칙주의자</v>
      </c>
      <c r="D25" s="14">
        <v>1</v>
      </c>
      <c r="E25" s="14">
        <v>1</v>
      </c>
      <c r="F25" s="14">
        <v>3</v>
      </c>
      <c r="G25" s="14" t="s">
        <v>208</v>
      </c>
      <c r="H25" s="14">
        <f t="shared" si="3"/>
        <v>1103</v>
      </c>
      <c r="I25" s="14">
        <v>7000106</v>
      </c>
      <c r="J25" s="14">
        <v>16000</v>
      </c>
      <c r="K25" s="5">
        <f>J25/SUM(J24:J33)</f>
        <v>0.16597510373443983</v>
      </c>
      <c r="Q25" s="20">
        <v>7000122</v>
      </c>
      <c r="R25" t="str">
        <f t="shared" si="0"/>
        <v>기회주의자</v>
      </c>
      <c r="S25">
        <f t="shared" si="1"/>
        <v>1501009</v>
      </c>
      <c r="T25" t="str">
        <f>_xlfn.XLOOKUP(Q25,'[2]Skill&lt;Talent&gt;'!$A:$A,'[2]Skill&lt;Talent&gt;'!$C:$C)</f>
        <v>노멀 공격시 35% 확률로 Sp &lt;color=#87cefa&gt;10&lt;/color&gt; 획득</v>
      </c>
    </row>
    <row r="26" spans="1:20" x14ac:dyDescent="0.3">
      <c r="A26" s="14">
        <f t="shared" si="2"/>
        <v>1103003</v>
      </c>
      <c r="B26" s="14">
        <v>3</v>
      </c>
      <c r="C26" s="14" t="str">
        <f t="shared" si="9"/>
        <v>기교꾼</v>
      </c>
      <c r="D26" s="14">
        <v>1</v>
      </c>
      <c r="E26" s="14">
        <v>1</v>
      </c>
      <c r="F26" s="14">
        <v>3</v>
      </c>
      <c r="G26" s="14" t="s">
        <v>208</v>
      </c>
      <c r="H26" s="14">
        <f t="shared" si="3"/>
        <v>1103</v>
      </c>
      <c r="I26" s="14">
        <v>7000107</v>
      </c>
      <c r="J26" s="14">
        <v>16000</v>
      </c>
      <c r="K26" s="5">
        <f>J26/SUM(J24:J33)</f>
        <v>0.16597510373443983</v>
      </c>
      <c r="Q26" s="20">
        <v>7000123</v>
      </c>
      <c r="R26" t="str">
        <f t="shared" si="0"/>
        <v>책략가</v>
      </c>
      <c r="S26">
        <f t="shared" si="1"/>
        <v>2101005</v>
      </c>
      <c r="T26" t="str">
        <f>_xlfn.XLOOKUP(Q26,'[2]Skill&lt;Talent&gt;'!$A:$A,'[2]Skill&lt;Talent&gt;'!$C:$C)</f>
        <v>액티브 공격시 35% 확률로 Sp &lt;color=#87cefa&gt;10&lt;/color&gt; 획득</v>
      </c>
    </row>
    <row r="27" spans="1:20" x14ac:dyDescent="0.3">
      <c r="A27" s="14">
        <f t="shared" si="2"/>
        <v>1103004</v>
      </c>
      <c r="B27" s="14">
        <v>4</v>
      </c>
      <c r="C27" s="14" t="str">
        <f t="shared" si="9"/>
        <v>극의 해방</v>
      </c>
      <c r="D27" s="14">
        <v>1</v>
      </c>
      <c r="E27" s="14">
        <v>1</v>
      </c>
      <c r="F27" s="14">
        <v>3</v>
      </c>
      <c r="G27" s="14" t="s">
        <v>209</v>
      </c>
      <c r="H27" s="14">
        <f t="shared" si="3"/>
        <v>1103</v>
      </c>
      <c r="I27" s="14">
        <v>7000108</v>
      </c>
      <c r="J27" s="14">
        <v>14000</v>
      </c>
      <c r="K27" s="5">
        <f>J27/SUM(J24:J33)</f>
        <v>0.14522821576763487</v>
      </c>
      <c r="Q27" s="20">
        <v>7000124</v>
      </c>
      <c r="R27" t="str">
        <f t="shared" si="0"/>
        <v>착취</v>
      </c>
      <c r="S27">
        <f t="shared" si="1"/>
        <v>2101004</v>
      </c>
      <c r="T27" t="str">
        <f>_xlfn.XLOOKUP(Q27,'[2]Skill&lt;Talent&gt;'!$A:$A,'[2]Skill&lt;Talent&gt;'!$C:$C)</f>
        <v>얼티밋 공격시 20% 확률로 Sp &lt;color=#87cefa&gt;5&lt;/color&gt; 획득</v>
      </c>
    </row>
    <row r="28" spans="1:20" x14ac:dyDescent="0.3">
      <c r="A28" s="14">
        <f t="shared" si="2"/>
        <v>1103005</v>
      </c>
      <c r="B28" s="14">
        <v>5</v>
      </c>
      <c r="C28" s="14" t="str">
        <f t="shared" si="9"/>
        <v>격노</v>
      </c>
      <c r="D28" s="14">
        <v>1</v>
      </c>
      <c r="E28" s="14">
        <v>1</v>
      </c>
      <c r="F28" s="14">
        <v>3</v>
      </c>
      <c r="G28" s="14" t="s">
        <v>209</v>
      </c>
      <c r="H28" s="14">
        <f t="shared" si="3"/>
        <v>1103</v>
      </c>
      <c r="I28" s="14">
        <v>7000126</v>
      </c>
      <c r="J28" s="14">
        <v>14000</v>
      </c>
      <c r="K28" s="5">
        <f>J28/SUM(J24:J33)</f>
        <v>0.14522821576763487</v>
      </c>
      <c r="Q28" s="20">
        <v>7000125</v>
      </c>
      <c r="R28" t="str">
        <f t="shared" si="0"/>
        <v>증오</v>
      </c>
      <c r="S28">
        <f t="shared" si="1"/>
        <v>3101003</v>
      </c>
      <c r="T28" t="str">
        <f>_xlfn.XLOOKUP(Q28,'[2]Skill&lt;Talent&gt;'!$A:$A,'[2]Skill&lt;Talent&gt;'!$C:$C)</f>
        <v>체력이 50% 이하일 때 노멀 대미지 &lt;color=#87cefa&gt;{buff:main}_{value:1}%&lt;/color&gt; 증가</v>
      </c>
    </row>
    <row r="29" spans="1:20" x14ac:dyDescent="0.3">
      <c r="A29" s="14">
        <f t="shared" si="2"/>
        <v>1103006</v>
      </c>
      <c r="B29" s="14">
        <v>6</v>
      </c>
      <c r="C29" s="14" t="str">
        <f t="shared" si="9"/>
        <v>광분</v>
      </c>
      <c r="D29" s="14">
        <v>1</v>
      </c>
      <c r="E29" s="14">
        <v>1</v>
      </c>
      <c r="F29" s="14">
        <v>3</v>
      </c>
      <c r="G29" s="14" t="s">
        <v>210</v>
      </c>
      <c r="H29" s="14">
        <f t="shared" si="3"/>
        <v>1103</v>
      </c>
      <c r="I29" s="14">
        <v>7000127</v>
      </c>
      <c r="J29" s="14">
        <v>9000</v>
      </c>
      <c r="K29" s="5">
        <f>J29/SUM(J24:J33)</f>
        <v>9.3360995850622408E-2</v>
      </c>
      <c r="Q29" s="20">
        <v>7000126</v>
      </c>
      <c r="R29" t="str">
        <f t="shared" si="0"/>
        <v>격노</v>
      </c>
      <c r="S29">
        <f t="shared" si="1"/>
        <v>1101005</v>
      </c>
      <c r="T29" t="str">
        <f>_xlfn.XLOOKUP(Q29,'[2]Skill&lt;Talent&gt;'!$A:$A,'[2]Skill&lt;Talent&gt;'!$C:$C)</f>
        <v>체력이 50% 이하일 때 액티브 대미지 &lt;color=#87cefa&gt;{buff:main}_{value:1}%&lt;/color&gt; 증가</v>
      </c>
    </row>
    <row r="30" spans="1:20" x14ac:dyDescent="0.3">
      <c r="A30" s="14">
        <f t="shared" si="2"/>
        <v>1103007</v>
      </c>
      <c r="B30" s="14">
        <v>7</v>
      </c>
      <c r="C30" s="14" t="str">
        <f t="shared" si="9"/>
        <v>다혈질</v>
      </c>
      <c r="D30" s="14">
        <v>1</v>
      </c>
      <c r="E30" s="14">
        <v>1</v>
      </c>
      <c r="F30" s="14">
        <v>3</v>
      </c>
      <c r="G30" s="14" t="s">
        <v>210</v>
      </c>
      <c r="H30" s="14">
        <f t="shared" si="3"/>
        <v>1103</v>
      </c>
      <c r="I30" s="14">
        <v>7000129</v>
      </c>
      <c r="J30" s="14">
        <v>9000</v>
      </c>
      <c r="K30" s="5">
        <f>J30/SUM(J24:J33)</f>
        <v>9.3360995850622408E-2</v>
      </c>
      <c r="Q30" s="20">
        <v>7000127</v>
      </c>
      <c r="R30" t="str">
        <f t="shared" si="0"/>
        <v>광분</v>
      </c>
      <c r="S30">
        <f t="shared" si="1"/>
        <v>1101006</v>
      </c>
      <c r="T30" t="str">
        <f>_xlfn.XLOOKUP(Q30,'[2]Skill&lt;Talent&gt;'!$A:$A,'[2]Skill&lt;Talent&gt;'!$C:$C)</f>
        <v>체력이 50% 이하일 때 얼티밋 대미지 &lt;color=#87cefa&gt;{buff:main}_{value:1}%&lt;/color&gt; 증가</v>
      </c>
    </row>
    <row r="31" spans="1:20" x14ac:dyDescent="0.3">
      <c r="A31" s="14">
        <f t="shared" si="2"/>
        <v>1103008</v>
      </c>
      <c r="B31" s="14">
        <v>8</v>
      </c>
      <c r="C31" s="14" t="str">
        <f t="shared" si="9"/>
        <v>광폭화</v>
      </c>
      <c r="D31" s="14">
        <v>1</v>
      </c>
      <c r="E31" s="14">
        <v>1</v>
      </c>
      <c r="F31" s="14">
        <v>3</v>
      </c>
      <c r="G31" s="14" t="s">
        <v>211</v>
      </c>
      <c r="H31" s="14">
        <f t="shared" si="3"/>
        <v>1103</v>
      </c>
      <c r="I31" s="14">
        <v>7000130</v>
      </c>
      <c r="J31" s="14">
        <v>1800</v>
      </c>
      <c r="K31" s="5">
        <f>J31/SUM(J24:J33)</f>
        <v>1.8672199170124481E-2</v>
      </c>
      <c r="Q31" s="20">
        <v>7000128</v>
      </c>
      <c r="R31" t="str">
        <f t="shared" si="0"/>
        <v>근성</v>
      </c>
      <c r="S31">
        <f t="shared" si="1"/>
        <v>3101004</v>
      </c>
      <c r="T31" t="str">
        <f>_xlfn.XLOOKUP(Q31,'[2]Skill&lt;Talent&gt;'!$A:$A,'[2]Skill&lt;Talent&gt;'!$C:$C)</f>
        <v>체력이 50% 이하일 때 방어력 &lt;color=#87cefa&gt;{buff:main}_{value:1}%&lt;/color&gt; 증가</v>
      </c>
    </row>
    <row r="32" spans="1:20" x14ac:dyDescent="0.3">
      <c r="A32" s="14">
        <f t="shared" si="2"/>
        <v>1103009</v>
      </c>
      <c r="B32" s="14">
        <v>9</v>
      </c>
      <c r="C32" s="14" t="str">
        <f t="shared" si="9"/>
        <v>독기</v>
      </c>
      <c r="D32" s="14">
        <v>1</v>
      </c>
      <c r="E32" s="14">
        <v>1</v>
      </c>
      <c r="F32" s="14">
        <v>3</v>
      </c>
      <c r="G32" s="14" t="s">
        <v>212</v>
      </c>
      <c r="H32" s="14">
        <f t="shared" si="3"/>
        <v>1103</v>
      </c>
      <c r="I32" s="14">
        <v>7000163</v>
      </c>
      <c r="J32" s="14">
        <v>500</v>
      </c>
      <c r="K32" s="5">
        <f>J32/SUM(J24:J33)</f>
        <v>5.1867219917012446E-3</v>
      </c>
      <c r="Q32" s="20">
        <v>7000129</v>
      </c>
      <c r="R32" t="str">
        <f t="shared" si="0"/>
        <v>다혈질</v>
      </c>
      <c r="S32">
        <f t="shared" si="1"/>
        <v>1101007</v>
      </c>
      <c r="T32" t="str">
        <f>_xlfn.XLOOKUP(Q32,'[2]Skill&lt;Talent&gt;'!$A:$A,'[2]Skill&lt;Talent&gt;'!$C:$C)</f>
        <v>체력이 50% 이하일 때 치명타 확률 &lt;color=#87cefa&gt;{buff:main}_{value:1}%&lt;/color&gt; 증가</v>
      </c>
    </row>
    <row r="33" spans="1:20" x14ac:dyDescent="0.3">
      <c r="A33" s="14">
        <f t="shared" si="2"/>
        <v>1103010</v>
      </c>
      <c r="B33" s="14">
        <v>10</v>
      </c>
      <c r="C33" s="14" t="str">
        <f t="shared" si="9"/>
        <v>자기연소</v>
      </c>
      <c r="D33" s="14">
        <v>1</v>
      </c>
      <c r="E33" s="14">
        <v>1</v>
      </c>
      <c r="F33" s="14">
        <v>3</v>
      </c>
      <c r="G33" s="14" t="s">
        <v>213</v>
      </c>
      <c r="H33" s="14">
        <f t="shared" si="3"/>
        <v>1103</v>
      </c>
      <c r="I33" s="14">
        <v>7000174</v>
      </c>
      <c r="J33" s="14">
        <v>100</v>
      </c>
      <c r="K33" s="5">
        <f>J33/SUM(J24:J33)</f>
        <v>1.037344398340249E-3</v>
      </c>
      <c r="Q33" s="20">
        <v>7000130</v>
      </c>
      <c r="R33" t="str">
        <f t="shared" si="0"/>
        <v>광폭화</v>
      </c>
      <c r="S33">
        <f t="shared" si="1"/>
        <v>1101008</v>
      </c>
      <c r="T33" t="str">
        <f>_xlfn.XLOOKUP(Q33,'[2]Skill&lt;Talent&gt;'!$A:$A,'[2]Skill&lt;Talent&gt;'!$C:$C)</f>
        <v>체력이 50% 이하일 때 치명타 대미지 &lt;color=#87cefa&gt;{buff:main}_{value:1}%&lt;/color&gt; 증가</v>
      </c>
    </row>
    <row r="34" spans="1:20" x14ac:dyDescent="0.3">
      <c r="A34" s="14">
        <f t="shared" ref="A34:A63" si="10">INT(H34&amp;TEXT(B34,"000"))</f>
        <v>1104001</v>
      </c>
      <c r="B34" s="14">
        <v>1</v>
      </c>
      <c r="C34" s="14" t="str">
        <f>C24</f>
        <v>투쟁심</v>
      </c>
      <c r="D34" s="14">
        <v>1</v>
      </c>
      <c r="E34" s="14">
        <v>1</v>
      </c>
      <c r="F34" s="14">
        <v>4</v>
      </c>
      <c r="G34" s="14" t="s">
        <v>208</v>
      </c>
      <c r="H34" s="14">
        <f t="shared" ref="H34:H63" si="11">INT(D34&amp;E34&amp;TEXT(F34,"00"))</f>
        <v>1104</v>
      </c>
      <c r="I34" s="14">
        <v>7000101</v>
      </c>
      <c r="J34" s="14">
        <v>14000</v>
      </c>
      <c r="K34" s="5">
        <f>J34/SUM(J34:J43)</f>
        <v>0.15855039637599094</v>
      </c>
      <c r="Q34" s="20">
        <v>7000131</v>
      </c>
      <c r="R34" t="str">
        <f t="shared" si="0"/>
        <v>앙갚음</v>
      </c>
      <c r="S34">
        <f t="shared" si="1"/>
        <v>1201006</v>
      </c>
      <c r="T34" t="str">
        <f>_xlfn.XLOOKUP(Q34,'[2]Skill&lt;Talent&gt;'!$A:$A,'[2]Skill&lt;Talent&gt;'!$C:$C)</f>
        <v>체력이 50% 이하일 때 반격 확률 &lt;color=#87cefa&gt;{buff:main}_{value:1}%&lt;/color&gt; 증가</v>
      </c>
    </row>
    <row r="35" spans="1:20" x14ac:dyDescent="0.3">
      <c r="A35" s="14">
        <f t="shared" si="10"/>
        <v>1104002</v>
      </c>
      <c r="B35" s="14">
        <v>2</v>
      </c>
      <c r="C35" s="14" t="str">
        <f t="shared" si="9"/>
        <v>원칙주의자</v>
      </c>
      <c r="D35" s="14">
        <v>1</v>
      </c>
      <c r="E35" s="14">
        <v>1</v>
      </c>
      <c r="F35" s="14">
        <v>4</v>
      </c>
      <c r="G35" s="14" t="s">
        <v>208</v>
      </c>
      <c r="H35" s="14">
        <f t="shared" si="11"/>
        <v>1104</v>
      </c>
      <c r="I35" s="14">
        <v>7000106</v>
      </c>
      <c r="J35" s="14">
        <v>14000</v>
      </c>
      <c r="K35" s="5">
        <f>J35/SUM(J34:J43)</f>
        <v>0.15855039637599094</v>
      </c>
      <c r="Q35" s="20">
        <v>7000132</v>
      </c>
      <c r="R35" t="str">
        <f t="shared" si="0"/>
        <v>경각심</v>
      </c>
      <c r="S35">
        <f t="shared" si="1"/>
        <v>3101005</v>
      </c>
      <c r="T35" t="str">
        <f>_xlfn.XLOOKUP(Q35,'[2]Skill&lt;Talent&gt;'!$A:$A,'[2]Skill&lt;Talent&gt;'!$C:$C)</f>
        <v>체력이 50% 이하일 때 회피율 &lt;color=#87cefa&gt;{buff:main}_{value:1}%&lt;/color&gt; 증가</v>
      </c>
    </row>
    <row r="36" spans="1:20" x14ac:dyDescent="0.3">
      <c r="A36" s="14">
        <f t="shared" si="10"/>
        <v>1104003</v>
      </c>
      <c r="B36" s="14">
        <v>3</v>
      </c>
      <c r="C36" s="14" t="str">
        <f t="shared" si="9"/>
        <v>기교꾼</v>
      </c>
      <c r="D36" s="14">
        <v>1</v>
      </c>
      <c r="E36" s="14">
        <v>1</v>
      </c>
      <c r="F36" s="14">
        <v>4</v>
      </c>
      <c r="G36" s="14" t="s">
        <v>208</v>
      </c>
      <c r="H36" s="14">
        <f t="shared" si="11"/>
        <v>1104</v>
      </c>
      <c r="I36" s="14">
        <v>7000107</v>
      </c>
      <c r="J36" s="14">
        <v>14000</v>
      </c>
      <c r="K36" s="5">
        <f>J36/SUM(J34:J43)</f>
        <v>0.15855039637599094</v>
      </c>
      <c r="Q36" s="20">
        <v>7000133</v>
      </c>
      <c r="R36" t="str">
        <f t="shared" ref="R36:R67" si="12">_xlfn.XLOOKUP(Q36,I:I,C:C)</f>
        <v>투정</v>
      </c>
      <c r="S36">
        <f t="shared" ref="S36:S72" si="13">_xlfn.XLOOKUP(Q36,I:I,A:A)</f>
        <v>1301009</v>
      </c>
      <c r="T36" t="str">
        <f>_xlfn.XLOOKUP(Q36,'[2]Skill&lt;Talent&gt;'!$A:$A,'[2]Skill&lt;Talent&gt;'!$C:$C)</f>
        <v>노멀 스킬 사용시 20% 확률로 최대 체력의 &lt;color=#87cefa&gt;10%&lt;/color&gt; 회복</v>
      </c>
    </row>
    <row r="37" spans="1:20" x14ac:dyDescent="0.3">
      <c r="A37" s="14">
        <f t="shared" si="10"/>
        <v>1104004</v>
      </c>
      <c r="B37" s="14">
        <v>4</v>
      </c>
      <c r="C37" s="14" t="str">
        <f t="shared" si="9"/>
        <v>극의 해방</v>
      </c>
      <c r="D37" s="14">
        <v>1</v>
      </c>
      <c r="E37" s="14">
        <v>1</v>
      </c>
      <c r="F37" s="14">
        <v>4</v>
      </c>
      <c r="G37" s="14" t="s">
        <v>209</v>
      </c>
      <c r="H37" s="14">
        <f t="shared" si="11"/>
        <v>1104</v>
      </c>
      <c r="I37" s="14">
        <v>7000108</v>
      </c>
      <c r="J37" s="14">
        <v>13500</v>
      </c>
      <c r="K37" s="5">
        <f>J37/SUM(J34:J43)</f>
        <v>0.15288788221970556</v>
      </c>
      <c r="Q37" s="20">
        <v>7000134</v>
      </c>
      <c r="R37" t="str">
        <f t="shared" si="12"/>
        <v>수완가</v>
      </c>
      <c r="S37">
        <f t="shared" si="13"/>
        <v>1401007</v>
      </c>
      <c r="T37" t="str">
        <f>_xlfn.XLOOKUP(Q37,'[2]Skill&lt;Talent&gt;'!$A:$A,'[2]Skill&lt;Talent&gt;'!$C:$C)</f>
        <v>액티브 스킬 사용시 30% 확률로 최대 체력의 &lt;color=#87cefa&gt;10%&lt;/color&gt; 회복</v>
      </c>
    </row>
    <row r="38" spans="1:20" x14ac:dyDescent="0.3">
      <c r="A38" s="14">
        <f t="shared" si="10"/>
        <v>1104005</v>
      </c>
      <c r="B38" s="14">
        <v>5</v>
      </c>
      <c r="C38" s="14" t="str">
        <f t="shared" si="9"/>
        <v>격노</v>
      </c>
      <c r="D38" s="14">
        <v>1</v>
      </c>
      <c r="E38" s="14">
        <v>1</v>
      </c>
      <c r="F38" s="14">
        <v>4</v>
      </c>
      <c r="G38" s="14" t="s">
        <v>209</v>
      </c>
      <c r="H38" s="14">
        <f t="shared" si="11"/>
        <v>1104</v>
      </c>
      <c r="I38" s="14">
        <v>7000126</v>
      </c>
      <c r="J38" s="14">
        <v>13500</v>
      </c>
      <c r="K38" s="5">
        <f>J38/SUM(J34:J43)</f>
        <v>0.15288788221970556</v>
      </c>
      <c r="Q38" s="20">
        <v>7000135</v>
      </c>
      <c r="R38" t="str">
        <f t="shared" si="12"/>
        <v>이기주의</v>
      </c>
      <c r="S38">
        <f t="shared" si="13"/>
        <v>1501006</v>
      </c>
      <c r="T38" t="str">
        <f>_xlfn.XLOOKUP(Q38,'[2]Skill&lt;Talent&gt;'!$A:$A,'[2]Skill&lt;Talent&gt;'!$C:$C)</f>
        <v>얼티밋 스킬 사용시 40% 확률로 최대 체력의 &lt;color=#87cefa&gt;10%&lt;/color&gt; 회복</v>
      </c>
    </row>
    <row r="39" spans="1:20" x14ac:dyDescent="0.3">
      <c r="A39" s="14">
        <f t="shared" si="10"/>
        <v>1104006</v>
      </c>
      <c r="B39" s="14">
        <v>6</v>
      </c>
      <c r="C39" s="14" t="str">
        <f t="shared" si="9"/>
        <v>광분</v>
      </c>
      <c r="D39" s="14">
        <v>1</v>
      </c>
      <c r="E39" s="14">
        <v>1</v>
      </c>
      <c r="F39" s="14">
        <v>4</v>
      </c>
      <c r="G39" s="14" t="s">
        <v>210</v>
      </c>
      <c r="H39" s="14">
        <f t="shared" si="11"/>
        <v>1104</v>
      </c>
      <c r="I39" s="14">
        <v>7000127</v>
      </c>
      <c r="J39" s="14">
        <v>8500</v>
      </c>
      <c r="K39" s="5">
        <f>J39/SUM(J34:J43)</f>
        <v>9.6262740656851642E-2</v>
      </c>
      <c r="Q39" s="20">
        <v>7000136</v>
      </c>
      <c r="R39" t="str">
        <f t="shared" si="12"/>
        <v>무자비</v>
      </c>
      <c r="S39">
        <f t="shared" si="13"/>
        <v>1301010</v>
      </c>
      <c r="T39" t="str">
        <f>_xlfn.XLOOKUP(Q39,'[2]Skill&lt;Talent&gt;'!$A:$A,'[2]Skill&lt;Talent&gt;'!$C:$C)</f>
        <v>디버프 중인 대상 대미지 &lt;color=#87cefa&gt;{buff:main}_{value:1}%&lt;/color&gt; 증가</v>
      </c>
    </row>
    <row r="40" spans="1:20" x14ac:dyDescent="0.3">
      <c r="A40" s="14">
        <f t="shared" si="10"/>
        <v>1104007</v>
      </c>
      <c r="B40" s="14">
        <v>7</v>
      </c>
      <c r="C40" s="14" t="str">
        <f t="shared" si="9"/>
        <v>다혈질</v>
      </c>
      <c r="D40" s="14">
        <v>1</v>
      </c>
      <c r="E40" s="14">
        <v>1</v>
      </c>
      <c r="F40" s="14">
        <v>4</v>
      </c>
      <c r="G40" s="14" t="s">
        <v>210</v>
      </c>
      <c r="H40" s="14">
        <f t="shared" si="11"/>
        <v>1104</v>
      </c>
      <c r="I40" s="14">
        <v>7000129</v>
      </c>
      <c r="J40" s="14">
        <v>8500</v>
      </c>
      <c r="K40" s="5">
        <f>J40/SUM(J34:J43)</f>
        <v>9.6262740656851642E-2</v>
      </c>
      <c r="Q40" s="20">
        <v>7000137</v>
      </c>
      <c r="R40" t="str">
        <f t="shared" si="12"/>
        <v>정정당당</v>
      </c>
      <c r="S40">
        <f t="shared" si="13"/>
        <v>1401003</v>
      </c>
      <c r="T40" t="str">
        <f>_xlfn.XLOOKUP(Q40,'[2]Skill&lt;Talent&gt;'!$A:$A,'[2]Skill&lt;Talent&gt;'!$C:$C)</f>
        <v>버프 중 대상 대미지 &lt;color=#87cefa&gt;{buff:main}_{value:1}%&lt;/color&gt; 증가</v>
      </c>
    </row>
    <row r="41" spans="1:20" x14ac:dyDescent="0.3">
      <c r="A41" s="14">
        <f t="shared" si="10"/>
        <v>1104008</v>
      </c>
      <c r="B41" s="14">
        <v>8</v>
      </c>
      <c r="C41" s="14" t="str">
        <f t="shared" si="9"/>
        <v>광폭화</v>
      </c>
      <c r="D41" s="14">
        <v>1</v>
      </c>
      <c r="E41" s="14">
        <v>1</v>
      </c>
      <c r="F41" s="14">
        <v>4</v>
      </c>
      <c r="G41" s="14" t="s">
        <v>211</v>
      </c>
      <c r="H41" s="14">
        <f t="shared" si="11"/>
        <v>1104</v>
      </c>
      <c r="I41" s="14">
        <v>7000130</v>
      </c>
      <c r="J41" s="14">
        <v>1700</v>
      </c>
      <c r="K41" s="5">
        <f>J41/SUM(J34:J43)</f>
        <v>1.9252548131370329E-2</v>
      </c>
      <c r="Q41" s="20">
        <v>7000139</v>
      </c>
      <c r="R41" t="str">
        <f t="shared" si="12"/>
        <v>오기</v>
      </c>
      <c r="S41">
        <f t="shared" si="13"/>
        <v>1201007</v>
      </c>
      <c r="T41" t="str">
        <f>_xlfn.XLOOKUP(Q41,'[2]Skill&lt;Talent&gt;'!$A:$A,'[2]Skill&lt;Talent&gt;'!$C:$C)</f>
        <v>피격 시 공격력 &lt;color=#87cefa&gt;{buff:main}_{value:1}%&lt;/color&gt; 증가</v>
      </c>
    </row>
    <row r="42" spans="1:20" x14ac:dyDescent="0.3">
      <c r="A42" s="14">
        <f t="shared" si="10"/>
        <v>1104009</v>
      </c>
      <c r="B42" s="14">
        <v>9</v>
      </c>
      <c r="C42" s="14" t="str">
        <f t="shared" si="9"/>
        <v>독기</v>
      </c>
      <c r="D42" s="14">
        <v>1</v>
      </c>
      <c r="E42" s="14">
        <v>1</v>
      </c>
      <c r="F42" s="14">
        <v>4</v>
      </c>
      <c r="G42" s="14" t="s">
        <v>212</v>
      </c>
      <c r="H42" s="14">
        <f t="shared" si="11"/>
        <v>1104</v>
      </c>
      <c r="I42" s="14">
        <v>7000163</v>
      </c>
      <c r="J42" s="14">
        <v>500</v>
      </c>
      <c r="K42" s="5">
        <f>J42/SUM(J34:J43)</f>
        <v>5.6625141562853904E-3</v>
      </c>
      <c r="Q42" s="20">
        <v>7000140</v>
      </c>
      <c r="R42" t="str">
        <f t="shared" si="12"/>
        <v>지구력</v>
      </c>
      <c r="S42">
        <f t="shared" si="13"/>
        <v>2201006</v>
      </c>
      <c r="T42" t="str">
        <f>_xlfn.XLOOKUP(Q42,'[2]Skill&lt;Talent&gt;'!$A:$A,'[2]Skill&lt;Talent&gt;'!$C:$C)</f>
        <v>피격 시 방어력 &lt;color=#87cefa&gt;{buff:main}_{value:1}%&lt;/color&gt; 증가</v>
      </c>
    </row>
    <row r="43" spans="1:20" x14ac:dyDescent="0.3">
      <c r="A43" s="14">
        <f t="shared" si="10"/>
        <v>1104010</v>
      </c>
      <c r="B43" s="14">
        <v>10</v>
      </c>
      <c r="C43" s="14" t="str">
        <f t="shared" si="9"/>
        <v>자기연소</v>
      </c>
      <c r="D43" s="14">
        <v>1</v>
      </c>
      <c r="E43" s="14">
        <v>1</v>
      </c>
      <c r="F43" s="14">
        <v>4</v>
      </c>
      <c r="G43" s="14" t="s">
        <v>213</v>
      </c>
      <c r="H43" s="14">
        <f t="shared" si="11"/>
        <v>1104</v>
      </c>
      <c r="I43" s="14">
        <v>7000174</v>
      </c>
      <c r="J43" s="14">
        <v>100</v>
      </c>
      <c r="K43" s="5">
        <f>J43/SUM(J34:J43)</f>
        <v>1.1325028312570782E-3</v>
      </c>
      <c r="Q43" s="20">
        <v>7000141</v>
      </c>
      <c r="R43" t="str">
        <f t="shared" si="12"/>
        <v>위기감지</v>
      </c>
      <c r="S43">
        <f t="shared" si="13"/>
        <v>1301007</v>
      </c>
      <c r="T43" t="str">
        <f>_xlfn.XLOOKUP(Q43,'[2]Skill&lt;Talent&gt;'!$A:$A,'[2]Skill&lt;Talent&gt;'!$C:$C)</f>
        <v>피격 시 속도 &lt;color=#87cefa&gt;15&lt;/color&gt; 증가</v>
      </c>
    </row>
    <row r="44" spans="1:20" x14ac:dyDescent="0.3">
      <c r="A44" s="14">
        <f t="shared" si="10"/>
        <v>1105001</v>
      </c>
      <c r="B44" s="14">
        <v>1</v>
      </c>
      <c r="C44" s="14" t="str">
        <f>C34</f>
        <v>투쟁심</v>
      </c>
      <c r="D44" s="14">
        <v>1</v>
      </c>
      <c r="E44" s="14">
        <v>1</v>
      </c>
      <c r="F44" s="14">
        <v>5</v>
      </c>
      <c r="G44" s="14" t="s">
        <v>208</v>
      </c>
      <c r="H44" s="14">
        <f t="shared" si="11"/>
        <v>1105</v>
      </c>
      <c r="I44" s="14">
        <v>7000101</v>
      </c>
      <c r="J44" s="14">
        <v>12000</v>
      </c>
      <c r="K44" s="5">
        <f>J44/SUM(J44:J53)</f>
        <v>0.14962593516209477</v>
      </c>
      <c r="Q44" s="20">
        <v>7000142</v>
      </c>
      <c r="R44" t="str">
        <f t="shared" si="12"/>
        <v>애증</v>
      </c>
      <c r="S44">
        <f t="shared" si="13"/>
        <v>1501007</v>
      </c>
      <c r="T44" t="str">
        <f>_xlfn.XLOOKUP(Q44,'[2]Skill&lt;Talent&gt;'!$A:$A,'[2]Skill&lt;Talent&gt;'!$C:$C)</f>
        <v>피격 시 20% 확률로 Sp &lt;color=#87cefa&gt;5&lt;/color&gt; 획득</v>
      </c>
    </row>
    <row r="45" spans="1:20" x14ac:dyDescent="0.3">
      <c r="A45" s="14">
        <f t="shared" si="10"/>
        <v>1105002</v>
      </c>
      <c r="B45" s="14">
        <v>2</v>
      </c>
      <c r="C45" s="14" t="str">
        <f t="shared" si="9"/>
        <v>원칙주의자</v>
      </c>
      <c r="D45" s="14">
        <v>1</v>
      </c>
      <c r="E45" s="14">
        <v>1</v>
      </c>
      <c r="F45" s="14">
        <v>5</v>
      </c>
      <c r="G45" s="14" t="s">
        <v>208</v>
      </c>
      <c r="H45" s="14">
        <f t="shared" si="11"/>
        <v>1105</v>
      </c>
      <c r="I45" s="14">
        <v>7000106</v>
      </c>
      <c r="J45" s="14">
        <v>12000</v>
      </c>
      <c r="K45" s="5">
        <f>J45/SUM(J44:J53)</f>
        <v>0.14962593516209477</v>
      </c>
      <c r="Q45" s="20">
        <v>7000143</v>
      </c>
      <c r="R45" t="str">
        <f t="shared" si="12"/>
        <v>성화</v>
      </c>
      <c r="S45">
        <f t="shared" si="13"/>
        <v>1201008</v>
      </c>
      <c r="T45" t="str">
        <f>_xlfn.XLOOKUP(Q45,'[2]Skill&lt;Talent&gt;'!$A:$A,'[2]Skill&lt;Talent&gt;'!$C:$C)</f>
        <v>반격 시 가까운 적에게 20% 대미지 화상 1턴 부여</v>
      </c>
    </row>
    <row r="46" spans="1:20" x14ac:dyDescent="0.3">
      <c r="A46" s="14">
        <f t="shared" si="10"/>
        <v>1105003</v>
      </c>
      <c r="B46" s="14">
        <v>3</v>
      </c>
      <c r="C46" s="14" t="str">
        <f t="shared" si="9"/>
        <v>기교꾼</v>
      </c>
      <c r="D46" s="14">
        <v>1</v>
      </c>
      <c r="E46" s="14">
        <v>1</v>
      </c>
      <c r="F46" s="14">
        <v>5</v>
      </c>
      <c r="G46" s="14" t="s">
        <v>208</v>
      </c>
      <c r="H46" s="14">
        <f t="shared" si="11"/>
        <v>1105</v>
      </c>
      <c r="I46" s="14">
        <v>7000107</v>
      </c>
      <c r="J46" s="14">
        <v>12000</v>
      </c>
      <c r="K46" s="5">
        <f>J46/SUM(J44:J53)</f>
        <v>0.14962593516209477</v>
      </c>
      <c r="Q46" s="20">
        <v>7000145</v>
      </c>
      <c r="R46" t="str">
        <f t="shared" si="12"/>
        <v>혈투</v>
      </c>
      <c r="S46">
        <f t="shared" si="13"/>
        <v>3101009</v>
      </c>
      <c r="T46" t="str">
        <f>_xlfn.XLOOKUP(Q46,'[2]Skill&lt;Talent&gt;'!$A:$A,'[2]Skill&lt;Talent&gt;'!$C:$C)</f>
        <v>반격 시 가까운 적에게 20% 대미지 출혈 1턴 부여</v>
      </c>
    </row>
    <row r="47" spans="1:20" x14ac:dyDescent="0.3">
      <c r="A47" s="14">
        <f t="shared" si="10"/>
        <v>1105004</v>
      </c>
      <c r="B47" s="14">
        <v>4</v>
      </c>
      <c r="C47" s="14" t="str">
        <f t="shared" si="9"/>
        <v>극의 해방</v>
      </c>
      <c r="D47" s="14">
        <v>1</v>
      </c>
      <c r="E47" s="14">
        <v>1</v>
      </c>
      <c r="F47" s="14">
        <v>5</v>
      </c>
      <c r="G47" s="14" t="s">
        <v>209</v>
      </c>
      <c r="H47" s="14">
        <f t="shared" si="11"/>
        <v>1105</v>
      </c>
      <c r="I47" s="14">
        <v>7000108</v>
      </c>
      <c r="J47" s="14">
        <v>13000</v>
      </c>
      <c r="K47" s="5">
        <f>J47/SUM(J44:J53)</f>
        <v>0.16209476309226933</v>
      </c>
      <c r="Q47" s="20">
        <v>7000146</v>
      </c>
      <c r="R47" t="str">
        <f t="shared" si="12"/>
        <v>난동</v>
      </c>
      <c r="S47">
        <f t="shared" si="13"/>
        <v>4201006</v>
      </c>
      <c r="T47" t="str">
        <f>_xlfn.XLOOKUP(Q47,'[2]Skill&lt;Talent&gt;'!$A:$A,'[2]Skill&lt;Talent&gt;'!$C:$C)</f>
        <v>반격 시 가까운 적에게 1턴 동안 기절 부여</v>
      </c>
    </row>
    <row r="48" spans="1:20" x14ac:dyDescent="0.3">
      <c r="A48" s="14">
        <f t="shared" si="10"/>
        <v>1105005</v>
      </c>
      <c r="B48" s="14">
        <v>5</v>
      </c>
      <c r="C48" s="14" t="str">
        <f t="shared" si="9"/>
        <v>격노</v>
      </c>
      <c r="D48" s="14">
        <v>1</v>
      </c>
      <c r="E48" s="14">
        <v>1</v>
      </c>
      <c r="F48" s="14">
        <v>5</v>
      </c>
      <c r="G48" s="14" t="s">
        <v>209</v>
      </c>
      <c r="H48" s="14">
        <f t="shared" si="11"/>
        <v>1105</v>
      </c>
      <c r="I48" s="14">
        <v>7000126</v>
      </c>
      <c r="J48" s="14">
        <v>13000</v>
      </c>
      <c r="K48" s="5">
        <f>J48/SUM(J44:J53)</f>
        <v>0.16209476309226933</v>
      </c>
      <c r="Q48" s="20">
        <v>7000147</v>
      </c>
      <c r="R48" t="str">
        <f t="shared" si="12"/>
        <v>열혈한</v>
      </c>
      <c r="S48">
        <f t="shared" si="13"/>
        <v>1201009</v>
      </c>
      <c r="T48" t="str">
        <f>_xlfn.XLOOKUP(Q48,'[2]Skill&lt;Talent&gt;'!$A:$A,'[2]Skill&lt;Talent&gt;'!$C:$C)</f>
        <v>스킬 사용 시 가까운 적에게 15% 대미지 화상 1턴 부여</v>
      </c>
    </row>
    <row r="49" spans="1:20" x14ac:dyDescent="0.3">
      <c r="A49" s="14">
        <f t="shared" si="10"/>
        <v>1105006</v>
      </c>
      <c r="B49" s="14">
        <v>6</v>
      </c>
      <c r="C49" s="14" t="str">
        <f t="shared" si="9"/>
        <v>광분</v>
      </c>
      <c r="D49" s="14">
        <v>1</v>
      </c>
      <c r="E49" s="14">
        <v>1</v>
      </c>
      <c r="F49" s="14">
        <v>5</v>
      </c>
      <c r="G49" s="14" t="s">
        <v>210</v>
      </c>
      <c r="H49" s="14">
        <f t="shared" si="11"/>
        <v>1105</v>
      </c>
      <c r="I49" s="14">
        <v>7000127</v>
      </c>
      <c r="J49" s="14">
        <v>8000</v>
      </c>
      <c r="K49" s="5">
        <f>J49/SUM(J44:J53)</f>
        <v>9.9750623441396513E-2</v>
      </c>
      <c r="Q49" s="20">
        <v>7000148</v>
      </c>
      <c r="R49" t="str">
        <f t="shared" si="12"/>
        <v>독설가</v>
      </c>
      <c r="S49">
        <f t="shared" si="13"/>
        <v>2301008</v>
      </c>
      <c r="T49" t="str">
        <f>_xlfn.XLOOKUP(Q49,'[2]Skill&lt;Talent&gt;'!$A:$A,'[2]Skill&lt;Talent&gt;'!$C:$C)</f>
        <v>스킬 사용 시 가까운 적에게 15% 대미지 중독 1턴 부여</v>
      </c>
    </row>
    <row r="50" spans="1:20" x14ac:dyDescent="0.3">
      <c r="A50" s="14">
        <f t="shared" si="10"/>
        <v>1105007</v>
      </c>
      <c r="B50" s="14">
        <v>7</v>
      </c>
      <c r="C50" s="14" t="str">
        <f t="shared" si="9"/>
        <v>다혈질</v>
      </c>
      <c r="D50" s="14">
        <v>1</v>
      </c>
      <c r="E50" s="14">
        <v>1</v>
      </c>
      <c r="F50" s="14">
        <v>5</v>
      </c>
      <c r="G50" s="14" t="s">
        <v>210</v>
      </c>
      <c r="H50" s="14">
        <f t="shared" si="11"/>
        <v>1105</v>
      </c>
      <c r="I50" s="14">
        <v>7000129</v>
      </c>
      <c r="J50" s="14">
        <v>8000</v>
      </c>
      <c r="K50" s="5">
        <f>J50/SUM(J44:J53)</f>
        <v>9.9750623441396513E-2</v>
      </c>
      <c r="Q50" s="20">
        <v>7000149</v>
      </c>
      <c r="R50" t="str">
        <f t="shared" si="12"/>
        <v>폭력성</v>
      </c>
      <c r="S50">
        <f t="shared" si="13"/>
        <v>1301004</v>
      </c>
      <c r="T50" t="str">
        <f>_xlfn.XLOOKUP(Q50,'[2]Skill&lt;Talent&gt;'!$A:$A,'[2]Skill&lt;Talent&gt;'!$C:$C)</f>
        <v>스킬 사용 시 가까운 적에게 15% 대미지 출혈 1턴 부여</v>
      </c>
    </row>
    <row r="51" spans="1:20" x14ac:dyDescent="0.3">
      <c r="A51" s="14">
        <f t="shared" si="10"/>
        <v>1105008</v>
      </c>
      <c r="B51" s="14">
        <v>8</v>
      </c>
      <c r="C51" s="14" t="str">
        <f t="shared" si="9"/>
        <v>광폭화</v>
      </c>
      <c r="D51" s="14">
        <v>1</v>
      </c>
      <c r="E51" s="14">
        <v>1</v>
      </c>
      <c r="F51" s="14">
        <v>5</v>
      </c>
      <c r="G51" s="14" t="s">
        <v>211</v>
      </c>
      <c r="H51" s="14">
        <f t="shared" si="11"/>
        <v>1105</v>
      </c>
      <c r="I51" s="14">
        <v>7000130</v>
      </c>
      <c r="J51" s="14">
        <v>1600</v>
      </c>
      <c r="K51" s="5">
        <f>J51/SUM(J44:J53)</f>
        <v>1.9950124688279301E-2</v>
      </c>
      <c r="Q51" s="20">
        <v>7000150</v>
      </c>
      <c r="R51" t="str">
        <f t="shared" si="12"/>
        <v>트러블 메이커</v>
      </c>
      <c r="S51">
        <f t="shared" si="13"/>
        <v>1301005</v>
      </c>
      <c r="T51" t="str">
        <f>_xlfn.XLOOKUP(Q51,'[2]Skill&lt;Talent&gt;'!$A:$A,'[2]Skill&lt;Talent&gt;'!$C:$C)</f>
        <v>스킬 사용 시 가까운 적에게 1턴 동안 기절 부여</v>
      </c>
    </row>
    <row r="52" spans="1:20" x14ac:dyDescent="0.3">
      <c r="A52" s="14">
        <f t="shared" si="10"/>
        <v>1105009</v>
      </c>
      <c r="B52" s="14">
        <v>9</v>
      </c>
      <c r="C52" s="14" t="str">
        <f t="shared" si="9"/>
        <v>독기</v>
      </c>
      <c r="D52" s="14">
        <v>1</v>
      </c>
      <c r="E52" s="14">
        <v>1</v>
      </c>
      <c r="F52" s="14">
        <v>5</v>
      </c>
      <c r="G52" s="14" t="s">
        <v>212</v>
      </c>
      <c r="H52" s="14">
        <f t="shared" si="11"/>
        <v>1105</v>
      </c>
      <c r="I52" s="14">
        <v>7000163</v>
      </c>
      <c r="J52" s="14">
        <v>500</v>
      </c>
      <c r="K52" s="5">
        <f>J52/SUM(J44:J53)</f>
        <v>6.2344139650872821E-3</v>
      </c>
      <c r="Q52" s="21">
        <v>7000151</v>
      </c>
      <c r="R52" t="str">
        <f t="shared" si="12"/>
        <v>후발주자</v>
      </c>
      <c r="S52">
        <f t="shared" si="13"/>
        <v>2301005</v>
      </c>
      <c r="T52" t="str">
        <f>_xlfn.XLOOKUP(Q52,'[2]Skill&lt;Talent&gt;'!$A:$A,'[2]Skill&lt;Talent&gt;'!$C:$C)</f>
        <v>배틀 시작시 속도 -15 감소, 매 턴 속도 5 증가</v>
      </c>
    </row>
    <row r="53" spans="1:20" x14ac:dyDescent="0.3">
      <c r="A53" s="14">
        <f t="shared" si="10"/>
        <v>1105010</v>
      </c>
      <c r="B53" s="14">
        <v>10</v>
      </c>
      <c r="C53" s="14" t="str">
        <f t="shared" si="9"/>
        <v>자기연소</v>
      </c>
      <c r="D53" s="14">
        <v>1</v>
      </c>
      <c r="E53" s="14">
        <v>1</v>
      </c>
      <c r="F53" s="14">
        <v>5</v>
      </c>
      <c r="G53" s="14" t="s">
        <v>213</v>
      </c>
      <c r="H53" s="14">
        <f t="shared" si="11"/>
        <v>1105</v>
      </c>
      <c r="I53" s="14">
        <v>7000174</v>
      </c>
      <c r="J53" s="14">
        <v>100</v>
      </c>
      <c r="K53" s="5">
        <f>J53/SUM(J44:J53)</f>
        <v>1.2468827930174563E-3</v>
      </c>
      <c r="Q53" s="20">
        <v>7000152</v>
      </c>
      <c r="R53" t="str">
        <f t="shared" si="12"/>
        <v>선발주자</v>
      </c>
      <c r="S53">
        <f t="shared" si="13"/>
        <v>1401009</v>
      </c>
      <c r="T53" t="str">
        <f>_xlfn.XLOOKUP(Q53,'[2]Skill&lt;Talent&gt;'!$A:$A,'[2]Skill&lt;Talent&gt;'!$C:$C)</f>
        <v>배틀 시작시 속도 +30 증가, 매 턴 속도 -10 감소</v>
      </c>
    </row>
    <row r="54" spans="1:20" x14ac:dyDescent="0.3">
      <c r="A54" s="14">
        <f t="shared" si="10"/>
        <v>1106001</v>
      </c>
      <c r="B54" s="14">
        <v>1</v>
      </c>
      <c r="C54" s="14" t="str">
        <f>C44</f>
        <v>투쟁심</v>
      </c>
      <c r="D54" s="14">
        <v>1</v>
      </c>
      <c r="E54" s="14">
        <v>1</v>
      </c>
      <c r="F54" s="14">
        <v>6</v>
      </c>
      <c r="G54" s="14" t="s">
        <v>208</v>
      </c>
      <c r="H54" s="14">
        <f t="shared" si="11"/>
        <v>1106</v>
      </c>
      <c r="I54" s="14">
        <v>7000101</v>
      </c>
      <c r="J54" s="14">
        <v>10000</v>
      </c>
      <c r="K54" s="5">
        <f>J54/SUM(J54:J63)</f>
        <v>0.13869625520110956</v>
      </c>
      <c r="Q54" s="20">
        <v>7000153</v>
      </c>
      <c r="R54" t="str">
        <f t="shared" si="12"/>
        <v>불굴의 의지</v>
      </c>
      <c r="S54">
        <f t="shared" si="13"/>
        <v>1201010</v>
      </c>
      <c r="T54" t="str">
        <f>_xlfn.XLOOKUP(Q54,'[2]Skill&lt;Talent&gt;'!$A:$A,'[2]Skill&lt;Talent&gt;'!$C:$C)</f>
        <v>사망에 이르는 대미지를 받았을 경우 1회 체력 1 상태로 사망하지 않음</v>
      </c>
    </row>
    <row r="55" spans="1:20" x14ac:dyDescent="0.3">
      <c r="A55" s="14">
        <f t="shared" si="10"/>
        <v>1106002</v>
      </c>
      <c r="B55" s="14">
        <v>2</v>
      </c>
      <c r="C55" s="14" t="str">
        <f t="shared" si="9"/>
        <v>원칙주의자</v>
      </c>
      <c r="D55" s="14">
        <v>1</v>
      </c>
      <c r="E55" s="14">
        <v>1</v>
      </c>
      <c r="F55" s="14">
        <v>6</v>
      </c>
      <c r="G55" s="14" t="s">
        <v>208</v>
      </c>
      <c r="H55" s="14">
        <f t="shared" si="11"/>
        <v>1106</v>
      </c>
      <c r="I55" s="14">
        <v>7000106</v>
      </c>
      <c r="J55" s="14">
        <v>10000</v>
      </c>
      <c r="K55" s="5">
        <f>J55/SUM(J54:J63)</f>
        <v>0.13869625520110956</v>
      </c>
      <c r="Q55" s="20">
        <v>7000154</v>
      </c>
      <c r="R55" t="str">
        <f t="shared" si="12"/>
        <v>철면피</v>
      </c>
      <c r="S55">
        <f t="shared" si="13"/>
        <v>2201008</v>
      </c>
      <c r="T55" t="str">
        <f>_xlfn.XLOOKUP(Q55,'[2]Skill&lt;Talent&gt;'!$A:$A,'[2]Skill&lt;Talent&gt;'!$C:$C)</f>
        <v>치명타 면역 및 받는 상성피해 30% 증가.</v>
      </c>
    </row>
    <row r="56" spans="1:20" x14ac:dyDescent="0.3">
      <c r="A56" s="14">
        <f t="shared" si="10"/>
        <v>1106003</v>
      </c>
      <c r="B56" s="14">
        <v>3</v>
      </c>
      <c r="C56" s="14" t="str">
        <f t="shared" si="9"/>
        <v>기교꾼</v>
      </c>
      <c r="D56" s="14">
        <v>1</v>
      </c>
      <c r="E56" s="14">
        <v>1</v>
      </c>
      <c r="F56" s="14">
        <v>6</v>
      </c>
      <c r="G56" s="14" t="s">
        <v>208</v>
      </c>
      <c r="H56" s="14">
        <f t="shared" si="11"/>
        <v>1106</v>
      </c>
      <c r="I56" s="14">
        <v>7000107</v>
      </c>
      <c r="J56" s="14">
        <v>10000</v>
      </c>
      <c r="K56" s="5">
        <f>J56/SUM(J54:J63)</f>
        <v>0.13869625520110956</v>
      </c>
      <c r="Q56" s="20">
        <v>7000155</v>
      </c>
      <c r="R56" t="str">
        <f t="shared" si="12"/>
        <v>냉혈한</v>
      </c>
      <c r="S56">
        <f t="shared" si="13"/>
        <v>2101006</v>
      </c>
      <c r="T56" t="str">
        <f>_xlfn.XLOOKUP(Q56,'[2]Skill&lt;Talent&gt;'!$A:$A,'[2]Skill&lt;Talent&gt;'!$C:$C)</f>
        <v>인접 아군 사망 시, 자신의 최대 체력의 20% 회복</v>
      </c>
    </row>
    <row r="57" spans="1:20" x14ac:dyDescent="0.3">
      <c r="A57" s="14">
        <f t="shared" si="10"/>
        <v>1106004</v>
      </c>
      <c r="B57" s="14">
        <v>4</v>
      </c>
      <c r="C57" s="14" t="str">
        <f t="shared" si="9"/>
        <v>극의 해방</v>
      </c>
      <c r="D57" s="14">
        <v>1</v>
      </c>
      <c r="E57" s="14">
        <v>1</v>
      </c>
      <c r="F57" s="14">
        <v>6</v>
      </c>
      <c r="G57" s="14" t="s">
        <v>209</v>
      </c>
      <c r="H57" s="14">
        <f t="shared" si="11"/>
        <v>1106</v>
      </c>
      <c r="I57" s="14">
        <v>7000108</v>
      </c>
      <c r="J57" s="14">
        <v>12500</v>
      </c>
      <c r="K57" s="5">
        <f>J57/SUM(J54:J63)</f>
        <v>0.17337031900138697</v>
      </c>
      <c r="Q57" s="20">
        <v>7000157</v>
      </c>
      <c r="R57" t="str">
        <f t="shared" si="12"/>
        <v>몽상가</v>
      </c>
      <c r="S57">
        <f t="shared" si="13"/>
        <v>2101008</v>
      </c>
      <c r="T57" t="str">
        <f>_xlfn.XLOOKUP(Q57,'[2]Skill&lt;Talent&gt;'!$A:$A,'[2]Skill&lt;Talent&gt;'!$C:$C)</f>
        <v>액티브 스킬이 비활성되지만 sp 회복량이 2배</v>
      </c>
    </row>
    <row r="58" spans="1:20" x14ac:dyDescent="0.3">
      <c r="A58" s="14">
        <f t="shared" si="10"/>
        <v>1106005</v>
      </c>
      <c r="B58" s="14">
        <v>5</v>
      </c>
      <c r="C58" s="14" t="str">
        <f t="shared" si="9"/>
        <v>격노</v>
      </c>
      <c r="D58" s="14">
        <v>1</v>
      </c>
      <c r="E58" s="14">
        <v>1</v>
      </c>
      <c r="F58" s="14">
        <v>6</v>
      </c>
      <c r="G58" s="14" t="s">
        <v>209</v>
      </c>
      <c r="H58" s="14">
        <f t="shared" si="11"/>
        <v>1106</v>
      </c>
      <c r="I58" s="14">
        <v>7000126</v>
      </c>
      <c r="J58" s="14">
        <v>12500</v>
      </c>
      <c r="K58" s="5">
        <f>J58/SUM(J54:J63)</f>
        <v>0.17337031900138697</v>
      </c>
      <c r="Q58" s="20">
        <v>7000158</v>
      </c>
      <c r="R58" t="str">
        <f t="shared" si="12"/>
        <v>헌신</v>
      </c>
      <c r="S58">
        <f t="shared" si="13"/>
        <v>1401006</v>
      </c>
      <c r="T58" t="str">
        <f>_xlfn.XLOOKUP(Q58,'[2]Skill&lt;Talent&gt;'!$A:$A,'[2]Skill&lt;Talent&gt;'!$C:$C)</f>
        <v>자신 사망 시, 인접 아군 1명에게 1턴 동안 공격력 20% 증가</v>
      </c>
    </row>
    <row r="59" spans="1:20" x14ac:dyDescent="0.3">
      <c r="A59" s="14">
        <f t="shared" si="10"/>
        <v>1106006</v>
      </c>
      <c r="B59" s="14">
        <v>6</v>
      </c>
      <c r="C59" s="14" t="str">
        <f t="shared" si="9"/>
        <v>광분</v>
      </c>
      <c r="D59" s="14">
        <v>1</v>
      </c>
      <c r="E59" s="14">
        <v>1</v>
      </c>
      <c r="F59" s="14">
        <v>6</v>
      </c>
      <c r="G59" s="14" t="s">
        <v>210</v>
      </c>
      <c r="H59" s="14">
        <f t="shared" si="11"/>
        <v>1106</v>
      </c>
      <c r="I59" s="14">
        <v>7000127</v>
      </c>
      <c r="J59" s="14">
        <v>7500</v>
      </c>
      <c r="K59" s="5">
        <f>J59/SUM(J54:J63)</f>
        <v>0.10402219140083217</v>
      </c>
      <c r="Q59" s="20">
        <v>7000160</v>
      </c>
      <c r="R59" t="str">
        <f t="shared" si="12"/>
        <v>둔감</v>
      </c>
      <c r="S59">
        <f t="shared" si="13"/>
        <v>2201007</v>
      </c>
      <c r="T59" t="str">
        <f>_xlfn.XLOOKUP(Q59,'[2]Skill&lt;Talent&gt;'!$A:$A,'[2]Skill&lt;Talent&gt;'!$C:$C)</f>
        <v>속도 -10% 감소 및 배틀 시작 후 첫 2턴 동안 받는 모든 피해가 -20% 감소</v>
      </c>
    </row>
    <row r="60" spans="1:20" x14ac:dyDescent="0.3">
      <c r="A60" s="14">
        <f t="shared" si="10"/>
        <v>1106007</v>
      </c>
      <c r="B60" s="14">
        <v>7</v>
      </c>
      <c r="C60" s="14" t="str">
        <f t="shared" si="9"/>
        <v>다혈질</v>
      </c>
      <c r="D60" s="14">
        <v>1</v>
      </c>
      <c r="E60" s="14">
        <v>1</v>
      </c>
      <c r="F60" s="14">
        <v>6</v>
      </c>
      <c r="G60" s="14" t="s">
        <v>210</v>
      </c>
      <c r="H60" s="14">
        <f t="shared" si="11"/>
        <v>1106</v>
      </c>
      <c r="I60" s="14">
        <v>7000129</v>
      </c>
      <c r="J60" s="14">
        <v>7500</v>
      </c>
      <c r="K60" s="5">
        <f>J60/SUM(J54:J63)</f>
        <v>0.10402219140083217</v>
      </c>
      <c r="Q60" s="20">
        <v>7000162</v>
      </c>
      <c r="R60" t="str">
        <f t="shared" si="12"/>
        <v>강박증</v>
      </c>
      <c r="S60">
        <f t="shared" si="13"/>
        <v>2301010</v>
      </c>
      <c r="T60" t="str">
        <f>_xlfn.XLOOKUP(Q60,'[2]Skill&lt;Talent&gt;'!$A:$A,'[2]Skill&lt;Talent&gt;'!$C:$C)</f>
        <v>연속으로 같은 대상을 공격 시 명중률이 20% 증가</v>
      </c>
    </row>
    <row r="61" spans="1:20" x14ac:dyDescent="0.3">
      <c r="A61" s="14">
        <f t="shared" si="10"/>
        <v>1106008</v>
      </c>
      <c r="B61" s="14">
        <v>8</v>
      </c>
      <c r="C61" s="14" t="str">
        <f t="shared" si="9"/>
        <v>광폭화</v>
      </c>
      <c r="D61" s="14">
        <v>1</v>
      </c>
      <c r="E61" s="14">
        <v>1</v>
      </c>
      <c r="F61" s="14">
        <v>6</v>
      </c>
      <c r="G61" s="14" t="s">
        <v>211</v>
      </c>
      <c r="H61" s="14">
        <f t="shared" si="11"/>
        <v>1106</v>
      </c>
      <c r="I61" s="14">
        <v>7000130</v>
      </c>
      <c r="J61" s="14">
        <v>1500</v>
      </c>
      <c r="K61" s="5">
        <f>J61/SUM(J54:J63)</f>
        <v>2.0804438280166437E-2</v>
      </c>
      <c r="Q61" s="20">
        <v>7000163</v>
      </c>
      <c r="R61" t="str">
        <f t="shared" si="12"/>
        <v>독기</v>
      </c>
      <c r="S61">
        <f t="shared" si="13"/>
        <v>1101009</v>
      </c>
      <c r="T61" t="str">
        <f>_xlfn.XLOOKUP(Q61,'[2]Skill&lt;Talent&gt;'!$A:$A,'[2]Skill&lt;Talent&gt;'!$C:$C)</f>
        <v>빗나갈 때 마다 치명타 확률 10%씩 증가</v>
      </c>
    </row>
    <row r="62" spans="1:20" x14ac:dyDescent="0.3">
      <c r="A62" s="14">
        <f t="shared" si="10"/>
        <v>1106009</v>
      </c>
      <c r="B62" s="14">
        <v>9</v>
      </c>
      <c r="C62" s="14" t="str">
        <f t="shared" si="9"/>
        <v>독기</v>
      </c>
      <c r="D62" s="14">
        <v>1</v>
      </c>
      <c r="E62" s="14">
        <v>1</v>
      </c>
      <c r="F62" s="14">
        <v>6</v>
      </c>
      <c r="G62" s="14" t="s">
        <v>212</v>
      </c>
      <c r="H62" s="14">
        <f t="shared" si="11"/>
        <v>1106</v>
      </c>
      <c r="I62" s="14">
        <v>7000163</v>
      </c>
      <c r="J62" s="14">
        <v>500</v>
      </c>
      <c r="K62" s="5">
        <f>J62/SUM(J54:J63)</f>
        <v>6.9348127600554789E-3</v>
      </c>
      <c r="Q62" s="20">
        <v>7000164</v>
      </c>
      <c r="R62" t="str">
        <f t="shared" si="12"/>
        <v>자비</v>
      </c>
      <c r="S62">
        <f t="shared" si="13"/>
        <v>1501008</v>
      </c>
      <c r="T62" t="str">
        <f>_xlfn.XLOOKUP(Q62,'[2]Skill&lt;Talent&gt;'!$A:$A,'[2]Skill&lt;Talent&gt;'!$C:$C)</f>
        <v>회복 효과를 받을 때 Sp 5 충전</v>
      </c>
    </row>
    <row r="63" spans="1:20" x14ac:dyDescent="0.3">
      <c r="A63" s="14">
        <f t="shared" si="10"/>
        <v>1106010</v>
      </c>
      <c r="B63" s="14">
        <v>10</v>
      </c>
      <c r="C63" s="14" t="str">
        <f t="shared" si="9"/>
        <v>자기연소</v>
      </c>
      <c r="D63" s="14">
        <v>1</v>
      </c>
      <c r="E63" s="14">
        <v>1</v>
      </c>
      <c r="F63" s="14">
        <v>6</v>
      </c>
      <c r="G63" s="14" t="s">
        <v>213</v>
      </c>
      <c r="H63" s="14">
        <f t="shared" si="11"/>
        <v>1106</v>
      </c>
      <c r="I63" s="14">
        <v>7000174</v>
      </c>
      <c r="J63" s="14">
        <v>100</v>
      </c>
      <c r="K63" s="5">
        <f>J63/SUM(J54:J63)</f>
        <v>1.3869625520110957E-3</v>
      </c>
      <c r="Q63" s="20">
        <v>7000165</v>
      </c>
      <c r="R63" t="str">
        <f t="shared" si="12"/>
        <v>가학성애</v>
      </c>
      <c r="S63">
        <f t="shared" si="13"/>
        <v>1301006</v>
      </c>
      <c r="T63" t="str">
        <f>_xlfn.XLOOKUP(Q63,'[2]Skill&lt;Talent&gt;'!$A:$A,'[2]Skill&lt;Talent&gt;'!$C:$C)</f>
        <v>디버프 부여시 자신 속도 5씩 증가</v>
      </c>
    </row>
    <row r="64" spans="1:20" x14ac:dyDescent="0.3">
      <c r="A64" s="15">
        <f>INT(H64&amp;TEXT(B64,"000"))</f>
        <v>1201001</v>
      </c>
      <c r="B64" s="15">
        <v>1</v>
      </c>
      <c r="C64" s="15" t="s">
        <v>350</v>
      </c>
      <c r="D64" s="15">
        <v>1</v>
      </c>
      <c r="E64" s="15">
        <v>2</v>
      </c>
      <c r="F64" s="15">
        <v>1</v>
      </c>
      <c r="G64" s="15" t="s">
        <v>208</v>
      </c>
      <c r="H64" s="15">
        <f>INT(D64&amp;E64&amp;TEXT(F64,"00"))</f>
        <v>1201</v>
      </c>
      <c r="I64" s="15">
        <v>7000102</v>
      </c>
      <c r="J64" s="15">
        <v>20000</v>
      </c>
      <c r="Q64" s="20">
        <v>7000166</v>
      </c>
      <c r="R64" t="str">
        <f t="shared" si="12"/>
        <v>우월감</v>
      </c>
      <c r="S64">
        <f t="shared" si="13"/>
        <v>2101010</v>
      </c>
      <c r="T64" t="str">
        <f>_xlfn.XLOOKUP(Q64,'[2]Skill&lt;Talent&gt;'!$A:$A,'[2]Skill&lt;Talent&gt;'!$C:$C)</f>
        <v>크리티컬 발동시 피해량의 10% 회복</v>
      </c>
    </row>
    <row r="65" spans="1:20" x14ac:dyDescent="0.3">
      <c r="A65" s="14">
        <f t="shared" ref="A65:A123" si="14">INT(H65&amp;TEXT(B65,"000"))</f>
        <v>1201002</v>
      </c>
      <c r="B65" s="14">
        <v>2</v>
      </c>
      <c r="C65" s="14" t="s">
        <v>357</v>
      </c>
      <c r="D65" s="14">
        <v>1</v>
      </c>
      <c r="E65" s="14">
        <v>2</v>
      </c>
      <c r="F65" s="14">
        <v>1</v>
      </c>
      <c r="G65" s="14" t="s">
        <v>208</v>
      </c>
      <c r="H65" s="14">
        <f t="shared" ref="H65:H123" si="15">INT(D65&amp;E65&amp;TEXT(F65,"00"))</f>
        <v>1201</v>
      </c>
      <c r="I65" s="14">
        <v>7000110</v>
      </c>
      <c r="J65" s="14">
        <v>20000</v>
      </c>
      <c r="Q65" s="20">
        <v>7000167</v>
      </c>
      <c r="R65" t="str">
        <f t="shared" si="12"/>
        <v>계산가</v>
      </c>
      <c r="S65">
        <f t="shared" si="13"/>
        <v>5401001</v>
      </c>
      <c r="T65" t="str">
        <f>_xlfn.XLOOKUP(Q65,'[2]Skill&lt;Talent&gt;'!$A:$A,'[2]Skill&lt;Talent&gt;'!$C:$C)</f>
        <v>치명타 발동 불가, 공격시 SP 회복량 +10</v>
      </c>
    </row>
    <row r="66" spans="1:20" x14ac:dyDescent="0.3">
      <c r="A66" s="14">
        <f t="shared" si="14"/>
        <v>1201003</v>
      </c>
      <c r="B66" s="14">
        <v>3</v>
      </c>
      <c r="C66" s="14" t="s">
        <v>358</v>
      </c>
      <c r="D66" s="14">
        <v>1</v>
      </c>
      <c r="E66" s="14">
        <v>2</v>
      </c>
      <c r="F66" s="14">
        <v>1</v>
      </c>
      <c r="G66" s="14" t="s">
        <v>208</v>
      </c>
      <c r="H66" s="14">
        <f t="shared" si="15"/>
        <v>1201</v>
      </c>
      <c r="I66" s="14">
        <v>7000114</v>
      </c>
      <c r="J66" s="14">
        <v>20000</v>
      </c>
      <c r="Q66" s="20">
        <v>7000168</v>
      </c>
      <c r="R66" t="str">
        <f t="shared" si="12"/>
        <v>호승심</v>
      </c>
      <c r="S66">
        <f t="shared" si="13"/>
        <v>1401008</v>
      </c>
      <c r="T66" t="str">
        <f>_xlfn.XLOOKUP(Q66,'[2]Skill&lt;Talent&gt;'!$A:$A,'[2]Skill&lt;Talent&gt;'!$C:$C)</f>
        <v>방어력이 10% 감소, 속성 상성 피해 무시</v>
      </c>
    </row>
    <row r="67" spans="1:20" x14ac:dyDescent="0.3">
      <c r="A67" s="14">
        <f t="shared" si="14"/>
        <v>1201004</v>
      </c>
      <c r="B67" s="14">
        <v>4</v>
      </c>
      <c r="C67" s="14" t="s">
        <v>371</v>
      </c>
      <c r="D67" s="14">
        <v>1</v>
      </c>
      <c r="E67" s="14">
        <v>2</v>
      </c>
      <c r="F67" s="14">
        <v>1</v>
      </c>
      <c r="G67" s="14" t="s">
        <v>223</v>
      </c>
      <c r="H67" s="14">
        <f t="shared" si="15"/>
        <v>1201</v>
      </c>
      <c r="I67" s="14">
        <v>7000116</v>
      </c>
      <c r="J67" s="14">
        <v>15000</v>
      </c>
      <c r="Q67" s="20">
        <v>7000169</v>
      </c>
      <c r="R67" t="str">
        <f t="shared" si="12"/>
        <v>안정</v>
      </c>
      <c r="S67">
        <f t="shared" si="13"/>
        <v>2101009</v>
      </c>
      <c r="T67" t="str">
        <f>_xlfn.XLOOKUP(Q67,'[2]Skill&lt;Talent&gt;'!$A:$A,'[2]Skill&lt;Talent&gt;'!$C:$C)</f>
        <v>보호막 획득 시 SP 5 충전</v>
      </c>
    </row>
    <row r="68" spans="1:20" x14ac:dyDescent="0.3">
      <c r="A68" s="14">
        <f t="shared" si="14"/>
        <v>1201005</v>
      </c>
      <c r="B68" s="14">
        <v>5</v>
      </c>
      <c r="C68" s="14" t="s">
        <v>352</v>
      </c>
      <c r="D68" s="14">
        <v>1</v>
      </c>
      <c r="E68" s="14">
        <v>2</v>
      </c>
      <c r="F68" s="14">
        <v>1</v>
      </c>
      <c r="G68" s="14" t="s">
        <v>223</v>
      </c>
      <c r="H68" s="14">
        <f t="shared" si="15"/>
        <v>1201</v>
      </c>
      <c r="I68" s="14">
        <v>7000120</v>
      </c>
      <c r="J68" s="14">
        <v>15000</v>
      </c>
      <c r="Q68" s="20">
        <v>7000170</v>
      </c>
      <c r="R68" t="str">
        <f t="shared" ref="R68:R72" si="16">_xlfn.XLOOKUP(Q68,I:I,C:C)</f>
        <v>기선제압</v>
      </c>
      <c r="S68">
        <f t="shared" si="13"/>
        <v>1401004</v>
      </c>
      <c r="T68" t="str">
        <f>_xlfn.XLOOKUP(Q68,'[2]Skill&lt;Talent&gt;'!$A:$A,'[2]Skill&lt;Talent&gt;'!$C:$C)</f>
        <v>배틀 시작 시 SP 100 충전</v>
      </c>
    </row>
    <row r="69" spans="1:20" x14ac:dyDescent="0.3">
      <c r="A69" s="14">
        <f t="shared" si="14"/>
        <v>1201006</v>
      </c>
      <c r="B69" s="14">
        <v>6</v>
      </c>
      <c r="C69" s="14" t="s">
        <v>369</v>
      </c>
      <c r="D69" s="14">
        <v>1</v>
      </c>
      <c r="E69" s="14">
        <v>2</v>
      </c>
      <c r="F69" s="14">
        <v>1</v>
      </c>
      <c r="G69" s="14" t="s">
        <v>222</v>
      </c>
      <c r="H69" s="14">
        <f t="shared" si="15"/>
        <v>1201</v>
      </c>
      <c r="I69" s="14">
        <v>7000131</v>
      </c>
      <c r="J69" s="14">
        <v>10000</v>
      </c>
      <c r="Q69" s="20">
        <v>7000171</v>
      </c>
      <c r="R69" t="str">
        <f t="shared" si="16"/>
        <v>의기투합</v>
      </c>
      <c r="S69">
        <f t="shared" si="13"/>
        <v>1401005</v>
      </c>
      <c r="T69" t="str">
        <f>_xlfn.XLOOKUP(Q69,'[2]Skill&lt;Talent&gt;'!$A:$A,'[2]Skill&lt;Talent&gt;'!$C:$C)</f>
        <v>얼티밋 사용 시 자신의 양 옆 아군의 sp 10 충전</v>
      </c>
    </row>
    <row r="70" spans="1:20" x14ac:dyDescent="0.3">
      <c r="A70" s="14">
        <f t="shared" si="14"/>
        <v>1201007</v>
      </c>
      <c r="B70" s="14">
        <v>7</v>
      </c>
      <c r="C70" s="14" t="s">
        <v>375</v>
      </c>
      <c r="D70" s="14">
        <v>1</v>
      </c>
      <c r="E70" s="14">
        <v>2</v>
      </c>
      <c r="F70" s="14">
        <v>1</v>
      </c>
      <c r="G70" s="14" t="s">
        <v>222</v>
      </c>
      <c r="H70" s="14">
        <f t="shared" si="15"/>
        <v>1201</v>
      </c>
      <c r="I70" s="14">
        <v>7000139</v>
      </c>
      <c r="J70" s="14">
        <v>10000</v>
      </c>
      <c r="Q70" s="20">
        <v>7000172</v>
      </c>
      <c r="R70" t="str">
        <f t="shared" si="16"/>
        <v>원한</v>
      </c>
      <c r="S70">
        <f t="shared" si="13"/>
        <v>5101009</v>
      </c>
      <c r="T70" t="str">
        <f>_xlfn.XLOOKUP(Q70,'[2]Skill&lt;Talent&gt;'!$A:$A,'[2]Skill&lt;Talent&gt;'!$C:$C)</f>
        <v>사망 시 모든 적에게 3턴동안 받는 피해 증가 10% 부여</v>
      </c>
    </row>
    <row r="71" spans="1:20" x14ac:dyDescent="0.3">
      <c r="A71" s="14">
        <f t="shared" si="14"/>
        <v>1201008</v>
      </c>
      <c r="B71" s="14">
        <v>8</v>
      </c>
      <c r="C71" s="14" t="s">
        <v>346</v>
      </c>
      <c r="D71" s="14">
        <v>1</v>
      </c>
      <c r="E71" s="14">
        <v>2</v>
      </c>
      <c r="F71" s="14">
        <v>1</v>
      </c>
      <c r="G71" s="14" t="s">
        <v>211</v>
      </c>
      <c r="H71" s="14">
        <f t="shared" si="15"/>
        <v>1201</v>
      </c>
      <c r="I71" s="14">
        <v>7000143</v>
      </c>
      <c r="J71" s="14">
        <v>2000</v>
      </c>
      <c r="Q71" s="20">
        <v>7000173</v>
      </c>
      <c r="R71" t="str">
        <f t="shared" si="16"/>
        <v>독선가</v>
      </c>
      <c r="S71">
        <f t="shared" si="13"/>
        <v>2501005</v>
      </c>
      <c r="T71" t="str">
        <f>_xlfn.XLOOKUP(Q71,'[2]Skill&lt;Talent&gt;'!$A:$A,'[2]Skill&lt;Talent&gt;'!$C:$C)</f>
        <v>받는 회복 효과 -30% 및 방어력 +30%</v>
      </c>
    </row>
    <row r="72" spans="1:20" x14ac:dyDescent="0.3">
      <c r="A72" s="14">
        <f t="shared" si="14"/>
        <v>1201009</v>
      </c>
      <c r="B72" s="14">
        <v>9</v>
      </c>
      <c r="C72" s="14" t="s">
        <v>347</v>
      </c>
      <c r="D72" s="14">
        <v>1</v>
      </c>
      <c r="E72" s="14">
        <v>2</v>
      </c>
      <c r="F72" s="14">
        <v>1</v>
      </c>
      <c r="G72" s="14" t="s">
        <v>212</v>
      </c>
      <c r="H72" s="14">
        <f t="shared" si="15"/>
        <v>1201</v>
      </c>
      <c r="I72" s="14">
        <v>7000147</v>
      </c>
      <c r="J72" s="14">
        <v>500</v>
      </c>
      <c r="Q72" s="20">
        <v>7000174</v>
      </c>
      <c r="R72" t="str">
        <f t="shared" si="16"/>
        <v>자기연소</v>
      </c>
      <c r="S72">
        <f t="shared" si="13"/>
        <v>1101010</v>
      </c>
      <c r="T72" t="str">
        <f>_xlfn.XLOOKUP(Q72,'[2]Skill&lt;Talent&gt;'!$A:$A,'[2]Skill&lt;Talent&gt;'!$C:$C)</f>
        <v>방어력 및 체력 -10%, 공격력 및 속도 +10%</v>
      </c>
    </row>
    <row r="73" spans="1:20" x14ac:dyDescent="0.3">
      <c r="A73" s="14">
        <f t="shared" si="14"/>
        <v>1201010</v>
      </c>
      <c r="B73" s="14">
        <v>10</v>
      </c>
      <c r="C73" s="14" t="s">
        <v>384</v>
      </c>
      <c r="D73" s="14">
        <v>1</v>
      </c>
      <c r="E73" s="14">
        <v>2</v>
      </c>
      <c r="F73" s="14">
        <v>1</v>
      </c>
      <c r="G73" s="14" t="s">
        <v>213</v>
      </c>
      <c r="H73" s="14">
        <f t="shared" si="15"/>
        <v>1201</v>
      </c>
      <c r="I73" s="14">
        <v>7000153</v>
      </c>
      <c r="J73" s="14">
        <v>100</v>
      </c>
    </row>
    <row r="74" spans="1:20" x14ac:dyDescent="0.3">
      <c r="A74" s="14">
        <f t="shared" si="14"/>
        <v>1202001</v>
      </c>
      <c r="B74" s="14">
        <v>1</v>
      </c>
      <c r="C74" s="14" t="str">
        <f>C64</f>
        <v>인내심</v>
      </c>
      <c r="D74" s="14">
        <v>1</v>
      </c>
      <c r="E74" s="14">
        <v>2</v>
      </c>
      <c r="F74" s="14">
        <v>2</v>
      </c>
      <c r="G74" s="14" t="s">
        <v>208</v>
      </c>
      <c r="H74" s="14">
        <f t="shared" si="15"/>
        <v>1202</v>
      </c>
      <c r="I74" s="14">
        <v>7000102</v>
      </c>
      <c r="J74" s="14">
        <v>18000</v>
      </c>
    </row>
    <row r="75" spans="1:20" x14ac:dyDescent="0.3">
      <c r="A75" s="14">
        <f t="shared" si="14"/>
        <v>1202002</v>
      </c>
      <c r="B75" s="14">
        <v>2</v>
      </c>
      <c r="C75" s="14" t="str">
        <f t="shared" ref="C75:C123" si="17">C65</f>
        <v>복수심</v>
      </c>
      <c r="D75" s="14">
        <v>1</v>
      </c>
      <c r="E75" s="14">
        <v>2</v>
      </c>
      <c r="F75" s="14">
        <v>2</v>
      </c>
      <c r="G75" s="14" t="s">
        <v>208</v>
      </c>
      <c r="H75" s="14">
        <f t="shared" si="15"/>
        <v>1202</v>
      </c>
      <c r="I75" s="14">
        <v>7000110</v>
      </c>
      <c r="J75" s="14">
        <v>18000</v>
      </c>
    </row>
    <row r="76" spans="1:20" x14ac:dyDescent="0.3">
      <c r="A76" s="14">
        <f t="shared" si="14"/>
        <v>1202003</v>
      </c>
      <c r="B76" s="14">
        <v>3</v>
      </c>
      <c r="C76" s="14" t="str">
        <f t="shared" si="17"/>
        <v>성급</v>
      </c>
      <c r="D76" s="14">
        <v>1</v>
      </c>
      <c r="E76" s="14">
        <v>2</v>
      </c>
      <c r="F76" s="14">
        <v>2</v>
      </c>
      <c r="G76" s="14" t="s">
        <v>208</v>
      </c>
      <c r="H76" s="14">
        <f t="shared" si="15"/>
        <v>1202</v>
      </c>
      <c r="I76" s="14">
        <v>7000114</v>
      </c>
      <c r="J76" s="14">
        <v>18000</v>
      </c>
    </row>
    <row r="77" spans="1:20" x14ac:dyDescent="0.3">
      <c r="A77" s="14">
        <f t="shared" si="14"/>
        <v>1202004</v>
      </c>
      <c r="B77" s="14">
        <v>4</v>
      </c>
      <c r="C77" s="14" t="str">
        <f t="shared" si="17"/>
        <v>투지</v>
      </c>
      <c r="D77" s="14">
        <v>1</v>
      </c>
      <c r="E77" s="14">
        <v>2</v>
      </c>
      <c r="F77" s="14">
        <v>2</v>
      </c>
      <c r="G77" s="14" t="s">
        <v>209</v>
      </c>
      <c r="H77" s="14">
        <f t="shared" si="15"/>
        <v>1202</v>
      </c>
      <c r="I77" s="14">
        <v>7000116</v>
      </c>
      <c r="J77" s="14">
        <v>14500</v>
      </c>
    </row>
    <row r="78" spans="1:20" x14ac:dyDescent="0.3">
      <c r="A78" s="14">
        <f t="shared" si="14"/>
        <v>1202005</v>
      </c>
      <c r="B78" s="14">
        <v>5</v>
      </c>
      <c r="C78" s="14" t="str">
        <f t="shared" si="17"/>
        <v>철벽</v>
      </c>
      <c r="D78" s="14">
        <v>1</v>
      </c>
      <c r="E78" s="14">
        <v>2</v>
      </c>
      <c r="F78" s="14">
        <v>2</v>
      </c>
      <c r="G78" s="14" t="s">
        <v>209</v>
      </c>
      <c r="H78" s="14">
        <f t="shared" si="15"/>
        <v>1202</v>
      </c>
      <c r="I78" s="14">
        <v>7000120</v>
      </c>
      <c r="J78" s="14">
        <v>14500</v>
      </c>
    </row>
    <row r="79" spans="1:20" x14ac:dyDescent="0.3">
      <c r="A79" s="14">
        <f t="shared" si="14"/>
        <v>1202006</v>
      </c>
      <c r="B79" s="14">
        <v>6</v>
      </c>
      <c r="C79" s="14" t="str">
        <f t="shared" si="17"/>
        <v>앙갚음</v>
      </c>
      <c r="D79" s="14">
        <v>1</v>
      </c>
      <c r="E79" s="14">
        <v>2</v>
      </c>
      <c r="F79" s="14">
        <v>2</v>
      </c>
      <c r="G79" s="14" t="s">
        <v>210</v>
      </c>
      <c r="H79" s="14">
        <f t="shared" si="15"/>
        <v>1202</v>
      </c>
      <c r="I79" s="14">
        <v>7000131</v>
      </c>
      <c r="J79" s="14">
        <v>9500</v>
      </c>
    </row>
    <row r="80" spans="1:20" x14ac:dyDescent="0.3">
      <c r="A80" s="14">
        <f t="shared" si="14"/>
        <v>1202007</v>
      </c>
      <c r="B80" s="14">
        <v>7</v>
      </c>
      <c r="C80" s="14" t="str">
        <f t="shared" si="17"/>
        <v>오기</v>
      </c>
      <c r="D80" s="14">
        <v>1</v>
      </c>
      <c r="E80" s="14">
        <v>2</v>
      </c>
      <c r="F80" s="14">
        <v>2</v>
      </c>
      <c r="G80" s="14" t="s">
        <v>210</v>
      </c>
      <c r="H80" s="14">
        <f t="shared" si="15"/>
        <v>1202</v>
      </c>
      <c r="I80" s="14">
        <v>7000139</v>
      </c>
      <c r="J80" s="14">
        <v>9500</v>
      </c>
    </row>
    <row r="81" spans="1:10" x14ac:dyDescent="0.3">
      <c r="A81" s="14">
        <f t="shared" si="14"/>
        <v>1202008</v>
      </c>
      <c r="B81" s="14">
        <v>8</v>
      </c>
      <c r="C81" s="14" t="str">
        <f t="shared" si="17"/>
        <v>성화</v>
      </c>
      <c r="D81" s="14">
        <v>1</v>
      </c>
      <c r="E81" s="14">
        <v>2</v>
      </c>
      <c r="F81" s="14">
        <v>2</v>
      </c>
      <c r="G81" s="14" t="s">
        <v>211</v>
      </c>
      <c r="H81" s="14">
        <f t="shared" si="15"/>
        <v>1202</v>
      </c>
      <c r="I81" s="14">
        <v>7000143</v>
      </c>
      <c r="J81" s="14">
        <v>1900</v>
      </c>
    </row>
    <row r="82" spans="1:10" x14ac:dyDescent="0.3">
      <c r="A82" s="14">
        <f t="shared" si="14"/>
        <v>1202009</v>
      </c>
      <c r="B82" s="14">
        <v>9</v>
      </c>
      <c r="C82" s="14" t="str">
        <f t="shared" si="17"/>
        <v>열혈한</v>
      </c>
      <c r="D82" s="14">
        <v>1</v>
      </c>
      <c r="E82" s="14">
        <v>2</v>
      </c>
      <c r="F82" s="14">
        <v>2</v>
      </c>
      <c r="G82" s="14" t="s">
        <v>212</v>
      </c>
      <c r="H82" s="14">
        <f t="shared" si="15"/>
        <v>1202</v>
      </c>
      <c r="I82" s="14">
        <v>7000147</v>
      </c>
      <c r="J82" s="14">
        <v>500</v>
      </c>
    </row>
    <row r="83" spans="1:10" x14ac:dyDescent="0.3">
      <c r="A83" s="14">
        <f t="shared" si="14"/>
        <v>1202010</v>
      </c>
      <c r="B83" s="14">
        <v>10</v>
      </c>
      <c r="C83" s="14" t="str">
        <f t="shared" si="17"/>
        <v>불굴의 의지</v>
      </c>
      <c r="D83" s="14">
        <v>1</v>
      </c>
      <c r="E83" s="14">
        <v>2</v>
      </c>
      <c r="F83" s="14">
        <v>2</v>
      </c>
      <c r="G83" s="14" t="s">
        <v>213</v>
      </c>
      <c r="H83" s="14">
        <f t="shared" si="15"/>
        <v>1202</v>
      </c>
      <c r="I83" s="14">
        <v>7000153</v>
      </c>
      <c r="J83" s="14">
        <v>100</v>
      </c>
    </row>
    <row r="84" spans="1:10" x14ac:dyDescent="0.3">
      <c r="A84" s="14">
        <f t="shared" si="14"/>
        <v>1203001</v>
      </c>
      <c r="B84" s="14">
        <v>1</v>
      </c>
      <c r="C84" s="14" t="str">
        <f>C74</f>
        <v>인내심</v>
      </c>
      <c r="D84" s="14">
        <v>1</v>
      </c>
      <c r="E84" s="14">
        <v>2</v>
      </c>
      <c r="F84" s="14">
        <v>3</v>
      </c>
      <c r="G84" s="14" t="s">
        <v>208</v>
      </c>
      <c r="H84" s="14">
        <f t="shared" si="15"/>
        <v>1203</v>
      </c>
      <c r="I84" s="14">
        <v>7000102</v>
      </c>
      <c r="J84" s="14">
        <v>16000</v>
      </c>
    </row>
    <row r="85" spans="1:10" x14ac:dyDescent="0.3">
      <c r="A85" s="14">
        <f t="shared" si="14"/>
        <v>1203002</v>
      </c>
      <c r="B85" s="14">
        <v>2</v>
      </c>
      <c r="C85" s="14" t="str">
        <f t="shared" si="17"/>
        <v>복수심</v>
      </c>
      <c r="D85" s="14">
        <v>1</v>
      </c>
      <c r="E85" s="14">
        <v>2</v>
      </c>
      <c r="F85" s="14">
        <v>3</v>
      </c>
      <c r="G85" s="14" t="s">
        <v>208</v>
      </c>
      <c r="H85" s="14">
        <f t="shared" si="15"/>
        <v>1203</v>
      </c>
      <c r="I85" s="14">
        <v>7000110</v>
      </c>
      <c r="J85" s="14">
        <v>16000</v>
      </c>
    </row>
    <row r="86" spans="1:10" x14ac:dyDescent="0.3">
      <c r="A86" s="14">
        <f t="shared" si="14"/>
        <v>1203003</v>
      </c>
      <c r="B86" s="14">
        <v>3</v>
      </c>
      <c r="C86" s="14" t="str">
        <f t="shared" si="17"/>
        <v>성급</v>
      </c>
      <c r="D86" s="14">
        <v>1</v>
      </c>
      <c r="E86" s="14">
        <v>2</v>
      </c>
      <c r="F86" s="14">
        <v>3</v>
      </c>
      <c r="G86" s="14" t="s">
        <v>208</v>
      </c>
      <c r="H86" s="14">
        <f t="shared" si="15"/>
        <v>1203</v>
      </c>
      <c r="I86" s="14">
        <v>7000114</v>
      </c>
      <c r="J86" s="14">
        <v>16000</v>
      </c>
    </row>
    <row r="87" spans="1:10" x14ac:dyDescent="0.3">
      <c r="A87" s="14">
        <f t="shared" si="14"/>
        <v>1203004</v>
      </c>
      <c r="B87" s="14">
        <v>4</v>
      </c>
      <c r="C87" s="14" t="str">
        <f t="shared" si="17"/>
        <v>투지</v>
      </c>
      <c r="D87" s="14">
        <v>1</v>
      </c>
      <c r="E87" s="14">
        <v>2</v>
      </c>
      <c r="F87" s="14">
        <v>3</v>
      </c>
      <c r="G87" s="14" t="s">
        <v>209</v>
      </c>
      <c r="H87" s="14">
        <f t="shared" si="15"/>
        <v>1203</v>
      </c>
      <c r="I87" s="14">
        <v>7000116</v>
      </c>
      <c r="J87" s="14">
        <v>14000</v>
      </c>
    </row>
    <row r="88" spans="1:10" x14ac:dyDescent="0.3">
      <c r="A88" s="14">
        <f t="shared" si="14"/>
        <v>1203005</v>
      </c>
      <c r="B88" s="14">
        <v>5</v>
      </c>
      <c r="C88" s="14" t="str">
        <f t="shared" si="17"/>
        <v>철벽</v>
      </c>
      <c r="D88" s="14">
        <v>1</v>
      </c>
      <c r="E88" s="14">
        <v>2</v>
      </c>
      <c r="F88" s="14">
        <v>3</v>
      </c>
      <c r="G88" s="14" t="s">
        <v>209</v>
      </c>
      <c r="H88" s="14">
        <f t="shared" si="15"/>
        <v>1203</v>
      </c>
      <c r="I88" s="14">
        <v>7000120</v>
      </c>
      <c r="J88" s="14">
        <v>14000</v>
      </c>
    </row>
    <row r="89" spans="1:10" x14ac:dyDescent="0.3">
      <c r="A89" s="14">
        <f t="shared" si="14"/>
        <v>1203006</v>
      </c>
      <c r="B89" s="14">
        <v>6</v>
      </c>
      <c r="C89" s="14" t="str">
        <f t="shared" si="17"/>
        <v>앙갚음</v>
      </c>
      <c r="D89" s="14">
        <v>1</v>
      </c>
      <c r="E89" s="14">
        <v>2</v>
      </c>
      <c r="F89" s="14">
        <v>3</v>
      </c>
      <c r="G89" s="14" t="s">
        <v>210</v>
      </c>
      <c r="H89" s="14">
        <f t="shared" si="15"/>
        <v>1203</v>
      </c>
      <c r="I89" s="14">
        <v>7000131</v>
      </c>
      <c r="J89" s="14">
        <v>9000</v>
      </c>
    </row>
    <row r="90" spans="1:10" x14ac:dyDescent="0.3">
      <c r="A90" s="14">
        <f t="shared" si="14"/>
        <v>1203007</v>
      </c>
      <c r="B90" s="14">
        <v>7</v>
      </c>
      <c r="C90" s="14" t="str">
        <f t="shared" si="17"/>
        <v>오기</v>
      </c>
      <c r="D90" s="14">
        <v>1</v>
      </c>
      <c r="E90" s="14">
        <v>2</v>
      </c>
      <c r="F90" s="14">
        <v>3</v>
      </c>
      <c r="G90" s="14" t="s">
        <v>210</v>
      </c>
      <c r="H90" s="14">
        <f t="shared" si="15"/>
        <v>1203</v>
      </c>
      <c r="I90" s="14">
        <v>7000139</v>
      </c>
      <c r="J90" s="14">
        <v>9000</v>
      </c>
    </row>
    <row r="91" spans="1:10" x14ac:dyDescent="0.3">
      <c r="A91" s="14">
        <f t="shared" si="14"/>
        <v>1203008</v>
      </c>
      <c r="B91" s="14">
        <v>8</v>
      </c>
      <c r="C91" s="14" t="str">
        <f t="shared" si="17"/>
        <v>성화</v>
      </c>
      <c r="D91" s="14">
        <v>1</v>
      </c>
      <c r="E91" s="14">
        <v>2</v>
      </c>
      <c r="F91" s="14">
        <v>3</v>
      </c>
      <c r="G91" s="14" t="s">
        <v>211</v>
      </c>
      <c r="H91" s="14">
        <f t="shared" si="15"/>
        <v>1203</v>
      </c>
      <c r="I91" s="14">
        <v>7000143</v>
      </c>
      <c r="J91" s="14">
        <v>1800</v>
      </c>
    </row>
    <row r="92" spans="1:10" x14ac:dyDescent="0.3">
      <c r="A92" s="14">
        <f t="shared" si="14"/>
        <v>1203009</v>
      </c>
      <c r="B92" s="14">
        <v>9</v>
      </c>
      <c r="C92" s="14" t="str">
        <f t="shared" si="17"/>
        <v>열혈한</v>
      </c>
      <c r="D92" s="14">
        <v>1</v>
      </c>
      <c r="E92" s="14">
        <v>2</v>
      </c>
      <c r="F92" s="14">
        <v>3</v>
      </c>
      <c r="G92" s="14" t="s">
        <v>212</v>
      </c>
      <c r="H92" s="14">
        <f t="shared" si="15"/>
        <v>1203</v>
      </c>
      <c r="I92" s="14">
        <v>7000147</v>
      </c>
      <c r="J92" s="14">
        <v>500</v>
      </c>
    </row>
    <row r="93" spans="1:10" x14ac:dyDescent="0.3">
      <c r="A93" s="14">
        <f t="shared" si="14"/>
        <v>1203010</v>
      </c>
      <c r="B93" s="14">
        <v>10</v>
      </c>
      <c r="C93" s="14" t="str">
        <f t="shared" si="17"/>
        <v>불굴의 의지</v>
      </c>
      <c r="D93" s="14">
        <v>1</v>
      </c>
      <c r="E93" s="14">
        <v>2</v>
      </c>
      <c r="F93" s="14">
        <v>3</v>
      </c>
      <c r="G93" s="14" t="s">
        <v>213</v>
      </c>
      <c r="H93" s="14">
        <f t="shared" si="15"/>
        <v>1203</v>
      </c>
      <c r="I93" s="14">
        <v>7000153</v>
      </c>
      <c r="J93" s="14">
        <v>100</v>
      </c>
    </row>
    <row r="94" spans="1:10" x14ac:dyDescent="0.3">
      <c r="A94" s="14">
        <f t="shared" si="14"/>
        <v>1204001</v>
      </c>
      <c r="B94" s="14">
        <v>1</v>
      </c>
      <c r="C94" s="14" t="str">
        <f>C84</f>
        <v>인내심</v>
      </c>
      <c r="D94" s="14">
        <v>1</v>
      </c>
      <c r="E94" s="14">
        <v>2</v>
      </c>
      <c r="F94" s="14">
        <v>4</v>
      </c>
      <c r="G94" s="14" t="s">
        <v>208</v>
      </c>
      <c r="H94" s="14">
        <f t="shared" si="15"/>
        <v>1204</v>
      </c>
      <c r="I94" s="14">
        <v>7000102</v>
      </c>
      <c r="J94" s="14">
        <v>14000</v>
      </c>
    </row>
    <row r="95" spans="1:10" x14ac:dyDescent="0.3">
      <c r="A95" s="14">
        <f t="shared" si="14"/>
        <v>1204002</v>
      </c>
      <c r="B95" s="14">
        <v>2</v>
      </c>
      <c r="C95" s="14" t="str">
        <f t="shared" si="17"/>
        <v>복수심</v>
      </c>
      <c r="D95" s="14">
        <v>1</v>
      </c>
      <c r="E95" s="14">
        <v>2</v>
      </c>
      <c r="F95" s="14">
        <v>4</v>
      </c>
      <c r="G95" s="14" t="s">
        <v>208</v>
      </c>
      <c r="H95" s="14">
        <f t="shared" si="15"/>
        <v>1204</v>
      </c>
      <c r="I95" s="14">
        <v>7000110</v>
      </c>
      <c r="J95" s="14">
        <v>14000</v>
      </c>
    </row>
    <row r="96" spans="1:10" x14ac:dyDescent="0.3">
      <c r="A96" s="14">
        <f t="shared" si="14"/>
        <v>1204003</v>
      </c>
      <c r="B96" s="14">
        <v>3</v>
      </c>
      <c r="C96" s="14" t="str">
        <f t="shared" si="17"/>
        <v>성급</v>
      </c>
      <c r="D96" s="14">
        <v>1</v>
      </c>
      <c r="E96" s="14">
        <v>2</v>
      </c>
      <c r="F96" s="14">
        <v>4</v>
      </c>
      <c r="G96" s="14" t="s">
        <v>208</v>
      </c>
      <c r="H96" s="14">
        <f t="shared" si="15"/>
        <v>1204</v>
      </c>
      <c r="I96" s="14">
        <v>7000114</v>
      </c>
      <c r="J96" s="14">
        <v>14000</v>
      </c>
    </row>
    <row r="97" spans="1:10" x14ac:dyDescent="0.3">
      <c r="A97" s="14">
        <f t="shared" si="14"/>
        <v>1204004</v>
      </c>
      <c r="B97" s="14">
        <v>4</v>
      </c>
      <c r="C97" s="14" t="str">
        <f t="shared" si="17"/>
        <v>투지</v>
      </c>
      <c r="D97" s="14">
        <v>1</v>
      </c>
      <c r="E97" s="14">
        <v>2</v>
      </c>
      <c r="F97" s="14">
        <v>4</v>
      </c>
      <c r="G97" s="14" t="s">
        <v>209</v>
      </c>
      <c r="H97" s="14">
        <f t="shared" si="15"/>
        <v>1204</v>
      </c>
      <c r="I97" s="14">
        <v>7000116</v>
      </c>
      <c r="J97" s="14">
        <v>13500</v>
      </c>
    </row>
    <row r="98" spans="1:10" x14ac:dyDescent="0.3">
      <c r="A98" s="14">
        <f t="shared" si="14"/>
        <v>1204005</v>
      </c>
      <c r="B98" s="14">
        <v>5</v>
      </c>
      <c r="C98" s="14" t="str">
        <f t="shared" si="17"/>
        <v>철벽</v>
      </c>
      <c r="D98" s="14">
        <v>1</v>
      </c>
      <c r="E98" s="14">
        <v>2</v>
      </c>
      <c r="F98" s="14">
        <v>4</v>
      </c>
      <c r="G98" s="14" t="s">
        <v>209</v>
      </c>
      <c r="H98" s="14">
        <f t="shared" si="15"/>
        <v>1204</v>
      </c>
      <c r="I98" s="14">
        <v>7000120</v>
      </c>
      <c r="J98" s="14">
        <v>13500</v>
      </c>
    </row>
    <row r="99" spans="1:10" x14ac:dyDescent="0.3">
      <c r="A99" s="14">
        <f t="shared" si="14"/>
        <v>1204006</v>
      </c>
      <c r="B99" s="14">
        <v>6</v>
      </c>
      <c r="C99" s="14" t="str">
        <f t="shared" si="17"/>
        <v>앙갚음</v>
      </c>
      <c r="D99" s="14">
        <v>1</v>
      </c>
      <c r="E99" s="14">
        <v>2</v>
      </c>
      <c r="F99" s="14">
        <v>4</v>
      </c>
      <c r="G99" s="14" t="s">
        <v>210</v>
      </c>
      <c r="H99" s="14">
        <f t="shared" si="15"/>
        <v>1204</v>
      </c>
      <c r="I99" s="14">
        <v>7000131</v>
      </c>
      <c r="J99" s="14">
        <v>8500</v>
      </c>
    </row>
    <row r="100" spans="1:10" x14ac:dyDescent="0.3">
      <c r="A100" s="14">
        <f t="shared" si="14"/>
        <v>1204007</v>
      </c>
      <c r="B100" s="14">
        <v>7</v>
      </c>
      <c r="C100" s="14" t="str">
        <f t="shared" si="17"/>
        <v>오기</v>
      </c>
      <c r="D100" s="14">
        <v>1</v>
      </c>
      <c r="E100" s="14">
        <v>2</v>
      </c>
      <c r="F100" s="14">
        <v>4</v>
      </c>
      <c r="G100" s="14" t="s">
        <v>210</v>
      </c>
      <c r="H100" s="14">
        <f t="shared" si="15"/>
        <v>1204</v>
      </c>
      <c r="I100" s="14">
        <v>7000139</v>
      </c>
      <c r="J100" s="14">
        <v>8500</v>
      </c>
    </row>
    <row r="101" spans="1:10" x14ac:dyDescent="0.3">
      <c r="A101" s="14">
        <f t="shared" si="14"/>
        <v>1204008</v>
      </c>
      <c r="B101" s="14">
        <v>8</v>
      </c>
      <c r="C101" s="14" t="str">
        <f t="shared" si="17"/>
        <v>성화</v>
      </c>
      <c r="D101" s="14">
        <v>1</v>
      </c>
      <c r="E101" s="14">
        <v>2</v>
      </c>
      <c r="F101" s="14">
        <v>4</v>
      </c>
      <c r="G101" s="14" t="s">
        <v>211</v>
      </c>
      <c r="H101" s="14">
        <f t="shared" si="15"/>
        <v>1204</v>
      </c>
      <c r="I101" s="14">
        <v>7000143</v>
      </c>
      <c r="J101" s="14">
        <v>1700</v>
      </c>
    </row>
    <row r="102" spans="1:10" x14ac:dyDescent="0.3">
      <c r="A102" s="14">
        <f t="shared" si="14"/>
        <v>1204009</v>
      </c>
      <c r="B102" s="14">
        <v>9</v>
      </c>
      <c r="C102" s="14" t="str">
        <f t="shared" si="17"/>
        <v>열혈한</v>
      </c>
      <c r="D102" s="14">
        <v>1</v>
      </c>
      <c r="E102" s="14">
        <v>2</v>
      </c>
      <c r="F102" s="14">
        <v>4</v>
      </c>
      <c r="G102" s="14" t="s">
        <v>212</v>
      </c>
      <c r="H102" s="14">
        <f t="shared" si="15"/>
        <v>1204</v>
      </c>
      <c r="I102" s="14">
        <v>7000147</v>
      </c>
      <c r="J102" s="14">
        <v>500</v>
      </c>
    </row>
    <row r="103" spans="1:10" x14ac:dyDescent="0.3">
      <c r="A103" s="14">
        <f t="shared" si="14"/>
        <v>1204010</v>
      </c>
      <c r="B103" s="14">
        <v>10</v>
      </c>
      <c r="C103" s="14" t="str">
        <f t="shared" si="17"/>
        <v>불굴의 의지</v>
      </c>
      <c r="D103" s="14">
        <v>1</v>
      </c>
      <c r="E103" s="14">
        <v>2</v>
      </c>
      <c r="F103" s="14">
        <v>4</v>
      </c>
      <c r="G103" s="14" t="s">
        <v>213</v>
      </c>
      <c r="H103" s="14">
        <f t="shared" si="15"/>
        <v>1204</v>
      </c>
      <c r="I103" s="14">
        <v>7000153</v>
      </c>
      <c r="J103" s="14">
        <v>100</v>
      </c>
    </row>
    <row r="104" spans="1:10" x14ac:dyDescent="0.3">
      <c r="A104" s="14">
        <f t="shared" si="14"/>
        <v>1205001</v>
      </c>
      <c r="B104" s="14">
        <v>1</v>
      </c>
      <c r="C104" s="14" t="str">
        <f>C94</f>
        <v>인내심</v>
      </c>
      <c r="D104" s="14">
        <v>1</v>
      </c>
      <c r="E104" s="14">
        <v>2</v>
      </c>
      <c r="F104" s="14">
        <v>5</v>
      </c>
      <c r="G104" s="14" t="s">
        <v>208</v>
      </c>
      <c r="H104" s="14">
        <f t="shared" si="15"/>
        <v>1205</v>
      </c>
      <c r="I104" s="14">
        <v>7000102</v>
      </c>
      <c r="J104" s="14">
        <v>12000</v>
      </c>
    </row>
    <row r="105" spans="1:10" x14ac:dyDescent="0.3">
      <c r="A105" s="14">
        <f t="shared" si="14"/>
        <v>1205002</v>
      </c>
      <c r="B105" s="14">
        <v>2</v>
      </c>
      <c r="C105" s="14" t="str">
        <f t="shared" si="17"/>
        <v>복수심</v>
      </c>
      <c r="D105" s="14">
        <v>1</v>
      </c>
      <c r="E105" s="14">
        <v>2</v>
      </c>
      <c r="F105" s="14">
        <v>5</v>
      </c>
      <c r="G105" s="14" t="s">
        <v>208</v>
      </c>
      <c r="H105" s="14">
        <f t="shared" si="15"/>
        <v>1205</v>
      </c>
      <c r="I105" s="14">
        <v>7000110</v>
      </c>
      <c r="J105" s="14">
        <v>12000</v>
      </c>
    </row>
    <row r="106" spans="1:10" x14ac:dyDescent="0.3">
      <c r="A106" s="14">
        <f t="shared" si="14"/>
        <v>1205003</v>
      </c>
      <c r="B106" s="14">
        <v>3</v>
      </c>
      <c r="C106" s="14" t="str">
        <f t="shared" si="17"/>
        <v>성급</v>
      </c>
      <c r="D106" s="14">
        <v>1</v>
      </c>
      <c r="E106" s="14">
        <v>2</v>
      </c>
      <c r="F106" s="14">
        <v>5</v>
      </c>
      <c r="G106" s="14" t="s">
        <v>208</v>
      </c>
      <c r="H106" s="14">
        <f t="shared" si="15"/>
        <v>1205</v>
      </c>
      <c r="I106" s="14">
        <v>7000114</v>
      </c>
      <c r="J106" s="14">
        <v>12000</v>
      </c>
    </row>
    <row r="107" spans="1:10" x14ac:dyDescent="0.3">
      <c r="A107" s="14">
        <f t="shared" si="14"/>
        <v>1205004</v>
      </c>
      <c r="B107" s="14">
        <v>4</v>
      </c>
      <c r="C107" s="14" t="str">
        <f t="shared" si="17"/>
        <v>투지</v>
      </c>
      <c r="D107" s="14">
        <v>1</v>
      </c>
      <c r="E107" s="14">
        <v>2</v>
      </c>
      <c r="F107" s="14">
        <v>5</v>
      </c>
      <c r="G107" s="14" t="s">
        <v>209</v>
      </c>
      <c r="H107" s="14">
        <f t="shared" si="15"/>
        <v>1205</v>
      </c>
      <c r="I107" s="14">
        <v>7000116</v>
      </c>
      <c r="J107" s="14">
        <v>13000</v>
      </c>
    </row>
    <row r="108" spans="1:10" x14ac:dyDescent="0.3">
      <c r="A108" s="14">
        <f t="shared" si="14"/>
        <v>1205005</v>
      </c>
      <c r="B108" s="14">
        <v>5</v>
      </c>
      <c r="C108" s="14" t="str">
        <f t="shared" si="17"/>
        <v>철벽</v>
      </c>
      <c r="D108" s="14">
        <v>1</v>
      </c>
      <c r="E108" s="14">
        <v>2</v>
      </c>
      <c r="F108" s="14">
        <v>5</v>
      </c>
      <c r="G108" s="14" t="s">
        <v>209</v>
      </c>
      <c r="H108" s="14">
        <f t="shared" si="15"/>
        <v>1205</v>
      </c>
      <c r="I108" s="14">
        <v>7000120</v>
      </c>
      <c r="J108" s="14">
        <v>13000</v>
      </c>
    </row>
    <row r="109" spans="1:10" x14ac:dyDescent="0.3">
      <c r="A109" s="14">
        <f t="shared" si="14"/>
        <v>1205006</v>
      </c>
      <c r="B109" s="14">
        <v>6</v>
      </c>
      <c r="C109" s="14" t="str">
        <f t="shared" si="17"/>
        <v>앙갚음</v>
      </c>
      <c r="D109" s="14">
        <v>1</v>
      </c>
      <c r="E109" s="14">
        <v>2</v>
      </c>
      <c r="F109" s="14">
        <v>5</v>
      </c>
      <c r="G109" s="14" t="s">
        <v>210</v>
      </c>
      <c r="H109" s="14">
        <f t="shared" si="15"/>
        <v>1205</v>
      </c>
      <c r="I109" s="14">
        <v>7000131</v>
      </c>
      <c r="J109" s="14">
        <v>8000</v>
      </c>
    </row>
    <row r="110" spans="1:10" x14ac:dyDescent="0.3">
      <c r="A110" s="14">
        <f t="shared" si="14"/>
        <v>1205007</v>
      </c>
      <c r="B110" s="14">
        <v>7</v>
      </c>
      <c r="C110" s="14" t="str">
        <f t="shared" si="17"/>
        <v>오기</v>
      </c>
      <c r="D110" s="14">
        <v>1</v>
      </c>
      <c r="E110" s="14">
        <v>2</v>
      </c>
      <c r="F110" s="14">
        <v>5</v>
      </c>
      <c r="G110" s="14" t="s">
        <v>210</v>
      </c>
      <c r="H110" s="14">
        <f t="shared" si="15"/>
        <v>1205</v>
      </c>
      <c r="I110" s="14">
        <v>7000139</v>
      </c>
      <c r="J110" s="14">
        <v>8000</v>
      </c>
    </row>
    <row r="111" spans="1:10" x14ac:dyDescent="0.3">
      <c r="A111" s="14">
        <f t="shared" si="14"/>
        <v>1205008</v>
      </c>
      <c r="B111" s="14">
        <v>8</v>
      </c>
      <c r="C111" s="14" t="str">
        <f t="shared" si="17"/>
        <v>성화</v>
      </c>
      <c r="D111" s="14">
        <v>1</v>
      </c>
      <c r="E111" s="14">
        <v>2</v>
      </c>
      <c r="F111" s="14">
        <v>5</v>
      </c>
      <c r="G111" s="14" t="s">
        <v>211</v>
      </c>
      <c r="H111" s="14">
        <f t="shared" si="15"/>
        <v>1205</v>
      </c>
      <c r="I111" s="14">
        <v>7000143</v>
      </c>
      <c r="J111" s="14">
        <v>1600</v>
      </c>
    </row>
    <row r="112" spans="1:10" x14ac:dyDescent="0.3">
      <c r="A112" s="14">
        <f t="shared" si="14"/>
        <v>1205009</v>
      </c>
      <c r="B112" s="14">
        <v>9</v>
      </c>
      <c r="C112" s="14" t="str">
        <f t="shared" si="17"/>
        <v>열혈한</v>
      </c>
      <c r="D112" s="14">
        <v>1</v>
      </c>
      <c r="E112" s="14">
        <v>2</v>
      </c>
      <c r="F112" s="14">
        <v>5</v>
      </c>
      <c r="G112" s="14" t="s">
        <v>212</v>
      </c>
      <c r="H112" s="14">
        <f t="shared" si="15"/>
        <v>1205</v>
      </c>
      <c r="I112" s="14">
        <v>7000147</v>
      </c>
      <c r="J112" s="14">
        <v>500</v>
      </c>
    </row>
    <row r="113" spans="1:10" x14ac:dyDescent="0.3">
      <c r="A113" s="14">
        <f t="shared" si="14"/>
        <v>1205010</v>
      </c>
      <c r="B113" s="14">
        <v>10</v>
      </c>
      <c r="C113" s="14" t="str">
        <f t="shared" si="17"/>
        <v>불굴의 의지</v>
      </c>
      <c r="D113" s="14">
        <v>1</v>
      </c>
      <c r="E113" s="14">
        <v>2</v>
      </c>
      <c r="F113" s="14">
        <v>5</v>
      </c>
      <c r="G113" s="14" t="s">
        <v>213</v>
      </c>
      <c r="H113" s="14">
        <f t="shared" si="15"/>
        <v>1205</v>
      </c>
      <c r="I113" s="14">
        <v>7000153</v>
      </c>
      <c r="J113" s="14">
        <v>100</v>
      </c>
    </row>
    <row r="114" spans="1:10" x14ac:dyDescent="0.3">
      <c r="A114" s="14">
        <f t="shared" si="14"/>
        <v>1206001</v>
      </c>
      <c r="B114" s="14">
        <v>1</v>
      </c>
      <c r="C114" s="14" t="str">
        <f>C104</f>
        <v>인내심</v>
      </c>
      <c r="D114" s="14">
        <v>1</v>
      </c>
      <c r="E114" s="14">
        <v>2</v>
      </c>
      <c r="F114" s="14">
        <v>6</v>
      </c>
      <c r="G114" s="14" t="s">
        <v>208</v>
      </c>
      <c r="H114" s="14">
        <f t="shared" si="15"/>
        <v>1206</v>
      </c>
      <c r="I114" s="14">
        <v>7000102</v>
      </c>
      <c r="J114" s="14">
        <v>10000</v>
      </c>
    </row>
    <row r="115" spans="1:10" x14ac:dyDescent="0.3">
      <c r="A115" s="14">
        <f t="shared" si="14"/>
        <v>1206002</v>
      </c>
      <c r="B115" s="14">
        <v>2</v>
      </c>
      <c r="C115" s="14" t="str">
        <f t="shared" si="17"/>
        <v>복수심</v>
      </c>
      <c r="D115" s="14">
        <v>1</v>
      </c>
      <c r="E115" s="14">
        <v>2</v>
      </c>
      <c r="F115" s="14">
        <v>6</v>
      </c>
      <c r="G115" s="14" t="s">
        <v>208</v>
      </c>
      <c r="H115" s="14">
        <f t="shared" si="15"/>
        <v>1206</v>
      </c>
      <c r="I115" s="14">
        <v>7000110</v>
      </c>
      <c r="J115" s="14">
        <v>10000</v>
      </c>
    </row>
    <row r="116" spans="1:10" x14ac:dyDescent="0.3">
      <c r="A116" s="14">
        <f t="shared" si="14"/>
        <v>1206003</v>
      </c>
      <c r="B116" s="14">
        <v>3</v>
      </c>
      <c r="C116" s="14" t="str">
        <f t="shared" si="17"/>
        <v>성급</v>
      </c>
      <c r="D116" s="14">
        <v>1</v>
      </c>
      <c r="E116" s="14">
        <v>2</v>
      </c>
      <c r="F116" s="14">
        <v>6</v>
      </c>
      <c r="G116" s="14" t="s">
        <v>208</v>
      </c>
      <c r="H116" s="14">
        <f t="shared" si="15"/>
        <v>1206</v>
      </c>
      <c r="I116" s="14">
        <v>7000114</v>
      </c>
      <c r="J116" s="14">
        <v>10000</v>
      </c>
    </row>
    <row r="117" spans="1:10" x14ac:dyDescent="0.3">
      <c r="A117" s="14">
        <f t="shared" si="14"/>
        <v>1206004</v>
      </c>
      <c r="B117" s="14">
        <v>4</v>
      </c>
      <c r="C117" s="14" t="str">
        <f t="shared" si="17"/>
        <v>투지</v>
      </c>
      <c r="D117" s="14">
        <v>1</v>
      </c>
      <c r="E117" s="14">
        <v>2</v>
      </c>
      <c r="F117" s="14">
        <v>6</v>
      </c>
      <c r="G117" s="14" t="s">
        <v>209</v>
      </c>
      <c r="H117" s="14">
        <f t="shared" si="15"/>
        <v>1206</v>
      </c>
      <c r="I117" s="14">
        <v>7000116</v>
      </c>
      <c r="J117" s="14">
        <v>12500</v>
      </c>
    </row>
    <row r="118" spans="1:10" x14ac:dyDescent="0.3">
      <c r="A118" s="14">
        <f t="shared" si="14"/>
        <v>1206005</v>
      </c>
      <c r="B118" s="14">
        <v>5</v>
      </c>
      <c r="C118" s="14" t="str">
        <f t="shared" si="17"/>
        <v>철벽</v>
      </c>
      <c r="D118" s="14">
        <v>1</v>
      </c>
      <c r="E118" s="14">
        <v>2</v>
      </c>
      <c r="F118" s="14">
        <v>6</v>
      </c>
      <c r="G118" s="14" t="s">
        <v>209</v>
      </c>
      <c r="H118" s="14">
        <f t="shared" si="15"/>
        <v>1206</v>
      </c>
      <c r="I118" s="14">
        <v>7000120</v>
      </c>
      <c r="J118" s="14">
        <v>12500</v>
      </c>
    </row>
    <row r="119" spans="1:10" x14ac:dyDescent="0.3">
      <c r="A119" s="14">
        <f t="shared" si="14"/>
        <v>1206006</v>
      </c>
      <c r="B119" s="14">
        <v>6</v>
      </c>
      <c r="C119" s="14" t="str">
        <f t="shared" si="17"/>
        <v>앙갚음</v>
      </c>
      <c r="D119" s="14">
        <v>1</v>
      </c>
      <c r="E119" s="14">
        <v>2</v>
      </c>
      <c r="F119" s="14">
        <v>6</v>
      </c>
      <c r="G119" s="14" t="s">
        <v>210</v>
      </c>
      <c r="H119" s="14">
        <f t="shared" si="15"/>
        <v>1206</v>
      </c>
      <c r="I119" s="14">
        <v>7000131</v>
      </c>
      <c r="J119" s="14">
        <v>7500</v>
      </c>
    </row>
    <row r="120" spans="1:10" x14ac:dyDescent="0.3">
      <c r="A120" s="14">
        <f t="shared" si="14"/>
        <v>1206007</v>
      </c>
      <c r="B120" s="14">
        <v>7</v>
      </c>
      <c r="C120" s="14" t="str">
        <f t="shared" si="17"/>
        <v>오기</v>
      </c>
      <c r="D120" s="14">
        <v>1</v>
      </c>
      <c r="E120" s="14">
        <v>2</v>
      </c>
      <c r="F120" s="14">
        <v>6</v>
      </c>
      <c r="G120" s="14" t="s">
        <v>210</v>
      </c>
      <c r="H120" s="14">
        <f t="shared" si="15"/>
        <v>1206</v>
      </c>
      <c r="I120" s="14">
        <v>7000139</v>
      </c>
      <c r="J120" s="14">
        <v>7500</v>
      </c>
    </row>
    <row r="121" spans="1:10" x14ac:dyDescent="0.3">
      <c r="A121" s="14">
        <f t="shared" si="14"/>
        <v>1206008</v>
      </c>
      <c r="B121" s="14">
        <v>8</v>
      </c>
      <c r="C121" s="14" t="str">
        <f t="shared" si="17"/>
        <v>성화</v>
      </c>
      <c r="D121" s="14">
        <v>1</v>
      </c>
      <c r="E121" s="14">
        <v>2</v>
      </c>
      <c r="F121" s="14">
        <v>6</v>
      </c>
      <c r="G121" s="14" t="s">
        <v>211</v>
      </c>
      <c r="H121" s="14">
        <f t="shared" si="15"/>
        <v>1206</v>
      </c>
      <c r="I121" s="14">
        <v>7000143</v>
      </c>
      <c r="J121" s="14">
        <v>1500</v>
      </c>
    </row>
    <row r="122" spans="1:10" x14ac:dyDescent="0.3">
      <c r="A122" s="14">
        <f t="shared" si="14"/>
        <v>1206009</v>
      </c>
      <c r="B122" s="14">
        <v>9</v>
      </c>
      <c r="C122" s="14" t="str">
        <f t="shared" si="17"/>
        <v>열혈한</v>
      </c>
      <c r="D122" s="14">
        <v>1</v>
      </c>
      <c r="E122" s="14">
        <v>2</v>
      </c>
      <c r="F122" s="14">
        <v>6</v>
      </c>
      <c r="G122" s="14" t="s">
        <v>212</v>
      </c>
      <c r="H122" s="14">
        <f t="shared" si="15"/>
        <v>1206</v>
      </c>
      <c r="I122" s="14">
        <v>7000147</v>
      </c>
      <c r="J122" s="14">
        <v>500</v>
      </c>
    </row>
    <row r="123" spans="1:10" x14ac:dyDescent="0.3">
      <c r="A123" s="14">
        <f t="shared" si="14"/>
        <v>1206010</v>
      </c>
      <c r="B123" s="14">
        <v>10</v>
      </c>
      <c r="C123" s="14" t="str">
        <f t="shared" si="17"/>
        <v>불굴의 의지</v>
      </c>
      <c r="D123" s="14">
        <v>1</v>
      </c>
      <c r="E123" s="14">
        <v>2</v>
      </c>
      <c r="F123" s="14">
        <v>6</v>
      </c>
      <c r="G123" s="14" t="s">
        <v>213</v>
      </c>
      <c r="H123" s="14">
        <f t="shared" si="15"/>
        <v>1206</v>
      </c>
      <c r="I123" s="14">
        <v>7000153</v>
      </c>
      <c r="J123" s="14">
        <v>100</v>
      </c>
    </row>
    <row r="124" spans="1:10" x14ac:dyDescent="0.3">
      <c r="A124" s="15">
        <f>INT(H124&amp;TEXT(B124,"000"))</f>
        <v>1301001</v>
      </c>
      <c r="B124" s="15">
        <v>1</v>
      </c>
      <c r="C124" s="15" t="s">
        <v>362</v>
      </c>
      <c r="D124" s="15">
        <v>1</v>
      </c>
      <c r="E124" s="15">
        <v>3</v>
      </c>
      <c r="F124" s="15">
        <v>1</v>
      </c>
      <c r="G124" s="15" t="s">
        <v>208</v>
      </c>
      <c r="H124" s="15">
        <f>INT(D124&amp;E124&amp;TEXT(F124,"00"))</f>
        <v>1301</v>
      </c>
      <c r="I124" s="14">
        <v>7000105</v>
      </c>
      <c r="J124" s="15">
        <v>20000</v>
      </c>
    </row>
    <row r="125" spans="1:10" x14ac:dyDescent="0.3">
      <c r="A125" s="14">
        <f t="shared" ref="A125:A183" si="18">INT(H125&amp;TEXT(B125,"000"))</f>
        <v>1301002</v>
      </c>
      <c r="B125" s="14">
        <v>2</v>
      </c>
      <c r="C125" s="14" t="s">
        <v>346</v>
      </c>
      <c r="D125" s="14">
        <v>1</v>
      </c>
      <c r="E125" s="14">
        <v>3</v>
      </c>
      <c r="F125" s="14">
        <v>1</v>
      </c>
      <c r="G125" s="14" t="s">
        <v>208</v>
      </c>
      <c r="H125" s="14">
        <f t="shared" ref="H125:H183" si="19">INT(D125&amp;E125&amp;TEXT(F125,"00"))</f>
        <v>1301</v>
      </c>
      <c r="I125" s="14">
        <v>7000143</v>
      </c>
      <c r="J125" s="14">
        <v>20000</v>
      </c>
    </row>
    <row r="126" spans="1:10" x14ac:dyDescent="0.3">
      <c r="A126" s="14">
        <f t="shared" si="18"/>
        <v>1301003</v>
      </c>
      <c r="B126" s="14">
        <v>3</v>
      </c>
      <c r="C126" s="14" t="s">
        <v>347</v>
      </c>
      <c r="D126" s="14">
        <v>1</v>
      </c>
      <c r="E126" s="14">
        <v>3</v>
      </c>
      <c r="F126" s="14">
        <v>1</v>
      </c>
      <c r="G126" s="14" t="s">
        <v>208</v>
      </c>
      <c r="H126" s="14">
        <f t="shared" si="19"/>
        <v>1301</v>
      </c>
      <c r="I126" s="14">
        <v>7000147</v>
      </c>
      <c r="J126" s="14">
        <v>20000</v>
      </c>
    </row>
    <row r="127" spans="1:10" x14ac:dyDescent="0.3">
      <c r="A127" s="14">
        <f t="shared" si="18"/>
        <v>1301004</v>
      </c>
      <c r="B127" s="14">
        <v>4</v>
      </c>
      <c r="C127" s="14" t="s">
        <v>383</v>
      </c>
      <c r="D127" s="14">
        <v>1</v>
      </c>
      <c r="E127" s="14">
        <v>3</v>
      </c>
      <c r="F127" s="14">
        <v>1</v>
      </c>
      <c r="G127" s="14" t="s">
        <v>223</v>
      </c>
      <c r="H127" s="14">
        <f t="shared" si="19"/>
        <v>1301</v>
      </c>
      <c r="I127" s="14">
        <v>7000149</v>
      </c>
      <c r="J127" s="14">
        <v>15000</v>
      </c>
    </row>
    <row r="128" spans="1:10" x14ac:dyDescent="0.3">
      <c r="A128" s="14">
        <f t="shared" si="18"/>
        <v>1301005</v>
      </c>
      <c r="B128" s="14">
        <v>5</v>
      </c>
      <c r="C128" s="14" t="s">
        <v>381</v>
      </c>
      <c r="D128" s="14">
        <v>1</v>
      </c>
      <c r="E128" s="14">
        <v>3</v>
      </c>
      <c r="F128" s="14">
        <v>1</v>
      </c>
      <c r="G128" s="14" t="s">
        <v>223</v>
      </c>
      <c r="H128" s="14">
        <f t="shared" si="19"/>
        <v>1301</v>
      </c>
      <c r="I128" s="14">
        <v>7000150</v>
      </c>
      <c r="J128" s="14">
        <v>15000</v>
      </c>
    </row>
    <row r="129" spans="1:10" x14ac:dyDescent="0.3">
      <c r="A129" s="14">
        <f t="shared" si="18"/>
        <v>1301006</v>
      </c>
      <c r="B129" s="14">
        <v>6</v>
      </c>
      <c r="C129" s="14" t="s">
        <v>385</v>
      </c>
      <c r="D129" s="14">
        <v>1</v>
      </c>
      <c r="E129" s="14">
        <v>3</v>
      </c>
      <c r="F129" s="14">
        <v>1</v>
      </c>
      <c r="G129" s="14" t="s">
        <v>222</v>
      </c>
      <c r="H129" s="14">
        <f t="shared" si="19"/>
        <v>1301</v>
      </c>
      <c r="I129" s="14">
        <v>7000165</v>
      </c>
      <c r="J129" s="14">
        <v>10000</v>
      </c>
    </row>
    <row r="130" spans="1:10" x14ac:dyDescent="0.3">
      <c r="A130" s="14">
        <f t="shared" si="18"/>
        <v>1301007</v>
      </c>
      <c r="B130" s="14">
        <v>7</v>
      </c>
      <c r="C130" s="14" t="s">
        <v>110</v>
      </c>
      <c r="D130" s="14">
        <v>1</v>
      </c>
      <c r="E130" s="14">
        <v>3</v>
      </c>
      <c r="F130" s="14">
        <v>1</v>
      </c>
      <c r="G130" s="14" t="s">
        <v>222</v>
      </c>
      <c r="H130" s="14">
        <f t="shared" si="19"/>
        <v>1301</v>
      </c>
      <c r="I130" s="14">
        <v>7000141</v>
      </c>
      <c r="J130" s="14">
        <v>10000</v>
      </c>
    </row>
    <row r="131" spans="1:10" x14ac:dyDescent="0.3">
      <c r="A131" s="14">
        <f t="shared" si="18"/>
        <v>1301008</v>
      </c>
      <c r="B131" s="14">
        <v>8</v>
      </c>
      <c r="C131" s="14" t="s">
        <v>375</v>
      </c>
      <c r="D131" s="14">
        <v>1</v>
      </c>
      <c r="E131" s="14">
        <v>3</v>
      </c>
      <c r="F131" s="14">
        <v>1</v>
      </c>
      <c r="G131" s="14" t="s">
        <v>211</v>
      </c>
      <c r="H131" s="14">
        <f t="shared" si="19"/>
        <v>1301</v>
      </c>
      <c r="I131" s="14">
        <v>7000139</v>
      </c>
      <c r="J131" s="14">
        <v>2000</v>
      </c>
    </row>
    <row r="132" spans="1:10" x14ac:dyDescent="0.3">
      <c r="A132" s="14">
        <f t="shared" si="18"/>
        <v>1301009</v>
      </c>
      <c r="B132" s="14">
        <v>9</v>
      </c>
      <c r="C132" s="14" t="s">
        <v>374</v>
      </c>
      <c r="D132" s="14">
        <v>1</v>
      </c>
      <c r="E132" s="14">
        <v>3</v>
      </c>
      <c r="F132" s="14">
        <v>1</v>
      </c>
      <c r="G132" s="14" t="s">
        <v>212</v>
      </c>
      <c r="H132" s="14">
        <f t="shared" si="19"/>
        <v>1301</v>
      </c>
      <c r="I132" s="14">
        <v>7000133</v>
      </c>
      <c r="J132" s="14">
        <v>500</v>
      </c>
    </row>
    <row r="133" spans="1:10" x14ac:dyDescent="0.3">
      <c r="A133" s="14">
        <f t="shared" si="18"/>
        <v>1301010</v>
      </c>
      <c r="B133" s="14">
        <v>10</v>
      </c>
      <c r="C133" s="14" t="s">
        <v>359</v>
      </c>
      <c r="D133" s="14">
        <v>1</v>
      </c>
      <c r="E133" s="14">
        <v>3</v>
      </c>
      <c r="F133" s="14">
        <v>1</v>
      </c>
      <c r="G133" s="14" t="s">
        <v>213</v>
      </c>
      <c r="H133" s="14">
        <f t="shared" si="19"/>
        <v>1301</v>
      </c>
      <c r="I133" s="14">
        <v>7000136</v>
      </c>
      <c r="J133" s="14">
        <v>100</v>
      </c>
    </row>
    <row r="134" spans="1:10" x14ac:dyDescent="0.3">
      <c r="A134" s="14">
        <f t="shared" si="18"/>
        <v>1302001</v>
      </c>
      <c r="B134" s="14">
        <v>1</v>
      </c>
      <c r="C134" s="14" t="str">
        <f>C124</f>
        <v>자기 합리화</v>
      </c>
      <c r="D134" s="14">
        <v>1</v>
      </c>
      <c r="E134" s="14">
        <v>3</v>
      </c>
      <c r="F134" s="14">
        <v>2</v>
      </c>
      <c r="G134" s="14" t="s">
        <v>208</v>
      </c>
      <c r="H134" s="14">
        <f t="shared" si="19"/>
        <v>1302</v>
      </c>
      <c r="I134" s="14">
        <v>7000105</v>
      </c>
      <c r="J134" s="14">
        <v>18000</v>
      </c>
    </row>
    <row r="135" spans="1:10" x14ac:dyDescent="0.3">
      <c r="A135" s="14">
        <f t="shared" si="18"/>
        <v>1302002</v>
      </c>
      <c r="B135" s="14">
        <v>2</v>
      </c>
      <c r="C135" s="14" t="str">
        <f t="shared" ref="C135:C183" si="20">C125</f>
        <v>성화</v>
      </c>
      <c r="D135" s="14">
        <v>1</v>
      </c>
      <c r="E135" s="14">
        <v>3</v>
      </c>
      <c r="F135" s="14">
        <v>2</v>
      </c>
      <c r="G135" s="14" t="s">
        <v>208</v>
      </c>
      <c r="H135" s="14">
        <f t="shared" si="19"/>
        <v>1302</v>
      </c>
      <c r="I135" s="14">
        <v>7000143</v>
      </c>
      <c r="J135" s="14">
        <v>18000</v>
      </c>
    </row>
    <row r="136" spans="1:10" x14ac:dyDescent="0.3">
      <c r="A136" s="14">
        <f t="shared" si="18"/>
        <v>1302003</v>
      </c>
      <c r="B136" s="14">
        <v>3</v>
      </c>
      <c r="C136" s="14" t="str">
        <f t="shared" si="20"/>
        <v>열혈한</v>
      </c>
      <c r="D136" s="14">
        <v>1</v>
      </c>
      <c r="E136" s="14">
        <v>3</v>
      </c>
      <c r="F136" s="14">
        <v>2</v>
      </c>
      <c r="G136" s="14" t="s">
        <v>208</v>
      </c>
      <c r="H136" s="14">
        <f t="shared" si="19"/>
        <v>1302</v>
      </c>
      <c r="I136" s="14">
        <v>7000147</v>
      </c>
      <c r="J136" s="14">
        <v>18000</v>
      </c>
    </row>
    <row r="137" spans="1:10" x14ac:dyDescent="0.3">
      <c r="A137" s="14">
        <f t="shared" si="18"/>
        <v>1302004</v>
      </c>
      <c r="B137" s="14">
        <v>4</v>
      </c>
      <c r="C137" s="14" t="str">
        <f t="shared" si="20"/>
        <v>폭력성</v>
      </c>
      <c r="D137" s="14">
        <v>1</v>
      </c>
      <c r="E137" s="14">
        <v>3</v>
      </c>
      <c r="F137" s="14">
        <v>2</v>
      </c>
      <c r="G137" s="14" t="s">
        <v>209</v>
      </c>
      <c r="H137" s="14">
        <f t="shared" si="19"/>
        <v>1302</v>
      </c>
      <c r="I137" s="14">
        <v>7000149</v>
      </c>
      <c r="J137" s="14">
        <v>14500</v>
      </c>
    </row>
    <row r="138" spans="1:10" x14ac:dyDescent="0.3">
      <c r="A138" s="14">
        <f t="shared" si="18"/>
        <v>1302005</v>
      </c>
      <c r="B138" s="14">
        <v>5</v>
      </c>
      <c r="C138" s="14" t="str">
        <f t="shared" si="20"/>
        <v>트러블 메이커</v>
      </c>
      <c r="D138" s="14">
        <v>1</v>
      </c>
      <c r="E138" s="14">
        <v>3</v>
      </c>
      <c r="F138" s="14">
        <v>2</v>
      </c>
      <c r="G138" s="14" t="s">
        <v>209</v>
      </c>
      <c r="H138" s="14">
        <f t="shared" si="19"/>
        <v>1302</v>
      </c>
      <c r="I138" s="14">
        <v>7000150</v>
      </c>
      <c r="J138" s="14">
        <v>14500</v>
      </c>
    </row>
    <row r="139" spans="1:10" x14ac:dyDescent="0.3">
      <c r="A139" s="14">
        <f t="shared" si="18"/>
        <v>1302006</v>
      </c>
      <c r="B139" s="14">
        <v>6</v>
      </c>
      <c r="C139" s="14" t="str">
        <f t="shared" si="20"/>
        <v>가학성애</v>
      </c>
      <c r="D139" s="14">
        <v>1</v>
      </c>
      <c r="E139" s="14">
        <v>3</v>
      </c>
      <c r="F139" s="14">
        <v>2</v>
      </c>
      <c r="G139" s="14" t="s">
        <v>210</v>
      </c>
      <c r="H139" s="14">
        <f t="shared" si="19"/>
        <v>1302</v>
      </c>
      <c r="I139" s="14">
        <v>7000165</v>
      </c>
      <c r="J139" s="14">
        <v>9500</v>
      </c>
    </row>
    <row r="140" spans="1:10" x14ac:dyDescent="0.3">
      <c r="A140" s="14">
        <f t="shared" si="18"/>
        <v>1302007</v>
      </c>
      <c r="B140" s="14">
        <v>7</v>
      </c>
      <c r="C140" s="14" t="str">
        <f t="shared" si="20"/>
        <v>위기감지</v>
      </c>
      <c r="D140" s="14">
        <v>1</v>
      </c>
      <c r="E140" s="14">
        <v>3</v>
      </c>
      <c r="F140" s="14">
        <v>2</v>
      </c>
      <c r="G140" s="14" t="s">
        <v>210</v>
      </c>
      <c r="H140" s="14">
        <f t="shared" si="19"/>
        <v>1302</v>
      </c>
      <c r="I140" s="14">
        <v>7000141</v>
      </c>
      <c r="J140" s="14">
        <v>9500</v>
      </c>
    </row>
    <row r="141" spans="1:10" x14ac:dyDescent="0.3">
      <c r="A141" s="14">
        <f t="shared" si="18"/>
        <v>1302008</v>
      </c>
      <c r="B141" s="14">
        <v>8</v>
      </c>
      <c r="C141" s="14" t="str">
        <f t="shared" si="20"/>
        <v>오기</v>
      </c>
      <c r="D141" s="14">
        <v>1</v>
      </c>
      <c r="E141" s="14">
        <v>3</v>
      </c>
      <c r="F141" s="14">
        <v>2</v>
      </c>
      <c r="G141" s="14" t="s">
        <v>211</v>
      </c>
      <c r="H141" s="14">
        <f t="shared" si="19"/>
        <v>1302</v>
      </c>
      <c r="I141" s="14">
        <v>7000139</v>
      </c>
      <c r="J141" s="14">
        <v>1900</v>
      </c>
    </row>
    <row r="142" spans="1:10" x14ac:dyDescent="0.3">
      <c r="A142" s="14">
        <f t="shared" si="18"/>
        <v>1302009</v>
      </c>
      <c r="B142" s="14">
        <v>9</v>
      </c>
      <c r="C142" s="14" t="str">
        <f t="shared" si="20"/>
        <v>투정</v>
      </c>
      <c r="D142" s="14">
        <v>1</v>
      </c>
      <c r="E142" s="14">
        <v>3</v>
      </c>
      <c r="F142" s="14">
        <v>2</v>
      </c>
      <c r="G142" s="14" t="s">
        <v>212</v>
      </c>
      <c r="H142" s="14">
        <f t="shared" si="19"/>
        <v>1302</v>
      </c>
      <c r="I142" s="14">
        <v>7000133</v>
      </c>
      <c r="J142" s="14">
        <v>500</v>
      </c>
    </row>
    <row r="143" spans="1:10" x14ac:dyDescent="0.3">
      <c r="A143" s="14">
        <f t="shared" si="18"/>
        <v>1302010</v>
      </c>
      <c r="B143" s="14">
        <v>10</v>
      </c>
      <c r="C143" s="14" t="str">
        <f t="shared" si="20"/>
        <v>무자비</v>
      </c>
      <c r="D143" s="14">
        <v>1</v>
      </c>
      <c r="E143" s="14">
        <v>3</v>
      </c>
      <c r="F143" s="14">
        <v>2</v>
      </c>
      <c r="G143" s="14" t="s">
        <v>213</v>
      </c>
      <c r="H143" s="14">
        <f t="shared" si="19"/>
        <v>1302</v>
      </c>
      <c r="I143" s="14">
        <v>7000136</v>
      </c>
      <c r="J143" s="14">
        <v>100</v>
      </c>
    </row>
    <row r="144" spans="1:10" x14ac:dyDescent="0.3">
      <c r="A144" s="14">
        <f t="shared" si="18"/>
        <v>1303001</v>
      </c>
      <c r="B144" s="14">
        <v>1</v>
      </c>
      <c r="C144" s="14" t="str">
        <f>C134</f>
        <v>자기 합리화</v>
      </c>
      <c r="D144" s="14">
        <v>1</v>
      </c>
      <c r="E144" s="14">
        <v>3</v>
      </c>
      <c r="F144" s="14">
        <v>3</v>
      </c>
      <c r="G144" s="14" t="s">
        <v>208</v>
      </c>
      <c r="H144" s="14">
        <f t="shared" si="19"/>
        <v>1303</v>
      </c>
      <c r="I144" s="14">
        <v>7000105</v>
      </c>
      <c r="J144" s="14">
        <v>16000</v>
      </c>
    </row>
    <row r="145" spans="1:10" x14ac:dyDescent="0.3">
      <c r="A145" s="14">
        <f t="shared" si="18"/>
        <v>1303002</v>
      </c>
      <c r="B145" s="14">
        <v>2</v>
      </c>
      <c r="C145" s="14" t="str">
        <f t="shared" si="20"/>
        <v>성화</v>
      </c>
      <c r="D145" s="14">
        <v>1</v>
      </c>
      <c r="E145" s="14">
        <v>3</v>
      </c>
      <c r="F145" s="14">
        <v>3</v>
      </c>
      <c r="G145" s="14" t="s">
        <v>208</v>
      </c>
      <c r="H145" s="14">
        <f t="shared" si="19"/>
        <v>1303</v>
      </c>
      <c r="I145" s="14">
        <v>7000143</v>
      </c>
      <c r="J145" s="14">
        <v>16000</v>
      </c>
    </row>
    <row r="146" spans="1:10" x14ac:dyDescent="0.3">
      <c r="A146" s="14">
        <f t="shared" si="18"/>
        <v>1303003</v>
      </c>
      <c r="B146" s="14">
        <v>3</v>
      </c>
      <c r="C146" s="14" t="str">
        <f t="shared" si="20"/>
        <v>열혈한</v>
      </c>
      <c r="D146" s="14">
        <v>1</v>
      </c>
      <c r="E146" s="14">
        <v>3</v>
      </c>
      <c r="F146" s="14">
        <v>3</v>
      </c>
      <c r="G146" s="14" t="s">
        <v>208</v>
      </c>
      <c r="H146" s="14">
        <f t="shared" si="19"/>
        <v>1303</v>
      </c>
      <c r="I146" s="14">
        <v>7000147</v>
      </c>
      <c r="J146" s="14">
        <v>16000</v>
      </c>
    </row>
    <row r="147" spans="1:10" x14ac:dyDescent="0.3">
      <c r="A147" s="14">
        <f t="shared" si="18"/>
        <v>1303004</v>
      </c>
      <c r="B147" s="14">
        <v>4</v>
      </c>
      <c r="C147" s="14" t="str">
        <f t="shared" si="20"/>
        <v>폭력성</v>
      </c>
      <c r="D147" s="14">
        <v>1</v>
      </c>
      <c r="E147" s="14">
        <v>3</v>
      </c>
      <c r="F147" s="14">
        <v>3</v>
      </c>
      <c r="G147" s="14" t="s">
        <v>209</v>
      </c>
      <c r="H147" s="14">
        <f t="shared" si="19"/>
        <v>1303</v>
      </c>
      <c r="I147" s="14">
        <v>7000149</v>
      </c>
      <c r="J147" s="14">
        <v>14000</v>
      </c>
    </row>
    <row r="148" spans="1:10" x14ac:dyDescent="0.3">
      <c r="A148" s="14">
        <f t="shared" si="18"/>
        <v>1303005</v>
      </c>
      <c r="B148" s="14">
        <v>5</v>
      </c>
      <c r="C148" s="14" t="str">
        <f t="shared" si="20"/>
        <v>트러블 메이커</v>
      </c>
      <c r="D148" s="14">
        <v>1</v>
      </c>
      <c r="E148" s="14">
        <v>3</v>
      </c>
      <c r="F148" s="14">
        <v>3</v>
      </c>
      <c r="G148" s="14" t="s">
        <v>209</v>
      </c>
      <c r="H148" s="14">
        <f t="shared" si="19"/>
        <v>1303</v>
      </c>
      <c r="I148" s="14">
        <v>7000150</v>
      </c>
      <c r="J148" s="14">
        <v>14000</v>
      </c>
    </row>
    <row r="149" spans="1:10" x14ac:dyDescent="0.3">
      <c r="A149" s="14">
        <f t="shared" si="18"/>
        <v>1303006</v>
      </c>
      <c r="B149" s="14">
        <v>6</v>
      </c>
      <c r="C149" s="14" t="str">
        <f t="shared" si="20"/>
        <v>가학성애</v>
      </c>
      <c r="D149" s="14">
        <v>1</v>
      </c>
      <c r="E149" s="14">
        <v>3</v>
      </c>
      <c r="F149" s="14">
        <v>3</v>
      </c>
      <c r="G149" s="14" t="s">
        <v>210</v>
      </c>
      <c r="H149" s="14">
        <f t="shared" si="19"/>
        <v>1303</v>
      </c>
      <c r="I149" s="14">
        <v>7000165</v>
      </c>
      <c r="J149" s="14">
        <v>9000</v>
      </c>
    </row>
    <row r="150" spans="1:10" x14ac:dyDescent="0.3">
      <c r="A150" s="14">
        <f t="shared" si="18"/>
        <v>1303007</v>
      </c>
      <c r="B150" s="14">
        <v>7</v>
      </c>
      <c r="C150" s="14" t="str">
        <f t="shared" si="20"/>
        <v>위기감지</v>
      </c>
      <c r="D150" s="14">
        <v>1</v>
      </c>
      <c r="E150" s="14">
        <v>3</v>
      </c>
      <c r="F150" s="14">
        <v>3</v>
      </c>
      <c r="G150" s="14" t="s">
        <v>210</v>
      </c>
      <c r="H150" s="14">
        <f t="shared" si="19"/>
        <v>1303</v>
      </c>
      <c r="I150" s="14">
        <v>7000141</v>
      </c>
      <c r="J150" s="14">
        <v>9000</v>
      </c>
    </row>
    <row r="151" spans="1:10" x14ac:dyDescent="0.3">
      <c r="A151" s="14">
        <f t="shared" si="18"/>
        <v>1303008</v>
      </c>
      <c r="B151" s="14">
        <v>8</v>
      </c>
      <c r="C151" s="14" t="str">
        <f t="shared" si="20"/>
        <v>오기</v>
      </c>
      <c r="D151" s="14">
        <v>1</v>
      </c>
      <c r="E151" s="14">
        <v>3</v>
      </c>
      <c r="F151" s="14">
        <v>3</v>
      </c>
      <c r="G151" s="14" t="s">
        <v>211</v>
      </c>
      <c r="H151" s="14">
        <f t="shared" si="19"/>
        <v>1303</v>
      </c>
      <c r="I151" s="14">
        <v>7000139</v>
      </c>
      <c r="J151" s="14">
        <v>1800</v>
      </c>
    </row>
    <row r="152" spans="1:10" x14ac:dyDescent="0.3">
      <c r="A152" s="14">
        <f t="shared" si="18"/>
        <v>1303009</v>
      </c>
      <c r="B152" s="14">
        <v>9</v>
      </c>
      <c r="C152" s="14" t="str">
        <f t="shared" si="20"/>
        <v>투정</v>
      </c>
      <c r="D152" s="14">
        <v>1</v>
      </c>
      <c r="E152" s="14">
        <v>3</v>
      </c>
      <c r="F152" s="14">
        <v>3</v>
      </c>
      <c r="G152" s="14" t="s">
        <v>212</v>
      </c>
      <c r="H152" s="14">
        <f t="shared" si="19"/>
        <v>1303</v>
      </c>
      <c r="I152" s="14">
        <v>7000133</v>
      </c>
      <c r="J152" s="14">
        <v>500</v>
      </c>
    </row>
    <row r="153" spans="1:10" x14ac:dyDescent="0.3">
      <c r="A153" s="14">
        <f t="shared" si="18"/>
        <v>1303010</v>
      </c>
      <c r="B153" s="14">
        <v>10</v>
      </c>
      <c r="C153" s="14" t="str">
        <f t="shared" si="20"/>
        <v>무자비</v>
      </c>
      <c r="D153" s="14">
        <v>1</v>
      </c>
      <c r="E153" s="14">
        <v>3</v>
      </c>
      <c r="F153" s="14">
        <v>3</v>
      </c>
      <c r="G153" s="14" t="s">
        <v>213</v>
      </c>
      <c r="H153" s="14">
        <f t="shared" si="19"/>
        <v>1303</v>
      </c>
      <c r="I153" s="14">
        <v>7000136</v>
      </c>
      <c r="J153" s="14">
        <v>100</v>
      </c>
    </row>
    <row r="154" spans="1:10" x14ac:dyDescent="0.3">
      <c r="A154" s="14">
        <f t="shared" si="18"/>
        <v>1304001</v>
      </c>
      <c r="B154" s="14">
        <v>1</v>
      </c>
      <c r="C154" s="14" t="str">
        <f>C144</f>
        <v>자기 합리화</v>
      </c>
      <c r="D154" s="14">
        <v>1</v>
      </c>
      <c r="E154" s="14">
        <v>3</v>
      </c>
      <c r="F154" s="14">
        <v>4</v>
      </c>
      <c r="G154" s="14" t="s">
        <v>208</v>
      </c>
      <c r="H154" s="14">
        <f t="shared" si="19"/>
        <v>1304</v>
      </c>
      <c r="I154" s="14">
        <v>7000105</v>
      </c>
      <c r="J154" s="14">
        <v>14000</v>
      </c>
    </row>
    <row r="155" spans="1:10" x14ac:dyDescent="0.3">
      <c r="A155" s="14">
        <f t="shared" si="18"/>
        <v>1304002</v>
      </c>
      <c r="B155" s="14">
        <v>2</v>
      </c>
      <c r="C155" s="14" t="str">
        <f t="shared" si="20"/>
        <v>성화</v>
      </c>
      <c r="D155" s="14">
        <v>1</v>
      </c>
      <c r="E155" s="14">
        <v>3</v>
      </c>
      <c r="F155" s="14">
        <v>4</v>
      </c>
      <c r="G155" s="14" t="s">
        <v>208</v>
      </c>
      <c r="H155" s="14">
        <f t="shared" si="19"/>
        <v>1304</v>
      </c>
      <c r="I155" s="14">
        <v>7000143</v>
      </c>
      <c r="J155" s="14">
        <v>14000</v>
      </c>
    </row>
    <row r="156" spans="1:10" x14ac:dyDescent="0.3">
      <c r="A156" s="14">
        <f t="shared" si="18"/>
        <v>1304003</v>
      </c>
      <c r="B156" s="14">
        <v>3</v>
      </c>
      <c r="C156" s="14" t="str">
        <f t="shared" si="20"/>
        <v>열혈한</v>
      </c>
      <c r="D156" s="14">
        <v>1</v>
      </c>
      <c r="E156" s="14">
        <v>3</v>
      </c>
      <c r="F156" s="14">
        <v>4</v>
      </c>
      <c r="G156" s="14" t="s">
        <v>208</v>
      </c>
      <c r="H156" s="14">
        <f t="shared" si="19"/>
        <v>1304</v>
      </c>
      <c r="I156" s="14">
        <v>7000147</v>
      </c>
      <c r="J156" s="14">
        <v>14000</v>
      </c>
    </row>
    <row r="157" spans="1:10" x14ac:dyDescent="0.3">
      <c r="A157" s="14">
        <f t="shared" si="18"/>
        <v>1304004</v>
      </c>
      <c r="B157" s="14">
        <v>4</v>
      </c>
      <c r="C157" s="14" t="str">
        <f t="shared" si="20"/>
        <v>폭력성</v>
      </c>
      <c r="D157" s="14">
        <v>1</v>
      </c>
      <c r="E157" s="14">
        <v>3</v>
      </c>
      <c r="F157" s="14">
        <v>4</v>
      </c>
      <c r="G157" s="14" t="s">
        <v>209</v>
      </c>
      <c r="H157" s="14">
        <f t="shared" si="19"/>
        <v>1304</v>
      </c>
      <c r="I157" s="14">
        <v>7000149</v>
      </c>
      <c r="J157" s="14">
        <v>13500</v>
      </c>
    </row>
    <row r="158" spans="1:10" x14ac:dyDescent="0.3">
      <c r="A158" s="14">
        <f t="shared" si="18"/>
        <v>1304005</v>
      </c>
      <c r="B158" s="14">
        <v>5</v>
      </c>
      <c r="C158" s="14" t="str">
        <f t="shared" si="20"/>
        <v>트러블 메이커</v>
      </c>
      <c r="D158" s="14">
        <v>1</v>
      </c>
      <c r="E158" s="14">
        <v>3</v>
      </c>
      <c r="F158" s="14">
        <v>4</v>
      </c>
      <c r="G158" s="14" t="s">
        <v>209</v>
      </c>
      <c r="H158" s="14">
        <f t="shared" si="19"/>
        <v>1304</v>
      </c>
      <c r="I158" s="14">
        <v>7000150</v>
      </c>
      <c r="J158" s="14">
        <v>13500</v>
      </c>
    </row>
    <row r="159" spans="1:10" x14ac:dyDescent="0.3">
      <c r="A159" s="14">
        <f t="shared" si="18"/>
        <v>1304006</v>
      </c>
      <c r="B159" s="14">
        <v>6</v>
      </c>
      <c r="C159" s="14" t="str">
        <f t="shared" si="20"/>
        <v>가학성애</v>
      </c>
      <c r="D159" s="14">
        <v>1</v>
      </c>
      <c r="E159" s="14">
        <v>3</v>
      </c>
      <c r="F159" s="14">
        <v>4</v>
      </c>
      <c r="G159" s="14" t="s">
        <v>210</v>
      </c>
      <c r="H159" s="14">
        <f t="shared" si="19"/>
        <v>1304</v>
      </c>
      <c r="I159" s="14">
        <v>7000165</v>
      </c>
      <c r="J159" s="14">
        <v>8500</v>
      </c>
    </row>
    <row r="160" spans="1:10" x14ac:dyDescent="0.3">
      <c r="A160" s="14">
        <f t="shared" si="18"/>
        <v>1304007</v>
      </c>
      <c r="B160" s="14">
        <v>7</v>
      </c>
      <c r="C160" s="14" t="str">
        <f t="shared" si="20"/>
        <v>위기감지</v>
      </c>
      <c r="D160" s="14">
        <v>1</v>
      </c>
      <c r="E160" s="14">
        <v>3</v>
      </c>
      <c r="F160" s="14">
        <v>4</v>
      </c>
      <c r="G160" s="14" t="s">
        <v>210</v>
      </c>
      <c r="H160" s="14">
        <f t="shared" si="19"/>
        <v>1304</v>
      </c>
      <c r="I160" s="14">
        <v>7000141</v>
      </c>
      <c r="J160" s="14">
        <v>8500</v>
      </c>
    </row>
    <row r="161" spans="1:10" x14ac:dyDescent="0.3">
      <c r="A161" s="14">
        <f t="shared" si="18"/>
        <v>1304008</v>
      </c>
      <c r="B161" s="14">
        <v>8</v>
      </c>
      <c r="C161" s="14" t="str">
        <f t="shared" si="20"/>
        <v>오기</v>
      </c>
      <c r="D161" s="14">
        <v>1</v>
      </c>
      <c r="E161" s="14">
        <v>3</v>
      </c>
      <c r="F161" s="14">
        <v>4</v>
      </c>
      <c r="G161" s="14" t="s">
        <v>211</v>
      </c>
      <c r="H161" s="14">
        <f t="shared" si="19"/>
        <v>1304</v>
      </c>
      <c r="I161" s="14">
        <v>7000139</v>
      </c>
      <c r="J161" s="14">
        <v>1700</v>
      </c>
    </row>
    <row r="162" spans="1:10" x14ac:dyDescent="0.3">
      <c r="A162" s="14">
        <f t="shared" si="18"/>
        <v>1304009</v>
      </c>
      <c r="B162" s="14">
        <v>9</v>
      </c>
      <c r="C162" s="14" t="str">
        <f t="shared" si="20"/>
        <v>투정</v>
      </c>
      <c r="D162" s="14">
        <v>1</v>
      </c>
      <c r="E162" s="14">
        <v>3</v>
      </c>
      <c r="F162" s="14">
        <v>4</v>
      </c>
      <c r="G162" s="14" t="s">
        <v>212</v>
      </c>
      <c r="H162" s="14">
        <f t="shared" si="19"/>
        <v>1304</v>
      </c>
      <c r="I162" s="14">
        <v>7000133</v>
      </c>
      <c r="J162" s="14">
        <v>500</v>
      </c>
    </row>
    <row r="163" spans="1:10" x14ac:dyDescent="0.3">
      <c r="A163" s="14">
        <f t="shared" si="18"/>
        <v>1304010</v>
      </c>
      <c r="B163" s="14">
        <v>10</v>
      </c>
      <c r="C163" s="14" t="str">
        <f t="shared" si="20"/>
        <v>무자비</v>
      </c>
      <c r="D163" s="14">
        <v>1</v>
      </c>
      <c r="E163" s="14">
        <v>3</v>
      </c>
      <c r="F163" s="14">
        <v>4</v>
      </c>
      <c r="G163" s="14" t="s">
        <v>213</v>
      </c>
      <c r="H163" s="14">
        <f t="shared" si="19"/>
        <v>1304</v>
      </c>
      <c r="I163" s="14">
        <v>7000136</v>
      </c>
      <c r="J163" s="14">
        <v>100</v>
      </c>
    </row>
    <row r="164" spans="1:10" x14ac:dyDescent="0.3">
      <c r="A164" s="14">
        <f t="shared" si="18"/>
        <v>1305001</v>
      </c>
      <c r="B164" s="14">
        <v>1</v>
      </c>
      <c r="C164" s="14" t="str">
        <f>C154</f>
        <v>자기 합리화</v>
      </c>
      <c r="D164" s="14">
        <v>1</v>
      </c>
      <c r="E164" s="14">
        <v>3</v>
      </c>
      <c r="F164" s="14">
        <v>5</v>
      </c>
      <c r="G164" s="14" t="s">
        <v>208</v>
      </c>
      <c r="H164" s="14">
        <f t="shared" si="19"/>
        <v>1305</v>
      </c>
      <c r="I164" s="14">
        <v>7000105</v>
      </c>
      <c r="J164" s="14">
        <v>12000</v>
      </c>
    </row>
    <row r="165" spans="1:10" x14ac:dyDescent="0.3">
      <c r="A165" s="14">
        <f t="shared" si="18"/>
        <v>1305002</v>
      </c>
      <c r="B165" s="14">
        <v>2</v>
      </c>
      <c r="C165" s="14" t="str">
        <f t="shared" si="20"/>
        <v>성화</v>
      </c>
      <c r="D165" s="14">
        <v>1</v>
      </c>
      <c r="E165" s="14">
        <v>3</v>
      </c>
      <c r="F165" s="14">
        <v>5</v>
      </c>
      <c r="G165" s="14" t="s">
        <v>208</v>
      </c>
      <c r="H165" s="14">
        <f t="shared" si="19"/>
        <v>1305</v>
      </c>
      <c r="I165" s="14">
        <v>7000143</v>
      </c>
      <c r="J165" s="14">
        <v>12000</v>
      </c>
    </row>
    <row r="166" spans="1:10" x14ac:dyDescent="0.3">
      <c r="A166" s="14">
        <f t="shared" si="18"/>
        <v>1305003</v>
      </c>
      <c r="B166" s="14">
        <v>3</v>
      </c>
      <c r="C166" s="14" t="str">
        <f t="shared" si="20"/>
        <v>열혈한</v>
      </c>
      <c r="D166" s="14">
        <v>1</v>
      </c>
      <c r="E166" s="14">
        <v>3</v>
      </c>
      <c r="F166" s="14">
        <v>5</v>
      </c>
      <c r="G166" s="14" t="s">
        <v>208</v>
      </c>
      <c r="H166" s="14">
        <f t="shared" si="19"/>
        <v>1305</v>
      </c>
      <c r="I166" s="14">
        <v>7000147</v>
      </c>
      <c r="J166" s="14">
        <v>12000</v>
      </c>
    </row>
    <row r="167" spans="1:10" x14ac:dyDescent="0.3">
      <c r="A167" s="14">
        <f t="shared" si="18"/>
        <v>1305004</v>
      </c>
      <c r="B167" s="14">
        <v>4</v>
      </c>
      <c r="C167" s="14" t="str">
        <f t="shared" si="20"/>
        <v>폭력성</v>
      </c>
      <c r="D167" s="14">
        <v>1</v>
      </c>
      <c r="E167" s="14">
        <v>3</v>
      </c>
      <c r="F167" s="14">
        <v>5</v>
      </c>
      <c r="G167" s="14" t="s">
        <v>209</v>
      </c>
      <c r="H167" s="14">
        <f t="shared" si="19"/>
        <v>1305</v>
      </c>
      <c r="I167" s="14">
        <v>7000149</v>
      </c>
      <c r="J167" s="14">
        <v>13000</v>
      </c>
    </row>
    <row r="168" spans="1:10" x14ac:dyDescent="0.3">
      <c r="A168" s="14">
        <f t="shared" si="18"/>
        <v>1305005</v>
      </c>
      <c r="B168" s="14">
        <v>5</v>
      </c>
      <c r="C168" s="14" t="str">
        <f t="shared" si="20"/>
        <v>트러블 메이커</v>
      </c>
      <c r="D168" s="14">
        <v>1</v>
      </c>
      <c r="E168" s="14">
        <v>3</v>
      </c>
      <c r="F168" s="14">
        <v>5</v>
      </c>
      <c r="G168" s="14" t="s">
        <v>209</v>
      </c>
      <c r="H168" s="14">
        <f t="shared" si="19"/>
        <v>1305</v>
      </c>
      <c r="I168" s="14">
        <v>7000150</v>
      </c>
      <c r="J168" s="14">
        <v>13000</v>
      </c>
    </row>
    <row r="169" spans="1:10" x14ac:dyDescent="0.3">
      <c r="A169" s="14">
        <f t="shared" si="18"/>
        <v>1305006</v>
      </c>
      <c r="B169" s="14">
        <v>6</v>
      </c>
      <c r="C169" s="14" t="str">
        <f t="shared" si="20"/>
        <v>가학성애</v>
      </c>
      <c r="D169" s="14">
        <v>1</v>
      </c>
      <c r="E169" s="14">
        <v>3</v>
      </c>
      <c r="F169" s="14">
        <v>5</v>
      </c>
      <c r="G169" s="14" t="s">
        <v>210</v>
      </c>
      <c r="H169" s="14">
        <f t="shared" si="19"/>
        <v>1305</v>
      </c>
      <c r="I169" s="14">
        <v>7000165</v>
      </c>
      <c r="J169" s="14">
        <v>8000</v>
      </c>
    </row>
    <row r="170" spans="1:10" x14ac:dyDescent="0.3">
      <c r="A170" s="14">
        <f t="shared" si="18"/>
        <v>1305007</v>
      </c>
      <c r="B170" s="14">
        <v>7</v>
      </c>
      <c r="C170" s="14" t="str">
        <f t="shared" si="20"/>
        <v>위기감지</v>
      </c>
      <c r="D170" s="14">
        <v>1</v>
      </c>
      <c r="E170" s="14">
        <v>3</v>
      </c>
      <c r="F170" s="14">
        <v>5</v>
      </c>
      <c r="G170" s="14" t="s">
        <v>210</v>
      </c>
      <c r="H170" s="14">
        <f t="shared" si="19"/>
        <v>1305</v>
      </c>
      <c r="I170" s="14">
        <v>7000141</v>
      </c>
      <c r="J170" s="14">
        <v>8000</v>
      </c>
    </row>
    <row r="171" spans="1:10" x14ac:dyDescent="0.3">
      <c r="A171" s="14">
        <f t="shared" si="18"/>
        <v>1305008</v>
      </c>
      <c r="B171" s="14">
        <v>8</v>
      </c>
      <c r="C171" s="14" t="str">
        <f t="shared" si="20"/>
        <v>오기</v>
      </c>
      <c r="D171" s="14">
        <v>1</v>
      </c>
      <c r="E171" s="14">
        <v>3</v>
      </c>
      <c r="F171" s="14">
        <v>5</v>
      </c>
      <c r="G171" s="14" t="s">
        <v>211</v>
      </c>
      <c r="H171" s="14">
        <f t="shared" si="19"/>
        <v>1305</v>
      </c>
      <c r="I171" s="14">
        <v>7000139</v>
      </c>
      <c r="J171" s="14">
        <v>1600</v>
      </c>
    </row>
    <row r="172" spans="1:10" x14ac:dyDescent="0.3">
      <c r="A172" s="14">
        <f t="shared" si="18"/>
        <v>1305009</v>
      </c>
      <c r="B172" s="14">
        <v>9</v>
      </c>
      <c r="C172" s="14" t="str">
        <f t="shared" si="20"/>
        <v>투정</v>
      </c>
      <c r="D172" s="14">
        <v>1</v>
      </c>
      <c r="E172" s="14">
        <v>3</v>
      </c>
      <c r="F172" s="14">
        <v>5</v>
      </c>
      <c r="G172" s="14" t="s">
        <v>212</v>
      </c>
      <c r="H172" s="14">
        <f t="shared" si="19"/>
        <v>1305</v>
      </c>
      <c r="I172" s="14">
        <v>7000133</v>
      </c>
      <c r="J172" s="14">
        <v>500</v>
      </c>
    </row>
    <row r="173" spans="1:10" x14ac:dyDescent="0.3">
      <c r="A173" s="14">
        <f t="shared" si="18"/>
        <v>1305010</v>
      </c>
      <c r="B173" s="14">
        <v>10</v>
      </c>
      <c r="C173" s="14" t="str">
        <f t="shared" si="20"/>
        <v>무자비</v>
      </c>
      <c r="D173" s="14">
        <v>1</v>
      </c>
      <c r="E173" s="14">
        <v>3</v>
      </c>
      <c r="F173" s="14">
        <v>5</v>
      </c>
      <c r="G173" s="14" t="s">
        <v>213</v>
      </c>
      <c r="H173" s="14">
        <f t="shared" si="19"/>
        <v>1305</v>
      </c>
      <c r="I173" s="14">
        <v>7000136</v>
      </c>
      <c r="J173" s="14">
        <v>100</v>
      </c>
    </row>
    <row r="174" spans="1:10" x14ac:dyDescent="0.3">
      <c r="A174" s="14">
        <f t="shared" si="18"/>
        <v>1306001</v>
      </c>
      <c r="B174" s="14">
        <v>1</v>
      </c>
      <c r="C174" s="14" t="str">
        <f>C164</f>
        <v>자기 합리화</v>
      </c>
      <c r="D174" s="14">
        <v>1</v>
      </c>
      <c r="E174" s="14">
        <v>3</v>
      </c>
      <c r="F174" s="14">
        <v>6</v>
      </c>
      <c r="G174" s="14" t="s">
        <v>208</v>
      </c>
      <c r="H174" s="14">
        <f t="shared" si="19"/>
        <v>1306</v>
      </c>
      <c r="I174" s="14">
        <v>7000105</v>
      </c>
      <c r="J174" s="14">
        <v>10000</v>
      </c>
    </row>
    <row r="175" spans="1:10" x14ac:dyDescent="0.3">
      <c r="A175" s="14">
        <f t="shared" si="18"/>
        <v>1306002</v>
      </c>
      <c r="B175" s="14">
        <v>2</v>
      </c>
      <c r="C175" s="14" t="str">
        <f t="shared" si="20"/>
        <v>성화</v>
      </c>
      <c r="D175" s="14">
        <v>1</v>
      </c>
      <c r="E175" s="14">
        <v>3</v>
      </c>
      <c r="F175" s="14">
        <v>6</v>
      </c>
      <c r="G175" s="14" t="s">
        <v>208</v>
      </c>
      <c r="H175" s="14">
        <f t="shared" si="19"/>
        <v>1306</v>
      </c>
      <c r="I175" s="14">
        <v>7000143</v>
      </c>
      <c r="J175" s="14">
        <v>10000</v>
      </c>
    </row>
    <row r="176" spans="1:10" x14ac:dyDescent="0.3">
      <c r="A176" s="14">
        <f t="shared" si="18"/>
        <v>1306003</v>
      </c>
      <c r="B176" s="14">
        <v>3</v>
      </c>
      <c r="C176" s="14" t="str">
        <f t="shared" si="20"/>
        <v>열혈한</v>
      </c>
      <c r="D176" s="14">
        <v>1</v>
      </c>
      <c r="E176" s="14">
        <v>3</v>
      </c>
      <c r="F176" s="14">
        <v>6</v>
      </c>
      <c r="G176" s="14" t="s">
        <v>208</v>
      </c>
      <c r="H176" s="14">
        <f t="shared" si="19"/>
        <v>1306</v>
      </c>
      <c r="I176" s="14">
        <v>7000147</v>
      </c>
      <c r="J176" s="14">
        <v>10000</v>
      </c>
    </row>
    <row r="177" spans="1:10" x14ac:dyDescent="0.3">
      <c r="A177" s="14">
        <f t="shared" si="18"/>
        <v>1306004</v>
      </c>
      <c r="B177" s="14">
        <v>4</v>
      </c>
      <c r="C177" s="14" t="str">
        <f t="shared" si="20"/>
        <v>폭력성</v>
      </c>
      <c r="D177" s="14">
        <v>1</v>
      </c>
      <c r="E177" s="14">
        <v>3</v>
      </c>
      <c r="F177" s="14">
        <v>6</v>
      </c>
      <c r="G177" s="14" t="s">
        <v>209</v>
      </c>
      <c r="H177" s="14">
        <f t="shared" si="19"/>
        <v>1306</v>
      </c>
      <c r="I177" s="14">
        <v>7000149</v>
      </c>
      <c r="J177" s="14">
        <v>12500</v>
      </c>
    </row>
    <row r="178" spans="1:10" x14ac:dyDescent="0.3">
      <c r="A178" s="14">
        <f t="shared" si="18"/>
        <v>1306005</v>
      </c>
      <c r="B178" s="14">
        <v>5</v>
      </c>
      <c r="C178" s="14" t="str">
        <f t="shared" si="20"/>
        <v>트러블 메이커</v>
      </c>
      <c r="D178" s="14">
        <v>1</v>
      </c>
      <c r="E178" s="14">
        <v>3</v>
      </c>
      <c r="F178" s="14">
        <v>6</v>
      </c>
      <c r="G178" s="14" t="s">
        <v>209</v>
      </c>
      <c r="H178" s="14">
        <f t="shared" si="19"/>
        <v>1306</v>
      </c>
      <c r="I178" s="14">
        <v>7000150</v>
      </c>
      <c r="J178" s="14">
        <v>12500</v>
      </c>
    </row>
    <row r="179" spans="1:10" x14ac:dyDescent="0.3">
      <c r="A179" s="14">
        <f t="shared" si="18"/>
        <v>1306006</v>
      </c>
      <c r="B179" s="14">
        <v>6</v>
      </c>
      <c r="C179" s="14" t="str">
        <f t="shared" si="20"/>
        <v>가학성애</v>
      </c>
      <c r="D179" s="14">
        <v>1</v>
      </c>
      <c r="E179" s="14">
        <v>3</v>
      </c>
      <c r="F179" s="14">
        <v>6</v>
      </c>
      <c r="G179" s="14" t="s">
        <v>210</v>
      </c>
      <c r="H179" s="14">
        <f t="shared" si="19"/>
        <v>1306</v>
      </c>
      <c r="I179" s="14">
        <v>7000165</v>
      </c>
      <c r="J179" s="14">
        <v>7500</v>
      </c>
    </row>
    <row r="180" spans="1:10" x14ac:dyDescent="0.3">
      <c r="A180" s="14">
        <f t="shared" si="18"/>
        <v>1306007</v>
      </c>
      <c r="B180" s="14">
        <v>7</v>
      </c>
      <c r="C180" s="14" t="str">
        <f t="shared" si="20"/>
        <v>위기감지</v>
      </c>
      <c r="D180" s="14">
        <v>1</v>
      </c>
      <c r="E180" s="14">
        <v>3</v>
      </c>
      <c r="F180" s="14">
        <v>6</v>
      </c>
      <c r="G180" s="14" t="s">
        <v>210</v>
      </c>
      <c r="H180" s="14">
        <f t="shared" si="19"/>
        <v>1306</v>
      </c>
      <c r="I180" s="14">
        <v>7000141</v>
      </c>
      <c r="J180" s="14">
        <v>7500</v>
      </c>
    </row>
    <row r="181" spans="1:10" x14ac:dyDescent="0.3">
      <c r="A181" s="14">
        <f t="shared" si="18"/>
        <v>1306008</v>
      </c>
      <c r="B181" s="14">
        <v>8</v>
      </c>
      <c r="C181" s="14" t="str">
        <f t="shared" si="20"/>
        <v>오기</v>
      </c>
      <c r="D181" s="14">
        <v>1</v>
      </c>
      <c r="E181" s="14">
        <v>3</v>
      </c>
      <c r="F181" s="14">
        <v>6</v>
      </c>
      <c r="G181" s="14" t="s">
        <v>211</v>
      </c>
      <c r="H181" s="14">
        <f t="shared" si="19"/>
        <v>1306</v>
      </c>
      <c r="I181" s="14">
        <v>7000139</v>
      </c>
      <c r="J181" s="14">
        <v>1500</v>
      </c>
    </row>
    <row r="182" spans="1:10" x14ac:dyDescent="0.3">
      <c r="A182" s="14">
        <f t="shared" si="18"/>
        <v>1306009</v>
      </c>
      <c r="B182" s="14">
        <v>9</v>
      </c>
      <c r="C182" s="14" t="str">
        <f t="shared" si="20"/>
        <v>투정</v>
      </c>
      <c r="D182" s="14">
        <v>1</v>
      </c>
      <c r="E182" s="14">
        <v>3</v>
      </c>
      <c r="F182" s="14">
        <v>6</v>
      </c>
      <c r="G182" s="14" t="s">
        <v>212</v>
      </c>
      <c r="H182" s="14">
        <f t="shared" si="19"/>
        <v>1306</v>
      </c>
      <c r="I182" s="14">
        <v>7000133</v>
      </c>
      <c r="J182" s="14">
        <v>500</v>
      </c>
    </row>
    <row r="183" spans="1:10" x14ac:dyDescent="0.3">
      <c r="A183" s="14">
        <f t="shared" si="18"/>
        <v>1306010</v>
      </c>
      <c r="B183" s="14">
        <v>10</v>
      </c>
      <c r="C183" s="14" t="str">
        <f t="shared" si="20"/>
        <v>무자비</v>
      </c>
      <c r="D183" s="14">
        <v>1</v>
      </c>
      <c r="E183" s="14">
        <v>3</v>
      </c>
      <c r="F183" s="14">
        <v>6</v>
      </c>
      <c r="G183" s="14" t="s">
        <v>213</v>
      </c>
      <c r="H183" s="14">
        <f t="shared" si="19"/>
        <v>1306</v>
      </c>
      <c r="I183" s="14">
        <v>7000136</v>
      </c>
      <c r="J183" s="14">
        <v>100</v>
      </c>
    </row>
    <row r="184" spans="1:10" x14ac:dyDescent="0.3">
      <c r="A184" s="15">
        <f>INT(H184&amp;TEXT(B184,"000"))</f>
        <v>1401001</v>
      </c>
      <c r="B184" s="15">
        <v>1</v>
      </c>
      <c r="C184" s="15" t="s">
        <v>364</v>
      </c>
      <c r="D184" s="15">
        <v>1</v>
      </c>
      <c r="E184" s="15">
        <v>4</v>
      </c>
      <c r="F184" s="15">
        <v>1</v>
      </c>
      <c r="G184" s="15" t="s">
        <v>208</v>
      </c>
      <c r="H184" s="15">
        <f>INT(D184&amp;E184&amp;TEXT(F184,"00"))</f>
        <v>1401</v>
      </c>
      <c r="I184" s="14">
        <v>7000104</v>
      </c>
      <c r="J184" s="15">
        <v>20000</v>
      </c>
    </row>
    <row r="185" spans="1:10" x14ac:dyDescent="0.3">
      <c r="A185" s="14">
        <f t="shared" ref="A185:A243" si="21">INT(H185&amp;TEXT(B185,"000"))</f>
        <v>1401002</v>
      </c>
      <c r="B185" s="14">
        <v>2</v>
      </c>
      <c r="C185" s="14" t="s">
        <v>365</v>
      </c>
      <c r="D185" s="14">
        <v>1</v>
      </c>
      <c r="E185" s="14">
        <v>4</v>
      </c>
      <c r="F185" s="14">
        <v>1</v>
      </c>
      <c r="G185" s="14" t="s">
        <v>208</v>
      </c>
      <c r="H185" s="14">
        <f t="shared" ref="H185:H243" si="22">INT(D185&amp;E185&amp;TEXT(F185,"00"))</f>
        <v>1401</v>
      </c>
      <c r="I185" s="14">
        <v>7000115</v>
      </c>
      <c r="J185" s="14">
        <v>20000</v>
      </c>
    </row>
    <row r="186" spans="1:10" x14ac:dyDescent="0.3">
      <c r="A186" s="14">
        <f t="shared" si="21"/>
        <v>1401003</v>
      </c>
      <c r="B186" s="14">
        <v>3</v>
      </c>
      <c r="C186" s="14" t="s">
        <v>349</v>
      </c>
      <c r="D186" s="14">
        <v>1</v>
      </c>
      <c r="E186" s="14">
        <v>4</v>
      </c>
      <c r="F186" s="14">
        <v>1</v>
      </c>
      <c r="G186" s="14" t="s">
        <v>208</v>
      </c>
      <c r="H186" s="14">
        <f t="shared" si="22"/>
        <v>1401</v>
      </c>
      <c r="I186" s="14">
        <v>7000137</v>
      </c>
      <c r="J186" s="14">
        <v>20000</v>
      </c>
    </row>
    <row r="187" spans="1:10" x14ac:dyDescent="0.3">
      <c r="A187" s="14">
        <f t="shared" si="21"/>
        <v>1401004</v>
      </c>
      <c r="B187" s="14">
        <v>4</v>
      </c>
      <c r="C187" s="14" t="s">
        <v>386</v>
      </c>
      <c r="D187" s="14">
        <v>1</v>
      </c>
      <c r="E187" s="14">
        <v>4</v>
      </c>
      <c r="F187" s="14">
        <v>1</v>
      </c>
      <c r="G187" s="14" t="s">
        <v>223</v>
      </c>
      <c r="H187" s="14">
        <f t="shared" si="22"/>
        <v>1401</v>
      </c>
      <c r="I187" s="14">
        <v>7000170</v>
      </c>
      <c r="J187" s="14">
        <v>15000</v>
      </c>
    </row>
    <row r="188" spans="1:10" x14ac:dyDescent="0.3">
      <c r="A188" s="14">
        <f t="shared" si="21"/>
        <v>1401005</v>
      </c>
      <c r="B188" s="14">
        <v>5</v>
      </c>
      <c r="C188" s="14" t="s">
        <v>387</v>
      </c>
      <c r="D188" s="14">
        <v>1</v>
      </c>
      <c r="E188" s="14">
        <v>4</v>
      </c>
      <c r="F188" s="14">
        <v>1</v>
      </c>
      <c r="G188" s="14" t="s">
        <v>223</v>
      </c>
      <c r="H188" s="14">
        <f t="shared" si="22"/>
        <v>1401</v>
      </c>
      <c r="I188" s="14">
        <v>7000171</v>
      </c>
      <c r="J188" s="14">
        <v>15000</v>
      </c>
    </row>
    <row r="189" spans="1:10" x14ac:dyDescent="0.3">
      <c r="A189" s="14">
        <f t="shared" si="21"/>
        <v>1401006</v>
      </c>
      <c r="B189" s="14">
        <v>6</v>
      </c>
      <c r="C189" s="14" t="s">
        <v>388</v>
      </c>
      <c r="D189" s="14">
        <v>1</v>
      </c>
      <c r="E189" s="14">
        <v>4</v>
      </c>
      <c r="F189" s="14">
        <v>1</v>
      </c>
      <c r="G189" s="14" t="s">
        <v>222</v>
      </c>
      <c r="H189" s="14">
        <f t="shared" si="22"/>
        <v>1401</v>
      </c>
      <c r="I189" s="14">
        <v>7000158</v>
      </c>
      <c r="J189" s="14">
        <v>10000</v>
      </c>
    </row>
    <row r="190" spans="1:10" x14ac:dyDescent="0.3">
      <c r="A190" s="14">
        <f t="shared" si="21"/>
        <v>1401007</v>
      </c>
      <c r="B190" s="14">
        <v>7</v>
      </c>
      <c r="C190" s="14" t="s">
        <v>377</v>
      </c>
      <c r="D190" s="14">
        <v>1</v>
      </c>
      <c r="E190" s="14">
        <v>4</v>
      </c>
      <c r="F190" s="14">
        <v>1</v>
      </c>
      <c r="G190" s="14" t="s">
        <v>222</v>
      </c>
      <c r="H190" s="14">
        <f t="shared" si="22"/>
        <v>1401</v>
      </c>
      <c r="I190" s="14">
        <v>7000134</v>
      </c>
      <c r="J190" s="14">
        <v>10000</v>
      </c>
    </row>
    <row r="191" spans="1:10" x14ac:dyDescent="0.3">
      <c r="A191" s="14">
        <f t="shared" si="21"/>
        <v>1401008</v>
      </c>
      <c r="B191" s="14">
        <v>8</v>
      </c>
      <c r="C191" s="14" t="s">
        <v>389</v>
      </c>
      <c r="D191" s="14">
        <v>1</v>
      </c>
      <c r="E191" s="14">
        <v>4</v>
      </c>
      <c r="F191" s="14">
        <v>1</v>
      </c>
      <c r="G191" s="14" t="s">
        <v>211</v>
      </c>
      <c r="H191" s="14">
        <f t="shared" si="22"/>
        <v>1401</v>
      </c>
      <c r="I191" s="14">
        <v>7000168</v>
      </c>
      <c r="J191" s="14">
        <v>2000</v>
      </c>
    </row>
    <row r="192" spans="1:10" x14ac:dyDescent="0.3">
      <c r="A192" s="14">
        <f t="shared" si="21"/>
        <v>1401009</v>
      </c>
      <c r="B192" s="14">
        <v>9</v>
      </c>
      <c r="C192" s="14" t="s">
        <v>390</v>
      </c>
      <c r="D192" s="14">
        <v>1</v>
      </c>
      <c r="E192" s="14">
        <v>4</v>
      </c>
      <c r="F192" s="14">
        <v>1</v>
      </c>
      <c r="G192" s="14" t="s">
        <v>212</v>
      </c>
      <c r="H192" s="14">
        <f t="shared" si="22"/>
        <v>1401</v>
      </c>
      <c r="I192" s="14">
        <v>7000152</v>
      </c>
      <c r="J192" s="14">
        <v>500</v>
      </c>
    </row>
    <row r="193" spans="1:10" x14ac:dyDescent="0.3">
      <c r="A193" s="14">
        <f t="shared" si="21"/>
        <v>1401010</v>
      </c>
      <c r="B193" s="14">
        <v>10</v>
      </c>
      <c r="C193" s="14" t="s">
        <v>367</v>
      </c>
      <c r="D193" s="14">
        <v>1</v>
      </c>
      <c r="E193" s="14">
        <v>4</v>
      </c>
      <c r="F193" s="14">
        <v>1</v>
      </c>
      <c r="G193" s="14" t="s">
        <v>213</v>
      </c>
      <c r="H193" s="14">
        <f t="shared" si="22"/>
        <v>1401</v>
      </c>
      <c r="I193" s="14">
        <v>7000119</v>
      </c>
      <c r="J193" s="14">
        <v>100</v>
      </c>
    </row>
    <row r="194" spans="1:10" x14ac:dyDescent="0.3">
      <c r="A194" s="14">
        <f t="shared" si="21"/>
        <v>1402001</v>
      </c>
      <c r="B194" s="14">
        <v>1</v>
      </c>
      <c r="C194" s="14" t="str">
        <f>C184</f>
        <v>집중</v>
      </c>
      <c r="D194" s="14">
        <v>1</v>
      </c>
      <c r="E194" s="14">
        <v>4</v>
      </c>
      <c r="F194" s="14">
        <v>2</v>
      </c>
      <c r="G194" s="14" t="s">
        <v>208</v>
      </c>
      <c r="H194" s="14">
        <f t="shared" si="22"/>
        <v>1402</v>
      </c>
      <c r="I194" s="14">
        <v>7000104</v>
      </c>
      <c r="J194" s="14">
        <v>18000</v>
      </c>
    </row>
    <row r="195" spans="1:10" x14ac:dyDescent="0.3">
      <c r="A195" s="14">
        <f t="shared" si="21"/>
        <v>1402002</v>
      </c>
      <c r="B195" s="14">
        <v>2</v>
      </c>
      <c r="C195" s="14" t="str">
        <f t="shared" ref="C195:C243" si="23">C185</f>
        <v>만전태세</v>
      </c>
      <c r="D195" s="14">
        <v>1</v>
      </c>
      <c r="E195" s="14">
        <v>4</v>
      </c>
      <c r="F195" s="14">
        <v>2</v>
      </c>
      <c r="G195" s="14" t="s">
        <v>208</v>
      </c>
      <c r="H195" s="14">
        <f t="shared" si="22"/>
        <v>1402</v>
      </c>
      <c r="I195" s="14">
        <v>7000115</v>
      </c>
      <c r="J195" s="14">
        <v>18000</v>
      </c>
    </row>
    <row r="196" spans="1:10" x14ac:dyDescent="0.3">
      <c r="A196" s="14">
        <f t="shared" si="21"/>
        <v>1402003</v>
      </c>
      <c r="B196" s="14">
        <v>3</v>
      </c>
      <c r="C196" s="14" t="str">
        <f t="shared" si="23"/>
        <v>정정당당</v>
      </c>
      <c r="D196" s="14">
        <v>1</v>
      </c>
      <c r="E196" s="14">
        <v>4</v>
      </c>
      <c r="F196" s="14">
        <v>2</v>
      </c>
      <c r="G196" s="14" t="s">
        <v>208</v>
      </c>
      <c r="H196" s="14">
        <f t="shared" si="22"/>
        <v>1402</v>
      </c>
      <c r="I196" s="14">
        <v>7000137</v>
      </c>
      <c r="J196" s="14">
        <v>18000</v>
      </c>
    </row>
    <row r="197" spans="1:10" x14ac:dyDescent="0.3">
      <c r="A197" s="14">
        <f t="shared" si="21"/>
        <v>1402004</v>
      </c>
      <c r="B197" s="14">
        <v>4</v>
      </c>
      <c r="C197" s="14" t="str">
        <f t="shared" si="23"/>
        <v>기선제압</v>
      </c>
      <c r="D197" s="14">
        <v>1</v>
      </c>
      <c r="E197" s="14">
        <v>4</v>
      </c>
      <c r="F197" s="14">
        <v>2</v>
      </c>
      <c r="G197" s="14" t="s">
        <v>209</v>
      </c>
      <c r="H197" s="14">
        <f t="shared" si="22"/>
        <v>1402</v>
      </c>
      <c r="I197" s="14">
        <v>7000170</v>
      </c>
      <c r="J197" s="14">
        <v>14500</v>
      </c>
    </row>
    <row r="198" spans="1:10" x14ac:dyDescent="0.3">
      <c r="A198" s="14">
        <f t="shared" si="21"/>
        <v>1402005</v>
      </c>
      <c r="B198" s="14">
        <v>5</v>
      </c>
      <c r="C198" s="14" t="str">
        <f t="shared" si="23"/>
        <v>의기투합</v>
      </c>
      <c r="D198" s="14">
        <v>1</v>
      </c>
      <c r="E198" s="14">
        <v>4</v>
      </c>
      <c r="F198" s="14">
        <v>2</v>
      </c>
      <c r="G198" s="14" t="s">
        <v>209</v>
      </c>
      <c r="H198" s="14">
        <f t="shared" si="22"/>
        <v>1402</v>
      </c>
      <c r="I198" s="14">
        <v>7000171</v>
      </c>
      <c r="J198" s="14">
        <v>14500</v>
      </c>
    </row>
    <row r="199" spans="1:10" x14ac:dyDescent="0.3">
      <c r="A199" s="14">
        <f t="shared" si="21"/>
        <v>1402006</v>
      </c>
      <c r="B199" s="14">
        <v>6</v>
      </c>
      <c r="C199" s="14" t="str">
        <f t="shared" si="23"/>
        <v>헌신</v>
      </c>
      <c r="D199" s="14">
        <v>1</v>
      </c>
      <c r="E199" s="14">
        <v>4</v>
      </c>
      <c r="F199" s="14">
        <v>2</v>
      </c>
      <c r="G199" s="14" t="s">
        <v>210</v>
      </c>
      <c r="H199" s="14">
        <f t="shared" si="22"/>
        <v>1402</v>
      </c>
      <c r="I199" s="14">
        <v>7000158</v>
      </c>
      <c r="J199" s="14">
        <v>9500</v>
      </c>
    </row>
    <row r="200" spans="1:10" x14ac:dyDescent="0.3">
      <c r="A200" s="14">
        <f t="shared" si="21"/>
        <v>1402007</v>
      </c>
      <c r="B200" s="14">
        <v>7</v>
      </c>
      <c r="C200" s="14" t="str">
        <f t="shared" si="23"/>
        <v>수완가</v>
      </c>
      <c r="D200" s="14">
        <v>1</v>
      </c>
      <c r="E200" s="14">
        <v>4</v>
      </c>
      <c r="F200" s="14">
        <v>2</v>
      </c>
      <c r="G200" s="14" t="s">
        <v>210</v>
      </c>
      <c r="H200" s="14">
        <f t="shared" si="22"/>
        <v>1402</v>
      </c>
      <c r="I200" s="14">
        <v>7000134</v>
      </c>
      <c r="J200" s="14">
        <v>9500</v>
      </c>
    </row>
    <row r="201" spans="1:10" x14ac:dyDescent="0.3">
      <c r="A201" s="14">
        <f t="shared" si="21"/>
        <v>1402008</v>
      </c>
      <c r="B201" s="14">
        <v>8</v>
      </c>
      <c r="C201" s="14" t="str">
        <f t="shared" si="23"/>
        <v>호승심</v>
      </c>
      <c r="D201" s="14">
        <v>1</v>
      </c>
      <c r="E201" s="14">
        <v>4</v>
      </c>
      <c r="F201" s="14">
        <v>2</v>
      </c>
      <c r="G201" s="14" t="s">
        <v>211</v>
      </c>
      <c r="H201" s="14">
        <f t="shared" si="22"/>
        <v>1402</v>
      </c>
      <c r="I201" s="14">
        <v>7000168</v>
      </c>
      <c r="J201" s="14">
        <v>1900</v>
      </c>
    </row>
    <row r="202" spans="1:10" x14ac:dyDescent="0.3">
      <c r="A202" s="14">
        <f t="shared" si="21"/>
        <v>1402009</v>
      </c>
      <c r="B202" s="14">
        <v>9</v>
      </c>
      <c r="C202" s="14" t="str">
        <f t="shared" si="23"/>
        <v>선발주자</v>
      </c>
      <c r="D202" s="14">
        <v>1</v>
      </c>
      <c r="E202" s="14">
        <v>4</v>
      </c>
      <c r="F202" s="14">
        <v>2</v>
      </c>
      <c r="G202" s="14" t="s">
        <v>212</v>
      </c>
      <c r="H202" s="14">
        <f t="shared" si="22"/>
        <v>1402</v>
      </c>
      <c r="I202" s="14">
        <v>7000152</v>
      </c>
      <c r="J202" s="14">
        <v>500</v>
      </c>
    </row>
    <row r="203" spans="1:10" x14ac:dyDescent="0.3">
      <c r="A203" s="14">
        <f t="shared" si="21"/>
        <v>1402010</v>
      </c>
      <c r="B203" s="14">
        <v>10</v>
      </c>
      <c r="C203" s="14" t="str">
        <f t="shared" si="23"/>
        <v>다재다능</v>
      </c>
      <c r="D203" s="14">
        <v>1</v>
      </c>
      <c r="E203" s="14">
        <v>4</v>
      </c>
      <c r="F203" s="14">
        <v>2</v>
      </c>
      <c r="G203" s="14" t="s">
        <v>213</v>
      </c>
      <c r="H203" s="14">
        <f t="shared" si="22"/>
        <v>1402</v>
      </c>
      <c r="I203" s="14">
        <v>7000119</v>
      </c>
      <c r="J203" s="14">
        <v>100</v>
      </c>
    </row>
    <row r="204" spans="1:10" x14ac:dyDescent="0.3">
      <c r="A204" s="14">
        <f t="shared" si="21"/>
        <v>1403001</v>
      </c>
      <c r="B204" s="14">
        <v>1</v>
      </c>
      <c r="C204" s="14" t="str">
        <f>C194</f>
        <v>집중</v>
      </c>
      <c r="D204" s="14">
        <v>1</v>
      </c>
      <c r="E204" s="14">
        <v>4</v>
      </c>
      <c r="F204" s="14">
        <v>3</v>
      </c>
      <c r="G204" s="14" t="s">
        <v>208</v>
      </c>
      <c r="H204" s="14">
        <f t="shared" si="22"/>
        <v>1403</v>
      </c>
      <c r="I204" s="14">
        <v>7000104</v>
      </c>
      <c r="J204" s="14">
        <v>16000</v>
      </c>
    </row>
    <row r="205" spans="1:10" x14ac:dyDescent="0.3">
      <c r="A205" s="14">
        <f t="shared" si="21"/>
        <v>1403002</v>
      </c>
      <c r="B205" s="14">
        <v>2</v>
      </c>
      <c r="C205" s="14" t="str">
        <f t="shared" si="23"/>
        <v>만전태세</v>
      </c>
      <c r="D205" s="14">
        <v>1</v>
      </c>
      <c r="E205" s="14">
        <v>4</v>
      </c>
      <c r="F205" s="14">
        <v>3</v>
      </c>
      <c r="G205" s="14" t="s">
        <v>208</v>
      </c>
      <c r="H205" s="14">
        <f t="shared" si="22"/>
        <v>1403</v>
      </c>
      <c r="I205" s="14">
        <v>7000115</v>
      </c>
      <c r="J205" s="14">
        <v>16000</v>
      </c>
    </row>
    <row r="206" spans="1:10" x14ac:dyDescent="0.3">
      <c r="A206" s="14">
        <f t="shared" si="21"/>
        <v>1403003</v>
      </c>
      <c r="B206" s="14">
        <v>3</v>
      </c>
      <c r="C206" s="14" t="str">
        <f t="shared" si="23"/>
        <v>정정당당</v>
      </c>
      <c r="D206" s="14">
        <v>1</v>
      </c>
      <c r="E206" s="14">
        <v>4</v>
      </c>
      <c r="F206" s="14">
        <v>3</v>
      </c>
      <c r="G206" s="14" t="s">
        <v>208</v>
      </c>
      <c r="H206" s="14">
        <f t="shared" si="22"/>
        <v>1403</v>
      </c>
      <c r="I206" s="14">
        <v>7000137</v>
      </c>
      <c r="J206" s="14">
        <v>16000</v>
      </c>
    </row>
    <row r="207" spans="1:10" x14ac:dyDescent="0.3">
      <c r="A207" s="14">
        <f t="shared" si="21"/>
        <v>1403004</v>
      </c>
      <c r="B207" s="14">
        <v>4</v>
      </c>
      <c r="C207" s="14" t="str">
        <f t="shared" si="23"/>
        <v>기선제압</v>
      </c>
      <c r="D207" s="14">
        <v>1</v>
      </c>
      <c r="E207" s="14">
        <v>4</v>
      </c>
      <c r="F207" s="14">
        <v>3</v>
      </c>
      <c r="G207" s="14" t="s">
        <v>209</v>
      </c>
      <c r="H207" s="14">
        <f t="shared" si="22"/>
        <v>1403</v>
      </c>
      <c r="I207" s="14">
        <v>7000170</v>
      </c>
      <c r="J207" s="14">
        <v>14000</v>
      </c>
    </row>
    <row r="208" spans="1:10" x14ac:dyDescent="0.3">
      <c r="A208" s="14">
        <f t="shared" si="21"/>
        <v>1403005</v>
      </c>
      <c r="B208" s="14">
        <v>5</v>
      </c>
      <c r="C208" s="14" t="str">
        <f t="shared" si="23"/>
        <v>의기투합</v>
      </c>
      <c r="D208" s="14">
        <v>1</v>
      </c>
      <c r="E208" s="14">
        <v>4</v>
      </c>
      <c r="F208" s="14">
        <v>3</v>
      </c>
      <c r="G208" s="14" t="s">
        <v>209</v>
      </c>
      <c r="H208" s="14">
        <f t="shared" si="22"/>
        <v>1403</v>
      </c>
      <c r="I208" s="14">
        <v>7000171</v>
      </c>
      <c r="J208" s="14">
        <v>14000</v>
      </c>
    </row>
    <row r="209" spans="1:10" x14ac:dyDescent="0.3">
      <c r="A209" s="14">
        <f t="shared" si="21"/>
        <v>1403006</v>
      </c>
      <c r="B209" s="14">
        <v>6</v>
      </c>
      <c r="C209" s="14" t="str">
        <f t="shared" si="23"/>
        <v>헌신</v>
      </c>
      <c r="D209" s="14">
        <v>1</v>
      </c>
      <c r="E209" s="14">
        <v>4</v>
      </c>
      <c r="F209" s="14">
        <v>3</v>
      </c>
      <c r="G209" s="14" t="s">
        <v>210</v>
      </c>
      <c r="H209" s="14">
        <f t="shared" si="22"/>
        <v>1403</v>
      </c>
      <c r="I209" s="14">
        <v>7000158</v>
      </c>
      <c r="J209" s="14">
        <v>9000</v>
      </c>
    </row>
    <row r="210" spans="1:10" x14ac:dyDescent="0.3">
      <c r="A210" s="14">
        <f t="shared" si="21"/>
        <v>1403007</v>
      </c>
      <c r="B210" s="14">
        <v>7</v>
      </c>
      <c r="C210" s="14" t="str">
        <f t="shared" si="23"/>
        <v>수완가</v>
      </c>
      <c r="D210" s="14">
        <v>1</v>
      </c>
      <c r="E210" s="14">
        <v>4</v>
      </c>
      <c r="F210" s="14">
        <v>3</v>
      </c>
      <c r="G210" s="14" t="s">
        <v>210</v>
      </c>
      <c r="H210" s="14">
        <f t="shared" si="22"/>
        <v>1403</v>
      </c>
      <c r="I210" s="14">
        <v>7000134</v>
      </c>
      <c r="J210" s="14">
        <v>9000</v>
      </c>
    </row>
    <row r="211" spans="1:10" x14ac:dyDescent="0.3">
      <c r="A211" s="14">
        <f t="shared" si="21"/>
        <v>1403008</v>
      </c>
      <c r="B211" s="14">
        <v>8</v>
      </c>
      <c r="C211" s="14" t="str">
        <f t="shared" si="23"/>
        <v>호승심</v>
      </c>
      <c r="D211" s="14">
        <v>1</v>
      </c>
      <c r="E211" s="14">
        <v>4</v>
      </c>
      <c r="F211" s="14">
        <v>3</v>
      </c>
      <c r="G211" s="14" t="s">
        <v>211</v>
      </c>
      <c r="H211" s="14">
        <f t="shared" si="22"/>
        <v>1403</v>
      </c>
      <c r="I211" s="14">
        <v>7000168</v>
      </c>
      <c r="J211" s="14">
        <v>1800</v>
      </c>
    </row>
    <row r="212" spans="1:10" x14ac:dyDescent="0.3">
      <c r="A212" s="14">
        <f t="shared" si="21"/>
        <v>1403009</v>
      </c>
      <c r="B212" s="14">
        <v>9</v>
      </c>
      <c r="C212" s="14" t="str">
        <f t="shared" si="23"/>
        <v>선발주자</v>
      </c>
      <c r="D212" s="14">
        <v>1</v>
      </c>
      <c r="E212" s="14">
        <v>4</v>
      </c>
      <c r="F212" s="14">
        <v>3</v>
      </c>
      <c r="G212" s="14" t="s">
        <v>212</v>
      </c>
      <c r="H212" s="14">
        <f t="shared" si="22"/>
        <v>1403</v>
      </c>
      <c r="I212" s="14">
        <v>7000152</v>
      </c>
      <c r="J212" s="14">
        <v>500</v>
      </c>
    </row>
    <row r="213" spans="1:10" x14ac:dyDescent="0.3">
      <c r="A213" s="14">
        <f t="shared" si="21"/>
        <v>1403010</v>
      </c>
      <c r="B213" s="14">
        <v>10</v>
      </c>
      <c r="C213" s="14" t="str">
        <f t="shared" si="23"/>
        <v>다재다능</v>
      </c>
      <c r="D213" s="14">
        <v>1</v>
      </c>
      <c r="E213" s="14">
        <v>4</v>
      </c>
      <c r="F213" s="14">
        <v>3</v>
      </c>
      <c r="G213" s="14" t="s">
        <v>213</v>
      </c>
      <c r="H213" s="14">
        <f t="shared" si="22"/>
        <v>1403</v>
      </c>
      <c r="I213" s="14">
        <v>7000119</v>
      </c>
      <c r="J213" s="14">
        <v>100</v>
      </c>
    </row>
    <row r="214" spans="1:10" x14ac:dyDescent="0.3">
      <c r="A214" s="14">
        <f t="shared" si="21"/>
        <v>1404001</v>
      </c>
      <c r="B214" s="14">
        <v>1</v>
      </c>
      <c r="C214" s="14" t="str">
        <f>C204</f>
        <v>집중</v>
      </c>
      <c r="D214" s="14">
        <v>1</v>
      </c>
      <c r="E214" s="14">
        <v>4</v>
      </c>
      <c r="F214" s="14">
        <v>4</v>
      </c>
      <c r="G214" s="14" t="s">
        <v>208</v>
      </c>
      <c r="H214" s="14">
        <f t="shared" si="22"/>
        <v>1404</v>
      </c>
      <c r="I214" s="14">
        <v>7000104</v>
      </c>
      <c r="J214" s="14">
        <v>14000</v>
      </c>
    </row>
    <row r="215" spans="1:10" x14ac:dyDescent="0.3">
      <c r="A215" s="14">
        <f t="shared" si="21"/>
        <v>1404002</v>
      </c>
      <c r="B215" s="14">
        <v>2</v>
      </c>
      <c r="C215" s="14" t="str">
        <f t="shared" si="23"/>
        <v>만전태세</v>
      </c>
      <c r="D215" s="14">
        <v>1</v>
      </c>
      <c r="E215" s="14">
        <v>4</v>
      </c>
      <c r="F215" s="14">
        <v>4</v>
      </c>
      <c r="G215" s="14" t="s">
        <v>208</v>
      </c>
      <c r="H215" s="14">
        <f t="shared" si="22"/>
        <v>1404</v>
      </c>
      <c r="I215" s="14">
        <v>7000115</v>
      </c>
      <c r="J215" s="14">
        <v>14000</v>
      </c>
    </row>
    <row r="216" spans="1:10" x14ac:dyDescent="0.3">
      <c r="A216" s="14">
        <f t="shared" si="21"/>
        <v>1404003</v>
      </c>
      <c r="B216" s="14">
        <v>3</v>
      </c>
      <c r="C216" s="14" t="str">
        <f t="shared" si="23"/>
        <v>정정당당</v>
      </c>
      <c r="D216" s="14">
        <v>1</v>
      </c>
      <c r="E216" s="14">
        <v>4</v>
      </c>
      <c r="F216" s="14">
        <v>4</v>
      </c>
      <c r="G216" s="14" t="s">
        <v>208</v>
      </c>
      <c r="H216" s="14">
        <f t="shared" si="22"/>
        <v>1404</v>
      </c>
      <c r="I216" s="14">
        <v>7000137</v>
      </c>
      <c r="J216" s="14">
        <v>14000</v>
      </c>
    </row>
    <row r="217" spans="1:10" x14ac:dyDescent="0.3">
      <c r="A217" s="14">
        <f t="shared" si="21"/>
        <v>1404004</v>
      </c>
      <c r="B217" s="14">
        <v>4</v>
      </c>
      <c r="C217" s="14" t="str">
        <f t="shared" si="23"/>
        <v>기선제압</v>
      </c>
      <c r="D217" s="14">
        <v>1</v>
      </c>
      <c r="E217" s="14">
        <v>4</v>
      </c>
      <c r="F217" s="14">
        <v>4</v>
      </c>
      <c r="G217" s="14" t="s">
        <v>209</v>
      </c>
      <c r="H217" s="14">
        <f t="shared" si="22"/>
        <v>1404</v>
      </c>
      <c r="I217" s="14">
        <v>7000170</v>
      </c>
      <c r="J217" s="14">
        <v>13500</v>
      </c>
    </row>
    <row r="218" spans="1:10" x14ac:dyDescent="0.3">
      <c r="A218" s="14">
        <f t="shared" si="21"/>
        <v>1404005</v>
      </c>
      <c r="B218" s="14">
        <v>5</v>
      </c>
      <c r="C218" s="14" t="str">
        <f t="shared" si="23"/>
        <v>의기투합</v>
      </c>
      <c r="D218" s="14">
        <v>1</v>
      </c>
      <c r="E218" s="14">
        <v>4</v>
      </c>
      <c r="F218" s="14">
        <v>4</v>
      </c>
      <c r="G218" s="14" t="s">
        <v>209</v>
      </c>
      <c r="H218" s="14">
        <f t="shared" si="22"/>
        <v>1404</v>
      </c>
      <c r="I218" s="14">
        <v>7000171</v>
      </c>
      <c r="J218" s="14">
        <v>13500</v>
      </c>
    </row>
    <row r="219" spans="1:10" x14ac:dyDescent="0.3">
      <c r="A219" s="14">
        <f t="shared" si="21"/>
        <v>1404006</v>
      </c>
      <c r="B219" s="14">
        <v>6</v>
      </c>
      <c r="C219" s="14" t="str">
        <f t="shared" si="23"/>
        <v>헌신</v>
      </c>
      <c r="D219" s="14">
        <v>1</v>
      </c>
      <c r="E219" s="14">
        <v>4</v>
      </c>
      <c r="F219" s="14">
        <v>4</v>
      </c>
      <c r="G219" s="14" t="s">
        <v>210</v>
      </c>
      <c r="H219" s="14">
        <f t="shared" si="22"/>
        <v>1404</v>
      </c>
      <c r="I219" s="14">
        <v>7000158</v>
      </c>
      <c r="J219" s="14">
        <v>8500</v>
      </c>
    </row>
    <row r="220" spans="1:10" x14ac:dyDescent="0.3">
      <c r="A220" s="14">
        <f t="shared" si="21"/>
        <v>1404007</v>
      </c>
      <c r="B220" s="14">
        <v>7</v>
      </c>
      <c r="C220" s="14" t="str">
        <f t="shared" si="23"/>
        <v>수완가</v>
      </c>
      <c r="D220" s="14">
        <v>1</v>
      </c>
      <c r="E220" s="14">
        <v>4</v>
      </c>
      <c r="F220" s="14">
        <v>4</v>
      </c>
      <c r="G220" s="14" t="s">
        <v>210</v>
      </c>
      <c r="H220" s="14">
        <f t="shared" si="22"/>
        <v>1404</v>
      </c>
      <c r="I220" s="14">
        <v>7000134</v>
      </c>
      <c r="J220" s="14">
        <v>8500</v>
      </c>
    </row>
    <row r="221" spans="1:10" x14ac:dyDescent="0.3">
      <c r="A221" s="14">
        <f t="shared" si="21"/>
        <v>1404008</v>
      </c>
      <c r="B221" s="14">
        <v>8</v>
      </c>
      <c r="C221" s="14" t="str">
        <f t="shared" si="23"/>
        <v>호승심</v>
      </c>
      <c r="D221" s="14">
        <v>1</v>
      </c>
      <c r="E221" s="14">
        <v>4</v>
      </c>
      <c r="F221" s="14">
        <v>4</v>
      </c>
      <c r="G221" s="14" t="s">
        <v>211</v>
      </c>
      <c r="H221" s="14">
        <f t="shared" si="22"/>
        <v>1404</v>
      </c>
      <c r="I221" s="14">
        <v>7000168</v>
      </c>
      <c r="J221" s="14">
        <v>1700</v>
      </c>
    </row>
    <row r="222" spans="1:10" x14ac:dyDescent="0.3">
      <c r="A222" s="14">
        <f t="shared" si="21"/>
        <v>1404009</v>
      </c>
      <c r="B222" s="14">
        <v>9</v>
      </c>
      <c r="C222" s="14" t="str">
        <f t="shared" si="23"/>
        <v>선발주자</v>
      </c>
      <c r="D222" s="14">
        <v>1</v>
      </c>
      <c r="E222" s="14">
        <v>4</v>
      </c>
      <c r="F222" s="14">
        <v>4</v>
      </c>
      <c r="G222" s="14" t="s">
        <v>212</v>
      </c>
      <c r="H222" s="14">
        <f t="shared" si="22"/>
        <v>1404</v>
      </c>
      <c r="I222" s="14">
        <v>7000152</v>
      </c>
      <c r="J222" s="14">
        <v>500</v>
      </c>
    </row>
    <row r="223" spans="1:10" x14ac:dyDescent="0.3">
      <c r="A223" s="14">
        <f t="shared" si="21"/>
        <v>1404010</v>
      </c>
      <c r="B223" s="14">
        <v>10</v>
      </c>
      <c r="C223" s="14" t="str">
        <f t="shared" si="23"/>
        <v>다재다능</v>
      </c>
      <c r="D223" s="14">
        <v>1</v>
      </c>
      <c r="E223" s="14">
        <v>4</v>
      </c>
      <c r="F223" s="14">
        <v>4</v>
      </c>
      <c r="G223" s="14" t="s">
        <v>213</v>
      </c>
      <c r="H223" s="14">
        <f t="shared" si="22"/>
        <v>1404</v>
      </c>
      <c r="I223" s="14">
        <v>7000119</v>
      </c>
      <c r="J223" s="14">
        <v>100</v>
      </c>
    </row>
    <row r="224" spans="1:10" x14ac:dyDescent="0.3">
      <c r="A224" s="14">
        <f t="shared" si="21"/>
        <v>1405001</v>
      </c>
      <c r="B224" s="14">
        <v>1</v>
      </c>
      <c r="C224" s="14" t="str">
        <f>C214</f>
        <v>집중</v>
      </c>
      <c r="D224" s="14">
        <v>1</v>
      </c>
      <c r="E224" s="14">
        <v>4</v>
      </c>
      <c r="F224" s="14">
        <v>5</v>
      </c>
      <c r="G224" s="14" t="s">
        <v>208</v>
      </c>
      <c r="H224" s="14">
        <f t="shared" si="22"/>
        <v>1405</v>
      </c>
      <c r="I224" s="14">
        <v>7000104</v>
      </c>
      <c r="J224" s="14">
        <v>12000</v>
      </c>
    </row>
    <row r="225" spans="1:10" x14ac:dyDescent="0.3">
      <c r="A225" s="14">
        <f t="shared" si="21"/>
        <v>1405002</v>
      </c>
      <c r="B225" s="14">
        <v>2</v>
      </c>
      <c r="C225" s="14" t="str">
        <f t="shared" si="23"/>
        <v>만전태세</v>
      </c>
      <c r="D225" s="14">
        <v>1</v>
      </c>
      <c r="E225" s="14">
        <v>4</v>
      </c>
      <c r="F225" s="14">
        <v>5</v>
      </c>
      <c r="G225" s="14" t="s">
        <v>208</v>
      </c>
      <c r="H225" s="14">
        <f t="shared" si="22"/>
        <v>1405</v>
      </c>
      <c r="I225" s="14">
        <v>7000115</v>
      </c>
      <c r="J225" s="14">
        <v>12000</v>
      </c>
    </row>
    <row r="226" spans="1:10" x14ac:dyDescent="0.3">
      <c r="A226" s="14">
        <f t="shared" si="21"/>
        <v>1405003</v>
      </c>
      <c r="B226" s="14">
        <v>3</v>
      </c>
      <c r="C226" s="14" t="str">
        <f t="shared" si="23"/>
        <v>정정당당</v>
      </c>
      <c r="D226" s="14">
        <v>1</v>
      </c>
      <c r="E226" s="14">
        <v>4</v>
      </c>
      <c r="F226" s="14">
        <v>5</v>
      </c>
      <c r="G226" s="14" t="s">
        <v>208</v>
      </c>
      <c r="H226" s="14">
        <f t="shared" si="22"/>
        <v>1405</v>
      </c>
      <c r="I226" s="14">
        <v>7000137</v>
      </c>
      <c r="J226" s="14">
        <v>12000</v>
      </c>
    </row>
    <row r="227" spans="1:10" x14ac:dyDescent="0.3">
      <c r="A227" s="14">
        <f t="shared" si="21"/>
        <v>1405004</v>
      </c>
      <c r="B227" s="14">
        <v>4</v>
      </c>
      <c r="C227" s="14" t="str">
        <f t="shared" si="23"/>
        <v>기선제압</v>
      </c>
      <c r="D227" s="14">
        <v>1</v>
      </c>
      <c r="E227" s="14">
        <v>4</v>
      </c>
      <c r="F227" s="14">
        <v>5</v>
      </c>
      <c r="G227" s="14" t="s">
        <v>209</v>
      </c>
      <c r="H227" s="14">
        <f t="shared" si="22"/>
        <v>1405</v>
      </c>
      <c r="I227" s="14">
        <v>7000170</v>
      </c>
      <c r="J227" s="14">
        <v>13000</v>
      </c>
    </row>
    <row r="228" spans="1:10" x14ac:dyDescent="0.3">
      <c r="A228" s="14">
        <f t="shared" si="21"/>
        <v>1405005</v>
      </c>
      <c r="B228" s="14">
        <v>5</v>
      </c>
      <c r="C228" s="14" t="str">
        <f t="shared" si="23"/>
        <v>의기투합</v>
      </c>
      <c r="D228" s="14">
        <v>1</v>
      </c>
      <c r="E228" s="14">
        <v>4</v>
      </c>
      <c r="F228" s="14">
        <v>5</v>
      </c>
      <c r="G228" s="14" t="s">
        <v>209</v>
      </c>
      <c r="H228" s="14">
        <f t="shared" si="22"/>
        <v>1405</v>
      </c>
      <c r="I228" s="14">
        <v>7000171</v>
      </c>
      <c r="J228" s="14">
        <v>13000</v>
      </c>
    </row>
    <row r="229" spans="1:10" x14ac:dyDescent="0.3">
      <c r="A229" s="14">
        <f t="shared" si="21"/>
        <v>1405006</v>
      </c>
      <c r="B229" s="14">
        <v>6</v>
      </c>
      <c r="C229" s="14" t="str">
        <f t="shared" si="23"/>
        <v>헌신</v>
      </c>
      <c r="D229" s="14">
        <v>1</v>
      </c>
      <c r="E229" s="14">
        <v>4</v>
      </c>
      <c r="F229" s="14">
        <v>5</v>
      </c>
      <c r="G229" s="14" t="s">
        <v>210</v>
      </c>
      <c r="H229" s="14">
        <f t="shared" si="22"/>
        <v>1405</v>
      </c>
      <c r="I229" s="14">
        <v>7000158</v>
      </c>
      <c r="J229" s="14">
        <v>8000</v>
      </c>
    </row>
    <row r="230" spans="1:10" x14ac:dyDescent="0.3">
      <c r="A230" s="14">
        <f t="shared" si="21"/>
        <v>1405007</v>
      </c>
      <c r="B230" s="14">
        <v>7</v>
      </c>
      <c r="C230" s="14" t="str">
        <f t="shared" si="23"/>
        <v>수완가</v>
      </c>
      <c r="D230" s="14">
        <v>1</v>
      </c>
      <c r="E230" s="14">
        <v>4</v>
      </c>
      <c r="F230" s="14">
        <v>5</v>
      </c>
      <c r="G230" s="14" t="s">
        <v>210</v>
      </c>
      <c r="H230" s="14">
        <f t="shared" si="22"/>
        <v>1405</v>
      </c>
      <c r="I230" s="14">
        <v>7000134</v>
      </c>
      <c r="J230" s="14">
        <v>8000</v>
      </c>
    </row>
    <row r="231" spans="1:10" x14ac:dyDescent="0.3">
      <c r="A231" s="14">
        <f t="shared" si="21"/>
        <v>1405008</v>
      </c>
      <c r="B231" s="14">
        <v>8</v>
      </c>
      <c r="C231" s="14" t="str">
        <f t="shared" si="23"/>
        <v>호승심</v>
      </c>
      <c r="D231" s="14">
        <v>1</v>
      </c>
      <c r="E231" s="14">
        <v>4</v>
      </c>
      <c r="F231" s="14">
        <v>5</v>
      </c>
      <c r="G231" s="14" t="s">
        <v>211</v>
      </c>
      <c r="H231" s="14">
        <f t="shared" si="22"/>
        <v>1405</v>
      </c>
      <c r="I231" s="14">
        <v>7000168</v>
      </c>
      <c r="J231" s="14">
        <v>1600</v>
      </c>
    </row>
    <row r="232" spans="1:10" x14ac:dyDescent="0.3">
      <c r="A232" s="14">
        <f t="shared" si="21"/>
        <v>1405009</v>
      </c>
      <c r="B232" s="14">
        <v>9</v>
      </c>
      <c r="C232" s="14" t="str">
        <f t="shared" si="23"/>
        <v>선발주자</v>
      </c>
      <c r="D232" s="14">
        <v>1</v>
      </c>
      <c r="E232" s="14">
        <v>4</v>
      </c>
      <c r="F232" s="14">
        <v>5</v>
      </c>
      <c r="G232" s="14" t="s">
        <v>212</v>
      </c>
      <c r="H232" s="14">
        <f t="shared" si="22"/>
        <v>1405</v>
      </c>
      <c r="I232" s="14">
        <v>7000152</v>
      </c>
      <c r="J232" s="14">
        <v>500</v>
      </c>
    </row>
    <row r="233" spans="1:10" x14ac:dyDescent="0.3">
      <c r="A233" s="14">
        <f t="shared" si="21"/>
        <v>1405010</v>
      </c>
      <c r="B233" s="14">
        <v>10</v>
      </c>
      <c r="C233" s="14" t="str">
        <f t="shared" si="23"/>
        <v>다재다능</v>
      </c>
      <c r="D233" s="14">
        <v>1</v>
      </c>
      <c r="E233" s="14">
        <v>4</v>
      </c>
      <c r="F233" s="14">
        <v>5</v>
      </c>
      <c r="G233" s="14" t="s">
        <v>213</v>
      </c>
      <c r="H233" s="14">
        <f t="shared" si="22"/>
        <v>1405</v>
      </c>
      <c r="I233" s="14">
        <v>7000119</v>
      </c>
      <c r="J233" s="14">
        <v>100</v>
      </c>
    </row>
    <row r="234" spans="1:10" x14ac:dyDescent="0.3">
      <c r="A234" s="14">
        <f t="shared" si="21"/>
        <v>1406001</v>
      </c>
      <c r="B234" s="14">
        <v>1</v>
      </c>
      <c r="C234" s="14" t="str">
        <f>C224</f>
        <v>집중</v>
      </c>
      <c r="D234" s="14">
        <v>1</v>
      </c>
      <c r="E234" s="14">
        <v>4</v>
      </c>
      <c r="F234" s="14">
        <v>6</v>
      </c>
      <c r="G234" s="14" t="s">
        <v>208</v>
      </c>
      <c r="H234" s="14">
        <f t="shared" si="22"/>
        <v>1406</v>
      </c>
      <c r="I234" s="14">
        <v>7000104</v>
      </c>
      <c r="J234" s="14">
        <v>10000</v>
      </c>
    </row>
    <row r="235" spans="1:10" x14ac:dyDescent="0.3">
      <c r="A235" s="14">
        <f t="shared" si="21"/>
        <v>1406002</v>
      </c>
      <c r="B235" s="14">
        <v>2</v>
      </c>
      <c r="C235" s="14" t="str">
        <f t="shared" si="23"/>
        <v>만전태세</v>
      </c>
      <c r="D235" s="14">
        <v>1</v>
      </c>
      <c r="E235" s="14">
        <v>4</v>
      </c>
      <c r="F235" s="14">
        <v>6</v>
      </c>
      <c r="G235" s="14" t="s">
        <v>208</v>
      </c>
      <c r="H235" s="14">
        <f t="shared" si="22"/>
        <v>1406</v>
      </c>
      <c r="I235" s="14">
        <v>7000115</v>
      </c>
      <c r="J235" s="14">
        <v>10000</v>
      </c>
    </row>
    <row r="236" spans="1:10" x14ac:dyDescent="0.3">
      <c r="A236" s="14">
        <f t="shared" si="21"/>
        <v>1406003</v>
      </c>
      <c r="B236" s="14">
        <v>3</v>
      </c>
      <c r="C236" s="14" t="str">
        <f t="shared" si="23"/>
        <v>정정당당</v>
      </c>
      <c r="D236" s="14">
        <v>1</v>
      </c>
      <c r="E236" s="14">
        <v>4</v>
      </c>
      <c r="F236" s="14">
        <v>6</v>
      </c>
      <c r="G236" s="14" t="s">
        <v>208</v>
      </c>
      <c r="H236" s="14">
        <f t="shared" si="22"/>
        <v>1406</v>
      </c>
      <c r="I236" s="14">
        <v>7000137</v>
      </c>
      <c r="J236" s="14">
        <v>10000</v>
      </c>
    </row>
    <row r="237" spans="1:10" x14ac:dyDescent="0.3">
      <c r="A237" s="14">
        <f t="shared" si="21"/>
        <v>1406004</v>
      </c>
      <c r="B237" s="14">
        <v>4</v>
      </c>
      <c r="C237" s="14" t="str">
        <f t="shared" si="23"/>
        <v>기선제압</v>
      </c>
      <c r="D237" s="14">
        <v>1</v>
      </c>
      <c r="E237" s="14">
        <v>4</v>
      </c>
      <c r="F237" s="14">
        <v>6</v>
      </c>
      <c r="G237" s="14" t="s">
        <v>209</v>
      </c>
      <c r="H237" s="14">
        <f t="shared" si="22"/>
        <v>1406</v>
      </c>
      <c r="I237" s="14">
        <v>7000170</v>
      </c>
      <c r="J237" s="14">
        <v>12500</v>
      </c>
    </row>
    <row r="238" spans="1:10" x14ac:dyDescent="0.3">
      <c r="A238" s="14">
        <f t="shared" si="21"/>
        <v>1406005</v>
      </c>
      <c r="B238" s="14">
        <v>5</v>
      </c>
      <c r="C238" s="14" t="str">
        <f t="shared" si="23"/>
        <v>의기투합</v>
      </c>
      <c r="D238" s="14">
        <v>1</v>
      </c>
      <c r="E238" s="14">
        <v>4</v>
      </c>
      <c r="F238" s="14">
        <v>6</v>
      </c>
      <c r="G238" s="14" t="s">
        <v>209</v>
      </c>
      <c r="H238" s="14">
        <f t="shared" si="22"/>
        <v>1406</v>
      </c>
      <c r="I238" s="14">
        <v>7000171</v>
      </c>
      <c r="J238" s="14">
        <v>12500</v>
      </c>
    </row>
    <row r="239" spans="1:10" x14ac:dyDescent="0.3">
      <c r="A239" s="14">
        <f t="shared" si="21"/>
        <v>1406006</v>
      </c>
      <c r="B239" s="14">
        <v>6</v>
      </c>
      <c r="C239" s="14" t="str">
        <f t="shared" si="23"/>
        <v>헌신</v>
      </c>
      <c r="D239" s="14">
        <v>1</v>
      </c>
      <c r="E239" s="14">
        <v>4</v>
      </c>
      <c r="F239" s="14">
        <v>6</v>
      </c>
      <c r="G239" s="14" t="s">
        <v>210</v>
      </c>
      <c r="H239" s="14">
        <f t="shared" si="22"/>
        <v>1406</v>
      </c>
      <c r="I239" s="14">
        <v>7000158</v>
      </c>
      <c r="J239" s="14">
        <v>7500</v>
      </c>
    </row>
    <row r="240" spans="1:10" x14ac:dyDescent="0.3">
      <c r="A240" s="14">
        <f t="shared" si="21"/>
        <v>1406007</v>
      </c>
      <c r="B240" s="14">
        <v>7</v>
      </c>
      <c r="C240" s="14" t="str">
        <f t="shared" si="23"/>
        <v>수완가</v>
      </c>
      <c r="D240" s="14">
        <v>1</v>
      </c>
      <c r="E240" s="14">
        <v>4</v>
      </c>
      <c r="F240" s="14">
        <v>6</v>
      </c>
      <c r="G240" s="14" t="s">
        <v>210</v>
      </c>
      <c r="H240" s="14">
        <f t="shared" si="22"/>
        <v>1406</v>
      </c>
      <c r="I240" s="14">
        <v>7000134</v>
      </c>
      <c r="J240" s="14">
        <v>7500</v>
      </c>
    </row>
    <row r="241" spans="1:10" x14ac:dyDescent="0.3">
      <c r="A241" s="14">
        <f t="shared" si="21"/>
        <v>1406008</v>
      </c>
      <c r="B241" s="14">
        <v>8</v>
      </c>
      <c r="C241" s="14" t="str">
        <f t="shared" si="23"/>
        <v>호승심</v>
      </c>
      <c r="D241" s="14">
        <v>1</v>
      </c>
      <c r="E241" s="14">
        <v>4</v>
      </c>
      <c r="F241" s="14">
        <v>6</v>
      </c>
      <c r="G241" s="14" t="s">
        <v>211</v>
      </c>
      <c r="H241" s="14">
        <f t="shared" si="22"/>
        <v>1406</v>
      </c>
      <c r="I241" s="14">
        <v>7000168</v>
      </c>
      <c r="J241" s="14">
        <v>1500</v>
      </c>
    </row>
    <row r="242" spans="1:10" x14ac:dyDescent="0.3">
      <c r="A242" s="14">
        <f t="shared" si="21"/>
        <v>1406009</v>
      </c>
      <c r="B242" s="14">
        <v>9</v>
      </c>
      <c r="C242" s="14" t="str">
        <f t="shared" si="23"/>
        <v>선발주자</v>
      </c>
      <c r="D242" s="14">
        <v>1</v>
      </c>
      <c r="E242" s="14">
        <v>4</v>
      </c>
      <c r="F242" s="14">
        <v>6</v>
      </c>
      <c r="G242" s="14" t="s">
        <v>212</v>
      </c>
      <c r="H242" s="14">
        <f t="shared" si="22"/>
        <v>1406</v>
      </c>
      <c r="I242" s="14">
        <v>7000152</v>
      </c>
      <c r="J242" s="14">
        <v>500</v>
      </c>
    </row>
    <row r="243" spans="1:10" x14ac:dyDescent="0.3">
      <c r="A243" s="14">
        <f t="shared" si="21"/>
        <v>1406010</v>
      </c>
      <c r="B243" s="14">
        <v>10</v>
      </c>
      <c r="C243" s="14" t="str">
        <f t="shared" si="23"/>
        <v>다재다능</v>
      </c>
      <c r="D243" s="14">
        <v>1</v>
      </c>
      <c r="E243" s="14">
        <v>4</v>
      </c>
      <c r="F243" s="14">
        <v>6</v>
      </c>
      <c r="G243" s="14" t="s">
        <v>213</v>
      </c>
      <c r="H243" s="14">
        <f t="shared" si="22"/>
        <v>1406</v>
      </c>
      <c r="I243" s="14">
        <v>7000119</v>
      </c>
      <c r="J243" s="14">
        <v>100</v>
      </c>
    </row>
    <row r="244" spans="1:10" x14ac:dyDescent="0.3">
      <c r="A244" s="15">
        <f>INT(H244&amp;TEXT(B244,"000"))</f>
        <v>1501001</v>
      </c>
      <c r="B244" s="15">
        <v>1</v>
      </c>
      <c r="C244" s="15" t="s">
        <v>370</v>
      </c>
      <c r="D244" s="15">
        <v>1</v>
      </c>
      <c r="E244" s="15">
        <v>5</v>
      </c>
      <c r="F244" s="15">
        <v>1</v>
      </c>
      <c r="G244" s="15" t="s">
        <v>208</v>
      </c>
      <c r="H244" s="15">
        <f>INT(D244&amp;E244&amp;TEXT(F244,"00"))</f>
        <v>1501</v>
      </c>
      <c r="I244" s="14">
        <v>7000103</v>
      </c>
      <c r="J244" s="15">
        <v>20000</v>
      </c>
    </row>
    <row r="245" spans="1:10" x14ac:dyDescent="0.3">
      <c r="A245" s="14">
        <f t="shared" ref="A245:A303" si="24">INT(H245&amp;TEXT(B245,"000"))</f>
        <v>1501002</v>
      </c>
      <c r="B245" s="14">
        <v>2</v>
      </c>
      <c r="C245" s="14" t="s">
        <v>364</v>
      </c>
      <c r="D245" s="14">
        <v>1</v>
      </c>
      <c r="E245" s="14">
        <v>5</v>
      </c>
      <c r="F245" s="14">
        <v>1</v>
      </c>
      <c r="G245" s="14" t="s">
        <v>208</v>
      </c>
      <c r="H245" s="14">
        <f t="shared" ref="H245:H303" si="25">INT(D245&amp;E245&amp;TEXT(F245,"00"))</f>
        <v>1501</v>
      </c>
      <c r="I245" s="14">
        <v>7000104</v>
      </c>
      <c r="J245" s="14">
        <v>20000</v>
      </c>
    </row>
    <row r="246" spans="1:10" x14ac:dyDescent="0.3">
      <c r="A246" s="14">
        <f t="shared" si="24"/>
        <v>1501003</v>
      </c>
      <c r="B246" s="14">
        <v>3</v>
      </c>
      <c r="C246" s="14" t="s">
        <v>372</v>
      </c>
      <c r="D246" s="14">
        <v>1</v>
      </c>
      <c r="E246" s="14">
        <v>5</v>
      </c>
      <c r="F246" s="14">
        <v>1</v>
      </c>
      <c r="G246" s="14" t="s">
        <v>208</v>
      </c>
      <c r="H246" s="14">
        <f t="shared" si="25"/>
        <v>1501</v>
      </c>
      <c r="I246" s="14">
        <v>7000117</v>
      </c>
      <c r="J246" s="14">
        <v>20000</v>
      </c>
    </row>
    <row r="247" spans="1:10" x14ac:dyDescent="0.3">
      <c r="A247" s="14">
        <f t="shared" si="24"/>
        <v>1501004</v>
      </c>
      <c r="B247" s="14">
        <v>4</v>
      </c>
      <c r="C247" s="14" t="s">
        <v>374</v>
      </c>
      <c r="D247" s="14">
        <v>1</v>
      </c>
      <c r="E247" s="14">
        <v>5</v>
      </c>
      <c r="F247" s="14">
        <v>1</v>
      </c>
      <c r="G247" s="14" t="s">
        <v>223</v>
      </c>
      <c r="H247" s="14">
        <f t="shared" si="25"/>
        <v>1501</v>
      </c>
      <c r="I247" s="14">
        <v>7000133</v>
      </c>
      <c r="J247" s="14">
        <v>15000</v>
      </c>
    </row>
    <row r="248" spans="1:10" x14ac:dyDescent="0.3">
      <c r="A248" s="14">
        <f t="shared" si="24"/>
        <v>1501005</v>
      </c>
      <c r="B248" s="14">
        <v>5</v>
      </c>
      <c r="C248" s="14" t="s">
        <v>377</v>
      </c>
      <c r="D248" s="14">
        <v>1</v>
      </c>
      <c r="E248" s="14">
        <v>5</v>
      </c>
      <c r="F248" s="14">
        <v>1</v>
      </c>
      <c r="G248" s="14" t="s">
        <v>223</v>
      </c>
      <c r="H248" s="14">
        <f t="shared" si="25"/>
        <v>1501</v>
      </c>
      <c r="I248" s="14">
        <v>7000134</v>
      </c>
      <c r="J248" s="14">
        <v>15000</v>
      </c>
    </row>
    <row r="249" spans="1:10" x14ac:dyDescent="0.3">
      <c r="A249" s="14">
        <f t="shared" si="24"/>
        <v>1501006</v>
      </c>
      <c r="B249" s="14">
        <v>6</v>
      </c>
      <c r="C249" s="14" t="s">
        <v>378</v>
      </c>
      <c r="D249" s="14">
        <v>1</v>
      </c>
      <c r="E249" s="14">
        <v>5</v>
      </c>
      <c r="F249" s="14">
        <v>1</v>
      </c>
      <c r="G249" s="14" t="s">
        <v>222</v>
      </c>
      <c r="H249" s="14">
        <f t="shared" si="25"/>
        <v>1501</v>
      </c>
      <c r="I249" s="14">
        <v>7000135</v>
      </c>
      <c r="J249" s="14">
        <v>10000</v>
      </c>
    </row>
    <row r="250" spans="1:10" x14ac:dyDescent="0.3">
      <c r="A250" s="14">
        <f t="shared" si="24"/>
        <v>1501007</v>
      </c>
      <c r="B250" s="14">
        <v>7</v>
      </c>
      <c r="C250" s="14" t="s">
        <v>355</v>
      </c>
      <c r="D250" s="14">
        <v>1</v>
      </c>
      <c r="E250" s="14">
        <v>5</v>
      </c>
      <c r="F250" s="14">
        <v>1</v>
      </c>
      <c r="G250" s="14" t="s">
        <v>222</v>
      </c>
      <c r="H250" s="14">
        <f t="shared" si="25"/>
        <v>1501</v>
      </c>
      <c r="I250" s="14">
        <v>7000142</v>
      </c>
      <c r="J250" s="14">
        <v>10000</v>
      </c>
    </row>
    <row r="251" spans="1:10" x14ac:dyDescent="0.3">
      <c r="A251" s="14">
        <f t="shared" si="24"/>
        <v>1501008</v>
      </c>
      <c r="B251" s="14">
        <v>8</v>
      </c>
      <c r="C251" s="14" t="s">
        <v>391</v>
      </c>
      <c r="D251" s="14">
        <v>1</v>
      </c>
      <c r="E251" s="14">
        <v>5</v>
      </c>
      <c r="F251" s="14">
        <v>1</v>
      </c>
      <c r="G251" s="14" t="s">
        <v>211</v>
      </c>
      <c r="H251" s="14">
        <f t="shared" si="25"/>
        <v>1501</v>
      </c>
      <c r="I251" s="14">
        <v>7000164</v>
      </c>
      <c r="J251" s="14">
        <v>2000</v>
      </c>
    </row>
    <row r="252" spans="1:10" x14ac:dyDescent="0.3">
      <c r="A252" s="14">
        <f t="shared" si="24"/>
        <v>1501009</v>
      </c>
      <c r="B252" s="14">
        <v>9</v>
      </c>
      <c r="C252" s="14" t="s">
        <v>368</v>
      </c>
      <c r="D252" s="14">
        <v>1</v>
      </c>
      <c r="E252" s="14">
        <v>5</v>
      </c>
      <c r="F252" s="14">
        <v>1</v>
      </c>
      <c r="G252" s="14" t="s">
        <v>212</v>
      </c>
      <c r="H252" s="14">
        <f t="shared" si="25"/>
        <v>1501</v>
      </c>
      <c r="I252" s="14">
        <v>7000122</v>
      </c>
      <c r="J252" s="14">
        <v>500</v>
      </c>
    </row>
    <row r="253" spans="1:10" x14ac:dyDescent="0.3">
      <c r="A253" s="14">
        <f t="shared" si="24"/>
        <v>1501010</v>
      </c>
      <c r="B253" s="14">
        <v>10</v>
      </c>
      <c r="C253" s="14" t="s">
        <v>388</v>
      </c>
      <c r="D253" s="14">
        <v>1</v>
      </c>
      <c r="E253" s="14">
        <v>5</v>
      </c>
      <c r="F253" s="14">
        <v>1</v>
      </c>
      <c r="G253" s="14" t="s">
        <v>213</v>
      </c>
      <c r="H253" s="14">
        <f t="shared" si="25"/>
        <v>1501</v>
      </c>
      <c r="I253" s="14">
        <v>7000158</v>
      </c>
      <c r="J253" s="14">
        <v>100</v>
      </c>
    </row>
    <row r="254" spans="1:10" x14ac:dyDescent="0.3">
      <c r="A254" s="14">
        <f t="shared" si="24"/>
        <v>1502001</v>
      </c>
      <c r="B254" s="14">
        <v>1</v>
      </c>
      <c r="C254" s="14" t="str">
        <f>C244</f>
        <v>생존본능</v>
      </c>
      <c r="D254" s="14">
        <v>1</v>
      </c>
      <c r="E254" s="14">
        <v>5</v>
      </c>
      <c r="F254" s="14">
        <v>2</v>
      </c>
      <c r="G254" s="14" t="s">
        <v>208</v>
      </c>
      <c r="H254" s="14">
        <f t="shared" si="25"/>
        <v>1502</v>
      </c>
      <c r="I254" s="14">
        <v>7000103</v>
      </c>
      <c r="J254" s="14">
        <v>18000</v>
      </c>
    </row>
    <row r="255" spans="1:10" x14ac:dyDescent="0.3">
      <c r="A255" s="14">
        <f t="shared" si="24"/>
        <v>1502002</v>
      </c>
      <c r="B255" s="14">
        <v>2</v>
      </c>
      <c r="C255" s="14" t="str">
        <f t="shared" ref="C255:C303" si="26">C245</f>
        <v>집중</v>
      </c>
      <c r="D255" s="14">
        <v>1</v>
      </c>
      <c r="E255" s="14">
        <v>5</v>
      </c>
      <c r="F255" s="14">
        <v>2</v>
      </c>
      <c r="G255" s="14" t="s">
        <v>208</v>
      </c>
      <c r="H255" s="14">
        <f t="shared" si="25"/>
        <v>1502</v>
      </c>
      <c r="I255" s="14">
        <v>7000104</v>
      </c>
      <c r="J255" s="14">
        <v>18000</v>
      </c>
    </row>
    <row r="256" spans="1:10" x14ac:dyDescent="0.3">
      <c r="A256" s="14">
        <f t="shared" si="24"/>
        <v>1502003</v>
      </c>
      <c r="B256" s="14">
        <v>3</v>
      </c>
      <c r="C256" s="14" t="str">
        <f t="shared" si="26"/>
        <v>방어기제</v>
      </c>
      <c r="D256" s="14">
        <v>1</v>
      </c>
      <c r="E256" s="14">
        <v>5</v>
      </c>
      <c r="F256" s="14">
        <v>2</v>
      </c>
      <c r="G256" s="14" t="s">
        <v>208</v>
      </c>
      <c r="H256" s="14">
        <f t="shared" si="25"/>
        <v>1502</v>
      </c>
      <c r="I256" s="14">
        <v>7000117</v>
      </c>
      <c r="J256" s="14">
        <v>18000</v>
      </c>
    </row>
    <row r="257" spans="1:10" x14ac:dyDescent="0.3">
      <c r="A257" s="14">
        <f t="shared" si="24"/>
        <v>1502004</v>
      </c>
      <c r="B257" s="14">
        <v>4</v>
      </c>
      <c r="C257" s="14" t="str">
        <f t="shared" si="26"/>
        <v>투정</v>
      </c>
      <c r="D257" s="14">
        <v>1</v>
      </c>
      <c r="E257" s="14">
        <v>5</v>
      </c>
      <c r="F257" s="14">
        <v>2</v>
      </c>
      <c r="G257" s="14" t="s">
        <v>209</v>
      </c>
      <c r="H257" s="14">
        <f t="shared" si="25"/>
        <v>1502</v>
      </c>
      <c r="I257" s="14">
        <v>7000133</v>
      </c>
      <c r="J257" s="14">
        <v>14500</v>
      </c>
    </row>
    <row r="258" spans="1:10" x14ac:dyDescent="0.3">
      <c r="A258" s="14">
        <f t="shared" si="24"/>
        <v>1502005</v>
      </c>
      <c r="B258" s="14">
        <v>5</v>
      </c>
      <c r="C258" s="14" t="str">
        <f t="shared" si="26"/>
        <v>수완가</v>
      </c>
      <c r="D258" s="14">
        <v>1</v>
      </c>
      <c r="E258" s="14">
        <v>5</v>
      </c>
      <c r="F258" s="14">
        <v>2</v>
      </c>
      <c r="G258" s="14" t="s">
        <v>209</v>
      </c>
      <c r="H258" s="14">
        <f t="shared" si="25"/>
        <v>1502</v>
      </c>
      <c r="I258" s="14">
        <v>7000134</v>
      </c>
      <c r="J258" s="14">
        <v>14500</v>
      </c>
    </row>
    <row r="259" spans="1:10" x14ac:dyDescent="0.3">
      <c r="A259" s="14">
        <f t="shared" si="24"/>
        <v>1502006</v>
      </c>
      <c r="B259" s="14">
        <v>6</v>
      </c>
      <c r="C259" s="14" t="str">
        <f t="shared" si="26"/>
        <v>이기주의</v>
      </c>
      <c r="D259" s="14">
        <v>1</v>
      </c>
      <c r="E259" s="14">
        <v>5</v>
      </c>
      <c r="F259" s="14">
        <v>2</v>
      </c>
      <c r="G259" s="14" t="s">
        <v>210</v>
      </c>
      <c r="H259" s="14">
        <f t="shared" si="25"/>
        <v>1502</v>
      </c>
      <c r="I259" s="14">
        <v>7000135</v>
      </c>
      <c r="J259" s="14">
        <v>9500</v>
      </c>
    </row>
    <row r="260" spans="1:10" x14ac:dyDescent="0.3">
      <c r="A260" s="14">
        <f t="shared" si="24"/>
        <v>1502007</v>
      </c>
      <c r="B260" s="14">
        <v>7</v>
      </c>
      <c r="C260" s="14" t="str">
        <f t="shared" si="26"/>
        <v>애증</v>
      </c>
      <c r="D260" s="14">
        <v>1</v>
      </c>
      <c r="E260" s="14">
        <v>5</v>
      </c>
      <c r="F260" s="14">
        <v>2</v>
      </c>
      <c r="G260" s="14" t="s">
        <v>210</v>
      </c>
      <c r="H260" s="14">
        <f t="shared" si="25"/>
        <v>1502</v>
      </c>
      <c r="I260" s="14">
        <v>7000142</v>
      </c>
      <c r="J260" s="14">
        <v>9500</v>
      </c>
    </row>
    <row r="261" spans="1:10" x14ac:dyDescent="0.3">
      <c r="A261" s="14">
        <f t="shared" si="24"/>
        <v>1502008</v>
      </c>
      <c r="B261" s="14">
        <v>8</v>
      </c>
      <c r="C261" s="14" t="str">
        <f t="shared" si="26"/>
        <v>자비</v>
      </c>
      <c r="D261" s="14">
        <v>1</v>
      </c>
      <c r="E261" s="14">
        <v>5</v>
      </c>
      <c r="F261" s="14">
        <v>2</v>
      </c>
      <c r="G261" s="14" t="s">
        <v>211</v>
      </c>
      <c r="H261" s="14">
        <f t="shared" si="25"/>
        <v>1502</v>
      </c>
      <c r="I261" s="14">
        <v>7000164</v>
      </c>
      <c r="J261" s="14">
        <v>1900</v>
      </c>
    </row>
    <row r="262" spans="1:10" x14ac:dyDescent="0.3">
      <c r="A262" s="14">
        <f t="shared" si="24"/>
        <v>1502009</v>
      </c>
      <c r="B262" s="14">
        <v>9</v>
      </c>
      <c r="C262" s="14" t="str">
        <f t="shared" si="26"/>
        <v>기회주의자</v>
      </c>
      <c r="D262" s="14">
        <v>1</v>
      </c>
      <c r="E262" s="14">
        <v>5</v>
      </c>
      <c r="F262" s="14">
        <v>2</v>
      </c>
      <c r="G262" s="14" t="s">
        <v>212</v>
      </c>
      <c r="H262" s="14">
        <f t="shared" si="25"/>
        <v>1502</v>
      </c>
      <c r="I262" s="14">
        <v>7000122</v>
      </c>
      <c r="J262" s="14">
        <v>500</v>
      </c>
    </row>
    <row r="263" spans="1:10" x14ac:dyDescent="0.3">
      <c r="A263" s="14">
        <f t="shared" si="24"/>
        <v>1502010</v>
      </c>
      <c r="B263" s="14">
        <v>10</v>
      </c>
      <c r="C263" s="14" t="str">
        <f t="shared" si="26"/>
        <v>헌신</v>
      </c>
      <c r="D263" s="14">
        <v>1</v>
      </c>
      <c r="E263" s="14">
        <v>5</v>
      </c>
      <c r="F263" s="14">
        <v>2</v>
      </c>
      <c r="G263" s="14" t="s">
        <v>213</v>
      </c>
      <c r="H263" s="14">
        <f t="shared" si="25"/>
        <v>1502</v>
      </c>
      <c r="I263" s="14">
        <v>7000158</v>
      </c>
      <c r="J263" s="14">
        <v>100</v>
      </c>
    </row>
    <row r="264" spans="1:10" x14ac:dyDescent="0.3">
      <c r="A264" s="14">
        <f t="shared" si="24"/>
        <v>1503001</v>
      </c>
      <c r="B264" s="14">
        <v>1</v>
      </c>
      <c r="C264" s="14" t="str">
        <f>C254</f>
        <v>생존본능</v>
      </c>
      <c r="D264" s="14">
        <v>1</v>
      </c>
      <c r="E264" s="14">
        <v>5</v>
      </c>
      <c r="F264" s="14">
        <v>3</v>
      </c>
      <c r="G264" s="14" t="s">
        <v>208</v>
      </c>
      <c r="H264" s="14">
        <f t="shared" si="25"/>
        <v>1503</v>
      </c>
      <c r="I264" s="14">
        <v>7000103</v>
      </c>
      <c r="J264" s="14">
        <v>16000</v>
      </c>
    </row>
    <row r="265" spans="1:10" x14ac:dyDescent="0.3">
      <c r="A265" s="14">
        <f t="shared" si="24"/>
        <v>1503002</v>
      </c>
      <c r="B265" s="14">
        <v>2</v>
      </c>
      <c r="C265" s="14" t="str">
        <f t="shared" si="26"/>
        <v>집중</v>
      </c>
      <c r="D265" s="14">
        <v>1</v>
      </c>
      <c r="E265" s="14">
        <v>5</v>
      </c>
      <c r="F265" s="14">
        <v>3</v>
      </c>
      <c r="G265" s="14" t="s">
        <v>208</v>
      </c>
      <c r="H265" s="14">
        <f t="shared" si="25"/>
        <v>1503</v>
      </c>
      <c r="I265" s="14">
        <v>7000104</v>
      </c>
      <c r="J265" s="14">
        <v>16000</v>
      </c>
    </row>
    <row r="266" spans="1:10" x14ac:dyDescent="0.3">
      <c r="A266" s="14">
        <f t="shared" si="24"/>
        <v>1503003</v>
      </c>
      <c r="B266" s="14">
        <v>3</v>
      </c>
      <c r="C266" s="14" t="str">
        <f t="shared" si="26"/>
        <v>방어기제</v>
      </c>
      <c r="D266" s="14">
        <v>1</v>
      </c>
      <c r="E266" s="14">
        <v>5</v>
      </c>
      <c r="F266" s="14">
        <v>3</v>
      </c>
      <c r="G266" s="14" t="s">
        <v>208</v>
      </c>
      <c r="H266" s="14">
        <f t="shared" si="25"/>
        <v>1503</v>
      </c>
      <c r="I266" s="14">
        <v>7000117</v>
      </c>
      <c r="J266" s="14">
        <v>16000</v>
      </c>
    </row>
    <row r="267" spans="1:10" x14ac:dyDescent="0.3">
      <c r="A267" s="14">
        <f t="shared" si="24"/>
        <v>1503004</v>
      </c>
      <c r="B267" s="14">
        <v>4</v>
      </c>
      <c r="C267" s="14" t="str">
        <f t="shared" si="26"/>
        <v>투정</v>
      </c>
      <c r="D267" s="14">
        <v>1</v>
      </c>
      <c r="E267" s="14">
        <v>5</v>
      </c>
      <c r="F267" s="14">
        <v>3</v>
      </c>
      <c r="G267" s="14" t="s">
        <v>209</v>
      </c>
      <c r="H267" s="14">
        <f t="shared" si="25"/>
        <v>1503</v>
      </c>
      <c r="I267" s="14">
        <v>7000133</v>
      </c>
      <c r="J267" s="14">
        <v>14000</v>
      </c>
    </row>
    <row r="268" spans="1:10" x14ac:dyDescent="0.3">
      <c r="A268" s="14">
        <f t="shared" si="24"/>
        <v>1503005</v>
      </c>
      <c r="B268" s="14">
        <v>5</v>
      </c>
      <c r="C268" s="14" t="str">
        <f t="shared" si="26"/>
        <v>수완가</v>
      </c>
      <c r="D268" s="14">
        <v>1</v>
      </c>
      <c r="E268" s="14">
        <v>5</v>
      </c>
      <c r="F268" s="14">
        <v>3</v>
      </c>
      <c r="G268" s="14" t="s">
        <v>209</v>
      </c>
      <c r="H268" s="14">
        <f t="shared" si="25"/>
        <v>1503</v>
      </c>
      <c r="I268" s="14">
        <v>7000134</v>
      </c>
      <c r="J268" s="14">
        <v>14000</v>
      </c>
    </row>
    <row r="269" spans="1:10" x14ac:dyDescent="0.3">
      <c r="A269" s="14">
        <f t="shared" si="24"/>
        <v>1503006</v>
      </c>
      <c r="B269" s="14">
        <v>6</v>
      </c>
      <c r="C269" s="14" t="str">
        <f t="shared" si="26"/>
        <v>이기주의</v>
      </c>
      <c r="D269" s="14">
        <v>1</v>
      </c>
      <c r="E269" s="14">
        <v>5</v>
      </c>
      <c r="F269" s="14">
        <v>3</v>
      </c>
      <c r="G269" s="14" t="s">
        <v>210</v>
      </c>
      <c r="H269" s="14">
        <f t="shared" si="25"/>
        <v>1503</v>
      </c>
      <c r="I269" s="14">
        <v>7000135</v>
      </c>
      <c r="J269" s="14">
        <v>9000</v>
      </c>
    </row>
    <row r="270" spans="1:10" x14ac:dyDescent="0.3">
      <c r="A270" s="14">
        <f t="shared" si="24"/>
        <v>1503007</v>
      </c>
      <c r="B270" s="14">
        <v>7</v>
      </c>
      <c r="C270" s="14" t="str">
        <f t="shared" si="26"/>
        <v>애증</v>
      </c>
      <c r="D270" s="14">
        <v>1</v>
      </c>
      <c r="E270" s="14">
        <v>5</v>
      </c>
      <c r="F270" s="14">
        <v>3</v>
      </c>
      <c r="G270" s="14" t="s">
        <v>210</v>
      </c>
      <c r="H270" s="14">
        <f t="shared" si="25"/>
        <v>1503</v>
      </c>
      <c r="I270" s="14">
        <v>7000142</v>
      </c>
      <c r="J270" s="14">
        <v>9000</v>
      </c>
    </row>
    <row r="271" spans="1:10" x14ac:dyDescent="0.3">
      <c r="A271" s="14">
        <f t="shared" si="24"/>
        <v>1503008</v>
      </c>
      <c r="B271" s="14">
        <v>8</v>
      </c>
      <c r="C271" s="14" t="str">
        <f t="shared" si="26"/>
        <v>자비</v>
      </c>
      <c r="D271" s="14">
        <v>1</v>
      </c>
      <c r="E271" s="14">
        <v>5</v>
      </c>
      <c r="F271" s="14">
        <v>3</v>
      </c>
      <c r="G271" s="14" t="s">
        <v>211</v>
      </c>
      <c r="H271" s="14">
        <f t="shared" si="25"/>
        <v>1503</v>
      </c>
      <c r="I271" s="14">
        <v>7000164</v>
      </c>
      <c r="J271" s="14">
        <v>1800</v>
      </c>
    </row>
    <row r="272" spans="1:10" x14ac:dyDescent="0.3">
      <c r="A272" s="14">
        <f t="shared" si="24"/>
        <v>1503009</v>
      </c>
      <c r="B272" s="14">
        <v>9</v>
      </c>
      <c r="C272" s="14" t="str">
        <f t="shared" si="26"/>
        <v>기회주의자</v>
      </c>
      <c r="D272" s="14">
        <v>1</v>
      </c>
      <c r="E272" s="14">
        <v>5</v>
      </c>
      <c r="F272" s="14">
        <v>3</v>
      </c>
      <c r="G272" s="14" t="s">
        <v>212</v>
      </c>
      <c r="H272" s="14">
        <f t="shared" si="25"/>
        <v>1503</v>
      </c>
      <c r="I272" s="14">
        <v>7000122</v>
      </c>
      <c r="J272" s="14">
        <v>500</v>
      </c>
    </row>
    <row r="273" spans="1:10" x14ac:dyDescent="0.3">
      <c r="A273" s="14">
        <f t="shared" si="24"/>
        <v>1503010</v>
      </c>
      <c r="B273" s="14">
        <v>10</v>
      </c>
      <c r="C273" s="14" t="str">
        <f t="shared" si="26"/>
        <v>헌신</v>
      </c>
      <c r="D273" s="14">
        <v>1</v>
      </c>
      <c r="E273" s="14">
        <v>5</v>
      </c>
      <c r="F273" s="14">
        <v>3</v>
      </c>
      <c r="G273" s="14" t="s">
        <v>213</v>
      </c>
      <c r="H273" s="14">
        <f t="shared" si="25"/>
        <v>1503</v>
      </c>
      <c r="I273" s="14">
        <v>7000158</v>
      </c>
      <c r="J273" s="14">
        <v>100</v>
      </c>
    </row>
    <row r="274" spans="1:10" x14ac:dyDescent="0.3">
      <c r="A274" s="14">
        <f t="shared" si="24"/>
        <v>1504001</v>
      </c>
      <c r="B274" s="14">
        <v>1</v>
      </c>
      <c r="C274" s="14" t="str">
        <f>C264</f>
        <v>생존본능</v>
      </c>
      <c r="D274" s="14">
        <v>1</v>
      </c>
      <c r="E274" s="14">
        <v>5</v>
      </c>
      <c r="F274" s="14">
        <v>4</v>
      </c>
      <c r="G274" s="14" t="s">
        <v>208</v>
      </c>
      <c r="H274" s="14">
        <f t="shared" si="25"/>
        <v>1504</v>
      </c>
      <c r="I274" s="14">
        <v>7000103</v>
      </c>
      <c r="J274" s="14">
        <v>14000</v>
      </c>
    </row>
    <row r="275" spans="1:10" x14ac:dyDescent="0.3">
      <c r="A275" s="14">
        <f t="shared" si="24"/>
        <v>1504002</v>
      </c>
      <c r="B275" s="14">
        <v>2</v>
      </c>
      <c r="C275" s="14" t="str">
        <f t="shared" si="26"/>
        <v>집중</v>
      </c>
      <c r="D275" s="14">
        <v>1</v>
      </c>
      <c r="E275" s="14">
        <v>5</v>
      </c>
      <c r="F275" s="14">
        <v>4</v>
      </c>
      <c r="G275" s="14" t="s">
        <v>208</v>
      </c>
      <c r="H275" s="14">
        <f t="shared" si="25"/>
        <v>1504</v>
      </c>
      <c r="I275" s="14">
        <v>7000104</v>
      </c>
      <c r="J275" s="14">
        <v>14000</v>
      </c>
    </row>
    <row r="276" spans="1:10" x14ac:dyDescent="0.3">
      <c r="A276" s="14">
        <f t="shared" si="24"/>
        <v>1504003</v>
      </c>
      <c r="B276" s="14">
        <v>3</v>
      </c>
      <c r="C276" s="14" t="str">
        <f t="shared" si="26"/>
        <v>방어기제</v>
      </c>
      <c r="D276" s="14">
        <v>1</v>
      </c>
      <c r="E276" s="14">
        <v>5</v>
      </c>
      <c r="F276" s="14">
        <v>4</v>
      </c>
      <c r="G276" s="14" t="s">
        <v>208</v>
      </c>
      <c r="H276" s="14">
        <f t="shared" si="25"/>
        <v>1504</v>
      </c>
      <c r="I276" s="14">
        <v>7000117</v>
      </c>
      <c r="J276" s="14">
        <v>14000</v>
      </c>
    </row>
    <row r="277" spans="1:10" x14ac:dyDescent="0.3">
      <c r="A277" s="14">
        <f t="shared" si="24"/>
        <v>1504004</v>
      </c>
      <c r="B277" s="14">
        <v>4</v>
      </c>
      <c r="C277" s="14" t="str">
        <f t="shared" si="26"/>
        <v>투정</v>
      </c>
      <c r="D277" s="14">
        <v>1</v>
      </c>
      <c r="E277" s="14">
        <v>5</v>
      </c>
      <c r="F277" s="14">
        <v>4</v>
      </c>
      <c r="G277" s="14" t="s">
        <v>209</v>
      </c>
      <c r="H277" s="14">
        <f t="shared" si="25"/>
        <v>1504</v>
      </c>
      <c r="I277" s="14">
        <v>7000133</v>
      </c>
      <c r="J277" s="14">
        <v>13500</v>
      </c>
    </row>
    <row r="278" spans="1:10" x14ac:dyDescent="0.3">
      <c r="A278" s="14">
        <f t="shared" si="24"/>
        <v>1504005</v>
      </c>
      <c r="B278" s="14">
        <v>5</v>
      </c>
      <c r="C278" s="14" t="str">
        <f t="shared" si="26"/>
        <v>수완가</v>
      </c>
      <c r="D278" s="14">
        <v>1</v>
      </c>
      <c r="E278" s="14">
        <v>5</v>
      </c>
      <c r="F278" s="14">
        <v>4</v>
      </c>
      <c r="G278" s="14" t="s">
        <v>209</v>
      </c>
      <c r="H278" s="14">
        <f t="shared" si="25"/>
        <v>1504</v>
      </c>
      <c r="I278" s="14">
        <v>7000134</v>
      </c>
      <c r="J278" s="14">
        <v>13500</v>
      </c>
    </row>
    <row r="279" spans="1:10" x14ac:dyDescent="0.3">
      <c r="A279" s="14">
        <f t="shared" si="24"/>
        <v>1504006</v>
      </c>
      <c r="B279" s="14">
        <v>6</v>
      </c>
      <c r="C279" s="14" t="str">
        <f t="shared" si="26"/>
        <v>이기주의</v>
      </c>
      <c r="D279" s="14">
        <v>1</v>
      </c>
      <c r="E279" s="14">
        <v>5</v>
      </c>
      <c r="F279" s="14">
        <v>4</v>
      </c>
      <c r="G279" s="14" t="s">
        <v>210</v>
      </c>
      <c r="H279" s="14">
        <f t="shared" si="25"/>
        <v>1504</v>
      </c>
      <c r="I279" s="14">
        <v>7000135</v>
      </c>
      <c r="J279" s="14">
        <v>8500</v>
      </c>
    </row>
    <row r="280" spans="1:10" x14ac:dyDescent="0.3">
      <c r="A280" s="14">
        <f t="shared" si="24"/>
        <v>1504007</v>
      </c>
      <c r="B280" s="14">
        <v>7</v>
      </c>
      <c r="C280" s="14" t="str">
        <f t="shared" si="26"/>
        <v>애증</v>
      </c>
      <c r="D280" s="14">
        <v>1</v>
      </c>
      <c r="E280" s="14">
        <v>5</v>
      </c>
      <c r="F280" s="14">
        <v>4</v>
      </c>
      <c r="G280" s="14" t="s">
        <v>210</v>
      </c>
      <c r="H280" s="14">
        <f t="shared" si="25"/>
        <v>1504</v>
      </c>
      <c r="I280" s="14">
        <v>7000142</v>
      </c>
      <c r="J280" s="14">
        <v>8500</v>
      </c>
    </row>
    <row r="281" spans="1:10" x14ac:dyDescent="0.3">
      <c r="A281" s="14">
        <f t="shared" si="24"/>
        <v>1504008</v>
      </c>
      <c r="B281" s="14">
        <v>8</v>
      </c>
      <c r="C281" s="14" t="str">
        <f t="shared" si="26"/>
        <v>자비</v>
      </c>
      <c r="D281" s="14">
        <v>1</v>
      </c>
      <c r="E281" s="14">
        <v>5</v>
      </c>
      <c r="F281" s="14">
        <v>4</v>
      </c>
      <c r="G281" s="14" t="s">
        <v>211</v>
      </c>
      <c r="H281" s="14">
        <f t="shared" si="25"/>
        <v>1504</v>
      </c>
      <c r="I281" s="14">
        <v>7000164</v>
      </c>
      <c r="J281" s="14">
        <v>1700</v>
      </c>
    </row>
    <row r="282" spans="1:10" x14ac:dyDescent="0.3">
      <c r="A282" s="14">
        <f t="shared" si="24"/>
        <v>1504009</v>
      </c>
      <c r="B282" s="14">
        <v>9</v>
      </c>
      <c r="C282" s="14" t="str">
        <f t="shared" si="26"/>
        <v>기회주의자</v>
      </c>
      <c r="D282" s="14">
        <v>1</v>
      </c>
      <c r="E282" s="14">
        <v>5</v>
      </c>
      <c r="F282" s="14">
        <v>4</v>
      </c>
      <c r="G282" s="14" t="s">
        <v>212</v>
      </c>
      <c r="H282" s="14">
        <f t="shared" si="25"/>
        <v>1504</v>
      </c>
      <c r="I282" s="14">
        <v>7000122</v>
      </c>
      <c r="J282" s="14">
        <v>500</v>
      </c>
    </row>
    <row r="283" spans="1:10" x14ac:dyDescent="0.3">
      <c r="A283" s="14">
        <f t="shared" si="24"/>
        <v>1504010</v>
      </c>
      <c r="B283" s="14">
        <v>10</v>
      </c>
      <c r="C283" s="14" t="str">
        <f t="shared" si="26"/>
        <v>헌신</v>
      </c>
      <c r="D283" s="14">
        <v>1</v>
      </c>
      <c r="E283" s="14">
        <v>5</v>
      </c>
      <c r="F283" s="14">
        <v>4</v>
      </c>
      <c r="G283" s="14" t="s">
        <v>213</v>
      </c>
      <c r="H283" s="14">
        <f t="shared" si="25"/>
        <v>1504</v>
      </c>
      <c r="I283" s="14">
        <v>7000158</v>
      </c>
      <c r="J283" s="14">
        <v>100</v>
      </c>
    </row>
    <row r="284" spans="1:10" x14ac:dyDescent="0.3">
      <c r="A284" s="14">
        <f t="shared" si="24"/>
        <v>1505001</v>
      </c>
      <c r="B284" s="14">
        <v>1</v>
      </c>
      <c r="C284" s="14" t="str">
        <f>C274</f>
        <v>생존본능</v>
      </c>
      <c r="D284" s="14">
        <v>1</v>
      </c>
      <c r="E284" s="14">
        <v>5</v>
      </c>
      <c r="F284" s="14">
        <v>5</v>
      </c>
      <c r="G284" s="14" t="s">
        <v>208</v>
      </c>
      <c r="H284" s="14">
        <f t="shared" si="25"/>
        <v>1505</v>
      </c>
      <c r="I284" s="14">
        <v>7000103</v>
      </c>
      <c r="J284" s="14">
        <v>12000</v>
      </c>
    </row>
    <row r="285" spans="1:10" x14ac:dyDescent="0.3">
      <c r="A285" s="14">
        <f t="shared" si="24"/>
        <v>1505002</v>
      </c>
      <c r="B285" s="14">
        <v>2</v>
      </c>
      <c r="C285" s="14" t="str">
        <f t="shared" si="26"/>
        <v>집중</v>
      </c>
      <c r="D285" s="14">
        <v>1</v>
      </c>
      <c r="E285" s="14">
        <v>5</v>
      </c>
      <c r="F285" s="14">
        <v>5</v>
      </c>
      <c r="G285" s="14" t="s">
        <v>208</v>
      </c>
      <c r="H285" s="14">
        <f t="shared" si="25"/>
        <v>1505</v>
      </c>
      <c r="I285" s="14">
        <v>7000104</v>
      </c>
      <c r="J285" s="14">
        <v>12000</v>
      </c>
    </row>
    <row r="286" spans="1:10" x14ac:dyDescent="0.3">
      <c r="A286" s="14">
        <f t="shared" si="24"/>
        <v>1505003</v>
      </c>
      <c r="B286" s="14">
        <v>3</v>
      </c>
      <c r="C286" s="14" t="str">
        <f t="shared" si="26"/>
        <v>방어기제</v>
      </c>
      <c r="D286" s="14">
        <v>1</v>
      </c>
      <c r="E286" s="14">
        <v>5</v>
      </c>
      <c r="F286" s="14">
        <v>5</v>
      </c>
      <c r="G286" s="14" t="s">
        <v>208</v>
      </c>
      <c r="H286" s="14">
        <f t="shared" si="25"/>
        <v>1505</v>
      </c>
      <c r="I286" s="14">
        <v>7000117</v>
      </c>
      <c r="J286" s="14">
        <v>12000</v>
      </c>
    </row>
    <row r="287" spans="1:10" x14ac:dyDescent="0.3">
      <c r="A287" s="14">
        <f t="shared" si="24"/>
        <v>1505004</v>
      </c>
      <c r="B287" s="14">
        <v>4</v>
      </c>
      <c r="C287" s="14" t="str">
        <f t="shared" si="26"/>
        <v>투정</v>
      </c>
      <c r="D287" s="14">
        <v>1</v>
      </c>
      <c r="E287" s="14">
        <v>5</v>
      </c>
      <c r="F287" s="14">
        <v>5</v>
      </c>
      <c r="G287" s="14" t="s">
        <v>209</v>
      </c>
      <c r="H287" s="14">
        <f t="shared" si="25"/>
        <v>1505</v>
      </c>
      <c r="I287" s="14">
        <v>7000133</v>
      </c>
      <c r="J287" s="14">
        <v>13000</v>
      </c>
    </row>
    <row r="288" spans="1:10" x14ac:dyDescent="0.3">
      <c r="A288" s="14">
        <f t="shared" si="24"/>
        <v>1505005</v>
      </c>
      <c r="B288" s="14">
        <v>5</v>
      </c>
      <c r="C288" s="14" t="str">
        <f t="shared" si="26"/>
        <v>수완가</v>
      </c>
      <c r="D288" s="14">
        <v>1</v>
      </c>
      <c r="E288" s="14">
        <v>5</v>
      </c>
      <c r="F288" s="14">
        <v>5</v>
      </c>
      <c r="G288" s="14" t="s">
        <v>209</v>
      </c>
      <c r="H288" s="14">
        <f t="shared" si="25"/>
        <v>1505</v>
      </c>
      <c r="I288" s="14">
        <v>7000134</v>
      </c>
      <c r="J288" s="14">
        <v>13000</v>
      </c>
    </row>
    <row r="289" spans="1:10" x14ac:dyDescent="0.3">
      <c r="A289" s="14">
        <f t="shared" si="24"/>
        <v>1505006</v>
      </c>
      <c r="B289" s="14">
        <v>6</v>
      </c>
      <c r="C289" s="14" t="str">
        <f t="shared" si="26"/>
        <v>이기주의</v>
      </c>
      <c r="D289" s="14">
        <v>1</v>
      </c>
      <c r="E289" s="14">
        <v>5</v>
      </c>
      <c r="F289" s="14">
        <v>5</v>
      </c>
      <c r="G289" s="14" t="s">
        <v>210</v>
      </c>
      <c r="H289" s="14">
        <f t="shared" si="25"/>
        <v>1505</v>
      </c>
      <c r="I289" s="14">
        <v>7000135</v>
      </c>
      <c r="J289" s="14">
        <v>8000</v>
      </c>
    </row>
    <row r="290" spans="1:10" x14ac:dyDescent="0.3">
      <c r="A290" s="14">
        <f t="shared" si="24"/>
        <v>1505007</v>
      </c>
      <c r="B290" s="14">
        <v>7</v>
      </c>
      <c r="C290" s="14" t="str">
        <f t="shared" si="26"/>
        <v>애증</v>
      </c>
      <c r="D290" s="14">
        <v>1</v>
      </c>
      <c r="E290" s="14">
        <v>5</v>
      </c>
      <c r="F290" s="14">
        <v>5</v>
      </c>
      <c r="G290" s="14" t="s">
        <v>210</v>
      </c>
      <c r="H290" s="14">
        <f t="shared" si="25"/>
        <v>1505</v>
      </c>
      <c r="I290" s="14">
        <v>7000142</v>
      </c>
      <c r="J290" s="14">
        <v>8000</v>
      </c>
    </row>
    <row r="291" spans="1:10" x14ac:dyDescent="0.3">
      <c r="A291" s="14">
        <f t="shared" si="24"/>
        <v>1505008</v>
      </c>
      <c r="B291" s="14">
        <v>8</v>
      </c>
      <c r="C291" s="14" t="str">
        <f t="shared" si="26"/>
        <v>자비</v>
      </c>
      <c r="D291" s="14">
        <v>1</v>
      </c>
      <c r="E291" s="14">
        <v>5</v>
      </c>
      <c r="F291" s="14">
        <v>5</v>
      </c>
      <c r="G291" s="14" t="s">
        <v>211</v>
      </c>
      <c r="H291" s="14">
        <f t="shared" si="25"/>
        <v>1505</v>
      </c>
      <c r="I291" s="14">
        <v>7000164</v>
      </c>
      <c r="J291" s="14">
        <v>1600</v>
      </c>
    </row>
    <row r="292" spans="1:10" x14ac:dyDescent="0.3">
      <c r="A292" s="14">
        <f t="shared" si="24"/>
        <v>1505009</v>
      </c>
      <c r="B292" s="14">
        <v>9</v>
      </c>
      <c r="C292" s="14" t="str">
        <f t="shared" si="26"/>
        <v>기회주의자</v>
      </c>
      <c r="D292" s="14">
        <v>1</v>
      </c>
      <c r="E292" s="14">
        <v>5</v>
      </c>
      <c r="F292" s="14">
        <v>5</v>
      </c>
      <c r="G292" s="14" t="s">
        <v>212</v>
      </c>
      <c r="H292" s="14">
        <f t="shared" si="25"/>
        <v>1505</v>
      </c>
      <c r="I292" s="14">
        <v>7000122</v>
      </c>
      <c r="J292" s="14">
        <v>500</v>
      </c>
    </row>
    <row r="293" spans="1:10" x14ac:dyDescent="0.3">
      <c r="A293" s="14">
        <f t="shared" si="24"/>
        <v>1505010</v>
      </c>
      <c r="B293" s="14">
        <v>10</v>
      </c>
      <c r="C293" s="14" t="str">
        <f t="shared" si="26"/>
        <v>헌신</v>
      </c>
      <c r="D293" s="14">
        <v>1</v>
      </c>
      <c r="E293" s="14">
        <v>5</v>
      </c>
      <c r="F293" s="14">
        <v>5</v>
      </c>
      <c r="G293" s="14" t="s">
        <v>213</v>
      </c>
      <c r="H293" s="14">
        <f t="shared" si="25"/>
        <v>1505</v>
      </c>
      <c r="I293" s="14">
        <v>7000158</v>
      </c>
      <c r="J293" s="14">
        <v>100</v>
      </c>
    </row>
    <row r="294" spans="1:10" x14ac:dyDescent="0.3">
      <c r="A294" s="14">
        <f t="shared" si="24"/>
        <v>1506001</v>
      </c>
      <c r="B294" s="14">
        <v>1</v>
      </c>
      <c r="C294" s="14" t="str">
        <f>C284</f>
        <v>생존본능</v>
      </c>
      <c r="D294" s="14">
        <v>1</v>
      </c>
      <c r="E294" s="14">
        <v>5</v>
      </c>
      <c r="F294" s="14">
        <v>6</v>
      </c>
      <c r="G294" s="14" t="s">
        <v>208</v>
      </c>
      <c r="H294" s="14">
        <f t="shared" si="25"/>
        <v>1506</v>
      </c>
      <c r="I294" s="14">
        <v>7000103</v>
      </c>
      <c r="J294" s="14">
        <v>10000</v>
      </c>
    </row>
    <row r="295" spans="1:10" x14ac:dyDescent="0.3">
      <c r="A295" s="14">
        <f t="shared" si="24"/>
        <v>1506002</v>
      </c>
      <c r="B295" s="14">
        <v>2</v>
      </c>
      <c r="C295" s="14" t="str">
        <f t="shared" si="26"/>
        <v>집중</v>
      </c>
      <c r="D295" s="14">
        <v>1</v>
      </c>
      <c r="E295" s="14">
        <v>5</v>
      </c>
      <c r="F295" s="14">
        <v>6</v>
      </c>
      <c r="G295" s="14" t="s">
        <v>208</v>
      </c>
      <c r="H295" s="14">
        <f t="shared" si="25"/>
        <v>1506</v>
      </c>
      <c r="I295" s="14">
        <v>7000104</v>
      </c>
      <c r="J295" s="14">
        <v>10000</v>
      </c>
    </row>
    <row r="296" spans="1:10" x14ac:dyDescent="0.3">
      <c r="A296" s="14">
        <f t="shared" si="24"/>
        <v>1506003</v>
      </c>
      <c r="B296" s="14">
        <v>3</v>
      </c>
      <c r="C296" s="14" t="str">
        <f t="shared" si="26"/>
        <v>방어기제</v>
      </c>
      <c r="D296" s="14">
        <v>1</v>
      </c>
      <c r="E296" s="14">
        <v>5</v>
      </c>
      <c r="F296" s="14">
        <v>6</v>
      </c>
      <c r="G296" s="14" t="s">
        <v>208</v>
      </c>
      <c r="H296" s="14">
        <f t="shared" si="25"/>
        <v>1506</v>
      </c>
      <c r="I296" s="14">
        <v>7000117</v>
      </c>
      <c r="J296" s="14">
        <v>10000</v>
      </c>
    </row>
    <row r="297" spans="1:10" x14ac:dyDescent="0.3">
      <c r="A297" s="14">
        <f t="shared" si="24"/>
        <v>1506004</v>
      </c>
      <c r="B297" s="14">
        <v>4</v>
      </c>
      <c r="C297" s="14" t="str">
        <f t="shared" si="26"/>
        <v>투정</v>
      </c>
      <c r="D297" s="14">
        <v>1</v>
      </c>
      <c r="E297" s="14">
        <v>5</v>
      </c>
      <c r="F297" s="14">
        <v>6</v>
      </c>
      <c r="G297" s="14" t="s">
        <v>209</v>
      </c>
      <c r="H297" s="14">
        <f t="shared" si="25"/>
        <v>1506</v>
      </c>
      <c r="I297" s="14">
        <v>7000133</v>
      </c>
      <c r="J297" s="14">
        <v>12500</v>
      </c>
    </row>
    <row r="298" spans="1:10" x14ac:dyDescent="0.3">
      <c r="A298" s="14">
        <f t="shared" si="24"/>
        <v>1506005</v>
      </c>
      <c r="B298" s="14">
        <v>5</v>
      </c>
      <c r="C298" s="14" t="str">
        <f t="shared" si="26"/>
        <v>수완가</v>
      </c>
      <c r="D298" s="14">
        <v>1</v>
      </c>
      <c r="E298" s="14">
        <v>5</v>
      </c>
      <c r="F298" s="14">
        <v>6</v>
      </c>
      <c r="G298" s="14" t="s">
        <v>209</v>
      </c>
      <c r="H298" s="14">
        <f t="shared" si="25"/>
        <v>1506</v>
      </c>
      <c r="I298" s="14">
        <v>7000134</v>
      </c>
      <c r="J298" s="14">
        <v>12500</v>
      </c>
    </row>
    <row r="299" spans="1:10" x14ac:dyDescent="0.3">
      <c r="A299" s="14">
        <f t="shared" si="24"/>
        <v>1506006</v>
      </c>
      <c r="B299" s="14">
        <v>6</v>
      </c>
      <c r="C299" s="14" t="str">
        <f t="shared" si="26"/>
        <v>이기주의</v>
      </c>
      <c r="D299" s="14">
        <v>1</v>
      </c>
      <c r="E299" s="14">
        <v>5</v>
      </c>
      <c r="F299" s="14">
        <v>6</v>
      </c>
      <c r="G299" s="14" t="s">
        <v>210</v>
      </c>
      <c r="H299" s="14">
        <f t="shared" si="25"/>
        <v>1506</v>
      </c>
      <c r="I299" s="14">
        <v>7000135</v>
      </c>
      <c r="J299" s="14">
        <v>7500</v>
      </c>
    </row>
    <row r="300" spans="1:10" x14ac:dyDescent="0.3">
      <c r="A300" s="14">
        <f t="shared" si="24"/>
        <v>1506007</v>
      </c>
      <c r="B300" s="14">
        <v>7</v>
      </c>
      <c r="C300" s="14" t="str">
        <f t="shared" si="26"/>
        <v>애증</v>
      </c>
      <c r="D300" s="14">
        <v>1</v>
      </c>
      <c r="E300" s="14">
        <v>5</v>
      </c>
      <c r="F300" s="14">
        <v>6</v>
      </c>
      <c r="G300" s="14" t="s">
        <v>210</v>
      </c>
      <c r="H300" s="14">
        <f t="shared" si="25"/>
        <v>1506</v>
      </c>
      <c r="I300" s="14">
        <v>7000142</v>
      </c>
      <c r="J300" s="14">
        <v>7500</v>
      </c>
    </row>
    <row r="301" spans="1:10" x14ac:dyDescent="0.3">
      <c r="A301" s="14">
        <f t="shared" si="24"/>
        <v>1506008</v>
      </c>
      <c r="B301" s="14">
        <v>8</v>
      </c>
      <c r="C301" s="14" t="str">
        <f t="shared" si="26"/>
        <v>자비</v>
      </c>
      <c r="D301" s="14">
        <v>1</v>
      </c>
      <c r="E301" s="14">
        <v>5</v>
      </c>
      <c r="F301" s="14">
        <v>6</v>
      </c>
      <c r="G301" s="14" t="s">
        <v>211</v>
      </c>
      <c r="H301" s="14">
        <f t="shared" si="25"/>
        <v>1506</v>
      </c>
      <c r="I301" s="14">
        <v>7000164</v>
      </c>
      <c r="J301" s="14">
        <v>1500</v>
      </c>
    </row>
    <row r="302" spans="1:10" x14ac:dyDescent="0.3">
      <c r="A302" s="14">
        <f t="shared" si="24"/>
        <v>1506009</v>
      </c>
      <c r="B302" s="14">
        <v>9</v>
      </c>
      <c r="C302" s="14" t="str">
        <f t="shared" si="26"/>
        <v>기회주의자</v>
      </c>
      <c r="D302" s="14">
        <v>1</v>
      </c>
      <c r="E302" s="14">
        <v>5</v>
      </c>
      <c r="F302" s="14">
        <v>6</v>
      </c>
      <c r="G302" s="14" t="s">
        <v>212</v>
      </c>
      <c r="H302" s="14">
        <f t="shared" si="25"/>
        <v>1506</v>
      </c>
      <c r="I302" s="14">
        <v>7000122</v>
      </c>
      <c r="J302" s="14">
        <v>500</v>
      </c>
    </row>
    <row r="303" spans="1:10" x14ac:dyDescent="0.3">
      <c r="A303" s="14">
        <f t="shared" si="24"/>
        <v>1506010</v>
      </c>
      <c r="B303" s="14">
        <v>10</v>
      </c>
      <c r="C303" s="14" t="str">
        <f t="shared" si="26"/>
        <v>헌신</v>
      </c>
      <c r="D303" s="14">
        <v>1</v>
      </c>
      <c r="E303" s="14">
        <v>5</v>
      </c>
      <c r="F303" s="14">
        <v>6</v>
      </c>
      <c r="G303" s="14" t="s">
        <v>213</v>
      </c>
      <c r="H303" s="14">
        <f t="shared" si="25"/>
        <v>1506</v>
      </c>
      <c r="I303" s="14">
        <v>7000158</v>
      </c>
      <c r="J303" s="14">
        <v>100</v>
      </c>
    </row>
    <row r="304" spans="1:10" x14ac:dyDescent="0.3">
      <c r="A304" s="7">
        <f>INT(H304&amp;TEXT(B304,"000"))</f>
        <v>2101001</v>
      </c>
      <c r="B304" s="7">
        <v>1</v>
      </c>
      <c r="C304" s="7" t="s">
        <v>337</v>
      </c>
      <c r="D304" s="7">
        <v>2</v>
      </c>
      <c r="E304" s="7">
        <v>1</v>
      </c>
      <c r="F304" s="7">
        <v>1</v>
      </c>
      <c r="G304" s="7" t="s">
        <v>208</v>
      </c>
      <c r="H304" s="7">
        <f>INT(D304&amp;E304&amp;TEXT(F304,"00"))</f>
        <v>2101</v>
      </c>
      <c r="I304" s="7">
        <v>7000106</v>
      </c>
      <c r="J304" s="7">
        <v>20000</v>
      </c>
    </row>
    <row r="305" spans="1:10" x14ac:dyDescent="0.3">
      <c r="A305" s="6">
        <f t="shared" ref="A305:A363" si="27">INT(H305&amp;TEXT(B305,"000"))</f>
        <v>2101002</v>
      </c>
      <c r="B305" s="6">
        <v>2</v>
      </c>
      <c r="C305" s="6" t="s">
        <v>338</v>
      </c>
      <c r="D305" s="6">
        <v>2</v>
      </c>
      <c r="E305" s="6">
        <v>1</v>
      </c>
      <c r="F305" s="6">
        <v>1</v>
      </c>
      <c r="G305" s="6" t="s">
        <v>208</v>
      </c>
      <c r="H305" s="6">
        <f t="shared" ref="H305:H363" si="28">INT(D305&amp;E305&amp;TEXT(F305,"00"))</f>
        <v>2101</v>
      </c>
      <c r="I305" s="6">
        <v>7000107</v>
      </c>
      <c r="J305" s="6">
        <v>20000</v>
      </c>
    </row>
    <row r="306" spans="1:10" x14ac:dyDescent="0.3">
      <c r="A306" s="6">
        <f t="shared" si="27"/>
        <v>2101003</v>
      </c>
      <c r="B306" s="6">
        <v>3</v>
      </c>
      <c r="C306" s="6" t="s">
        <v>339</v>
      </c>
      <c r="D306" s="6">
        <v>2</v>
      </c>
      <c r="E306" s="6">
        <v>1</v>
      </c>
      <c r="F306" s="6">
        <v>1</v>
      </c>
      <c r="G306" s="6" t="s">
        <v>208</v>
      </c>
      <c r="H306" s="6">
        <f t="shared" si="28"/>
        <v>2101</v>
      </c>
      <c r="I306" s="6">
        <v>7000109</v>
      </c>
      <c r="J306" s="6">
        <v>20000</v>
      </c>
    </row>
    <row r="307" spans="1:10" x14ac:dyDescent="0.3">
      <c r="A307" s="6">
        <f t="shared" si="27"/>
        <v>2101004</v>
      </c>
      <c r="B307" s="6">
        <v>4</v>
      </c>
      <c r="C307" s="6" t="s">
        <v>376</v>
      </c>
      <c r="D307" s="6">
        <v>2</v>
      </c>
      <c r="E307" s="6">
        <v>1</v>
      </c>
      <c r="F307" s="6">
        <v>1</v>
      </c>
      <c r="G307" s="6" t="s">
        <v>223</v>
      </c>
      <c r="H307" s="6">
        <f t="shared" si="28"/>
        <v>2101</v>
      </c>
      <c r="I307" s="6">
        <v>7000124</v>
      </c>
      <c r="J307" s="6">
        <v>15000</v>
      </c>
    </row>
    <row r="308" spans="1:10" x14ac:dyDescent="0.3">
      <c r="A308" s="6">
        <f t="shared" si="27"/>
        <v>2101005</v>
      </c>
      <c r="B308" s="6">
        <v>5</v>
      </c>
      <c r="C308" s="6" t="s">
        <v>361</v>
      </c>
      <c r="D308" s="6">
        <v>2</v>
      </c>
      <c r="E308" s="6">
        <v>1</v>
      </c>
      <c r="F308" s="6">
        <v>1</v>
      </c>
      <c r="G308" s="6" t="s">
        <v>223</v>
      </c>
      <c r="H308" s="6">
        <f t="shared" si="28"/>
        <v>2101</v>
      </c>
      <c r="I308" s="6">
        <v>7000123</v>
      </c>
      <c r="J308" s="6">
        <v>15000</v>
      </c>
    </row>
    <row r="309" spans="1:10" x14ac:dyDescent="0.3">
      <c r="A309" s="6">
        <f t="shared" si="27"/>
        <v>2101006</v>
      </c>
      <c r="B309" s="6">
        <v>6</v>
      </c>
      <c r="C309" s="6" t="s">
        <v>392</v>
      </c>
      <c r="D309" s="6">
        <v>2</v>
      </c>
      <c r="E309" s="6">
        <v>1</v>
      </c>
      <c r="F309" s="6">
        <v>1</v>
      </c>
      <c r="G309" s="6" t="s">
        <v>222</v>
      </c>
      <c r="H309" s="6">
        <f t="shared" si="28"/>
        <v>2101</v>
      </c>
      <c r="I309" s="6">
        <v>7000155</v>
      </c>
      <c r="J309" s="6">
        <v>10000</v>
      </c>
    </row>
    <row r="310" spans="1:10" x14ac:dyDescent="0.3">
      <c r="A310" s="6">
        <f t="shared" si="27"/>
        <v>2101007</v>
      </c>
      <c r="B310" s="6">
        <v>7</v>
      </c>
      <c r="C310" s="6" t="s">
        <v>368</v>
      </c>
      <c r="D310" s="6">
        <v>2</v>
      </c>
      <c r="E310" s="6">
        <v>1</v>
      </c>
      <c r="F310" s="6">
        <v>1</v>
      </c>
      <c r="G310" s="6" t="s">
        <v>222</v>
      </c>
      <c r="H310" s="6">
        <f t="shared" si="28"/>
        <v>2101</v>
      </c>
      <c r="I310" s="6">
        <v>7000122</v>
      </c>
      <c r="J310" s="6">
        <v>10000</v>
      </c>
    </row>
    <row r="311" spans="1:10" x14ac:dyDescent="0.3">
      <c r="A311" s="6">
        <f t="shared" si="27"/>
        <v>2101008</v>
      </c>
      <c r="B311" s="6">
        <v>8</v>
      </c>
      <c r="C311" s="6" t="s">
        <v>393</v>
      </c>
      <c r="D311" s="6">
        <v>2</v>
      </c>
      <c r="E311" s="6">
        <v>1</v>
      </c>
      <c r="F311" s="6">
        <v>1</v>
      </c>
      <c r="G311" s="6" t="s">
        <v>211</v>
      </c>
      <c r="H311" s="6">
        <f t="shared" si="28"/>
        <v>2101</v>
      </c>
      <c r="I311" s="6">
        <v>7000157</v>
      </c>
      <c r="J311" s="6">
        <v>2000</v>
      </c>
    </row>
    <row r="312" spans="1:10" x14ac:dyDescent="0.3">
      <c r="A312" s="6">
        <f t="shared" si="27"/>
        <v>2101009</v>
      </c>
      <c r="B312" s="6">
        <v>9</v>
      </c>
      <c r="C312" s="6" t="s">
        <v>394</v>
      </c>
      <c r="D312" s="6">
        <v>2</v>
      </c>
      <c r="E312" s="6">
        <v>1</v>
      </c>
      <c r="F312" s="6">
        <v>1</v>
      </c>
      <c r="G312" s="6" t="s">
        <v>212</v>
      </c>
      <c r="H312" s="6">
        <f t="shared" si="28"/>
        <v>2101</v>
      </c>
      <c r="I312" s="6">
        <v>7000169</v>
      </c>
      <c r="J312" s="6">
        <v>500</v>
      </c>
    </row>
    <row r="313" spans="1:10" x14ac:dyDescent="0.3">
      <c r="A313" s="6">
        <f t="shared" si="27"/>
        <v>2101010</v>
      </c>
      <c r="B313" s="6">
        <v>10</v>
      </c>
      <c r="C313" s="6" t="s">
        <v>395</v>
      </c>
      <c r="D313" s="6">
        <v>2</v>
      </c>
      <c r="E313" s="6">
        <v>1</v>
      </c>
      <c r="F313" s="6">
        <v>1</v>
      </c>
      <c r="G313" s="6" t="s">
        <v>213</v>
      </c>
      <c r="H313" s="6">
        <f t="shared" si="28"/>
        <v>2101</v>
      </c>
      <c r="I313" s="6">
        <v>7000166</v>
      </c>
      <c r="J313" s="6">
        <v>100</v>
      </c>
    </row>
    <row r="314" spans="1:10" x14ac:dyDescent="0.3">
      <c r="A314" s="6">
        <f t="shared" si="27"/>
        <v>2102001</v>
      </c>
      <c r="B314" s="6">
        <v>1</v>
      </c>
      <c r="C314" s="6" t="str">
        <f>C304</f>
        <v>원칙주의자</v>
      </c>
      <c r="D314" s="6">
        <v>2</v>
      </c>
      <c r="E314" s="6">
        <v>1</v>
      </c>
      <c r="F314" s="6">
        <v>2</v>
      </c>
      <c r="G314" s="6" t="s">
        <v>208</v>
      </c>
      <c r="H314" s="6">
        <f t="shared" si="28"/>
        <v>2102</v>
      </c>
      <c r="I314" s="6">
        <v>7000106</v>
      </c>
      <c r="J314" s="6">
        <v>18000</v>
      </c>
    </row>
    <row r="315" spans="1:10" x14ac:dyDescent="0.3">
      <c r="A315" s="6">
        <f t="shared" si="27"/>
        <v>2102002</v>
      </c>
      <c r="B315" s="6">
        <v>2</v>
      </c>
      <c r="C315" s="6" t="str">
        <f t="shared" ref="C315:C363" si="29">C305</f>
        <v>기교꾼</v>
      </c>
      <c r="D315" s="6">
        <v>2</v>
      </c>
      <c r="E315" s="6">
        <v>1</v>
      </c>
      <c r="F315" s="6">
        <v>2</v>
      </c>
      <c r="G315" s="6" t="s">
        <v>208</v>
      </c>
      <c r="H315" s="6">
        <f t="shared" si="28"/>
        <v>2102</v>
      </c>
      <c r="I315" s="6">
        <v>7000107</v>
      </c>
      <c r="J315" s="6">
        <v>18000</v>
      </c>
    </row>
    <row r="316" spans="1:10" x14ac:dyDescent="0.3">
      <c r="A316" s="6">
        <f t="shared" si="27"/>
        <v>2102003</v>
      </c>
      <c r="B316" s="6">
        <v>3</v>
      </c>
      <c r="C316" s="6" t="str">
        <f t="shared" si="29"/>
        <v>예리</v>
      </c>
      <c r="D316" s="6">
        <v>2</v>
      </c>
      <c r="E316" s="6">
        <v>1</v>
      </c>
      <c r="F316" s="6">
        <v>2</v>
      </c>
      <c r="G316" s="6" t="s">
        <v>208</v>
      </c>
      <c r="H316" s="6">
        <f t="shared" si="28"/>
        <v>2102</v>
      </c>
      <c r="I316" s="6">
        <v>7000109</v>
      </c>
      <c r="J316" s="6">
        <v>18000</v>
      </c>
    </row>
    <row r="317" spans="1:10" x14ac:dyDescent="0.3">
      <c r="A317" s="6">
        <f t="shared" si="27"/>
        <v>2102004</v>
      </c>
      <c r="B317" s="6">
        <v>4</v>
      </c>
      <c r="C317" s="6" t="str">
        <f t="shared" si="29"/>
        <v>착취</v>
      </c>
      <c r="D317" s="6">
        <v>2</v>
      </c>
      <c r="E317" s="6">
        <v>1</v>
      </c>
      <c r="F317" s="6">
        <v>2</v>
      </c>
      <c r="G317" s="6" t="s">
        <v>209</v>
      </c>
      <c r="H317" s="6">
        <f t="shared" si="28"/>
        <v>2102</v>
      </c>
      <c r="I317" s="6">
        <v>7000124</v>
      </c>
      <c r="J317" s="6">
        <v>14500</v>
      </c>
    </row>
    <row r="318" spans="1:10" x14ac:dyDescent="0.3">
      <c r="A318" s="6">
        <f t="shared" si="27"/>
        <v>2102005</v>
      </c>
      <c r="B318" s="6">
        <v>5</v>
      </c>
      <c r="C318" s="6" t="str">
        <f t="shared" si="29"/>
        <v>책략가</v>
      </c>
      <c r="D318" s="6">
        <v>2</v>
      </c>
      <c r="E318" s="6">
        <v>1</v>
      </c>
      <c r="F318" s="6">
        <v>2</v>
      </c>
      <c r="G318" s="6" t="s">
        <v>209</v>
      </c>
      <c r="H318" s="6">
        <f t="shared" si="28"/>
        <v>2102</v>
      </c>
      <c r="I318" s="6">
        <v>7000123</v>
      </c>
      <c r="J318" s="6">
        <v>14500</v>
      </c>
    </row>
    <row r="319" spans="1:10" x14ac:dyDescent="0.3">
      <c r="A319" s="6">
        <f t="shared" si="27"/>
        <v>2102006</v>
      </c>
      <c r="B319" s="6">
        <v>6</v>
      </c>
      <c r="C319" s="6" t="str">
        <f t="shared" si="29"/>
        <v>냉혈한</v>
      </c>
      <c r="D319" s="6">
        <v>2</v>
      </c>
      <c r="E319" s="6">
        <v>1</v>
      </c>
      <c r="F319" s="6">
        <v>2</v>
      </c>
      <c r="G319" s="6" t="s">
        <v>210</v>
      </c>
      <c r="H319" s="6">
        <f t="shared" si="28"/>
        <v>2102</v>
      </c>
      <c r="I319" s="6">
        <v>7000155</v>
      </c>
      <c r="J319" s="6">
        <v>9500</v>
      </c>
    </row>
    <row r="320" spans="1:10" x14ac:dyDescent="0.3">
      <c r="A320" s="6">
        <f t="shared" si="27"/>
        <v>2102007</v>
      </c>
      <c r="B320" s="6">
        <v>7</v>
      </c>
      <c r="C320" s="6" t="str">
        <f t="shared" si="29"/>
        <v>기회주의자</v>
      </c>
      <c r="D320" s="6">
        <v>2</v>
      </c>
      <c r="E320" s="6">
        <v>1</v>
      </c>
      <c r="F320" s="6">
        <v>2</v>
      </c>
      <c r="G320" s="6" t="s">
        <v>210</v>
      </c>
      <c r="H320" s="6">
        <f t="shared" si="28"/>
        <v>2102</v>
      </c>
      <c r="I320" s="6">
        <v>7000122</v>
      </c>
      <c r="J320" s="6">
        <v>9500</v>
      </c>
    </row>
    <row r="321" spans="1:10" x14ac:dyDescent="0.3">
      <c r="A321" s="6">
        <f t="shared" si="27"/>
        <v>2102008</v>
      </c>
      <c r="B321" s="6">
        <v>8</v>
      </c>
      <c r="C321" s="6" t="str">
        <f t="shared" si="29"/>
        <v>몽상가</v>
      </c>
      <c r="D321" s="6">
        <v>2</v>
      </c>
      <c r="E321" s="6">
        <v>1</v>
      </c>
      <c r="F321" s="6">
        <v>2</v>
      </c>
      <c r="G321" s="6" t="s">
        <v>211</v>
      </c>
      <c r="H321" s="6">
        <f t="shared" si="28"/>
        <v>2102</v>
      </c>
      <c r="I321" s="6">
        <v>7000157</v>
      </c>
      <c r="J321" s="6">
        <v>1900</v>
      </c>
    </row>
    <row r="322" spans="1:10" x14ac:dyDescent="0.3">
      <c r="A322" s="6">
        <f t="shared" si="27"/>
        <v>2102009</v>
      </c>
      <c r="B322" s="6">
        <v>9</v>
      </c>
      <c r="C322" s="6" t="str">
        <f t="shared" si="29"/>
        <v>안정</v>
      </c>
      <c r="D322" s="6">
        <v>2</v>
      </c>
      <c r="E322" s="6">
        <v>1</v>
      </c>
      <c r="F322" s="6">
        <v>2</v>
      </c>
      <c r="G322" s="6" t="s">
        <v>212</v>
      </c>
      <c r="H322" s="6">
        <f t="shared" si="28"/>
        <v>2102</v>
      </c>
      <c r="I322" s="6">
        <v>7000169</v>
      </c>
      <c r="J322" s="6">
        <v>500</v>
      </c>
    </row>
    <row r="323" spans="1:10" x14ac:dyDescent="0.3">
      <c r="A323" s="6">
        <f t="shared" si="27"/>
        <v>2102010</v>
      </c>
      <c r="B323" s="6">
        <v>10</v>
      </c>
      <c r="C323" s="6" t="str">
        <f t="shared" si="29"/>
        <v>우월감</v>
      </c>
      <c r="D323" s="6">
        <v>2</v>
      </c>
      <c r="E323" s="6">
        <v>1</v>
      </c>
      <c r="F323" s="6">
        <v>2</v>
      </c>
      <c r="G323" s="6" t="s">
        <v>213</v>
      </c>
      <c r="H323" s="6">
        <f t="shared" si="28"/>
        <v>2102</v>
      </c>
      <c r="I323" s="6">
        <v>7000166</v>
      </c>
      <c r="J323" s="6">
        <v>100</v>
      </c>
    </row>
    <row r="324" spans="1:10" x14ac:dyDescent="0.3">
      <c r="A324" s="6">
        <f t="shared" si="27"/>
        <v>2103001</v>
      </c>
      <c r="B324" s="6">
        <v>1</v>
      </c>
      <c r="C324" s="6" t="str">
        <f>C314</f>
        <v>원칙주의자</v>
      </c>
      <c r="D324" s="6">
        <v>2</v>
      </c>
      <c r="E324" s="6">
        <v>1</v>
      </c>
      <c r="F324" s="6">
        <v>3</v>
      </c>
      <c r="G324" s="6" t="s">
        <v>208</v>
      </c>
      <c r="H324" s="6">
        <f t="shared" si="28"/>
        <v>2103</v>
      </c>
      <c r="I324" s="6">
        <v>7000106</v>
      </c>
      <c r="J324" s="6">
        <v>16000</v>
      </c>
    </row>
    <row r="325" spans="1:10" x14ac:dyDescent="0.3">
      <c r="A325" s="6">
        <f t="shared" si="27"/>
        <v>2103002</v>
      </c>
      <c r="B325" s="6">
        <v>2</v>
      </c>
      <c r="C325" s="6" t="str">
        <f t="shared" si="29"/>
        <v>기교꾼</v>
      </c>
      <c r="D325" s="6">
        <v>2</v>
      </c>
      <c r="E325" s="6">
        <v>1</v>
      </c>
      <c r="F325" s="6">
        <v>3</v>
      </c>
      <c r="G325" s="6" t="s">
        <v>208</v>
      </c>
      <c r="H325" s="6">
        <f t="shared" si="28"/>
        <v>2103</v>
      </c>
      <c r="I325" s="6">
        <v>7000107</v>
      </c>
      <c r="J325" s="6">
        <v>16000</v>
      </c>
    </row>
    <row r="326" spans="1:10" x14ac:dyDescent="0.3">
      <c r="A326" s="6">
        <f t="shared" si="27"/>
        <v>2103003</v>
      </c>
      <c r="B326" s="6">
        <v>3</v>
      </c>
      <c r="C326" s="6" t="str">
        <f t="shared" si="29"/>
        <v>예리</v>
      </c>
      <c r="D326" s="6">
        <v>2</v>
      </c>
      <c r="E326" s="6">
        <v>1</v>
      </c>
      <c r="F326" s="6">
        <v>3</v>
      </c>
      <c r="G326" s="6" t="s">
        <v>208</v>
      </c>
      <c r="H326" s="6">
        <f t="shared" si="28"/>
        <v>2103</v>
      </c>
      <c r="I326" s="6">
        <v>7000109</v>
      </c>
      <c r="J326" s="6">
        <v>16000</v>
      </c>
    </row>
    <row r="327" spans="1:10" x14ac:dyDescent="0.3">
      <c r="A327" s="6">
        <f t="shared" si="27"/>
        <v>2103004</v>
      </c>
      <c r="B327" s="6">
        <v>4</v>
      </c>
      <c r="C327" s="6" t="str">
        <f t="shared" si="29"/>
        <v>착취</v>
      </c>
      <c r="D327" s="6">
        <v>2</v>
      </c>
      <c r="E327" s="6">
        <v>1</v>
      </c>
      <c r="F327" s="6">
        <v>3</v>
      </c>
      <c r="G327" s="6" t="s">
        <v>209</v>
      </c>
      <c r="H327" s="6">
        <f t="shared" si="28"/>
        <v>2103</v>
      </c>
      <c r="I327" s="6">
        <v>7000124</v>
      </c>
      <c r="J327" s="6">
        <v>14000</v>
      </c>
    </row>
    <row r="328" spans="1:10" x14ac:dyDescent="0.3">
      <c r="A328" s="6">
        <f t="shared" si="27"/>
        <v>2103005</v>
      </c>
      <c r="B328" s="6">
        <v>5</v>
      </c>
      <c r="C328" s="6" t="str">
        <f t="shared" si="29"/>
        <v>책략가</v>
      </c>
      <c r="D328" s="6">
        <v>2</v>
      </c>
      <c r="E328" s="6">
        <v>1</v>
      </c>
      <c r="F328" s="6">
        <v>3</v>
      </c>
      <c r="G328" s="6" t="s">
        <v>209</v>
      </c>
      <c r="H328" s="6">
        <f t="shared" si="28"/>
        <v>2103</v>
      </c>
      <c r="I328" s="6">
        <v>7000123</v>
      </c>
      <c r="J328" s="6">
        <v>14000</v>
      </c>
    </row>
    <row r="329" spans="1:10" x14ac:dyDescent="0.3">
      <c r="A329" s="6">
        <f t="shared" si="27"/>
        <v>2103006</v>
      </c>
      <c r="B329" s="6">
        <v>6</v>
      </c>
      <c r="C329" s="6" t="str">
        <f t="shared" si="29"/>
        <v>냉혈한</v>
      </c>
      <c r="D329" s="6">
        <v>2</v>
      </c>
      <c r="E329" s="6">
        <v>1</v>
      </c>
      <c r="F329" s="6">
        <v>3</v>
      </c>
      <c r="G329" s="6" t="s">
        <v>210</v>
      </c>
      <c r="H329" s="6">
        <f t="shared" si="28"/>
        <v>2103</v>
      </c>
      <c r="I329" s="6">
        <v>7000155</v>
      </c>
      <c r="J329" s="6">
        <v>9000</v>
      </c>
    </row>
    <row r="330" spans="1:10" x14ac:dyDescent="0.3">
      <c r="A330" s="6">
        <f t="shared" si="27"/>
        <v>2103007</v>
      </c>
      <c r="B330" s="6">
        <v>7</v>
      </c>
      <c r="C330" s="6" t="str">
        <f t="shared" si="29"/>
        <v>기회주의자</v>
      </c>
      <c r="D330" s="6">
        <v>2</v>
      </c>
      <c r="E330" s="6">
        <v>1</v>
      </c>
      <c r="F330" s="6">
        <v>3</v>
      </c>
      <c r="G330" s="6" t="s">
        <v>210</v>
      </c>
      <c r="H330" s="6">
        <f t="shared" si="28"/>
        <v>2103</v>
      </c>
      <c r="I330" s="6">
        <v>7000122</v>
      </c>
      <c r="J330" s="6">
        <v>9000</v>
      </c>
    </row>
    <row r="331" spans="1:10" x14ac:dyDescent="0.3">
      <c r="A331" s="6">
        <f t="shared" si="27"/>
        <v>2103008</v>
      </c>
      <c r="B331" s="6">
        <v>8</v>
      </c>
      <c r="C331" s="6" t="str">
        <f t="shared" si="29"/>
        <v>몽상가</v>
      </c>
      <c r="D331" s="6">
        <v>2</v>
      </c>
      <c r="E331" s="6">
        <v>1</v>
      </c>
      <c r="F331" s="6">
        <v>3</v>
      </c>
      <c r="G331" s="6" t="s">
        <v>211</v>
      </c>
      <c r="H331" s="6">
        <f t="shared" si="28"/>
        <v>2103</v>
      </c>
      <c r="I331" s="6">
        <v>7000157</v>
      </c>
      <c r="J331" s="6">
        <v>1800</v>
      </c>
    </row>
    <row r="332" spans="1:10" x14ac:dyDescent="0.3">
      <c r="A332" s="6">
        <f t="shared" si="27"/>
        <v>2103009</v>
      </c>
      <c r="B332" s="6">
        <v>9</v>
      </c>
      <c r="C332" s="6" t="str">
        <f t="shared" si="29"/>
        <v>안정</v>
      </c>
      <c r="D332" s="6">
        <v>2</v>
      </c>
      <c r="E332" s="6">
        <v>1</v>
      </c>
      <c r="F332" s="6">
        <v>3</v>
      </c>
      <c r="G332" s="6" t="s">
        <v>212</v>
      </c>
      <c r="H332" s="6">
        <f t="shared" si="28"/>
        <v>2103</v>
      </c>
      <c r="I332" s="6">
        <v>7000169</v>
      </c>
      <c r="J332" s="6">
        <v>500</v>
      </c>
    </row>
    <row r="333" spans="1:10" x14ac:dyDescent="0.3">
      <c r="A333" s="6">
        <f t="shared" si="27"/>
        <v>2103010</v>
      </c>
      <c r="B333" s="6">
        <v>10</v>
      </c>
      <c r="C333" s="6" t="str">
        <f t="shared" si="29"/>
        <v>우월감</v>
      </c>
      <c r="D333" s="6">
        <v>2</v>
      </c>
      <c r="E333" s="6">
        <v>1</v>
      </c>
      <c r="F333" s="6">
        <v>3</v>
      </c>
      <c r="G333" s="6" t="s">
        <v>213</v>
      </c>
      <c r="H333" s="6">
        <f t="shared" si="28"/>
        <v>2103</v>
      </c>
      <c r="I333" s="6">
        <v>7000166</v>
      </c>
      <c r="J333" s="6">
        <v>100</v>
      </c>
    </row>
    <row r="334" spans="1:10" x14ac:dyDescent="0.3">
      <c r="A334" s="6">
        <f t="shared" si="27"/>
        <v>2104001</v>
      </c>
      <c r="B334" s="6">
        <v>1</v>
      </c>
      <c r="C334" s="6" t="str">
        <f>C324</f>
        <v>원칙주의자</v>
      </c>
      <c r="D334" s="6">
        <v>2</v>
      </c>
      <c r="E334" s="6">
        <v>1</v>
      </c>
      <c r="F334" s="6">
        <v>4</v>
      </c>
      <c r="G334" s="6" t="s">
        <v>208</v>
      </c>
      <c r="H334" s="6">
        <f t="shared" si="28"/>
        <v>2104</v>
      </c>
      <c r="I334" s="6">
        <v>7000106</v>
      </c>
      <c r="J334" s="6">
        <v>14000</v>
      </c>
    </row>
    <row r="335" spans="1:10" x14ac:dyDescent="0.3">
      <c r="A335" s="6">
        <f t="shared" si="27"/>
        <v>2104002</v>
      </c>
      <c r="B335" s="6">
        <v>2</v>
      </c>
      <c r="C335" s="6" t="str">
        <f t="shared" si="29"/>
        <v>기교꾼</v>
      </c>
      <c r="D335" s="6">
        <v>2</v>
      </c>
      <c r="E335" s="6">
        <v>1</v>
      </c>
      <c r="F335" s="6">
        <v>4</v>
      </c>
      <c r="G335" s="6" t="s">
        <v>208</v>
      </c>
      <c r="H335" s="6">
        <f t="shared" si="28"/>
        <v>2104</v>
      </c>
      <c r="I335" s="6">
        <v>7000107</v>
      </c>
      <c r="J335" s="6">
        <v>14000</v>
      </c>
    </row>
    <row r="336" spans="1:10" x14ac:dyDescent="0.3">
      <c r="A336" s="6">
        <f t="shared" si="27"/>
        <v>2104003</v>
      </c>
      <c r="B336" s="6">
        <v>3</v>
      </c>
      <c r="C336" s="6" t="str">
        <f t="shared" si="29"/>
        <v>예리</v>
      </c>
      <c r="D336" s="6">
        <v>2</v>
      </c>
      <c r="E336" s="6">
        <v>1</v>
      </c>
      <c r="F336" s="6">
        <v>4</v>
      </c>
      <c r="G336" s="6" t="s">
        <v>208</v>
      </c>
      <c r="H336" s="6">
        <f t="shared" si="28"/>
        <v>2104</v>
      </c>
      <c r="I336" s="6">
        <v>7000109</v>
      </c>
      <c r="J336" s="6">
        <v>14000</v>
      </c>
    </row>
    <row r="337" spans="1:10" x14ac:dyDescent="0.3">
      <c r="A337" s="6">
        <f t="shared" si="27"/>
        <v>2104004</v>
      </c>
      <c r="B337" s="6">
        <v>4</v>
      </c>
      <c r="C337" s="6" t="str">
        <f t="shared" si="29"/>
        <v>착취</v>
      </c>
      <c r="D337" s="6">
        <v>2</v>
      </c>
      <c r="E337" s="6">
        <v>1</v>
      </c>
      <c r="F337" s="6">
        <v>4</v>
      </c>
      <c r="G337" s="6" t="s">
        <v>209</v>
      </c>
      <c r="H337" s="6">
        <f t="shared" si="28"/>
        <v>2104</v>
      </c>
      <c r="I337" s="6">
        <v>7000124</v>
      </c>
      <c r="J337" s="6">
        <v>13500</v>
      </c>
    </row>
    <row r="338" spans="1:10" x14ac:dyDescent="0.3">
      <c r="A338" s="6">
        <f t="shared" si="27"/>
        <v>2104005</v>
      </c>
      <c r="B338" s="6">
        <v>5</v>
      </c>
      <c r="C338" s="6" t="str">
        <f t="shared" si="29"/>
        <v>책략가</v>
      </c>
      <c r="D338" s="6">
        <v>2</v>
      </c>
      <c r="E338" s="6">
        <v>1</v>
      </c>
      <c r="F338" s="6">
        <v>4</v>
      </c>
      <c r="G338" s="6" t="s">
        <v>209</v>
      </c>
      <c r="H338" s="6">
        <f t="shared" si="28"/>
        <v>2104</v>
      </c>
      <c r="I338" s="6">
        <v>7000123</v>
      </c>
      <c r="J338" s="6">
        <v>13500</v>
      </c>
    </row>
    <row r="339" spans="1:10" x14ac:dyDescent="0.3">
      <c r="A339" s="6">
        <f t="shared" si="27"/>
        <v>2104006</v>
      </c>
      <c r="B339" s="6">
        <v>6</v>
      </c>
      <c r="C339" s="6" t="str">
        <f t="shared" si="29"/>
        <v>냉혈한</v>
      </c>
      <c r="D339" s="6">
        <v>2</v>
      </c>
      <c r="E339" s="6">
        <v>1</v>
      </c>
      <c r="F339" s="6">
        <v>4</v>
      </c>
      <c r="G339" s="6" t="s">
        <v>210</v>
      </c>
      <c r="H339" s="6">
        <f t="shared" si="28"/>
        <v>2104</v>
      </c>
      <c r="I339" s="6">
        <v>7000155</v>
      </c>
      <c r="J339" s="6">
        <v>8500</v>
      </c>
    </row>
    <row r="340" spans="1:10" x14ac:dyDescent="0.3">
      <c r="A340" s="6">
        <f t="shared" si="27"/>
        <v>2104007</v>
      </c>
      <c r="B340" s="6">
        <v>7</v>
      </c>
      <c r="C340" s="6" t="str">
        <f t="shared" si="29"/>
        <v>기회주의자</v>
      </c>
      <c r="D340" s="6">
        <v>2</v>
      </c>
      <c r="E340" s="6">
        <v>1</v>
      </c>
      <c r="F340" s="6">
        <v>4</v>
      </c>
      <c r="G340" s="6" t="s">
        <v>210</v>
      </c>
      <c r="H340" s="6">
        <f t="shared" si="28"/>
        <v>2104</v>
      </c>
      <c r="I340" s="6">
        <v>7000122</v>
      </c>
      <c r="J340" s="6">
        <v>8500</v>
      </c>
    </row>
    <row r="341" spans="1:10" x14ac:dyDescent="0.3">
      <c r="A341" s="6">
        <f t="shared" si="27"/>
        <v>2104008</v>
      </c>
      <c r="B341" s="6">
        <v>8</v>
      </c>
      <c r="C341" s="6" t="str">
        <f t="shared" si="29"/>
        <v>몽상가</v>
      </c>
      <c r="D341" s="6">
        <v>2</v>
      </c>
      <c r="E341" s="6">
        <v>1</v>
      </c>
      <c r="F341" s="6">
        <v>4</v>
      </c>
      <c r="G341" s="6" t="s">
        <v>211</v>
      </c>
      <c r="H341" s="6">
        <f t="shared" si="28"/>
        <v>2104</v>
      </c>
      <c r="I341" s="6">
        <v>7000157</v>
      </c>
      <c r="J341" s="6">
        <v>1700</v>
      </c>
    </row>
    <row r="342" spans="1:10" x14ac:dyDescent="0.3">
      <c r="A342" s="6">
        <f t="shared" si="27"/>
        <v>2104009</v>
      </c>
      <c r="B342" s="6">
        <v>9</v>
      </c>
      <c r="C342" s="6" t="str">
        <f t="shared" si="29"/>
        <v>안정</v>
      </c>
      <c r="D342" s="6">
        <v>2</v>
      </c>
      <c r="E342" s="6">
        <v>1</v>
      </c>
      <c r="F342" s="6">
        <v>4</v>
      </c>
      <c r="G342" s="6" t="s">
        <v>212</v>
      </c>
      <c r="H342" s="6">
        <f t="shared" si="28"/>
        <v>2104</v>
      </c>
      <c r="I342" s="6">
        <v>7000169</v>
      </c>
      <c r="J342" s="6">
        <v>500</v>
      </c>
    </row>
    <row r="343" spans="1:10" x14ac:dyDescent="0.3">
      <c r="A343" s="6">
        <f t="shared" si="27"/>
        <v>2104010</v>
      </c>
      <c r="B343" s="6">
        <v>10</v>
      </c>
      <c r="C343" s="6" t="str">
        <f t="shared" si="29"/>
        <v>우월감</v>
      </c>
      <c r="D343" s="6">
        <v>2</v>
      </c>
      <c r="E343" s="6">
        <v>1</v>
      </c>
      <c r="F343" s="6">
        <v>4</v>
      </c>
      <c r="G343" s="6" t="s">
        <v>213</v>
      </c>
      <c r="H343" s="6">
        <f t="shared" si="28"/>
        <v>2104</v>
      </c>
      <c r="I343" s="6">
        <v>7000166</v>
      </c>
      <c r="J343" s="6">
        <v>100</v>
      </c>
    </row>
    <row r="344" spans="1:10" x14ac:dyDescent="0.3">
      <c r="A344" s="6">
        <f t="shared" si="27"/>
        <v>2105001</v>
      </c>
      <c r="B344" s="6">
        <v>1</v>
      </c>
      <c r="C344" s="6" t="str">
        <f>C334</f>
        <v>원칙주의자</v>
      </c>
      <c r="D344" s="6">
        <v>2</v>
      </c>
      <c r="E344" s="6">
        <v>1</v>
      </c>
      <c r="F344" s="6">
        <v>5</v>
      </c>
      <c r="G344" s="6" t="s">
        <v>208</v>
      </c>
      <c r="H344" s="6">
        <f t="shared" si="28"/>
        <v>2105</v>
      </c>
      <c r="I344" s="6">
        <v>7000106</v>
      </c>
      <c r="J344" s="6">
        <v>12000</v>
      </c>
    </row>
    <row r="345" spans="1:10" x14ac:dyDescent="0.3">
      <c r="A345" s="6">
        <f t="shared" si="27"/>
        <v>2105002</v>
      </c>
      <c r="B345" s="6">
        <v>2</v>
      </c>
      <c r="C345" s="6" t="str">
        <f t="shared" si="29"/>
        <v>기교꾼</v>
      </c>
      <c r="D345" s="6">
        <v>2</v>
      </c>
      <c r="E345" s="6">
        <v>1</v>
      </c>
      <c r="F345" s="6">
        <v>5</v>
      </c>
      <c r="G345" s="6" t="s">
        <v>208</v>
      </c>
      <c r="H345" s="6">
        <f t="shared" si="28"/>
        <v>2105</v>
      </c>
      <c r="I345" s="6">
        <v>7000107</v>
      </c>
      <c r="J345" s="6">
        <v>12000</v>
      </c>
    </row>
    <row r="346" spans="1:10" x14ac:dyDescent="0.3">
      <c r="A346" s="6">
        <f t="shared" si="27"/>
        <v>2105003</v>
      </c>
      <c r="B346" s="6">
        <v>3</v>
      </c>
      <c r="C346" s="6" t="str">
        <f t="shared" si="29"/>
        <v>예리</v>
      </c>
      <c r="D346" s="6">
        <v>2</v>
      </c>
      <c r="E346" s="6">
        <v>1</v>
      </c>
      <c r="F346" s="6">
        <v>5</v>
      </c>
      <c r="G346" s="6" t="s">
        <v>208</v>
      </c>
      <c r="H346" s="6">
        <f t="shared" si="28"/>
        <v>2105</v>
      </c>
      <c r="I346" s="6">
        <v>7000109</v>
      </c>
      <c r="J346" s="6">
        <v>12000</v>
      </c>
    </row>
    <row r="347" spans="1:10" x14ac:dyDescent="0.3">
      <c r="A347" s="6">
        <f t="shared" si="27"/>
        <v>2105004</v>
      </c>
      <c r="B347" s="6">
        <v>4</v>
      </c>
      <c r="C347" s="6" t="str">
        <f t="shared" si="29"/>
        <v>착취</v>
      </c>
      <c r="D347" s="6">
        <v>2</v>
      </c>
      <c r="E347" s="6">
        <v>1</v>
      </c>
      <c r="F347" s="6">
        <v>5</v>
      </c>
      <c r="G347" s="6" t="s">
        <v>209</v>
      </c>
      <c r="H347" s="6">
        <f t="shared" si="28"/>
        <v>2105</v>
      </c>
      <c r="I347" s="6">
        <v>7000124</v>
      </c>
      <c r="J347" s="6">
        <v>13000</v>
      </c>
    </row>
    <row r="348" spans="1:10" x14ac:dyDescent="0.3">
      <c r="A348" s="6">
        <f t="shared" si="27"/>
        <v>2105005</v>
      </c>
      <c r="B348" s="6">
        <v>5</v>
      </c>
      <c r="C348" s="6" t="str">
        <f t="shared" si="29"/>
        <v>책략가</v>
      </c>
      <c r="D348" s="6">
        <v>2</v>
      </c>
      <c r="E348" s="6">
        <v>1</v>
      </c>
      <c r="F348" s="6">
        <v>5</v>
      </c>
      <c r="G348" s="6" t="s">
        <v>209</v>
      </c>
      <c r="H348" s="6">
        <f t="shared" si="28"/>
        <v>2105</v>
      </c>
      <c r="I348" s="6">
        <v>7000123</v>
      </c>
      <c r="J348" s="6">
        <v>13000</v>
      </c>
    </row>
    <row r="349" spans="1:10" x14ac:dyDescent="0.3">
      <c r="A349" s="6">
        <f t="shared" si="27"/>
        <v>2105006</v>
      </c>
      <c r="B349" s="6">
        <v>6</v>
      </c>
      <c r="C349" s="6" t="str">
        <f t="shared" si="29"/>
        <v>냉혈한</v>
      </c>
      <c r="D349" s="6">
        <v>2</v>
      </c>
      <c r="E349" s="6">
        <v>1</v>
      </c>
      <c r="F349" s="6">
        <v>5</v>
      </c>
      <c r="G349" s="6" t="s">
        <v>210</v>
      </c>
      <c r="H349" s="6">
        <f t="shared" si="28"/>
        <v>2105</v>
      </c>
      <c r="I349" s="6">
        <v>7000155</v>
      </c>
      <c r="J349" s="6">
        <v>8000</v>
      </c>
    </row>
    <row r="350" spans="1:10" x14ac:dyDescent="0.3">
      <c r="A350" s="6">
        <f t="shared" si="27"/>
        <v>2105007</v>
      </c>
      <c r="B350" s="6">
        <v>7</v>
      </c>
      <c r="C350" s="6" t="str">
        <f t="shared" si="29"/>
        <v>기회주의자</v>
      </c>
      <c r="D350" s="6">
        <v>2</v>
      </c>
      <c r="E350" s="6">
        <v>1</v>
      </c>
      <c r="F350" s="6">
        <v>5</v>
      </c>
      <c r="G350" s="6" t="s">
        <v>210</v>
      </c>
      <c r="H350" s="6">
        <f t="shared" si="28"/>
        <v>2105</v>
      </c>
      <c r="I350" s="6">
        <v>7000122</v>
      </c>
      <c r="J350" s="6">
        <v>8000</v>
      </c>
    </row>
    <row r="351" spans="1:10" x14ac:dyDescent="0.3">
      <c r="A351" s="6">
        <f t="shared" si="27"/>
        <v>2105008</v>
      </c>
      <c r="B351" s="6">
        <v>8</v>
      </c>
      <c r="C351" s="6" t="str">
        <f t="shared" si="29"/>
        <v>몽상가</v>
      </c>
      <c r="D351" s="6">
        <v>2</v>
      </c>
      <c r="E351" s="6">
        <v>1</v>
      </c>
      <c r="F351" s="6">
        <v>5</v>
      </c>
      <c r="G351" s="6" t="s">
        <v>211</v>
      </c>
      <c r="H351" s="6">
        <f t="shared" si="28"/>
        <v>2105</v>
      </c>
      <c r="I351" s="6">
        <v>7000157</v>
      </c>
      <c r="J351" s="6">
        <v>1600</v>
      </c>
    </row>
    <row r="352" spans="1:10" x14ac:dyDescent="0.3">
      <c r="A352" s="6">
        <f t="shared" si="27"/>
        <v>2105009</v>
      </c>
      <c r="B352" s="6">
        <v>9</v>
      </c>
      <c r="C352" s="6" t="str">
        <f t="shared" si="29"/>
        <v>안정</v>
      </c>
      <c r="D352" s="6">
        <v>2</v>
      </c>
      <c r="E352" s="6">
        <v>1</v>
      </c>
      <c r="F352" s="6">
        <v>5</v>
      </c>
      <c r="G352" s="6" t="s">
        <v>212</v>
      </c>
      <c r="H352" s="6">
        <f t="shared" si="28"/>
        <v>2105</v>
      </c>
      <c r="I352" s="6">
        <v>7000169</v>
      </c>
      <c r="J352" s="6">
        <v>500</v>
      </c>
    </row>
    <row r="353" spans="1:10" x14ac:dyDescent="0.3">
      <c r="A353" s="6">
        <f t="shared" si="27"/>
        <v>2105010</v>
      </c>
      <c r="B353" s="6">
        <v>10</v>
      </c>
      <c r="C353" s="6" t="str">
        <f t="shared" si="29"/>
        <v>우월감</v>
      </c>
      <c r="D353" s="6">
        <v>2</v>
      </c>
      <c r="E353" s="6">
        <v>1</v>
      </c>
      <c r="F353" s="6">
        <v>5</v>
      </c>
      <c r="G353" s="6" t="s">
        <v>213</v>
      </c>
      <c r="H353" s="6">
        <f t="shared" si="28"/>
        <v>2105</v>
      </c>
      <c r="I353" s="6">
        <v>7000166</v>
      </c>
      <c r="J353" s="6">
        <v>100</v>
      </c>
    </row>
    <row r="354" spans="1:10" x14ac:dyDescent="0.3">
      <c r="A354" s="6">
        <f t="shared" si="27"/>
        <v>2106001</v>
      </c>
      <c r="B354" s="6">
        <v>1</v>
      </c>
      <c r="C354" s="6" t="str">
        <f>C344</f>
        <v>원칙주의자</v>
      </c>
      <c r="D354" s="6">
        <v>2</v>
      </c>
      <c r="E354" s="6">
        <v>1</v>
      </c>
      <c r="F354" s="6">
        <v>6</v>
      </c>
      <c r="G354" s="6" t="s">
        <v>208</v>
      </c>
      <c r="H354" s="6">
        <f t="shared" si="28"/>
        <v>2106</v>
      </c>
      <c r="I354" s="6">
        <v>7000106</v>
      </c>
      <c r="J354" s="6">
        <v>10000</v>
      </c>
    </row>
    <row r="355" spans="1:10" x14ac:dyDescent="0.3">
      <c r="A355" s="6">
        <f t="shared" si="27"/>
        <v>2106002</v>
      </c>
      <c r="B355" s="6">
        <v>2</v>
      </c>
      <c r="C355" s="6" t="str">
        <f t="shared" si="29"/>
        <v>기교꾼</v>
      </c>
      <c r="D355" s="6">
        <v>2</v>
      </c>
      <c r="E355" s="6">
        <v>1</v>
      </c>
      <c r="F355" s="6">
        <v>6</v>
      </c>
      <c r="G355" s="6" t="s">
        <v>208</v>
      </c>
      <c r="H355" s="6">
        <f t="shared" si="28"/>
        <v>2106</v>
      </c>
      <c r="I355" s="6">
        <v>7000107</v>
      </c>
      <c r="J355" s="6">
        <v>10000</v>
      </c>
    </row>
    <row r="356" spans="1:10" x14ac:dyDescent="0.3">
      <c r="A356" s="6">
        <f t="shared" si="27"/>
        <v>2106003</v>
      </c>
      <c r="B356" s="6">
        <v>3</v>
      </c>
      <c r="C356" s="6" t="str">
        <f t="shared" si="29"/>
        <v>예리</v>
      </c>
      <c r="D356" s="6">
        <v>2</v>
      </c>
      <c r="E356" s="6">
        <v>1</v>
      </c>
      <c r="F356" s="6">
        <v>6</v>
      </c>
      <c r="G356" s="6" t="s">
        <v>208</v>
      </c>
      <c r="H356" s="6">
        <f t="shared" si="28"/>
        <v>2106</v>
      </c>
      <c r="I356" s="6">
        <v>7000109</v>
      </c>
      <c r="J356" s="6">
        <v>10000</v>
      </c>
    </row>
    <row r="357" spans="1:10" x14ac:dyDescent="0.3">
      <c r="A357" s="6">
        <f t="shared" si="27"/>
        <v>2106004</v>
      </c>
      <c r="B357" s="6">
        <v>4</v>
      </c>
      <c r="C357" s="6" t="str">
        <f t="shared" si="29"/>
        <v>착취</v>
      </c>
      <c r="D357" s="6">
        <v>2</v>
      </c>
      <c r="E357" s="6">
        <v>1</v>
      </c>
      <c r="F357" s="6">
        <v>6</v>
      </c>
      <c r="G357" s="6" t="s">
        <v>209</v>
      </c>
      <c r="H357" s="6">
        <f t="shared" si="28"/>
        <v>2106</v>
      </c>
      <c r="I357" s="6">
        <v>7000124</v>
      </c>
      <c r="J357" s="6">
        <v>12500</v>
      </c>
    </row>
    <row r="358" spans="1:10" x14ac:dyDescent="0.3">
      <c r="A358" s="6">
        <f t="shared" si="27"/>
        <v>2106005</v>
      </c>
      <c r="B358" s="6">
        <v>5</v>
      </c>
      <c r="C358" s="6" t="str">
        <f t="shared" si="29"/>
        <v>책략가</v>
      </c>
      <c r="D358" s="6">
        <v>2</v>
      </c>
      <c r="E358" s="6">
        <v>1</v>
      </c>
      <c r="F358" s="6">
        <v>6</v>
      </c>
      <c r="G358" s="6" t="s">
        <v>209</v>
      </c>
      <c r="H358" s="6">
        <f t="shared" si="28"/>
        <v>2106</v>
      </c>
      <c r="I358" s="6">
        <v>7000123</v>
      </c>
      <c r="J358" s="6">
        <v>12500</v>
      </c>
    </row>
    <row r="359" spans="1:10" x14ac:dyDescent="0.3">
      <c r="A359" s="6">
        <f t="shared" si="27"/>
        <v>2106006</v>
      </c>
      <c r="B359" s="6">
        <v>6</v>
      </c>
      <c r="C359" s="6" t="str">
        <f t="shared" si="29"/>
        <v>냉혈한</v>
      </c>
      <c r="D359" s="6">
        <v>2</v>
      </c>
      <c r="E359" s="6">
        <v>1</v>
      </c>
      <c r="F359" s="6">
        <v>6</v>
      </c>
      <c r="G359" s="6" t="s">
        <v>210</v>
      </c>
      <c r="H359" s="6">
        <f t="shared" si="28"/>
        <v>2106</v>
      </c>
      <c r="I359" s="6">
        <v>7000155</v>
      </c>
      <c r="J359" s="6">
        <v>7500</v>
      </c>
    </row>
    <row r="360" spans="1:10" x14ac:dyDescent="0.3">
      <c r="A360" s="6">
        <f t="shared" si="27"/>
        <v>2106007</v>
      </c>
      <c r="B360" s="6">
        <v>7</v>
      </c>
      <c r="C360" s="6" t="str">
        <f t="shared" si="29"/>
        <v>기회주의자</v>
      </c>
      <c r="D360" s="6">
        <v>2</v>
      </c>
      <c r="E360" s="6">
        <v>1</v>
      </c>
      <c r="F360" s="6">
        <v>6</v>
      </c>
      <c r="G360" s="6" t="s">
        <v>210</v>
      </c>
      <c r="H360" s="6">
        <f t="shared" si="28"/>
        <v>2106</v>
      </c>
      <c r="I360" s="6">
        <v>7000122</v>
      </c>
      <c r="J360" s="6">
        <v>7500</v>
      </c>
    </row>
    <row r="361" spans="1:10" x14ac:dyDescent="0.3">
      <c r="A361" s="6">
        <f t="shared" si="27"/>
        <v>2106008</v>
      </c>
      <c r="B361" s="6">
        <v>8</v>
      </c>
      <c r="C361" s="6" t="str">
        <f t="shared" si="29"/>
        <v>몽상가</v>
      </c>
      <c r="D361" s="6">
        <v>2</v>
      </c>
      <c r="E361" s="6">
        <v>1</v>
      </c>
      <c r="F361" s="6">
        <v>6</v>
      </c>
      <c r="G361" s="6" t="s">
        <v>211</v>
      </c>
      <c r="H361" s="6">
        <f t="shared" si="28"/>
        <v>2106</v>
      </c>
      <c r="I361" s="6">
        <v>7000157</v>
      </c>
      <c r="J361" s="6">
        <v>1500</v>
      </c>
    </row>
    <row r="362" spans="1:10" x14ac:dyDescent="0.3">
      <c r="A362" s="6">
        <f t="shared" si="27"/>
        <v>2106009</v>
      </c>
      <c r="B362" s="6">
        <v>9</v>
      </c>
      <c r="C362" s="6" t="str">
        <f t="shared" si="29"/>
        <v>안정</v>
      </c>
      <c r="D362" s="6">
        <v>2</v>
      </c>
      <c r="E362" s="6">
        <v>1</v>
      </c>
      <c r="F362" s="6">
        <v>6</v>
      </c>
      <c r="G362" s="6" t="s">
        <v>212</v>
      </c>
      <c r="H362" s="6">
        <f t="shared" si="28"/>
        <v>2106</v>
      </c>
      <c r="I362" s="6">
        <v>7000169</v>
      </c>
      <c r="J362" s="6">
        <v>500</v>
      </c>
    </row>
    <row r="363" spans="1:10" x14ac:dyDescent="0.3">
      <c r="A363" s="6">
        <f t="shared" si="27"/>
        <v>2106010</v>
      </c>
      <c r="B363" s="6">
        <v>10</v>
      </c>
      <c r="C363" s="6" t="str">
        <f t="shared" si="29"/>
        <v>우월감</v>
      </c>
      <c r="D363" s="6">
        <v>2</v>
      </c>
      <c r="E363" s="6">
        <v>1</v>
      </c>
      <c r="F363" s="6">
        <v>6</v>
      </c>
      <c r="G363" s="6" t="s">
        <v>213</v>
      </c>
      <c r="H363" s="6">
        <f t="shared" si="28"/>
        <v>2106</v>
      </c>
      <c r="I363" s="6">
        <v>7000166</v>
      </c>
      <c r="J363" s="6">
        <v>100</v>
      </c>
    </row>
    <row r="364" spans="1:10" x14ac:dyDescent="0.3">
      <c r="A364" s="7">
        <f>INT(H364&amp;TEXT(B364,"000"))</f>
        <v>2201001</v>
      </c>
      <c r="B364" s="7">
        <v>1</v>
      </c>
      <c r="C364" s="7" t="s">
        <v>350</v>
      </c>
      <c r="D364" s="7">
        <v>2</v>
      </c>
      <c r="E364" s="7">
        <v>2</v>
      </c>
      <c r="F364" s="7">
        <v>1</v>
      </c>
      <c r="G364" s="7" t="s">
        <v>208</v>
      </c>
      <c r="H364" s="7">
        <f>INT(D364&amp;E364&amp;TEXT(F364,"00"))</f>
        <v>2201</v>
      </c>
      <c r="I364" s="7">
        <v>7000102</v>
      </c>
      <c r="J364" s="7">
        <v>20000</v>
      </c>
    </row>
    <row r="365" spans="1:10" x14ac:dyDescent="0.3">
      <c r="A365" s="6">
        <f t="shared" ref="A365:A423" si="30">INT(H365&amp;TEXT(B365,"000"))</f>
        <v>2201002</v>
      </c>
      <c r="B365" s="6">
        <v>2</v>
      </c>
      <c r="C365" s="6" t="s">
        <v>366</v>
      </c>
      <c r="D365" s="6">
        <v>2</v>
      </c>
      <c r="E365" s="6">
        <v>2</v>
      </c>
      <c r="F365" s="6">
        <v>1</v>
      </c>
      <c r="G365" s="6" t="s">
        <v>208</v>
      </c>
      <c r="H365" s="6">
        <f t="shared" ref="H365:H423" si="31">INT(D365&amp;E365&amp;TEXT(F365,"00"))</f>
        <v>2201</v>
      </c>
      <c r="I365" s="6">
        <v>7000111</v>
      </c>
      <c r="J365" s="6">
        <v>20000</v>
      </c>
    </row>
    <row r="366" spans="1:10" x14ac:dyDescent="0.3">
      <c r="A366" s="6">
        <f t="shared" si="30"/>
        <v>2201003</v>
      </c>
      <c r="B366" s="6">
        <v>3</v>
      </c>
      <c r="C366" s="6" t="s">
        <v>356</v>
      </c>
      <c r="D366" s="6">
        <v>2</v>
      </c>
      <c r="E366" s="6">
        <v>2</v>
      </c>
      <c r="F366" s="6">
        <v>1</v>
      </c>
      <c r="G366" s="6" t="s">
        <v>208</v>
      </c>
      <c r="H366" s="6">
        <f t="shared" si="31"/>
        <v>2201</v>
      </c>
      <c r="I366" s="6">
        <v>7000113</v>
      </c>
      <c r="J366" s="6">
        <v>20000</v>
      </c>
    </row>
    <row r="367" spans="1:10" x14ac:dyDescent="0.3">
      <c r="A367" s="6">
        <f t="shared" si="30"/>
        <v>2201004</v>
      </c>
      <c r="B367" s="6">
        <v>4</v>
      </c>
      <c r="C367" s="6" t="s">
        <v>352</v>
      </c>
      <c r="D367" s="6">
        <v>2</v>
      </c>
      <c r="E367" s="6">
        <v>2</v>
      </c>
      <c r="F367" s="6">
        <v>1</v>
      </c>
      <c r="G367" s="6" t="s">
        <v>223</v>
      </c>
      <c r="H367" s="6">
        <f t="shared" si="31"/>
        <v>2201</v>
      </c>
      <c r="I367" s="6">
        <v>7000120</v>
      </c>
      <c r="J367" s="6">
        <v>15000</v>
      </c>
    </row>
    <row r="368" spans="1:10" x14ac:dyDescent="0.3">
      <c r="A368" s="6">
        <f t="shared" si="30"/>
        <v>2201005</v>
      </c>
      <c r="B368" s="6">
        <v>5</v>
      </c>
      <c r="C368" s="6" t="s">
        <v>373</v>
      </c>
      <c r="D368" s="6">
        <v>2</v>
      </c>
      <c r="E368" s="6">
        <v>2</v>
      </c>
      <c r="F368" s="6">
        <v>1</v>
      </c>
      <c r="G368" s="6" t="s">
        <v>223</v>
      </c>
      <c r="H368" s="6">
        <f t="shared" si="31"/>
        <v>2201</v>
      </c>
      <c r="I368" s="6">
        <v>7000118</v>
      </c>
      <c r="J368" s="6">
        <v>15000</v>
      </c>
    </row>
    <row r="369" spans="1:10" x14ac:dyDescent="0.3">
      <c r="A369" s="6">
        <f t="shared" si="30"/>
        <v>2201006</v>
      </c>
      <c r="B369" s="6">
        <v>6</v>
      </c>
      <c r="C369" s="6" t="s">
        <v>354</v>
      </c>
      <c r="D369" s="6">
        <v>2</v>
      </c>
      <c r="E369" s="6">
        <v>2</v>
      </c>
      <c r="F369" s="6">
        <v>1</v>
      </c>
      <c r="G369" s="6" t="s">
        <v>222</v>
      </c>
      <c r="H369" s="6">
        <f t="shared" si="31"/>
        <v>2201</v>
      </c>
      <c r="I369" s="6">
        <v>7000140</v>
      </c>
      <c r="J369" s="6">
        <v>10000</v>
      </c>
    </row>
    <row r="370" spans="1:10" x14ac:dyDescent="0.3">
      <c r="A370" s="6">
        <f t="shared" si="30"/>
        <v>2201007</v>
      </c>
      <c r="B370" s="6">
        <v>7</v>
      </c>
      <c r="C370" s="6" t="s">
        <v>396</v>
      </c>
      <c r="D370" s="6">
        <v>2</v>
      </c>
      <c r="E370" s="6">
        <v>2</v>
      </c>
      <c r="F370" s="6">
        <v>1</v>
      </c>
      <c r="G370" s="6" t="s">
        <v>222</v>
      </c>
      <c r="H370" s="6">
        <f t="shared" si="31"/>
        <v>2201</v>
      </c>
      <c r="I370" s="6">
        <v>7000160</v>
      </c>
      <c r="J370" s="6">
        <v>10000</v>
      </c>
    </row>
    <row r="371" spans="1:10" x14ac:dyDescent="0.3">
      <c r="A371" s="6">
        <f t="shared" si="30"/>
        <v>2201008</v>
      </c>
      <c r="B371" s="6">
        <v>8</v>
      </c>
      <c r="C371" s="6" t="s">
        <v>397</v>
      </c>
      <c r="D371" s="6">
        <v>2</v>
      </c>
      <c r="E371" s="6">
        <v>2</v>
      </c>
      <c r="F371" s="6">
        <v>1</v>
      </c>
      <c r="G371" s="6" t="s">
        <v>211</v>
      </c>
      <c r="H371" s="6">
        <f t="shared" si="31"/>
        <v>2201</v>
      </c>
      <c r="I371" s="6">
        <v>7000154</v>
      </c>
      <c r="J371" s="6">
        <v>2000</v>
      </c>
    </row>
    <row r="372" spans="1:10" x14ac:dyDescent="0.3">
      <c r="A372" s="6">
        <f t="shared" si="30"/>
        <v>2201009</v>
      </c>
      <c r="B372" s="6">
        <v>9</v>
      </c>
      <c r="C372" s="6" t="s">
        <v>351</v>
      </c>
      <c r="D372" s="6">
        <v>2</v>
      </c>
      <c r="E372" s="6">
        <v>2</v>
      </c>
      <c r="F372" s="6">
        <v>1</v>
      </c>
      <c r="G372" s="6" t="s">
        <v>212</v>
      </c>
      <c r="H372" s="6">
        <f t="shared" si="31"/>
        <v>2201</v>
      </c>
      <c r="I372" s="6">
        <v>7000112</v>
      </c>
      <c r="J372" s="6">
        <v>500</v>
      </c>
    </row>
    <row r="373" spans="1:10" x14ac:dyDescent="0.3">
      <c r="A373" s="6">
        <f t="shared" si="30"/>
        <v>2201010</v>
      </c>
      <c r="B373" s="6">
        <v>10</v>
      </c>
      <c r="C373" s="6" t="s">
        <v>394</v>
      </c>
      <c r="D373" s="6">
        <v>2</v>
      </c>
      <c r="E373" s="6">
        <v>2</v>
      </c>
      <c r="F373" s="6">
        <v>1</v>
      </c>
      <c r="G373" s="6" t="s">
        <v>213</v>
      </c>
      <c r="H373" s="6">
        <f t="shared" si="31"/>
        <v>2201</v>
      </c>
      <c r="I373" s="6">
        <v>7000169</v>
      </c>
      <c r="J373" s="6">
        <v>100</v>
      </c>
    </row>
    <row r="374" spans="1:10" x14ac:dyDescent="0.3">
      <c r="A374" s="6">
        <f t="shared" si="30"/>
        <v>2202001</v>
      </c>
      <c r="B374" s="6">
        <v>1</v>
      </c>
      <c r="C374" s="6" t="str">
        <f>C364</f>
        <v>인내심</v>
      </c>
      <c r="D374" s="6">
        <v>2</v>
      </c>
      <c r="E374" s="6">
        <v>2</v>
      </c>
      <c r="F374" s="6">
        <v>2</v>
      </c>
      <c r="G374" s="6" t="s">
        <v>208</v>
      </c>
      <c r="H374" s="6">
        <f t="shared" si="31"/>
        <v>2202</v>
      </c>
      <c r="I374" s="6">
        <v>7000102</v>
      </c>
      <c r="J374" s="6">
        <v>18000</v>
      </c>
    </row>
    <row r="375" spans="1:10" x14ac:dyDescent="0.3">
      <c r="A375" s="6">
        <f t="shared" si="30"/>
        <v>2202002</v>
      </c>
      <c r="B375" s="6">
        <v>2</v>
      </c>
      <c r="C375" s="6" t="str">
        <f t="shared" ref="C375:C423" si="32">C365</f>
        <v>결벽증</v>
      </c>
      <c r="D375" s="6">
        <v>2</v>
      </c>
      <c r="E375" s="6">
        <v>2</v>
      </c>
      <c r="F375" s="6">
        <v>2</v>
      </c>
      <c r="G375" s="6" t="s">
        <v>208</v>
      </c>
      <c r="H375" s="6">
        <f t="shared" si="31"/>
        <v>2202</v>
      </c>
      <c r="I375" s="6">
        <v>7000111</v>
      </c>
      <c r="J375" s="6">
        <v>18000</v>
      </c>
    </row>
    <row r="376" spans="1:10" x14ac:dyDescent="0.3">
      <c r="A376" s="6">
        <f t="shared" si="30"/>
        <v>2202003</v>
      </c>
      <c r="B376" s="6">
        <v>3</v>
      </c>
      <c r="C376" s="6" t="str">
        <f t="shared" si="32"/>
        <v>완벽주의자</v>
      </c>
      <c r="D376" s="6">
        <v>2</v>
      </c>
      <c r="E376" s="6">
        <v>2</v>
      </c>
      <c r="F376" s="6">
        <v>2</v>
      </c>
      <c r="G376" s="6" t="s">
        <v>208</v>
      </c>
      <c r="H376" s="6">
        <f t="shared" si="31"/>
        <v>2202</v>
      </c>
      <c r="I376" s="6">
        <v>7000113</v>
      </c>
      <c r="J376" s="6">
        <v>18000</v>
      </c>
    </row>
    <row r="377" spans="1:10" x14ac:dyDescent="0.3">
      <c r="A377" s="6">
        <f t="shared" si="30"/>
        <v>2202004</v>
      </c>
      <c r="B377" s="6">
        <v>4</v>
      </c>
      <c r="C377" s="6" t="str">
        <f t="shared" si="32"/>
        <v>철벽</v>
      </c>
      <c r="D377" s="6">
        <v>2</v>
      </c>
      <c r="E377" s="6">
        <v>2</v>
      </c>
      <c r="F377" s="6">
        <v>2</v>
      </c>
      <c r="G377" s="6" t="s">
        <v>209</v>
      </c>
      <c r="H377" s="6">
        <f t="shared" si="31"/>
        <v>2202</v>
      </c>
      <c r="I377" s="6">
        <v>7000120</v>
      </c>
      <c r="J377" s="6">
        <v>14500</v>
      </c>
    </row>
    <row r="378" spans="1:10" x14ac:dyDescent="0.3">
      <c r="A378" s="6">
        <f t="shared" si="30"/>
        <v>2202005</v>
      </c>
      <c r="B378" s="6">
        <v>5</v>
      </c>
      <c r="C378" s="6" t="str">
        <f t="shared" si="32"/>
        <v>경계심</v>
      </c>
      <c r="D378" s="6">
        <v>2</v>
      </c>
      <c r="E378" s="6">
        <v>2</v>
      </c>
      <c r="F378" s="6">
        <v>2</v>
      </c>
      <c r="G378" s="6" t="s">
        <v>209</v>
      </c>
      <c r="H378" s="6">
        <f t="shared" si="31"/>
        <v>2202</v>
      </c>
      <c r="I378" s="6">
        <v>7000118</v>
      </c>
      <c r="J378" s="6">
        <v>14500</v>
      </c>
    </row>
    <row r="379" spans="1:10" x14ac:dyDescent="0.3">
      <c r="A379" s="6">
        <f t="shared" si="30"/>
        <v>2202006</v>
      </c>
      <c r="B379" s="6">
        <v>6</v>
      </c>
      <c r="C379" s="6" t="str">
        <f t="shared" si="32"/>
        <v>지구력</v>
      </c>
      <c r="D379" s="6">
        <v>2</v>
      </c>
      <c r="E379" s="6">
        <v>2</v>
      </c>
      <c r="F379" s="6">
        <v>2</v>
      </c>
      <c r="G379" s="6" t="s">
        <v>210</v>
      </c>
      <c r="H379" s="6">
        <f t="shared" si="31"/>
        <v>2202</v>
      </c>
      <c r="I379" s="6">
        <v>7000140</v>
      </c>
      <c r="J379" s="6">
        <v>9500</v>
      </c>
    </row>
    <row r="380" spans="1:10" x14ac:dyDescent="0.3">
      <c r="A380" s="6">
        <f t="shared" si="30"/>
        <v>2202007</v>
      </c>
      <c r="B380" s="6">
        <v>7</v>
      </c>
      <c r="C380" s="6" t="str">
        <f t="shared" si="32"/>
        <v>둔감</v>
      </c>
      <c r="D380" s="6">
        <v>2</v>
      </c>
      <c r="E380" s="6">
        <v>2</v>
      </c>
      <c r="F380" s="6">
        <v>2</v>
      </c>
      <c r="G380" s="6" t="s">
        <v>210</v>
      </c>
      <c r="H380" s="6">
        <f t="shared" si="31"/>
        <v>2202</v>
      </c>
      <c r="I380" s="6">
        <v>7000160</v>
      </c>
      <c r="J380" s="6">
        <v>9500</v>
      </c>
    </row>
    <row r="381" spans="1:10" x14ac:dyDescent="0.3">
      <c r="A381" s="6">
        <f t="shared" si="30"/>
        <v>2202008</v>
      </c>
      <c r="B381" s="6">
        <v>8</v>
      </c>
      <c r="C381" s="6" t="str">
        <f t="shared" si="32"/>
        <v>철면피</v>
      </c>
      <c r="D381" s="6">
        <v>2</v>
      </c>
      <c r="E381" s="6">
        <v>2</v>
      </c>
      <c r="F381" s="6">
        <v>2</v>
      </c>
      <c r="G381" s="6" t="s">
        <v>211</v>
      </c>
      <c r="H381" s="6">
        <f t="shared" si="31"/>
        <v>2202</v>
      </c>
      <c r="I381" s="6">
        <v>7000154</v>
      </c>
      <c r="J381" s="6">
        <v>1900</v>
      </c>
    </row>
    <row r="382" spans="1:10" x14ac:dyDescent="0.3">
      <c r="A382" s="6">
        <f t="shared" si="30"/>
        <v>2202009</v>
      </c>
      <c r="B382" s="6">
        <v>9</v>
      </c>
      <c r="C382" s="6" t="str">
        <f t="shared" si="32"/>
        <v>허영심</v>
      </c>
      <c r="D382" s="6">
        <v>2</v>
      </c>
      <c r="E382" s="6">
        <v>2</v>
      </c>
      <c r="F382" s="6">
        <v>2</v>
      </c>
      <c r="G382" s="6" t="s">
        <v>212</v>
      </c>
      <c r="H382" s="6">
        <f t="shared" si="31"/>
        <v>2202</v>
      </c>
      <c r="I382" s="6">
        <v>7000112</v>
      </c>
      <c r="J382" s="6">
        <v>500</v>
      </c>
    </row>
    <row r="383" spans="1:10" x14ac:dyDescent="0.3">
      <c r="A383" s="6">
        <f t="shared" si="30"/>
        <v>2202010</v>
      </c>
      <c r="B383" s="6">
        <v>10</v>
      </c>
      <c r="C383" s="6" t="str">
        <f t="shared" si="32"/>
        <v>안정</v>
      </c>
      <c r="D383" s="6">
        <v>2</v>
      </c>
      <c r="E383" s="6">
        <v>2</v>
      </c>
      <c r="F383" s="6">
        <v>2</v>
      </c>
      <c r="G383" s="6" t="s">
        <v>213</v>
      </c>
      <c r="H383" s="6">
        <f t="shared" si="31"/>
        <v>2202</v>
      </c>
      <c r="I383" s="6">
        <v>7000169</v>
      </c>
      <c r="J383" s="6">
        <v>100</v>
      </c>
    </row>
    <row r="384" spans="1:10" x14ac:dyDescent="0.3">
      <c r="A384" s="6">
        <f t="shared" si="30"/>
        <v>2203001</v>
      </c>
      <c r="B384" s="6">
        <v>1</v>
      </c>
      <c r="C384" s="6" t="str">
        <f>C374</f>
        <v>인내심</v>
      </c>
      <c r="D384" s="6">
        <v>2</v>
      </c>
      <c r="E384" s="6">
        <v>2</v>
      </c>
      <c r="F384" s="6">
        <v>3</v>
      </c>
      <c r="G384" s="6" t="s">
        <v>208</v>
      </c>
      <c r="H384" s="6">
        <f t="shared" si="31"/>
        <v>2203</v>
      </c>
      <c r="I384" s="6">
        <v>7000102</v>
      </c>
      <c r="J384" s="6">
        <v>16000</v>
      </c>
    </row>
    <row r="385" spans="1:10" x14ac:dyDescent="0.3">
      <c r="A385" s="6">
        <f t="shared" si="30"/>
        <v>2203002</v>
      </c>
      <c r="B385" s="6">
        <v>2</v>
      </c>
      <c r="C385" s="6" t="str">
        <f t="shared" si="32"/>
        <v>결벽증</v>
      </c>
      <c r="D385" s="6">
        <v>2</v>
      </c>
      <c r="E385" s="6">
        <v>2</v>
      </c>
      <c r="F385" s="6">
        <v>3</v>
      </c>
      <c r="G385" s="6" t="s">
        <v>208</v>
      </c>
      <c r="H385" s="6">
        <f t="shared" si="31"/>
        <v>2203</v>
      </c>
      <c r="I385" s="6">
        <v>7000111</v>
      </c>
      <c r="J385" s="6">
        <v>16000</v>
      </c>
    </row>
    <row r="386" spans="1:10" x14ac:dyDescent="0.3">
      <c r="A386" s="6">
        <f t="shared" si="30"/>
        <v>2203003</v>
      </c>
      <c r="B386" s="6">
        <v>3</v>
      </c>
      <c r="C386" s="6" t="str">
        <f t="shared" si="32"/>
        <v>완벽주의자</v>
      </c>
      <c r="D386" s="6">
        <v>2</v>
      </c>
      <c r="E386" s="6">
        <v>2</v>
      </c>
      <c r="F386" s="6">
        <v>3</v>
      </c>
      <c r="G386" s="6" t="s">
        <v>208</v>
      </c>
      <c r="H386" s="6">
        <f t="shared" si="31"/>
        <v>2203</v>
      </c>
      <c r="I386" s="6">
        <v>7000113</v>
      </c>
      <c r="J386" s="6">
        <v>16000</v>
      </c>
    </row>
    <row r="387" spans="1:10" x14ac:dyDescent="0.3">
      <c r="A387" s="6">
        <f t="shared" si="30"/>
        <v>2203004</v>
      </c>
      <c r="B387" s="6">
        <v>4</v>
      </c>
      <c r="C387" s="6" t="str">
        <f t="shared" si="32"/>
        <v>철벽</v>
      </c>
      <c r="D387" s="6">
        <v>2</v>
      </c>
      <c r="E387" s="6">
        <v>2</v>
      </c>
      <c r="F387" s="6">
        <v>3</v>
      </c>
      <c r="G387" s="6" t="s">
        <v>209</v>
      </c>
      <c r="H387" s="6">
        <f t="shared" si="31"/>
        <v>2203</v>
      </c>
      <c r="I387" s="6">
        <v>7000120</v>
      </c>
      <c r="J387" s="6">
        <v>14000</v>
      </c>
    </row>
    <row r="388" spans="1:10" x14ac:dyDescent="0.3">
      <c r="A388" s="6">
        <f t="shared" si="30"/>
        <v>2203005</v>
      </c>
      <c r="B388" s="6">
        <v>5</v>
      </c>
      <c r="C388" s="6" t="str">
        <f t="shared" si="32"/>
        <v>경계심</v>
      </c>
      <c r="D388" s="6">
        <v>2</v>
      </c>
      <c r="E388" s="6">
        <v>2</v>
      </c>
      <c r="F388" s="6">
        <v>3</v>
      </c>
      <c r="G388" s="6" t="s">
        <v>209</v>
      </c>
      <c r="H388" s="6">
        <f t="shared" si="31"/>
        <v>2203</v>
      </c>
      <c r="I388" s="6">
        <v>7000118</v>
      </c>
      <c r="J388" s="6">
        <v>14000</v>
      </c>
    </row>
    <row r="389" spans="1:10" x14ac:dyDescent="0.3">
      <c r="A389" s="6">
        <f t="shared" si="30"/>
        <v>2203006</v>
      </c>
      <c r="B389" s="6">
        <v>6</v>
      </c>
      <c r="C389" s="6" t="str">
        <f t="shared" si="32"/>
        <v>지구력</v>
      </c>
      <c r="D389" s="6">
        <v>2</v>
      </c>
      <c r="E389" s="6">
        <v>2</v>
      </c>
      <c r="F389" s="6">
        <v>3</v>
      </c>
      <c r="G389" s="6" t="s">
        <v>210</v>
      </c>
      <c r="H389" s="6">
        <f t="shared" si="31"/>
        <v>2203</v>
      </c>
      <c r="I389" s="6">
        <v>7000140</v>
      </c>
      <c r="J389" s="6">
        <v>9000</v>
      </c>
    </row>
    <row r="390" spans="1:10" x14ac:dyDescent="0.3">
      <c r="A390" s="6">
        <f t="shared" si="30"/>
        <v>2203007</v>
      </c>
      <c r="B390" s="6">
        <v>7</v>
      </c>
      <c r="C390" s="6" t="str">
        <f t="shared" si="32"/>
        <v>둔감</v>
      </c>
      <c r="D390" s="6">
        <v>2</v>
      </c>
      <c r="E390" s="6">
        <v>2</v>
      </c>
      <c r="F390" s="6">
        <v>3</v>
      </c>
      <c r="G390" s="6" t="s">
        <v>210</v>
      </c>
      <c r="H390" s="6">
        <f t="shared" si="31"/>
        <v>2203</v>
      </c>
      <c r="I390" s="6">
        <v>7000160</v>
      </c>
      <c r="J390" s="6">
        <v>9000</v>
      </c>
    </row>
    <row r="391" spans="1:10" x14ac:dyDescent="0.3">
      <c r="A391" s="6">
        <f t="shared" si="30"/>
        <v>2203008</v>
      </c>
      <c r="B391" s="6">
        <v>8</v>
      </c>
      <c r="C391" s="6" t="str">
        <f t="shared" si="32"/>
        <v>철면피</v>
      </c>
      <c r="D391" s="6">
        <v>2</v>
      </c>
      <c r="E391" s="6">
        <v>2</v>
      </c>
      <c r="F391" s="6">
        <v>3</v>
      </c>
      <c r="G391" s="6" t="s">
        <v>211</v>
      </c>
      <c r="H391" s="6">
        <f t="shared" si="31"/>
        <v>2203</v>
      </c>
      <c r="I391" s="6">
        <v>7000154</v>
      </c>
      <c r="J391" s="6">
        <v>1800</v>
      </c>
    </row>
    <row r="392" spans="1:10" x14ac:dyDescent="0.3">
      <c r="A392" s="6">
        <f t="shared" si="30"/>
        <v>2203009</v>
      </c>
      <c r="B392" s="6">
        <v>9</v>
      </c>
      <c r="C392" s="6" t="str">
        <f t="shared" si="32"/>
        <v>허영심</v>
      </c>
      <c r="D392" s="6">
        <v>2</v>
      </c>
      <c r="E392" s="6">
        <v>2</v>
      </c>
      <c r="F392" s="6">
        <v>3</v>
      </c>
      <c r="G392" s="6" t="s">
        <v>212</v>
      </c>
      <c r="H392" s="6">
        <f t="shared" si="31"/>
        <v>2203</v>
      </c>
      <c r="I392" s="6">
        <v>7000112</v>
      </c>
      <c r="J392" s="6">
        <v>500</v>
      </c>
    </row>
    <row r="393" spans="1:10" x14ac:dyDescent="0.3">
      <c r="A393" s="6">
        <f t="shared" si="30"/>
        <v>2203010</v>
      </c>
      <c r="B393" s="6">
        <v>10</v>
      </c>
      <c r="C393" s="6" t="str">
        <f t="shared" si="32"/>
        <v>안정</v>
      </c>
      <c r="D393" s="6">
        <v>2</v>
      </c>
      <c r="E393" s="6">
        <v>2</v>
      </c>
      <c r="F393" s="6">
        <v>3</v>
      </c>
      <c r="G393" s="6" t="s">
        <v>213</v>
      </c>
      <c r="H393" s="6">
        <f t="shared" si="31"/>
        <v>2203</v>
      </c>
      <c r="I393" s="6">
        <v>7000169</v>
      </c>
      <c r="J393" s="6">
        <v>100</v>
      </c>
    </row>
    <row r="394" spans="1:10" x14ac:dyDescent="0.3">
      <c r="A394" s="6">
        <f t="shared" si="30"/>
        <v>2204001</v>
      </c>
      <c r="B394" s="6">
        <v>1</v>
      </c>
      <c r="C394" s="6" t="str">
        <f>C384</f>
        <v>인내심</v>
      </c>
      <c r="D394" s="6">
        <v>2</v>
      </c>
      <c r="E394" s="6">
        <v>2</v>
      </c>
      <c r="F394" s="6">
        <v>4</v>
      </c>
      <c r="G394" s="6" t="s">
        <v>208</v>
      </c>
      <c r="H394" s="6">
        <f t="shared" si="31"/>
        <v>2204</v>
      </c>
      <c r="I394" s="6">
        <v>7000102</v>
      </c>
      <c r="J394" s="6">
        <v>14000</v>
      </c>
    </row>
    <row r="395" spans="1:10" x14ac:dyDescent="0.3">
      <c r="A395" s="6">
        <f t="shared" si="30"/>
        <v>2204002</v>
      </c>
      <c r="B395" s="6">
        <v>2</v>
      </c>
      <c r="C395" s="6" t="str">
        <f t="shared" si="32"/>
        <v>결벽증</v>
      </c>
      <c r="D395" s="6">
        <v>2</v>
      </c>
      <c r="E395" s="6">
        <v>2</v>
      </c>
      <c r="F395" s="6">
        <v>4</v>
      </c>
      <c r="G395" s="6" t="s">
        <v>208</v>
      </c>
      <c r="H395" s="6">
        <f t="shared" si="31"/>
        <v>2204</v>
      </c>
      <c r="I395" s="6">
        <v>7000111</v>
      </c>
      <c r="J395" s="6">
        <v>14000</v>
      </c>
    </row>
    <row r="396" spans="1:10" x14ac:dyDescent="0.3">
      <c r="A396" s="6">
        <f t="shared" si="30"/>
        <v>2204003</v>
      </c>
      <c r="B396" s="6">
        <v>3</v>
      </c>
      <c r="C396" s="6" t="str">
        <f t="shared" si="32"/>
        <v>완벽주의자</v>
      </c>
      <c r="D396" s="6">
        <v>2</v>
      </c>
      <c r="E396" s="6">
        <v>2</v>
      </c>
      <c r="F396" s="6">
        <v>4</v>
      </c>
      <c r="G396" s="6" t="s">
        <v>208</v>
      </c>
      <c r="H396" s="6">
        <f t="shared" si="31"/>
        <v>2204</v>
      </c>
      <c r="I396" s="6">
        <v>7000113</v>
      </c>
      <c r="J396" s="6">
        <v>14000</v>
      </c>
    </row>
    <row r="397" spans="1:10" x14ac:dyDescent="0.3">
      <c r="A397" s="6">
        <f t="shared" si="30"/>
        <v>2204004</v>
      </c>
      <c r="B397" s="6">
        <v>4</v>
      </c>
      <c r="C397" s="6" t="str">
        <f t="shared" si="32"/>
        <v>철벽</v>
      </c>
      <c r="D397" s="6">
        <v>2</v>
      </c>
      <c r="E397" s="6">
        <v>2</v>
      </c>
      <c r="F397" s="6">
        <v>4</v>
      </c>
      <c r="G397" s="6" t="s">
        <v>209</v>
      </c>
      <c r="H397" s="6">
        <f t="shared" si="31"/>
        <v>2204</v>
      </c>
      <c r="I397" s="6">
        <v>7000120</v>
      </c>
      <c r="J397" s="6">
        <v>13500</v>
      </c>
    </row>
    <row r="398" spans="1:10" x14ac:dyDescent="0.3">
      <c r="A398" s="6">
        <f t="shared" si="30"/>
        <v>2204005</v>
      </c>
      <c r="B398" s="6">
        <v>5</v>
      </c>
      <c r="C398" s="6" t="str">
        <f t="shared" si="32"/>
        <v>경계심</v>
      </c>
      <c r="D398" s="6">
        <v>2</v>
      </c>
      <c r="E398" s="6">
        <v>2</v>
      </c>
      <c r="F398" s="6">
        <v>4</v>
      </c>
      <c r="G398" s="6" t="s">
        <v>209</v>
      </c>
      <c r="H398" s="6">
        <f t="shared" si="31"/>
        <v>2204</v>
      </c>
      <c r="I398" s="6">
        <v>7000118</v>
      </c>
      <c r="J398" s="6">
        <v>13500</v>
      </c>
    </row>
    <row r="399" spans="1:10" x14ac:dyDescent="0.3">
      <c r="A399" s="6">
        <f t="shared" si="30"/>
        <v>2204006</v>
      </c>
      <c r="B399" s="6">
        <v>6</v>
      </c>
      <c r="C399" s="6" t="str">
        <f t="shared" si="32"/>
        <v>지구력</v>
      </c>
      <c r="D399" s="6">
        <v>2</v>
      </c>
      <c r="E399" s="6">
        <v>2</v>
      </c>
      <c r="F399" s="6">
        <v>4</v>
      </c>
      <c r="G399" s="6" t="s">
        <v>210</v>
      </c>
      <c r="H399" s="6">
        <f t="shared" si="31"/>
        <v>2204</v>
      </c>
      <c r="I399" s="6">
        <v>7000140</v>
      </c>
      <c r="J399" s="6">
        <v>8500</v>
      </c>
    </row>
    <row r="400" spans="1:10" x14ac:dyDescent="0.3">
      <c r="A400" s="6">
        <f t="shared" si="30"/>
        <v>2204007</v>
      </c>
      <c r="B400" s="6">
        <v>7</v>
      </c>
      <c r="C400" s="6" t="str">
        <f t="shared" si="32"/>
        <v>둔감</v>
      </c>
      <c r="D400" s="6">
        <v>2</v>
      </c>
      <c r="E400" s="6">
        <v>2</v>
      </c>
      <c r="F400" s="6">
        <v>4</v>
      </c>
      <c r="G400" s="6" t="s">
        <v>210</v>
      </c>
      <c r="H400" s="6">
        <f t="shared" si="31"/>
        <v>2204</v>
      </c>
      <c r="I400" s="6">
        <v>7000160</v>
      </c>
      <c r="J400" s="6">
        <v>8500</v>
      </c>
    </row>
    <row r="401" spans="1:10" x14ac:dyDescent="0.3">
      <c r="A401" s="6">
        <f t="shared" si="30"/>
        <v>2204008</v>
      </c>
      <c r="B401" s="6">
        <v>8</v>
      </c>
      <c r="C401" s="6" t="str">
        <f t="shared" si="32"/>
        <v>철면피</v>
      </c>
      <c r="D401" s="6">
        <v>2</v>
      </c>
      <c r="E401" s="6">
        <v>2</v>
      </c>
      <c r="F401" s="6">
        <v>4</v>
      </c>
      <c r="G401" s="6" t="s">
        <v>211</v>
      </c>
      <c r="H401" s="6">
        <f t="shared" si="31"/>
        <v>2204</v>
      </c>
      <c r="I401" s="6">
        <v>7000154</v>
      </c>
      <c r="J401" s="6">
        <v>1700</v>
      </c>
    </row>
    <row r="402" spans="1:10" x14ac:dyDescent="0.3">
      <c r="A402" s="6">
        <f t="shared" si="30"/>
        <v>2204009</v>
      </c>
      <c r="B402" s="6">
        <v>9</v>
      </c>
      <c r="C402" s="6" t="str">
        <f t="shared" si="32"/>
        <v>허영심</v>
      </c>
      <c r="D402" s="6">
        <v>2</v>
      </c>
      <c r="E402" s="6">
        <v>2</v>
      </c>
      <c r="F402" s="6">
        <v>4</v>
      </c>
      <c r="G402" s="6" t="s">
        <v>212</v>
      </c>
      <c r="H402" s="6">
        <f t="shared" si="31"/>
        <v>2204</v>
      </c>
      <c r="I402" s="6">
        <v>7000112</v>
      </c>
      <c r="J402" s="6">
        <v>500</v>
      </c>
    </row>
    <row r="403" spans="1:10" x14ac:dyDescent="0.3">
      <c r="A403" s="6">
        <f t="shared" si="30"/>
        <v>2204010</v>
      </c>
      <c r="B403" s="6">
        <v>10</v>
      </c>
      <c r="C403" s="6" t="str">
        <f t="shared" si="32"/>
        <v>안정</v>
      </c>
      <c r="D403" s="6">
        <v>2</v>
      </c>
      <c r="E403" s="6">
        <v>2</v>
      </c>
      <c r="F403" s="6">
        <v>4</v>
      </c>
      <c r="G403" s="6" t="s">
        <v>213</v>
      </c>
      <c r="H403" s="6">
        <f t="shared" si="31"/>
        <v>2204</v>
      </c>
      <c r="I403" s="6">
        <v>7000169</v>
      </c>
      <c r="J403" s="6">
        <v>100</v>
      </c>
    </row>
    <row r="404" spans="1:10" x14ac:dyDescent="0.3">
      <c r="A404" s="6">
        <f t="shared" si="30"/>
        <v>2205001</v>
      </c>
      <c r="B404" s="6">
        <v>1</v>
      </c>
      <c r="C404" s="6" t="str">
        <f>C394</f>
        <v>인내심</v>
      </c>
      <c r="D404" s="6">
        <v>2</v>
      </c>
      <c r="E404" s="6">
        <v>2</v>
      </c>
      <c r="F404" s="6">
        <v>5</v>
      </c>
      <c r="G404" s="6" t="s">
        <v>208</v>
      </c>
      <c r="H404" s="6">
        <f t="shared" si="31"/>
        <v>2205</v>
      </c>
      <c r="I404" s="6">
        <v>7000102</v>
      </c>
      <c r="J404" s="6">
        <v>12000</v>
      </c>
    </row>
    <row r="405" spans="1:10" x14ac:dyDescent="0.3">
      <c r="A405" s="6">
        <f t="shared" si="30"/>
        <v>2205002</v>
      </c>
      <c r="B405" s="6">
        <v>2</v>
      </c>
      <c r="C405" s="6" t="str">
        <f t="shared" si="32"/>
        <v>결벽증</v>
      </c>
      <c r="D405" s="6">
        <v>2</v>
      </c>
      <c r="E405" s="6">
        <v>2</v>
      </c>
      <c r="F405" s="6">
        <v>5</v>
      </c>
      <c r="G405" s="6" t="s">
        <v>208</v>
      </c>
      <c r="H405" s="6">
        <f t="shared" si="31"/>
        <v>2205</v>
      </c>
      <c r="I405" s="6">
        <v>7000111</v>
      </c>
      <c r="J405" s="6">
        <v>12000</v>
      </c>
    </row>
    <row r="406" spans="1:10" x14ac:dyDescent="0.3">
      <c r="A406" s="6">
        <f t="shared" si="30"/>
        <v>2205003</v>
      </c>
      <c r="B406" s="6">
        <v>3</v>
      </c>
      <c r="C406" s="6" t="str">
        <f t="shared" si="32"/>
        <v>완벽주의자</v>
      </c>
      <c r="D406" s="6">
        <v>2</v>
      </c>
      <c r="E406" s="6">
        <v>2</v>
      </c>
      <c r="F406" s="6">
        <v>5</v>
      </c>
      <c r="G406" s="6" t="s">
        <v>208</v>
      </c>
      <c r="H406" s="6">
        <f t="shared" si="31"/>
        <v>2205</v>
      </c>
      <c r="I406" s="6">
        <v>7000113</v>
      </c>
      <c r="J406" s="6">
        <v>12000</v>
      </c>
    </row>
    <row r="407" spans="1:10" x14ac:dyDescent="0.3">
      <c r="A407" s="6">
        <f t="shared" si="30"/>
        <v>2205004</v>
      </c>
      <c r="B407" s="6">
        <v>4</v>
      </c>
      <c r="C407" s="6" t="str">
        <f t="shared" si="32"/>
        <v>철벽</v>
      </c>
      <c r="D407" s="6">
        <v>2</v>
      </c>
      <c r="E407" s="6">
        <v>2</v>
      </c>
      <c r="F407" s="6">
        <v>5</v>
      </c>
      <c r="G407" s="6" t="s">
        <v>209</v>
      </c>
      <c r="H407" s="6">
        <f t="shared" si="31"/>
        <v>2205</v>
      </c>
      <c r="I407" s="6">
        <v>7000120</v>
      </c>
      <c r="J407" s="6">
        <v>13000</v>
      </c>
    </row>
    <row r="408" spans="1:10" x14ac:dyDescent="0.3">
      <c r="A408" s="6">
        <f t="shared" si="30"/>
        <v>2205005</v>
      </c>
      <c r="B408" s="6">
        <v>5</v>
      </c>
      <c r="C408" s="6" t="str">
        <f t="shared" si="32"/>
        <v>경계심</v>
      </c>
      <c r="D408" s="6">
        <v>2</v>
      </c>
      <c r="E408" s="6">
        <v>2</v>
      </c>
      <c r="F408" s="6">
        <v>5</v>
      </c>
      <c r="G408" s="6" t="s">
        <v>209</v>
      </c>
      <c r="H408" s="6">
        <f t="shared" si="31"/>
        <v>2205</v>
      </c>
      <c r="I408" s="6">
        <v>7000118</v>
      </c>
      <c r="J408" s="6">
        <v>13000</v>
      </c>
    </row>
    <row r="409" spans="1:10" x14ac:dyDescent="0.3">
      <c r="A409" s="6">
        <f t="shared" si="30"/>
        <v>2205006</v>
      </c>
      <c r="B409" s="6">
        <v>6</v>
      </c>
      <c r="C409" s="6" t="str">
        <f t="shared" si="32"/>
        <v>지구력</v>
      </c>
      <c r="D409" s="6">
        <v>2</v>
      </c>
      <c r="E409" s="6">
        <v>2</v>
      </c>
      <c r="F409" s="6">
        <v>5</v>
      </c>
      <c r="G409" s="6" t="s">
        <v>210</v>
      </c>
      <c r="H409" s="6">
        <f t="shared" si="31"/>
        <v>2205</v>
      </c>
      <c r="I409" s="6">
        <v>7000140</v>
      </c>
      <c r="J409" s="6">
        <v>8000</v>
      </c>
    </row>
    <row r="410" spans="1:10" x14ac:dyDescent="0.3">
      <c r="A410" s="6">
        <f t="shared" si="30"/>
        <v>2205007</v>
      </c>
      <c r="B410" s="6">
        <v>7</v>
      </c>
      <c r="C410" s="6" t="str">
        <f t="shared" si="32"/>
        <v>둔감</v>
      </c>
      <c r="D410" s="6">
        <v>2</v>
      </c>
      <c r="E410" s="6">
        <v>2</v>
      </c>
      <c r="F410" s="6">
        <v>5</v>
      </c>
      <c r="G410" s="6" t="s">
        <v>210</v>
      </c>
      <c r="H410" s="6">
        <f t="shared" si="31"/>
        <v>2205</v>
      </c>
      <c r="I410" s="6">
        <v>7000160</v>
      </c>
      <c r="J410" s="6">
        <v>8000</v>
      </c>
    </row>
    <row r="411" spans="1:10" x14ac:dyDescent="0.3">
      <c r="A411" s="6">
        <f t="shared" si="30"/>
        <v>2205008</v>
      </c>
      <c r="B411" s="6">
        <v>8</v>
      </c>
      <c r="C411" s="6" t="str">
        <f t="shared" si="32"/>
        <v>철면피</v>
      </c>
      <c r="D411" s="6">
        <v>2</v>
      </c>
      <c r="E411" s="6">
        <v>2</v>
      </c>
      <c r="F411" s="6">
        <v>5</v>
      </c>
      <c r="G411" s="6" t="s">
        <v>211</v>
      </c>
      <c r="H411" s="6">
        <f t="shared" si="31"/>
        <v>2205</v>
      </c>
      <c r="I411" s="6">
        <v>7000154</v>
      </c>
      <c r="J411" s="6">
        <v>1600</v>
      </c>
    </row>
    <row r="412" spans="1:10" x14ac:dyDescent="0.3">
      <c r="A412" s="6">
        <f t="shared" si="30"/>
        <v>2205009</v>
      </c>
      <c r="B412" s="6">
        <v>9</v>
      </c>
      <c r="C412" s="6" t="str">
        <f t="shared" si="32"/>
        <v>허영심</v>
      </c>
      <c r="D412" s="6">
        <v>2</v>
      </c>
      <c r="E412" s="6">
        <v>2</v>
      </c>
      <c r="F412" s="6">
        <v>5</v>
      </c>
      <c r="G412" s="6" t="s">
        <v>212</v>
      </c>
      <c r="H412" s="6">
        <f t="shared" si="31"/>
        <v>2205</v>
      </c>
      <c r="I412" s="6">
        <v>7000112</v>
      </c>
      <c r="J412" s="6">
        <v>500</v>
      </c>
    </row>
    <row r="413" spans="1:10" x14ac:dyDescent="0.3">
      <c r="A413" s="6">
        <f t="shared" si="30"/>
        <v>2205010</v>
      </c>
      <c r="B413" s="6">
        <v>10</v>
      </c>
      <c r="C413" s="6" t="str">
        <f t="shared" si="32"/>
        <v>안정</v>
      </c>
      <c r="D413" s="6">
        <v>2</v>
      </c>
      <c r="E413" s="6">
        <v>2</v>
      </c>
      <c r="F413" s="6">
        <v>5</v>
      </c>
      <c r="G413" s="6" t="s">
        <v>213</v>
      </c>
      <c r="H413" s="6">
        <f t="shared" si="31"/>
        <v>2205</v>
      </c>
      <c r="I413" s="6">
        <v>7000169</v>
      </c>
      <c r="J413" s="6">
        <v>100</v>
      </c>
    </row>
    <row r="414" spans="1:10" x14ac:dyDescent="0.3">
      <c r="A414" s="6">
        <f t="shared" si="30"/>
        <v>2206001</v>
      </c>
      <c r="B414" s="6">
        <v>1</v>
      </c>
      <c r="C414" s="6" t="str">
        <f>C404</f>
        <v>인내심</v>
      </c>
      <c r="D414" s="6">
        <v>2</v>
      </c>
      <c r="E414" s="6">
        <v>2</v>
      </c>
      <c r="F414" s="6">
        <v>6</v>
      </c>
      <c r="G414" s="6" t="s">
        <v>208</v>
      </c>
      <c r="H414" s="6">
        <f t="shared" si="31"/>
        <v>2206</v>
      </c>
      <c r="I414" s="6">
        <v>7000102</v>
      </c>
      <c r="J414" s="6">
        <v>10000</v>
      </c>
    </row>
    <row r="415" spans="1:10" x14ac:dyDescent="0.3">
      <c r="A415" s="6">
        <f t="shared" si="30"/>
        <v>2206002</v>
      </c>
      <c r="B415" s="6">
        <v>2</v>
      </c>
      <c r="C415" s="6" t="str">
        <f t="shared" si="32"/>
        <v>결벽증</v>
      </c>
      <c r="D415" s="6">
        <v>2</v>
      </c>
      <c r="E415" s="6">
        <v>2</v>
      </c>
      <c r="F415" s="6">
        <v>6</v>
      </c>
      <c r="G415" s="6" t="s">
        <v>208</v>
      </c>
      <c r="H415" s="6">
        <f t="shared" si="31"/>
        <v>2206</v>
      </c>
      <c r="I415" s="6">
        <v>7000111</v>
      </c>
      <c r="J415" s="6">
        <v>10000</v>
      </c>
    </row>
    <row r="416" spans="1:10" x14ac:dyDescent="0.3">
      <c r="A416" s="6">
        <f t="shared" si="30"/>
        <v>2206003</v>
      </c>
      <c r="B416" s="6">
        <v>3</v>
      </c>
      <c r="C416" s="6" t="str">
        <f t="shared" si="32"/>
        <v>완벽주의자</v>
      </c>
      <c r="D416" s="6">
        <v>2</v>
      </c>
      <c r="E416" s="6">
        <v>2</v>
      </c>
      <c r="F416" s="6">
        <v>6</v>
      </c>
      <c r="G416" s="6" t="s">
        <v>208</v>
      </c>
      <c r="H416" s="6">
        <f t="shared" si="31"/>
        <v>2206</v>
      </c>
      <c r="I416" s="6">
        <v>7000113</v>
      </c>
      <c r="J416" s="6">
        <v>10000</v>
      </c>
    </row>
    <row r="417" spans="1:10" x14ac:dyDescent="0.3">
      <c r="A417" s="6">
        <f t="shared" si="30"/>
        <v>2206004</v>
      </c>
      <c r="B417" s="6">
        <v>4</v>
      </c>
      <c r="C417" s="6" t="str">
        <f t="shared" si="32"/>
        <v>철벽</v>
      </c>
      <c r="D417" s="6">
        <v>2</v>
      </c>
      <c r="E417" s="6">
        <v>2</v>
      </c>
      <c r="F417" s="6">
        <v>6</v>
      </c>
      <c r="G417" s="6" t="s">
        <v>209</v>
      </c>
      <c r="H417" s="6">
        <f t="shared" si="31"/>
        <v>2206</v>
      </c>
      <c r="I417" s="6">
        <v>7000120</v>
      </c>
      <c r="J417" s="6">
        <v>12500</v>
      </c>
    </row>
    <row r="418" spans="1:10" x14ac:dyDescent="0.3">
      <c r="A418" s="6">
        <f t="shared" si="30"/>
        <v>2206005</v>
      </c>
      <c r="B418" s="6">
        <v>5</v>
      </c>
      <c r="C418" s="6" t="str">
        <f t="shared" si="32"/>
        <v>경계심</v>
      </c>
      <c r="D418" s="6">
        <v>2</v>
      </c>
      <c r="E418" s="6">
        <v>2</v>
      </c>
      <c r="F418" s="6">
        <v>6</v>
      </c>
      <c r="G418" s="6" t="s">
        <v>209</v>
      </c>
      <c r="H418" s="6">
        <f t="shared" si="31"/>
        <v>2206</v>
      </c>
      <c r="I418" s="6">
        <v>7000118</v>
      </c>
      <c r="J418" s="6">
        <v>12500</v>
      </c>
    </row>
    <row r="419" spans="1:10" x14ac:dyDescent="0.3">
      <c r="A419" s="6">
        <f t="shared" si="30"/>
        <v>2206006</v>
      </c>
      <c r="B419" s="6">
        <v>6</v>
      </c>
      <c r="C419" s="6" t="str">
        <f t="shared" si="32"/>
        <v>지구력</v>
      </c>
      <c r="D419" s="6">
        <v>2</v>
      </c>
      <c r="E419" s="6">
        <v>2</v>
      </c>
      <c r="F419" s="6">
        <v>6</v>
      </c>
      <c r="G419" s="6" t="s">
        <v>210</v>
      </c>
      <c r="H419" s="6">
        <f t="shared" si="31"/>
        <v>2206</v>
      </c>
      <c r="I419" s="6">
        <v>7000140</v>
      </c>
      <c r="J419" s="6">
        <v>7500</v>
      </c>
    </row>
    <row r="420" spans="1:10" x14ac:dyDescent="0.3">
      <c r="A420" s="6">
        <f t="shared" si="30"/>
        <v>2206007</v>
      </c>
      <c r="B420" s="6">
        <v>7</v>
      </c>
      <c r="C420" s="6" t="str">
        <f t="shared" si="32"/>
        <v>둔감</v>
      </c>
      <c r="D420" s="6">
        <v>2</v>
      </c>
      <c r="E420" s="6">
        <v>2</v>
      </c>
      <c r="F420" s="6">
        <v>6</v>
      </c>
      <c r="G420" s="6" t="s">
        <v>210</v>
      </c>
      <c r="H420" s="6">
        <f t="shared" si="31"/>
        <v>2206</v>
      </c>
      <c r="I420" s="6">
        <v>7000160</v>
      </c>
      <c r="J420" s="6">
        <v>7500</v>
      </c>
    </row>
    <row r="421" spans="1:10" x14ac:dyDescent="0.3">
      <c r="A421" s="6">
        <f t="shared" si="30"/>
        <v>2206008</v>
      </c>
      <c r="B421" s="6">
        <v>8</v>
      </c>
      <c r="C421" s="6" t="str">
        <f t="shared" si="32"/>
        <v>철면피</v>
      </c>
      <c r="D421" s="6">
        <v>2</v>
      </c>
      <c r="E421" s="6">
        <v>2</v>
      </c>
      <c r="F421" s="6">
        <v>6</v>
      </c>
      <c r="G421" s="6" t="s">
        <v>211</v>
      </c>
      <c r="H421" s="6">
        <f t="shared" si="31"/>
        <v>2206</v>
      </c>
      <c r="I421" s="6">
        <v>7000154</v>
      </c>
      <c r="J421" s="6">
        <v>1500</v>
      </c>
    </row>
    <row r="422" spans="1:10" x14ac:dyDescent="0.3">
      <c r="A422" s="6">
        <f t="shared" si="30"/>
        <v>2206009</v>
      </c>
      <c r="B422" s="6">
        <v>9</v>
      </c>
      <c r="C422" s="6" t="str">
        <f t="shared" si="32"/>
        <v>허영심</v>
      </c>
      <c r="D422" s="6">
        <v>2</v>
      </c>
      <c r="E422" s="6">
        <v>2</v>
      </c>
      <c r="F422" s="6">
        <v>6</v>
      </c>
      <c r="G422" s="6" t="s">
        <v>212</v>
      </c>
      <c r="H422" s="6">
        <f t="shared" si="31"/>
        <v>2206</v>
      </c>
      <c r="I422" s="6">
        <v>7000112</v>
      </c>
      <c r="J422" s="6">
        <v>500</v>
      </c>
    </row>
    <row r="423" spans="1:10" x14ac:dyDescent="0.3">
      <c r="A423" s="6">
        <f t="shared" si="30"/>
        <v>2206010</v>
      </c>
      <c r="B423" s="6">
        <v>10</v>
      </c>
      <c r="C423" s="6" t="str">
        <f t="shared" si="32"/>
        <v>안정</v>
      </c>
      <c r="D423" s="6">
        <v>2</v>
      </c>
      <c r="E423" s="6">
        <v>2</v>
      </c>
      <c r="F423" s="6">
        <v>6</v>
      </c>
      <c r="G423" s="6" t="s">
        <v>213</v>
      </c>
      <c r="H423" s="6">
        <f t="shared" si="31"/>
        <v>2206</v>
      </c>
      <c r="I423" s="6">
        <v>7000169</v>
      </c>
      <c r="J423" s="6">
        <v>100</v>
      </c>
    </row>
    <row r="424" spans="1:10" x14ac:dyDescent="0.3">
      <c r="A424" s="7">
        <f>INT(H424&amp;TEXT(B424,"000"))</f>
        <v>2301001</v>
      </c>
      <c r="B424" s="7">
        <v>1</v>
      </c>
      <c r="C424" s="7" t="s">
        <v>358</v>
      </c>
      <c r="D424" s="7">
        <v>2</v>
      </c>
      <c r="E424" s="7">
        <v>3</v>
      </c>
      <c r="F424" s="7">
        <v>1</v>
      </c>
      <c r="G424" s="7" t="s">
        <v>208</v>
      </c>
      <c r="H424" s="7">
        <f>INT(D424&amp;E424&amp;TEXT(F424,"00"))</f>
        <v>2301</v>
      </c>
      <c r="I424" s="7">
        <v>7000114</v>
      </c>
      <c r="J424" s="7">
        <v>20000</v>
      </c>
    </row>
    <row r="425" spans="1:10" x14ac:dyDescent="0.3">
      <c r="A425" s="6">
        <f t="shared" ref="A425:A483" si="33">INT(H425&amp;TEXT(B425,"000"))</f>
        <v>2301002</v>
      </c>
      <c r="B425" s="6">
        <v>2</v>
      </c>
      <c r="C425" s="6" t="s">
        <v>396</v>
      </c>
      <c r="D425" s="6">
        <v>2</v>
      </c>
      <c r="E425" s="6">
        <v>3</v>
      </c>
      <c r="F425" s="6">
        <v>1</v>
      </c>
      <c r="G425" s="6" t="s">
        <v>208</v>
      </c>
      <c r="H425" s="6">
        <f t="shared" ref="H425:H483" si="34">INT(D425&amp;E425&amp;TEXT(F425,"00"))</f>
        <v>2301</v>
      </c>
      <c r="I425" s="6">
        <v>7000160</v>
      </c>
      <c r="J425" s="6">
        <v>20000</v>
      </c>
    </row>
    <row r="426" spans="1:10" x14ac:dyDescent="0.3">
      <c r="A426" s="6">
        <f t="shared" si="33"/>
        <v>2301003</v>
      </c>
      <c r="B426" s="6">
        <v>3</v>
      </c>
      <c r="C426" s="6" t="s">
        <v>381</v>
      </c>
      <c r="D426" s="6">
        <v>2</v>
      </c>
      <c r="E426" s="6">
        <v>3</v>
      </c>
      <c r="F426" s="6">
        <v>1</v>
      </c>
      <c r="G426" s="6" t="s">
        <v>208</v>
      </c>
      <c r="H426" s="6">
        <f t="shared" si="34"/>
        <v>2301</v>
      </c>
      <c r="I426" s="6">
        <v>7000150</v>
      </c>
      <c r="J426" s="6">
        <v>20000</v>
      </c>
    </row>
    <row r="427" spans="1:10" x14ac:dyDescent="0.3">
      <c r="A427" s="6">
        <f t="shared" si="33"/>
        <v>2301004</v>
      </c>
      <c r="B427" s="6">
        <v>4</v>
      </c>
      <c r="C427" s="6" t="s">
        <v>385</v>
      </c>
      <c r="D427" s="6">
        <v>2</v>
      </c>
      <c r="E427" s="6">
        <v>3</v>
      </c>
      <c r="F427" s="6">
        <v>1</v>
      </c>
      <c r="G427" s="6" t="s">
        <v>223</v>
      </c>
      <c r="H427" s="6">
        <f t="shared" si="34"/>
        <v>2301</v>
      </c>
      <c r="I427" s="6">
        <v>7000165</v>
      </c>
      <c r="J427" s="6">
        <v>15000</v>
      </c>
    </row>
    <row r="428" spans="1:10" x14ac:dyDescent="0.3">
      <c r="A428" s="6">
        <f t="shared" si="33"/>
        <v>2301005</v>
      </c>
      <c r="B428" s="6">
        <v>5</v>
      </c>
      <c r="C428" s="6" t="s">
        <v>398</v>
      </c>
      <c r="D428" s="6">
        <v>2</v>
      </c>
      <c r="E428" s="6">
        <v>3</v>
      </c>
      <c r="F428" s="6">
        <v>1</v>
      </c>
      <c r="G428" s="6" t="s">
        <v>223</v>
      </c>
      <c r="H428" s="6">
        <f t="shared" si="34"/>
        <v>2301</v>
      </c>
      <c r="I428" s="6">
        <v>7000151</v>
      </c>
      <c r="J428" s="6">
        <v>15000</v>
      </c>
    </row>
    <row r="429" spans="1:10" x14ac:dyDescent="0.3">
      <c r="A429" s="6">
        <f t="shared" si="33"/>
        <v>2301006</v>
      </c>
      <c r="B429" s="6">
        <v>6</v>
      </c>
      <c r="C429" s="6" t="s">
        <v>362</v>
      </c>
      <c r="D429" s="6">
        <v>2</v>
      </c>
      <c r="E429" s="6">
        <v>3</v>
      </c>
      <c r="F429" s="6">
        <v>1</v>
      </c>
      <c r="G429" s="6" t="s">
        <v>222</v>
      </c>
      <c r="H429" s="6">
        <f t="shared" si="34"/>
        <v>2301</v>
      </c>
      <c r="I429" s="6">
        <v>7000105</v>
      </c>
      <c r="J429" s="6">
        <v>10000</v>
      </c>
    </row>
    <row r="430" spans="1:10" x14ac:dyDescent="0.3">
      <c r="A430" s="6">
        <f t="shared" si="33"/>
        <v>2301007</v>
      </c>
      <c r="B430" s="6">
        <v>7</v>
      </c>
      <c r="C430" s="6" t="s">
        <v>110</v>
      </c>
      <c r="D430" s="6">
        <v>2</v>
      </c>
      <c r="E430" s="6">
        <v>3</v>
      </c>
      <c r="F430" s="6">
        <v>1</v>
      </c>
      <c r="G430" s="6" t="s">
        <v>222</v>
      </c>
      <c r="H430" s="6">
        <f t="shared" si="34"/>
        <v>2301</v>
      </c>
      <c r="I430" s="6">
        <v>7000141</v>
      </c>
      <c r="J430" s="6">
        <v>10000</v>
      </c>
    </row>
    <row r="431" spans="1:10" x14ac:dyDescent="0.3">
      <c r="A431" s="6">
        <f t="shared" si="33"/>
        <v>2301008</v>
      </c>
      <c r="B431" s="6">
        <v>8</v>
      </c>
      <c r="C431" s="6" t="s">
        <v>379</v>
      </c>
      <c r="D431" s="6">
        <v>2</v>
      </c>
      <c r="E431" s="6">
        <v>3</v>
      </c>
      <c r="F431" s="6">
        <v>1</v>
      </c>
      <c r="G431" s="6" t="s">
        <v>211</v>
      </c>
      <c r="H431" s="6">
        <f t="shared" si="34"/>
        <v>2301</v>
      </c>
      <c r="I431" s="6">
        <v>7000148</v>
      </c>
      <c r="J431" s="6">
        <v>2000</v>
      </c>
    </row>
    <row r="432" spans="1:10" x14ac:dyDescent="0.3">
      <c r="A432" s="6">
        <f t="shared" si="33"/>
        <v>2301009</v>
      </c>
      <c r="B432" s="6">
        <v>9</v>
      </c>
      <c r="C432" s="6" t="s">
        <v>359</v>
      </c>
      <c r="D432" s="6">
        <v>2</v>
      </c>
      <c r="E432" s="6">
        <v>3</v>
      </c>
      <c r="F432" s="6">
        <v>1</v>
      </c>
      <c r="G432" s="6" t="s">
        <v>212</v>
      </c>
      <c r="H432" s="6">
        <f t="shared" si="34"/>
        <v>2301</v>
      </c>
      <c r="I432" s="6">
        <v>7000136</v>
      </c>
      <c r="J432" s="6">
        <v>500</v>
      </c>
    </row>
    <row r="433" spans="1:10" x14ac:dyDescent="0.3">
      <c r="A433" s="6">
        <f t="shared" si="33"/>
        <v>2301010</v>
      </c>
      <c r="B433" s="6">
        <v>10</v>
      </c>
      <c r="C433" s="6" t="s">
        <v>399</v>
      </c>
      <c r="D433" s="6">
        <v>2</v>
      </c>
      <c r="E433" s="6">
        <v>3</v>
      </c>
      <c r="F433" s="6">
        <v>1</v>
      </c>
      <c r="G433" s="6" t="s">
        <v>213</v>
      </c>
      <c r="H433" s="6">
        <f t="shared" si="34"/>
        <v>2301</v>
      </c>
      <c r="I433" s="6">
        <v>7000162</v>
      </c>
      <c r="J433" s="6">
        <v>100</v>
      </c>
    </row>
    <row r="434" spans="1:10" x14ac:dyDescent="0.3">
      <c r="A434" s="6">
        <f t="shared" si="33"/>
        <v>2302001</v>
      </c>
      <c r="B434" s="6">
        <v>1</v>
      </c>
      <c r="C434" s="6" t="str">
        <f>C424</f>
        <v>성급</v>
      </c>
      <c r="D434" s="6">
        <v>2</v>
      </c>
      <c r="E434" s="6">
        <v>3</v>
      </c>
      <c r="F434" s="6">
        <v>2</v>
      </c>
      <c r="G434" s="6" t="s">
        <v>208</v>
      </c>
      <c r="H434" s="6">
        <f t="shared" si="34"/>
        <v>2302</v>
      </c>
      <c r="I434" s="6">
        <v>7000114</v>
      </c>
      <c r="J434" s="6">
        <v>18000</v>
      </c>
    </row>
    <row r="435" spans="1:10" x14ac:dyDescent="0.3">
      <c r="A435" s="6">
        <f t="shared" si="33"/>
        <v>2302002</v>
      </c>
      <c r="B435" s="6">
        <v>2</v>
      </c>
      <c r="C435" s="6" t="str">
        <f t="shared" ref="C435:C483" si="35">C425</f>
        <v>둔감</v>
      </c>
      <c r="D435" s="6">
        <v>2</v>
      </c>
      <c r="E435" s="6">
        <v>3</v>
      </c>
      <c r="F435" s="6">
        <v>2</v>
      </c>
      <c r="G435" s="6" t="s">
        <v>208</v>
      </c>
      <c r="H435" s="6">
        <f t="shared" si="34"/>
        <v>2302</v>
      </c>
      <c r="I435" s="6">
        <v>7000160</v>
      </c>
      <c r="J435" s="6">
        <v>18000</v>
      </c>
    </row>
    <row r="436" spans="1:10" x14ac:dyDescent="0.3">
      <c r="A436" s="6">
        <f t="shared" si="33"/>
        <v>2302003</v>
      </c>
      <c r="B436" s="6">
        <v>3</v>
      </c>
      <c r="C436" s="6" t="str">
        <f t="shared" si="35"/>
        <v>트러블 메이커</v>
      </c>
      <c r="D436" s="6">
        <v>2</v>
      </c>
      <c r="E436" s="6">
        <v>3</v>
      </c>
      <c r="F436" s="6">
        <v>2</v>
      </c>
      <c r="G436" s="6" t="s">
        <v>208</v>
      </c>
      <c r="H436" s="6">
        <f t="shared" si="34"/>
        <v>2302</v>
      </c>
      <c r="I436" s="6">
        <v>7000150</v>
      </c>
      <c r="J436" s="6">
        <v>18000</v>
      </c>
    </row>
    <row r="437" spans="1:10" x14ac:dyDescent="0.3">
      <c r="A437" s="6">
        <f t="shared" si="33"/>
        <v>2302004</v>
      </c>
      <c r="B437" s="6">
        <v>4</v>
      </c>
      <c r="C437" s="6" t="str">
        <f t="shared" si="35"/>
        <v>가학성애</v>
      </c>
      <c r="D437" s="6">
        <v>2</v>
      </c>
      <c r="E437" s="6">
        <v>3</v>
      </c>
      <c r="F437" s="6">
        <v>2</v>
      </c>
      <c r="G437" s="6" t="s">
        <v>209</v>
      </c>
      <c r="H437" s="6">
        <f t="shared" si="34"/>
        <v>2302</v>
      </c>
      <c r="I437" s="6">
        <v>7000165</v>
      </c>
      <c r="J437" s="6">
        <v>14500</v>
      </c>
    </row>
    <row r="438" spans="1:10" x14ac:dyDescent="0.3">
      <c r="A438" s="6">
        <f t="shared" si="33"/>
        <v>2302005</v>
      </c>
      <c r="B438" s="6">
        <v>5</v>
      </c>
      <c r="C438" s="6" t="str">
        <f t="shared" si="35"/>
        <v>후발주자</v>
      </c>
      <c r="D438" s="6">
        <v>2</v>
      </c>
      <c r="E438" s="6">
        <v>3</v>
      </c>
      <c r="F438" s="6">
        <v>2</v>
      </c>
      <c r="G438" s="6" t="s">
        <v>209</v>
      </c>
      <c r="H438" s="6">
        <f t="shared" si="34"/>
        <v>2302</v>
      </c>
      <c r="I438" s="6">
        <v>7000151</v>
      </c>
      <c r="J438" s="6">
        <v>14500</v>
      </c>
    </row>
    <row r="439" spans="1:10" x14ac:dyDescent="0.3">
      <c r="A439" s="6">
        <f t="shared" si="33"/>
        <v>2302006</v>
      </c>
      <c r="B439" s="6">
        <v>6</v>
      </c>
      <c r="C439" s="6" t="str">
        <f t="shared" si="35"/>
        <v>자기 합리화</v>
      </c>
      <c r="D439" s="6">
        <v>2</v>
      </c>
      <c r="E439" s="6">
        <v>3</v>
      </c>
      <c r="F439" s="6">
        <v>2</v>
      </c>
      <c r="G439" s="6" t="s">
        <v>210</v>
      </c>
      <c r="H439" s="6">
        <f t="shared" si="34"/>
        <v>2302</v>
      </c>
      <c r="I439" s="6">
        <v>7000105</v>
      </c>
      <c r="J439" s="6">
        <v>9500</v>
      </c>
    </row>
    <row r="440" spans="1:10" x14ac:dyDescent="0.3">
      <c r="A440" s="6">
        <f t="shared" si="33"/>
        <v>2302007</v>
      </c>
      <c r="B440" s="6">
        <v>7</v>
      </c>
      <c r="C440" s="6" t="str">
        <f t="shared" si="35"/>
        <v>위기감지</v>
      </c>
      <c r="D440" s="6">
        <v>2</v>
      </c>
      <c r="E440" s="6">
        <v>3</v>
      </c>
      <c r="F440" s="6">
        <v>2</v>
      </c>
      <c r="G440" s="6" t="s">
        <v>210</v>
      </c>
      <c r="H440" s="6">
        <f t="shared" si="34"/>
        <v>2302</v>
      </c>
      <c r="I440" s="6">
        <v>7000141</v>
      </c>
      <c r="J440" s="6">
        <v>9500</v>
      </c>
    </row>
    <row r="441" spans="1:10" x14ac:dyDescent="0.3">
      <c r="A441" s="6">
        <f t="shared" si="33"/>
        <v>2302008</v>
      </c>
      <c r="B441" s="6">
        <v>8</v>
      </c>
      <c r="C441" s="6" t="str">
        <f t="shared" si="35"/>
        <v>독설가</v>
      </c>
      <c r="D441" s="6">
        <v>2</v>
      </c>
      <c r="E441" s="6">
        <v>3</v>
      </c>
      <c r="F441" s="6">
        <v>2</v>
      </c>
      <c r="G441" s="6" t="s">
        <v>211</v>
      </c>
      <c r="H441" s="6">
        <f t="shared" si="34"/>
        <v>2302</v>
      </c>
      <c r="I441" s="6">
        <v>7000148</v>
      </c>
      <c r="J441" s="6">
        <v>1900</v>
      </c>
    </row>
    <row r="442" spans="1:10" x14ac:dyDescent="0.3">
      <c r="A442" s="6">
        <f t="shared" si="33"/>
        <v>2302009</v>
      </c>
      <c r="B442" s="6">
        <v>9</v>
      </c>
      <c r="C442" s="6" t="str">
        <f t="shared" si="35"/>
        <v>무자비</v>
      </c>
      <c r="D442" s="6">
        <v>2</v>
      </c>
      <c r="E442" s="6">
        <v>3</v>
      </c>
      <c r="F442" s="6">
        <v>2</v>
      </c>
      <c r="G442" s="6" t="s">
        <v>212</v>
      </c>
      <c r="H442" s="6">
        <f t="shared" si="34"/>
        <v>2302</v>
      </c>
      <c r="I442" s="6">
        <v>7000136</v>
      </c>
      <c r="J442" s="6">
        <v>500</v>
      </c>
    </row>
    <row r="443" spans="1:10" x14ac:dyDescent="0.3">
      <c r="A443" s="6">
        <f t="shared" si="33"/>
        <v>2302010</v>
      </c>
      <c r="B443" s="6">
        <v>10</v>
      </c>
      <c r="C443" s="6" t="str">
        <f t="shared" si="35"/>
        <v>강박증</v>
      </c>
      <c r="D443" s="6">
        <v>2</v>
      </c>
      <c r="E443" s="6">
        <v>3</v>
      </c>
      <c r="F443" s="6">
        <v>2</v>
      </c>
      <c r="G443" s="6" t="s">
        <v>213</v>
      </c>
      <c r="H443" s="6">
        <f t="shared" si="34"/>
        <v>2302</v>
      </c>
      <c r="I443" s="6">
        <v>7000162</v>
      </c>
      <c r="J443" s="6">
        <v>100</v>
      </c>
    </row>
    <row r="444" spans="1:10" x14ac:dyDescent="0.3">
      <c r="A444" s="6">
        <f t="shared" si="33"/>
        <v>2303001</v>
      </c>
      <c r="B444" s="6">
        <v>1</v>
      </c>
      <c r="C444" s="6" t="str">
        <f>C434</f>
        <v>성급</v>
      </c>
      <c r="D444" s="6">
        <v>2</v>
      </c>
      <c r="E444" s="6">
        <v>3</v>
      </c>
      <c r="F444" s="6">
        <v>3</v>
      </c>
      <c r="G444" s="6" t="s">
        <v>208</v>
      </c>
      <c r="H444" s="6">
        <f t="shared" si="34"/>
        <v>2303</v>
      </c>
      <c r="I444" s="6">
        <v>7000114</v>
      </c>
      <c r="J444" s="6">
        <v>16000</v>
      </c>
    </row>
    <row r="445" spans="1:10" x14ac:dyDescent="0.3">
      <c r="A445" s="6">
        <f t="shared" si="33"/>
        <v>2303002</v>
      </c>
      <c r="B445" s="6">
        <v>2</v>
      </c>
      <c r="C445" s="6" t="str">
        <f t="shared" si="35"/>
        <v>둔감</v>
      </c>
      <c r="D445" s="6">
        <v>2</v>
      </c>
      <c r="E445" s="6">
        <v>3</v>
      </c>
      <c r="F445" s="6">
        <v>3</v>
      </c>
      <c r="G445" s="6" t="s">
        <v>208</v>
      </c>
      <c r="H445" s="6">
        <f t="shared" si="34"/>
        <v>2303</v>
      </c>
      <c r="I445" s="6">
        <v>7000160</v>
      </c>
      <c r="J445" s="6">
        <v>16000</v>
      </c>
    </row>
    <row r="446" spans="1:10" x14ac:dyDescent="0.3">
      <c r="A446" s="6">
        <f t="shared" si="33"/>
        <v>2303003</v>
      </c>
      <c r="B446" s="6">
        <v>3</v>
      </c>
      <c r="C446" s="6" t="str">
        <f t="shared" si="35"/>
        <v>트러블 메이커</v>
      </c>
      <c r="D446" s="6">
        <v>2</v>
      </c>
      <c r="E446" s="6">
        <v>3</v>
      </c>
      <c r="F446" s="6">
        <v>3</v>
      </c>
      <c r="G446" s="6" t="s">
        <v>208</v>
      </c>
      <c r="H446" s="6">
        <f t="shared" si="34"/>
        <v>2303</v>
      </c>
      <c r="I446" s="6">
        <v>7000150</v>
      </c>
      <c r="J446" s="6">
        <v>16000</v>
      </c>
    </row>
    <row r="447" spans="1:10" x14ac:dyDescent="0.3">
      <c r="A447" s="6">
        <f t="shared" si="33"/>
        <v>2303004</v>
      </c>
      <c r="B447" s="6">
        <v>4</v>
      </c>
      <c r="C447" s="6" t="str">
        <f t="shared" si="35"/>
        <v>가학성애</v>
      </c>
      <c r="D447" s="6">
        <v>2</v>
      </c>
      <c r="E447" s="6">
        <v>3</v>
      </c>
      <c r="F447" s="6">
        <v>3</v>
      </c>
      <c r="G447" s="6" t="s">
        <v>209</v>
      </c>
      <c r="H447" s="6">
        <f t="shared" si="34"/>
        <v>2303</v>
      </c>
      <c r="I447" s="6">
        <v>7000165</v>
      </c>
      <c r="J447" s="6">
        <v>14000</v>
      </c>
    </row>
    <row r="448" spans="1:10" x14ac:dyDescent="0.3">
      <c r="A448" s="6">
        <f t="shared" si="33"/>
        <v>2303005</v>
      </c>
      <c r="B448" s="6">
        <v>5</v>
      </c>
      <c r="C448" s="6" t="str">
        <f t="shared" si="35"/>
        <v>후발주자</v>
      </c>
      <c r="D448" s="6">
        <v>2</v>
      </c>
      <c r="E448" s="6">
        <v>3</v>
      </c>
      <c r="F448" s="6">
        <v>3</v>
      </c>
      <c r="G448" s="6" t="s">
        <v>209</v>
      </c>
      <c r="H448" s="6">
        <f t="shared" si="34"/>
        <v>2303</v>
      </c>
      <c r="I448" s="6">
        <v>7000151</v>
      </c>
      <c r="J448" s="6">
        <v>14000</v>
      </c>
    </row>
    <row r="449" spans="1:10" x14ac:dyDescent="0.3">
      <c r="A449" s="6">
        <f t="shared" si="33"/>
        <v>2303006</v>
      </c>
      <c r="B449" s="6">
        <v>6</v>
      </c>
      <c r="C449" s="6" t="str">
        <f t="shared" si="35"/>
        <v>자기 합리화</v>
      </c>
      <c r="D449" s="6">
        <v>2</v>
      </c>
      <c r="E449" s="6">
        <v>3</v>
      </c>
      <c r="F449" s="6">
        <v>3</v>
      </c>
      <c r="G449" s="6" t="s">
        <v>210</v>
      </c>
      <c r="H449" s="6">
        <f t="shared" si="34"/>
        <v>2303</v>
      </c>
      <c r="I449" s="6">
        <v>7000105</v>
      </c>
      <c r="J449" s="6">
        <v>9000</v>
      </c>
    </row>
    <row r="450" spans="1:10" x14ac:dyDescent="0.3">
      <c r="A450" s="6">
        <f t="shared" si="33"/>
        <v>2303007</v>
      </c>
      <c r="B450" s="6">
        <v>7</v>
      </c>
      <c r="C450" s="6" t="str">
        <f t="shared" si="35"/>
        <v>위기감지</v>
      </c>
      <c r="D450" s="6">
        <v>2</v>
      </c>
      <c r="E450" s="6">
        <v>3</v>
      </c>
      <c r="F450" s="6">
        <v>3</v>
      </c>
      <c r="G450" s="6" t="s">
        <v>210</v>
      </c>
      <c r="H450" s="6">
        <f t="shared" si="34"/>
        <v>2303</v>
      </c>
      <c r="I450" s="6">
        <v>7000141</v>
      </c>
      <c r="J450" s="6">
        <v>9000</v>
      </c>
    </row>
    <row r="451" spans="1:10" x14ac:dyDescent="0.3">
      <c r="A451" s="6">
        <f t="shared" si="33"/>
        <v>2303008</v>
      </c>
      <c r="B451" s="6">
        <v>8</v>
      </c>
      <c r="C451" s="6" t="str">
        <f t="shared" si="35"/>
        <v>독설가</v>
      </c>
      <c r="D451" s="6">
        <v>2</v>
      </c>
      <c r="E451" s="6">
        <v>3</v>
      </c>
      <c r="F451" s="6">
        <v>3</v>
      </c>
      <c r="G451" s="6" t="s">
        <v>211</v>
      </c>
      <c r="H451" s="6">
        <f t="shared" si="34"/>
        <v>2303</v>
      </c>
      <c r="I451" s="6">
        <v>7000148</v>
      </c>
      <c r="J451" s="6">
        <v>1800</v>
      </c>
    </row>
    <row r="452" spans="1:10" x14ac:dyDescent="0.3">
      <c r="A452" s="6">
        <f t="shared" si="33"/>
        <v>2303009</v>
      </c>
      <c r="B452" s="6">
        <v>9</v>
      </c>
      <c r="C452" s="6" t="str">
        <f t="shared" si="35"/>
        <v>무자비</v>
      </c>
      <c r="D452" s="6">
        <v>2</v>
      </c>
      <c r="E452" s="6">
        <v>3</v>
      </c>
      <c r="F452" s="6">
        <v>3</v>
      </c>
      <c r="G452" s="6" t="s">
        <v>212</v>
      </c>
      <c r="H452" s="6">
        <f t="shared" si="34"/>
        <v>2303</v>
      </c>
      <c r="I452" s="6">
        <v>7000136</v>
      </c>
      <c r="J452" s="6">
        <v>500</v>
      </c>
    </row>
    <row r="453" spans="1:10" x14ac:dyDescent="0.3">
      <c r="A453" s="6">
        <f t="shared" si="33"/>
        <v>2303010</v>
      </c>
      <c r="B453" s="6">
        <v>10</v>
      </c>
      <c r="C453" s="6" t="str">
        <f t="shared" si="35"/>
        <v>강박증</v>
      </c>
      <c r="D453" s="6">
        <v>2</v>
      </c>
      <c r="E453" s="6">
        <v>3</v>
      </c>
      <c r="F453" s="6">
        <v>3</v>
      </c>
      <c r="G453" s="6" t="s">
        <v>213</v>
      </c>
      <c r="H453" s="6">
        <f t="shared" si="34"/>
        <v>2303</v>
      </c>
      <c r="I453" s="6">
        <v>7000162</v>
      </c>
      <c r="J453" s="6">
        <v>100</v>
      </c>
    </row>
    <row r="454" spans="1:10" x14ac:dyDescent="0.3">
      <c r="A454" s="6">
        <f t="shared" si="33"/>
        <v>2304001</v>
      </c>
      <c r="B454" s="6">
        <v>1</v>
      </c>
      <c r="C454" s="6" t="str">
        <f>C444</f>
        <v>성급</v>
      </c>
      <c r="D454" s="6">
        <v>2</v>
      </c>
      <c r="E454" s="6">
        <v>3</v>
      </c>
      <c r="F454" s="6">
        <v>4</v>
      </c>
      <c r="G454" s="6" t="s">
        <v>208</v>
      </c>
      <c r="H454" s="6">
        <f t="shared" si="34"/>
        <v>2304</v>
      </c>
      <c r="I454" s="6">
        <v>7000114</v>
      </c>
      <c r="J454" s="6">
        <v>14000</v>
      </c>
    </row>
    <row r="455" spans="1:10" x14ac:dyDescent="0.3">
      <c r="A455" s="6">
        <f t="shared" si="33"/>
        <v>2304002</v>
      </c>
      <c r="B455" s="6">
        <v>2</v>
      </c>
      <c r="C455" s="6" t="str">
        <f t="shared" si="35"/>
        <v>둔감</v>
      </c>
      <c r="D455" s="6">
        <v>2</v>
      </c>
      <c r="E455" s="6">
        <v>3</v>
      </c>
      <c r="F455" s="6">
        <v>4</v>
      </c>
      <c r="G455" s="6" t="s">
        <v>208</v>
      </c>
      <c r="H455" s="6">
        <f t="shared" si="34"/>
        <v>2304</v>
      </c>
      <c r="I455" s="6">
        <v>7000160</v>
      </c>
      <c r="J455" s="6">
        <v>14000</v>
      </c>
    </row>
    <row r="456" spans="1:10" x14ac:dyDescent="0.3">
      <c r="A456" s="6">
        <f t="shared" si="33"/>
        <v>2304003</v>
      </c>
      <c r="B456" s="6">
        <v>3</v>
      </c>
      <c r="C456" s="6" t="str">
        <f t="shared" si="35"/>
        <v>트러블 메이커</v>
      </c>
      <c r="D456" s="6">
        <v>2</v>
      </c>
      <c r="E456" s="6">
        <v>3</v>
      </c>
      <c r="F456" s="6">
        <v>4</v>
      </c>
      <c r="G456" s="6" t="s">
        <v>208</v>
      </c>
      <c r="H456" s="6">
        <f t="shared" si="34"/>
        <v>2304</v>
      </c>
      <c r="I456" s="6">
        <v>7000150</v>
      </c>
      <c r="J456" s="6">
        <v>14000</v>
      </c>
    </row>
    <row r="457" spans="1:10" x14ac:dyDescent="0.3">
      <c r="A457" s="6">
        <f t="shared" si="33"/>
        <v>2304004</v>
      </c>
      <c r="B457" s="6">
        <v>4</v>
      </c>
      <c r="C457" s="6" t="str">
        <f t="shared" si="35"/>
        <v>가학성애</v>
      </c>
      <c r="D457" s="6">
        <v>2</v>
      </c>
      <c r="E457" s="6">
        <v>3</v>
      </c>
      <c r="F457" s="6">
        <v>4</v>
      </c>
      <c r="G457" s="6" t="s">
        <v>209</v>
      </c>
      <c r="H457" s="6">
        <f t="shared" si="34"/>
        <v>2304</v>
      </c>
      <c r="I457" s="6">
        <v>7000165</v>
      </c>
      <c r="J457" s="6">
        <v>13500</v>
      </c>
    </row>
    <row r="458" spans="1:10" x14ac:dyDescent="0.3">
      <c r="A458" s="6">
        <f t="shared" si="33"/>
        <v>2304005</v>
      </c>
      <c r="B458" s="6">
        <v>5</v>
      </c>
      <c r="C458" s="6" t="str">
        <f t="shared" si="35"/>
        <v>후발주자</v>
      </c>
      <c r="D458" s="6">
        <v>2</v>
      </c>
      <c r="E458" s="6">
        <v>3</v>
      </c>
      <c r="F458" s="6">
        <v>4</v>
      </c>
      <c r="G458" s="6" t="s">
        <v>209</v>
      </c>
      <c r="H458" s="6">
        <f t="shared" si="34"/>
        <v>2304</v>
      </c>
      <c r="I458" s="6">
        <v>7000151</v>
      </c>
      <c r="J458" s="6">
        <v>13500</v>
      </c>
    </row>
    <row r="459" spans="1:10" x14ac:dyDescent="0.3">
      <c r="A459" s="6">
        <f t="shared" si="33"/>
        <v>2304006</v>
      </c>
      <c r="B459" s="6">
        <v>6</v>
      </c>
      <c r="C459" s="6" t="str">
        <f t="shared" si="35"/>
        <v>자기 합리화</v>
      </c>
      <c r="D459" s="6">
        <v>2</v>
      </c>
      <c r="E459" s="6">
        <v>3</v>
      </c>
      <c r="F459" s="6">
        <v>4</v>
      </c>
      <c r="G459" s="6" t="s">
        <v>210</v>
      </c>
      <c r="H459" s="6">
        <f t="shared" si="34"/>
        <v>2304</v>
      </c>
      <c r="I459" s="6">
        <v>7000105</v>
      </c>
      <c r="J459" s="6">
        <v>8500</v>
      </c>
    </row>
    <row r="460" spans="1:10" x14ac:dyDescent="0.3">
      <c r="A460" s="6">
        <f t="shared" si="33"/>
        <v>2304007</v>
      </c>
      <c r="B460" s="6">
        <v>7</v>
      </c>
      <c r="C460" s="6" t="str">
        <f t="shared" si="35"/>
        <v>위기감지</v>
      </c>
      <c r="D460" s="6">
        <v>2</v>
      </c>
      <c r="E460" s="6">
        <v>3</v>
      </c>
      <c r="F460" s="6">
        <v>4</v>
      </c>
      <c r="G460" s="6" t="s">
        <v>210</v>
      </c>
      <c r="H460" s="6">
        <f t="shared" si="34"/>
        <v>2304</v>
      </c>
      <c r="I460" s="6">
        <v>7000141</v>
      </c>
      <c r="J460" s="6">
        <v>8500</v>
      </c>
    </row>
    <row r="461" spans="1:10" x14ac:dyDescent="0.3">
      <c r="A461" s="6">
        <f t="shared" si="33"/>
        <v>2304008</v>
      </c>
      <c r="B461" s="6">
        <v>8</v>
      </c>
      <c r="C461" s="6" t="str">
        <f t="shared" si="35"/>
        <v>독설가</v>
      </c>
      <c r="D461" s="6">
        <v>2</v>
      </c>
      <c r="E461" s="6">
        <v>3</v>
      </c>
      <c r="F461" s="6">
        <v>4</v>
      </c>
      <c r="G461" s="6" t="s">
        <v>211</v>
      </c>
      <c r="H461" s="6">
        <f t="shared" si="34"/>
        <v>2304</v>
      </c>
      <c r="I461" s="6">
        <v>7000148</v>
      </c>
      <c r="J461" s="6">
        <v>1700</v>
      </c>
    </row>
    <row r="462" spans="1:10" x14ac:dyDescent="0.3">
      <c r="A462" s="6">
        <f t="shared" si="33"/>
        <v>2304009</v>
      </c>
      <c r="B462" s="6">
        <v>9</v>
      </c>
      <c r="C462" s="6" t="str">
        <f t="shared" si="35"/>
        <v>무자비</v>
      </c>
      <c r="D462" s="6">
        <v>2</v>
      </c>
      <c r="E462" s="6">
        <v>3</v>
      </c>
      <c r="F462" s="6">
        <v>4</v>
      </c>
      <c r="G462" s="6" t="s">
        <v>212</v>
      </c>
      <c r="H462" s="6">
        <f t="shared" si="34"/>
        <v>2304</v>
      </c>
      <c r="I462" s="6">
        <v>7000136</v>
      </c>
      <c r="J462" s="6">
        <v>500</v>
      </c>
    </row>
    <row r="463" spans="1:10" x14ac:dyDescent="0.3">
      <c r="A463" s="6">
        <f t="shared" si="33"/>
        <v>2304010</v>
      </c>
      <c r="B463" s="6">
        <v>10</v>
      </c>
      <c r="C463" s="6" t="str">
        <f t="shared" si="35"/>
        <v>강박증</v>
      </c>
      <c r="D463" s="6">
        <v>2</v>
      </c>
      <c r="E463" s="6">
        <v>3</v>
      </c>
      <c r="F463" s="6">
        <v>4</v>
      </c>
      <c r="G463" s="6" t="s">
        <v>213</v>
      </c>
      <c r="H463" s="6">
        <f t="shared" si="34"/>
        <v>2304</v>
      </c>
      <c r="I463" s="6">
        <v>7000162</v>
      </c>
      <c r="J463" s="6">
        <v>100</v>
      </c>
    </row>
    <row r="464" spans="1:10" x14ac:dyDescent="0.3">
      <c r="A464" s="6">
        <f t="shared" si="33"/>
        <v>2305001</v>
      </c>
      <c r="B464" s="6">
        <v>1</v>
      </c>
      <c r="C464" s="6" t="str">
        <f>C454</f>
        <v>성급</v>
      </c>
      <c r="D464" s="6">
        <v>2</v>
      </c>
      <c r="E464" s="6">
        <v>3</v>
      </c>
      <c r="F464" s="6">
        <v>5</v>
      </c>
      <c r="G464" s="6" t="s">
        <v>208</v>
      </c>
      <c r="H464" s="6">
        <f t="shared" si="34"/>
        <v>2305</v>
      </c>
      <c r="I464" s="6">
        <v>7000114</v>
      </c>
      <c r="J464" s="6">
        <v>12000</v>
      </c>
    </row>
    <row r="465" spans="1:10" x14ac:dyDescent="0.3">
      <c r="A465" s="6">
        <f t="shared" si="33"/>
        <v>2305002</v>
      </c>
      <c r="B465" s="6">
        <v>2</v>
      </c>
      <c r="C465" s="6" t="str">
        <f t="shared" si="35"/>
        <v>둔감</v>
      </c>
      <c r="D465" s="6">
        <v>2</v>
      </c>
      <c r="E465" s="6">
        <v>3</v>
      </c>
      <c r="F465" s="6">
        <v>5</v>
      </c>
      <c r="G465" s="6" t="s">
        <v>208</v>
      </c>
      <c r="H465" s="6">
        <f t="shared" si="34"/>
        <v>2305</v>
      </c>
      <c r="I465" s="6">
        <v>7000160</v>
      </c>
      <c r="J465" s="6">
        <v>12000</v>
      </c>
    </row>
    <row r="466" spans="1:10" x14ac:dyDescent="0.3">
      <c r="A466" s="6">
        <f t="shared" si="33"/>
        <v>2305003</v>
      </c>
      <c r="B466" s="6">
        <v>3</v>
      </c>
      <c r="C466" s="6" t="str">
        <f t="shared" si="35"/>
        <v>트러블 메이커</v>
      </c>
      <c r="D466" s="6">
        <v>2</v>
      </c>
      <c r="E466" s="6">
        <v>3</v>
      </c>
      <c r="F466" s="6">
        <v>5</v>
      </c>
      <c r="G466" s="6" t="s">
        <v>208</v>
      </c>
      <c r="H466" s="6">
        <f t="shared" si="34"/>
        <v>2305</v>
      </c>
      <c r="I466" s="6">
        <v>7000150</v>
      </c>
      <c r="J466" s="6">
        <v>12000</v>
      </c>
    </row>
    <row r="467" spans="1:10" x14ac:dyDescent="0.3">
      <c r="A467" s="6">
        <f t="shared" si="33"/>
        <v>2305004</v>
      </c>
      <c r="B467" s="6">
        <v>4</v>
      </c>
      <c r="C467" s="6" t="str">
        <f t="shared" si="35"/>
        <v>가학성애</v>
      </c>
      <c r="D467" s="6">
        <v>2</v>
      </c>
      <c r="E467" s="6">
        <v>3</v>
      </c>
      <c r="F467" s="6">
        <v>5</v>
      </c>
      <c r="G467" s="6" t="s">
        <v>209</v>
      </c>
      <c r="H467" s="6">
        <f t="shared" si="34"/>
        <v>2305</v>
      </c>
      <c r="I467" s="6">
        <v>7000165</v>
      </c>
      <c r="J467" s="6">
        <v>13000</v>
      </c>
    </row>
    <row r="468" spans="1:10" x14ac:dyDescent="0.3">
      <c r="A468" s="6">
        <f t="shared" si="33"/>
        <v>2305005</v>
      </c>
      <c r="B468" s="6">
        <v>5</v>
      </c>
      <c r="C468" s="6" t="str">
        <f t="shared" si="35"/>
        <v>후발주자</v>
      </c>
      <c r="D468" s="6">
        <v>2</v>
      </c>
      <c r="E468" s="6">
        <v>3</v>
      </c>
      <c r="F468" s="6">
        <v>5</v>
      </c>
      <c r="G468" s="6" t="s">
        <v>209</v>
      </c>
      <c r="H468" s="6">
        <f t="shared" si="34"/>
        <v>2305</v>
      </c>
      <c r="I468" s="6">
        <v>7000151</v>
      </c>
      <c r="J468" s="6">
        <v>13000</v>
      </c>
    </row>
    <row r="469" spans="1:10" x14ac:dyDescent="0.3">
      <c r="A469" s="6">
        <f t="shared" si="33"/>
        <v>2305006</v>
      </c>
      <c r="B469" s="6">
        <v>6</v>
      </c>
      <c r="C469" s="6" t="str">
        <f t="shared" si="35"/>
        <v>자기 합리화</v>
      </c>
      <c r="D469" s="6">
        <v>2</v>
      </c>
      <c r="E469" s="6">
        <v>3</v>
      </c>
      <c r="F469" s="6">
        <v>5</v>
      </c>
      <c r="G469" s="6" t="s">
        <v>210</v>
      </c>
      <c r="H469" s="6">
        <f t="shared" si="34"/>
        <v>2305</v>
      </c>
      <c r="I469" s="6">
        <v>7000105</v>
      </c>
      <c r="J469" s="6">
        <v>8000</v>
      </c>
    </row>
    <row r="470" spans="1:10" x14ac:dyDescent="0.3">
      <c r="A470" s="6">
        <f t="shared" si="33"/>
        <v>2305007</v>
      </c>
      <c r="B470" s="6">
        <v>7</v>
      </c>
      <c r="C470" s="6" t="str">
        <f t="shared" si="35"/>
        <v>위기감지</v>
      </c>
      <c r="D470" s="6">
        <v>2</v>
      </c>
      <c r="E470" s="6">
        <v>3</v>
      </c>
      <c r="F470" s="6">
        <v>5</v>
      </c>
      <c r="G470" s="6" t="s">
        <v>210</v>
      </c>
      <c r="H470" s="6">
        <f t="shared" si="34"/>
        <v>2305</v>
      </c>
      <c r="I470" s="6">
        <v>7000141</v>
      </c>
      <c r="J470" s="6">
        <v>8000</v>
      </c>
    </row>
    <row r="471" spans="1:10" x14ac:dyDescent="0.3">
      <c r="A471" s="6">
        <f t="shared" si="33"/>
        <v>2305008</v>
      </c>
      <c r="B471" s="6">
        <v>8</v>
      </c>
      <c r="C471" s="6" t="str">
        <f t="shared" si="35"/>
        <v>독설가</v>
      </c>
      <c r="D471" s="6">
        <v>2</v>
      </c>
      <c r="E471" s="6">
        <v>3</v>
      </c>
      <c r="F471" s="6">
        <v>5</v>
      </c>
      <c r="G471" s="6" t="s">
        <v>211</v>
      </c>
      <c r="H471" s="6">
        <f t="shared" si="34"/>
        <v>2305</v>
      </c>
      <c r="I471" s="6">
        <v>7000148</v>
      </c>
      <c r="J471" s="6">
        <v>1600</v>
      </c>
    </row>
    <row r="472" spans="1:10" x14ac:dyDescent="0.3">
      <c r="A472" s="6">
        <f t="shared" si="33"/>
        <v>2305009</v>
      </c>
      <c r="B472" s="6">
        <v>9</v>
      </c>
      <c r="C472" s="6" t="str">
        <f t="shared" si="35"/>
        <v>무자비</v>
      </c>
      <c r="D472" s="6">
        <v>2</v>
      </c>
      <c r="E472" s="6">
        <v>3</v>
      </c>
      <c r="F472" s="6">
        <v>5</v>
      </c>
      <c r="G472" s="6" t="s">
        <v>212</v>
      </c>
      <c r="H472" s="6">
        <f t="shared" si="34"/>
        <v>2305</v>
      </c>
      <c r="I472" s="6">
        <v>7000136</v>
      </c>
      <c r="J472" s="6">
        <v>500</v>
      </c>
    </row>
    <row r="473" spans="1:10" x14ac:dyDescent="0.3">
      <c r="A473" s="6">
        <f t="shared" si="33"/>
        <v>2305010</v>
      </c>
      <c r="B473" s="6">
        <v>10</v>
      </c>
      <c r="C473" s="6" t="str">
        <f t="shared" si="35"/>
        <v>강박증</v>
      </c>
      <c r="D473" s="6">
        <v>2</v>
      </c>
      <c r="E473" s="6">
        <v>3</v>
      </c>
      <c r="F473" s="6">
        <v>5</v>
      </c>
      <c r="G473" s="6" t="s">
        <v>213</v>
      </c>
      <c r="H473" s="6">
        <f t="shared" si="34"/>
        <v>2305</v>
      </c>
      <c r="I473" s="6">
        <v>7000162</v>
      </c>
      <c r="J473" s="6">
        <v>100</v>
      </c>
    </row>
    <row r="474" spans="1:10" x14ac:dyDescent="0.3">
      <c r="A474" s="6">
        <f t="shared" si="33"/>
        <v>2306001</v>
      </c>
      <c r="B474" s="6">
        <v>1</v>
      </c>
      <c r="C474" s="6" t="str">
        <f>C464</f>
        <v>성급</v>
      </c>
      <c r="D474" s="6">
        <v>2</v>
      </c>
      <c r="E474" s="6">
        <v>3</v>
      </c>
      <c r="F474" s="6">
        <v>6</v>
      </c>
      <c r="G474" s="6" t="s">
        <v>208</v>
      </c>
      <c r="H474" s="6">
        <f t="shared" si="34"/>
        <v>2306</v>
      </c>
      <c r="I474" s="6">
        <v>7000114</v>
      </c>
      <c r="J474" s="6">
        <v>10000</v>
      </c>
    </row>
    <row r="475" spans="1:10" x14ac:dyDescent="0.3">
      <c r="A475" s="6">
        <f t="shared" si="33"/>
        <v>2306002</v>
      </c>
      <c r="B475" s="6">
        <v>2</v>
      </c>
      <c r="C475" s="6" t="str">
        <f t="shared" si="35"/>
        <v>둔감</v>
      </c>
      <c r="D475" s="6">
        <v>2</v>
      </c>
      <c r="E475" s="6">
        <v>3</v>
      </c>
      <c r="F475" s="6">
        <v>6</v>
      </c>
      <c r="G475" s="6" t="s">
        <v>208</v>
      </c>
      <c r="H475" s="6">
        <f t="shared" si="34"/>
        <v>2306</v>
      </c>
      <c r="I475" s="6">
        <v>7000160</v>
      </c>
      <c r="J475" s="6">
        <v>10000</v>
      </c>
    </row>
    <row r="476" spans="1:10" x14ac:dyDescent="0.3">
      <c r="A476" s="6">
        <f t="shared" si="33"/>
        <v>2306003</v>
      </c>
      <c r="B476" s="6">
        <v>3</v>
      </c>
      <c r="C476" s="6" t="str">
        <f t="shared" si="35"/>
        <v>트러블 메이커</v>
      </c>
      <c r="D476" s="6">
        <v>2</v>
      </c>
      <c r="E476" s="6">
        <v>3</v>
      </c>
      <c r="F476" s="6">
        <v>6</v>
      </c>
      <c r="G476" s="6" t="s">
        <v>208</v>
      </c>
      <c r="H476" s="6">
        <f t="shared" si="34"/>
        <v>2306</v>
      </c>
      <c r="I476" s="6">
        <v>7000150</v>
      </c>
      <c r="J476" s="6">
        <v>10000</v>
      </c>
    </row>
    <row r="477" spans="1:10" x14ac:dyDescent="0.3">
      <c r="A477" s="6">
        <f t="shared" si="33"/>
        <v>2306004</v>
      </c>
      <c r="B477" s="6">
        <v>4</v>
      </c>
      <c r="C477" s="6" t="str">
        <f t="shared" si="35"/>
        <v>가학성애</v>
      </c>
      <c r="D477" s="6">
        <v>2</v>
      </c>
      <c r="E477" s="6">
        <v>3</v>
      </c>
      <c r="F477" s="6">
        <v>6</v>
      </c>
      <c r="G477" s="6" t="s">
        <v>209</v>
      </c>
      <c r="H477" s="6">
        <f t="shared" si="34"/>
        <v>2306</v>
      </c>
      <c r="I477" s="6">
        <v>7000165</v>
      </c>
      <c r="J477" s="6">
        <v>12500</v>
      </c>
    </row>
    <row r="478" spans="1:10" x14ac:dyDescent="0.3">
      <c r="A478" s="6">
        <f t="shared" si="33"/>
        <v>2306005</v>
      </c>
      <c r="B478" s="6">
        <v>5</v>
      </c>
      <c r="C478" s="6" t="str">
        <f t="shared" si="35"/>
        <v>후발주자</v>
      </c>
      <c r="D478" s="6">
        <v>2</v>
      </c>
      <c r="E478" s="6">
        <v>3</v>
      </c>
      <c r="F478" s="6">
        <v>6</v>
      </c>
      <c r="G478" s="6" t="s">
        <v>209</v>
      </c>
      <c r="H478" s="6">
        <f t="shared" si="34"/>
        <v>2306</v>
      </c>
      <c r="I478" s="6">
        <v>7000151</v>
      </c>
      <c r="J478" s="6">
        <v>12500</v>
      </c>
    </row>
    <row r="479" spans="1:10" x14ac:dyDescent="0.3">
      <c r="A479" s="6">
        <f t="shared" si="33"/>
        <v>2306006</v>
      </c>
      <c r="B479" s="6">
        <v>6</v>
      </c>
      <c r="C479" s="6" t="str">
        <f t="shared" si="35"/>
        <v>자기 합리화</v>
      </c>
      <c r="D479" s="6">
        <v>2</v>
      </c>
      <c r="E479" s="6">
        <v>3</v>
      </c>
      <c r="F479" s="6">
        <v>6</v>
      </c>
      <c r="G479" s="6" t="s">
        <v>210</v>
      </c>
      <c r="H479" s="6">
        <f t="shared" si="34"/>
        <v>2306</v>
      </c>
      <c r="I479" s="6">
        <v>7000105</v>
      </c>
      <c r="J479" s="6">
        <v>7500</v>
      </c>
    </row>
    <row r="480" spans="1:10" x14ac:dyDescent="0.3">
      <c r="A480" s="6">
        <f t="shared" si="33"/>
        <v>2306007</v>
      </c>
      <c r="B480" s="6">
        <v>7</v>
      </c>
      <c r="C480" s="6" t="str">
        <f t="shared" si="35"/>
        <v>위기감지</v>
      </c>
      <c r="D480" s="6">
        <v>2</v>
      </c>
      <c r="E480" s="6">
        <v>3</v>
      </c>
      <c r="F480" s="6">
        <v>6</v>
      </c>
      <c r="G480" s="6" t="s">
        <v>210</v>
      </c>
      <c r="H480" s="6">
        <f t="shared" si="34"/>
        <v>2306</v>
      </c>
      <c r="I480" s="6">
        <v>7000141</v>
      </c>
      <c r="J480" s="6">
        <v>7500</v>
      </c>
    </row>
    <row r="481" spans="1:10" x14ac:dyDescent="0.3">
      <c r="A481" s="6">
        <f t="shared" si="33"/>
        <v>2306008</v>
      </c>
      <c r="B481" s="6">
        <v>8</v>
      </c>
      <c r="C481" s="6" t="str">
        <f t="shared" si="35"/>
        <v>독설가</v>
      </c>
      <c r="D481" s="6">
        <v>2</v>
      </c>
      <c r="E481" s="6">
        <v>3</v>
      </c>
      <c r="F481" s="6">
        <v>6</v>
      </c>
      <c r="G481" s="6" t="s">
        <v>211</v>
      </c>
      <c r="H481" s="6">
        <f t="shared" si="34"/>
        <v>2306</v>
      </c>
      <c r="I481" s="6">
        <v>7000148</v>
      </c>
      <c r="J481" s="6">
        <v>1500</v>
      </c>
    </row>
    <row r="482" spans="1:10" x14ac:dyDescent="0.3">
      <c r="A482" s="6">
        <f t="shared" si="33"/>
        <v>2306009</v>
      </c>
      <c r="B482" s="6">
        <v>9</v>
      </c>
      <c r="C482" s="6" t="str">
        <f t="shared" si="35"/>
        <v>무자비</v>
      </c>
      <c r="D482" s="6">
        <v>2</v>
      </c>
      <c r="E482" s="6">
        <v>3</v>
      </c>
      <c r="F482" s="6">
        <v>6</v>
      </c>
      <c r="G482" s="6" t="s">
        <v>212</v>
      </c>
      <c r="H482" s="6">
        <f t="shared" si="34"/>
        <v>2306</v>
      </c>
      <c r="I482" s="6">
        <v>7000136</v>
      </c>
      <c r="J482" s="6">
        <v>500</v>
      </c>
    </row>
    <row r="483" spans="1:10" x14ac:dyDescent="0.3">
      <c r="A483" s="6">
        <f t="shared" si="33"/>
        <v>2306010</v>
      </c>
      <c r="B483" s="6">
        <v>10</v>
      </c>
      <c r="C483" s="6" t="str">
        <f t="shared" si="35"/>
        <v>강박증</v>
      </c>
      <c r="D483" s="6">
        <v>2</v>
      </c>
      <c r="E483" s="6">
        <v>3</v>
      </c>
      <c r="F483" s="6">
        <v>6</v>
      </c>
      <c r="G483" s="6" t="s">
        <v>213</v>
      </c>
      <c r="H483" s="6">
        <f t="shared" si="34"/>
        <v>2306</v>
      </c>
      <c r="I483" s="6">
        <v>7000162</v>
      </c>
      <c r="J483" s="6">
        <v>100</v>
      </c>
    </row>
    <row r="484" spans="1:10" x14ac:dyDescent="0.3">
      <c r="A484" s="7">
        <f>INT(H484&amp;TEXT(B484,"000"))</f>
        <v>2401001</v>
      </c>
      <c r="B484" s="7">
        <v>1</v>
      </c>
      <c r="C484" s="7" t="s">
        <v>364</v>
      </c>
      <c r="D484" s="7">
        <v>2</v>
      </c>
      <c r="E484" s="7">
        <v>4</v>
      </c>
      <c r="F484" s="7">
        <v>1</v>
      </c>
      <c r="G484" s="7" t="s">
        <v>208</v>
      </c>
      <c r="H484" s="7">
        <f>INT(D484&amp;E484&amp;TEXT(F484,"00"))</f>
        <v>2401</v>
      </c>
      <c r="I484" s="7">
        <v>7000104</v>
      </c>
      <c r="J484" s="7">
        <v>20000</v>
      </c>
    </row>
    <row r="485" spans="1:10" x14ac:dyDescent="0.3">
      <c r="A485" s="6">
        <f t="shared" ref="A485:A543" si="36">INT(H485&amp;TEXT(B485,"000"))</f>
        <v>2401002</v>
      </c>
      <c r="B485" s="6">
        <v>2</v>
      </c>
      <c r="C485" s="6" t="s">
        <v>365</v>
      </c>
      <c r="D485" s="6">
        <v>2</v>
      </c>
      <c r="E485" s="6">
        <v>4</v>
      </c>
      <c r="F485" s="6">
        <v>1</v>
      </c>
      <c r="G485" s="6" t="s">
        <v>208</v>
      </c>
      <c r="H485" s="6">
        <f t="shared" ref="H485:H543" si="37">INT(D485&amp;E485&amp;TEXT(F485,"00"))</f>
        <v>2401</v>
      </c>
      <c r="I485" s="6">
        <v>7000115</v>
      </c>
      <c r="J485" s="6">
        <v>20000</v>
      </c>
    </row>
    <row r="486" spans="1:10" x14ac:dyDescent="0.3">
      <c r="A486" s="6">
        <f t="shared" si="36"/>
        <v>2401003</v>
      </c>
      <c r="B486" s="6">
        <v>3</v>
      </c>
      <c r="C486" s="6" t="s">
        <v>386</v>
      </c>
      <c r="D486" s="6">
        <v>2</v>
      </c>
      <c r="E486" s="6">
        <v>4</v>
      </c>
      <c r="F486" s="6">
        <v>1</v>
      </c>
      <c r="G486" s="6" t="s">
        <v>208</v>
      </c>
      <c r="H486" s="6">
        <f t="shared" si="37"/>
        <v>2401</v>
      </c>
      <c r="I486" s="6">
        <v>7000170</v>
      </c>
      <c r="J486" s="6">
        <v>20000</v>
      </c>
    </row>
    <row r="487" spans="1:10" x14ac:dyDescent="0.3">
      <c r="A487" s="6">
        <f t="shared" si="36"/>
        <v>2401004</v>
      </c>
      <c r="B487" s="6">
        <v>4</v>
      </c>
      <c r="C487" s="6" t="s">
        <v>394</v>
      </c>
      <c r="D487" s="6">
        <v>2</v>
      </c>
      <c r="E487" s="6">
        <v>4</v>
      </c>
      <c r="F487" s="6">
        <v>1</v>
      </c>
      <c r="G487" s="6" t="s">
        <v>223</v>
      </c>
      <c r="H487" s="6">
        <f t="shared" si="37"/>
        <v>2401</v>
      </c>
      <c r="I487" s="6">
        <v>7000169</v>
      </c>
      <c r="J487" s="6">
        <v>15000</v>
      </c>
    </row>
    <row r="488" spans="1:10" x14ac:dyDescent="0.3">
      <c r="A488" s="6">
        <f t="shared" si="36"/>
        <v>2401005</v>
      </c>
      <c r="B488" s="6">
        <v>5</v>
      </c>
      <c r="C488" s="6" t="s">
        <v>391</v>
      </c>
      <c r="D488" s="6">
        <v>2</v>
      </c>
      <c r="E488" s="6">
        <v>4</v>
      </c>
      <c r="F488" s="6">
        <v>1</v>
      </c>
      <c r="G488" s="6" t="s">
        <v>223</v>
      </c>
      <c r="H488" s="6">
        <f t="shared" si="37"/>
        <v>2401</v>
      </c>
      <c r="I488" s="6">
        <v>7000164</v>
      </c>
      <c r="J488" s="6">
        <v>15000</v>
      </c>
    </row>
    <row r="489" spans="1:10" x14ac:dyDescent="0.3">
      <c r="A489" s="6">
        <f t="shared" si="36"/>
        <v>2401006</v>
      </c>
      <c r="B489" s="6">
        <v>6</v>
      </c>
      <c r="C489" s="6" t="s">
        <v>368</v>
      </c>
      <c r="D489" s="6">
        <v>2</v>
      </c>
      <c r="E489" s="6">
        <v>4</v>
      </c>
      <c r="F489" s="6">
        <v>1</v>
      </c>
      <c r="G489" s="6" t="s">
        <v>222</v>
      </c>
      <c r="H489" s="6">
        <f t="shared" si="37"/>
        <v>2401</v>
      </c>
      <c r="I489" s="6">
        <v>7000122</v>
      </c>
      <c r="J489" s="6">
        <v>10000</v>
      </c>
    </row>
    <row r="490" spans="1:10" x14ac:dyDescent="0.3">
      <c r="A490" s="6">
        <f t="shared" si="36"/>
        <v>2401007</v>
      </c>
      <c r="B490" s="6">
        <v>7</v>
      </c>
      <c r="C490" s="6" t="s">
        <v>393</v>
      </c>
      <c r="D490" s="6">
        <v>2</v>
      </c>
      <c r="E490" s="6">
        <v>4</v>
      </c>
      <c r="F490" s="6">
        <v>1</v>
      </c>
      <c r="G490" s="6" t="s">
        <v>222</v>
      </c>
      <c r="H490" s="6">
        <f t="shared" si="37"/>
        <v>2401</v>
      </c>
      <c r="I490" s="6">
        <v>7000157</v>
      </c>
      <c r="J490" s="6">
        <v>10000</v>
      </c>
    </row>
    <row r="491" spans="1:10" x14ac:dyDescent="0.3">
      <c r="A491" s="6">
        <f t="shared" si="36"/>
        <v>2401008</v>
      </c>
      <c r="B491" s="6">
        <v>8</v>
      </c>
      <c r="C491" s="6" t="s">
        <v>362</v>
      </c>
      <c r="D491" s="6">
        <v>2</v>
      </c>
      <c r="E491" s="6">
        <v>4</v>
      </c>
      <c r="F491" s="6">
        <v>1</v>
      </c>
      <c r="G491" s="6" t="s">
        <v>211</v>
      </c>
      <c r="H491" s="6">
        <f t="shared" si="37"/>
        <v>2401</v>
      </c>
      <c r="I491" s="6">
        <v>7000105</v>
      </c>
      <c r="J491" s="6">
        <v>2000</v>
      </c>
    </row>
    <row r="492" spans="1:10" x14ac:dyDescent="0.3">
      <c r="A492" s="6">
        <f t="shared" si="36"/>
        <v>2401009</v>
      </c>
      <c r="B492" s="6">
        <v>9</v>
      </c>
      <c r="C492" s="6" t="s">
        <v>373</v>
      </c>
      <c r="D492" s="6">
        <v>2</v>
      </c>
      <c r="E492" s="6">
        <v>4</v>
      </c>
      <c r="F492" s="6">
        <v>1</v>
      </c>
      <c r="G492" s="6" t="s">
        <v>212</v>
      </c>
      <c r="H492" s="6">
        <f t="shared" si="37"/>
        <v>2401</v>
      </c>
      <c r="I492" s="6">
        <v>7000118</v>
      </c>
      <c r="J492" s="6">
        <v>500</v>
      </c>
    </row>
    <row r="493" spans="1:10" x14ac:dyDescent="0.3">
      <c r="A493" s="6">
        <f t="shared" si="36"/>
        <v>2401010</v>
      </c>
      <c r="B493" s="6">
        <v>10</v>
      </c>
      <c r="C493" s="6" t="s">
        <v>367</v>
      </c>
      <c r="D493" s="6">
        <v>2</v>
      </c>
      <c r="E493" s="6">
        <v>4</v>
      </c>
      <c r="F493" s="6">
        <v>1</v>
      </c>
      <c r="G493" s="6" t="s">
        <v>213</v>
      </c>
      <c r="H493" s="6">
        <f t="shared" si="37"/>
        <v>2401</v>
      </c>
      <c r="I493" s="6">
        <v>7000119</v>
      </c>
      <c r="J493" s="6">
        <v>100</v>
      </c>
    </row>
    <row r="494" spans="1:10" x14ac:dyDescent="0.3">
      <c r="A494" s="6">
        <f t="shared" si="36"/>
        <v>2402001</v>
      </c>
      <c r="B494" s="6">
        <v>1</v>
      </c>
      <c r="C494" s="6" t="str">
        <f>C484</f>
        <v>집중</v>
      </c>
      <c r="D494" s="6">
        <v>2</v>
      </c>
      <c r="E494" s="6">
        <v>4</v>
      </c>
      <c r="F494" s="6">
        <v>2</v>
      </c>
      <c r="G494" s="6" t="s">
        <v>208</v>
      </c>
      <c r="H494" s="6">
        <f t="shared" si="37"/>
        <v>2402</v>
      </c>
      <c r="I494" s="6">
        <v>7000104</v>
      </c>
      <c r="J494" s="6">
        <v>18000</v>
      </c>
    </row>
    <row r="495" spans="1:10" x14ac:dyDescent="0.3">
      <c r="A495" s="6">
        <f t="shared" si="36"/>
        <v>2402002</v>
      </c>
      <c r="B495" s="6">
        <v>2</v>
      </c>
      <c r="C495" s="6" t="str">
        <f t="shared" ref="C495:C543" si="38">C485</f>
        <v>만전태세</v>
      </c>
      <c r="D495" s="6">
        <v>2</v>
      </c>
      <c r="E495" s="6">
        <v>4</v>
      </c>
      <c r="F495" s="6">
        <v>2</v>
      </c>
      <c r="G495" s="6" t="s">
        <v>208</v>
      </c>
      <c r="H495" s="6">
        <f t="shared" si="37"/>
        <v>2402</v>
      </c>
      <c r="I495" s="6">
        <v>7000115</v>
      </c>
      <c r="J495" s="6">
        <v>18000</v>
      </c>
    </row>
    <row r="496" spans="1:10" x14ac:dyDescent="0.3">
      <c r="A496" s="6">
        <f t="shared" si="36"/>
        <v>2402003</v>
      </c>
      <c r="B496" s="6">
        <v>3</v>
      </c>
      <c r="C496" s="6" t="str">
        <f t="shared" si="38"/>
        <v>기선제압</v>
      </c>
      <c r="D496" s="6">
        <v>2</v>
      </c>
      <c r="E496" s="6">
        <v>4</v>
      </c>
      <c r="F496" s="6">
        <v>2</v>
      </c>
      <c r="G496" s="6" t="s">
        <v>208</v>
      </c>
      <c r="H496" s="6">
        <f t="shared" si="37"/>
        <v>2402</v>
      </c>
      <c r="I496" s="6">
        <v>7000170</v>
      </c>
      <c r="J496" s="6">
        <v>18000</v>
      </c>
    </row>
    <row r="497" spans="1:10" x14ac:dyDescent="0.3">
      <c r="A497" s="6">
        <f t="shared" si="36"/>
        <v>2402004</v>
      </c>
      <c r="B497" s="6">
        <v>4</v>
      </c>
      <c r="C497" s="6" t="str">
        <f t="shared" si="38"/>
        <v>안정</v>
      </c>
      <c r="D497" s="6">
        <v>2</v>
      </c>
      <c r="E497" s="6">
        <v>4</v>
      </c>
      <c r="F497" s="6">
        <v>2</v>
      </c>
      <c r="G497" s="6" t="s">
        <v>209</v>
      </c>
      <c r="H497" s="6">
        <f t="shared" si="37"/>
        <v>2402</v>
      </c>
      <c r="I497" s="6">
        <v>7000169</v>
      </c>
      <c r="J497" s="6">
        <v>14500</v>
      </c>
    </row>
    <row r="498" spans="1:10" x14ac:dyDescent="0.3">
      <c r="A498" s="6">
        <f t="shared" si="36"/>
        <v>2402005</v>
      </c>
      <c r="B498" s="6">
        <v>5</v>
      </c>
      <c r="C498" s="6" t="str">
        <f t="shared" si="38"/>
        <v>자비</v>
      </c>
      <c r="D498" s="6">
        <v>2</v>
      </c>
      <c r="E498" s="6">
        <v>4</v>
      </c>
      <c r="F498" s="6">
        <v>2</v>
      </c>
      <c r="G498" s="6" t="s">
        <v>209</v>
      </c>
      <c r="H498" s="6">
        <f t="shared" si="37"/>
        <v>2402</v>
      </c>
      <c r="I498" s="6">
        <v>7000164</v>
      </c>
      <c r="J498" s="6">
        <v>14500</v>
      </c>
    </row>
    <row r="499" spans="1:10" x14ac:dyDescent="0.3">
      <c r="A499" s="6">
        <f t="shared" si="36"/>
        <v>2402006</v>
      </c>
      <c r="B499" s="6">
        <v>6</v>
      </c>
      <c r="C499" s="6" t="str">
        <f t="shared" si="38"/>
        <v>기회주의자</v>
      </c>
      <c r="D499" s="6">
        <v>2</v>
      </c>
      <c r="E499" s="6">
        <v>4</v>
      </c>
      <c r="F499" s="6">
        <v>2</v>
      </c>
      <c r="G499" s="6" t="s">
        <v>210</v>
      </c>
      <c r="H499" s="6">
        <f t="shared" si="37"/>
        <v>2402</v>
      </c>
      <c r="I499" s="6">
        <v>7000122</v>
      </c>
      <c r="J499" s="6">
        <v>9500</v>
      </c>
    </row>
    <row r="500" spans="1:10" x14ac:dyDescent="0.3">
      <c r="A500" s="6">
        <f t="shared" si="36"/>
        <v>2402007</v>
      </c>
      <c r="B500" s="6">
        <v>7</v>
      </c>
      <c r="C500" s="6" t="str">
        <f t="shared" si="38"/>
        <v>몽상가</v>
      </c>
      <c r="D500" s="6">
        <v>2</v>
      </c>
      <c r="E500" s="6">
        <v>4</v>
      </c>
      <c r="F500" s="6">
        <v>2</v>
      </c>
      <c r="G500" s="6" t="s">
        <v>210</v>
      </c>
      <c r="H500" s="6">
        <f t="shared" si="37"/>
        <v>2402</v>
      </c>
      <c r="I500" s="6">
        <v>7000157</v>
      </c>
      <c r="J500" s="6">
        <v>9500</v>
      </c>
    </row>
    <row r="501" spans="1:10" x14ac:dyDescent="0.3">
      <c r="A501" s="6">
        <f t="shared" si="36"/>
        <v>2402008</v>
      </c>
      <c r="B501" s="6">
        <v>8</v>
      </c>
      <c r="C501" s="6" t="str">
        <f t="shared" si="38"/>
        <v>자기 합리화</v>
      </c>
      <c r="D501" s="6">
        <v>2</v>
      </c>
      <c r="E501" s="6">
        <v>4</v>
      </c>
      <c r="F501" s="6">
        <v>2</v>
      </c>
      <c r="G501" s="6" t="s">
        <v>211</v>
      </c>
      <c r="H501" s="6">
        <f t="shared" si="37"/>
        <v>2402</v>
      </c>
      <c r="I501" s="6">
        <v>7000105</v>
      </c>
      <c r="J501" s="6">
        <v>1900</v>
      </c>
    </row>
    <row r="502" spans="1:10" x14ac:dyDescent="0.3">
      <c r="A502" s="6">
        <f t="shared" si="36"/>
        <v>2402009</v>
      </c>
      <c r="B502" s="6">
        <v>9</v>
      </c>
      <c r="C502" s="6" t="str">
        <f t="shared" si="38"/>
        <v>경계심</v>
      </c>
      <c r="D502" s="6">
        <v>2</v>
      </c>
      <c r="E502" s="6">
        <v>4</v>
      </c>
      <c r="F502" s="6">
        <v>2</v>
      </c>
      <c r="G502" s="6" t="s">
        <v>212</v>
      </c>
      <c r="H502" s="6">
        <f t="shared" si="37"/>
        <v>2402</v>
      </c>
      <c r="I502" s="6">
        <v>7000118</v>
      </c>
      <c r="J502" s="6">
        <v>500</v>
      </c>
    </row>
    <row r="503" spans="1:10" x14ac:dyDescent="0.3">
      <c r="A503" s="6">
        <f t="shared" si="36"/>
        <v>2402010</v>
      </c>
      <c r="B503" s="6">
        <v>10</v>
      </c>
      <c r="C503" s="6" t="str">
        <f t="shared" si="38"/>
        <v>다재다능</v>
      </c>
      <c r="D503" s="6">
        <v>2</v>
      </c>
      <c r="E503" s="6">
        <v>4</v>
      </c>
      <c r="F503" s="6">
        <v>2</v>
      </c>
      <c r="G503" s="6" t="s">
        <v>213</v>
      </c>
      <c r="H503" s="6">
        <f t="shared" si="37"/>
        <v>2402</v>
      </c>
      <c r="I503" s="6">
        <v>7000119</v>
      </c>
      <c r="J503" s="6">
        <v>100</v>
      </c>
    </row>
    <row r="504" spans="1:10" x14ac:dyDescent="0.3">
      <c r="A504" s="6">
        <f t="shared" si="36"/>
        <v>2403001</v>
      </c>
      <c r="B504" s="6">
        <v>1</v>
      </c>
      <c r="C504" s="6" t="str">
        <f>C494</f>
        <v>집중</v>
      </c>
      <c r="D504" s="6">
        <v>2</v>
      </c>
      <c r="E504" s="6">
        <v>4</v>
      </c>
      <c r="F504" s="6">
        <v>3</v>
      </c>
      <c r="G504" s="6" t="s">
        <v>208</v>
      </c>
      <c r="H504" s="6">
        <f t="shared" si="37"/>
        <v>2403</v>
      </c>
      <c r="I504" s="6">
        <v>7000104</v>
      </c>
      <c r="J504" s="6">
        <v>16000</v>
      </c>
    </row>
    <row r="505" spans="1:10" x14ac:dyDescent="0.3">
      <c r="A505" s="6">
        <f t="shared" si="36"/>
        <v>2403002</v>
      </c>
      <c r="B505" s="6">
        <v>2</v>
      </c>
      <c r="C505" s="6" t="str">
        <f t="shared" si="38"/>
        <v>만전태세</v>
      </c>
      <c r="D505" s="6">
        <v>2</v>
      </c>
      <c r="E505" s="6">
        <v>4</v>
      </c>
      <c r="F505" s="6">
        <v>3</v>
      </c>
      <c r="G505" s="6" t="s">
        <v>208</v>
      </c>
      <c r="H505" s="6">
        <f t="shared" si="37"/>
        <v>2403</v>
      </c>
      <c r="I505" s="6">
        <v>7000115</v>
      </c>
      <c r="J505" s="6">
        <v>16000</v>
      </c>
    </row>
    <row r="506" spans="1:10" x14ac:dyDescent="0.3">
      <c r="A506" s="6">
        <f t="shared" si="36"/>
        <v>2403003</v>
      </c>
      <c r="B506" s="6">
        <v>3</v>
      </c>
      <c r="C506" s="6" t="str">
        <f t="shared" si="38"/>
        <v>기선제압</v>
      </c>
      <c r="D506" s="6">
        <v>2</v>
      </c>
      <c r="E506" s="6">
        <v>4</v>
      </c>
      <c r="F506" s="6">
        <v>3</v>
      </c>
      <c r="G506" s="6" t="s">
        <v>208</v>
      </c>
      <c r="H506" s="6">
        <f t="shared" si="37"/>
        <v>2403</v>
      </c>
      <c r="I506" s="6">
        <v>7000170</v>
      </c>
      <c r="J506" s="6">
        <v>16000</v>
      </c>
    </row>
    <row r="507" spans="1:10" x14ac:dyDescent="0.3">
      <c r="A507" s="6">
        <f t="shared" si="36"/>
        <v>2403004</v>
      </c>
      <c r="B507" s="6">
        <v>4</v>
      </c>
      <c r="C507" s="6" t="str">
        <f t="shared" si="38"/>
        <v>안정</v>
      </c>
      <c r="D507" s="6">
        <v>2</v>
      </c>
      <c r="E507" s="6">
        <v>4</v>
      </c>
      <c r="F507" s="6">
        <v>3</v>
      </c>
      <c r="G507" s="6" t="s">
        <v>209</v>
      </c>
      <c r="H507" s="6">
        <f t="shared" si="37"/>
        <v>2403</v>
      </c>
      <c r="I507" s="6">
        <v>7000169</v>
      </c>
      <c r="J507" s="6">
        <v>14000</v>
      </c>
    </row>
    <row r="508" spans="1:10" x14ac:dyDescent="0.3">
      <c r="A508" s="6">
        <f t="shared" si="36"/>
        <v>2403005</v>
      </c>
      <c r="B508" s="6">
        <v>5</v>
      </c>
      <c r="C508" s="6" t="str">
        <f t="shared" si="38"/>
        <v>자비</v>
      </c>
      <c r="D508" s="6">
        <v>2</v>
      </c>
      <c r="E508" s="6">
        <v>4</v>
      </c>
      <c r="F508" s="6">
        <v>3</v>
      </c>
      <c r="G508" s="6" t="s">
        <v>209</v>
      </c>
      <c r="H508" s="6">
        <f t="shared" si="37"/>
        <v>2403</v>
      </c>
      <c r="I508" s="6">
        <v>7000164</v>
      </c>
      <c r="J508" s="6">
        <v>14000</v>
      </c>
    </row>
    <row r="509" spans="1:10" x14ac:dyDescent="0.3">
      <c r="A509" s="6">
        <f t="shared" si="36"/>
        <v>2403006</v>
      </c>
      <c r="B509" s="6">
        <v>6</v>
      </c>
      <c r="C509" s="6" t="str">
        <f t="shared" si="38"/>
        <v>기회주의자</v>
      </c>
      <c r="D509" s="6">
        <v>2</v>
      </c>
      <c r="E509" s="6">
        <v>4</v>
      </c>
      <c r="F509" s="6">
        <v>3</v>
      </c>
      <c r="G509" s="6" t="s">
        <v>210</v>
      </c>
      <c r="H509" s="6">
        <f t="shared" si="37"/>
        <v>2403</v>
      </c>
      <c r="I509" s="6">
        <v>7000122</v>
      </c>
      <c r="J509" s="6">
        <v>9000</v>
      </c>
    </row>
    <row r="510" spans="1:10" x14ac:dyDescent="0.3">
      <c r="A510" s="6">
        <f t="shared" si="36"/>
        <v>2403007</v>
      </c>
      <c r="B510" s="6">
        <v>7</v>
      </c>
      <c r="C510" s="6" t="str">
        <f t="shared" si="38"/>
        <v>몽상가</v>
      </c>
      <c r="D510" s="6">
        <v>2</v>
      </c>
      <c r="E510" s="6">
        <v>4</v>
      </c>
      <c r="F510" s="6">
        <v>3</v>
      </c>
      <c r="G510" s="6" t="s">
        <v>210</v>
      </c>
      <c r="H510" s="6">
        <f t="shared" si="37"/>
        <v>2403</v>
      </c>
      <c r="I510" s="6">
        <v>7000157</v>
      </c>
      <c r="J510" s="6">
        <v>9000</v>
      </c>
    </row>
    <row r="511" spans="1:10" x14ac:dyDescent="0.3">
      <c r="A511" s="6">
        <f t="shared" si="36"/>
        <v>2403008</v>
      </c>
      <c r="B511" s="6">
        <v>8</v>
      </c>
      <c r="C511" s="6" t="str">
        <f t="shared" si="38"/>
        <v>자기 합리화</v>
      </c>
      <c r="D511" s="6">
        <v>2</v>
      </c>
      <c r="E511" s="6">
        <v>4</v>
      </c>
      <c r="F511" s="6">
        <v>3</v>
      </c>
      <c r="G511" s="6" t="s">
        <v>211</v>
      </c>
      <c r="H511" s="6">
        <f t="shared" si="37"/>
        <v>2403</v>
      </c>
      <c r="I511" s="6">
        <v>7000105</v>
      </c>
      <c r="J511" s="6">
        <v>1800</v>
      </c>
    </row>
    <row r="512" spans="1:10" x14ac:dyDescent="0.3">
      <c r="A512" s="6">
        <f t="shared" si="36"/>
        <v>2403009</v>
      </c>
      <c r="B512" s="6">
        <v>9</v>
      </c>
      <c r="C512" s="6" t="str">
        <f t="shared" si="38"/>
        <v>경계심</v>
      </c>
      <c r="D512" s="6">
        <v>2</v>
      </c>
      <c r="E512" s="6">
        <v>4</v>
      </c>
      <c r="F512" s="6">
        <v>3</v>
      </c>
      <c r="G512" s="6" t="s">
        <v>212</v>
      </c>
      <c r="H512" s="6">
        <f t="shared" si="37"/>
        <v>2403</v>
      </c>
      <c r="I512" s="6">
        <v>7000118</v>
      </c>
      <c r="J512" s="6">
        <v>500</v>
      </c>
    </row>
    <row r="513" spans="1:10" x14ac:dyDescent="0.3">
      <c r="A513" s="6">
        <f t="shared" si="36"/>
        <v>2403010</v>
      </c>
      <c r="B513" s="6">
        <v>10</v>
      </c>
      <c r="C513" s="6" t="str">
        <f t="shared" si="38"/>
        <v>다재다능</v>
      </c>
      <c r="D513" s="6">
        <v>2</v>
      </c>
      <c r="E513" s="6">
        <v>4</v>
      </c>
      <c r="F513" s="6">
        <v>3</v>
      </c>
      <c r="G513" s="6" t="s">
        <v>213</v>
      </c>
      <c r="H513" s="6">
        <f t="shared" si="37"/>
        <v>2403</v>
      </c>
      <c r="I513" s="6">
        <v>7000119</v>
      </c>
      <c r="J513" s="6">
        <v>100</v>
      </c>
    </row>
    <row r="514" spans="1:10" x14ac:dyDescent="0.3">
      <c r="A514" s="6">
        <f t="shared" si="36"/>
        <v>2404001</v>
      </c>
      <c r="B514" s="6">
        <v>1</v>
      </c>
      <c r="C514" s="6" t="str">
        <f>C504</f>
        <v>집중</v>
      </c>
      <c r="D514" s="6">
        <v>2</v>
      </c>
      <c r="E514" s="6">
        <v>4</v>
      </c>
      <c r="F514" s="6">
        <v>4</v>
      </c>
      <c r="G514" s="6" t="s">
        <v>208</v>
      </c>
      <c r="H514" s="6">
        <f t="shared" si="37"/>
        <v>2404</v>
      </c>
      <c r="I514" s="6">
        <v>7000104</v>
      </c>
      <c r="J514" s="6">
        <v>14000</v>
      </c>
    </row>
    <row r="515" spans="1:10" x14ac:dyDescent="0.3">
      <c r="A515" s="6">
        <f t="shared" si="36"/>
        <v>2404002</v>
      </c>
      <c r="B515" s="6">
        <v>2</v>
      </c>
      <c r="C515" s="6" t="str">
        <f t="shared" si="38"/>
        <v>만전태세</v>
      </c>
      <c r="D515" s="6">
        <v>2</v>
      </c>
      <c r="E515" s="6">
        <v>4</v>
      </c>
      <c r="F515" s="6">
        <v>4</v>
      </c>
      <c r="G515" s="6" t="s">
        <v>208</v>
      </c>
      <c r="H515" s="6">
        <f t="shared" si="37"/>
        <v>2404</v>
      </c>
      <c r="I515" s="6">
        <v>7000115</v>
      </c>
      <c r="J515" s="6">
        <v>14000</v>
      </c>
    </row>
    <row r="516" spans="1:10" x14ac:dyDescent="0.3">
      <c r="A516" s="6">
        <f t="shared" si="36"/>
        <v>2404003</v>
      </c>
      <c r="B516" s="6">
        <v>3</v>
      </c>
      <c r="C516" s="6" t="str">
        <f t="shared" si="38"/>
        <v>기선제압</v>
      </c>
      <c r="D516" s="6">
        <v>2</v>
      </c>
      <c r="E516" s="6">
        <v>4</v>
      </c>
      <c r="F516" s="6">
        <v>4</v>
      </c>
      <c r="G516" s="6" t="s">
        <v>208</v>
      </c>
      <c r="H516" s="6">
        <f t="shared" si="37"/>
        <v>2404</v>
      </c>
      <c r="I516" s="6">
        <v>7000170</v>
      </c>
      <c r="J516" s="6">
        <v>14000</v>
      </c>
    </row>
    <row r="517" spans="1:10" x14ac:dyDescent="0.3">
      <c r="A517" s="6">
        <f t="shared" si="36"/>
        <v>2404004</v>
      </c>
      <c r="B517" s="6">
        <v>4</v>
      </c>
      <c r="C517" s="6" t="str">
        <f t="shared" si="38"/>
        <v>안정</v>
      </c>
      <c r="D517" s="6">
        <v>2</v>
      </c>
      <c r="E517" s="6">
        <v>4</v>
      </c>
      <c r="F517" s="6">
        <v>4</v>
      </c>
      <c r="G517" s="6" t="s">
        <v>209</v>
      </c>
      <c r="H517" s="6">
        <f t="shared" si="37"/>
        <v>2404</v>
      </c>
      <c r="I517" s="6">
        <v>7000169</v>
      </c>
      <c r="J517" s="6">
        <v>13500</v>
      </c>
    </row>
    <row r="518" spans="1:10" x14ac:dyDescent="0.3">
      <c r="A518" s="6">
        <f t="shared" si="36"/>
        <v>2404005</v>
      </c>
      <c r="B518" s="6">
        <v>5</v>
      </c>
      <c r="C518" s="6" t="str">
        <f t="shared" si="38"/>
        <v>자비</v>
      </c>
      <c r="D518" s="6">
        <v>2</v>
      </c>
      <c r="E518" s="6">
        <v>4</v>
      </c>
      <c r="F518" s="6">
        <v>4</v>
      </c>
      <c r="G518" s="6" t="s">
        <v>209</v>
      </c>
      <c r="H518" s="6">
        <f t="shared" si="37"/>
        <v>2404</v>
      </c>
      <c r="I518" s="6">
        <v>7000164</v>
      </c>
      <c r="J518" s="6">
        <v>13500</v>
      </c>
    </row>
    <row r="519" spans="1:10" x14ac:dyDescent="0.3">
      <c r="A519" s="6">
        <f t="shared" si="36"/>
        <v>2404006</v>
      </c>
      <c r="B519" s="6">
        <v>6</v>
      </c>
      <c r="C519" s="6" t="str">
        <f t="shared" si="38"/>
        <v>기회주의자</v>
      </c>
      <c r="D519" s="6">
        <v>2</v>
      </c>
      <c r="E519" s="6">
        <v>4</v>
      </c>
      <c r="F519" s="6">
        <v>4</v>
      </c>
      <c r="G519" s="6" t="s">
        <v>210</v>
      </c>
      <c r="H519" s="6">
        <f t="shared" si="37"/>
        <v>2404</v>
      </c>
      <c r="I519" s="6">
        <v>7000122</v>
      </c>
      <c r="J519" s="6">
        <v>8500</v>
      </c>
    </row>
    <row r="520" spans="1:10" x14ac:dyDescent="0.3">
      <c r="A520" s="6">
        <f t="shared" si="36"/>
        <v>2404007</v>
      </c>
      <c r="B520" s="6">
        <v>7</v>
      </c>
      <c r="C520" s="6" t="str">
        <f t="shared" si="38"/>
        <v>몽상가</v>
      </c>
      <c r="D520" s="6">
        <v>2</v>
      </c>
      <c r="E520" s="6">
        <v>4</v>
      </c>
      <c r="F520" s="6">
        <v>4</v>
      </c>
      <c r="G520" s="6" t="s">
        <v>210</v>
      </c>
      <c r="H520" s="6">
        <f t="shared" si="37"/>
        <v>2404</v>
      </c>
      <c r="I520" s="6">
        <v>7000157</v>
      </c>
      <c r="J520" s="6">
        <v>8500</v>
      </c>
    </row>
    <row r="521" spans="1:10" x14ac:dyDescent="0.3">
      <c r="A521" s="6">
        <f t="shared" si="36"/>
        <v>2404008</v>
      </c>
      <c r="B521" s="6">
        <v>8</v>
      </c>
      <c r="C521" s="6" t="str">
        <f t="shared" si="38"/>
        <v>자기 합리화</v>
      </c>
      <c r="D521" s="6">
        <v>2</v>
      </c>
      <c r="E521" s="6">
        <v>4</v>
      </c>
      <c r="F521" s="6">
        <v>4</v>
      </c>
      <c r="G521" s="6" t="s">
        <v>211</v>
      </c>
      <c r="H521" s="6">
        <f t="shared" si="37"/>
        <v>2404</v>
      </c>
      <c r="I521" s="6">
        <v>7000105</v>
      </c>
      <c r="J521" s="6">
        <v>1700</v>
      </c>
    </row>
    <row r="522" spans="1:10" x14ac:dyDescent="0.3">
      <c r="A522" s="6">
        <f t="shared" si="36"/>
        <v>2404009</v>
      </c>
      <c r="B522" s="6">
        <v>9</v>
      </c>
      <c r="C522" s="6" t="str">
        <f t="shared" si="38"/>
        <v>경계심</v>
      </c>
      <c r="D522" s="6">
        <v>2</v>
      </c>
      <c r="E522" s="6">
        <v>4</v>
      </c>
      <c r="F522" s="6">
        <v>4</v>
      </c>
      <c r="G522" s="6" t="s">
        <v>212</v>
      </c>
      <c r="H522" s="6">
        <f t="shared" si="37"/>
        <v>2404</v>
      </c>
      <c r="I522" s="6">
        <v>7000118</v>
      </c>
      <c r="J522" s="6">
        <v>500</v>
      </c>
    </row>
    <row r="523" spans="1:10" x14ac:dyDescent="0.3">
      <c r="A523" s="6">
        <f t="shared" si="36"/>
        <v>2404010</v>
      </c>
      <c r="B523" s="6">
        <v>10</v>
      </c>
      <c r="C523" s="6" t="str">
        <f t="shared" si="38"/>
        <v>다재다능</v>
      </c>
      <c r="D523" s="6">
        <v>2</v>
      </c>
      <c r="E523" s="6">
        <v>4</v>
      </c>
      <c r="F523" s="6">
        <v>4</v>
      </c>
      <c r="G523" s="6" t="s">
        <v>213</v>
      </c>
      <c r="H523" s="6">
        <f t="shared" si="37"/>
        <v>2404</v>
      </c>
      <c r="I523" s="6">
        <v>7000119</v>
      </c>
      <c r="J523" s="6">
        <v>100</v>
      </c>
    </row>
    <row r="524" spans="1:10" x14ac:dyDescent="0.3">
      <c r="A524" s="6">
        <f t="shared" si="36"/>
        <v>2405001</v>
      </c>
      <c r="B524" s="6">
        <v>1</v>
      </c>
      <c r="C524" s="6" t="str">
        <f>C514</f>
        <v>집중</v>
      </c>
      <c r="D524" s="6">
        <v>2</v>
      </c>
      <c r="E524" s="6">
        <v>4</v>
      </c>
      <c r="F524" s="6">
        <v>5</v>
      </c>
      <c r="G524" s="6" t="s">
        <v>208</v>
      </c>
      <c r="H524" s="6">
        <f t="shared" si="37"/>
        <v>2405</v>
      </c>
      <c r="I524" s="6">
        <v>7000104</v>
      </c>
      <c r="J524" s="6">
        <v>12000</v>
      </c>
    </row>
    <row r="525" spans="1:10" x14ac:dyDescent="0.3">
      <c r="A525" s="6">
        <f t="shared" si="36"/>
        <v>2405002</v>
      </c>
      <c r="B525" s="6">
        <v>2</v>
      </c>
      <c r="C525" s="6" t="str">
        <f t="shared" si="38"/>
        <v>만전태세</v>
      </c>
      <c r="D525" s="6">
        <v>2</v>
      </c>
      <c r="E525" s="6">
        <v>4</v>
      </c>
      <c r="F525" s="6">
        <v>5</v>
      </c>
      <c r="G525" s="6" t="s">
        <v>208</v>
      </c>
      <c r="H525" s="6">
        <f t="shared" si="37"/>
        <v>2405</v>
      </c>
      <c r="I525" s="6">
        <v>7000115</v>
      </c>
      <c r="J525" s="6">
        <v>12000</v>
      </c>
    </row>
    <row r="526" spans="1:10" x14ac:dyDescent="0.3">
      <c r="A526" s="6">
        <f t="shared" si="36"/>
        <v>2405003</v>
      </c>
      <c r="B526" s="6">
        <v>3</v>
      </c>
      <c r="C526" s="6" t="str">
        <f t="shared" si="38"/>
        <v>기선제압</v>
      </c>
      <c r="D526" s="6">
        <v>2</v>
      </c>
      <c r="E526" s="6">
        <v>4</v>
      </c>
      <c r="F526" s="6">
        <v>5</v>
      </c>
      <c r="G526" s="6" t="s">
        <v>208</v>
      </c>
      <c r="H526" s="6">
        <f t="shared" si="37"/>
        <v>2405</v>
      </c>
      <c r="I526" s="6">
        <v>7000170</v>
      </c>
      <c r="J526" s="6">
        <v>12000</v>
      </c>
    </row>
    <row r="527" spans="1:10" x14ac:dyDescent="0.3">
      <c r="A527" s="6">
        <f t="shared" si="36"/>
        <v>2405004</v>
      </c>
      <c r="B527" s="6">
        <v>4</v>
      </c>
      <c r="C527" s="6" t="str">
        <f t="shared" si="38"/>
        <v>안정</v>
      </c>
      <c r="D527" s="6">
        <v>2</v>
      </c>
      <c r="E527" s="6">
        <v>4</v>
      </c>
      <c r="F527" s="6">
        <v>5</v>
      </c>
      <c r="G527" s="6" t="s">
        <v>209</v>
      </c>
      <c r="H527" s="6">
        <f t="shared" si="37"/>
        <v>2405</v>
      </c>
      <c r="I527" s="6">
        <v>7000169</v>
      </c>
      <c r="J527" s="6">
        <v>13000</v>
      </c>
    </row>
    <row r="528" spans="1:10" x14ac:dyDescent="0.3">
      <c r="A528" s="6">
        <f t="shared" si="36"/>
        <v>2405005</v>
      </c>
      <c r="B528" s="6">
        <v>5</v>
      </c>
      <c r="C528" s="6" t="str">
        <f t="shared" si="38"/>
        <v>자비</v>
      </c>
      <c r="D528" s="6">
        <v>2</v>
      </c>
      <c r="E528" s="6">
        <v>4</v>
      </c>
      <c r="F528" s="6">
        <v>5</v>
      </c>
      <c r="G528" s="6" t="s">
        <v>209</v>
      </c>
      <c r="H528" s="6">
        <f t="shared" si="37"/>
        <v>2405</v>
      </c>
      <c r="I528" s="6">
        <v>7000164</v>
      </c>
      <c r="J528" s="6">
        <v>13000</v>
      </c>
    </row>
    <row r="529" spans="1:10" x14ac:dyDescent="0.3">
      <c r="A529" s="6">
        <f t="shared" si="36"/>
        <v>2405006</v>
      </c>
      <c r="B529" s="6">
        <v>6</v>
      </c>
      <c r="C529" s="6" t="str">
        <f t="shared" si="38"/>
        <v>기회주의자</v>
      </c>
      <c r="D529" s="6">
        <v>2</v>
      </c>
      <c r="E529" s="6">
        <v>4</v>
      </c>
      <c r="F529" s="6">
        <v>5</v>
      </c>
      <c r="G529" s="6" t="s">
        <v>210</v>
      </c>
      <c r="H529" s="6">
        <f t="shared" si="37"/>
        <v>2405</v>
      </c>
      <c r="I529" s="6">
        <v>7000122</v>
      </c>
      <c r="J529" s="6">
        <v>8000</v>
      </c>
    </row>
    <row r="530" spans="1:10" x14ac:dyDescent="0.3">
      <c r="A530" s="6">
        <f t="shared" si="36"/>
        <v>2405007</v>
      </c>
      <c r="B530" s="6">
        <v>7</v>
      </c>
      <c r="C530" s="6" t="str">
        <f t="shared" si="38"/>
        <v>몽상가</v>
      </c>
      <c r="D530" s="6">
        <v>2</v>
      </c>
      <c r="E530" s="6">
        <v>4</v>
      </c>
      <c r="F530" s="6">
        <v>5</v>
      </c>
      <c r="G530" s="6" t="s">
        <v>210</v>
      </c>
      <c r="H530" s="6">
        <f t="shared" si="37"/>
        <v>2405</v>
      </c>
      <c r="I530" s="6">
        <v>7000157</v>
      </c>
      <c r="J530" s="6">
        <v>8000</v>
      </c>
    </row>
    <row r="531" spans="1:10" x14ac:dyDescent="0.3">
      <c r="A531" s="6">
        <f t="shared" si="36"/>
        <v>2405008</v>
      </c>
      <c r="B531" s="6">
        <v>8</v>
      </c>
      <c r="C531" s="6" t="str">
        <f t="shared" si="38"/>
        <v>자기 합리화</v>
      </c>
      <c r="D531" s="6">
        <v>2</v>
      </c>
      <c r="E531" s="6">
        <v>4</v>
      </c>
      <c r="F531" s="6">
        <v>5</v>
      </c>
      <c r="G531" s="6" t="s">
        <v>211</v>
      </c>
      <c r="H531" s="6">
        <f t="shared" si="37"/>
        <v>2405</v>
      </c>
      <c r="I531" s="6">
        <v>7000105</v>
      </c>
      <c r="J531" s="6">
        <v>1600</v>
      </c>
    </row>
    <row r="532" spans="1:10" x14ac:dyDescent="0.3">
      <c r="A532" s="6">
        <f t="shared" si="36"/>
        <v>2405009</v>
      </c>
      <c r="B532" s="6">
        <v>9</v>
      </c>
      <c r="C532" s="6" t="str">
        <f t="shared" si="38"/>
        <v>경계심</v>
      </c>
      <c r="D532" s="6">
        <v>2</v>
      </c>
      <c r="E532" s="6">
        <v>4</v>
      </c>
      <c r="F532" s="6">
        <v>5</v>
      </c>
      <c r="G532" s="6" t="s">
        <v>212</v>
      </c>
      <c r="H532" s="6">
        <f t="shared" si="37"/>
        <v>2405</v>
      </c>
      <c r="I532" s="6">
        <v>7000118</v>
      </c>
      <c r="J532" s="6">
        <v>500</v>
      </c>
    </row>
    <row r="533" spans="1:10" x14ac:dyDescent="0.3">
      <c r="A533" s="6">
        <f t="shared" si="36"/>
        <v>2405010</v>
      </c>
      <c r="B533" s="6">
        <v>10</v>
      </c>
      <c r="C533" s="6" t="str">
        <f t="shared" si="38"/>
        <v>다재다능</v>
      </c>
      <c r="D533" s="6">
        <v>2</v>
      </c>
      <c r="E533" s="6">
        <v>4</v>
      </c>
      <c r="F533" s="6">
        <v>5</v>
      </c>
      <c r="G533" s="6" t="s">
        <v>213</v>
      </c>
      <c r="H533" s="6">
        <f t="shared" si="37"/>
        <v>2405</v>
      </c>
      <c r="I533" s="6">
        <v>7000119</v>
      </c>
      <c r="J533" s="6">
        <v>100</v>
      </c>
    </row>
    <row r="534" spans="1:10" x14ac:dyDescent="0.3">
      <c r="A534" s="6">
        <f t="shared" si="36"/>
        <v>2406001</v>
      </c>
      <c r="B534" s="6">
        <v>1</v>
      </c>
      <c r="C534" s="6" t="str">
        <f>C524</f>
        <v>집중</v>
      </c>
      <c r="D534" s="6">
        <v>2</v>
      </c>
      <c r="E534" s="6">
        <v>4</v>
      </c>
      <c r="F534" s="6">
        <v>6</v>
      </c>
      <c r="G534" s="6" t="s">
        <v>208</v>
      </c>
      <c r="H534" s="6">
        <f t="shared" si="37"/>
        <v>2406</v>
      </c>
      <c r="I534" s="6">
        <v>7000104</v>
      </c>
      <c r="J534" s="6">
        <v>10000</v>
      </c>
    </row>
    <row r="535" spans="1:10" x14ac:dyDescent="0.3">
      <c r="A535" s="6">
        <f t="shared" si="36"/>
        <v>2406002</v>
      </c>
      <c r="B535" s="6">
        <v>2</v>
      </c>
      <c r="C535" s="6" t="str">
        <f t="shared" si="38"/>
        <v>만전태세</v>
      </c>
      <c r="D535" s="6">
        <v>2</v>
      </c>
      <c r="E535" s="6">
        <v>4</v>
      </c>
      <c r="F535" s="6">
        <v>6</v>
      </c>
      <c r="G535" s="6" t="s">
        <v>208</v>
      </c>
      <c r="H535" s="6">
        <f t="shared" si="37"/>
        <v>2406</v>
      </c>
      <c r="I535" s="6">
        <v>7000115</v>
      </c>
      <c r="J535" s="6">
        <v>10000</v>
      </c>
    </row>
    <row r="536" spans="1:10" x14ac:dyDescent="0.3">
      <c r="A536" s="6">
        <f t="shared" si="36"/>
        <v>2406003</v>
      </c>
      <c r="B536" s="6">
        <v>3</v>
      </c>
      <c r="C536" s="6" t="str">
        <f t="shared" si="38"/>
        <v>기선제압</v>
      </c>
      <c r="D536" s="6">
        <v>2</v>
      </c>
      <c r="E536" s="6">
        <v>4</v>
      </c>
      <c r="F536" s="6">
        <v>6</v>
      </c>
      <c r="G536" s="6" t="s">
        <v>208</v>
      </c>
      <c r="H536" s="6">
        <f t="shared" si="37"/>
        <v>2406</v>
      </c>
      <c r="I536" s="6">
        <v>7000170</v>
      </c>
      <c r="J536" s="6">
        <v>10000</v>
      </c>
    </row>
    <row r="537" spans="1:10" x14ac:dyDescent="0.3">
      <c r="A537" s="6">
        <f t="shared" si="36"/>
        <v>2406004</v>
      </c>
      <c r="B537" s="6">
        <v>4</v>
      </c>
      <c r="C537" s="6" t="str">
        <f t="shared" si="38"/>
        <v>안정</v>
      </c>
      <c r="D537" s="6">
        <v>2</v>
      </c>
      <c r="E537" s="6">
        <v>4</v>
      </c>
      <c r="F537" s="6">
        <v>6</v>
      </c>
      <c r="G537" s="6" t="s">
        <v>209</v>
      </c>
      <c r="H537" s="6">
        <f t="shared" si="37"/>
        <v>2406</v>
      </c>
      <c r="I537" s="6">
        <v>7000169</v>
      </c>
      <c r="J537" s="6">
        <v>12500</v>
      </c>
    </row>
    <row r="538" spans="1:10" x14ac:dyDescent="0.3">
      <c r="A538" s="6">
        <f t="shared" si="36"/>
        <v>2406005</v>
      </c>
      <c r="B538" s="6">
        <v>5</v>
      </c>
      <c r="C538" s="6" t="str">
        <f t="shared" si="38"/>
        <v>자비</v>
      </c>
      <c r="D538" s="6">
        <v>2</v>
      </c>
      <c r="E538" s="6">
        <v>4</v>
      </c>
      <c r="F538" s="6">
        <v>6</v>
      </c>
      <c r="G538" s="6" t="s">
        <v>209</v>
      </c>
      <c r="H538" s="6">
        <f t="shared" si="37"/>
        <v>2406</v>
      </c>
      <c r="I538" s="6">
        <v>7000164</v>
      </c>
      <c r="J538" s="6">
        <v>12500</v>
      </c>
    </row>
    <row r="539" spans="1:10" x14ac:dyDescent="0.3">
      <c r="A539" s="6">
        <f t="shared" si="36"/>
        <v>2406006</v>
      </c>
      <c r="B539" s="6">
        <v>6</v>
      </c>
      <c r="C539" s="6" t="str">
        <f t="shared" si="38"/>
        <v>기회주의자</v>
      </c>
      <c r="D539" s="6">
        <v>2</v>
      </c>
      <c r="E539" s="6">
        <v>4</v>
      </c>
      <c r="F539" s="6">
        <v>6</v>
      </c>
      <c r="G539" s="6" t="s">
        <v>210</v>
      </c>
      <c r="H539" s="6">
        <f t="shared" si="37"/>
        <v>2406</v>
      </c>
      <c r="I539" s="6">
        <v>7000122</v>
      </c>
      <c r="J539" s="6">
        <v>7500</v>
      </c>
    </row>
    <row r="540" spans="1:10" x14ac:dyDescent="0.3">
      <c r="A540" s="6">
        <f t="shared" si="36"/>
        <v>2406007</v>
      </c>
      <c r="B540" s="6">
        <v>7</v>
      </c>
      <c r="C540" s="6" t="str">
        <f t="shared" si="38"/>
        <v>몽상가</v>
      </c>
      <c r="D540" s="6">
        <v>2</v>
      </c>
      <c r="E540" s="6">
        <v>4</v>
      </c>
      <c r="F540" s="6">
        <v>6</v>
      </c>
      <c r="G540" s="6" t="s">
        <v>210</v>
      </c>
      <c r="H540" s="6">
        <f t="shared" si="37"/>
        <v>2406</v>
      </c>
      <c r="I540" s="6">
        <v>7000157</v>
      </c>
      <c r="J540" s="6">
        <v>7500</v>
      </c>
    </row>
    <row r="541" spans="1:10" x14ac:dyDescent="0.3">
      <c r="A541" s="6">
        <f t="shared" si="36"/>
        <v>2406008</v>
      </c>
      <c r="B541" s="6">
        <v>8</v>
      </c>
      <c r="C541" s="6" t="str">
        <f t="shared" si="38"/>
        <v>자기 합리화</v>
      </c>
      <c r="D541" s="6">
        <v>2</v>
      </c>
      <c r="E541" s="6">
        <v>4</v>
      </c>
      <c r="F541" s="6">
        <v>6</v>
      </c>
      <c r="G541" s="6" t="s">
        <v>211</v>
      </c>
      <c r="H541" s="6">
        <f t="shared" si="37"/>
        <v>2406</v>
      </c>
      <c r="I541" s="6">
        <v>7000105</v>
      </c>
      <c r="J541" s="6">
        <v>1500</v>
      </c>
    </row>
    <row r="542" spans="1:10" x14ac:dyDescent="0.3">
      <c r="A542" s="6">
        <f t="shared" si="36"/>
        <v>2406009</v>
      </c>
      <c r="B542" s="6">
        <v>9</v>
      </c>
      <c r="C542" s="6" t="str">
        <f t="shared" si="38"/>
        <v>경계심</v>
      </c>
      <c r="D542" s="6">
        <v>2</v>
      </c>
      <c r="E542" s="6">
        <v>4</v>
      </c>
      <c r="F542" s="6">
        <v>6</v>
      </c>
      <c r="G542" s="6" t="s">
        <v>212</v>
      </c>
      <c r="H542" s="6">
        <f t="shared" si="37"/>
        <v>2406</v>
      </c>
      <c r="I542" s="6">
        <v>7000118</v>
      </c>
      <c r="J542" s="6">
        <v>500</v>
      </c>
    </row>
    <row r="543" spans="1:10" x14ac:dyDescent="0.3">
      <c r="A543" s="6">
        <f t="shared" si="36"/>
        <v>2406010</v>
      </c>
      <c r="B543" s="6">
        <v>10</v>
      </c>
      <c r="C543" s="6" t="str">
        <f t="shared" si="38"/>
        <v>다재다능</v>
      </c>
      <c r="D543" s="6">
        <v>2</v>
      </c>
      <c r="E543" s="6">
        <v>4</v>
      </c>
      <c r="F543" s="6">
        <v>6</v>
      </c>
      <c r="G543" s="6" t="s">
        <v>213</v>
      </c>
      <c r="H543" s="6">
        <f t="shared" si="37"/>
        <v>2406</v>
      </c>
      <c r="I543" s="6">
        <v>7000119</v>
      </c>
      <c r="J543" s="6">
        <v>100</v>
      </c>
    </row>
    <row r="544" spans="1:10" x14ac:dyDescent="0.3">
      <c r="A544" s="7">
        <f>INT(H544&amp;TEXT(B544,"000"))</f>
        <v>2501001</v>
      </c>
      <c r="B544" s="7">
        <v>1</v>
      </c>
      <c r="C544" s="7" t="s">
        <v>370</v>
      </c>
      <c r="D544" s="7">
        <v>2</v>
      </c>
      <c r="E544" s="7">
        <v>5</v>
      </c>
      <c r="F544" s="7">
        <v>1</v>
      </c>
      <c r="G544" s="7" t="s">
        <v>208</v>
      </c>
      <c r="H544" s="7">
        <f>INT(D544&amp;E544&amp;TEXT(F544,"00"))</f>
        <v>2501</v>
      </c>
      <c r="I544" s="7">
        <v>7000103</v>
      </c>
      <c r="J544" s="7">
        <v>20000</v>
      </c>
    </row>
    <row r="545" spans="1:10" x14ac:dyDescent="0.3">
      <c r="A545" s="6">
        <f t="shared" ref="A545:A603" si="39">INT(H545&amp;TEXT(B545,"000"))</f>
        <v>2501002</v>
      </c>
      <c r="B545" s="6">
        <v>2</v>
      </c>
      <c r="C545" s="6" t="s">
        <v>364</v>
      </c>
      <c r="D545" s="6">
        <v>2</v>
      </c>
      <c r="E545" s="6">
        <v>5</v>
      </c>
      <c r="F545" s="6">
        <v>1</v>
      </c>
      <c r="G545" s="6" t="s">
        <v>208</v>
      </c>
      <c r="H545" s="6">
        <f t="shared" ref="H545:H603" si="40">INT(D545&amp;E545&amp;TEXT(F545,"00"))</f>
        <v>2501</v>
      </c>
      <c r="I545" s="6">
        <v>7000104</v>
      </c>
      <c r="J545" s="6">
        <v>20000</v>
      </c>
    </row>
    <row r="546" spans="1:10" x14ac:dyDescent="0.3">
      <c r="A546" s="6">
        <f t="shared" si="39"/>
        <v>2501003</v>
      </c>
      <c r="B546" s="6">
        <v>3</v>
      </c>
      <c r="C546" s="6" t="s">
        <v>372</v>
      </c>
      <c r="D546" s="6">
        <v>2</v>
      </c>
      <c r="E546" s="6">
        <v>5</v>
      </c>
      <c r="F546" s="6">
        <v>1</v>
      </c>
      <c r="G546" s="6" t="s">
        <v>208</v>
      </c>
      <c r="H546" s="6">
        <f t="shared" si="40"/>
        <v>2501</v>
      </c>
      <c r="I546" s="6">
        <v>7000117</v>
      </c>
      <c r="J546" s="6">
        <v>20000</v>
      </c>
    </row>
    <row r="547" spans="1:10" x14ac:dyDescent="0.3">
      <c r="A547" s="6">
        <f t="shared" si="39"/>
        <v>2501004</v>
      </c>
      <c r="B547" s="6">
        <v>4</v>
      </c>
      <c r="C547" s="6" t="s">
        <v>391</v>
      </c>
      <c r="D547" s="6">
        <v>2</v>
      </c>
      <c r="E547" s="6">
        <v>5</v>
      </c>
      <c r="F547" s="6">
        <v>1</v>
      </c>
      <c r="G547" s="6" t="s">
        <v>223</v>
      </c>
      <c r="H547" s="6">
        <f t="shared" si="40"/>
        <v>2501</v>
      </c>
      <c r="I547" s="6">
        <v>7000164</v>
      </c>
      <c r="J547" s="6">
        <v>15000</v>
      </c>
    </row>
    <row r="548" spans="1:10" x14ac:dyDescent="0.3">
      <c r="A548" s="6">
        <f t="shared" si="39"/>
        <v>2501005</v>
      </c>
      <c r="B548" s="6">
        <v>5</v>
      </c>
      <c r="C548" s="6" t="s">
        <v>400</v>
      </c>
      <c r="D548" s="6">
        <v>2</v>
      </c>
      <c r="E548" s="6">
        <v>5</v>
      </c>
      <c r="F548" s="6">
        <v>1</v>
      </c>
      <c r="G548" s="6" t="s">
        <v>223</v>
      </c>
      <c r="H548" s="6">
        <f t="shared" si="40"/>
        <v>2501</v>
      </c>
      <c r="I548" s="6">
        <v>7000173</v>
      </c>
      <c r="J548" s="6">
        <v>15000</v>
      </c>
    </row>
    <row r="549" spans="1:10" x14ac:dyDescent="0.3">
      <c r="A549" s="6">
        <f t="shared" si="39"/>
        <v>2501006</v>
      </c>
      <c r="B549" s="6">
        <v>6</v>
      </c>
      <c r="C549" s="6" t="s">
        <v>377</v>
      </c>
      <c r="D549" s="6">
        <v>2</v>
      </c>
      <c r="E549" s="6">
        <v>5</v>
      </c>
      <c r="F549" s="6">
        <v>1</v>
      </c>
      <c r="G549" s="6" t="s">
        <v>222</v>
      </c>
      <c r="H549" s="6">
        <f t="shared" si="40"/>
        <v>2501</v>
      </c>
      <c r="I549" s="6">
        <v>7000134</v>
      </c>
      <c r="J549" s="6">
        <v>10000</v>
      </c>
    </row>
    <row r="550" spans="1:10" x14ac:dyDescent="0.3">
      <c r="A550" s="6">
        <f t="shared" si="39"/>
        <v>2501007</v>
      </c>
      <c r="B550" s="6">
        <v>7</v>
      </c>
      <c r="C550" s="6" t="s">
        <v>378</v>
      </c>
      <c r="D550" s="6">
        <v>2</v>
      </c>
      <c r="E550" s="6">
        <v>5</v>
      </c>
      <c r="F550" s="6">
        <v>1</v>
      </c>
      <c r="G550" s="6" t="s">
        <v>222</v>
      </c>
      <c r="H550" s="6">
        <f t="shared" si="40"/>
        <v>2501</v>
      </c>
      <c r="I550" s="6">
        <v>7000135</v>
      </c>
      <c r="J550" s="6">
        <v>10000</v>
      </c>
    </row>
    <row r="551" spans="1:10" x14ac:dyDescent="0.3">
      <c r="A551" s="6">
        <f t="shared" si="39"/>
        <v>2501008</v>
      </c>
      <c r="B551" s="6">
        <v>8</v>
      </c>
      <c r="C551" s="6" t="s">
        <v>388</v>
      </c>
      <c r="D551" s="6">
        <v>2</v>
      </c>
      <c r="E551" s="6">
        <v>5</v>
      </c>
      <c r="F551" s="6">
        <v>1</v>
      </c>
      <c r="G551" s="6" t="s">
        <v>211</v>
      </c>
      <c r="H551" s="6">
        <f t="shared" si="40"/>
        <v>2501</v>
      </c>
      <c r="I551" s="6">
        <v>7000158</v>
      </c>
      <c r="J551" s="6">
        <v>2000</v>
      </c>
    </row>
    <row r="552" spans="1:10" x14ac:dyDescent="0.3">
      <c r="A552" s="6">
        <f t="shared" si="39"/>
        <v>2501009</v>
      </c>
      <c r="B552" s="6">
        <v>9</v>
      </c>
      <c r="C552" s="6" t="s">
        <v>362</v>
      </c>
      <c r="D552" s="6">
        <v>2</v>
      </c>
      <c r="E552" s="6">
        <v>5</v>
      </c>
      <c r="F552" s="6">
        <v>1</v>
      </c>
      <c r="G552" s="6" t="s">
        <v>212</v>
      </c>
      <c r="H552" s="6">
        <f t="shared" si="40"/>
        <v>2501</v>
      </c>
      <c r="I552" s="6">
        <v>7000105</v>
      </c>
      <c r="J552" s="6">
        <v>500</v>
      </c>
    </row>
    <row r="553" spans="1:10" x14ac:dyDescent="0.3">
      <c r="A553" s="6">
        <f t="shared" si="39"/>
        <v>2501010</v>
      </c>
      <c r="B553" s="6">
        <v>10</v>
      </c>
      <c r="C553" s="6" t="s">
        <v>392</v>
      </c>
      <c r="D553" s="6">
        <v>2</v>
      </c>
      <c r="E553" s="6">
        <v>5</v>
      </c>
      <c r="F553" s="6">
        <v>1</v>
      </c>
      <c r="G553" s="6" t="s">
        <v>213</v>
      </c>
      <c r="H553" s="6">
        <f t="shared" si="40"/>
        <v>2501</v>
      </c>
      <c r="I553" s="6">
        <v>7000155</v>
      </c>
      <c r="J553" s="6">
        <v>100</v>
      </c>
    </row>
    <row r="554" spans="1:10" x14ac:dyDescent="0.3">
      <c r="A554" s="6">
        <f t="shared" si="39"/>
        <v>2502001</v>
      </c>
      <c r="B554" s="6">
        <v>1</v>
      </c>
      <c r="C554" s="6" t="str">
        <f>C544</f>
        <v>생존본능</v>
      </c>
      <c r="D554" s="6">
        <v>2</v>
      </c>
      <c r="E554" s="6">
        <v>5</v>
      </c>
      <c r="F554" s="6">
        <v>2</v>
      </c>
      <c r="G554" s="6" t="s">
        <v>208</v>
      </c>
      <c r="H554" s="6">
        <f t="shared" si="40"/>
        <v>2502</v>
      </c>
      <c r="I554" s="6">
        <v>7000103</v>
      </c>
      <c r="J554" s="6">
        <v>18000</v>
      </c>
    </row>
    <row r="555" spans="1:10" x14ac:dyDescent="0.3">
      <c r="A555" s="6">
        <f t="shared" si="39"/>
        <v>2502002</v>
      </c>
      <c r="B555" s="6">
        <v>2</v>
      </c>
      <c r="C555" s="6" t="str">
        <f t="shared" ref="C555:C603" si="41">C545</f>
        <v>집중</v>
      </c>
      <c r="D555" s="6">
        <v>2</v>
      </c>
      <c r="E555" s="6">
        <v>5</v>
      </c>
      <c r="F555" s="6">
        <v>2</v>
      </c>
      <c r="G555" s="6" t="s">
        <v>208</v>
      </c>
      <c r="H555" s="6">
        <f t="shared" si="40"/>
        <v>2502</v>
      </c>
      <c r="I555" s="6">
        <v>7000104</v>
      </c>
      <c r="J555" s="6">
        <v>18000</v>
      </c>
    </row>
    <row r="556" spans="1:10" x14ac:dyDescent="0.3">
      <c r="A556" s="6">
        <f t="shared" si="39"/>
        <v>2502003</v>
      </c>
      <c r="B556" s="6">
        <v>3</v>
      </c>
      <c r="C556" s="6" t="str">
        <f t="shared" si="41"/>
        <v>방어기제</v>
      </c>
      <c r="D556" s="6">
        <v>2</v>
      </c>
      <c r="E556" s="6">
        <v>5</v>
      </c>
      <c r="F556" s="6">
        <v>2</v>
      </c>
      <c r="G556" s="6" t="s">
        <v>208</v>
      </c>
      <c r="H556" s="6">
        <f t="shared" si="40"/>
        <v>2502</v>
      </c>
      <c r="I556" s="6">
        <v>7000117</v>
      </c>
      <c r="J556" s="6">
        <v>18000</v>
      </c>
    </row>
    <row r="557" spans="1:10" x14ac:dyDescent="0.3">
      <c r="A557" s="6">
        <f t="shared" si="39"/>
        <v>2502004</v>
      </c>
      <c r="B557" s="6">
        <v>4</v>
      </c>
      <c r="C557" s="6" t="str">
        <f t="shared" si="41"/>
        <v>자비</v>
      </c>
      <c r="D557" s="6">
        <v>2</v>
      </c>
      <c r="E557" s="6">
        <v>5</v>
      </c>
      <c r="F557" s="6">
        <v>2</v>
      </c>
      <c r="G557" s="6" t="s">
        <v>209</v>
      </c>
      <c r="H557" s="6">
        <f t="shared" si="40"/>
        <v>2502</v>
      </c>
      <c r="I557" s="6">
        <v>7000164</v>
      </c>
      <c r="J557" s="6">
        <v>14500</v>
      </c>
    </row>
    <row r="558" spans="1:10" x14ac:dyDescent="0.3">
      <c r="A558" s="6">
        <f t="shared" si="39"/>
        <v>2502005</v>
      </c>
      <c r="B558" s="6">
        <v>5</v>
      </c>
      <c r="C558" s="6" t="str">
        <f t="shared" si="41"/>
        <v>독선가</v>
      </c>
      <c r="D558" s="6">
        <v>2</v>
      </c>
      <c r="E558" s="6">
        <v>5</v>
      </c>
      <c r="F558" s="6">
        <v>2</v>
      </c>
      <c r="G558" s="6" t="s">
        <v>209</v>
      </c>
      <c r="H558" s="6">
        <f t="shared" si="40"/>
        <v>2502</v>
      </c>
      <c r="I558" s="6">
        <v>7000173</v>
      </c>
      <c r="J558" s="6">
        <v>14500</v>
      </c>
    </row>
    <row r="559" spans="1:10" x14ac:dyDescent="0.3">
      <c r="A559" s="6">
        <f t="shared" si="39"/>
        <v>2502006</v>
      </c>
      <c r="B559" s="6">
        <v>6</v>
      </c>
      <c r="C559" s="6" t="str">
        <f t="shared" si="41"/>
        <v>수완가</v>
      </c>
      <c r="D559" s="6">
        <v>2</v>
      </c>
      <c r="E559" s="6">
        <v>5</v>
      </c>
      <c r="F559" s="6">
        <v>2</v>
      </c>
      <c r="G559" s="6" t="s">
        <v>210</v>
      </c>
      <c r="H559" s="6">
        <f t="shared" si="40"/>
        <v>2502</v>
      </c>
      <c r="I559" s="6">
        <v>7000134</v>
      </c>
      <c r="J559" s="6">
        <v>9500</v>
      </c>
    </row>
    <row r="560" spans="1:10" x14ac:dyDescent="0.3">
      <c r="A560" s="6">
        <f t="shared" si="39"/>
        <v>2502007</v>
      </c>
      <c r="B560" s="6">
        <v>7</v>
      </c>
      <c r="C560" s="6" t="str">
        <f t="shared" si="41"/>
        <v>이기주의</v>
      </c>
      <c r="D560" s="6">
        <v>2</v>
      </c>
      <c r="E560" s="6">
        <v>5</v>
      </c>
      <c r="F560" s="6">
        <v>2</v>
      </c>
      <c r="G560" s="6" t="s">
        <v>210</v>
      </c>
      <c r="H560" s="6">
        <f t="shared" si="40"/>
        <v>2502</v>
      </c>
      <c r="I560" s="6">
        <v>7000135</v>
      </c>
      <c r="J560" s="6">
        <v>9500</v>
      </c>
    </row>
    <row r="561" spans="1:10" x14ac:dyDescent="0.3">
      <c r="A561" s="6">
        <f t="shared" si="39"/>
        <v>2502008</v>
      </c>
      <c r="B561" s="6">
        <v>8</v>
      </c>
      <c r="C561" s="6" t="str">
        <f t="shared" si="41"/>
        <v>헌신</v>
      </c>
      <c r="D561" s="6">
        <v>2</v>
      </c>
      <c r="E561" s="6">
        <v>5</v>
      </c>
      <c r="F561" s="6">
        <v>2</v>
      </c>
      <c r="G561" s="6" t="s">
        <v>211</v>
      </c>
      <c r="H561" s="6">
        <f t="shared" si="40"/>
        <v>2502</v>
      </c>
      <c r="I561" s="6">
        <v>7000158</v>
      </c>
      <c r="J561" s="6">
        <v>1900</v>
      </c>
    </row>
    <row r="562" spans="1:10" x14ac:dyDescent="0.3">
      <c r="A562" s="6">
        <f t="shared" si="39"/>
        <v>2502009</v>
      </c>
      <c r="B562" s="6">
        <v>9</v>
      </c>
      <c r="C562" s="6" t="str">
        <f t="shared" si="41"/>
        <v>자기 합리화</v>
      </c>
      <c r="D562" s="6">
        <v>2</v>
      </c>
      <c r="E562" s="6">
        <v>5</v>
      </c>
      <c r="F562" s="6">
        <v>2</v>
      </c>
      <c r="G562" s="6" t="s">
        <v>212</v>
      </c>
      <c r="H562" s="6">
        <f t="shared" si="40"/>
        <v>2502</v>
      </c>
      <c r="I562" s="6">
        <v>7000105</v>
      </c>
      <c r="J562" s="6">
        <v>500</v>
      </c>
    </row>
    <row r="563" spans="1:10" x14ac:dyDescent="0.3">
      <c r="A563" s="6">
        <f t="shared" si="39"/>
        <v>2502010</v>
      </c>
      <c r="B563" s="6">
        <v>10</v>
      </c>
      <c r="C563" s="6" t="str">
        <f t="shared" si="41"/>
        <v>냉혈한</v>
      </c>
      <c r="D563" s="6">
        <v>2</v>
      </c>
      <c r="E563" s="6">
        <v>5</v>
      </c>
      <c r="F563" s="6">
        <v>2</v>
      </c>
      <c r="G563" s="6" t="s">
        <v>213</v>
      </c>
      <c r="H563" s="6">
        <f t="shared" si="40"/>
        <v>2502</v>
      </c>
      <c r="I563" s="6">
        <v>7000155</v>
      </c>
      <c r="J563" s="6">
        <v>100</v>
      </c>
    </row>
    <row r="564" spans="1:10" x14ac:dyDescent="0.3">
      <c r="A564" s="6">
        <f t="shared" si="39"/>
        <v>2503001</v>
      </c>
      <c r="B564" s="6">
        <v>1</v>
      </c>
      <c r="C564" s="6" t="str">
        <f>C554</f>
        <v>생존본능</v>
      </c>
      <c r="D564" s="6">
        <v>2</v>
      </c>
      <c r="E564" s="6">
        <v>5</v>
      </c>
      <c r="F564" s="6">
        <v>3</v>
      </c>
      <c r="G564" s="6" t="s">
        <v>208</v>
      </c>
      <c r="H564" s="6">
        <f t="shared" si="40"/>
        <v>2503</v>
      </c>
      <c r="I564" s="6">
        <v>7000103</v>
      </c>
      <c r="J564" s="6">
        <v>16000</v>
      </c>
    </row>
    <row r="565" spans="1:10" x14ac:dyDescent="0.3">
      <c r="A565" s="6">
        <f t="shared" si="39"/>
        <v>2503002</v>
      </c>
      <c r="B565" s="6">
        <v>2</v>
      </c>
      <c r="C565" s="6" t="str">
        <f t="shared" si="41"/>
        <v>집중</v>
      </c>
      <c r="D565" s="6">
        <v>2</v>
      </c>
      <c r="E565" s="6">
        <v>5</v>
      </c>
      <c r="F565" s="6">
        <v>3</v>
      </c>
      <c r="G565" s="6" t="s">
        <v>208</v>
      </c>
      <c r="H565" s="6">
        <f t="shared" si="40"/>
        <v>2503</v>
      </c>
      <c r="I565" s="6">
        <v>7000104</v>
      </c>
      <c r="J565" s="6">
        <v>16000</v>
      </c>
    </row>
    <row r="566" spans="1:10" x14ac:dyDescent="0.3">
      <c r="A566" s="6">
        <f t="shared" si="39"/>
        <v>2503003</v>
      </c>
      <c r="B566" s="6">
        <v>3</v>
      </c>
      <c r="C566" s="6" t="str">
        <f t="shared" si="41"/>
        <v>방어기제</v>
      </c>
      <c r="D566" s="6">
        <v>2</v>
      </c>
      <c r="E566" s="6">
        <v>5</v>
      </c>
      <c r="F566" s="6">
        <v>3</v>
      </c>
      <c r="G566" s="6" t="s">
        <v>208</v>
      </c>
      <c r="H566" s="6">
        <f t="shared" si="40"/>
        <v>2503</v>
      </c>
      <c r="I566" s="6">
        <v>7000117</v>
      </c>
      <c r="J566" s="6">
        <v>16000</v>
      </c>
    </row>
    <row r="567" spans="1:10" x14ac:dyDescent="0.3">
      <c r="A567" s="6">
        <f t="shared" si="39"/>
        <v>2503004</v>
      </c>
      <c r="B567" s="6">
        <v>4</v>
      </c>
      <c r="C567" s="6" t="str">
        <f t="shared" si="41"/>
        <v>자비</v>
      </c>
      <c r="D567" s="6">
        <v>2</v>
      </c>
      <c r="E567" s="6">
        <v>5</v>
      </c>
      <c r="F567" s="6">
        <v>3</v>
      </c>
      <c r="G567" s="6" t="s">
        <v>209</v>
      </c>
      <c r="H567" s="6">
        <f t="shared" si="40"/>
        <v>2503</v>
      </c>
      <c r="I567" s="6">
        <v>7000164</v>
      </c>
      <c r="J567" s="6">
        <v>14000</v>
      </c>
    </row>
    <row r="568" spans="1:10" x14ac:dyDescent="0.3">
      <c r="A568" s="6">
        <f t="shared" si="39"/>
        <v>2503005</v>
      </c>
      <c r="B568" s="6">
        <v>5</v>
      </c>
      <c r="C568" s="6" t="str">
        <f t="shared" si="41"/>
        <v>독선가</v>
      </c>
      <c r="D568" s="6">
        <v>2</v>
      </c>
      <c r="E568" s="6">
        <v>5</v>
      </c>
      <c r="F568" s="6">
        <v>3</v>
      </c>
      <c r="G568" s="6" t="s">
        <v>209</v>
      </c>
      <c r="H568" s="6">
        <f t="shared" si="40"/>
        <v>2503</v>
      </c>
      <c r="I568" s="6">
        <v>7000173</v>
      </c>
      <c r="J568" s="6">
        <v>14000</v>
      </c>
    </row>
    <row r="569" spans="1:10" x14ac:dyDescent="0.3">
      <c r="A569" s="6">
        <f t="shared" si="39"/>
        <v>2503006</v>
      </c>
      <c r="B569" s="6">
        <v>6</v>
      </c>
      <c r="C569" s="6" t="str">
        <f t="shared" si="41"/>
        <v>수완가</v>
      </c>
      <c r="D569" s="6">
        <v>2</v>
      </c>
      <c r="E569" s="6">
        <v>5</v>
      </c>
      <c r="F569" s="6">
        <v>3</v>
      </c>
      <c r="G569" s="6" t="s">
        <v>210</v>
      </c>
      <c r="H569" s="6">
        <f t="shared" si="40"/>
        <v>2503</v>
      </c>
      <c r="I569" s="6">
        <v>7000134</v>
      </c>
      <c r="J569" s="6">
        <v>9000</v>
      </c>
    </row>
    <row r="570" spans="1:10" x14ac:dyDescent="0.3">
      <c r="A570" s="6">
        <f t="shared" si="39"/>
        <v>2503007</v>
      </c>
      <c r="B570" s="6">
        <v>7</v>
      </c>
      <c r="C570" s="6" t="str">
        <f t="shared" si="41"/>
        <v>이기주의</v>
      </c>
      <c r="D570" s="6">
        <v>2</v>
      </c>
      <c r="E570" s="6">
        <v>5</v>
      </c>
      <c r="F570" s="6">
        <v>3</v>
      </c>
      <c r="G570" s="6" t="s">
        <v>210</v>
      </c>
      <c r="H570" s="6">
        <f t="shared" si="40"/>
        <v>2503</v>
      </c>
      <c r="I570" s="6">
        <v>7000135</v>
      </c>
      <c r="J570" s="6">
        <v>9000</v>
      </c>
    </row>
    <row r="571" spans="1:10" x14ac:dyDescent="0.3">
      <c r="A571" s="6">
        <f t="shared" si="39"/>
        <v>2503008</v>
      </c>
      <c r="B571" s="6">
        <v>8</v>
      </c>
      <c r="C571" s="6" t="str">
        <f t="shared" si="41"/>
        <v>헌신</v>
      </c>
      <c r="D571" s="6">
        <v>2</v>
      </c>
      <c r="E571" s="6">
        <v>5</v>
      </c>
      <c r="F571" s="6">
        <v>3</v>
      </c>
      <c r="G571" s="6" t="s">
        <v>211</v>
      </c>
      <c r="H571" s="6">
        <f t="shared" si="40"/>
        <v>2503</v>
      </c>
      <c r="I571" s="6">
        <v>7000158</v>
      </c>
      <c r="J571" s="6">
        <v>1800</v>
      </c>
    </row>
    <row r="572" spans="1:10" x14ac:dyDescent="0.3">
      <c r="A572" s="6">
        <f t="shared" si="39"/>
        <v>2503009</v>
      </c>
      <c r="B572" s="6">
        <v>9</v>
      </c>
      <c r="C572" s="6" t="str">
        <f t="shared" si="41"/>
        <v>자기 합리화</v>
      </c>
      <c r="D572" s="6">
        <v>2</v>
      </c>
      <c r="E572" s="6">
        <v>5</v>
      </c>
      <c r="F572" s="6">
        <v>3</v>
      </c>
      <c r="G572" s="6" t="s">
        <v>212</v>
      </c>
      <c r="H572" s="6">
        <f t="shared" si="40"/>
        <v>2503</v>
      </c>
      <c r="I572" s="6">
        <v>7000105</v>
      </c>
      <c r="J572" s="6">
        <v>500</v>
      </c>
    </row>
    <row r="573" spans="1:10" x14ac:dyDescent="0.3">
      <c r="A573" s="6">
        <f t="shared" si="39"/>
        <v>2503010</v>
      </c>
      <c r="B573" s="6">
        <v>10</v>
      </c>
      <c r="C573" s="6" t="str">
        <f t="shared" si="41"/>
        <v>냉혈한</v>
      </c>
      <c r="D573" s="6">
        <v>2</v>
      </c>
      <c r="E573" s="6">
        <v>5</v>
      </c>
      <c r="F573" s="6">
        <v>3</v>
      </c>
      <c r="G573" s="6" t="s">
        <v>213</v>
      </c>
      <c r="H573" s="6">
        <f t="shared" si="40"/>
        <v>2503</v>
      </c>
      <c r="I573" s="6">
        <v>7000155</v>
      </c>
      <c r="J573" s="6">
        <v>100</v>
      </c>
    </row>
    <row r="574" spans="1:10" x14ac:dyDescent="0.3">
      <c r="A574" s="6">
        <f t="shared" si="39"/>
        <v>2504001</v>
      </c>
      <c r="B574" s="6">
        <v>1</v>
      </c>
      <c r="C574" s="6" t="str">
        <f>C564</f>
        <v>생존본능</v>
      </c>
      <c r="D574" s="6">
        <v>2</v>
      </c>
      <c r="E574" s="6">
        <v>5</v>
      </c>
      <c r="F574" s="6">
        <v>4</v>
      </c>
      <c r="G574" s="6" t="s">
        <v>208</v>
      </c>
      <c r="H574" s="6">
        <f t="shared" si="40"/>
        <v>2504</v>
      </c>
      <c r="I574" s="6">
        <v>7000103</v>
      </c>
      <c r="J574" s="6">
        <v>14000</v>
      </c>
    </row>
    <row r="575" spans="1:10" x14ac:dyDescent="0.3">
      <c r="A575" s="6">
        <f t="shared" si="39"/>
        <v>2504002</v>
      </c>
      <c r="B575" s="6">
        <v>2</v>
      </c>
      <c r="C575" s="6" t="str">
        <f t="shared" si="41"/>
        <v>집중</v>
      </c>
      <c r="D575" s="6">
        <v>2</v>
      </c>
      <c r="E575" s="6">
        <v>5</v>
      </c>
      <c r="F575" s="6">
        <v>4</v>
      </c>
      <c r="G575" s="6" t="s">
        <v>208</v>
      </c>
      <c r="H575" s="6">
        <f t="shared" si="40"/>
        <v>2504</v>
      </c>
      <c r="I575" s="6">
        <v>7000104</v>
      </c>
      <c r="J575" s="6">
        <v>14000</v>
      </c>
    </row>
    <row r="576" spans="1:10" x14ac:dyDescent="0.3">
      <c r="A576" s="6">
        <f t="shared" si="39"/>
        <v>2504003</v>
      </c>
      <c r="B576" s="6">
        <v>3</v>
      </c>
      <c r="C576" s="6" t="str">
        <f t="shared" si="41"/>
        <v>방어기제</v>
      </c>
      <c r="D576" s="6">
        <v>2</v>
      </c>
      <c r="E576" s="6">
        <v>5</v>
      </c>
      <c r="F576" s="6">
        <v>4</v>
      </c>
      <c r="G576" s="6" t="s">
        <v>208</v>
      </c>
      <c r="H576" s="6">
        <f t="shared" si="40"/>
        <v>2504</v>
      </c>
      <c r="I576" s="6">
        <v>7000117</v>
      </c>
      <c r="J576" s="6">
        <v>14000</v>
      </c>
    </row>
    <row r="577" spans="1:10" x14ac:dyDescent="0.3">
      <c r="A577" s="6">
        <f t="shared" si="39"/>
        <v>2504004</v>
      </c>
      <c r="B577" s="6">
        <v>4</v>
      </c>
      <c r="C577" s="6" t="str">
        <f t="shared" si="41"/>
        <v>자비</v>
      </c>
      <c r="D577" s="6">
        <v>2</v>
      </c>
      <c r="E577" s="6">
        <v>5</v>
      </c>
      <c r="F577" s="6">
        <v>4</v>
      </c>
      <c r="G577" s="6" t="s">
        <v>209</v>
      </c>
      <c r="H577" s="6">
        <f t="shared" si="40"/>
        <v>2504</v>
      </c>
      <c r="I577" s="6">
        <v>7000164</v>
      </c>
      <c r="J577" s="6">
        <v>13500</v>
      </c>
    </row>
    <row r="578" spans="1:10" x14ac:dyDescent="0.3">
      <c r="A578" s="6">
        <f t="shared" si="39"/>
        <v>2504005</v>
      </c>
      <c r="B578" s="6">
        <v>5</v>
      </c>
      <c r="C578" s="6" t="str">
        <f t="shared" si="41"/>
        <v>독선가</v>
      </c>
      <c r="D578" s="6">
        <v>2</v>
      </c>
      <c r="E578" s="6">
        <v>5</v>
      </c>
      <c r="F578" s="6">
        <v>4</v>
      </c>
      <c r="G578" s="6" t="s">
        <v>209</v>
      </c>
      <c r="H578" s="6">
        <f t="shared" si="40"/>
        <v>2504</v>
      </c>
      <c r="I578" s="6">
        <v>7000173</v>
      </c>
      <c r="J578" s="6">
        <v>13500</v>
      </c>
    </row>
    <row r="579" spans="1:10" x14ac:dyDescent="0.3">
      <c r="A579" s="6">
        <f t="shared" si="39"/>
        <v>2504006</v>
      </c>
      <c r="B579" s="6">
        <v>6</v>
      </c>
      <c r="C579" s="6" t="str">
        <f t="shared" si="41"/>
        <v>수완가</v>
      </c>
      <c r="D579" s="6">
        <v>2</v>
      </c>
      <c r="E579" s="6">
        <v>5</v>
      </c>
      <c r="F579" s="6">
        <v>4</v>
      </c>
      <c r="G579" s="6" t="s">
        <v>210</v>
      </c>
      <c r="H579" s="6">
        <f t="shared" si="40"/>
        <v>2504</v>
      </c>
      <c r="I579" s="6">
        <v>7000134</v>
      </c>
      <c r="J579" s="6">
        <v>8500</v>
      </c>
    </row>
    <row r="580" spans="1:10" x14ac:dyDescent="0.3">
      <c r="A580" s="6">
        <f t="shared" si="39"/>
        <v>2504007</v>
      </c>
      <c r="B580" s="6">
        <v>7</v>
      </c>
      <c r="C580" s="6" t="str">
        <f t="shared" si="41"/>
        <v>이기주의</v>
      </c>
      <c r="D580" s="6">
        <v>2</v>
      </c>
      <c r="E580" s="6">
        <v>5</v>
      </c>
      <c r="F580" s="6">
        <v>4</v>
      </c>
      <c r="G580" s="6" t="s">
        <v>210</v>
      </c>
      <c r="H580" s="6">
        <f t="shared" si="40"/>
        <v>2504</v>
      </c>
      <c r="I580" s="6">
        <v>7000135</v>
      </c>
      <c r="J580" s="6">
        <v>8500</v>
      </c>
    </row>
    <row r="581" spans="1:10" x14ac:dyDescent="0.3">
      <c r="A581" s="6">
        <f t="shared" si="39"/>
        <v>2504008</v>
      </c>
      <c r="B581" s="6">
        <v>8</v>
      </c>
      <c r="C581" s="6" t="str">
        <f t="shared" si="41"/>
        <v>헌신</v>
      </c>
      <c r="D581" s="6">
        <v>2</v>
      </c>
      <c r="E581" s="6">
        <v>5</v>
      </c>
      <c r="F581" s="6">
        <v>4</v>
      </c>
      <c r="G581" s="6" t="s">
        <v>211</v>
      </c>
      <c r="H581" s="6">
        <f t="shared" si="40"/>
        <v>2504</v>
      </c>
      <c r="I581" s="6">
        <v>7000158</v>
      </c>
      <c r="J581" s="6">
        <v>1700</v>
      </c>
    </row>
    <row r="582" spans="1:10" x14ac:dyDescent="0.3">
      <c r="A582" s="6">
        <f t="shared" si="39"/>
        <v>2504009</v>
      </c>
      <c r="B582" s="6">
        <v>9</v>
      </c>
      <c r="C582" s="6" t="str">
        <f t="shared" si="41"/>
        <v>자기 합리화</v>
      </c>
      <c r="D582" s="6">
        <v>2</v>
      </c>
      <c r="E582" s="6">
        <v>5</v>
      </c>
      <c r="F582" s="6">
        <v>4</v>
      </c>
      <c r="G582" s="6" t="s">
        <v>212</v>
      </c>
      <c r="H582" s="6">
        <f t="shared" si="40"/>
        <v>2504</v>
      </c>
      <c r="I582" s="6">
        <v>7000105</v>
      </c>
      <c r="J582" s="6">
        <v>500</v>
      </c>
    </row>
    <row r="583" spans="1:10" x14ac:dyDescent="0.3">
      <c r="A583" s="6">
        <f t="shared" si="39"/>
        <v>2504010</v>
      </c>
      <c r="B583" s="6">
        <v>10</v>
      </c>
      <c r="C583" s="6" t="str">
        <f t="shared" si="41"/>
        <v>냉혈한</v>
      </c>
      <c r="D583" s="6">
        <v>2</v>
      </c>
      <c r="E583" s="6">
        <v>5</v>
      </c>
      <c r="F583" s="6">
        <v>4</v>
      </c>
      <c r="G583" s="6" t="s">
        <v>213</v>
      </c>
      <c r="H583" s="6">
        <f t="shared" si="40"/>
        <v>2504</v>
      </c>
      <c r="I583" s="6">
        <v>7000155</v>
      </c>
      <c r="J583" s="6">
        <v>100</v>
      </c>
    </row>
    <row r="584" spans="1:10" x14ac:dyDescent="0.3">
      <c r="A584" s="6">
        <f t="shared" si="39"/>
        <v>2505001</v>
      </c>
      <c r="B584" s="6">
        <v>1</v>
      </c>
      <c r="C584" s="6" t="str">
        <f>C574</f>
        <v>생존본능</v>
      </c>
      <c r="D584" s="6">
        <v>2</v>
      </c>
      <c r="E584" s="6">
        <v>5</v>
      </c>
      <c r="F584" s="6">
        <v>5</v>
      </c>
      <c r="G584" s="6" t="s">
        <v>208</v>
      </c>
      <c r="H584" s="6">
        <f t="shared" si="40"/>
        <v>2505</v>
      </c>
      <c r="I584" s="6">
        <v>7000103</v>
      </c>
      <c r="J584" s="6">
        <v>12000</v>
      </c>
    </row>
    <row r="585" spans="1:10" x14ac:dyDescent="0.3">
      <c r="A585" s="6">
        <f t="shared" si="39"/>
        <v>2505002</v>
      </c>
      <c r="B585" s="6">
        <v>2</v>
      </c>
      <c r="C585" s="6" t="str">
        <f t="shared" si="41"/>
        <v>집중</v>
      </c>
      <c r="D585" s="6">
        <v>2</v>
      </c>
      <c r="E585" s="6">
        <v>5</v>
      </c>
      <c r="F585" s="6">
        <v>5</v>
      </c>
      <c r="G585" s="6" t="s">
        <v>208</v>
      </c>
      <c r="H585" s="6">
        <f t="shared" si="40"/>
        <v>2505</v>
      </c>
      <c r="I585" s="6">
        <v>7000104</v>
      </c>
      <c r="J585" s="6">
        <v>12000</v>
      </c>
    </row>
    <row r="586" spans="1:10" x14ac:dyDescent="0.3">
      <c r="A586" s="6">
        <f t="shared" si="39"/>
        <v>2505003</v>
      </c>
      <c r="B586" s="6">
        <v>3</v>
      </c>
      <c r="C586" s="6" t="str">
        <f t="shared" si="41"/>
        <v>방어기제</v>
      </c>
      <c r="D586" s="6">
        <v>2</v>
      </c>
      <c r="E586" s="6">
        <v>5</v>
      </c>
      <c r="F586" s="6">
        <v>5</v>
      </c>
      <c r="G586" s="6" t="s">
        <v>208</v>
      </c>
      <c r="H586" s="6">
        <f t="shared" si="40"/>
        <v>2505</v>
      </c>
      <c r="I586" s="6">
        <v>7000117</v>
      </c>
      <c r="J586" s="6">
        <v>12000</v>
      </c>
    </row>
    <row r="587" spans="1:10" x14ac:dyDescent="0.3">
      <c r="A587" s="6">
        <f t="shared" si="39"/>
        <v>2505004</v>
      </c>
      <c r="B587" s="6">
        <v>4</v>
      </c>
      <c r="C587" s="6" t="str">
        <f t="shared" si="41"/>
        <v>자비</v>
      </c>
      <c r="D587" s="6">
        <v>2</v>
      </c>
      <c r="E587" s="6">
        <v>5</v>
      </c>
      <c r="F587" s="6">
        <v>5</v>
      </c>
      <c r="G587" s="6" t="s">
        <v>209</v>
      </c>
      <c r="H587" s="6">
        <f t="shared" si="40"/>
        <v>2505</v>
      </c>
      <c r="I587" s="6">
        <v>7000164</v>
      </c>
      <c r="J587" s="6">
        <v>13000</v>
      </c>
    </row>
    <row r="588" spans="1:10" x14ac:dyDescent="0.3">
      <c r="A588" s="6">
        <f t="shared" si="39"/>
        <v>2505005</v>
      </c>
      <c r="B588" s="6">
        <v>5</v>
      </c>
      <c r="C588" s="6" t="str">
        <f t="shared" si="41"/>
        <v>독선가</v>
      </c>
      <c r="D588" s="6">
        <v>2</v>
      </c>
      <c r="E588" s="6">
        <v>5</v>
      </c>
      <c r="F588" s="6">
        <v>5</v>
      </c>
      <c r="G588" s="6" t="s">
        <v>209</v>
      </c>
      <c r="H588" s="6">
        <f t="shared" si="40"/>
        <v>2505</v>
      </c>
      <c r="I588" s="6">
        <v>7000173</v>
      </c>
      <c r="J588" s="6">
        <v>13000</v>
      </c>
    </row>
    <row r="589" spans="1:10" x14ac:dyDescent="0.3">
      <c r="A589" s="6">
        <f t="shared" si="39"/>
        <v>2505006</v>
      </c>
      <c r="B589" s="6">
        <v>6</v>
      </c>
      <c r="C589" s="6" t="str">
        <f t="shared" si="41"/>
        <v>수완가</v>
      </c>
      <c r="D589" s="6">
        <v>2</v>
      </c>
      <c r="E589" s="6">
        <v>5</v>
      </c>
      <c r="F589" s="6">
        <v>5</v>
      </c>
      <c r="G589" s="6" t="s">
        <v>210</v>
      </c>
      <c r="H589" s="6">
        <f t="shared" si="40"/>
        <v>2505</v>
      </c>
      <c r="I589" s="6">
        <v>7000134</v>
      </c>
      <c r="J589" s="6">
        <v>8000</v>
      </c>
    </row>
    <row r="590" spans="1:10" x14ac:dyDescent="0.3">
      <c r="A590" s="6">
        <f t="shared" si="39"/>
        <v>2505007</v>
      </c>
      <c r="B590" s="6">
        <v>7</v>
      </c>
      <c r="C590" s="6" t="str">
        <f t="shared" si="41"/>
        <v>이기주의</v>
      </c>
      <c r="D590" s="6">
        <v>2</v>
      </c>
      <c r="E590" s="6">
        <v>5</v>
      </c>
      <c r="F590" s="6">
        <v>5</v>
      </c>
      <c r="G590" s="6" t="s">
        <v>210</v>
      </c>
      <c r="H590" s="6">
        <f t="shared" si="40"/>
        <v>2505</v>
      </c>
      <c r="I590" s="6">
        <v>7000135</v>
      </c>
      <c r="J590" s="6">
        <v>8000</v>
      </c>
    </row>
    <row r="591" spans="1:10" x14ac:dyDescent="0.3">
      <c r="A591" s="6">
        <f t="shared" si="39"/>
        <v>2505008</v>
      </c>
      <c r="B591" s="6">
        <v>8</v>
      </c>
      <c r="C591" s="6" t="str">
        <f t="shared" si="41"/>
        <v>헌신</v>
      </c>
      <c r="D591" s="6">
        <v>2</v>
      </c>
      <c r="E591" s="6">
        <v>5</v>
      </c>
      <c r="F591" s="6">
        <v>5</v>
      </c>
      <c r="G591" s="6" t="s">
        <v>211</v>
      </c>
      <c r="H591" s="6">
        <f t="shared" si="40"/>
        <v>2505</v>
      </c>
      <c r="I591" s="6">
        <v>7000158</v>
      </c>
      <c r="J591" s="6">
        <v>1600</v>
      </c>
    </row>
    <row r="592" spans="1:10" x14ac:dyDescent="0.3">
      <c r="A592" s="6">
        <f t="shared" si="39"/>
        <v>2505009</v>
      </c>
      <c r="B592" s="6">
        <v>9</v>
      </c>
      <c r="C592" s="6" t="str">
        <f t="shared" si="41"/>
        <v>자기 합리화</v>
      </c>
      <c r="D592" s="6">
        <v>2</v>
      </c>
      <c r="E592" s="6">
        <v>5</v>
      </c>
      <c r="F592" s="6">
        <v>5</v>
      </c>
      <c r="G592" s="6" t="s">
        <v>212</v>
      </c>
      <c r="H592" s="6">
        <f t="shared" si="40"/>
        <v>2505</v>
      </c>
      <c r="I592" s="6">
        <v>7000105</v>
      </c>
      <c r="J592" s="6">
        <v>500</v>
      </c>
    </row>
    <row r="593" spans="1:10" x14ac:dyDescent="0.3">
      <c r="A593" s="6">
        <f t="shared" si="39"/>
        <v>2505010</v>
      </c>
      <c r="B593" s="6">
        <v>10</v>
      </c>
      <c r="C593" s="6" t="str">
        <f t="shared" si="41"/>
        <v>냉혈한</v>
      </c>
      <c r="D593" s="6">
        <v>2</v>
      </c>
      <c r="E593" s="6">
        <v>5</v>
      </c>
      <c r="F593" s="6">
        <v>5</v>
      </c>
      <c r="G593" s="6" t="s">
        <v>213</v>
      </c>
      <c r="H593" s="6">
        <f t="shared" si="40"/>
        <v>2505</v>
      </c>
      <c r="I593" s="6">
        <v>7000155</v>
      </c>
      <c r="J593" s="6">
        <v>100</v>
      </c>
    </row>
    <row r="594" spans="1:10" x14ac:dyDescent="0.3">
      <c r="A594" s="6">
        <f t="shared" si="39"/>
        <v>2506001</v>
      </c>
      <c r="B594" s="6">
        <v>1</v>
      </c>
      <c r="C594" s="6" t="str">
        <f>C584</f>
        <v>생존본능</v>
      </c>
      <c r="D594" s="6">
        <v>2</v>
      </c>
      <c r="E594" s="6">
        <v>5</v>
      </c>
      <c r="F594" s="6">
        <v>6</v>
      </c>
      <c r="G594" s="6" t="s">
        <v>208</v>
      </c>
      <c r="H594" s="6">
        <f t="shared" si="40"/>
        <v>2506</v>
      </c>
      <c r="I594" s="6">
        <v>7000103</v>
      </c>
      <c r="J594" s="6">
        <v>10000</v>
      </c>
    </row>
    <row r="595" spans="1:10" x14ac:dyDescent="0.3">
      <c r="A595" s="6">
        <f t="shared" si="39"/>
        <v>2506002</v>
      </c>
      <c r="B595" s="6">
        <v>2</v>
      </c>
      <c r="C595" s="6" t="str">
        <f t="shared" si="41"/>
        <v>집중</v>
      </c>
      <c r="D595" s="6">
        <v>2</v>
      </c>
      <c r="E595" s="6">
        <v>5</v>
      </c>
      <c r="F595" s="6">
        <v>6</v>
      </c>
      <c r="G595" s="6" t="s">
        <v>208</v>
      </c>
      <c r="H595" s="6">
        <f t="shared" si="40"/>
        <v>2506</v>
      </c>
      <c r="I595" s="6">
        <v>7000104</v>
      </c>
      <c r="J595" s="6">
        <v>10000</v>
      </c>
    </row>
    <row r="596" spans="1:10" x14ac:dyDescent="0.3">
      <c r="A596" s="6">
        <f t="shared" si="39"/>
        <v>2506003</v>
      </c>
      <c r="B596" s="6">
        <v>3</v>
      </c>
      <c r="C596" s="6" t="str">
        <f t="shared" si="41"/>
        <v>방어기제</v>
      </c>
      <c r="D596" s="6">
        <v>2</v>
      </c>
      <c r="E596" s="6">
        <v>5</v>
      </c>
      <c r="F596" s="6">
        <v>6</v>
      </c>
      <c r="G596" s="6" t="s">
        <v>208</v>
      </c>
      <c r="H596" s="6">
        <f t="shared" si="40"/>
        <v>2506</v>
      </c>
      <c r="I596" s="6">
        <v>7000117</v>
      </c>
      <c r="J596" s="6">
        <v>10000</v>
      </c>
    </row>
    <row r="597" spans="1:10" x14ac:dyDescent="0.3">
      <c r="A597" s="6">
        <f t="shared" si="39"/>
        <v>2506004</v>
      </c>
      <c r="B597" s="6">
        <v>4</v>
      </c>
      <c r="C597" s="6" t="str">
        <f t="shared" si="41"/>
        <v>자비</v>
      </c>
      <c r="D597" s="6">
        <v>2</v>
      </c>
      <c r="E597" s="6">
        <v>5</v>
      </c>
      <c r="F597" s="6">
        <v>6</v>
      </c>
      <c r="G597" s="6" t="s">
        <v>209</v>
      </c>
      <c r="H597" s="6">
        <f t="shared" si="40"/>
        <v>2506</v>
      </c>
      <c r="I597" s="6">
        <v>7000164</v>
      </c>
      <c r="J597" s="6">
        <v>12500</v>
      </c>
    </row>
    <row r="598" spans="1:10" x14ac:dyDescent="0.3">
      <c r="A598" s="6">
        <f t="shared" si="39"/>
        <v>2506005</v>
      </c>
      <c r="B598" s="6">
        <v>5</v>
      </c>
      <c r="C598" s="6" t="str">
        <f t="shared" si="41"/>
        <v>독선가</v>
      </c>
      <c r="D598" s="6">
        <v>2</v>
      </c>
      <c r="E598" s="6">
        <v>5</v>
      </c>
      <c r="F598" s="6">
        <v>6</v>
      </c>
      <c r="G598" s="6" t="s">
        <v>209</v>
      </c>
      <c r="H598" s="6">
        <f t="shared" si="40"/>
        <v>2506</v>
      </c>
      <c r="I598" s="6">
        <v>7000173</v>
      </c>
      <c r="J598" s="6">
        <v>12500</v>
      </c>
    </row>
    <row r="599" spans="1:10" x14ac:dyDescent="0.3">
      <c r="A599" s="6">
        <f t="shared" si="39"/>
        <v>2506006</v>
      </c>
      <c r="B599" s="6">
        <v>6</v>
      </c>
      <c r="C599" s="6" t="str">
        <f t="shared" si="41"/>
        <v>수완가</v>
      </c>
      <c r="D599" s="6">
        <v>2</v>
      </c>
      <c r="E599" s="6">
        <v>5</v>
      </c>
      <c r="F599" s="6">
        <v>6</v>
      </c>
      <c r="G599" s="6" t="s">
        <v>210</v>
      </c>
      <c r="H599" s="6">
        <f t="shared" si="40"/>
        <v>2506</v>
      </c>
      <c r="I599" s="6">
        <v>7000134</v>
      </c>
      <c r="J599" s="6">
        <v>7500</v>
      </c>
    </row>
    <row r="600" spans="1:10" x14ac:dyDescent="0.3">
      <c r="A600" s="6">
        <f t="shared" si="39"/>
        <v>2506007</v>
      </c>
      <c r="B600" s="6">
        <v>7</v>
      </c>
      <c r="C600" s="6" t="str">
        <f t="shared" si="41"/>
        <v>이기주의</v>
      </c>
      <c r="D600" s="6">
        <v>2</v>
      </c>
      <c r="E600" s="6">
        <v>5</v>
      </c>
      <c r="F600" s="6">
        <v>6</v>
      </c>
      <c r="G600" s="6" t="s">
        <v>210</v>
      </c>
      <c r="H600" s="6">
        <f t="shared" si="40"/>
        <v>2506</v>
      </c>
      <c r="I600" s="6">
        <v>7000135</v>
      </c>
      <c r="J600" s="6">
        <v>7500</v>
      </c>
    </row>
    <row r="601" spans="1:10" x14ac:dyDescent="0.3">
      <c r="A601" s="6">
        <f t="shared" si="39"/>
        <v>2506008</v>
      </c>
      <c r="B601" s="6">
        <v>8</v>
      </c>
      <c r="C601" s="6" t="str">
        <f t="shared" si="41"/>
        <v>헌신</v>
      </c>
      <c r="D601" s="6">
        <v>2</v>
      </c>
      <c r="E601" s="6">
        <v>5</v>
      </c>
      <c r="F601" s="6">
        <v>6</v>
      </c>
      <c r="G601" s="6" t="s">
        <v>211</v>
      </c>
      <c r="H601" s="6">
        <f t="shared" si="40"/>
        <v>2506</v>
      </c>
      <c r="I601" s="6">
        <v>7000158</v>
      </c>
      <c r="J601" s="6">
        <v>1500</v>
      </c>
    </row>
    <row r="602" spans="1:10" x14ac:dyDescent="0.3">
      <c r="A602" s="6">
        <f t="shared" si="39"/>
        <v>2506009</v>
      </c>
      <c r="B602" s="6">
        <v>9</v>
      </c>
      <c r="C602" s="6" t="str">
        <f t="shared" si="41"/>
        <v>자기 합리화</v>
      </c>
      <c r="D602" s="6">
        <v>2</v>
      </c>
      <c r="E602" s="6">
        <v>5</v>
      </c>
      <c r="F602" s="6">
        <v>6</v>
      </c>
      <c r="G602" s="6" t="s">
        <v>212</v>
      </c>
      <c r="H602" s="6">
        <f t="shared" si="40"/>
        <v>2506</v>
      </c>
      <c r="I602" s="6">
        <v>7000105</v>
      </c>
      <c r="J602" s="6">
        <v>500</v>
      </c>
    </row>
    <row r="603" spans="1:10" x14ac:dyDescent="0.3">
      <c r="A603" s="6">
        <f t="shared" si="39"/>
        <v>2506010</v>
      </c>
      <c r="B603" s="6">
        <v>10</v>
      </c>
      <c r="C603" s="6" t="str">
        <f t="shared" si="41"/>
        <v>냉혈한</v>
      </c>
      <c r="D603" s="6">
        <v>2</v>
      </c>
      <c r="E603" s="6">
        <v>5</v>
      </c>
      <c r="F603" s="6">
        <v>6</v>
      </c>
      <c r="G603" s="6" t="s">
        <v>213</v>
      </c>
      <c r="H603" s="6">
        <f t="shared" si="40"/>
        <v>2506</v>
      </c>
      <c r="I603" s="6">
        <v>7000155</v>
      </c>
      <c r="J603" s="6">
        <v>100</v>
      </c>
    </row>
    <row r="604" spans="1:10" x14ac:dyDescent="0.3">
      <c r="A604" s="9">
        <f>INT(H604&amp;TEXT(B604,"000"))</f>
        <v>3101001</v>
      </c>
      <c r="B604" s="9">
        <v>1</v>
      </c>
      <c r="C604" s="9" t="s">
        <v>336</v>
      </c>
      <c r="D604" s="9">
        <v>3</v>
      </c>
      <c r="E604" s="9">
        <v>1</v>
      </c>
      <c r="F604" s="9">
        <v>1</v>
      </c>
      <c r="G604" s="9" t="s">
        <v>208</v>
      </c>
      <c r="H604" s="9">
        <f>INT(D604&amp;E604&amp;TEXT(F604,"00"))</f>
        <v>3101</v>
      </c>
      <c r="I604" s="9">
        <v>7000101</v>
      </c>
      <c r="J604" s="9">
        <v>20000</v>
      </c>
    </row>
    <row r="605" spans="1:10" x14ac:dyDescent="0.3">
      <c r="A605" s="8">
        <f t="shared" ref="A605:A663" si="42">INT(H605&amp;TEXT(B605,"000"))</f>
        <v>3101002</v>
      </c>
      <c r="B605" s="8">
        <v>2</v>
      </c>
      <c r="C605" s="8" t="s">
        <v>348</v>
      </c>
      <c r="D605" s="8">
        <v>3</v>
      </c>
      <c r="E605" s="8">
        <v>1</v>
      </c>
      <c r="F605" s="8">
        <v>1</v>
      </c>
      <c r="G605" s="8" t="s">
        <v>208</v>
      </c>
      <c r="H605" s="8">
        <f t="shared" ref="H605:H663" si="43">INT(D605&amp;E605&amp;TEXT(F605,"00"))</f>
        <v>3101</v>
      </c>
      <c r="I605" s="8">
        <v>7000108</v>
      </c>
      <c r="J605" s="8">
        <v>20000</v>
      </c>
    </row>
    <row r="606" spans="1:10" x14ac:dyDescent="0.3">
      <c r="A606" s="8">
        <f t="shared" si="42"/>
        <v>3101003</v>
      </c>
      <c r="B606" s="8">
        <v>3</v>
      </c>
      <c r="C606" s="8" t="s">
        <v>401</v>
      </c>
      <c r="D606" s="8">
        <v>3</v>
      </c>
      <c r="E606" s="8">
        <v>1</v>
      </c>
      <c r="F606" s="8">
        <v>1</v>
      </c>
      <c r="G606" s="8" t="s">
        <v>208</v>
      </c>
      <c r="H606" s="8">
        <f t="shared" si="43"/>
        <v>3101</v>
      </c>
      <c r="I606" s="8">
        <v>7000125</v>
      </c>
      <c r="J606" s="8">
        <v>20000</v>
      </c>
    </row>
    <row r="607" spans="1:10" x14ac:dyDescent="0.3">
      <c r="A607" s="8">
        <f t="shared" si="42"/>
        <v>3101004</v>
      </c>
      <c r="B607" s="8">
        <v>4</v>
      </c>
      <c r="C607" s="8" t="s">
        <v>353</v>
      </c>
      <c r="D607" s="8">
        <v>3</v>
      </c>
      <c r="E607" s="8">
        <v>1</v>
      </c>
      <c r="F607" s="8">
        <v>1</v>
      </c>
      <c r="G607" s="8" t="s">
        <v>223</v>
      </c>
      <c r="H607" s="8">
        <f t="shared" si="43"/>
        <v>3101</v>
      </c>
      <c r="I607" s="8">
        <v>7000128</v>
      </c>
      <c r="J607" s="8">
        <v>15000</v>
      </c>
    </row>
    <row r="608" spans="1:10" x14ac:dyDescent="0.3">
      <c r="A608" s="8">
        <f t="shared" si="42"/>
        <v>3101005</v>
      </c>
      <c r="B608" s="8">
        <v>5</v>
      </c>
      <c r="C608" s="8" t="s">
        <v>360</v>
      </c>
      <c r="D608" s="8">
        <v>3</v>
      </c>
      <c r="E608" s="8">
        <v>1</v>
      </c>
      <c r="F608" s="8">
        <v>1</v>
      </c>
      <c r="G608" s="8" t="s">
        <v>223</v>
      </c>
      <c r="H608" s="8">
        <f t="shared" si="43"/>
        <v>3101</v>
      </c>
      <c r="I608" s="8">
        <v>7000132</v>
      </c>
      <c r="J608" s="8">
        <v>15000</v>
      </c>
    </row>
    <row r="609" spans="1:10" x14ac:dyDescent="0.3">
      <c r="A609" s="8">
        <f t="shared" si="42"/>
        <v>3101006</v>
      </c>
      <c r="B609" s="8">
        <v>6</v>
      </c>
      <c r="C609" s="8" t="s">
        <v>399</v>
      </c>
      <c r="D609" s="8">
        <v>3</v>
      </c>
      <c r="E609" s="8">
        <v>1</v>
      </c>
      <c r="F609" s="8">
        <v>1</v>
      </c>
      <c r="G609" s="8" t="s">
        <v>222</v>
      </c>
      <c r="H609" s="8">
        <f t="shared" si="43"/>
        <v>3101</v>
      </c>
      <c r="I609" s="8">
        <v>7000162</v>
      </c>
      <c r="J609" s="8">
        <v>10000</v>
      </c>
    </row>
    <row r="610" spans="1:10" x14ac:dyDescent="0.3">
      <c r="A610" s="8">
        <f t="shared" si="42"/>
        <v>3101007</v>
      </c>
      <c r="B610" s="8">
        <v>7</v>
      </c>
      <c r="C610" s="8" t="s">
        <v>344</v>
      </c>
      <c r="D610" s="8">
        <v>3</v>
      </c>
      <c r="E610" s="8">
        <v>1</v>
      </c>
      <c r="F610" s="8">
        <v>1</v>
      </c>
      <c r="G610" s="8" t="s">
        <v>222</v>
      </c>
      <c r="H610" s="8">
        <f t="shared" si="43"/>
        <v>3101</v>
      </c>
      <c r="I610" s="8">
        <v>7000163</v>
      </c>
      <c r="J610" s="8">
        <v>10000</v>
      </c>
    </row>
    <row r="611" spans="1:10" x14ac:dyDescent="0.3">
      <c r="A611" s="8">
        <f t="shared" si="42"/>
        <v>3101008</v>
      </c>
      <c r="B611" s="8">
        <v>8</v>
      </c>
      <c r="C611" s="8" t="s">
        <v>383</v>
      </c>
      <c r="D611" s="8">
        <v>3</v>
      </c>
      <c r="E611" s="8">
        <v>1</v>
      </c>
      <c r="F611" s="8">
        <v>1</v>
      </c>
      <c r="G611" s="8" t="s">
        <v>211</v>
      </c>
      <c r="H611" s="8">
        <f t="shared" si="43"/>
        <v>3101</v>
      </c>
      <c r="I611" s="8">
        <v>7000149</v>
      </c>
      <c r="J611" s="8">
        <v>2000</v>
      </c>
    </row>
    <row r="612" spans="1:10" x14ac:dyDescent="0.3">
      <c r="A612" s="8">
        <f t="shared" si="42"/>
        <v>3101009</v>
      </c>
      <c r="B612" s="8">
        <v>9</v>
      </c>
      <c r="C612" s="8" t="s">
        <v>382</v>
      </c>
      <c r="D612" s="8">
        <v>3</v>
      </c>
      <c r="E612" s="8">
        <v>1</v>
      </c>
      <c r="F612" s="8">
        <v>1</v>
      </c>
      <c r="G612" s="8" t="s">
        <v>212</v>
      </c>
      <c r="H612" s="8">
        <f t="shared" si="43"/>
        <v>3101</v>
      </c>
      <c r="I612" s="8">
        <v>7000145</v>
      </c>
      <c r="J612" s="8">
        <v>500</v>
      </c>
    </row>
    <row r="613" spans="1:10" x14ac:dyDescent="0.3">
      <c r="A613" s="8">
        <f t="shared" si="42"/>
        <v>3101010</v>
      </c>
      <c r="B613" s="8">
        <v>10</v>
      </c>
      <c r="C613" s="8" t="s">
        <v>389</v>
      </c>
      <c r="D613" s="8">
        <v>3</v>
      </c>
      <c r="E613" s="8">
        <v>1</v>
      </c>
      <c r="F613" s="8">
        <v>1</v>
      </c>
      <c r="G613" s="8" t="s">
        <v>213</v>
      </c>
      <c r="H613" s="8">
        <f t="shared" si="43"/>
        <v>3101</v>
      </c>
      <c r="I613" s="8">
        <v>7000168</v>
      </c>
      <c r="J613" s="8">
        <v>100</v>
      </c>
    </row>
    <row r="614" spans="1:10" x14ac:dyDescent="0.3">
      <c r="A614" s="8">
        <f t="shared" si="42"/>
        <v>3102001</v>
      </c>
      <c r="B614" s="8">
        <v>1</v>
      </c>
      <c r="C614" s="8" t="str">
        <f>C604</f>
        <v>투쟁심</v>
      </c>
      <c r="D614" s="8">
        <v>3</v>
      </c>
      <c r="E614" s="8">
        <v>1</v>
      </c>
      <c r="F614" s="8">
        <v>2</v>
      </c>
      <c r="G614" s="8" t="s">
        <v>208</v>
      </c>
      <c r="H614" s="8">
        <f t="shared" si="43"/>
        <v>3102</v>
      </c>
      <c r="I614" s="8">
        <v>7000101</v>
      </c>
      <c r="J614" s="8">
        <v>18000</v>
      </c>
    </row>
    <row r="615" spans="1:10" x14ac:dyDescent="0.3">
      <c r="A615" s="8">
        <f t="shared" si="42"/>
        <v>3102002</v>
      </c>
      <c r="B615" s="8">
        <v>2</v>
      </c>
      <c r="C615" s="8" t="str">
        <f t="shared" ref="C615:C663" si="44">C605</f>
        <v>극의 해방</v>
      </c>
      <c r="D615" s="8">
        <v>3</v>
      </c>
      <c r="E615" s="8">
        <v>1</v>
      </c>
      <c r="F615" s="8">
        <v>2</v>
      </c>
      <c r="G615" s="8" t="s">
        <v>208</v>
      </c>
      <c r="H615" s="8">
        <f t="shared" si="43"/>
        <v>3102</v>
      </c>
      <c r="I615" s="8">
        <v>7000108</v>
      </c>
      <c r="J615" s="8">
        <v>18000</v>
      </c>
    </row>
    <row r="616" spans="1:10" x14ac:dyDescent="0.3">
      <c r="A616" s="8">
        <f t="shared" si="42"/>
        <v>3102003</v>
      </c>
      <c r="B616" s="8">
        <v>3</v>
      </c>
      <c r="C616" s="8" t="str">
        <f t="shared" si="44"/>
        <v>증오</v>
      </c>
      <c r="D616" s="8">
        <v>3</v>
      </c>
      <c r="E616" s="8">
        <v>1</v>
      </c>
      <c r="F616" s="8">
        <v>2</v>
      </c>
      <c r="G616" s="8" t="s">
        <v>208</v>
      </c>
      <c r="H616" s="8">
        <f t="shared" si="43"/>
        <v>3102</v>
      </c>
      <c r="I616" s="8">
        <v>7000125</v>
      </c>
      <c r="J616" s="8">
        <v>18000</v>
      </c>
    </row>
    <row r="617" spans="1:10" x14ac:dyDescent="0.3">
      <c r="A617" s="8">
        <f t="shared" si="42"/>
        <v>3102004</v>
      </c>
      <c r="B617" s="8">
        <v>4</v>
      </c>
      <c r="C617" s="8" t="str">
        <f t="shared" si="44"/>
        <v>근성</v>
      </c>
      <c r="D617" s="8">
        <v>3</v>
      </c>
      <c r="E617" s="8">
        <v>1</v>
      </c>
      <c r="F617" s="8">
        <v>2</v>
      </c>
      <c r="G617" s="8" t="s">
        <v>209</v>
      </c>
      <c r="H617" s="8">
        <f t="shared" si="43"/>
        <v>3102</v>
      </c>
      <c r="I617" s="8">
        <v>7000128</v>
      </c>
      <c r="J617" s="8">
        <v>14500</v>
      </c>
    </row>
    <row r="618" spans="1:10" x14ac:dyDescent="0.3">
      <c r="A618" s="8">
        <f t="shared" si="42"/>
        <v>3102005</v>
      </c>
      <c r="B618" s="8">
        <v>5</v>
      </c>
      <c r="C618" s="8" t="str">
        <f t="shared" si="44"/>
        <v>경각심</v>
      </c>
      <c r="D618" s="8">
        <v>3</v>
      </c>
      <c r="E618" s="8">
        <v>1</v>
      </c>
      <c r="F618" s="8">
        <v>2</v>
      </c>
      <c r="G618" s="8" t="s">
        <v>209</v>
      </c>
      <c r="H618" s="8">
        <f t="shared" si="43"/>
        <v>3102</v>
      </c>
      <c r="I618" s="8">
        <v>7000132</v>
      </c>
      <c r="J618" s="8">
        <v>14500</v>
      </c>
    </row>
    <row r="619" spans="1:10" x14ac:dyDescent="0.3">
      <c r="A619" s="8">
        <f t="shared" si="42"/>
        <v>3102006</v>
      </c>
      <c r="B619" s="8">
        <v>6</v>
      </c>
      <c r="C619" s="8" t="str">
        <f t="shared" si="44"/>
        <v>강박증</v>
      </c>
      <c r="D619" s="8">
        <v>3</v>
      </c>
      <c r="E619" s="8">
        <v>1</v>
      </c>
      <c r="F619" s="8">
        <v>2</v>
      </c>
      <c r="G619" s="8" t="s">
        <v>210</v>
      </c>
      <c r="H619" s="8">
        <f t="shared" si="43"/>
        <v>3102</v>
      </c>
      <c r="I619" s="8">
        <v>7000162</v>
      </c>
      <c r="J619" s="8">
        <v>9500</v>
      </c>
    </row>
    <row r="620" spans="1:10" x14ac:dyDescent="0.3">
      <c r="A620" s="8">
        <f t="shared" si="42"/>
        <v>3102007</v>
      </c>
      <c r="B620" s="8">
        <v>7</v>
      </c>
      <c r="C620" s="8" t="str">
        <f t="shared" si="44"/>
        <v>독기</v>
      </c>
      <c r="D620" s="8">
        <v>3</v>
      </c>
      <c r="E620" s="8">
        <v>1</v>
      </c>
      <c r="F620" s="8">
        <v>2</v>
      </c>
      <c r="G620" s="8" t="s">
        <v>210</v>
      </c>
      <c r="H620" s="8">
        <f t="shared" si="43"/>
        <v>3102</v>
      </c>
      <c r="I620" s="8">
        <v>7000163</v>
      </c>
      <c r="J620" s="8">
        <v>9500</v>
      </c>
    </row>
    <row r="621" spans="1:10" x14ac:dyDescent="0.3">
      <c r="A621" s="8">
        <f t="shared" si="42"/>
        <v>3102008</v>
      </c>
      <c r="B621" s="8">
        <v>8</v>
      </c>
      <c r="C621" s="8" t="str">
        <f t="shared" si="44"/>
        <v>폭력성</v>
      </c>
      <c r="D621" s="8">
        <v>3</v>
      </c>
      <c r="E621" s="8">
        <v>1</v>
      </c>
      <c r="F621" s="8">
        <v>2</v>
      </c>
      <c r="G621" s="8" t="s">
        <v>211</v>
      </c>
      <c r="H621" s="8">
        <f t="shared" si="43"/>
        <v>3102</v>
      </c>
      <c r="I621" s="8">
        <v>7000149</v>
      </c>
      <c r="J621" s="8">
        <v>1900</v>
      </c>
    </row>
    <row r="622" spans="1:10" x14ac:dyDescent="0.3">
      <c r="A622" s="8">
        <f t="shared" si="42"/>
        <v>3102009</v>
      </c>
      <c r="B622" s="8">
        <v>9</v>
      </c>
      <c r="C622" s="8" t="str">
        <f t="shared" si="44"/>
        <v>혈투</v>
      </c>
      <c r="D622" s="8">
        <v>3</v>
      </c>
      <c r="E622" s="8">
        <v>1</v>
      </c>
      <c r="F622" s="8">
        <v>2</v>
      </c>
      <c r="G622" s="8" t="s">
        <v>212</v>
      </c>
      <c r="H622" s="8">
        <f t="shared" si="43"/>
        <v>3102</v>
      </c>
      <c r="I622" s="8">
        <v>7000145</v>
      </c>
      <c r="J622" s="8">
        <v>500</v>
      </c>
    </row>
    <row r="623" spans="1:10" x14ac:dyDescent="0.3">
      <c r="A623" s="8">
        <f t="shared" si="42"/>
        <v>3102010</v>
      </c>
      <c r="B623" s="8">
        <v>10</v>
      </c>
      <c r="C623" s="8" t="str">
        <f t="shared" si="44"/>
        <v>호승심</v>
      </c>
      <c r="D623" s="8">
        <v>3</v>
      </c>
      <c r="E623" s="8">
        <v>1</v>
      </c>
      <c r="F623" s="8">
        <v>2</v>
      </c>
      <c r="G623" s="8" t="s">
        <v>213</v>
      </c>
      <c r="H623" s="8">
        <f t="shared" si="43"/>
        <v>3102</v>
      </c>
      <c r="I623" s="8">
        <v>7000168</v>
      </c>
      <c r="J623" s="8">
        <v>100</v>
      </c>
    </row>
    <row r="624" spans="1:10" x14ac:dyDescent="0.3">
      <c r="A624" s="8">
        <f t="shared" si="42"/>
        <v>3103001</v>
      </c>
      <c r="B624" s="8">
        <v>1</v>
      </c>
      <c r="C624" s="8" t="str">
        <f>C614</f>
        <v>투쟁심</v>
      </c>
      <c r="D624" s="8">
        <v>3</v>
      </c>
      <c r="E624" s="8">
        <v>1</v>
      </c>
      <c r="F624" s="8">
        <v>3</v>
      </c>
      <c r="G624" s="8" t="s">
        <v>208</v>
      </c>
      <c r="H624" s="8">
        <f t="shared" si="43"/>
        <v>3103</v>
      </c>
      <c r="I624" s="8">
        <v>7000101</v>
      </c>
      <c r="J624" s="8">
        <v>16000</v>
      </c>
    </row>
    <row r="625" spans="1:10" x14ac:dyDescent="0.3">
      <c r="A625" s="8">
        <f t="shared" si="42"/>
        <v>3103002</v>
      </c>
      <c r="B625" s="8">
        <v>2</v>
      </c>
      <c r="C625" s="8" t="str">
        <f t="shared" si="44"/>
        <v>극의 해방</v>
      </c>
      <c r="D625" s="8">
        <v>3</v>
      </c>
      <c r="E625" s="8">
        <v>1</v>
      </c>
      <c r="F625" s="8">
        <v>3</v>
      </c>
      <c r="G625" s="8" t="s">
        <v>208</v>
      </c>
      <c r="H625" s="8">
        <f t="shared" si="43"/>
        <v>3103</v>
      </c>
      <c r="I625" s="8">
        <v>7000108</v>
      </c>
      <c r="J625" s="8">
        <v>16000</v>
      </c>
    </row>
    <row r="626" spans="1:10" x14ac:dyDescent="0.3">
      <c r="A626" s="8">
        <f t="shared" si="42"/>
        <v>3103003</v>
      </c>
      <c r="B626" s="8">
        <v>3</v>
      </c>
      <c r="C626" s="8" t="str">
        <f t="shared" si="44"/>
        <v>증오</v>
      </c>
      <c r="D626" s="8">
        <v>3</v>
      </c>
      <c r="E626" s="8">
        <v>1</v>
      </c>
      <c r="F626" s="8">
        <v>3</v>
      </c>
      <c r="G626" s="8" t="s">
        <v>208</v>
      </c>
      <c r="H626" s="8">
        <f t="shared" si="43"/>
        <v>3103</v>
      </c>
      <c r="I626" s="8">
        <v>7000125</v>
      </c>
      <c r="J626" s="8">
        <v>16000</v>
      </c>
    </row>
    <row r="627" spans="1:10" x14ac:dyDescent="0.3">
      <c r="A627" s="8">
        <f t="shared" si="42"/>
        <v>3103004</v>
      </c>
      <c r="B627" s="8">
        <v>4</v>
      </c>
      <c r="C627" s="8" t="str">
        <f t="shared" si="44"/>
        <v>근성</v>
      </c>
      <c r="D627" s="8">
        <v>3</v>
      </c>
      <c r="E627" s="8">
        <v>1</v>
      </c>
      <c r="F627" s="8">
        <v>3</v>
      </c>
      <c r="G627" s="8" t="s">
        <v>209</v>
      </c>
      <c r="H627" s="8">
        <f t="shared" si="43"/>
        <v>3103</v>
      </c>
      <c r="I627" s="8">
        <v>7000128</v>
      </c>
      <c r="J627" s="8">
        <v>14000</v>
      </c>
    </row>
    <row r="628" spans="1:10" x14ac:dyDescent="0.3">
      <c r="A628" s="8">
        <f t="shared" si="42"/>
        <v>3103005</v>
      </c>
      <c r="B628" s="8">
        <v>5</v>
      </c>
      <c r="C628" s="8" t="str">
        <f t="shared" si="44"/>
        <v>경각심</v>
      </c>
      <c r="D628" s="8">
        <v>3</v>
      </c>
      <c r="E628" s="8">
        <v>1</v>
      </c>
      <c r="F628" s="8">
        <v>3</v>
      </c>
      <c r="G628" s="8" t="s">
        <v>209</v>
      </c>
      <c r="H628" s="8">
        <f t="shared" si="43"/>
        <v>3103</v>
      </c>
      <c r="I628" s="8">
        <v>7000132</v>
      </c>
      <c r="J628" s="8">
        <v>14000</v>
      </c>
    </row>
    <row r="629" spans="1:10" x14ac:dyDescent="0.3">
      <c r="A629" s="8">
        <f t="shared" si="42"/>
        <v>3103006</v>
      </c>
      <c r="B629" s="8">
        <v>6</v>
      </c>
      <c r="C629" s="8" t="str">
        <f t="shared" si="44"/>
        <v>강박증</v>
      </c>
      <c r="D629" s="8">
        <v>3</v>
      </c>
      <c r="E629" s="8">
        <v>1</v>
      </c>
      <c r="F629" s="8">
        <v>3</v>
      </c>
      <c r="G629" s="8" t="s">
        <v>210</v>
      </c>
      <c r="H629" s="8">
        <f t="shared" si="43"/>
        <v>3103</v>
      </c>
      <c r="I629" s="8">
        <v>7000162</v>
      </c>
      <c r="J629" s="8">
        <v>9000</v>
      </c>
    </row>
    <row r="630" spans="1:10" x14ac:dyDescent="0.3">
      <c r="A630" s="8">
        <f t="shared" si="42"/>
        <v>3103007</v>
      </c>
      <c r="B630" s="8">
        <v>7</v>
      </c>
      <c r="C630" s="8" t="str">
        <f t="shared" si="44"/>
        <v>독기</v>
      </c>
      <c r="D630" s="8">
        <v>3</v>
      </c>
      <c r="E630" s="8">
        <v>1</v>
      </c>
      <c r="F630" s="8">
        <v>3</v>
      </c>
      <c r="G630" s="8" t="s">
        <v>210</v>
      </c>
      <c r="H630" s="8">
        <f t="shared" si="43"/>
        <v>3103</v>
      </c>
      <c r="I630" s="8">
        <v>7000163</v>
      </c>
      <c r="J630" s="8">
        <v>9000</v>
      </c>
    </row>
    <row r="631" spans="1:10" x14ac:dyDescent="0.3">
      <c r="A631" s="8">
        <f t="shared" si="42"/>
        <v>3103008</v>
      </c>
      <c r="B631" s="8">
        <v>8</v>
      </c>
      <c r="C631" s="8" t="str">
        <f t="shared" si="44"/>
        <v>폭력성</v>
      </c>
      <c r="D631" s="8">
        <v>3</v>
      </c>
      <c r="E631" s="8">
        <v>1</v>
      </c>
      <c r="F631" s="8">
        <v>3</v>
      </c>
      <c r="G631" s="8" t="s">
        <v>211</v>
      </c>
      <c r="H631" s="8">
        <f t="shared" si="43"/>
        <v>3103</v>
      </c>
      <c r="I631" s="8">
        <v>7000149</v>
      </c>
      <c r="J631" s="8">
        <v>1800</v>
      </c>
    </row>
    <row r="632" spans="1:10" x14ac:dyDescent="0.3">
      <c r="A632" s="8">
        <f t="shared" si="42"/>
        <v>3103009</v>
      </c>
      <c r="B632" s="8">
        <v>9</v>
      </c>
      <c r="C632" s="8" t="str">
        <f t="shared" si="44"/>
        <v>혈투</v>
      </c>
      <c r="D632" s="8">
        <v>3</v>
      </c>
      <c r="E632" s="8">
        <v>1</v>
      </c>
      <c r="F632" s="8">
        <v>3</v>
      </c>
      <c r="G632" s="8" t="s">
        <v>212</v>
      </c>
      <c r="H632" s="8">
        <f t="shared" si="43"/>
        <v>3103</v>
      </c>
      <c r="I632" s="8">
        <v>7000145</v>
      </c>
      <c r="J632" s="8">
        <v>500</v>
      </c>
    </row>
    <row r="633" spans="1:10" x14ac:dyDescent="0.3">
      <c r="A633" s="8">
        <f t="shared" si="42"/>
        <v>3103010</v>
      </c>
      <c r="B633" s="8">
        <v>10</v>
      </c>
      <c r="C633" s="8" t="str">
        <f t="shared" si="44"/>
        <v>호승심</v>
      </c>
      <c r="D633" s="8">
        <v>3</v>
      </c>
      <c r="E633" s="8">
        <v>1</v>
      </c>
      <c r="F633" s="8">
        <v>3</v>
      </c>
      <c r="G633" s="8" t="s">
        <v>213</v>
      </c>
      <c r="H633" s="8">
        <f t="shared" si="43"/>
        <v>3103</v>
      </c>
      <c r="I633" s="8">
        <v>7000168</v>
      </c>
      <c r="J633" s="8">
        <v>100</v>
      </c>
    </row>
    <row r="634" spans="1:10" x14ac:dyDescent="0.3">
      <c r="A634" s="8">
        <f t="shared" si="42"/>
        <v>3104001</v>
      </c>
      <c r="B634" s="8">
        <v>1</v>
      </c>
      <c r="C634" s="8" t="str">
        <f>C624</f>
        <v>투쟁심</v>
      </c>
      <c r="D634" s="8">
        <v>3</v>
      </c>
      <c r="E634" s="8">
        <v>1</v>
      </c>
      <c r="F634" s="8">
        <v>4</v>
      </c>
      <c r="G634" s="8" t="s">
        <v>208</v>
      </c>
      <c r="H634" s="8">
        <f t="shared" si="43"/>
        <v>3104</v>
      </c>
      <c r="I634" s="8">
        <v>7000101</v>
      </c>
      <c r="J634" s="8">
        <v>14000</v>
      </c>
    </row>
    <row r="635" spans="1:10" x14ac:dyDescent="0.3">
      <c r="A635" s="8">
        <f t="shared" si="42"/>
        <v>3104002</v>
      </c>
      <c r="B635" s="8">
        <v>2</v>
      </c>
      <c r="C635" s="8" t="str">
        <f t="shared" si="44"/>
        <v>극의 해방</v>
      </c>
      <c r="D635" s="8">
        <v>3</v>
      </c>
      <c r="E635" s="8">
        <v>1</v>
      </c>
      <c r="F635" s="8">
        <v>4</v>
      </c>
      <c r="G635" s="8" t="s">
        <v>208</v>
      </c>
      <c r="H635" s="8">
        <f t="shared" si="43"/>
        <v>3104</v>
      </c>
      <c r="I635" s="8">
        <v>7000108</v>
      </c>
      <c r="J635" s="8">
        <v>14000</v>
      </c>
    </row>
    <row r="636" spans="1:10" x14ac:dyDescent="0.3">
      <c r="A636" s="8">
        <f t="shared" si="42"/>
        <v>3104003</v>
      </c>
      <c r="B636" s="8">
        <v>3</v>
      </c>
      <c r="C636" s="8" t="str">
        <f t="shared" si="44"/>
        <v>증오</v>
      </c>
      <c r="D636" s="8">
        <v>3</v>
      </c>
      <c r="E636" s="8">
        <v>1</v>
      </c>
      <c r="F636" s="8">
        <v>4</v>
      </c>
      <c r="G636" s="8" t="s">
        <v>208</v>
      </c>
      <c r="H636" s="8">
        <f t="shared" si="43"/>
        <v>3104</v>
      </c>
      <c r="I636" s="8">
        <v>7000125</v>
      </c>
      <c r="J636" s="8">
        <v>14000</v>
      </c>
    </row>
    <row r="637" spans="1:10" x14ac:dyDescent="0.3">
      <c r="A637" s="8">
        <f t="shared" si="42"/>
        <v>3104004</v>
      </c>
      <c r="B637" s="8">
        <v>4</v>
      </c>
      <c r="C637" s="8" t="str">
        <f t="shared" si="44"/>
        <v>근성</v>
      </c>
      <c r="D637" s="8">
        <v>3</v>
      </c>
      <c r="E637" s="8">
        <v>1</v>
      </c>
      <c r="F637" s="8">
        <v>4</v>
      </c>
      <c r="G637" s="8" t="s">
        <v>209</v>
      </c>
      <c r="H637" s="8">
        <f t="shared" si="43"/>
        <v>3104</v>
      </c>
      <c r="I637" s="8">
        <v>7000128</v>
      </c>
      <c r="J637" s="8">
        <v>13500</v>
      </c>
    </row>
    <row r="638" spans="1:10" x14ac:dyDescent="0.3">
      <c r="A638" s="8">
        <f t="shared" si="42"/>
        <v>3104005</v>
      </c>
      <c r="B638" s="8">
        <v>5</v>
      </c>
      <c r="C638" s="8" t="str">
        <f t="shared" si="44"/>
        <v>경각심</v>
      </c>
      <c r="D638" s="8">
        <v>3</v>
      </c>
      <c r="E638" s="8">
        <v>1</v>
      </c>
      <c r="F638" s="8">
        <v>4</v>
      </c>
      <c r="G638" s="8" t="s">
        <v>209</v>
      </c>
      <c r="H638" s="8">
        <f t="shared" si="43"/>
        <v>3104</v>
      </c>
      <c r="I638" s="8">
        <v>7000132</v>
      </c>
      <c r="J638" s="8">
        <v>13500</v>
      </c>
    </row>
    <row r="639" spans="1:10" x14ac:dyDescent="0.3">
      <c r="A639" s="8">
        <f t="shared" si="42"/>
        <v>3104006</v>
      </c>
      <c r="B639" s="8">
        <v>6</v>
      </c>
      <c r="C639" s="8" t="str">
        <f t="shared" si="44"/>
        <v>강박증</v>
      </c>
      <c r="D639" s="8">
        <v>3</v>
      </c>
      <c r="E639" s="8">
        <v>1</v>
      </c>
      <c r="F639" s="8">
        <v>4</v>
      </c>
      <c r="G639" s="8" t="s">
        <v>210</v>
      </c>
      <c r="H639" s="8">
        <f t="shared" si="43"/>
        <v>3104</v>
      </c>
      <c r="I639" s="8">
        <v>7000162</v>
      </c>
      <c r="J639" s="8">
        <v>8500</v>
      </c>
    </row>
    <row r="640" spans="1:10" x14ac:dyDescent="0.3">
      <c r="A640" s="8">
        <f t="shared" si="42"/>
        <v>3104007</v>
      </c>
      <c r="B640" s="8">
        <v>7</v>
      </c>
      <c r="C640" s="8" t="str">
        <f t="shared" si="44"/>
        <v>독기</v>
      </c>
      <c r="D640" s="8">
        <v>3</v>
      </c>
      <c r="E640" s="8">
        <v>1</v>
      </c>
      <c r="F640" s="8">
        <v>4</v>
      </c>
      <c r="G640" s="8" t="s">
        <v>210</v>
      </c>
      <c r="H640" s="8">
        <f t="shared" si="43"/>
        <v>3104</v>
      </c>
      <c r="I640" s="8">
        <v>7000163</v>
      </c>
      <c r="J640" s="8">
        <v>8500</v>
      </c>
    </row>
    <row r="641" spans="1:10" x14ac:dyDescent="0.3">
      <c r="A641" s="8">
        <f t="shared" si="42"/>
        <v>3104008</v>
      </c>
      <c r="B641" s="8">
        <v>8</v>
      </c>
      <c r="C641" s="8" t="str">
        <f t="shared" si="44"/>
        <v>폭력성</v>
      </c>
      <c r="D641" s="8">
        <v>3</v>
      </c>
      <c r="E641" s="8">
        <v>1</v>
      </c>
      <c r="F641" s="8">
        <v>4</v>
      </c>
      <c r="G641" s="8" t="s">
        <v>211</v>
      </c>
      <c r="H641" s="8">
        <f t="shared" si="43"/>
        <v>3104</v>
      </c>
      <c r="I641" s="8">
        <v>7000149</v>
      </c>
      <c r="J641" s="8">
        <v>1700</v>
      </c>
    </row>
    <row r="642" spans="1:10" x14ac:dyDescent="0.3">
      <c r="A642" s="8">
        <f t="shared" si="42"/>
        <v>3104009</v>
      </c>
      <c r="B642" s="8">
        <v>9</v>
      </c>
      <c r="C642" s="8" t="str">
        <f t="shared" si="44"/>
        <v>혈투</v>
      </c>
      <c r="D642" s="8">
        <v>3</v>
      </c>
      <c r="E642" s="8">
        <v>1</v>
      </c>
      <c r="F642" s="8">
        <v>4</v>
      </c>
      <c r="G642" s="8" t="s">
        <v>212</v>
      </c>
      <c r="H642" s="8">
        <f t="shared" si="43"/>
        <v>3104</v>
      </c>
      <c r="I642" s="8">
        <v>7000145</v>
      </c>
      <c r="J642" s="8">
        <v>500</v>
      </c>
    </row>
    <row r="643" spans="1:10" x14ac:dyDescent="0.3">
      <c r="A643" s="8">
        <f t="shared" si="42"/>
        <v>3104010</v>
      </c>
      <c r="B643" s="8">
        <v>10</v>
      </c>
      <c r="C643" s="8" t="str">
        <f t="shared" si="44"/>
        <v>호승심</v>
      </c>
      <c r="D643" s="8">
        <v>3</v>
      </c>
      <c r="E643" s="8">
        <v>1</v>
      </c>
      <c r="F643" s="8">
        <v>4</v>
      </c>
      <c r="G643" s="8" t="s">
        <v>213</v>
      </c>
      <c r="H643" s="8">
        <f t="shared" si="43"/>
        <v>3104</v>
      </c>
      <c r="I643" s="8">
        <v>7000168</v>
      </c>
      <c r="J643" s="8">
        <v>100</v>
      </c>
    </row>
    <row r="644" spans="1:10" x14ac:dyDescent="0.3">
      <c r="A644" s="8">
        <f t="shared" si="42"/>
        <v>3105001</v>
      </c>
      <c r="B644" s="8">
        <v>1</v>
      </c>
      <c r="C644" s="8" t="str">
        <f>C634</f>
        <v>투쟁심</v>
      </c>
      <c r="D644" s="8">
        <v>3</v>
      </c>
      <c r="E644" s="8">
        <v>1</v>
      </c>
      <c r="F644" s="8">
        <v>5</v>
      </c>
      <c r="G644" s="8" t="s">
        <v>208</v>
      </c>
      <c r="H644" s="8">
        <f t="shared" si="43"/>
        <v>3105</v>
      </c>
      <c r="I644" s="8">
        <v>7000101</v>
      </c>
      <c r="J644" s="8">
        <v>12000</v>
      </c>
    </row>
    <row r="645" spans="1:10" x14ac:dyDescent="0.3">
      <c r="A645" s="8">
        <f t="shared" si="42"/>
        <v>3105002</v>
      </c>
      <c r="B645" s="8">
        <v>2</v>
      </c>
      <c r="C645" s="8" t="str">
        <f t="shared" si="44"/>
        <v>극의 해방</v>
      </c>
      <c r="D645" s="8">
        <v>3</v>
      </c>
      <c r="E645" s="8">
        <v>1</v>
      </c>
      <c r="F645" s="8">
        <v>5</v>
      </c>
      <c r="G645" s="8" t="s">
        <v>208</v>
      </c>
      <c r="H645" s="8">
        <f t="shared" si="43"/>
        <v>3105</v>
      </c>
      <c r="I645" s="8">
        <v>7000108</v>
      </c>
      <c r="J645" s="8">
        <v>12000</v>
      </c>
    </row>
    <row r="646" spans="1:10" x14ac:dyDescent="0.3">
      <c r="A646" s="8">
        <f t="shared" si="42"/>
        <v>3105003</v>
      </c>
      <c r="B646" s="8">
        <v>3</v>
      </c>
      <c r="C646" s="8" t="str">
        <f t="shared" si="44"/>
        <v>증오</v>
      </c>
      <c r="D646" s="8">
        <v>3</v>
      </c>
      <c r="E646" s="8">
        <v>1</v>
      </c>
      <c r="F646" s="8">
        <v>5</v>
      </c>
      <c r="G646" s="8" t="s">
        <v>208</v>
      </c>
      <c r="H646" s="8">
        <f t="shared" si="43"/>
        <v>3105</v>
      </c>
      <c r="I646" s="8">
        <v>7000125</v>
      </c>
      <c r="J646" s="8">
        <v>12000</v>
      </c>
    </row>
    <row r="647" spans="1:10" x14ac:dyDescent="0.3">
      <c r="A647" s="8">
        <f t="shared" si="42"/>
        <v>3105004</v>
      </c>
      <c r="B647" s="8">
        <v>4</v>
      </c>
      <c r="C647" s="8" t="str">
        <f t="shared" si="44"/>
        <v>근성</v>
      </c>
      <c r="D647" s="8">
        <v>3</v>
      </c>
      <c r="E647" s="8">
        <v>1</v>
      </c>
      <c r="F647" s="8">
        <v>5</v>
      </c>
      <c r="G647" s="8" t="s">
        <v>209</v>
      </c>
      <c r="H647" s="8">
        <f t="shared" si="43"/>
        <v>3105</v>
      </c>
      <c r="I647" s="8">
        <v>7000128</v>
      </c>
      <c r="J647" s="8">
        <v>13000</v>
      </c>
    </row>
    <row r="648" spans="1:10" x14ac:dyDescent="0.3">
      <c r="A648" s="8">
        <f t="shared" si="42"/>
        <v>3105005</v>
      </c>
      <c r="B648" s="8">
        <v>5</v>
      </c>
      <c r="C648" s="8" t="str">
        <f t="shared" si="44"/>
        <v>경각심</v>
      </c>
      <c r="D648" s="8">
        <v>3</v>
      </c>
      <c r="E648" s="8">
        <v>1</v>
      </c>
      <c r="F648" s="8">
        <v>5</v>
      </c>
      <c r="G648" s="8" t="s">
        <v>209</v>
      </c>
      <c r="H648" s="8">
        <f t="shared" si="43"/>
        <v>3105</v>
      </c>
      <c r="I648" s="8">
        <v>7000132</v>
      </c>
      <c r="J648" s="8">
        <v>13000</v>
      </c>
    </row>
    <row r="649" spans="1:10" x14ac:dyDescent="0.3">
      <c r="A649" s="8">
        <f t="shared" si="42"/>
        <v>3105006</v>
      </c>
      <c r="B649" s="8">
        <v>6</v>
      </c>
      <c r="C649" s="8" t="str">
        <f t="shared" si="44"/>
        <v>강박증</v>
      </c>
      <c r="D649" s="8">
        <v>3</v>
      </c>
      <c r="E649" s="8">
        <v>1</v>
      </c>
      <c r="F649" s="8">
        <v>5</v>
      </c>
      <c r="G649" s="8" t="s">
        <v>210</v>
      </c>
      <c r="H649" s="8">
        <f t="shared" si="43"/>
        <v>3105</v>
      </c>
      <c r="I649" s="8">
        <v>7000162</v>
      </c>
      <c r="J649" s="8">
        <v>8000</v>
      </c>
    </row>
    <row r="650" spans="1:10" x14ac:dyDescent="0.3">
      <c r="A650" s="8">
        <f t="shared" si="42"/>
        <v>3105007</v>
      </c>
      <c r="B650" s="8">
        <v>7</v>
      </c>
      <c r="C650" s="8" t="str">
        <f t="shared" si="44"/>
        <v>독기</v>
      </c>
      <c r="D650" s="8">
        <v>3</v>
      </c>
      <c r="E650" s="8">
        <v>1</v>
      </c>
      <c r="F650" s="8">
        <v>5</v>
      </c>
      <c r="G650" s="8" t="s">
        <v>210</v>
      </c>
      <c r="H650" s="8">
        <f t="shared" si="43"/>
        <v>3105</v>
      </c>
      <c r="I650" s="8">
        <v>7000163</v>
      </c>
      <c r="J650" s="8">
        <v>8000</v>
      </c>
    </row>
    <row r="651" spans="1:10" x14ac:dyDescent="0.3">
      <c r="A651" s="8">
        <f t="shared" si="42"/>
        <v>3105008</v>
      </c>
      <c r="B651" s="8">
        <v>8</v>
      </c>
      <c r="C651" s="8" t="str">
        <f t="shared" si="44"/>
        <v>폭력성</v>
      </c>
      <c r="D651" s="8">
        <v>3</v>
      </c>
      <c r="E651" s="8">
        <v>1</v>
      </c>
      <c r="F651" s="8">
        <v>5</v>
      </c>
      <c r="G651" s="8" t="s">
        <v>211</v>
      </c>
      <c r="H651" s="8">
        <f t="shared" si="43"/>
        <v>3105</v>
      </c>
      <c r="I651" s="8">
        <v>7000149</v>
      </c>
      <c r="J651" s="8">
        <v>1600</v>
      </c>
    </row>
    <row r="652" spans="1:10" x14ac:dyDescent="0.3">
      <c r="A652" s="8">
        <f t="shared" si="42"/>
        <v>3105009</v>
      </c>
      <c r="B652" s="8">
        <v>9</v>
      </c>
      <c r="C652" s="8" t="str">
        <f t="shared" si="44"/>
        <v>혈투</v>
      </c>
      <c r="D652" s="8">
        <v>3</v>
      </c>
      <c r="E652" s="8">
        <v>1</v>
      </c>
      <c r="F652" s="8">
        <v>5</v>
      </c>
      <c r="G652" s="8" t="s">
        <v>212</v>
      </c>
      <c r="H652" s="8">
        <f t="shared" si="43"/>
        <v>3105</v>
      </c>
      <c r="I652" s="8">
        <v>7000145</v>
      </c>
      <c r="J652" s="8">
        <v>500</v>
      </c>
    </row>
    <row r="653" spans="1:10" x14ac:dyDescent="0.3">
      <c r="A653" s="8">
        <f t="shared" si="42"/>
        <v>3105010</v>
      </c>
      <c r="B653" s="8">
        <v>10</v>
      </c>
      <c r="C653" s="8" t="str">
        <f t="shared" si="44"/>
        <v>호승심</v>
      </c>
      <c r="D653" s="8">
        <v>3</v>
      </c>
      <c r="E653" s="8">
        <v>1</v>
      </c>
      <c r="F653" s="8">
        <v>5</v>
      </c>
      <c r="G653" s="8" t="s">
        <v>213</v>
      </c>
      <c r="H653" s="8">
        <f t="shared" si="43"/>
        <v>3105</v>
      </c>
      <c r="I653" s="8">
        <v>7000168</v>
      </c>
      <c r="J653" s="8">
        <v>100</v>
      </c>
    </row>
    <row r="654" spans="1:10" x14ac:dyDescent="0.3">
      <c r="A654" s="8">
        <f t="shared" si="42"/>
        <v>3106001</v>
      </c>
      <c r="B654" s="8">
        <v>1</v>
      </c>
      <c r="C654" s="8" t="str">
        <f>C644</f>
        <v>투쟁심</v>
      </c>
      <c r="D654" s="8">
        <v>3</v>
      </c>
      <c r="E654" s="8">
        <v>1</v>
      </c>
      <c r="F654" s="8">
        <v>6</v>
      </c>
      <c r="G654" s="8" t="s">
        <v>208</v>
      </c>
      <c r="H654" s="8">
        <f t="shared" si="43"/>
        <v>3106</v>
      </c>
      <c r="I654" s="8">
        <v>7000101</v>
      </c>
      <c r="J654" s="8">
        <v>10000</v>
      </c>
    </row>
    <row r="655" spans="1:10" x14ac:dyDescent="0.3">
      <c r="A655" s="8">
        <f t="shared" si="42"/>
        <v>3106002</v>
      </c>
      <c r="B655" s="8">
        <v>2</v>
      </c>
      <c r="C655" s="8" t="str">
        <f t="shared" si="44"/>
        <v>극의 해방</v>
      </c>
      <c r="D655" s="8">
        <v>3</v>
      </c>
      <c r="E655" s="8">
        <v>1</v>
      </c>
      <c r="F655" s="8">
        <v>6</v>
      </c>
      <c r="G655" s="8" t="s">
        <v>208</v>
      </c>
      <c r="H655" s="8">
        <f t="shared" si="43"/>
        <v>3106</v>
      </c>
      <c r="I655" s="8">
        <v>7000108</v>
      </c>
      <c r="J655" s="8">
        <v>10000</v>
      </c>
    </row>
    <row r="656" spans="1:10" x14ac:dyDescent="0.3">
      <c r="A656" s="8">
        <f t="shared" si="42"/>
        <v>3106003</v>
      </c>
      <c r="B656" s="8">
        <v>3</v>
      </c>
      <c r="C656" s="8" t="str">
        <f t="shared" si="44"/>
        <v>증오</v>
      </c>
      <c r="D656" s="8">
        <v>3</v>
      </c>
      <c r="E656" s="8">
        <v>1</v>
      </c>
      <c r="F656" s="8">
        <v>6</v>
      </c>
      <c r="G656" s="8" t="s">
        <v>208</v>
      </c>
      <c r="H656" s="8">
        <f t="shared" si="43"/>
        <v>3106</v>
      </c>
      <c r="I656" s="8">
        <v>7000125</v>
      </c>
      <c r="J656" s="8">
        <v>10000</v>
      </c>
    </row>
    <row r="657" spans="1:10" x14ac:dyDescent="0.3">
      <c r="A657" s="8">
        <f t="shared" si="42"/>
        <v>3106004</v>
      </c>
      <c r="B657" s="8">
        <v>4</v>
      </c>
      <c r="C657" s="8" t="str">
        <f t="shared" si="44"/>
        <v>근성</v>
      </c>
      <c r="D657" s="8">
        <v>3</v>
      </c>
      <c r="E657" s="8">
        <v>1</v>
      </c>
      <c r="F657" s="8">
        <v>6</v>
      </c>
      <c r="G657" s="8" t="s">
        <v>209</v>
      </c>
      <c r="H657" s="8">
        <f t="shared" si="43"/>
        <v>3106</v>
      </c>
      <c r="I657" s="8">
        <v>7000128</v>
      </c>
      <c r="J657" s="8">
        <v>12500</v>
      </c>
    </row>
    <row r="658" spans="1:10" x14ac:dyDescent="0.3">
      <c r="A658" s="8">
        <f t="shared" si="42"/>
        <v>3106005</v>
      </c>
      <c r="B658" s="8">
        <v>5</v>
      </c>
      <c r="C658" s="8" t="str">
        <f t="shared" si="44"/>
        <v>경각심</v>
      </c>
      <c r="D658" s="8">
        <v>3</v>
      </c>
      <c r="E658" s="8">
        <v>1</v>
      </c>
      <c r="F658" s="8">
        <v>6</v>
      </c>
      <c r="G658" s="8" t="s">
        <v>209</v>
      </c>
      <c r="H658" s="8">
        <f t="shared" si="43"/>
        <v>3106</v>
      </c>
      <c r="I658" s="8">
        <v>7000132</v>
      </c>
      <c r="J658" s="8">
        <v>12500</v>
      </c>
    </row>
    <row r="659" spans="1:10" x14ac:dyDescent="0.3">
      <c r="A659" s="8">
        <f t="shared" si="42"/>
        <v>3106006</v>
      </c>
      <c r="B659" s="8">
        <v>6</v>
      </c>
      <c r="C659" s="8" t="str">
        <f t="shared" si="44"/>
        <v>강박증</v>
      </c>
      <c r="D659" s="8">
        <v>3</v>
      </c>
      <c r="E659" s="8">
        <v>1</v>
      </c>
      <c r="F659" s="8">
        <v>6</v>
      </c>
      <c r="G659" s="8" t="s">
        <v>210</v>
      </c>
      <c r="H659" s="8">
        <f t="shared" si="43"/>
        <v>3106</v>
      </c>
      <c r="I659" s="8">
        <v>7000162</v>
      </c>
      <c r="J659" s="8">
        <v>7500</v>
      </c>
    </row>
    <row r="660" spans="1:10" x14ac:dyDescent="0.3">
      <c r="A660" s="8">
        <f t="shared" si="42"/>
        <v>3106007</v>
      </c>
      <c r="B660" s="8">
        <v>7</v>
      </c>
      <c r="C660" s="8" t="str">
        <f t="shared" si="44"/>
        <v>독기</v>
      </c>
      <c r="D660" s="8">
        <v>3</v>
      </c>
      <c r="E660" s="8">
        <v>1</v>
      </c>
      <c r="F660" s="8">
        <v>6</v>
      </c>
      <c r="G660" s="8" t="s">
        <v>210</v>
      </c>
      <c r="H660" s="8">
        <f t="shared" si="43"/>
        <v>3106</v>
      </c>
      <c r="I660" s="8">
        <v>7000163</v>
      </c>
      <c r="J660" s="8">
        <v>7500</v>
      </c>
    </row>
    <row r="661" spans="1:10" x14ac:dyDescent="0.3">
      <c r="A661" s="8">
        <f t="shared" si="42"/>
        <v>3106008</v>
      </c>
      <c r="B661" s="8">
        <v>8</v>
      </c>
      <c r="C661" s="8" t="str">
        <f t="shared" si="44"/>
        <v>폭력성</v>
      </c>
      <c r="D661" s="8">
        <v>3</v>
      </c>
      <c r="E661" s="8">
        <v>1</v>
      </c>
      <c r="F661" s="8">
        <v>6</v>
      </c>
      <c r="G661" s="8" t="s">
        <v>211</v>
      </c>
      <c r="H661" s="8">
        <f t="shared" si="43"/>
        <v>3106</v>
      </c>
      <c r="I661" s="8">
        <v>7000149</v>
      </c>
      <c r="J661" s="8">
        <v>1500</v>
      </c>
    </row>
    <row r="662" spans="1:10" x14ac:dyDescent="0.3">
      <c r="A662" s="8">
        <f t="shared" si="42"/>
        <v>3106009</v>
      </c>
      <c r="B662" s="8">
        <v>9</v>
      </c>
      <c r="C662" s="8" t="str">
        <f t="shared" si="44"/>
        <v>혈투</v>
      </c>
      <c r="D662" s="8">
        <v>3</v>
      </c>
      <c r="E662" s="8">
        <v>1</v>
      </c>
      <c r="F662" s="8">
        <v>6</v>
      </c>
      <c r="G662" s="8" t="s">
        <v>212</v>
      </c>
      <c r="H662" s="8">
        <f t="shared" si="43"/>
        <v>3106</v>
      </c>
      <c r="I662" s="8">
        <v>7000145</v>
      </c>
      <c r="J662" s="8">
        <v>500</v>
      </c>
    </row>
    <row r="663" spans="1:10" x14ac:dyDescent="0.3">
      <c r="A663" s="8">
        <f t="shared" si="42"/>
        <v>3106010</v>
      </c>
      <c r="B663" s="8">
        <v>10</v>
      </c>
      <c r="C663" s="8" t="str">
        <f t="shared" si="44"/>
        <v>호승심</v>
      </c>
      <c r="D663" s="8">
        <v>3</v>
      </c>
      <c r="E663" s="8">
        <v>1</v>
      </c>
      <c r="F663" s="8">
        <v>6</v>
      </c>
      <c r="G663" s="8" t="s">
        <v>213</v>
      </c>
      <c r="H663" s="8">
        <f t="shared" si="43"/>
        <v>3106</v>
      </c>
      <c r="I663" s="8">
        <v>7000168</v>
      </c>
      <c r="J663" s="8">
        <v>100</v>
      </c>
    </row>
    <row r="664" spans="1:10" x14ac:dyDescent="0.3">
      <c r="A664" s="9">
        <f>INT(H664&amp;TEXT(B664,"000"))</f>
        <v>3201001</v>
      </c>
      <c r="B664" s="9">
        <v>1</v>
      </c>
      <c r="C664" s="9" t="s">
        <v>370</v>
      </c>
      <c r="D664" s="9">
        <v>3</v>
      </c>
      <c r="E664" s="9">
        <v>2</v>
      </c>
      <c r="F664" s="9">
        <v>1</v>
      </c>
      <c r="G664" s="9" t="s">
        <v>208</v>
      </c>
      <c r="H664" s="9">
        <f>INT(D664&amp;E664&amp;TEXT(F664,"00"))</f>
        <v>3201</v>
      </c>
      <c r="I664" s="9">
        <v>7000103</v>
      </c>
      <c r="J664" s="9">
        <v>20000</v>
      </c>
    </row>
    <row r="665" spans="1:10" x14ac:dyDescent="0.3">
      <c r="A665" s="8">
        <f t="shared" ref="A665:A723" si="45">INT(H665&amp;TEXT(B665,"000"))</f>
        <v>3201002</v>
      </c>
      <c r="B665" s="8">
        <v>2</v>
      </c>
      <c r="C665" s="8" t="s">
        <v>351</v>
      </c>
      <c r="D665" s="8">
        <v>3</v>
      </c>
      <c r="E665" s="8">
        <v>2</v>
      </c>
      <c r="F665" s="8">
        <v>1</v>
      </c>
      <c r="G665" s="8" t="s">
        <v>208</v>
      </c>
      <c r="H665" s="8">
        <f t="shared" ref="H665:H723" si="46">INT(D665&amp;E665&amp;TEXT(F665,"00"))</f>
        <v>3201</v>
      </c>
      <c r="I665" s="8">
        <v>7000112</v>
      </c>
      <c r="J665" s="8">
        <v>20000</v>
      </c>
    </row>
    <row r="666" spans="1:10" x14ac:dyDescent="0.3">
      <c r="A666" s="8">
        <f t="shared" si="45"/>
        <v>3201003</v>
      </c>
      <c r="B666" s="8">
        <v>3</v>
      </c>
      <c r="C666" s="8" t="s">
        <v>371</v>
      </c>
      <c r="D666" s="8">
        <v>3</v>
      </c>
      <c r="E666" s="8">
        <v>2</v>
      </c>
      <c r="F666" s="8">
        <v>1</v>
      </c>
      <c r="G666" s="8" t="s">
        <v>208</v>
      </c>
      <c r="H666" s="8">
        <f t="shared" si="46"/>
        <v>3201</v>
      </c>
      <c r="I666" s="8">
        <v>7000116</v>
      </c>
      <c r="J666" s="8">
        <v>20000</v>
      </c>
    </row>
    <row r="667" spans="1:10" x14ac:dyDescent="0.3">
      <c r="A667" s="8">
        <f t="shared" si="45"/>
        <v>3201004</v>
      </c>
      <c r="B667" s="8">
        <v>4</v>
      </c>
      <c r="C667" s="8" t="s">
        <v>369</v>
      </c>
      <c r="D667" s="8">
        <v>3</v>
      </c>
      <c r="E667" s="8">
        <v>2</v>
      </c>
      <c r="F667" s="8">
        <v>1</v>
      </c>
      <c r="G667" s="8" t="s">
        <v>223</v>
      </c>
      <c r="H667" s="8">
        <f t="shared" si="46"/>
        <v>3201</v>
      </c>
      <c r="I667" s="8">
        <v>7000131</v>
      </c>
      <c r="J667" s="8">
        <v>15000</v>
      </c>
    </row>
    <row r="668" spans="1:10" x14ac:dyDescent="0.3">
      <c r="A668" s="8">
        <f t="shared" si="45"/>
        <v>3201005</v>
      </c>
      <c r="B668" s="8">
        <v>5</v>
      </c>
      <c r="C668" s="8" t="s">
        <v>354</v>
      </c>
      <c r="D668" s="8">
        <v>3</v>
      </c>
      <c r="E668" s="8">
        <v>2</v>
      </c>
      <c r="F668" s="8">
        <v>1</v>
      </c>
      <c r="G668" s="8" t="s">
        <v>223</v>
      </c>
      <c r="H668" s="8">
        <f t="shared" si="46"/>
        <v>3201</v>
      </c>
      <c r="I668" s="8">
        <v>7000140</v>
      </c>
      <c r="J668" s="8">
        <v>15000</v>
      </c>
    </row>
    <row r="669" spans="1:10" x14ac:dyDescent="0.3">
      <c r="A669" s="8">
        <f t="shared" si="45"/>
        <v>3201006</v>
      </c>
      <c r="B669" s="8">
        <v>6</v>
      </c>
      <c r="C669" s="8" t="s">
        <v>404</v>
      </c>
      <c r="D669" s="8">
        <v>3</v>
      </c>
      <c r="E669" s="8">
        <v>2</v>
      </c>
      <c r="F669" s="8">
        <v>1</v>
      </c>
      <c r="G669" s="8" t="s">
        <v>222</v>
      </c>
      <c r="H669" s="8">
        <f t="shared" si="46"/>
        <v>3201</v>
      </c>
      <c r="I669" s="8">
        <v>7000144</v>
      </c>
      <c r="J669" s="8">
        <v>10000</v>
      </c>
    </row>
    <row r="670" spans="1:10" x14ac:dyDescent="0.3">
      <c r="A670" s="8">
        <f t="shared" si="45"/>
        <v>3201007</v>
      </c>
      <c r="B670" s="8">
        <v>7</v>
      </c>
      <c r="C670" s="8" t="s">
        <v>382</v>
      </c>
      <c r="D670" s="8">
        <v>3</v>
      </c>
      <c r="E670" s="8">
        <v>2</v>
      </c>
      <c r="F670" s="8">
        <v>1</v>
      </c>
      <c r="G670" s="8" t="s">
        <v>222</v>
      </c>
      <c r="H670" s="8">
        <f t="shared" si="46"/>
        <v>3201</v>
      </c>
      <c r="I670" s="8">
        <v>7000145</v>
      </c>
      <c r="J670" s="8">
        <v>10000</v>
      </c>
    </row>
    <row r="671" spans="1:10" x14ac:dyDescent="0.3">
      <c r="A671" s="8">
        <f t="shared" si="45"/>
        <v>3201008</v>
      </c>
      <c r="B671" s="8">
        <v>8</v>
      </c>
      <c r="C671" s="8" t="s">
        <v>384</v>
      </c>
      <c r="D671" s="8">
        <v>3</v>
      </c>
      <c r="E671" s="8">
        <v>2</v>
      </c>
      <c r="F671" s="8">
        <v>1</v>
      </c>
      <c r="G671" s="8" t="s">
        <v>211</v>
      </c>
      <c r="H671" s="8">
        <f t="shared" si="46"/>
        <v>3201</v>
      </c>
      <c r="I671" s="8">
        <v>7000153</v>
      </c>
      <c r="J671" s="8">
        <v>2000</v>
      </c>
    </row>
    <row r="672" spans="1:10" x14ac:dyDescent="0.3">
      <c r="A672" s="8">
        <f t="shared" si="45"/>
        <v>3201009</v>
      </c>
      <c r="B672" s="8">
        <v>9</v>
      </c>
      <c r="C672" s="8" t="s">
        <v>372</v>
      </c>
      <c r="D672" s="8">
        <v>3</v>
      </c>
      <c r="E672" s="8">
        <v>2</v>
      </c>
      <c r="F672" s="8">
        <v>1</v>
      </c>
      <c r="G672" s="8" t="s">
        <v>212</v>
      </c>
      <c r="H672" s="8">
        <f t="shared" si="46"/>
        <v>3201</v>
      </c>
      <c r="I672" s="8">
        <v>7000117</v>
      </c>
      <c r="J672" s="8">
        <v>500</v>
      </c>
    </row>
    <row r="673" spans="1:10" x14ac:dyDescent="0.3">
      <c r="A673" s="8">
        <f t="shared" si="45"/>
        <v>3201010</v>
      </c>
      <c r="B673" s="8">
        <v>10</v>
      </c>
      <c r="C673" s="8" t="s">
        <v>397</v>
      </c>
      <c r="D673" s="8">
        <v>3</v>
      </c>
      <c r="E673" s="8">
        <v>2</v>
      </c>
      <c r="F673" s="8">
        <v>1</v>
      </c>
      <c r="G673" s="8" t="s">
        <v>213</v>
      </c>
      <c r="H673" s="8">
        <f t="shared" si="46"/>
        <v>3201</v>
      </c>
      <c r="I673" s="8">
        <v>7000154</v>
      </c>
      <c r="J673" s="8">
        <v>100</v>
      </c>
    </row>
    <row r="674" spans="1:10" x14ac:dyDescent="0.3">
      <c r="A674" s="8">
        <f t="shared" si="45"/>
        <v>3202001</v>
      </c>
      <c r="B674" s="8">
        <v>1</v>
      </c>
      <c r="C674" s="8" t="str">
        <f>C664</f>
        <v>생존본능</v>
      </c>
      <c r="D674" s="8">
        <v>3</v>
      </c>
      <c r="E674" s="8">
        <v>2</v>
      </c>
      <c r="F674" s="8">
        <v>2</v>
      </c>
      <c r="G674" s="8" t="s">
        <v>208</v>
      </c>
      <c r="H674" s="8">
        <f t="shared" si="46"/>
        <v>3202</v>
      </c>
      <c r="I674" s="8">
        <v>7000103</v>
      </c>
      <c r="J674" s="8">
        <v>18000</v>
      </c>
    </row>
    <row r="675" spans="1:10" x14ac:dyDescent="0.3">
      <c r="A675" s="8">
        <f t="shared" si="45"/>
        <v>3202002</v>
      </c>
      <c r="B675" s="8">
        <v>2</v>
      </c>
      <c r="C675" s="8" t="str">
        <f t="shared" ref="C675:C723" si="47">C665</f>
        <v>허영심</v>
      </c>
      <c r="D675" s="8">
        <v>3</v>
      </c>
      <c r="E675" s="8">
        <v>2</v>
      </c>
      <c r="F675" s="8">
        <v>2</v>
      </c>
      <c r="G675" s="8" t="s">
        <v>208</v>
      </c>
      <c r="H675" s="8">
        <f t="shared" si="46"/>
        <v>3202</v>
      </c>
      <c r="I675" s="8">
        <v>7000112</v>
      </c>
      <c r="J675" s="8">
        <v>18000</v>
      </c>
    </row>
    <row r="676" spans="1:10" x14ac:dyDescent="0.3">
      <c r="A676" s="8">
        <f t="shared" si="45"/>
        <v>3202003</v>
      </c>
      <c r="B676" s="8">
        <v>3</v>
      </c>
      <c r="C676" s="8" t="str">
        <f t="shared" si="47"/>
        <v>투지</v>
      </c>
      <c r="D676" s="8">
        <v>3</v>
      </c>
      <c r="E676" s="8">
        <v>2</v>
      </c>
      <c r="F676" s="8">
        <v>2</v>
      </c>
      <c r="G676" s="8" t="s">
        <v>208</v>
      </c>
      <c r="H676" s="8">
        <f t="shared" si="46"/>
        <v>3202</v>
      </c>
      <c r="I676" s="8">
        <v>7000116</v>
      </c>
      <c r="J676" s="8">
        <v>18000</v>
      </c>
    </row>
    <row r="677" spans="1:10" x14ac:dyDescent="0.3">
      <c r="A677" s="8">
        <f t="shared" si="45"/>
        <v>3202004</v>
      </c>
      <c r="B677" s="8">
        <v>4</v>
      </c>
      <c r="C677" s="8" t="str">
        <f t="shared" si="47"/>
        <v>앙갚음</v>
      </c>
      <c r="D677" s="8">
        <v>3</v>
      </c>
      <c r="E677" s="8">
        <v>2</v>
      </c>
      <c r="F677" s="8">
        <v>2</v>
      </c>
      <c r="G677" s="8" t="s">
        <v>209</v>
      </c>
      <c r="H677" s="8">
        <f t="shared" si="46"/>
        <v>3202</v>
      </c>
      <c r="I677" s="8">
        <v>7000131</v>
      </c>
      <c r="J677" s="8">
        <v>14500</v>
      </c>
    </row>
    <row r="678" spans="1:10" x14ac:dyDescent="0.3">
      <c r="A678" s="8">
        <f t="shared" si="45"/>
        <v>3202005</v>
      </c>
      <c r="B678" s="8">
        <v>5</v>
      </c>
      <c r="C678" s="8" t="str">
        <f t="shared" si="47"/>
        <v>지구력</v>
      </c>
      <c r="D678" s="8">
        <v>3</v>
      </c>
      <c r="E678" s="8">
        <v>2</v>
      </c>
      <c r="F678" s="8">
        <v>2</v>
      </c>
      <c r="G678" s="8" t="s">
        <v>209</v>
      </c>
      <c r="H678" s="8">
        <f t="shared" si="46"/>
        <v>3202</v>
      </c>
      <c r="I678" s="8">
        <v>7000140</v>
      </c>
      <c r="J678" s="8">
        <v>14500</v>
      </c>
    </row>
    <row r="679" spans="1:10" x14ac:dyDescent="0.3">
      <c r="A679" s="8">
        <f t="shared" si="45"/>
        <v>3202006</v>
      </c>
      <c r="B679" s="8">
        <v>6</v>
      </c>
      <c r="C679" s="8" t="str">
        <f t="shared" si="47"/>
        <v>표독</v>
      </c>
      <c r="D679" s="8">
        <v>3</v>
      </c>
      <c r="E679" s="8">
        <v>2</v>
      </c>
      <c r="F679" s="8">
        <v>2</v>
      </c>
      <c r="G679" s="8" t="s">
        <v>210</v>
      </c>
      <c r="H679" s="8">
        <f t="shared" si="46"/>
        <v>3202</v>
      </c>
      <c r="I679" s="8">
        <v>7000144</v>
      </c>
      <c r="J679" s="8">
        <v>9500</v>
      </c>
    </row>
    <row r="680" spans="1:10" x14ac:dyDescent="0.3">
      <c r="A680" s="8">
        <f t="shared" si="45"/>
        <v>3202007</v>
      </c>
      <c r="B680" s="8">
        <v>7</v>
      </c>
      <c r="C680" s="8" t="str">
        <f t="shared" si="47"/>
        <v>혈투</v>
      </c>
      <c r="D680" s="8">
        <v>3</v>
      </c>
      <c r="E680" s="8">
        <v>2</v>
      </c>
      <c r="F680" s="8">
        <v>2</v>
      </c>
      <c r="G680" s="8" t="s">
        <v>210</v>
      </c>
      <c r="H680" s="8">
        <f t="shared" si="46"/>
        <v>3202</v>
      </c>
      <c r="I680" s="8">
        <v>7000145</v>
      </c>
      <c r="J680" s="8">
        <v>9500</v>
      </c>
    </row>
    <row r="681" spans="1:10" x14ac:dyDescent="0.3">
      <c r="A681" s="8">
        <f t="shared" si="45"/>
        <v>3202008</v>
      </c>
      <c r="B681" s="8">
        <v>8</v>
      </c>
      <c r="C681" s="8" t="str">
        <f t="shared" si="47"/>
        <v>불굴의 의지</v>
      </c>
      <c r="D681" s="8">
        <v>3</v>
      </c>
      <c r="E681" s="8">
        <v>2</v>
      </c>
      <c r="F681" s="8">
        <v>2</v>
      </c>
      <c r="G681" s="8" t="s">
        <v>211</v>
      </c>
      <c r="H681" s="8">
        <f t="shared" si="46"/>
        <v>3202</v>
      </c>
      <c r="I681" s="8">
        <v>7000153</v>
      </c>
      <c r="J681" s="8">
        <v>1900</v>
      </c>
    </row>
    <row r="682" spans="1:10" x14ac:dyDescent="0.3">
      <c r="A682" s="8">
        <f t="shared" si="45"/>
        <v>3202009</v>
      </c>
      <c r="B682" s="8">
        <v>9</v>
      </c>
      <c r="C682" s="8" t="str">
        <f t="shared" si="47"/>
        <v>방어기제</v>
      </c>
      <c r="D682" s="8">
        <v>3</v>
      </c>
      <c r="E682" s="8">
        <v>2</v>
      </c>
      <c r="F682" s="8">
        <v>2</v>
      </c>
      <c r="G682" s="8" t="s">
        <v>212</v>
      </c>
      <c r="H682" s="8">
        <f t="shared" si="46"/>
        <v>3202</v>
      </c>
      <c r="I682" s="8">
        <v>7000117</v>
      </c>
      <c r="J682" s="8">
        <v>500</v>
      </c>
    </row>
    <row r="683" spans="1:10" x14ac:dyDescent="0.3">
      <c r="A683" s="8">
        <f t="shared" si="45"/>
        <v>3202010</v>
      </c>
      <c r="B683" s="8">
        <v>10</v>
      </c>
      <c r="C683" s="8" t="str">
        <f t="shared" si="47"/>
        <v>철면피</v>
      </c>
      <c r="D683" s="8">
        <v>3</v>
      </c>
      <c r="E683" s="8">
        <v>2</v>
      </c>
      <c r="F683" s="8">
        <v>2</v>
      </c>
      <c r="G683" s="8" t="s">
        <v>213</v>
      </c>
      <c r="H683" s="8">
        <f t="shared" si="46"/>
        <v>3202</v>
      </c>
      <c r="I683" s="8">
        <v>7000154</v>
      </c>
      <c r="J683" s="8">
        <v>100</v>
      </c>
    </row>
    <row r="684" spans="1:10" x14ac:dyDescent="0.3">
      <c r="A684" s="8">
        <f t="shared" si="45"/>
        <v>3203001</v>
      </c>
      <c r="B684" s="8">
        <v>1</v>
      </c>
      <c r="C684" s="8" t="str">
        <f>C674</f>
        <v>생존본능</v>
      </c>
      <c r="D684" s="8">
        <v>3</v>
      </c>
      <c r="E684" s="8">
        <v>2</v>
      </c>
      <c r="F684" s="8">
        <v>3</v>
      </c>
      <c r="G684" s="8" t="s">
        <v>208</v>
      </c>
      <c r="H684" s="8">
        <f t="shared" si="46"/>
        <v>3203</v>
      </c>
      <c r="I684" s="8">
        <v>7000103</v>
      </c>
      <c r="J684" s="8">
        <v>16000</v>
      </c>
    </row>
    <row r="685" spans="1:10" x14ac:dyDescent="0.3">
      <c r="A685" s="8">
        <f t="shared" si="45"/>
        <v>3203002</v>
      </c>
      <c r="B685" s="8">
        <v>2</v>
      </c>
      <c r="C685" s="8" t="str">
        <f t="shared" si="47"/>
        <v>허영심</v>
      </c>
      <c r="D685" s="8">
        <v>3</v>
      </c>
      <c r="E685" s="8">
        <v>2</v>
      </c>
      <c r="F685" s="8">
        <v>3</v>
      </c>
      <c r="G685" s="8" t="s">
        <v>208</v>
      </c>
      <c r="H685" s="8">
        <f t="shared" si="46"/>
        <v>3203</v>
      </c>
      <c r="I685" s="8">
        <v>7000112</v>
      </c>
      <c r="J685" s="8">
        <v>16000</v>
      </c>
    </row>
    <row r="686" spans="1:10" x14ac:dyDescent="0.3">
      <c r="A686" s="8">
        <f t="shared" si="45"/>
        <v>3203003</v>
      </c>
      <c r="B686" s="8">
        <v>3</v>
      </c>
      <c r="C686" s="8" t="str">
        <f t="shared" si="47"/>
        <v>투지</v>
      </c>
      <c r="D686" s="8">
        <v>3</v>
      </c>
      <c r="E686" s="8">
        <v>2</v>
      </c>
      <c r="F686" s="8">
        <v>3</v>
      </c>
      <c r="G686" s="8" t="s">
        <v>208</v>
      </c>
      <c r="H686" s="8">
        <f t="shared" si="46"/>
        <v>3203</v>
      </c>
      <c r="I686" s="8">
        <v>7000116</v>
      </c>
      <c r="J686" s="8">
        <v>16000</v>
      </c>
    </row>
    <row r="687" spans="1:10" x14ac:dyDescent="0.3">
      <c r="A687" s="8">
        <f t="shared" si="45"/>
        <v>3203004</v>
      </c>
      <c r="B687" s="8">
        <v>4</v>
      </c>
      <c r="C687" s="8" t="str">
        <f t="shared" si="47"/>
        <v>앙갚음</v>
      </c>
      <c r="D687" s="8">
        <v>3</v>
      </c>
      <c r="E687" s="8">
        <v>2</v>
      </c>
      <c r="F687" s="8">
        <v>3</v>
      </c>
      <c r="G687" s="8" t="s">
        <v>209</v>
      </c>
      <c r="H687" s="8">
        <f t="shared" si="46"/>
        <v>3203</v>
      </c>
      <c r="I687" s="8">
        <v>7000131</v>
      </c>
      <c r="J687" s="8">
        <v>14000</v>
      </c>
    </row>
    <row r="688" spans="1:10" x14ac:dyDescent="0.3">
      <c r="A688" s="8">
        <f t="shared" si="45"/>
        <v>3203005</v>
      </c>
      <c r="B688" s="8">
        <v>5</v>
      </c>
      <c r="C688" s="8" t="str">
        <f t="shared" si="47"/>
        <v>지구력</v>
      </c>
      <c r="D688" s="8">
        <v>3</v>
      </c>
      <c r="E688" s="8">
        <v>2</v>
      </c>
      <c r="F688" s="8">
        <v>3</v>
      </c>
      <c r="G688" s="8" t="s">
        <v>209</v>
      </c>
      <c r="H688" s="8">
        <f t="shared" si="46"/>
        <v>3203</v>
      </c>
      <c r="I688" s="8">
        <v>7000140</v>
      </c>
      <c r="J688" s="8">
        <v>14000</v>
      </c>
    </row>
    <row r="689" spans="1:10" x14ac:dyDescent="0.3">
      <c r="A689" s="8">
        <f t="shared" si="45"/>
        <v>3203006</v>
      </c>
      <c r="B689" s="8">
        <v>6</v>
      </c>
      <c r="C689" s="8" t="str">
        <f t="shared" si="47"/>
        <v>표독</v>
      </c>
      <c r="D689" s="8">
        <v>3</v>
      </c>
      <c r="E689" s="8">
        <v>2</v>
      </c>
      <c r="F689" s="8">
        <v>3</v>
      </c>
      <c r="G689" s="8" t="s">
        <v>210</v>
      </c>
      <c r="H689" s="8">
        <f t="shared" si="46"/>
        <v>3203</v>
      </c>
      <c r="I689" s="8">
        <v>7000144</v>
      </c>
      <c r="J689" s="8">
        <v>9000</v>
      </c>
    </row>
    <row r="690" spans="1:10" x14ac:dyDescent="0.3">
      <c r="A690" s="8">
        <f t="shared" si="45"/>
        <v>3203007</v>
      </c>
      <c r="B690" s="8">
        <v>7</v>
      </c>
      <c r="C690" s="8" t="str">
        <f t="shared" si="47"/>
        <v>혈투</v>
      </c>
      <c r="D690" s="8">
        <v>3</v>
      </c>
      <c r="E690" s="8">
        <v>2</v>
      </c>
      <c r="F690" s="8">
        <v>3</v>
      </c>
      <c r="G690" s="8" t="s">
        <v>210</v>
      </c>
      <c r="H690" s="8">
        <f t="shared" si="46"/>
        <v>3203</v>
      </c>
      <c r="I690" s="8">
        <v>7000145</v>
      </c>
      <c r="J690" s="8">
        <v>9000</v>
      </c>
    </row>
    <row r="691" spans="1:10" x14ac:dyDescent="0.3">
      <c r="A691" s="8">
        <f t="shared" si="45"/>
        <v>3203008</v>
      </c>
      <c r="B691" s="8">
        <v>8</v>
      </c>
      <c r="C691" s="8" t="str">
        <f t="shared" si="47"/>
        <v>불굴의 의지</v>
      </c>
      <c r="D691" s="8">
        <v>3</v>
      </c>
      <c r="E691" s="8">
        <v>2</v>
      </c>
      <c r="F691" s="8">
        <v>3</v>
      </c>
      <c r="G691" s="8" t="s">
        <v>211</v>
      </c>
      <c r="H691" s="8">
        <f t="shared" si="46"/>
        <v>3203</v>
      </c>
      <c r="I691" s="8">
        <v>7000153</v>
      </c>
      <c r="J691" s="8">
        <v>1800</v>
      </c>
    </row>
    <row r="692" spans="1:10" x14ac:dyDescent="0.3">
      <c r="A692" s="8">
        <f t="shared" si="45"/>
        <v>3203009</v>
      </c>
      <c r="B692" s="8">
        <v>9</v>
      </c>
      <c r="C692" s="8" t="str">
        <f t="shared" si="47"/>
        <v>방어기제</v>
      </c>
      <c r="D692" s="8">
        <v>3</v>
      </c>
      <c r="E692" s="8">
        <v>2</v>
      </c>
      <c r="F692" s="8">
        <v>3</v>
      </c>
      <c r="G692" s="8" t="s">
        <v>212</v>
      </c>
      <c r="H692" s="8">
        <f t="shared" si="46"/>
        <v>3203</v>
      </c>
      <c r="I692" s="8">
        <v>7000117</v>
      </c>
      <c r="J692" s="8">
        <v>500</v>
      </c>
    </row>
    <row r="693" spans="1:10" x14ac:dyDescent="0.3">
      <c r="A693" s="8">
        <f t="shared" si="45"/>
        <v>3203010</v>
      </c>
      <c r="B693" s="8">
        <v>10</v>
      </c>
      <c r="C693" s="8" t="str">
        <f t="shared" si="47"/>
        <v>철면피</v>
      </c>
      <c r="D693" s="8">
        <v>3</v>
      </c>
      <c r="E693" s="8">
        <v>2</v>
      </c>
      <c r="F693" s="8">
        <v>3</v>
      </c>
      <c r="G693" s="8" t="s">
        <v>213</v>
      </c>
      <c r="H693" s="8">
        <f t="shared" si="46"/>
        <v>3203</v>
      </c>
      <c r="I693" s="8">
        <v>7000154</v>
      </c>
      <c r="J693" s="8">
        <v>100</v>
      </c>
    </row>
    <row r="694" spans="1:10" x14ac:dyDescent="0.3">
      <c r="A694" s="8">
        <f t="shared" si="45"/>
        <v>3204001</v>
      </c>
      <c r="B694" s="8">
        <v>1</v>
      </c>
      <c r="C694" s="8" t="str">
        <f>C684</f>
        <v>생존본능</v>
      </c>
      <c r="D694" s="8">
        <v>3</v>
      </c>
      <c r="E694" s="8">
        <v>2</v>
      </c>
      <c r="F694" s="8">
        <v>4</v>
      </c>
      <c r="G694" s="8" t="s">
        <v>208</v>
      </c>
      <c r="H694" s="8">
        <f t="shared" si="46"/>
        <v>3204</v>
      </c>
      <c r="I694" s="8">
        <v>7000103</v>
      </c>
      <c r="J694" s="8">
        <v>14000</v>
      </c>
    </row>
    <row r="695" spans="1:10" x14ac:dyDescent="0.3">
      <c r="A695" s="8">
        <f t="shared" si="45"/>
        <v>3204002</v>
      </c>
      <c r="B695" s="8">
        <v>2</v>
      </c>
      <c r="C695" s="8" t="str">
        <f t="shared" si="47"/>
        <v>허영심</v>
      </c>
      <c r="D695" s="8">
        <v>3</v>
      </c>
      <c r="E695" s="8">
        <v>2</v>
      </c>
      <c r="F695" s="8">
        <v>4</v>
      </c>
      <c r="G695" s="8" t="s">
        <v>208</v>
      </c>
      <c r="H695" s="8">
        <f t="shared" si="46"/>
        <v>3204</v>
      </c>
      <c r="I695" s="8">
        <v>7000112</v>
      </c>
      <c r="J695" s="8">
        <v>14000</v>
      </c>
    </row>
    <row r="696" spans="1:10" x14ac:dyDescent="0.3">
      <c r="A696" s="8">
        <f t="shared" si="45"/>
        <v>3204003</v>
      </c>
      <c r="B696" s="8">
        <v>3</v>
      </c>
      <c r="C696" s="8" t="str">
        <f t="shared" si="47"/>
        <v>투지</v>
      </c>
      <c r="D696" s="8">
        <v>3</v>
      </c>
      <c r="E696" s="8">
        <v>2</v>
      </c>
      <c r="F696" s="8">
        <v>4</v>
      </c>
      <c r="G696" s="8" t="s">
        <v>208</v>
      </c>
      <c r="H696" s="8">
        <f t="shared" si="46"/>
        <v>3204</v>
      </c>
      <c r="I696" s="8">
        <v>7000116</v>
      </c>
      <c r="J696" s="8">
        <v>14000</v>
      </c>
    </row>
    <row r="697" spans="1:10" x14ac:dyDescent="0.3">
      <c r="A697" s="8">
        <f t="shared" si="45"/>
        <v>3204004</v>
      </c>
      <c r="B697" s="8">
        <v>4</v>
      </c>
      <c r="C697" s="8" t="str">
        <f t="shared" si="47"/>
        <v>앙갚음</v>
      </c>
      <c r="D697" s="8">
        <v>3</v>
      </c>
      <c r="E697" s="8">
        <v>2</v>
      </c>
      <c r="F697" s="8">
        <v>4</v>
      </c>
      <c r="G697" s="8" t="s">
        <v>209</v>
      </c>
      <c r="H697" s="8">
        <f t="shared" si="46"/>
        <v>3204</v>
      </c>
      <c r="I697" s="8">
        <v>7000131</v>
      </c>
      <c r="J697" s="8">
        <v>13500</v>
      </c>
    </row>
    <row r="698" spans="1:10" x14ac:dyDescent="0.3">
      <c r="A698" s="8">
        <f t="shared" si="45"/>
        <v>3204005</v>
      </c>
      <c r="B698" s="8">
        <v>5</v>
      </c>
      <c r="C698" s="8" t="str">
        <f t="shared" si="47"/>
        <v>지구력</v>
      </c>
      <c r="D698" s="8">
        <v>3</v>
      </c>
      <c r="E698" s="8">
        <v>2</v>
      </c>
      <c r="F698" s="8">
        <v>4</v>
      </c>
      <c r="G698" s="8" t="s">
        <v>209</v>
      </c>
      <c r="H698" s="8">
        <f t="shared" si="46"/>
        <v>3204</v>
      </c>
      <c r="I698" s="8">
        <v>7000140</v>
      </c>
      <c r="J698" s="8">
        <v>13500</v>
      </c>
    </row>
    <row r="699" spans="1:10" x14ac:dyDescent="0.3">
      <c r="A699" s="8">
        <f t="shared" si="45"/>
        <v>3204006</v>
      </c>
      <c r="B699" s="8">
        <v>6</v>
      </c>
      <c r="C699" s="8" t="str">
        <f t="shared" si="47"/>
        <v>표독</v>
      </c>
      <c r="D699" s="8">
        <v>3</v>
      </c>
      <c r="E699" s="8">
        <v>2</v>
      </c>
      <c r="F699" s="8">
        <v>4</v>
      </c>
      <c r="G699" s="8" t="s">
        <v>210</v>
      </c>
      <c r="H699" s="8">
        <f t="shared" si="46"/>
        <v>3204</v>
      </c>
      <c r="I699" s="8">
        <v>7000144</v>
      </c>
      <c r="J699" s="8">
        <v>8500</v>
      </c>
    </row>
    <row r="700" spans="1:10" x14ac:dyDescent="0.3">
      <c r="A700" s="8">
        <f t="shared" si="45"/>
        <v>3204007</v>
      </c>
      <c r="B700" s="8">
        <v>7</v>
      </c>
      <c r="C700" s="8" t="str">
        <f t="shared" si="47"/>
        <v>혈투</v>
      </c>
      <c r="D700" s="8">
        <v>3</v>
      </c>
      <c r="E700" s="8">
        <v>2</v>
      </c>
      <c r="F700" s="8">
        <v>4</v>
      </c>
      <c r="G700" s="8" t="s">
        <v>210</v>
      </c>
      <c r="H700" s="8">
        <f t="shared" si="46"/>
        <v>3204</v>
      </c>
      <c r="I700" s="8">
        <v>7000145</v>
      </c>
      <c r="J700" s="8">
        <v>8500</v>
      </c>
    </row>
    <row r="701" spans="1:10" x14ac:dyDescent="0.3">
      <c r="A701" s="8">
        <f t="shared" si="45"/>
        <v>3204008</v>
      </c>
      <c r="B701" s="8">
        <v>8</v>
      </c>
      <c r="C701" s="8" t="str">
        <f t="shared" si="47"/>
        <v>불굴의 의지</v>
      </c>
      <c r="D701" s="8">
        <v>3</v>
      </c>
      <c r="E701" s="8">
        <v>2</v>
      </c>
      <c r="F701" s="8">
        <v>4</v>
      </c>
      <c r="G701" s="8" t="s">
        <v>211</v>
      </c>
      <c r="H701" s="8">
        <f t="shared" si="46"/>
        <v>3204</v>
      </c>
      <c r="I701" s="8">
        <v>7000153</v>
      </c>
      <c r="J701" s="8">
        <v>1700</v>
      </c>
    </row>
    <row r="702" spans="1:10" x14ac:dyDescent="0.3">
      <c r="A702" s="8">
        <f t="shared" si="45"/>
        <v>3204009</v>
      </c>
      <c r="B702" s="8">
        <v>9</v>
      </c>
      <c r="C702" s="8" t="str">
        <f t="shared" si="47"/>
        <v>방어기제</v>
      </c>
      <c r="D702" s="8">
        <v>3</v>
      </c>
      <c r="E702" s="8">
        <v>2</v>
      </c>
      <c r="F702" s="8">
        <v>4</v>
      </c>
      <c r="G702" s="8" t="s">
        <v>212</v>
      </c>
      <c r="H702" s="8">
        <f t="shared" si="46"/>
        <v>3204</v>
      </c>
      <c r="I702" s="8">
        <v>7000117</v>
      </c>
      <c r="J702" s="8">
        <v>500</v>
      </c>
    </row>
    <row r="703" spans="1:10" x14ac:dyDescent="0.3">
      <c r="A703" s="8">
        <f t="shared" si="45"/>
        <v>3204010</v>
      </c>
      <c r="B703" s="8">
        <v>10</v>
      </c>
      <c r="C703" s="8" t="str">
        <f t="shared" si="47"/>
        <v>철면피</v>
      </c>
      <c r="D703" s="8">
        <v>3</v>
      </c>
      <c r="E703" s="8">
        <v>2</v>
      </c>
      <c r="F703" s="8">
        <v>4</v>
      </c>
      <c r="G703" s="8" t="s">
        <v>213</v>
      </c>
      <c r="H703" s="8">
        <f t="shared" si="46"/>
        <v>3204</v>
      </c>
      <c r="I703" s="8">
        <v>7000154</v>
      </c>
      <c r="J703" s="8">
        <v>100</v>
      </c>
    </row>
    <row r="704" spans="1:10" x14ac:dyDescent="0.3">
      <c r="A704" s="8">
        <f t="shared" si="45"/>
        <v>3205001</v>
      </c>
      <c r="B704" s="8">
        <v>1</v>
      </c>
      <c r="C704" s="8" t="str">
        <f>C694</f>
        <v>생존본능</v>
      </c>
      <c r="D704" s="8">
        <v>3</v>
      </c>
      <c r="E704" s="8">
        <v>2</v>
      </c>
      <c r="F704" s="8">
        <v>5</v>
      </c>
      <c r="G704" s="8" t="s">
        <v>208</v>
      </c>
      <c r="H704" s="8">
        <f t="shared" si="46"/>
        <v>3205</v>
      </c>
      <c r="I704" s="8">
        <v>7000103</v>
      </c>
      <c r="J704" s="8">
        <v>12000</v>
      </c>
    </row>
    <row r="705" spans="1:10" x14ac:dyDescent="0.3">
      <c r="A705" s="8">
        <f t="shared" si="45"/>
        <v>3205002</v>
      </c>
      <c r="B705" s="8">
        <v>2</v>
      </c>
      <c r="C705" s="8" t="str">
        <f t="shared" si="47"/>
        <v>허영심</v>
      </c>
      <c r="D705" s="8">
        <v>3</v>
      </c>
      <c r="E705" s="8">
        <v>2</v>
      </c>
      <c r="F705" s="8">
        <v>5</v>
      </c>
      <c r="G705" s="8" t="s">
        <v>208</v>
      </c>
      <c r="H705" s="8">
        <f t="shared" si="46"/>
        <v>3205</v>
      </c>
      <c r="I705" s="8">
        <v>7000112</v>
      </c>
      <c r="J705" s="8">
        <v>12000</v>
      </c>
    </row>
    <row r="706" spans="1:10" x14ac:dyDescent="0.3">
      <c r="A706" s="8">
        <f t="shared" si="45"/>
        <v>3205003</v>
      </c>
      <c r="B706" s="8">
        <v>3</v>
      </c>
      <c r="C706" s="8" t="str">
        <f t="shared" si="47"/>
        <v>투지</v>
      </c>
      <c r="D706" s="8">
        <v>3</v>
      </c>
      <c r="E706" s="8">
        <v>2</v>
      </c>
      <c r="F706" s="8">
        <v>5</v>
      </c>
      <c r="G706" s="8" t="s">
        <v>208</v>
      </c>
      <c r="H706" s="8">
        <f t="shared" si="46"/>
        <v>3205</v>
      </c>
      <c r="I706" s="8">
        <v>7000116</v>
      </c>
      <c r="J706" s="8">
        <v>12000</v>
      </c>
    </row>
    <row r="707" spans="1:10" x14ac:dyDescent="0.3">
      <c r="A707" s="8">
        <f t="shared" si="45"/>
        <v>3205004</v>
      </c>
      <c r="B707" s="8">
        <v>4</v>
      </c>
      <c r="C707" s="8" t="str">
        <f t="shared" si="47"/>
        <v>앙갚음</v>
      </c>
      <c r="D707" s="8">
        <v>3</v>
      </c>
      <c r="E707" s="8">
        <v>2</v>
      </c>
      <c r="F707" s="8">
        <v>5</v>
      </c>
      <c r="G707" s="8" t="s">
        <v>209</v>
      </c>
      <c r="H707" s="8">
        <f t="shared" si="46"/>
        <v>3205</v>
      </c>
      <c r="I707" s="8">
        <v>7000131</v>
      </c>
      <c r="J707" s="8">
        <v>13000</v>
      </c>
    </row>
    <row r="708" spans="1:10" x14ac:dyDescent="0.3">
      <c r="A708" s="8">
        <f t="shared" si="45"/>
        <v>3205005</v>
      </c>
      <c r="B708" s="8">
        <v>5</v>
      </c>
      <c r="C708" s="8" t="str">
        <f t="shared" si="47"/>
        <v>지구력</v>
      </c>
      <c r="D708" s="8">
        <v>3</v>
      </c>
      <c r="E708" s="8">
        <v>2</v>
      </c>
      <c r="F708" s="8">
        <v>5</v>
      </c>
      <c r="G708" s="8" t="s">
        <v>209</v>
      </c>
      <c r="H708" s="8">
        <f t="shared" si="46"/>
        <v>3205</v>
      </c>
      <c r="I708" s="8">
        <v>7000140</v>
      </c>
      <c r="J708" s="8">
        <v>13000</v>
      </c>
    </row>
    <row r="709" spans="1:10" x14ac:dyDescent="0.3">
      <c r="A709" s="8">
        <f t="shared" si="45"/>
        <v>3205006</v>
      </c>
      <c r="B709" s="8">
        <v>6</v>
      </c>
      <c r="C709" s="8" t="str">
        <f t="shared" si="47"/>
        <v>표독</v>
      </c>
      <c r="D709" s="8">
        <v>3</v>
      </c>
      <c r="E709" s="8">
        <v>2</v>
      </c>
      <c r="F709" s="8">
        <v>5</v>
      </c>
      <c r="G709" s="8" t="s">
        <v>210</v>
      </c>
      <c r="H709" s="8">
        <f t="shared" si="46"/>
        <v>3205</v>
      </c>
      <c r="I709" s="8">
        <v>7000144</v>
      </c>
      <c r="J709" s="8">
        <v>8000</v>
      </c>
    </row>
    <row r="710" spans="1:10" x14ac:dyDescent="0.3">
      <c r="A710" s="8">
        <f t="shared" si="45"/>
        <v>3205007</v>
      </c>
      <c r="B710" s="8">
        <v>7</v>
      </c>
      <c r="C710" s="8" t="str">
        <f t="shared" si="47"/>
        <v>혈투</v>
      </c>
      <c r="D710" s="8">
        <v>3</v>
      </c>
      <c r="E710" s="8">
        <v>2</v>
      </c>
      <c r="F710" s="8">
        <v>5</v>
      </c>
      <c r="G710" s="8" t="s">
        <v>210</v>
      </c>
      <c r="H710" s="8">
        <f t="shared" si="46"/>
        <v>3205</v>
      </c>
      <c r="I710" s="8">
        <v>7000145</v>
      </c>
      <c r="J710" s="8">
        <v>8000</v>
      </c>
    </row>
    <row r="711" spans="1:10" x14ac:dyDescent="0.3">
      <c r="A711" s="8">
        <f t="shared" si="45"/>
        <v>3205008</v>
      </c>
      <c r="B711" s="8">
        <v>8</v>
      </c>
      <c r="C711" s="8" t="str">
        <f t="shared" si="47"/>
        <v>불굴의 의지</v>
      </c>
      <c r="D711" s="8">
        <v>3</v>
      </c>
      <c r="E711" s="8">
        <v>2</v>
      </c>
      <c r="F711" s="8">
        <v>5</v>
      </c>
      <c r="G711" s="8" t="s">
        <v>211</v>
      </c>
      <c r="H711" s="8">
        <f t="shared" si="46"/>
        <v>3205</v>
      </c>
      <c r="I711" s="8">
        <v>7000153</v>
      </c>
      <c r="J711" s="8">
        <v>1600</v>
      </c>
    </row>
    <row r="712" spans="1:10" x14ac:dyDescent="0.3">
      <c r="A712" s="8">
        <f t="shared" si="45"/>
        <v>3205009</v>
      </c>
      <c r="B712" s="8">
        <v>9</v>
      </c>
      <c r="C712" s="8" t="str">
        <f t="shared" si="47"/>
        <v>방어기제</v>
      </c>
      <c r="D712" s="8">
        <v>3</v>
      </c>
      <c r="E712" s="8">
        <v>2</v>
      </c>
      <c r="F712" s="8">
        <v>5</v>
      </c>
      <c r="G712" s="8" t="s">
        <v>212</v>
      </c>
      <c r="H712" s="8">
        <f t="shared" si="46"/>
        <v>3205</v>
      </c>
      <c r="I712" s="8">
        <v>7000117</v>
      </c>
      <c r="J712" s="8">
        <v>500</v>
      </c>
    </row>
    <row r="713" spans="1:10" x14ac:dyDescent="0.3">
      <c r="A713" s="8">
        <f t="shared" si="45"/>
        <v>3205010</v>
      </c>
      <c r="B713" s="8">
        <v>10</v>
      </c>
      <c r="C713" s="8" t="str">
        <f t="shared" si="47"/>
        <v>철면피</v>
      </c>
      <c r="D713" s="8">
        <v>3</v>
      </c>
      <c r="E713" s="8">
        <v>2</v>
      </c>
      <c r="F713" s="8">
        <v>5</v>
      </c>
      <c r="G713" s="8" t="s">
        <v>213</v>
      </c>
      <c r="H713" s="8">
        <f t="shared" si="46"/>
        <v>3205</v>
      </c>
      <c r="I713" s="8">
        <v>7000154</v>
      </c>
      <c r="J713" s="8">
        <v>100</v>
      </c>
    </row>
    <row r="714" spans="1:10" x14ac:dyDescent="0.3">
      <c r="A714" s="8">
        <f t="shared" si="45"/>
        <v>3206001</v>
      </c>
      <c r="B714" s="8">
        <v>1</v>
      </c>
      <c r="C714" s="8" t="str">
        <f>C704</f>
        <v>생존본능</v>
      </c>
      <c r="D714" s="8">
        <v>3</v>
      </c>
      <c r="E714" s="8">
        <v>2</v>
      </c>
      <c r="F714" s="8">
        <v>6</v>
      </c>
      <c r="G714" s="8" t="s">
        <v>208</v>
      </c>
      <c r="H714" s="8">
        <f t="shared" si="46"/>
        <v>3206</v>
      </c>
      <c r="I714" s="8">
        <v>7000103</v>
      </c>
      <c r="J714" s="8">
        <v>10000</v>
      </c>
    </row>
    <row r="715" spans="1:10" x14ac:dyDescent="0.3">
      <c r="A715" s="8">
        <f t="shared" si="45"/>
        <v>3206002</v>
      </c>
      <c r="B715" s="8">
        <v>2</v>
      </c>
      <c r="C715" s="8" t="str">
        <f t="shared" si="47"/>
        <v>허영심</v>
      </c>
      <c r="D715" s="8">
        <v>3</v>
      </c>
      <c r="E715" s="8">
        <v>2</v>
      </c>
      <c r="F715" s="8">
        <v>6</v>
      </c>
      <c r="G715" s="8" t="s">
        <v>208</v>
      </c>
      <c r="H715" s="8">
        <f t="shared" si="46"/>
        <v>3206</v>
      </c>
      <c r="I715" s="8">
        <v>7000112</v>
      </c>
      <c r="J715" s="8">
        <v>10000</v>
      </c>
    </row>
    <row r="716" spans="1:10" x14ac:dyDescent="0.3">
      <c r="A716" s="8">
        <f t="shared" si="45"/>
        <v>3206003</v>
      </c>
      <c r="B716" s="8">
        <v>3</v>
      </c>
      <c r="C716" s="8" t="str">
        <f t="shared" si="47"/>
        <v>투지</v>
      </c>
      <c r="D716" s="8">
        <v>3</v>
      </c>
      <c r="E716" s="8">
        <v>2</v>
      </c>
      <c r="F716" s="8">
        <v>6</v>
      </c>
      <c r="G716" s="8" t="s">
        <v>208</v>
      </c>
      <c r="H716" s="8">
        <f t="shared" si="46"/>
        <v>3206</v>
      </c>
      <c r="I716" s="8">
        <v>7000116</v>
      </c>
      <c r="J716" s="8">
        <v>10000</v>
      </c>
    </row>
    <row r="717" spans="1:10" x14ac:dyDescent="0.3">
      <c r="A717" s="8">
        <f t="shared" si="45"/>
        <v>3206004</v>
      </c>
      <c r="B717" s="8">
        <v>4</v>
      </c>
      <c r="C717" s="8" t="str">
        <f t="shared" si="47"/>
        <v>앙갚음</v>
      </c>
      <c r="D717" s="8">
        <v>3</v>
      </c>
      <c r="E717" s="8">
        <v>2</v>
      </c>
      <c r="F717" s="8">
        <v>6</v>
      </c>
      <c r="G717" s="8" t="s">
        <v>209</v>
      </c>
      <c r="H717" s="8">
        <f t="shared" si="46"/>
        <v>3206</v>
      </c>
      <c r="I717" s="8">
        <v>7000131</v>
      </c>
      <c r="J717" s="8">
        <v>12500</v>
      </c>
    </row>
    <row r="718" spans="1:10" x14ac:dyDescent="0.3">
      <c r="A718" s="8">
        <f t="shared" si="45"/>
        <v>3206005</v>
      </c>
      <c r="B718" s="8">
        <v>5</v>
      </c>
      <c r="C718" s="8" t="str">
        <f t="shared" si="47"/>
        <v>지구력</v>
      </c>
      <c r="D718" s="8">
        <v>3</v>
      </c>
      <c r="E718" s="8">
        <v>2</v>
      </c>
      <c r="F718" s="8">
        <v>6</v>
      </c>
      <c r="G718" s="8" t="s">
        <v>209</v>
      </c>
      <c r="H718" s="8">
        <f t="shared" si="46"/>
        <v>3206</v>
      </c>
      <c r="I718" s="8">
        <v>7000140</v>
      </c>
      <c r="J718" s="8">
        <v>12500</v>
      </c>
    </row>
    <row r="719" spans="1:10" x14ac:dyDescent="0.3">
      <c r="A719" s="8">
        <f t="shared" si="45"/>
        <v>3206006</v>
      </c>
      <c r="B719" s="8">
        <v>6</v>
      </c>
      <c r="C719" s="8" t="str">
        <f t="shared" si="47"/>
        <v>표독</v>
      </c>
      <c r="D719" s="8">
        <v>3</v>
      </c>
      <c r="E719" s="8">
        <v>2</v>
      </c>
      <c r="F719" s="8">
        <v>6</v>
      </c>
      <c r="G719" s="8" t="s">
        <v>210</v>
      </c>
      <c r="H719" s="8">
        <f t="shared" si="46"/>
        <v>3206</v>
      </c>
      <c r="I719" s="8">
        <v>7000144</v>
      </c>
      <c r="J719" s="8">
        <v>7500</v>
      </c>
    </row>
    <row r="720" spans="1:10" x14ac:dyDescent="0.3">
      <c r="A720" s="8">
        <f t="shared" si="45"/>
        <v>3206007</v>
      </c>
      <c r="B720" s="8">
        <v>7</v>
      </c>
      <c r="C720" s="8" t="str">
        <f t="shared" si="47"/>
        <v>혈투</v>
      </c>
      <c r="D720" s="8">
        <v>3</v>
      </c>
      <c r="E720" s="8">
        <v>2</v>
      </c>
      <c r="F720" s="8">
        <v>6</v>
      </c>
      <c r="G720" s="8" t="s">
        <v>210</v>
      </c>
      <c r="H720" s="8">
        <f t="shared" si="46"/>
        <v>3206</v>
      </c>
      <c r="I720" s="8">
        <v>7000145</v>
      </c>
      <c r="J720" s="8">
        <v>7500</v>
      </c>
    </row>
    <row r="721" spans="1:10" x14ac:dyDescent="0.3">
      <c r="A721" s="8">
        <f t="shared" si="45"/>
        <v>3206008</v>
      </c>
      <c r="B721" s="8">
        <v>8</v>
      </c>
      <c r="C721" s="8" t="str">
        <f t="shared" si="47"/>
        <v>불굴의 의지</v>
      </c>
      <c r="D721" s="8">
        <v>3</v>
      </c>
      <c r="E721" s="8">
        <v>2</v>
      </c>
      <c r="F721" s="8">
        <v>6</v>
      </c>
      <c r="G721" s="8" t="s">
        <v>211</v>
      </c>
      <c r="H721" s="8">
        <f t="shared" si="46"/>
        <v>3206</v>
      </c>
      <c r="I721" s="8">
        <v>7000153</v>
      </c>
      <c r="J721" s="8">
        <v>1500</v>
      </c>
    </row>
    <row r="722" spans="1:10" x14ac:dyDescent="0.3">
      <c r="A722" s="8">
        <f t="shared" si="45"/>
        <v>3206009</v>
      </c>
      <c r="B722" s="8">
        <v>9</v>
      </c>
      <c r="C722" s="8" t="str">
        <f t="shared" si="47"/>
        <v>방어기제</v>
      </c>
      <c r="D722" s="8">
        <v>3</v>
      </c>
      <c r="E722" s="8">
        <v>2</v>
      </c>
      <c r="F722" s="8">
        <v>6</v>
      </c>
      <c r="G722" s="8" t="s">
        <v>212</v>
      </c>
      <c r="H722" s="8">
        <f t="shared" si="46"/>
        <v>3206</v>
      </c>
      <c r="I722" s="8">
        <v>7000117</v>
      </c>
      <c r="J722" s="8">
        <v>500</v>
      </c>
    </row>
    <row r="723" spans="1:10" x14ac:dyDescent="0.3">
      <c r="A723" s="8">
        <f t="shared" si="45"/>
        <v>3206010</v>
      </c>
      <c r="B723" s="8">
        <v>10</v>
      </c>
      <c r="C723" s="8" t="str">
        <f t="shared" si="47"/>
        <v>철면피</v>
      </c>
      <c r="D723" s="8">
        <v>3</v>
      </c>
      <c r="E723" s="8">
        <v>2</v>
      </c>
      <c r="F723" s="8">
        <v>6</v>
      </c>
      <c r="G723" s="8" t="s">
        <v>213</v>
      </c>
      <c r="H723" s="8">
        <f t="shared" si="46"/>
        <v>3206</v>
      </c>
      <c r="I723" s="8">
        <v>7000154</v>
      </c>
      <c r="J723" s="8">
        <v>100</v>
      </c>
    </row>
    <row r="724" spans="1:10" x14ac:dyDescent="0.3">
      <c r="A724" s="9">
        <f>INT(H724&amp;TEXT(B724,"000"))</f>
        <v>3301001</v>
      </c>
      <c r="B724" s="9">
        <v>1</v>
      </c>
      <c r="C724" s="9" t="s">
        <v>362</v>
      </c>
      <c r="D724" s="9">
        <v>3</v>
      </c>
      <c r="E724" s="9">
        <v>3</v>
      </c>
      <c r="F724" s="9">
        <v>1</v>
      </c>
      <c r="G724" s="9" t="s">
        <v>208</v>
      </c>
      <c r="H724" s="9">
        <f>INT(D724&amp;E724&amp;TEXT(F724,"00"))</f>
        <v>3301</v>
      </c>
      <c r="I724" s="9">
        <v>7000105</v>
      </c>
      <c r="J724" s="9">
        <v>20000</v>
      </c>
    </row>
    <row r="725" spans="1:10" x14ac:dyDescent="0.3">
      <c r="A725" s="8">
        <f t="shared" ref="A725:A783" si="48">INT(H725&amp;TEXT(B725,"000"))</f>
        <v>3301002</v>
      </c>
      <c r="B725" s="8">
        <v>2</v>
      </c>
      <c r="C725" s="8" t="s">
        <v>404</v>
      </c>
      <c r="D725" s="8">
        <v>3</v>
      </c>
      <c r="E725" s="8">
        <v>3</v>
      </c>
      <c r="F725" s="8">
        <v>1</v>
      </c>
      <c r="G725" s="8" t="s">
        <v>208</v>
      </c>
      <c r="H725" s="8">
        <f t="shared" ref="H725:H783" si="49">INT(D725&amp;E725&amp;TEXT(F725,"00"))</f>
        <v>3301</v>
      </c>
      <c r="I725" s="8">
        <v>7000144</v>
      </c>
      <c r="J725" s="8">
        <v>20000</v>
      </c>
    </row>
    <row r="726" spans="1:10" x14ac:dyDescent="0.3">
      <c r="A726" s="8">
        <f t="shared" si="48"/>
        <v>3301003</v>
      </c>
      <c r="B726" s="8">
        <v>3</v>
      </c>
      <c r="C726" s="8" t="s">
        <v>379</v>
      </c>
      <c r="D726" s="8">
        <v>3</v>
      </c>
      <c r="E726" s="8">
        <v>3</v>
      </c>
      <c r="F726" s="8">
        <v>1</v>
      </c>
      <c r="G726" s="8" t="s">
        <v>208</v>
      </c>
      <c r="H726" s="8">
        <f t="shared" si="49"/>
        <v>3301</v>
      </c>
      <c r="I726" s="8">
        <v>7000148</v>
      </c>
      <c r="J726" s="8">
        <v>20000</v>
      </c>
    </row>
    <row r="727" spans="1:10" x14ac:dyDescent="0.3">
      <c r="A727" s="8">
        <f t="shared" si="48"/>
        <v>3301004</v>
      </c>
      <c r="B727" s="8">
        <v>4</v>
      </c>
      <c r="C727" s="8" t="s">
        <v>383</v>
      </c>
      <c r="D727" s="8">
        <v>3</v>
      </c>
      <c r="E727" s="8">
        <v>3</v>
      </c>
      <c r="F727" s="8">
        <v>1</v>
      </c>
      <c r="G727" s="8" t="s">
        <v>223</v>
      </c>
      <c r="H727" s="8">
        <f t="shared" si="49"/>
        <v>3301</v>
      </c>
      <c r="I727" s="8">
        <v>7000149</v>
      </c>
      <c r="J727" s="8">
        <v>15000</v>
      </c>
    </row>
    <row r="728" spans="1:10" x14ac:dyDescent="0.3">
      <c r="A728" s="8">
        <f t="shared" si="48"/>
        <v>3301005</v>
      </c>
      <c r="B728" s="8">
        <v>5</v>
      </c>
      <c r="C728" s="8" t="s">
        <v>385</v>
      </c>
      <c r="D728" s="8">
        <v>3</v>
      </c>
      <c r="E728" s="8">
        <v>3</v>
      </c>
      <c r="F728" s="8">
        <v>1</v>
      </c>
      <c r="G728" s="8" t="s">
        <v>223</v>
      </c>
      <c r="H728" s="8">
        <f t="shared" si="49"/>
        <v>3301</v>
      </c>
      <c r="I728" s="8">
        <v>7000165</v>
      </c>
      <c r="J728" s="8">
        <v>15000</v>
      </c>
    </row>
    <row r="729" spans="1:10" x14ac:dyDescent="0.3">
      <c r="A729" s="8">
        <f t="shared" si="48"/>
        <v>3301006</v>
      </c>
      <c r="B729" s="8">
        <v>6</v>
      </c>
      <c r="C729" s="8" t="s">
        <v>110</v>
      </c>
      <c r="D729" s="8">
        <v>3</v>
      </c>
      <c r="E729" s="8">
        <v>3</v>
      </c>
      <c r="F729" s="8">
        <v>1</v>
      </c>
      <c r="G729" s="8" t="s">
        <v>222</v>
      </c>
      <c r="H729" s="8">
        <f t="shared" si="49"/>
        <v>3301</v>
      </c>
      <c r="I729" s="8">
        <v>7000141</v>
      </c>
      <c r="J729" s="8">
        <v>10000</v>
      </c>
    </row>
    <row r="730" spans="1:10" x14ac:dyDescent="0.3">
      <c r="A730" s="8">
        <f t="shared" si="48"/>
        <v>3301007</v>
      </c>
      <c r="B730" s="8">
        <v>7</v>
      </c>
      <c r="C730" s="8" t="s">
        <v>398</v>
      </c>
      <c r="D730" s="8">
        <v>3</v>
      </c>
      <c r="E730" s="8">
        <v>3</v>
      </c>
      <c r="F730" s="8">
        <v>1</v>
      </c>
      <c r="G730" s="8" t="s">
        <v>222</v>
      </c>
      <c r="H730" s="8">
        <f t="shared" si="49"/>
        <v>3301</v>
      </c>
      <c r="I730" s="8">
        <v>7000151</v>
      </c>
      <c r="J730" s="8">
        <v>10000</v>
      </c>
    </row>
    <row r="731" spans="1:10" x14ac:dyDescent="0.3">
      <c r="A731" s="8">
        <f t="shared" si="48"/>
        <v>3301008</v>
      </c>
      <c r="B731" s="8">
        <v>8</v>
      </c>
      <c r="C731" s="8" t="s">
        <v>399</v>
      </c>
      <c r="D731" s="8">
        <v>3</v>
      </c>
      <c r="E731" s="8">
        <v>3</v>
      </c>
      <c r="F731" s="8">
        <v>1</v>
      </c>
      <c r="G731" s="8" t="s">
        <v>211</v>
      </c>
      <c r="H731" s="8">
        <f t="shared" si="49"/>
        <v>3301</v>
      </c>
      <c r="I731" s="8">
        <v>7000162</v>
      </c>
      <c r="J731" s="8">
        <v>2000</v>
      </c>
    </row>
    <row r="732" spans="1:10" x14ac:dyDescent="0.3">
      <c r="A732" s="8">
        <f t="shared" si="48"/>
        <v>3301009</v>
      </c>
      <c r="B732" s="8">
        <v>9</v>
      </c>
      <c r="C732" s="8" t="s">
        <v>359</v>
      </c>
      <c r="D732" s="8">
        <v>3</v>
      </c>
      <c r="E732" s="8">
        <v>3</v>
      </c>
      <c r="F732" s="8">
        <v>1</v>
      </c>
      <c r="G732" s="8" t="s">
        <v>212</v>
      </c>
      <c r="H732" s="8">
        <f t="shared" si="49"/>
        <v>3301</v>
      </c>
      <c r="I732" s="8">
        <v>7000136</v>
      </c>
      <c r="J732" s="8">
        <v>500</v>
      </c>
    </row>
    <row r="733" spans="1:10" x14ac:dyDescent="0.3">
      <c r="A733" s="8">
        <f t="shared" si="48"/>
        <v>3301010</v>
      </c>
      <c r="B733" s="8">
        <v>10</v>
      </c>
      <c r="C733" s="8" t="s">
        <v>338</v>
      </c>
      <c r="D733" s="8">
        <v>3</v>
      </c>
      <c r="E733" s="8">
        <v>3</v>
      </c>
      <c r="F733" s="8">
        <v>1</v>
      </c>
      <c r="G733" s="8" t="s">
        <v>213</v>
      </c>
      <c r="H733" s="8">
        <f t="shared" si="49"/>
        <v>3301</v>
      </c>
      <c r="I733" s="8">
        <v>7000107</v>
      </c>
      <c r="J733" s="8">
        <v>100</v>
      </c>
    </row>
    <row r="734" spans="1:10" x14ac:dyDescent="0.3">
      <c r="A734" s="8">
        <f t="shared" si="48"/>
        <v>3302001</v>
      </c>
      <c r="B734" s="8">
        <v>1</v>
      </c>
      <c r="C734" s="8" t="str">
        <f>C724</f>
        <v>자기 합리화</v>
      </c>
      <c r="D734" s="8">
        <v>3</v>
      </c>
      <c r="E734" s="8">
        <v>3</v>
      </c>
      <c r="F734" s="8">
        <v>2</v>
      </c>
      <c r="G734" s="8" t="s">
        <v>208</v>
      </c>
      <c r="H734" s="8">
        <f t="shared" si="49"/>
        <v>3302</v>
      </c>
      <c r="I734" s="8">
        <v>7000105</v>
      </c>
      <c r="J734" s="8">
        <v>18000</v>
      </c>
    </row>
    <row r="735" spans="1:10" x14ac:dyDescent="0.3">
      <c r="A735" s="8">
        <f t="shared" si="48"/>
        <v>3302002</v>
      </c>
      <c r="B735" s="8">
        <v>2</v>
      </c>
      <c r="C735" s="8" t="str">
        <f t="shared" ref="C735:C783" si="50">C725</f>
        <v>표독</v>
      </c>
      <c r="D735" s="8">
        <v>3</v>
      </c>
      <c r="E735" s="8">
        <v>3</v>
      </c>
      <c r="F735" s="8">
        <v>2</v>
      </c>
      <c r="G735" s="8" t="s">
        <v>208</v>
      </c>
      <c r="H735" s="8">
        <f t="shared" si="49"/>
        <v>3302</v>
      </c>
      <c r="I735" s="8">
        <v>7000144</v>
      </c>
      <c r="J735" s="8">
        <v>18000</v>
      </c>
    </row>
    <row r="736" spans="1:10" x14ac:dyDescent="0.3">
      <c r="A736" s="8">
        <f t="shared" si="48"/>
        <v>3302003</v>
      </c>
      <c r="B736" s="8">
        <v>3</v>
      </c>
      <c r="C736" s="8" t="str">
        <f t="shared" si="50"/>
        <v>독설가</v>
      </c>
      <c r="D736" s="8">
        <v>3</v>
      </c>
      <c r="E736" s="8">
        <v>3</v>
      </c>
      <c r="F736" s="8">
        <v>2</v>
      </c>
      <c r="G736" s="8" t="s">
        <v>208</v>
      </c>
      <c r="H736" s="8">
        <f t="shared" si="49"/>
        <v>3302</v>
      </c>
      <c r="I736" s="8">
        <v>7000148</v>
      </c>
      <c r="J736" s="8">
        <v>18000</v>
      </c>
    </row>
    <row r="737" spans="1:10" x14ac:dyDescent="0.3">
      <c r="A737" s="8">
        <f t="shared" si="48"/>
        <v>3302004</v>
      </c>
      <c r="B737" s="8">
        <v>4</v>
      </c>
      <c r="C737" s="8" t="str">
        <f t="shared" si="50"/>
        <v>폭력성</v>
      </c>
      <c r="D737" s="8">
        <v>3</v>
      </c>
      <c r="E737" s="8">
        <v>3</v>
      </c>
      <c r="F737" s="8">
        <v>2</v>
      </c>
      <c r="G737" s="8" t="s">
        <v>209</v>
      </c>
      <c r="H737" s="8">
        <f t="shared" si="49"/>
        <v>3302</v>
      </c>
      <c r="I737" s="8">
        <v>7000149</v>
      </c>
      <c r="J737" s="8">
        <v>14500</v>
      </c>
    </row>
    <row r="738" spans="1:10" x14ac:dyDescent="0.3">
      <c r="A738" s="8">
        <f t="shared" si="48"/>
        <v>3302005</v>
      </c>
      <c r="B738" s="8">
        <v>5</v>
      </c>
      <c r="C738" s="8" t="str">
        <f t="shared" si="50"/>
        <v>가학성애</v>
      </c>
      <c r="D738" s="8">
        <v>3</v>
      </c>
      <c r="E738" s="8">
        <v>3</v>
      </c>
      <c r="F738" s="8">
        <v>2</v>
      </c>
      <c r="G738" s="8" t="s">
        <v>209</v>
      </c>
      <c r="H738" s="8">
        <f t="shared" si="49"/>
        <v>3302</v>
      </c>
      <c r="I738" s="8">
        <v>7000165</v>
      </c>
      <c r="J738" s="8">
        <v>14500</v>
      </c>
    </row>
    <row r="739" spans="1:10" x14ac:dyDescent="0.3">
      <c r="A739" s="8">
        <f t="shared" si="48"/>
        <v>3302006</v>
      </c>
      <c r="B739" s="8">
        <v>6</v>
      </c>
      <c r="C739" s="8" t="str">
        <f t="shared" si="50"/>
        <v>위기감지</v>
      </c>
      <c r="D739" s="8">
        <v>3</v>
      </c>
      <c r="E739" s="8">
        <v>3</v>
      </c>
      <c r="F739" s="8">
        <v>2</v>
      </c>
      <c r="G739" s="8" t="s">
        <v>210</v>
      </c>
      <c r="H739" s="8">
        <f t="shared" si="49"/>
        <v>3302</v>
      </c>
      <c r="I739" s="8">
        <v>7000141</v>
      </c>
      <c r="J739" s="8">
        <v>9500</v>
      </c>
    </row>
    <row r="740" spans="1:10" x14ac:dyDescent="0.3">
      <c r="A740" s="8">
        <f t="shared" si="48"/>
        <v>3302007</v>
      </c>
      <c r="B740" s="8">
        <v>7</v>
      </c>
      <c r="C740" s="8" t="str">
        <f t="shared" si="50"/>
        <v>후발주자</v>
      </c>
      <c r="D740" s="8">
        <v>3</v>
      </c>
      <c r="E740" s="8">
        <v>3</v>
      </c>
      <c r="F740" s="8">
        <v>2</v>
      </c>
      <c r="G740" s="8" t="s">
        <v>210</v>
      </c>
      <c r="H740" s="8">
        <f t="shared" si="49"/>
        <v>3302</v>
      </c>
      <c r="I740" s="8">
        <v>7000151</v>
      </c>
      <c r="J740" s="8">
        <v>9500</v>
      </c>
    </row>
    <row r="741" spans="1:10" x14ac:dyDescent="0.3">
      <c r="A741" s="8">
        <f t="shared" si="48"/>
        <v>3302008</v>
      </c>
      <c r="B741" s="8">
        <v>8</v>
      </c>
      <c r="C741" s="8" t="str">
        <f t="shared" si="50"/>
        <v>강박증</v>
      </c>
      <c r="D741" s="8">
        <v>3</v>
      </c>
      <c r="E741" s="8">
        <v>3</v>
      </c>
      <c r="F741" s="8">
        <v>2</v>
      </c>
      <c r="G741" s="8" t="s">
        <v>211</v>
      </c>
      <c r="H741" s="8">
        <f t="shared" si="49"/>
        <v>3302</v>
      </c>
      <c r="I741" s="8">
        <v>7000162</v>
      </c>
      <c r="J741" s="8">
        <v>1900</v>
      </c>
    </row>
    <row r="742" spans="1:10" x14ac:dyDescent="0.3">
      <c r="A742" s="8">
        <f t="shared" si="48"/>
        <v>3302009</v>
      </c>
      <c r="B742" s="8">
        <v>9</v>
      </c>
      <c r="C742" s="8" t="str">
        <f t="shared" si="50"/>
        <v>무자비</v>
      </c>
      <c r="D742" s="8">
        <v>3</v>
      </c>
      <c r="E742" s="8">
        <v>3</v>
      </c>
      <c r="F742" s="8">
        <v>2</v>
      </c>
      <c r="G742" s="8" t="s">
        <v>212</v>
      </c>
      <c r="H742" s="8">
        <f t="shared" si="49"/>
        <v>3302</v>
      </c>
      <c r="I742" s="8">
        <v>7000136</v>
      </c>
      <c r="J742" s="8">
        <v>500</v>
      </c>
    </row>
    <row r="743" spans="1:10" x14ac:dyDescent="0.3">
      <c r="A743" s="8">
        <f t="shared" si="48"/>
        <v>3302010</v>
      </c>
      <c r="B743" s="8">
        <v>10</v>
      </c>
      <c r="C743" s="8" t="str">
        <f t="shared" si="50"/>
        <v>기교꾼</v>
      </c>
      <c r="D743" s="8">
        <v>3</v>
      </c>
      <c r="E743" s="8">
        <v>3</v>
      </c>
      <c r="F743" s="8">
        <v>2</v>
      </c>
      <c r="G743" s="8" t="s">
        <v>213</v>
      </c>
      <c r="H743" s="8">
        <f t="shared" si="49"/>
        <v>3302</v>
      </c>
      <c r="I743" s="8">
        <v>7000107</v>
      </c>
      <c r="J743" s="8">
        <v>100</v>
      </c>
    </row>
    <row r="744" spans="1:10" x14ac:dyDescent="0.3">
      <c r="A744" s="8">
        <f t="shared" si="48"/>
        <v>3303001</v>
      </c>
      <c r="B744" s="8">
        <v>1</v>
      </c>
      <c r="C744" s="8" t="str">
        <f>C734</f>
        <v>자기 합리화</v>
      </c>
      <c r="D744" s="8">
        <v>3</v>
      </c>
      <c r="E744" s="8">
        <v>3</v>
      </c>
      <c r="F744" s="8">
        <v>3</v>
      </c>
      <c r="G744" s="8" t="s">
        <v>208</v>
      </c>
      <c r="H744" s="8">
        <f t="shared" si="49"/>
        <v>3303</v>
      </c>
      <c r="I744" s="8">
        <v>7000105</v>
      </c>
      <c r="J744" s="8">
        <v>16000</v>
      </c>
    </row>
    <row r="745" spans="1:10" x14ac:dyDescent="0.3">
      <c r="A745" s="8">
        <f t="shared" si="48"/>
        <v>3303002</v>
      </c>
      <c r="B745" s="8">
        <v>2</v>
      </c>
      <c r="C745" s="8" t="str">
        <f t="shared" si="50"/>
        <v>표독</v>
      </c>
      <c r="D745" s="8">
        <v>3</v>
      </c>
      <c r="E745" s="8">
        <v>3</v>
      </c>
      <c r="F745" s="8">
        <v>3</v>
      </c>
      <c r="G745" s="8" t="s">
        <v>208</v>
      </c>
      <c r="H745" s="8">
        <f t="shared" si="49"/>
        <v>3303</v>
      </c>
      <c r="I745" s="8">
        <v>7000144</v>
      </c>
      <c r="J745" s="8">
        <v>16000</v>
      </c>
    </row>
    <row r="746" spans="1:10" x14ac:dyDescent="0.3">
      <c r="A746" s="8">
        <f t="shared" si="48"/>
        <v>3303003</v>
      </c>
      <c r="B746" s="8">
        <v>3</v>
      </c>
      <c r="C746" s="8" t="str">
        <f t="shared" si="50"/>
        <v>독설가</v>
      </c>
      <c r="D746" s="8">
        <v>3</v>
      </c>
      <c r="E746" s="8">
        <v>3</v>
      </c>
      <c r="F746" s="8">
        <v>3</v>
      </c>
      <c r="G746" s="8" t="s">
        <v>208</v>
      </c>
      <c r="H746" s="8">
        <f t="shared" si="49"/>
        <v>3303</v>
      </c>
      <c r="I746" s="8">
        <v>7000148</v>
      </c>
      <c r="J746" s="8">
        <v>16000</v>
      </c>
    </row>
    <row r="747" spans="1:10" x14ac:dyDescent="0.3">
      <c r="A747" s="8">
        <f t="shared" si="48"/>
        <v>3303004</v>
      </c>
      <c r="B747" s="8">
        <v>4</v>
      </c>
      <c r="C747" s="8" t="str">
        <f t="shared" si="50"/>
        <v>폭력성</v>
      </c>
      <c r="D747" s="8">
        <v>3</v>
      </c>
      <c r="E747" s="8">
        <v>3</v>
      </c>
      <c r="F747" s="8">
        <v>3</v>
      </c>
      <c r="G747" s="8" t="s">
        <v>209</v>
      </c>
      <c r="H747" s="8">
        <f t="shared" si="49"/>
        <v>3303</v>
      </c>
      <c r="I747" s="8">
        <v>7000149</v>
      </c>
      <c r="J747" s="8">
        <v>14000</v>
      </c>
    </row>
    <row r="748" spans="1:10" x14ac:dyDescent="0.3">
      <c r="A748" s="8">
        <f t="shared" si="48"/>
        <v>3303005</v>
      </c>
      <c r="B748" s="8">
        <v>5</v>
      </c>
      <c r="C748" s="8" t="str">
        <f t="shared" si="50"/>
        <v>가학성애</v>
      </c>
      <c r="D748" s="8">
        <v>3</v>
      </c>
      <c r="E748" s="8">
        <v>3</v>
      </c>
      <c r="F748" s="8">
        <v>3</v>
      </c>
      <c r="G748" s="8" t="s">
        <v>209</v>
      </c>
      <c r="H748" s="8">
        <f t="shared" si="49"/>
        <v>3303</v>
      </c>
      <c r="I748" s="8">
        <v>7000165</v>
      </c>
      <c r="J748" s="8">
        <v>14000</v>
      </c>
    </row>
    <row r="749" spans="1:10" x14ac:dyDescent="0.3">
      <c r="A749" s="8">
        <f t="shared" si="48"/>
        <v>3303006</v>
      </c>
      <c r="B749" s="8">
        <v>6</v>
      </c>
      <c r="C749" s="8" t="str">
        <f t="shared" si="50"/>
        <v>위기감지</v>
      </c>
      <c r="D749" s="8">
        <v>3</v>
      </c>
      <c r="E749" s="8">
        <v>3</v>
      </c>
      <c r="F749" s="8">
        <v>3</v>
      </c>
      <c r="G749" s="8" t="s">
        <v>210</v>
      </c>
      <c r="H749" s="8">
        <f t="shared" si="49"/>
        <v>3303</v>
      </c>
      <c r="I749" s="8">
        <v>7000141</v>
      </c>
      <c r="J749" s="8">
        <v>9000</v>
      </c>
    </row>
    <row r="750" spans="1:10" x14ac:dyDescent="0.3">
      <c r="A750" s="8">
        <f t="shared" si="48"/>
        <v>3303007</v>
      </c>
      <c r="B750" s="8">
        <v>7</v>
      </c>
      <c r="C750" s="8" t="str">
        <f t="shared" si="50"/>
        <v>후발주자</v>
      </c>
      <c r="D750" s="8">
        <v>3</v>
      </c>
      <c r="E750" s="8">
        <v>3</v>
      </c>
      <c r="F750" s="8">
        <v>3</v>
      </c>
      <c r="G750" s="8" t="s">
        <v>210</v>
      </c>
      <c r="H750" s="8">
        <f t="shared" si="49"/>
        <v>3303</v>
      </c>
      <c r="I750" s="8">
        <v>7000151</v>
      </c>
      <c r="J750" s="8">
        <v>9000</v>
      </c>
    </row>
    <row r="751" spans="1:10" x14ac:dyDescent="0.3">
      <c r="A751" s="8">
        <f t="shared" si="48"/>
        <v>3303008</v>
      </c>
      <c r="B751" s="8">
        <v>8</v>
      </c>
      <c r="C751" s="8" t="str">
        <f t="shared" si="50"/>
        <v>강박증</v>
      </c>
      <c r="D751" s="8">
        <v>3</v>
      </c>
      <c r="E751" s="8">
        <v>3</v>
      </c>
      <c r="F751" s="8">
        <v>3</v>
      </c>
      <c r="G751" s="8" t="s">
        <v>211</v>
      </c>
      <c r="H751" s="8">
        <f t="shared" si="49"/>
        <v>3303</v>
      </c>
      <c r="I751" s="8">
        <v>7000162</v>
      </c>
      <c r="J751" s="8">
        <v>1800</v>
      </c>
    </row>
    <row r="752" spans="1:10" x14ac:dyDescent="0.3">
      <c r="A752" s="8">
        <f t="shared" si="48"/>
        <v>3303009</v>
      </c>
      <c r="B752" s="8">
        <v>9</v>
      </c>
      <c r="C752" s="8" t="str">
        <f t="shared" si="50"/>
        <v>무자비</v>
      </c>
      <c r="D752" s="8">
        <v>3</v>
      </c>
      <c r="E752" s="8">
        <v>3</v>
      </c>
      <c r="F752" s="8">
        <v>3</v>
      </c>
      <c r="G752" s="8" t="s">
        <v>212</v>
      </c>
      <c r="H752" s="8">
        <f t="shared" si="49"/>
        <v>3303</v>
      </c>
      <c r="I752" s="8">
        <v>7000136</v>
      </c>
      <c r="J752" s="8">
        <v>500</v>
      </c>
    </row>
    <row r="753" spans="1:10" x14ac:dyDescent="0.3">
      <c r="A753" s="8">
        <f t="shared" si="48"/>
        <v>3303010</v>
      </c>
      <c r="B753" s="8">
        <v>10</v>
      </c>
      <c r="C753" s="8" t="str">
        <f t="shared" si="50"/>
        <v>기교꾼</v>
      </c>
      <c r="D753" s="8">
        <v>3</v>
      </c>
      <c r="E753" s="8">
        <v>3</v>
      </c>
      <c r="F753" s="8">
        <v>3</v>
      </c>
      <c r="G753" s="8" t="s">
        <v>213</v>
      </c>
      <c r="H753" s="8">
        <f t="shared" si="49"/>
        <v>3303</v>
      </c>
      <c r="I753" s="8">
        <v>7000107</v>
      </c>
      <c r="J753" s="8">
        <v>100</v>
      </c>
    </row>
    <row r="754" spans="1:10" x14ac:dyDescent="0.3">
      <c r="A754" s="8">
        <f t="shared" si="48"/>
        <v>3304001</v>
      </c>
      <c r="B754" s="8">
        <v>1</v>
      </c>
      <c r="C754" s="8" t="str">
        <f>C744</f>
        <v>자기 합리화</v>
      </c>
      <c r="D754" s="8">
        <v>3</v>
      </c>
      <c r="E754" s="8">
        <v>3</v>
      </c>
      <c r="F754" s="8">
        <v>4</v>
      </c>
      <c r="G754" s="8" t="s">
        <v>208</v>
      </c>
      <c r="H754" s="8">
        <f t="shared" si="49"/>
        <v>3304</v>
      </c>
      <c r="I754" s="8">
        <v>7000105</v>
      </c>
      <c r="J754" s="8">
        <v>14000</v>
      </c>
    </row>
    <row r="755" spans="1:10" x14ac:dyDescent="0.3">
      <c r="A755" s="8">
        <f t="shared" si="48"/>
        <v>3304002</v>
      </c>
      <c r="B755" s="8">
        <v>2</v>
      </c>
      <c r="C755" s="8" t="str">
        <f t="shared" si="50"/>
        <v>표독</v>
      </c>
      <c r="D755" s="8">
        <v>3</v>
      </c>
      <c r="E755" s="8">
        <v>3</v>
      </c>
      <c r="F755" s="8">
        <v>4</v>
      </c>
      <c r="G755" s="8" t="s">
        <v>208</v>
      </c>
      <c r="H755" s="8">
        <f t="shared" si="49"/>
        <v>3304</v>
      </c>
      <c r="I755" s="8">
        <v>7000144</v>
      </c>
      <c r="J755" s="8">
        <v>14000</v>
      </c>
    </row>
    <row r="756" spans="1:10" x14ac:dyDescent="0.3">
      <c r="A756" s="8">
        <f t="shared" si="48"/>
        <v>3304003</v>
      </c>
      <c r="B756" s="8">
        <v>3</v>
      </c>
      <c r="C756" s="8" t="str">
        <f t="shared" si="50"/>
        <v>독설가</v>
      </c>
      <c r="D756" s="8">
        <v>3</v>
      </c>
      <c r="E756" s="8">
        <v>3</v>
      </c>
      <c r="F756" s="8">
        <v>4</v>
      </c>
      <c r="G756" s="8" t="s">
        <v>208</v>
      </c>
      <c r="H756" s="8">
        <f t="shared" si="49"/>
        <v>3304</v>
      </c>
      <c r="I756" s="8">
        <v>7000148</v>
      </c>
      <c r="J756" s="8">
        <v>14000</v>
      </c>
    </row>
    <row r="757" spans="1:10" x14ac:dyDescent="0.3">
      <c r="A757" s="8">
        <f t="shared" si="48"/>
        <v>3304004</v>
      </c>
      <c r="B757" s="8">
        <v>4</v>
      </c>
      <c r="C757" s="8" t="str">
        <f t="shared" si="50"/>
        <v>폭력성</v>
      </c>
      <c r="D757" s="8">
        <v>3</v>
      </c>
      <c r="E757" s="8">
        <v>3</v>
      </c>
      <c r="F757" s="8">
        <v>4</v>
      </c>
      <c r="G757" s="8" t="s">
        <v>209</v>
      </c>
      <c r="H757" s="8">
        <f t="shared" si="49"/>
        <v>3304</v>
      </c>
      <c r="I757" s="8">
        <v>7000149</v>
      </c>
      <c r="J757" s="8">
        <v>13500</v>
      </c>
    </row>
    <row r="758" spans="1:10" x14ac:dyDescent="0.3">
      <c r="A758" s="8">
        <f t="shared" si="48"/>
        <v>3304005</v>
      </c>
      <c r="B758" s="8">
        <v>5</v>
      </c>
      <c r="C758" s="8" t="str">
        <f t="shared" si="50"/>
        <v>가학성애</v>
      </c>
      <c r="D758" s="8">
        <v>3</v>
      </c>
      <c r="E758" s="8">
        <v>3</v>
      </c>
      <c r="F758" s="8">
        <v>4</v>
      </c>
      <c r="G758" s="8" t="s">
        <v>209</v>
      </c>
      <c r="H758" s="8">
        <f t="shared" si="49"/>
        <v>3304</v>
      </c>
      <c r="I758" s="8">
        <v>7000165</v>
      </c>
      <c r="J758" s="8">
        <v>13500</v>
      </c>
    </row>
    <row r="759" spans="1:10" x14ac:dyDescent="0.3">
      <c r="A759" s="8">
        <f t="shared" si="48"/>
        <v>3304006</v>
      </c>
      <c r="B759" s="8">
        <v>6</v>
      </c>
      <c r="C759" s="8" t="str">
        <f t="shared" si="50"/>
        <v>위기감지</v>
      </c>
      <c r="D759" s="8">
        <v>3</v>
      </c>
      <c r="E759" s="8">
        <v>3</v>
      </c>
      <c r="F759" s="8">
        <v>4</v>
      </c>
      <c r="G759" s="8" t="s">
        <v>210</v>
      </c>
      <c r="H759" s="8">
        <f t="shared" si="49"/>
        <v>3304</v>
      </c>
      <c r="I759" s="8">
        <v>7000141</v>
      </c>
      <c r="J759" s="8">
        <v>8500</v>
      </c>
    </row>
    <row r="760" spans="1:10" x14ac:dyDescent="0.3">
      <c r="A760" s="8">
        <f t="shared" si="48"/>
        <v>3304007</v>
      </c>
      <c r="B760" s="8">
        <v>7</v>
      </c>
      <c r="C760" s="8" t="str">
        <f t="shared" si="50"/>
        <v>후발주자</v>
      </c>
      <c r="D760" s="8">
        <v>3</v>
      </c>
      <c r="E760" s="8">
        <v>3</v>
      </c>
      <c r="F760" s="8">
        <v>4</v>
      </c>
      <c r="G760" s="8" t="s">
        <v>210</v>
      </c>
      <c r="H760" s="8">
        <f t="shared" si="49"/>
        <v>3304</v>
      </c>
      <c r="I760" s="8">
        <v>7000151</v>
      </c>
      <c r="J760" s="8">
        <v>8500</v>
      </c>
    </row>
    <row r="761" spans="1:10" x14ac:dyDescent="0.3">
      <c r="A761" s="8">
        <f t="shared" si="48"/>
        <v>3304008</v>
      </c>
      <c r="B761" s="8">
        <v>8</v>
      </c>
      <c r="C761" s="8" t="str">
        <f t="shared" si="50"/>
        <v>강박증</v>
      </c>
      <c r="D761" s="8">
        <v>3</v>
      </c>
      <c r="E761" s="8">
        <v>3</v>
      </c>
      <c r="F761" s="8">
        <v>4</v>
      </c>
      <c r="G761" s="8" t="s">
        <v>211</v>
      </c>
      <c r="H761" s="8">
        <f t="shared" si="49"/>
        <v>3304</v>
      </c>
      <c r="I761" s="8">
        <v>7000162</v>
      </c>
      <c r="J761" s="8">
        <v>1700</v>
      </c>
    </row>
    <row r="762" spans="1:10" x14ac:dyDescent="0.3">
      <c r="A762" s="8">
        <f t="shared" si="48"/>
        <v>3304009</v>
      </c>
      <c r="B762" s="8">
        <v>9</v>
      </c>
      <c r="C762" s="8" t="str">
        <f t="shared" si="50"/>
        <v>무자비</v>
      </c>
      <c r="D762" s="8">
        <v>3</v>
      </c>
      <c r="E762" s="8">
        <v>3</v>
      </c>
      <c r="F762" s="8">
        <v>4</v>
      </c>
      <c r="G762" s="8" t="s">
        <v>212</v>
      </c>
      <c r="H762" s="8">
        <f t="shared" si="49"/>
        <v>3304</v>
      </c>
      <c r="I762" s="8">
        <v>7000136</v>
      </c>
      <c r="J762" s="8">
        <v>500</v>
      </c>
    </row>
    <row r="763" spans="1:10" x14ac:dyDescent="0.3">
      <c r="A763" s="8">
        <f t="shared" si="48"/>
        <v>3304010</v>
      </c>
      <c r="B763" s="8">
        <v>10</v>
      </c>
      <c r="C763" s="8" t="str">
        <f t="shared" si="50"/>
        <v>기교꾼</v>
      </c>
      <c r="D763" s="8">
        <v>3</v>
      </c>
      <c r="E763" s="8">
        <v>3</v>
      </c>
      <c r="F763" s="8">
        <v>4</v>
      </c>
      <c r="G763" s="8" t="s">
        <v>213</v>
      </c>
      <c r="H763" s="8">
        <f t="shared" si="49"/>
        <v>3304</v>
      </c>
      <c r="I763" s="8">
        <v>7000107</v>
      </c>
      <c r="J763" s="8">
        <v>100</v>
      </c>
    </row>
    <row r="764" spans="1:10" x14ac:dyDescent="0.3">
      <c r="A764" s="8">
        <f t="shared" si="48"/>
        <v>3305001</v>
      </c>
      <c r="B764" s="8">
        <v>1</v>
      </c>
      <c r="C764" s="8" t="str">
        <f>C754</f>
        <v>자기 합리화</v>
      </c>
      <c r="D764" s="8">
        <v>3</v>
      </c>
      <c r="E764" s="8">
        <v>3</v>
      </c>
      <c r="F764" s="8">
        <v>5</v>
      </c>
      <c r="G764" s="8" t="s">
        <v>208</v>
      </c>
      <c r="H764" s="8">
        <f t="shared" si="49"/>
        <v>3305</v>
      </c>
      <c r="I764" s="8">
        <v>7000105</v>
      </c>
      <c r="J764" s="8">
        <v>12000</v>
      </c>
    </row>
    <row r="765" spans="1:10" x14ac:dyDescent="0.3">
      <c r="A765" s="8">
        <f t="shared" si="48"/>
        <v>3305002</v>
      </c>
      <c r="B765" s="8">
        <v>2</v>
      </c>
      <c r="C765" s="8" t="str">
        <f t="shared" si="50"/>
        <v>표독</v>
      </c>
      <c r="D765" s="8">
        <v>3</v>
      </c>
      <c r="E765" s="8">
        <v>3</v>
      </c>
      <c r="F765" s="8">
        <v>5</v>
      </c>
      <c r="G765" s="8" t="s">
        <v>208</v>
      </c>
      <c r="H765" s="8">
        <f t="shared" si="49"/>
        <v>3305</v>
      </c>
      <c r="I765" s="8">
        <v>7000144</v>
      </c>
      <c r="J765" s="8">
        <v>12000</v>
      </c>
    </row>
    <row r="766" spans="1:10" x14ac:dyDescent="0.3">
      <c r="A766" s="8">
        <f t="shared" si="48"/>
        <v>3305003</v>
      </c>
      <c r="B766" s="8">
        <v>3</v>
      </c>
      <c r="C766" s="8" t="str">
        <f t="shared" si="50"/>
        <v>독설가</v>
      </c>
      <c r="D766" s="8">
        <v>3</v>
      </c>
      <c r="E766" s="8">
        <v>3</v>
      </c>
      <c r="F766" s="8">
        <v>5</v>
      </c>
      <c r="G766" s="8" t="s">
        <v>208</v>
      </c>
      <c r="H766" s="8">
        <f t="shared" si="49"/>
        <v>3305</v>
      </c>
      <c r="I766" s="8">
        <v>7000148</v>
      </c>
      <c r="J766" s="8">
        <v>12000</v>
      </c>
    </row>
    <row r="767" spans="1:10" x14ac:dyDescent="0.3">
      <c r="A767" s="8">
        <f t="shared" si="48"/>
        <v>3305004</v>
      </c>
      <c r="B767" s="8">
        <v>4</v>
      </c>
      <c r="C767" s="8" t="str">
        <f t="shared" si="50"/>
        <v>폭력성</v>
      </c>
      <c r="D767" s="8">
        <v>3</v>
      </c>
      <c r="E767" s="8">
        <v>3</v>
      </c>
      <c r="F767" s="8">
        <v>5</v>
      </c>
      <c r="G767" s="8" t="s">
        <v>209</v>
      </c>
      <c r="H767" s="8">
        <f t="shared" si="49"/>
        <v>3305</v>
      </c>
      <c r="I767" s="8">
        <v>7000149</v>
      </c>
      <c r="J767" s="8">
        <v>13000</v>
      </c>
    </row>
    <row r="768" spans="1:10" x14ac:dyDescent="0.3">
      <c r="A768" s="8">
        <f t="shared" si="48"/>
        <v>3305005</v>
      </c>
      <c r="B768" s="8">
        <v>5</v>
      </c>
      <c r="C768" s="8" t="str">
        <f t="shared" si="50"/>
        <v>가학성애</v>
      </c>
      <c r="D768" s="8">
        <v>3</v>
      </c>
      <c r="E768" s="8">
        <v>3</v>
      </c>
      <c r="F768" s="8">
        <v>5</v>
      </c>
      <c r="G768" s="8" t="s">
        <v>209</v>
      </c>
      <c r="H768" s="8">
        <f t="shared" si="49"/>
        <v>3305</v>
      </c>
      <c r="I768" s="8">
        <v>7000165</v>
      </c>
      <c r="J768" s="8">
        <v>13000</v>
      </c>
    </row>
    <row r="769" spans="1:10" x14ac:dyDescent="0.3">
      <c r="A769" s="8">
        <f t="shared" si="48"/>
        <v>3305006</v>
      </c>
      <c r="B769" s="8">
        <v>6</v>
      </c>
      <c r="C769" s="8" t="str">
        <f t="shared" si="50"/>
        <v>위기감지</v>
      </c>
      <c r="D769" s="8">
        <v>3</v>
      </c>
      <c r="E769" s="8">
        <v>3</v>
      </c>
      <c r="F769" s="8">
        <v>5</v>
      </c>
      <c r="G769" s="8" t="s">
        <v>210</v>
      </c>
      <c r="H769" s="8">
        <f t="shared" si="49"/>
        <v>3305</v>
      </c>
      <c r="I769" s="8">
        <v>7000141</v>
      </c>
      <c r="J769" s="8">
        <v>8000</v>
      </c>
    </row>
    <row r="770" spans="1:10" x14ac:dyDescent="0.3">
      <c r="A770" s="8">
        <f t="shared" si="48"/>
        <v>3305007</v>
      </c>
      <c r="B770" s="8">
        <v>7</v>
      </c>
      <c r="C770" s="8" t="str">
        <f t="shared" si="50"/>
        <v>후발주자</v>
      </c>
      <c r="D770" s="8">
        <v>3</v>
      </c>
      <c r="E770" s="8">
        <v>3</v>
      </c>
      <c r="F770" s="8">
        <v>5</v>
      </c>
      <c r="G770" s="8" t="s">
        <v>210</v>
      </c>
      <c r="H770" s="8">
        <f t="shared" si="49"/>
        <v>3305</v>
      </c>
      <c r="I770" s="8">
        <v>7000151</v>
      </c>
      <c r="J770" s="8">
        <v>8000</v>
      </c>
    </row>
    <row r="771" spans="1:10" x14ac:dyDescent="0.3">
      <c r="A771" s="8">
        <f t="shared" si="48"/>
        <v>3305008</v>
      </c>
      <c r="B771" s="8">
        <v>8</v>
      </c>
      <c r="C771" s="8" t="str">
        <f t="shared" si="50"/>
        <v>강박증</v>
      </c>
      <c r="D771" s="8">
        <v>3</v>
      </c>
      <c r="E771" s="8">
        <v>3</v>
      </c>
      <c r="F771" s="8">
        <v>5</v>
      </c>
      <c r="G771" s="8" t="s">
        <v>211</v>
      </c>
      <c r="H771" s="8">
        <f t="shared" si="49"/>
        <v>3305</v>
      </c>
      <c r="I771" s="8">
        <v>7000162</v>
      </c>
      <c r="J771" s="8">
        <v>1600</v>
      </c>
    </row>
    <row r="772" spans="1:10" x14ac:dyDescent="0.3">
      <c r="A772" s="8">
        <f t="shared" si="48"/>
        <v>3305009</v>
      </c>
      <c r="B772" s="8">
        <v>9</v>
      </c>
      <c r="C772" s="8" t="str">
        <f t="shared" si="50"/>
        <v>무자비</v>
      </c>
      <c r="D772" s="8">
        <v>3</v>
      </c>
      <c r="E772" s="8">
        <v>3</v>
      </c>
      <c r="F772" s="8">
        <v>5</v>
      </c>
      <c r="G772" s="8" t="s">
        <v>212</v>
      </c>
      <c r="H772" s="8">
        <f t="shared" si="49"/>
        <v>3305</v>
      </c>
      <c r="I772" s="8">
        <v>7000136</v>
      </c>
      <c r="J772" s="8">
        <v>500</v>
      </c>
    </row>
    <row r="773" spans="1:10" x14ac:dyDescent="0.3">
      <c r="A773" s="8">
        <f t="shared" si="48"/>
        <v>3305010</v>
      </c>
      <c r="B773" s="8">
        <v>10</v>
      </c>
      <c r="C773" s="8" t="str">
        <f t="shared" si="50"/>
        <v>기교꾼</v>
      </c>
      <c r="D773" s="8">
        <v>3</v>
      </c>
      <c r="E773" s="8">
        <v>3</v>
      </c>
      <c r="F773" s="8">
        <v>5</v>
      </c>
      <c r="G773" s="8" t="s">
        <v>213</v>
      </c>
      <c r="H773" s="8">
        <f t="shared" si="49"/>
        <v>3305</v>
      </c>
      <c r="I773" s="8">
        <v>7000107</v>
      </c>
      <c r="J773" s="8">
        <v>100</v>
      </c>
    </row>
    <row r="774" spans="1:10" x14ac:dyDescent="0.3">
      <c r="A774" s="8">
        <f t="shared" si="48"/>
        <v>3306001</v>
      </c>
      <c r="B774" s="8">
        <v>1</v>
      </c>
      <c r="C774" s="8" t="str">
        <f>C764</f>
        <v>자기 합리화</v>
      </c>
      <c r="D774" s="8">
        <v>3</v>
      </c>
      <c r="E774" s="8">
        <v>3</v>
      </c>
      <c r="F774" s="8">
        <v>6</v>
      </c>
      <c r="G774" s="8" t="s">
        <v>208</v>
      </c>
      <c r="H774" s="8">
        <f t="shared" si="49"/>
        <v>3306</v>
      </c>
      <c r="I774" s="8">
        <v>7000105</v>
      </c>
      <c r="J774" s="8">
        <v>10000</v>
      </c>
    </row>
    <row r="775" spans="1:10" x14ac:dyDescent="0.3">
      <c r="A775" s="8">
        <f t="shared" si="48"/>
        <v>3306002</v>
      </c>
      <c r="B775" s="8">
        <v>2</v>
      </c>
      <c r="C775" s="8" t="str">
        <f t="shared" si="50"/>
        <v>표독</v>
      </c>
      <c r="D775" s="8">
        <v>3</v>
      </c>
      <c r="E775" s="8">
        <v>3</v>
      </c>
      <c r="F775" s="8">
        <v>6</v>
      </c>
      <c r="G775" s="8" t="s">
        <v>208</v>
      </c>
      <c r="H775" s="8">
        <f t="shared" si="49"/>
        <v>3306</v>
      </c>
      <c r="I775" s="8">
        <v>7000144</v>
      </c>
      <c r="J775" s="8">
        <v>10000</v>
      </c>
    </row>
    <row r="776" spans="1:10" x14ac:dyDescent="0.3">
      <c r="A776" s="8">
        <f t="shared" si="48"/>
        <v>3306003</v>
      </c>
      <c r="B776" s="8">
        <v>3</v>
      </c>
      <c r="C776" s="8" t="str">
        <f t="shared" si="50"/>
        <v>독설가</v>
      </c>
      <c r="D776" s="8">
        <v>3</v>
      </c>
      <c r="E776" s="8">
        <v>3</v>
      </c>
      <c r="F776" s="8">
        <v>6</v>
      </c>
      <c r="G776" s="8" t="s">
        <v>208</v>
      </c>
      <c r="H776" s="8">
        <f t="shared" si="49"/>
        <v>3306</v>
      </c>
      <c r="I776" s="8">
        <v>7000148</v>
      </c>
      <c r="J776" s="8">
        <v>10000</v>
      </c>
    </row>
    <row r="777" spans="1:10" x14ac:dyDescent="0.3">
      <c r="A777" s="8">
        <f t="shared" si="48"/>
        <v>3306004</v>
      </c>
      <c r="B777" s="8">
        <v>4</v>
      </c>
      <c r="C777" s="8" t="str">
        <f t="shared" si="50"/>
        <v>폭력성</v>
      </c>
      <c r="D777" s="8">
        <v>3</v>
      </c>
      <c r="E777" s="8">
        <v>3</v>
      </c>
      <c r="F777" s="8">
        <v>6</v>
      </c>
      <c r="G777" s="8" t="s">
        <v>209</v>
      </c>
      <c r="H777" s="8">
        <f t="shared" si="49"/>
        <v>3306</v>
      </c>
      <c r="I777" s="8">
        <v>7000149</v>
      </c>
      <c r="J777" s="8">
        <v>12500</v>
      </c>
    </row>
    <row r="778" spans="1:10" x14ac:dyDescent="0.3">
      <c r="A778" s="8">
        <f t="shared" si="48"/>
        <v>3306005</v>
      </c>
      <c r="B778" s="8">
        <v>5</v>
      </c>
      <c r="C778" s="8" t="str">
        <f t="shared" si="50"/>
        <v>가학성애</v>
      </c>
      <c r="D778" s="8">
        <v>3</v>
      </c>
      <c r="E778" s="8">
        <v>3</v>
      </c>
      <c r="F778" s="8">
        <v>6</v>
      </c>
      <c r="G778" s="8" t="s">
        <v>209</v>
      </c>
      <c r="H778" s="8">
        <f t="shared" si="49"/>
        <v>3306</v>
      </c>
      <c r="I778" s="8">
        <v>7000165</v>
      </c>
      <c r="J778" s="8">
        <v>12500</v>
      </c>
    </row>
    <row r="779" spans="1:10" x14ac:dyDescent="0.3">
      <c r="A779" s="8">
        <f t="shared" si="48"/>
        <v>3306006</v>
      </c>
      <c r="B779" s="8">
        <v>6</v>
      </c>
      <c r="C779" s="8" t="str">
        <f t="shared" si="50"/>
        <v>위기감지</v>
      </c>
      <c r="D779" s="8">
        <v>3</v>
      </c>
      <c r="E779" s="8">
        <v>3</v>
      </c>
      <c r="F779" s="8">
        <v>6</v>
      </c>
      <c r="G779" s="8" t="s">
        <v>210</v>
      </c>
      <c r="H779" s="8">
        <f t="shared" si="49"/>
        <v>3306</v>
      </c>
      <c r="I779" s="8">
        <v>7000141</v>
      </c>
      <c r="J779" s="8">
        <v>7500</v>
      </c>
    </row>
    <row r="780" spans="1:10" x14ac:dyDescent="0.3">
      <c r="A780" s="8">
        <f t="shared" si="48"/>
        <v>3306007</v>
      </c>
      <c r="B780" s="8">
        <v>7</v>
      </c>
      <c r="C780" s="8" t="str">
        <f t="shared" si="50"/>
        <v>후발주자</v>
      </c>
      <c r="D780" s="8">
        <v>3</v>
      </c>
      <c r="E780" s="8">
        <v>3</v>
      </c>
      <c r="F780" s="8">
        <v>6</v>
      </c>
      <c r="G780" s="8" t="s">
        <v>210</v>
      </c>
      <c r="H780" s="8">
        <f t="shared" si="49"/>
        <v>3306</v>
      </c>
      <c r="I780" s="8">
        <v>7000151</v>
      </c>
      <c r="J780" s="8">
        <v>7500</v>
      </c>
    </row>
    <row r="781" spans="1:10" x14ac:dyDescent="0.3">
      <c r="A781" s="8">
        <f t="shared" si="48"/>
        <v>3306008</v>
      </c>
      <c r="B781" s="8">
        <v>8</v>
      </c>
      <c r="C781" s="8" t="str">
        <f t="shared" si="50"/>
        <v>강박증</v>
      </c>
      <c r="D781" s="8">
        <v>3</v>
      </c>
      <c r="E781" s="8">
        <v>3</v>
      </c>
      <c r="F781" s="8">
        <v>6</v>
      </c>
      <c r="G781" s="8" t="s">
        <v>211</v>
      </c>
      <c r="H781" s="8">
        <f t="shared" si="49"/>
        <v>3306</v>
      </c>
      <c r="I781" s="8">
        <v>7000162</v>
      </c>
      <c r="J781" s="8">
        <v>1500</v>
      </c>
    </row>
    <row r="782" spans="1:10" x14ac:dyDescent="0.3">
      <c r="A782" s="8">
        <f t="shared" si="48"/>
        <v>3306009</v>
      </c>
      <c r="B782" s="8">
        <v>9</v>
      </c>
      <c r="C782" s="8" t="str">
        <f t="shared" si="50"/>
        <v>무자비</v>
      </c>
      <c r="D782" s="8">
        <v>3</v>
      </c>
      <c r="E782" s="8">
        <v>3</v>
      </c>
      <c r="F782" s="8">
        <v>6</v>
      </c>
      <c r="G782" s="8" t="s">
        <v>212</v>
      </c>
      <c r="H782" s="8">
        <f t="shared" si="49"/>
        <v>3306</v>
      </c>
      <c r="I782" s="8">
        <v>7000136</v>
      </c>
      <c r="J782" s="8">
        <v>500</v>
      </c>
    </row>
    <row r="783" spans="1:10" x14ac:dyDescent="0.3">
      <c r="A783" s="8">
        <f t="shared" si="48"/>
        <v>3306010</v>
      </c>
      <c r="B783" s="8">
        <v>10</v>
      </c>
      <c r="C783" s="8" t="str">
        <f t="shared" si="50"/>
        <v>기교꾼</v>
      </c>
      <c r="D783" s="8">
        <v>3</v>
      </c>
      <c r="E783" s="8">
        <v>3</v>
      </c>
      <c r="F783" s="8">
        <v>6</v>
      </c>
      <c r="G783" s="8" t="s">
        <v>213</v>
      </c>
      <c r="H783" s="8">
        <f t="shared" si="49"/>
        <v>3306</v>
      </c>
      <c r="I783" s="8">
        <v>7000107</v>
      </c>
      <c r="J783" s="8">
        <v>100</v>
      </c>
    </row>
    <row r="784" spans="1:10" x14ac:dyDescent="0.3">
      <c r="A784" s="9">
        <f>INT(H784&amp;TEXT(B784,"000"))</f>
        <v>3401001</v>
      </c>
      <c r="B784" s="9">
        <v>1</v>
      </c>
      <c r="C784" s="9" t="s">
        <v>373</v>
      </c>
      <c r="D784" s="9">
        <v>3</v>
      </c>
      <c r="E784" s="9">
        <v>4</v>
      </c>
      <c r="F784" s="9">
        <v>1</v>
      </c>
      <c r="G784" s="9" t="s">
        <v>208</v>
      </c>
      <c r="H784" s="9">
        <f>INT(D784&amp;E784&amp;TEXT(F784,"00"))</f>
        <v>3401</v>
      </c>
      <c r="I784" s="9">
        <v>7000118</v>
      </c>
      <c r="J784" s="9">
        <v>20000</v>
      </c>
    </row>
    <row r="785" spans="1:10" x14ac:dyDescent="0.3">
      <c r="A785" s="8">
        <f t="shared" ref="A785:A843" si="51">INT(H785&amp;TEXT(B785,"000"))</f>
        <v>3401002</v>
      </c>
      <c r="B785" s="8">
        <v>2</v>
      </c>
      <c r="C785" s="8" t="s">
        <v>390</v>
      </c>
      <c r="D785" s="8">
        <v>3</v>
      </c>
      <c r="E785" s="8">
        <v>4</v>
      </c>
      <c r="F785" s="8">
        <v>1</v>
      </c>
      <c r="G785" s="8" t="s">
        <v>208</v>
      </c>
      <c r="H785" s="8">
        <f t="shared" ref="H785:H843" si="52">INT(D785&amp;E785&amp;TEXT(F785,"00"))</f>
        <v>3401</v>
      </c>
      <c r="I785" s="8">
        <v>7000152</v>
      </c>
      <c r="J785" s="8">
        <v>20000</v>
      </c>
    </row>
    <row r="786" spans="1:10" x14ac:dyDescent="0.3">
      <c r="A786" s="8">
        <f t="shared" si="51"/>
        <v>3401003</v>
      </c>
      <c r="B786" s="8">
        <v>3</v>
      </c>
      <c r="C786" s="8" t="s">
        <v>388</v>
      </c>
      <c r="D786" s="8">
        <v>3</v>
      </c>
      <c r="E786" s="8">
        <v>4</v>
      </c>
      <c r="F786" s="8">
        <v>1</v>
      </c>
      <c r="G786" s="8" t="s">
        <v>208</v>
      </c>
      <c r="H786" s="8">
        <f t="shared" si="52"/>
        <v>3401</v>
      </c>
      <c r="I786" s="8">
        <v>7000158</v>
      </c>
      <c r="J786" s="8">
        <v>20000</v>
      </c>
    </row>
    <row r="787" spans="1:10" x14ac:dyDescent="0.3">
      <c r="A787" s="8">
        <f t="shared" si="51"/>
        <v>3401004</v>
      </c>
      <c r="B787" s="8">
        <v>4</v>
      </c>
      <c r="C787" s="8" t="s">
        <v>391</v>
      </c>
      <c r="D787" s="8">
        <v>3</v>
      </c>
      <c r="E787" s="8">
        <v>4</v>
      </c>
      <c r="F787" s="8">
        <v>1</v>
      </c>
      <c r="G787" s="8" t="s">
        <v>223</v>
      </c>
      <c r="H787" s="8">
        <f t="shared" si="52"/>
        <v>3401</v>
      </c>
      <c r="I787" s="8">
        <v>7000164</v>
      </c>
      <c r="J787" s="8">
        <v>15000</v>
      </c>
    </row>
    <row r="788" spans="1:10" x14ac:dyDescent="0.3">
      <c r="A788" s="8">
        <f t="shared" si="51"/>
        <v>3401005</v>
      </c>
      <c r="B788" s="8">
        <v>5</v>
      </c>
      <c r="C788" s="8" t="s">
        <v>387</v>
      </c>
      <c r="D788" s="8">
        <v>3</v>
      </c>
      <c r="E788" s="8">
        <v>4</v>
      </c>
      <c r="F788" s="8">
        <v>1</v>
      </c>
      <c r="G788" s="8" t="s">
        <v>223</v>
      </c>
      <c r="H788" s="8">
        <f t="shared" si="52"/>
        <v>3401</v>
      </c>
      <c r="I788" s="8">
        <v>7000171</v>
      </c>
      <c r="J788" s="8">
        <v>15000</v>
      </c>
    </row>
    <row r="789" spans="1:10" x14ac:dyDescent="0.3">
      <c r="A789" s="8">
        <f t="shared" si="51"/>
        <v>3401006</v>
      </c>
      <c r="B789" s="8">
        <v>6</v>
      </c>
      <c r="C789" s="8" t="s">
        <v>349</v>
      </c>
      <c r="D789" s="8">
        <v>3</v>
      </c>
      <c r="E789" s="8">
        <v>4</v>
      </c>
      <c r="F789" s="8">
        <v>1</v>
      </c>
      <c r="G789" s="8" t="s">
        <v>222</v>
      </c>
      <c r="H789" s="8">
        <f t="shared" si="52"/>
        <v>3401</v>
      </c>
      <c r="I789" s="8">
        <v>7000137</v>
      </c>
      <c r="J789" s="8">
        <v>10000</v>
      </c>
    </row>
    <row r="790" spans="1:10" x14ac:dyDescent="0.3">
      <c r="A790" s="8">
        <f t="shared" si="51"/>
        <v>3401007</v>
      </c>
      <c r="B790" s="8">
        <v>7</v>
      </c>
      <c r="C790" s="8" t="s">
        <v>394</v>
      </c>
      <c r="D790" s="8">
        <v>3</v>
      </c>
      <c r="E790" s="8">
        <v>4</v>
      </c>
      <c r="F790" s="8">
        <v>1</v>
      </c>
      <c r="G790" s="8" t="s">
        <v>222</v>
      </c>
      <c r="H790" s="8">
        <f t="shared" si="52"/>
        <v>3401</v>
      </c>
      <c r="I790" s="8">
        <v>7000169</v>
      </c>
      <c r="J790" s="8">
        <v>10000</v>
      </c>
    </row>
    <row r="791" spans="1:10" x14ac:dyDescent="0.3">
      <c r="A791" s="8">
        <f t="shared" si="51"/>
        <v>3401008</v>
      </c>
      <c r="B791" s="8">
        <v>8</v>
      </c>
      <c r="C791" s="8" t="s">
        <v>368</v>
      </c>
      <c r="D791" s="8">
        <v>3</v>
      </c>
      <c r="E791" s="8">
        <v>4</v>
      </c>
      <c r="F791" s="8">
        <v>1</v>
      </c>
      <c r="G791" s="8" t="s">
        <v>211</v>
      </c>
      <c r="H791" s="8">
        <f t="shared" si="52"/>
        <v>3401</v>
      </c>
      <c r="I791" s="8">
        <v>7000122</v>
      </c>
      <c r="J791" s="8">
        <v>2000</v>
      </c>
    </row>
    <row r="792" spans="1:10" x14ac:dyDescent="0.3">
      <c r="A792" s="8">
        <f t="shared" si="51"/>
        <v>3401009</v>
      </c>
      <c r="B792" s="8">
        <v>9</v>
      </c>
      <c r="C792" s="8" t="s">
        <v>361</v>
      </c>
      <c r="D792" s="8">
        <v>3</v>
      </c>
      <c r="E792" s="8">
        <v>4</v>
      </c>
      <c r="F792" s="8">
        <v>1</v>
      </c>
      <c r="G792" s="8" t="s">
        <v>212</v>
      </c>
      <c r="H792" s="8">
        <f t="shared" si="52"/>
        <v>3401</v>
      </c>
      <c r="I792" s="8">
        <v>7000123</v>
      </c>
      <c r="J792" s="8">
        <v>500</v>
      </c>
    </row>
    <row r="793" spans="1:10" x14ac:dyDescent="0.3">
      <c r="A793" s="8">
        <f t="shared" si="51"/>
        <v>3401010</v>
      </c>
      <c r="B793" s="8">
        <v>10</v>
      </c>
      <c r="C793" s="8" t="s">
        <v>367</v>
      </c>
      <c r="D793" s="8">
        <v>3</v>
      </c>
      <c r="E793" s="8">
        <v>4</v>
      </c>
      <c r="F793" s="8">
        <v>1</v>
      </c>
      <c r="G793" s="8" t="s">
        <v>213</v>
      </c>
      <c r="H793" s="8">
        <f t="shared" si="52"/>
        <v>3401</v>
      </c>
      <c r="I793" s="8">
        <v>7000119</v>
      </c>
      <c r="J793" s="8">
        <v>100</v>
      </c>
    </row>
    <row r="794" spans="1:10" x14ac:dyDescent="0.3">
      <c r="A794" s="8">
        <f t="shared" si="51"/>
        <v>3402001</v>
      </c>
      <c r="B794" s="8">
        <v>1</v>
      </c>
      <c r="C794" s="8" t="str">
        <f>C784</f>
        <v>경계심</v>
      </c>
      <c r="D794" s="8">
        <v>3</v>
      </c>
      <c r="E794" s="8">
        <v>4</v>
      </c>
      <c r="F794" s="8">
        <v>2</v>
      </c>
      <c r="G794" s="8" t="s">
        <v>208</v>
      </c>
      <c r="H794" s="8">
        <f t="shared" si="52"/>
        <v>3402</v>
      </c>
      <c r="I794" s="8">
        <v>7000118</v>
      </c>
      <c r="J794" s="8">
        <v>18000</v>
      </c>
    </row>
    <row r="795" spans="1:10" x14ac:dyDescent="0.3">
      <c r="A795" s="8">
        <f t="shared" si="51"/>
        <v>3402002</v>
      </c>
      <c r="B795" s="8">
        <v>2</v>
      </c>
      <c r="C795" s="8" t="str">
        <f t="shared" ref="C795:C843" si="53">C785</f>
        <v>선발주자</v>
      </c>
      <c r="D795" s="8">
        <v>3</v>
      </c>
      <c r="E795" s="8">
        <v>4</v>
      </c>
      <c r="F795" s="8">
        <v>2</v>
      </c>
      <c r="G795" s="8" t="s">
        <v>208</v>
      </c>
      <c r="H795" s="8">
        <f t="shared" si="52"/>
        <v>3402</v>
      </c>
      <c r="I795" s="8">
        <v>7000152</v>
      </c>
      <c r="J795" s="8">
        <v>18000</v>
      </c>
    </row>
    <row r="796" spans="1:10" x14ac:dyDescent="0.3">
      <c r="A796" s="8">
        <f t="shared" si="51"/>
        <v>3402003</v>
      </c>
      <c r="B796" s="8">
        <v>3</v>
      </c>
      <c r="C796" s="8" t="str">
        <f t="shared" si="53"/>
        <v>헌신</v>
      </c>
      <c r="D796" s="8">
        <v>3</v>
      </c>
      <c r="E796" s="8">
        <v>4</v>
      </c>
      <c r="F796" s="8">
        <v>2</v>
      </c>
      <c r="G796" s="8" t="s">
        <v>208</v>
      </c>
      <c r="H796" s="8">
        <f t="shared" si="52"/>
        <v>3402</v>
      </c>
      <c r="I796" s="8">
        <v>7000158</v>
      </c>
      <c r="J796" s="8">
        <v>18000</v>
      </c>
    </row>
    <row r="797" spans="1:10" x14ac:dyDescent="0.3">
      <c r="A797" s="8">
        <f t="shared" si="51"/>
        <v>3402004</v>
      </c>
      <c r="B797" s="8">
        <v>4</v>
      </c>
      <c r="C797" s="8" t="str">
        <f t="shared" si="53"/>
        <v>자비</v>
      </c>
      <c r="D797" s="8">
        <v>3</v>
      </c>
      <c r="E797" s="8">
        <v>4</v>
      </c>
      <c r="F797" s="8">
        <v>2</v>
      </c>
      <c r="G797" s="8" t="s">
        <v>209</v>
      </c>
      <c r="H797" s="8">
        <f t="shared" si="52"/>
        <v>3402</v>
      </c>
      <c r="I797" s="8">
        <v>7000164</v>
      </c>
      <c r="J797" s="8">
        <v>14500</v>
      </c>
    </row>
    <row r="798" spans="1:10" x14ac:dyDescent="0.3">
      <c r="A798" s="8">
        <f t="shared" si="51"/>
        <v>3402005</v>
      </c>
      <c r="B798" s="8">
        <v>5</v>
      </c>
      <c r="C798" s="8" t="str">
        <f t="shared" si="53"/>
        <v>의기투합</v>
      </c>
      <c r="D798" s="8">
        <v>3</v>
      </c>
      <c r="E798" s="8">
        <v>4</v>
      </c>
      <c r="F798" s="8">
        <v>2</v>
      </c>
      <c r="G798" s="8" t="s">
        <v>209</v>
      </c>
      <c r="H798" s="8">
        <f t="shared" si="52"/>
        <v>3402</v>
      </c>
      <c r="I798" s="8">
        <v>7000171</v>
      </c>
      <c r="J798" s="8">
        <v>14500</v>
      </c>
    </row>
    <row r="799" spans="1:10" x14ac:dyDescent="0.3">
      <c r="A799" s="8">
        <f t="shared" si="51"/>
        <v>3402006</v>
      </c>
      <c r="B799" s="8">
        <v>6</v>
      </c>
      <c r="C799" s="8" t="str">
        <f t="shared" si="53"/>
        <v>정정당당</v>
      </c>
      <c r="D799" s="8">
        <v>3</v>
      </c>
      <c r="E799" s="8">
        <v>4</v>
      </c>
      <c r="F799" s="8">
        <v>2</v>
      </c>
      <c r="G799" s="8" t="s">
        <v>210</v>
      </c>
      <c r="H799" s="8">
        <f t="shared" si="52"/>
        <v>3402</v>
      </c>
      <c r="I799" s="8">
        <v>7000137</v>
      </c>
      <c r="J799" s="8">
        <v>9500</v>
      </c>
    </row>
    <row r="800" spans="1:10" x14ac:dyDescent="0.3">
      <c r="A800" s="8">
        <f t="shared" si="51"/>
        <v>3402007</v>
      </c>
      <c r="B800" s="8">
        <v>7</v>
      </c>
      <c r="C800" s="8" t="str">
        <f t="shared" si="53"/>
        <v>안정</v>
      </c>
      <c r="D800" s="8">
        <v>3</v>
      </c>
      <c r="E800" s="8">
        <v>4</v>
      </c>
      <c r="F800" s="8">
        <v>2</v>
      </c>
      <c r="G800" s="8" t="s">
        <v>210</v>
      </c>
      <c r="H800" s="8">
        <f t="shared" si="52"/>
        <v>3402</v>
      </c>
      <c r="I800" s="8">
        <v>7000169</v>
      </c>
      <c r="J800" s="8">
        <v>9500</v>
      </c>
    </row>
    <row r="801" spans="1:10" x14ac:dyDescent="0.3">
      <c r="A801" s="8">
        <f t="shared" si="51"/>
        <v>3402008</v>
      </c>
      <c r="B801" s="8">
        <v>8</v>
      </c>
      <c r="C801" s="8" t="str">
        <f t="shared" si="53"/>
        <v>기회주의자</v>
      </c>
      <c r="D801" s="8">
        <v>3</v>
      </c>
      <c r="E801" s="8">
        <v>4</v>
      </c>
      <c r="F801" s="8">
        <v>2</v>
      </c>
      <c r="G801" s="8" t="s">
        <v>211</v>
      </c>
      <c r="H801" s="8">
        <f t="shared" si="52"/>
        <v>3402</v>
      </c>
      <c r="I801" s="8">
        <v>7000122</v>
      </c>
      <c r="J801" s="8">
        <v>1900</v>
      </c>
    </row>
    <row r="802" spans="1:10" x14ac:dyDescent="0.3">
      <c r="A802" s="8">
        <f t="shared" si="51"/>
        <v>3402009</v>
      </c>
      <c r="B802" s="8">
        <v>9</v>
      </c>
      <c r="C802" s="8" t="str">
        <f t="shared" si="53"/>
        <v>책략가</v>
      </c>
      <c r="D802" s="8">
        <v>3</v>
      </c>
      <c r="E802" s="8">
        <v>4</v>
      </c>
      <c r="F802" s="8">
        <v>2</v>
      </c>
      <c r="G802" s="8" t="s">
        <v>212</v>
      </c>
      <c r="H802" s="8">
        <f t="shared" si="52"/>
        <v>3402</v>
      </c>
      <c r="I802" s="8">
        <v>7000123</v>
      </c>
      <c r="J802" s="8">
        <v>500</v>
      </c>
    </row>
    <row r="803" spans="1:10" x14ac:dyDescent="0.3">
      <c r="A803" s="8">
        <f t="shared" si="51"/>
        <v>3402010</v>
      </c>
      <c r="B803" s="8">
        <v>10</v>
      </c>
      <c r="C803" s="8" t="str">
        <f t="shared" si="53"/>
        <v>다재다능</v>
      </c>
      <c r="D803" s="8">
        <v>3</v>
      </c>
      <c r="E803" s="8">
        <v>4</v>
      </c>
      <c r="F803" s="8">
        <v>2</v>
      </c>
      <c r="G803" s="8" t="s">
        <v>213</v>
      </c>
      <c r="H803" s="8">
        <f t="shared" si="52"/>
        <v>3402</v>
      </c>
      <c r="I803" s="8">
        <v>7000119</v>
      </c>
      <c r="J803" s="8">
        <v>100</v>
      </c>
    </row>
    <row r="804" spans="1:10" x14ac:dyDescent="0.3">
      <c r="A804" s="8">
        <f t="shared" si="51"/>
        <v>3403001</v>
      </c>
      <c r="B804" s="8">
        <v>1</v>
      </c>
      <c r="C804" s="8" t="str">
        <f>C794</f>
        <v>경계심</v>
      </c>
      <c r="D804" s="8">
        <v>3</v>
      </c>
      <c r="E804" s="8">
        <v>4</v>
      </c>
      <c r="F804" s="8">
        <v>3</v>
      </c>
      <c r="G804" s="8" t="s">
        <v>208</v>
      </c>
      <c r="H804" s="8">
        <f t="shared" si="52"/>
        <v>3403</v>
      </c>
      <c r="I804" s="8">
        <v>7000118</v>
      </c>
      <c r="J804" s="8">
        <v>16000</v>
      </c>
    </row>
    <row r="805" spans="1:10" x14ac:dyDescent="0.3">
      <c r="A805" s="8">
        <f t="shared" si="51"/>
        <v>3403002</v>
      </c>
      <c r="B805" s="8">
        <v>2</v>
      </c>
      <c r="C805" s="8" t="str">
        <f t="shared" si="53"/>
        <v>선발주자</v>
      </c>
      <c r="D805" s="8">
        <v>3</v>
      </c>
      <c r="E805" s="8">
        <v>4</v>
      </c>
      <c r="F805" s="8">
        <v>3</v>
      </c>
      <c r="G805" s="8" t="s">
        <v>208</v>
      </c>
      <c r="H805" s="8">
        <f t="shared" si="52"/>
        <v>3403</v>
      </c>
      <c r="I805" s="8">
        <v>7000152</v>
      </c>
      <c r="J805" s="8">
        <v>16000</v>
      </c>
    </row>
    <row r="806" spans="1:10" x14ac:dyDescent="0.3">
      <c r="A806" s="8">
        <f t="shared" si="51"/>
        <v>3403003</v>
      </c>
      <c r="B806" s="8">
        <v>3</v>
      </c>
      <c r="C806" s="8" t="str">
        <f t="shared" si="53"/>
        <v>헌신</v>
      </c>
      <c r="D806" s="8">
        <v>3</v>
      </c>
      <c r="E806" s="8">
        <v>4</v>
      </c>
      <c r="F806" s="8">
        <v>3</v>
      </c>
      <c r="G806" s="8" t="s">
        <v>208</v>
      </c>
      <c r="H806" s="8">
        <f t="shared" si="52"/>
        <v>3403</v>
      </c>
      <c r="I806" s="8">
        <v>7000158</v>
      </c>
      <c r="J806" s="8">
        <v>16000</v>
      </c>
    </row>
    <row r="807" spans="1:10" x14ac:dyDescent="0.3">
      <c r="A807" s="8">
        <f t="shared" si="51"/>
        <v>3403004</v>
      </c>
      <c r="B807" s="8">
        <v>4</v>
      </c>
      <c r="C807" s="8" t="str">
        <f t="shared" si="53"/>
        <v>자비</v>
      </c>
      <c r="D807" s="8">
        <v>3</v>
      </c>
      <c r="E807" s="8">
        <v>4</v>
      </c>
      <c r="F807" s="8">
        <v>3</v>
      </c>
      <c r="G807" s="8" t="s">
        <v>209</v>
      </c>
      <c r="H807" s="8">
        <f t="shared" si="52"/>
        <v>3403</v>
      </c>
      <c r="I807" s="8">
        <v>7000164</v>
      </c>
      <c r="J807" s="8">
        <v>14000</v>
      </c>
    </row>
    <row r="808" spans="1:10" x14ac:dyDescent="0.3">
      <c r="A808" s="8">
        <f t="shared" si="51"/>
        <v>3403005</v>
      </c>
      <c r="B808" s="8">
        <v>5</v>
      </c>
      <c r="C808" s="8" t="str">
        <f t="shared" si="53"/>
        <v>의기투합</v>
      </c>
      <c r="D808" s="8">
        <v>3</v>
      </c>
      <c r="E808" s="8">
        <v>4</v>
      </c>
      <c r="F808" s="8">
        <v>3</v>
      </c>
      <c r="G808" s="8" t="s">
        <v>209</v>
      </c>
      <c r="H808" s="8">
        <f t="shared" si="52"/>
        <v>3403</v>
      </c>
      <c r="I808" s="8">
        <v>7000171</v>
      </c>
      <c r="J808" s="8">
        <v>14000</v>
      </c>
    </row>
    <row r="809" spans="1:10" x14ac:dyDescent="0.3">
      <c r="A809" s="8">
        <f t="shared" si="51"/>
        <v>3403006</v>
      </c>
      <c r="B809" s="8">
        <v>6</v>
      </c>
      <c r="C809" s="8" t="str">
        <f t="shared" si="53"/>
        <v>정정당당</v>
      </c>
      <c r="D809" s="8">
        <v>3</v>
      </c>
      <c r="E809" s="8">
        <v>4</v>
      </c>
      <c r="F809" s="8">
        <v>3</v>
      </c>
      <c r="G809" s="8" t="s">
        <v>210</v>
      </c>
      <c r="H809" s="8">
        <f t="shared" si="52"/>
        <v>3403</v>
      </c>
      <c r="I809" s="8">
        <v>7000137</v>
      </c>
      <c r="J809" s="8">
        <v>9000</v>
      </c>
    </row>
    <row r="810" spans="1:10" x14ac:dyDescent="0.3">
      <c r="A810" s="8">
        <f t="shared" si="51"/>
        <v>3403007</v>
      </c>
      <c r="B810" s="8">
        <v>7</v>
      </c>
      <c r="C810" s="8" t="str">
        <f t="shared" si="53"/>
        <v>안정</v>
      </c>
      <c r="D810" s="8">
        <v>3</v>
      </c>
      <c r="E810" s="8">
        <v>4</v>
      </c>
      <c r="F810" s="8">
        <v>3</v>
      </c>
      <c r="G810" s="8" t="s">
        <v>210</v>
      </c>
      <c r="H810" s="8">
        <f t="shared" si="52"/>
        <v>3403</v>
      </c>
      <c r="I810" s="8">
        <v>7000169</v>
      </c>
      <c r="J810" s="8">
        <v>9000</v>
      </c>
    </row>
    <row r="811" spans="1:10" x14ac:dyDescent="0.3">
      <c r="A811" s="8">
        <f t="shared" si="51"/>
        <v>3403008</v>
      </c>
      <c r="B811" s="8">
        <v>8</v>
      </c>
      <c r="C811" s="8" t="str">
        <f t="shared" si="53"/>
        <v>기회주의자</v>
      </c>
      <c r="D811" s="8">
        <v>3</v>
      </c>
      <c r="E811" s="8">
        <v>4</v>
      </c>
      <c r="F811" s="8">
        <v>3</v>
      </c>
      <c r="G811" s="8" t="s">
        <v>211</v>
      </c>
      <c r="H811" s="8">
        <f t="shared" si="52"/>
        <v>3403</v>
      </c>
      <c r="I811" s="8">
        <v>7000122</v>
      </c>
      <c r="J811" s="8">
        <v>1800</v>
      </c>
    </row>
    <row r="812" spans="1:10" x14ac:dyDescent="0.3">
      <c r="A812" s="8">
        <f t="shared" si="51"/>
        <v>3403009</v>
      </c>
      <c r="B812" s="8">
        <v>9</v>
      </c>
      <c r="C812" s="8" t="str">
        <f t="shared" si="53"/>
        <v>책략가</v>
      </c>
      <c r="D812" s="8">
        <v>3</v>
      </c>
      <c r="E812" s="8">
        <v>4</v>
      </c>
      <c r="F812" s="8">
        <v>3</v>
      </c>
      <c r="G812" s="8" t="s">
        <v>212</v>
      </c>
      <c r="H812" s="8">
        <f t="shared" si="52"/>
        <v>3403</v>
      </c>
      <c r="I812" s="8">
        <v>7000123</v>
      </c>
      <c r="J812" s="8">
        <v>500</v>
      </c>
    </row>
    <row r="813" spans="1:10" x14ac:dyDescent="0.3">
      <c r="A813" s="8">
        <f t="shared" si="51"/>
        <v>3403010</v>
      </c>
      <c r="B813" s="8">
        <v>10</v>
      </c>
      <c r="C813" s="8" t="str">
        <f t="shared" si="53"/>
        <v>다재다능</v>
      </c>
      <c r="D813" s="8">
        <v>3</v>
      </c>
      <c r="E813" s="8">
        <v>4</v>
      </c>
      <c r="F813" s="8">
        <v>3</v>
      </c>
      <c r="G813" s="8" t="s">
        <v>213</v>
      </c>
      <c r="H813" s="8">
        <f t="shared" si="52"/>
        <v>3403</v>
      </c>
      <c r="I813" s="8">
        <v>7000119</v>
      </c>
      <c r="J813" s="8">
        <v>100</v>
      </c>
    </row>
    <row r="814" spans="1:10" x14ac:dyDescent="0.3">
      <c r="A814" s="8">
        <f t="shared" si="51"/>
        <v>3404001</v>
      </c>
      <c r="B814" s="8">
        <v>1</v>
      </c>
      <c r="C814" s="8" t="str">
        <f>C804</f>
        <v>경계심</v>
      </c>
      <c r="D814" s="8">
        <v>3</v>
      </c>
      <c r="E814" s="8">
        <v>4</v>
      </c>
      <c r="F814" s="8">
        <v>4</v>
      </c>
      <c r="G814" s="8" t="s">
        <v>208</v>
      </c>
      <c r="H814" s="8">
        <f t="shared" si="52"/>
        <v>3404</v>
      </c>
      <c r="I814" s="8">
        <v>7000118</v>
      </c>
      <c r="J814" s="8">
        <v>14000</v>
      </c>
    </row>
    <row r="815" spans="1:10" x14ac:dyDescent="0.3">
      <c r="A815" s="8">
        <f t="shared" si="51"/>
        <v>3404002</v>
      </c>
      <c r="B815" s="8">
        <v>2</v>
      </c>
      <c r="C815" s="8" t="str">
        <f t="shared" si="53"/>
        <v>선발주자</v>
      </c>
      <c r="D815" s="8">
        <v>3</v>
      </c>
      <c r="E815" s="8">
        <v>4</v>
      </c>
      <c r="F815" s="8">
        <v>4</v>
      </c>
      <c r="G815" s="8" t="s">
        <v>208</v>
      </c>
      <c r="H815" s="8">
        <f t="shared" si="52"/>
        <v>3404</v>
      </c>
      <c r="I815" s="8">
        <v>7000152</v>
      </c>
      <c r="J815" s="8">
        <v>14000</v>
      </c>
    </row>
    <row r="816" spans="1:10" x14ac:dyDescent="0.3">
      <c r="A816" s="8">
        <f t="shared" si="51"/>
        <v>3404003</v>
      </c>
      <c r="B816" s="8">
        <v>3</v>
      </c>
      <c r="C816" s="8" t="str">
        <f t="shared" si="53"/>
        <v>헌신</v>
      </c>
      <c r="D816" s="8">
        <v>3</v>
      </c>
      <c r="E816" s="8">
        <v>4</v>
      </c>
      <c r="F816" s="8">
        <v>4</v>
      </c>
      <c r="G816" s="8" t="s">
        <v>208</v>
      </c>
      <c r="H816" s="8">
        <f t="shared" si="52"/>
        <v>3404</v>
      </c>
      <c r="I816" s="8">
        <v>7000158</v>
      </c>
      <c r="J816" s="8">
        <v>14000</v>
      </c>
    </row>
    <row r="817" spans="1:10" x14ac:dyDescent="0.3">
      <c r="A817" s="8">
        <f t="shared" si="51"/>
        <v>3404004</v>
      </c>
      <c r="B817" s="8">
        <v>4</v>
      </c>
      <c r="C817" s="8" t="str">
        <f t="shared" si="53"/>
        <v>자비</v>
      </c>
      <c r="D817" s="8">
        <v>3</v>
      </c>
      <c r="E817" s="8">
        <v>4</v>
      </c>
      <c r="F817" s="8">
        <v>4</v>
      </c>
      <c r="G817" s="8" t="s">
        <v>209</v>
      </c>
      <c r="H817" s="8">
        <f t="shared" si="52"/>
        <v>3404</v>
      </c>
      <c r="I817" s="8">
        <v>7000164</v>
      </c>
      <c r="J817" s="8">
        <v>13500</v>
      </c>
    </row>
    <row r="818" spans="1:10" x14ac:dyDescent="0.3">
      <c r="A818" s="8">
        <f t="shared" si="51"/>
        <v>3404005</v>
      </c>
      <c r="B818" s="8">
        <v>5</v>
      </c>
      <c r="C818" s="8" t="str">
        <f t="shared" si="53"/>
        <v>의기투합</v>
      </c>
      <c r="D818" s="8">
        <v>3</v>
      </c>
      <c r="E818" s="8">
        <v>4</v>
      </c>
      <c r="F818" s="8">
        <v>4</v>
      </c>
      <c r="G818" s="8" t="s">
        <v>209</v>
      </c>
      <c r="H818" s="8">
        <f t="shared" si="52"/>
        <v>3404</v>
      </c>
      <c r="I818" s="8">
        <v>7000171</v>
      </c>
      <c r="J818" s="8">
        <v>13500</v>
      </c>
    </row>
    <row r="819" spans="1:10" x14ac:dyDescent="0.3">
      <c r="A819" s="8">
        <f t="shared" si="51"/>
        <v>3404006</v>
      </c>
      <c r="B819" s="8">
        <v>6</v>
      </c>
      <c r="C819" s="8" t="str">
        <f t="shared" si="53"/>
        <v>정정당당</v>
      </c>
      <c r="D819" s="8">
        <v>3</v>
      </c>
      <c r="E819" s="8">
        <v>4</v>
      </c>
      <c r="F819" s="8">
        <v>4</v>
      </c>
      <c r="G819" s="8" t="s">
        <v>210</v>
      </c>
      <c r="H819" s="8">
        <f t="shared" si="52"/>
        <v>3404</v>
      </c>
      <c r="I819" s="8">
        <v>7000137</v>
      </c>
      <c r="J819" s="8">
        <v>8500</v>
      </c>
    </row>
    <row r="820" spans="1:10" x14ac:dyDescent="0.3">
      <c r="A820" s="8">
        <f t="shared" si="51"/>
        <v>3404007</v>
      </c>
      <c r="B820" s="8">
        <v>7</v>
      </c>
      <c r="C820" s="8" t="str">
        <f t="shared" si="53"/>
        <v>안정</v>
      </c>
      <c r="D820" s="8">
        <v>3</v>
      </c>
      <c r="E820" s="8">
        <v>4</v>
      </c>
      <c r="F820" s="8">
        <v>4</v>
      </c>
      <c r="G820" s="8" t="s">
        <v>210</v>
      </c>
      <c r="H820" s="8">
        <f t="shared" si="52"/>
        <v>3404</v>
      </c>
      <c r="I820" s="8">
        <v>7000169</v>
      </c>
      <c r="J820" s="8">
        <v>8500</v>
      </c>
    </row>
    <row r="821" spans="1:10" x14ac:dyDescent="0.3">
      <c r="A821" s="8">
        <f t="shared" si="51"/>
        <v>3404008</v>
      </c>
      <c r="B821" s="8">
        <v>8</v>
      </c>
      <c r="C821" s="8" t="str">
        <f t="shared" si="53"/>
        <v>기회주의자</v>
      </c>
      <c r="D821" s="8">
        <v>3</v>
      </c>
      <c r="E821" s="8">
        <v>4</v>
      </c>
      <c r="F821" s="8">
        <v>4</v>
      </c>
      <c r="G821" s="8" t="s">
        <v>211</v>
      </c>
      <c r="H821" s="8">
        <f t="shared" si="52"/>
        <v>3404</v>
      </c>
      <c r="I821" s="8">
        <v>7000122</v>
      </c>
      <c r="J821" s="8">
        <v>1700</v>
      </c>
    </row>
    <row r="822" spans="1:10" x14ac:dyDescent="0.3">
      <c r="A822" s="8">
        <f t="shared" si="51"/>
        <v>3404009</v>
      </c>
      <c r="B822" s="8">
        <v>9</v>
      </c>
      <c r="C822" s="8" t="str">
        <f t="shared" si="53"/>
        <v>책략가</v>
      </c>
      <c r="D822" s="8">
        <v>3</v>
      </c>
      <c r="E822" s="8">
        <v>4</v>
      </c>
      <c r="F822" s="8">
        <v>4</v>
      </c>
      <c r="G822" s="8" t="s">
        <v>212</v>
      </c>
      <c r="H822" s="8">
        <f t="shared" si="52"/>
        <v>3404</v>
      </c>
      <c r="I822" s="8">
        <v>7000123</v>
      </c>
      <c r="J822" s="8">
        <v>500</v>
      </c>
    </row>
    <row r="823" spans="1:10" x14ac:dyDescent="0.3">
      <c r="A823" s="8">
        <f t="shared" si="51"/>
        <v>3404010</v>
      </c>
      <c r="B823" s="8">
        <v>10</v>
      </c>
      <c r="C823" s="8" t="str">
        <f t="shared" si="53"/>
        <v>다재다능</v>
      </c>
      <c r="D823" s="8">
        <v>3</v>
      </c>
      <c r="E823" s="8">
        <v>4</v>
      </c>
      <c r="F823" s="8">
        <v>4</v>
      </c>
      <c r="G823" s="8" t="s">
        <v>213</v>
      </c>
      <c r="H823" s="8">
        <f t="shared" si="52"/>
        <v>3404</v>
      </c>
      <c r="I823" s="8">
        <v>7000119</v>
      </c>
      <c r="J823" s="8">
        <v>100</v>
      </c>
    </row>
    <row r="824" spans="1:10" x14ac:dyDescent="0.3">
      <c r="A824" s="8">
        <f t="shared" si="51"/>
        <v>3405001</v>
      </c>
      <c r="B824" s="8">
        <v>1</v>
      </c>
      <c r="C824" s="8" t="str">
        <f>C814</f>
        <v>경계심</v>
      </c>
      <c r="D824" s="8">
        <v>3</v>
      </c>
      <c r="E824" s="8">
        <v>4</v>
      </c>
      <c r="F824" s="8">
        <v>5</v>
      </c>
      <c r="G824" s="8" t="s">
        <v>208</v>
      </c>
      <c r="H824" s="8">
        <f t="shared" si="52"/>
        <v>3405</v>
      </c>
      <c r="I824" s="8">
        <v>7000118</v>
      </c>
      <c r="J824" s="8">
        <v>12000</v>
      </c>
    </row>
    <row r="825" spans="1:10" x14ac:dyDescent="0.3">
      <c r="A825" s="8">
        <f t="shared" si="51"/>
        <v>3405002</v>
      </c>
      <c r="B825" s="8">
        <v>2</v>
      </c>
      <c r="C825" s="8" t="str">
        <f t="shared" si="53"/>
        <v>선발주자</v>
      </c>
      <c r="D825" s="8">
        <v>3</v>
      </c>
      <c r="E825" s="8">
        <v>4</v>
      </c>
      <c r="F825" s="8">
        <v>5</v>
      </c>
      <c r="G825" s="8" t="s">
        <v>208</v>
      </c>
      <c r="H825" s="8">
        <f t="shared" si="52"/>
        <v>3405</v>
      </c>
      <c r="I825" s="8">
        <v>7000152</v>
      </c>
      <c r="J825" s="8">
        <v>12000</v>
      </c>
    </row>
    <row r="826" spans="1:10" x14ac:dyDescent="0.3">
      <c r="A826" s="8">
        <f t="shared" si="51"/>
        <v>3405003</v>
      </c>
      <c r="B826" s="8">
        <v>3</v>
      </c>
      <c r="C826" s="8" t="str">
        <f t="shared" si="53"/>
        <v>헌신</v>
      </c>
      <c r="D826" s="8">
        <v>3</v>
      </c>
      <c r="E826" s="8">
        <v>4</v>
      </c>
      <c r="F826" s="8">
        <v>5</v>
      </c>
      <c r="G826" s="8" t="s">
        <v>208</v>
      </c>
      <c r="H826" s="8">
        <f t="shared" si="52"/>
        <v>3405</v>
      </c>
      <c r="I826" s="8">
        <v>7000158</v>
      </c>
      <c r="J826" s="8">
        <v>12000</v>
      </c>
    </row>
    <row r="827" spans="1:10" x14ac:dyDescent="0.3">
      <c r="A827" s="8">
        <f t="shared" si="51"/>
        <v>3405004</v>
      </c>
      <c r="B827" s="8">
        <v>4</v>
      </c>
      <c r="C827" s="8" t="str">
        <f t="shared" si="53"/>
        <v>자비</v>
      </c>
      <c r="D827" s="8">
        <v>3</v>
      </c>
      <c r="E827" s="8">
        <v>4</v>
      </c>
      <c r="F827" s="8">
        <v>5</v>
      </c>
      <c r="G827" s="8" t="s">
        <v>209</v>
      </c>
      <c r="H827" s="8">
        <f t="shared" si="52"/>
        <v>3405</v>
      </c>
      <c r="I827" s="8">
        <v>7000164</v>
      </c>
      <c r="J827" s="8">
        <v>13000</v>
      </c>
    </row>
    <row r="828" spans="1:10" x14ac:dyDescent="0.3">
      <c r="A828" s="8">
        <f t="shared" si="51"/>
        <v>3405005</v>
      </c>
      <c r="B828" s="8">
        <v>5</v>
      </c>
      <c r="C828" s="8" t="str">
        <f t="shared" si="53"/>
        <v>의기투합</v>
      </c>
      <c r="D828" s="8">
        <v>3</v>
      </c>
      <c r="E828" s="8">
        <v>4</v>
      </c>
      <c r="F828" s="8">
        <v>5</v>
      </c>
      <c r="G828" s="8" t="s">
        <v>209</v>
      </c>
      <c r="H828" s="8">
        <f t="shared" si="52"/>
        <v>3405</v>
      </c>
      <c r="I828" s="8">
        <v>7000171</v>
      </c>
      <c r="J828" s="8">
        <v>13000</v>
      </c>
    </row>
    <row r="829" spans="1:10" x14ac:dyDescent="0.3">
      <c r="A829" s="8">
        <f t="shared" si="51"/>
        <v>3405006</v>
      </c>
      <c r="B829" s="8">
        <v>6</v>
      </c>
      <c r="C829" s="8" t="str">
        <f t="shared" si="53"/>
        <v>정정당당</v>
      </c>
      <c r="D829" s="8">
        <v>3</v>
      </c>
      <c r="E829" s="8">
        <v>4</v>
      </c>
      <c r="F829" s="8">
        <v>5</v>
      </c>
      <c r="G829" s="8" t="s">
        <v>210</v>
      </c>
      <c r="H829" s="8">
        <f t="shared" si="52"/>
        <v>3405</v>
      </c>
      <c r="I829" s="8">
        <v>7000137</v>
      </c>
      <c r="J829" s="8">
        <v>8000</v>
      </c>
    </row>
    <row r="830" spans="1:10" x14ac:dyDescent="0.3">
      <c r="A830" s="8">
        <f t="shared" si="51"/>
        <v>3405007</v>
      </c>
      <c r="B830" s="8">
        <v>7</v>
      </c>
      <c r="C830" s="8" t="str">
        <f t="shared" si="53"/>
        <v>안정</v>
      </c>
      <c r="D830" s="8">
        <v>3</v>
      </c>
      <c r="E830" s="8">
        <v>4</v>
      </c>
      <c r="F830" s="8">
        <v>5</v>
      </c>
      <c r="G830" s="8" t="s">
        <v>210</v>
      </c>
      <c r="H830" s="8">
        <f t="shared" si="52"/>
        <v>3405</v>
      </c>
      <c r="I830" s="8">
        <v>7000169</v>
      </c>
      <c r="J830" s="8">
        <v>8000</v>
      </c>
    </row>
    <row r="831" spans="1:10" x14ac:dyDescent="0.3">
      <c r="A831" s="8">
        <f t="shared" si="51"/>
        <v>3405008</v>
      </c>
      <c r="B831" s="8">
        <v>8</v>
      </c>
      <c r="C831" s="8" t="str">
        <f t="shared" si="53"/>
        <v>기회주의자</v>
      </c>
      <c r="D831" s="8">
        <v>3</v>
      </c>
      <c r="E831" s="8">
        <v>4</v>
      </c>
      <c r="F831" s="8">
        <v>5</v>
      </c>
      <c r="G831" s="8" t="s">
        <v>211</v>
      </c>
      <c r="H831" s="8">
        <f t="shared" si="52"/>
        <v>3405</v>
      </c>
      <c r="I831" s="8">
        <v>7000122</v>
      </c>
      <c r="J831" s="8">
        <v>1600</v>
      </c>
    </row>
    <row r="832" spans="1:10" x14ac:dyDescent="0.3">
      <c r="A832" s="8">
        <f t="shared" si="51"/>
        <v>3405009</v>
      </c>
      <c r="B832" s="8">
        <v>9</v>
      </c>
      <c r="C832" s="8" t="str">
        <f t="shared" si="53"/>
        <v>책략가</v>
      </c>
      <c r="D832" s="8">
        <v>3</v>
      </c>
      <c r="E832" s="8">
        <v>4</v>
      </c>
      <c r="F832" s="8">
        <v>5</v>
      </c>
      <c r="G832" s="8" t="s">
        <v>212</v>
      </c>
      <c r="H832" s="8">
        <f t="shared" si="52"/>
        <v>3405</v>
      </c>
      <c r="I832" s="8">
        <v>7000123</v>
      </c>
      <c r="J832" s="8">
        <v>500</v>
      </c>
    </row>
    <row r="833" spans="1:10" x14ac:dyDescent="0.3">
      <c r="A833" s="8">
        <f t="shared" si="51"/>
        <v>3405010</v>
      </c>
      <c r="B833" s="8">
        <v>10</v>
      </c>
      <c r="C833" s="8" t="str">
        <f t="shared" si="53"/>
        <v>다재다능</v>
      </c>
      <c r="D833" s="8">
        <v>3</v>
      </c>
      <c r="E833" s="8">
        <v>4</v>
      </c>
      <c r="F833" s="8">
        <v>5</v>
      </c>
      <c r="G833" s="8" t="s">
        <v>213</v>
      </c>
      <c r="H833" s="8">
        <f t="shared" si="52"/>
        <v>3405</v>
      </c>
      <c r="I833" s="8">
        <v>7000119</v>
      </c>
      <c r="J833" s="8">
        <v>100</v>
      </c>
    </row>
    <row r="834" spans="1:10" x14ac:dyDescent="0.3">
      <c r="A834" s="8">
        <f t="shared" si="51"/>
        <v>3406001</v>
      </c>
      <c r="B834" s="8">
        <v>1</v>
      </c>
      <c r="C834" s="8" t="str">
        <f>C824</f>
        <v>경계심</v>
      </c>
      <c r="D834" s="8">
        <v>3</v>
      </c>
      <c r="E834" s="8">
        <v>4</v>
      </c>
      <c r="F834" s="8">
        <v>6</v>
      </c>
      <c r="G834" s="8" t="s">
        <v>208</v>
      </c>
      <c r="H834" s="8">
        <f t="shared" si="52"/>
        <v>3406</v>
      </c>
      <c r="I834" s="8">
        <v>7000118</v>
      </c>
      <c r="J834" s="8">
        <v>10000</v>
      </c>
    </row>
    <row r="835" spans="1:10" x14ac:dyDescent="0.3">
      <c r="A835" s="8">
        <f t="shared" si="51"/>
        <v>3406002</v>
      </c>
      <c r="B835" s="8">
        <v>2</v>
      </c>
      <c r="C835" s="8" t="str">
        <f t="shared" si="53"/>
        <v>선발주자</v>
      </c>
      <c r="D835" s="8">
        <v>3</v>
      </c>
      <c r="E835" s="8">
        <v>4</v>
      </c>
      <c r="F835" s="8">
        <v>6</v>
      </c>
      <c r="G835" s="8" t="s">
        <v>208</v>
      </c>
      <c r="H835" s="8">
        <f t="shared" si="52"/>
        <v>3406</v>
      </c>
      <c r="I835" s="8">
        <v>7000152</v>
      </c>
      <c r="J835" s="8">
        <v>10000</v>
      </c>
    </row>
    <row r="836" spans="1:10" x14ac:dyDescent="0.3">
      <c r="A836" s="8">
        <f t="shared" si="51"/>
        <v>3406003</v>
      </c>
      <c r="B836" s="8">
        <v>3</v>
      </c>
      <c r="C836" s="8" t="str">
        <f t="shared" si="53"/>
        <v>헌신</v>
      </c>
      <c r="D836" s="8">
        <v>3</v>
      </c>
      <c r="E836" s="8">
        <v>4</v>
      </c>
      <c r="F836" s="8">
        <v>6</v>
      </c>
      <c r="G836" s="8" t="s">
        <v>208</v>
      </c>
      <c r="H836" s="8">
        <f t="shared" si="52"/>
        <v>3406</v>
      </c>
      <c r="I836" s="8">
        <v>7000158</v>
      </c>
      <c r="J836" s="8">
        <v>10000</v>
      </c>
    </row>
    <row r="837" spans="1:10" x14ac:dyDescent="0.3">
      <c r="A837" s="8">
        <f t="shared" si="51"/>
        <v>3406004</v>
      </c>
      <c r="B837" s="8">
        <v>4</v>
      </c>
      <c r="C837" s="8" t="str">
        <f t="shared" si="53"/>
        <v>자비</v>
      </c>
      <c r="D837" s="8">
        <v>3</v>
      </c>
      <c r="E837" s="8">
        <v>4</v>
      </c>
      <c r="F837" s="8">
        <v>6</v>
      </c>
      <c r="G837" s="8" t="s">
        <v>209</v>
      </c>
      <c r="H837" s="8">
        <f t="shared" si="52"/>
        <v>3406</v>
      </c>
      <c r="I837" s="8">
        <v>7000164</v>
      </c>
      <c r="J837" s="8">
        <v>12500</v>
      </c>
    </row>
    <row r="838" spans="1:10" x14ac:dyDescent="0.3">
      <c r="A838" s="8">
        <f t="shared" si="51"/>
        <v>3406005</v>
      </c>
      <c r="B838" s="8">
        <v>5</v>
      </c>
      <c r="C838" s="8" t="str">
        <f t="shared" si="53"/>
        <v>의기투합</v>
      </c>
      <c r="D838" s="8">
        <v>3</v>
      </c>
      <c r="E838" s="8">
        <v>4</v>
      </c>
      <c r="F838" s="8">
        <v>6</v>
      </c>
      <c r="G838" s="8" t="s">
        <v>209</v>
      </c>
      <c r="H838" s="8">
        <f t="shared" si="52"/>
        <v>3406</v>
      </c>
      <c r="I838" s="8">
        <v>7000171</v>
      </c>
      <c r="J838" s="8">
        <v>12500</v>
      </c>
    </row>
    <row r="839" spans="1:10" x14ac:dyDescent="0.3">
      <c r="A839" s="8">
        <f t="shared" si="51"/>
        <v>3406006</v>
      </c>
      <c r="B839" s="8">
        <v>6</v>
      </c>
      <c r="C839" s="8" t="str">
        <f t="shared" si="53"/>
        <v>정정당당</v>
      </c>
      <c r="D839" s="8">
        <v>3</v>
      </c>
      <c r="E839" s="8">
        <v>4</v>
      </c>
      <c r="F839" s="8">
        <v>6</v>
      </c>
      <c r="G839" s="8" t="s">
        <v>210</v>
      </c>
      <c r="H839" s="8">
        <f t="shared" si="52"/>
        <v>3406</v>
      </c>
      <c r="I839" s="8">
        <v>7000137</v>
      </c>
      <c r="J839" s="8">
        <v>7500</v>
      </c>
    </row>
    <row r="840" spans="1:10" x14ac:dyDescent="0.3">
      <c r="A840" s="8">
        <f t="shared" si="51"/>
        <v>3406007</v>
      </c>
      <c r="B840" s="8">
        <v>7</v>
      </c>
      <c r="C840" s="8" t="str">
        <f t="shared" si="53"/>
        <v>안정</v>
      </c>
      <c r="D840" s="8">
        <v>3</v>
      </c>
      <c r="E840" s="8">
        <v>4</v>
      </c>
      <c r="F840" s="8">
        <v>6</v>
      </c>
      <c r="G840" s="8" t="s">
        <v>210</v>
      </c>
      <c r="H840" s="8">
        <f t="shared" si="52"/>
        <v>3406</v>
      </c>
      <c r="I840" s="8">
        <v>7000169</v>
      </c>
      <c r="J840" s="8">
        <v>7500</v>
      </c>
    </row>
    <row r="841" spans="1:10" x14ac:dyDescent="0.3">
      <c r="A841" s="8">
        <f t="shared" si="51"/>
        <v>3406008</v>
      </c>
      <c r="B841" s="8">
        <v>8</v>
      </c>
      <c r="C841" s="8" t="str">
        <f t="shared" si="53"/>
        <v>기회주의자</v>
      </c>
      <c r="D841" s="8">
        <v>3</v>
      </c>
      <c r="E841" s="8">
        <v>4</v>
      </c>
      <c r="F841" s="8">
        <v>6</v>
      </c>
      <c r="G841" s="8" t="s">
        <v>211</v>
      </c>
      <c r="H841" s="8">
        <f t="shared" si="52"/>
        <v>3406</v>
      </c>
      <c r="I841" s="8">
        <v>7000122</v>
      </c>
      <c r="J841" s="8">
        <v>1500</v>
      </c>
    </row>
    <row r="842" spans="1:10" x14ac:dyDescent="0.3">
      <c r="A842" s="8">
        <f t="shared" si="51"/>
        <v>3406009</v>
      </c>
      <c r="B842" s="8">
        <v>9</v>
      </c>
      <c r="C842" s="8" t="str">
        <f t="shared" si="53"/>
        <v>책략가</v>
      </c>
      <c r="D842" s="8">
        <v>3</v>
      </c>
      <c r="E842" s="8">
        <v>4</v>
      </c>
      <c r="F842" s="8">
        <v>6</v>
      </c>
      <c r="G842" s="8" t="s">
        <v>212</v>
      </c>
      <c r="H842" s="8">
        <f t="shared" si="52"/>
        <v>3406</v>
      </c>
      <c r="I842" s="8">
        <v>7000123</v>
      </c>
      <c r="J842" s="8">
        <v>500</v>
      </c>
    </row>
    <row r="843" spans="1:10" x14ac:dyDescent="0.3">
      <c r="A843" s="8">
        <f t="shared" si="51"/>
        <v>3406010</v>
      </c>
      <c r="B843" s="8">
        <v>10</v>
      </c>
      <c r="C843" s="8" t="str">
        <f t="shared" si="53"/>
        <v>다재다능</v>
      </c>
      <c r="D843" s="8">
        <v>3</v>
      </c>
      <c r="E843" s="8">
        <v>4</v>
      </c>
      <c r="F843" s="8">
        <v>6</v>
      </c>
      <c r="G843" s="8" t="s">
        <v>213</v>
      </c>
      <c r="H843" s="8">
        <f t="shared" si="52"/>
        <v>3406</v>
      </c>
      <c r="I843" s="8">
        <v>7000119</v>
      </c>
      <c r="J843" s="8">
        <v>100</v>
      </c>
    </row>
    <row r="844" spans="1:10" x14ac:dyDescent="0.3">
      <c r="A844" s="9">
        <f>INT(H844&amp;TEXT(B844,"000"))</f>
        <v>3501001</v>
      </c>
      <c r="B844" s="9">
        <v>1</v>
      </c>
      <c r="C844" s="9" t="s">
        <v>364</v>
      </c>
      <c r="D844" s="9">
        <v>3</v>
      </c>
      <c r="E844" s="9">
        <v>5</v>
      </c>
      <c r="F844" s="9">
        <v>1</v>
      </c>
      <c r="G844" s="9" t="s">
        <v>208</v>
      </c>
      <c r="H844" s="9">
        <f>INT(D844&amp;E844&amp;TEXT(F844,"00"))</f>
        <v>3501</v>
      </c>
      <c r="I844" s="9">
        <v>7000104</v>
      </c>
      <c r="J844" s="9">
        <v>20000</v>
      </c>
    </row>
    <row r="845" spans="1:10" x14ac:dyDescent="0.3">
      <c r="A845" s="8">
        <f t="shared" ref="A845:A903" si="54">INT(H845&amp;TEXT(B845,"000"))</f>
        <v>3501002</v>
      </c>
      <c r="B845" s="8">
        <v>2</v>
      </c>
      <c r="C845" s="8" t="s">
        <v>372</v>
      </c>
      <c r="D845" s="8">
        <v>3</v>
      </c>
      <c r="E845" s="8">
        <v>5</v>
      </c>
      <c r="F845" s="8">
        <v>1</v>
      </c>
      <c r="G845" s="8" t="s">
        <v>208</v>
      </c>
      <c r="H845" s="8">
        <f t="shared" ref="H845:H903" si="55">INT(D845&amp;E845&amp;TEXT(F845,"00"))</f>
        <v>3501</v>
      </c>
      <c r="I845" s="8">
        <v>7000117</v>
      </c>
      <c r="J845" s="8">
        <v>20000</v>
      </c>
    </row>
    <row r="846" spans="1:10" x14ac:dyDescent="0.3">
      <c r="A846" s="8">
        <f t="shared" si="54"/>
        <v>3501003</v>
      </c>
      <c r="B846" s="8">
        <v>3</v>
      </c>
      <c r="C846" s="8" t="s">
        <v>374</v>
      </c>
      <c r="D846" s="8">
        <v>3</v>
      </c>
      <c r="E846" s="8">
        <v>5</v>
      </c>
      <c r="F846" s="8">
        <v>1</v>
      </c>
      <c r="G846" s="8" t="s">
        <v>208</v>
      </c>
      <c r="H846" s="8">
        <f t="shared" si="55"/>
        <v>3501</v>
      </c>
      <c r="I846" s="8">
        <v>7000133</v>
      </c>
      <c r="J846" s="8">
        <v>20000</v>
      </c>
    </row>
    <row r="847" spans="1:10" x14ac:dyDescent="0.3">
      <c r="A847" s="8">
        <f t="shared" si="54"/>
        <v>3501004</v>
      </c>
      <c r="B847" s="8">
        <v>4</v>
      </c>
      <c r="C847" s="8" t="s">
        <v>377</v>
      </c>
      <c r="D847" s="8">
        <v>3</v>
      </c>
      <c r="E847" s="8">
        <v>5</v>
      </c>
      <c r="F847" s="8">
        <v>1</v>
      </c>
      <c r="G847" s="8" t="s">
        <v>223</v>
      </c>
      <c r="H847" s="8">
        <f t="shared" si="55"/>
        <v>3501</v>
      </c>
      <c r="I847" s="8">
        <v>7000134</v>
      </c>
      <c r="J847" s="8">
        <v>15000</v>
      </c>
    </row>
    <row r="848" spans="1:10" x14ac:dyDescent="0.3">
      <c r="A848" s="8">
        <f t="shared" si="54"/>
        <v>3501005</v>
      </c>
      <c r="B848" s="8">
        <v>5</v>
      </c>
      <c r="C848" s="8" t="s">
        <v>378</v>
      </c>
      <c r="D848" s="8">
        <v>3</v>
      </c>
      <c r="E848" s="8">
        <v>5</v>
      </c>
      <c r="F848" s="8">
        <v>1</v>
      </c>
      <c r="G848" s="8" t="s">
        <v>223</v>
      </c>
      <c r="H848" s="8">
        <f t="shared" si="55"/>
        <v>3501</v>
      </c>
      <c r="I848" s="8">
        <v>7000135</v>
      </c>
      <c r="J848" s="8">
        <v>15000</v>
      </c>
    </row>
    <row r="849" spans="1:10" x14ac:dyDescent="0.3">
      <c r="A849" s="8">
        <f t="shared" si="54"/>
        <v>3501006</v>
      </c>
      <c r="B849" s="8">
        <v>6</v>
      </c>
      <c r="C849" s="8" t="s">
        <v>355</v>
      </c>
      <c r="D849" s="8">
        <v>3</v>
      </c>
      <c r="E849" s="8">
        <v>5</v>
      </c>
      <c r="F849" s="8">
        <v>1</v>
      </c>
      <c r="G849" s="8" t="s">
        <v>222</v>
      </c>
      <c r="H849" s="8">
        <f t="shared" si="55"/>
        <v>3501</v>
      </c>
      <c r="I849" s="8">
        <v>7000142</v>
      </c>
      <c r="J849" s="8">
        <v>10000</v>
      </c>
    </row>
    <row r="850" spans="1:10" x14ac:dyDescent="0.3">
      <c r="A850" s="8">
        <f t="shared" si="54"/>
        <v>3501007</v>
      </c>
      <c r="B850" s="8">
        <v>7</v>
      </c>
      <c r="C850" s="8" t="s">
        <v>391</v>
      </c>
      <c r="D850" s="8">
        <v>3</v>
      </c>
      <c r="E850" s="8">
        <v>5</v>
      </c>
      <c r="F850" s="8">
        <v>1</v>
      </c>
      <c r="G850" s="8" t="s">
        <v>222</v>
      </c>
      <c r="H850" s="8">
        <f t="shared" si="55"/>
        <v>3501</v>
      </c>
      <c r="I850" s="8">
        <v>7000164</v>
      </c>
      <c r="J850" s="8">
        <v>10000</v>
      </c>
    </row>
    <row r="851" spans="1:10" x14ac:dyDescent="0.3">
      <c r="A851" s="8">
        <f t="shared" si="54"/>
        <v>3501008</v>
      </c>
      <c r="B851" s="8">
        <v>8</v>
      </c>
      <c r="C851" s="8" t="s">
        <v>388</v>
      </c>
      <c r="D851" s="8">
        <v>3</v>
      </c>
      <c r="E851" s="8">
        <v>5</v>
      </c>
      <c r="F851" s="8">
        <v>1</v>
      </c>
      <c r="G851" s="8" t="s">
        <v>211</v>
      </c>
      <c r="H851" s="8">
        <f t="shared" si="55"/>
        <v>3501</v>
      </c>
      <c r="I851" s="8">
        <v>7000158</v>
      </c>
      <c r="J851" s="8">
        <v>2000</v>
      </c>
    </row>
    <row r="852" spans="1:10" x14ac:dyDescent="0.3">
      <c r="A852" s="8">
        <f t="shared" si="54"/>
        <v>3501009</v>
      </c>
      <c r="B852" s="8">
        <v>9</v>
      </c>
      <c r="C852" s="8" t="s">
        <v>370</v>
      </c>
      <c r="D852" s="8">
        <v>3</v>
      </c>
      <c r="E852" s="8">
        <v>5</v>
      </c>
      <c r="F852" s="8">
        <v>1</v>
      </c>
      <c r="G852" s="8" t="s">
        <v>212</v>
      </c>
      <c r="H852" s="8">
        <f t="shared" si="55"/>
        <v>3501</v>
      </c>
      <c r="I852" s="8">
        <v>7000103</v>
      </c>
      <c r="J852" s="8">
        <v>500</v>
      </c>
    </row>
    <row r="853" spans="1:10" x14ac:dyDescent="0.3">
      <c r="A853" s="8">
        <f t="shared" si="54"/>
        <v>3501010</v>
      </c>
      <c r="B853" s="8">
        <v>10</v>
      </c>
      <c r="C853" s="8" t="s">
        <v>362</v>
      </c>
      <c r="D853" s="8">
        <v>3</v>
      </c>
      <c r="E853" s="8">
        <v>5</v>
      </c>
      <c r="F853" s="8">
        <v>1</v>
      </c>
      <c r="G853" s="8" t="s">
        <v>213</v>
      </c>
      <c r="H853" s="8">
        <f t="shared" si="55"/>
        <v>3501</v>
      </c>
      <c r="I853" s="8">
        <v>7000105</v>
      </c>
      <c r="J853" s="8">
        <v>100</v>
      </c>
    </row>
    <row r="854" spans="1:10" x14ac:dyDescent="0.3">
      <c r="A854" s="8">
        <f t="shared" si="54"/>
        <v>3502001</v>
      </c>
      <c r="B854" s="8">
        <v>1</v>
      </c>
      <c r="C854" s="8" t="str">
        <f>C844</f>
        <v>집중</v>
      </c>
      <c r="D854" s="8">
        <v>3</v>
      </c>
      <c r="E854" s="8">
        <v>5</v>
      </c>
      <c r="F854" s="8">
        <v>2</v>
      </c>
      <c r="G854" s="8" t="s">
        <v>208</v>
      </c>
      <c r="H854" s="8">
        <f t="shared" si="55"/>
        <v>3502</v>
      </c>
      <c r="I854" s="8">
        <v>7000104</v>
      </c>
      <c r="J854" s="8">
        <v>18000</v>
      </c>
    </row>
    <row r="855" spans="1:10" x14ac:dyDescent="0.3">
      <c r="A855" s="8">
        <f t="shared" si="54"/>
        <v>3502002</v>
      </c>
      <c r="B855" s="8">
        <v>2</v>
      </c>
      <c r="C855" s="8" t="str">
        <f t="shared" ref="C855:C903" si="56">C845</f>
        <v>방어기제</v>
      </c>
      <c r="D855" s="8">
        <v>3</v>
      </c>
      <c r="E855" s="8">
        <v>5</v>
      </c>
      <c r="F855" s="8">
        <v>2</v>
      </c>
      <c r="G855" s="8" t="s">
        <v>208</v>
      </c>
      <c r="H855" s="8">
        <f t="shared" si="55"/>
        <v>3502</v>
      </c>
      <c r="I855" s="8">
        <v>7000117</v>
      </c>
      <c r="J855" s="8">
        <v>18000</v>
      </c>
    </row>
    <row r="856" spans="1:10" x14ac:dyDescent="0.3">
      <c r="A856" s="8">
        <f t="shared" si="54"/>
        <v>3502003</v>
      </c>
      <c r="B856" s="8">
        <v>3</v>
      </c>
      <c r="C856" s="8" t="str">
        <f t="shared" si="56"/>
        <v>투정</v>
      </c>
      <c r="D856" s="8">
        <v>3</v>
      </c>
      <c r="E856" s="8">
        <v>5</v>
      </c>
      <c r="F856" s="8">
        <v>2</v>
      </c>
      <c r="G856" s="8" t="s">
        <v>208</v>
      </c>
      <c r="H856" s="8">
        <f t="shared" si="55"/>
        <v>3502</v>
      </c>
      <c r="I856" s="8">
        <v>7000133</v>
      </c>
      <c r="J856" s="8">
        <v>18000</v>
      </c>
    </row>
    <row r="857" spans="1:10" x14ac:dyDescent="0.3">
      <c r="A857" s="8">
        <f t="shared" si="54"/>
        <v>3502004</v>
      </c>
      <c r="B857" s="8">
        <v>4</v>
      </c>
      <c r="C857" s="8" t="str">
        <f t="shared" si="56"/>
        <v>수완가</v>
      </c>
      <c r="D857" s="8">
        <v>3</v>
      </c>
      <c r="E857" s="8">
        <v>5</v>
      </c>
      <c r="F857" s="8">
        <v>2</v>
      </c>
      <c r="G857" s="8" t="s">
        <v>209</v>
      </c>
      <c r="H857" s="8">
        <f t="shared" si="55"/>
        <v>3502</v>
      </c>
      <c r="I857" s="8">
        <v>7000134</v>
      </c>
      <c r="J857" s="8">
        <v>14500</v>
      </c>
    </row>
    <row r="858" spans="1:10" x14ac:dyDescent="0.3">
      <c r="A858" s="8">
        <f t="shared" si="54"/>
        <v>3502005</v>
      </c>
      <c r="B858" s="8">
        <v>5</v>
      </c>
      <c r="C858" s="8" t="str">
        <f t="shared" si="56"/>
        <v>이기주의</v>
      </c>
      <c r="D858" s="8">
        <v>3</v>
      </c>
      <c r="E858" s="8">
        <v>5</v>
      </c>
      <c r="F858" s="8">
        <v>2</v>
      </c>
      <c r="G858" s="8" t="s">
        <v>209</v>
      </c>
      <c r="H858" s="8">
        <f t="shared" si="55"/>
        <v>3502</v>
      </c>
      <c r="I858" s="8">
        <v>7000135</v>
      </c>
      <c r="J858" s="8">
        <v>14500</v>
      </c>
    </row>
    <row r="859" spans="1:10" x14ac:dyDescent="0.3">
      <c r="A859" s="8">
        <f t="shared" si="54"/>
        <v>3502006</v>
      </c>
      <c r="B859" s="8">
        <v>6</v>
      </c>
      <c r="C859" s="8" t="str">
        <f t="shared" si="56"/>
        <v>애증</v>
      </c>
      <c r="D859" s="8">
        <v>3</v>
      </c>
      <c r="E859" s="8">
        <v>5</v>
      </c>
      <c r="F859" s="8">
        <v>2</v>
      </c>
      <c r="G859" s="8" t="s">
        <v>210</v>
      </c>
      <c r="H859" s="8">
        <f t="shared" si="55"/>
        <v>3502</v>
      </c>
      <c r="I859" s="8">
        <v>7000142</v>
      </c>
      <c r="J859" s="8">
        <v>9500</v>
      </c>
    </row>
    <row r="860" spans="1:10" x14ac:dyDescent="0.3">
      <c r="A860" s="8">
        <f t="shared" si="54"/>
        <v>3502007</v>
      </c>
      <c r="B860" s="8">
        <v>7</v>
      </c>
      <c r="C860" s="8" t="str">
        <f t="shared" si="56"/>
        <v>자비</v>
      </c>
      <c r="D860" s="8">
        <v>3</v>
      </c>
      <c r="E860" s="8">
        <v>5</v>
      </c>
      <c r="F860" s="8">
        <v>2</v>
      </c>
      <c r="G860" s="8" t="s">
        <v>210</v>
      </c>
      <c r="H860" s="8">
        <f t="shared" si="55"/>
        <v>3502</v>
      </c>
      <c r="I860" s="8">
        <v>7000164</v>
      </c>
      <c r="J860" s="8">
        <v>9500</v>
      </c>
    </row>
    <row r="861" spans="1:10" x14ac:dyDescent="0.3">
      <c r="A861" s="8">
        <f t="shared" si="54"/>
        <v>3502008</v>
      </c>
      <c r="B861" s="8">
        <v>8</v>
      </c>
      <c r="C861" s="8" t="str">
        <f t="shared" si="56"/>
        <v>헌신</v>
      </c>
      <c r="D861" s="8">
        <v>3</v>
      </c>
      <c r="E861" s="8">
        <v>5</v>
      </c>
      <c r="F861" s="8">
        <v>2</v>
      </c>
      <c r="G861" s="8" t="s">
        <v>211</v>
      </c>
      <c r="H861" s="8">
        <f t="shared" si="55"/>
        <v>3502</v>
      </c>
      <c r="I861" s="8">
        <v>7000158</v>
      </c>
      <c r="J861" s="8">
        <v>1900</v>
      </c>
    </row>
    <row r="862" spans="1:10" x14ac:dyDescent="0.3">
      <c r="A862" s="8">
        <f t="shared" si="54"/>
        <v>3502009</v>
      </c>
      <c r="B862" s="8">
        <v>9</v>
      </c>
      <c r="C862" s="8" t="str">
        <f t="shared" si="56"/>
        <v>생존본능</v>
      </c>
      <c r="D862" s="8">
        <v>3</v>
      </c>
      <c r="E862" s="8">
        <v>5</v>
      </c>
      <c r="F862" s="8">
        <v>2</v>
      </c>
      <c r="G862" s="8" t="s">
        <v>212</v>
      </c>
      <c r="H862" s="8">
        <f t="shared" si="55"/>
        <v>3502</v>
      </c>
      <c r="I862" s="8">
        <v>7000103</v>
      </c>
      <c r="J862" s="8">
        <v>500</v>
      </c>
    </row>
    <row r="863" spans="1:10" x14ac:dyDescent="0.3">
      <c r="A863" s="8">
        <f t="shared" si="54"/>
        <v>3502010</v>
      </c>
      <c r="B863" s="8">
        <v>10</v>
      </c>
      <c r="C863" s="8" t="str">
        <f t="shared" si="56"/>
        <v>자기 합리화</v>
      </c>
      <c r="D863" s="8">
        <v>3</v>
      </c>
      <c r="E863" s="8">
        <v>5</v>
      </c>
      <c r="F863" s="8">
        <v>2</v>
      </c>
      <c r="G863" s="8" t="s">
        <v>213</v>
      </c>
      <c r="H863" s="8">
        <f t="shared" si="55"/>
        <v>3502</v>
      </c>
      <c r="I863" s="8">
        <v>7000105</v>
      </c>
      <c r="J863" s="8">
        <v>100</v>
      </c>
    </row>
    <row r="864" spans="1:10" x14ac:dyDescent="0.3">
      <c r="A864" s="8">
        <f t="shared" si="54"/>
        <v>3503001</v>
      </c>
      <c r="B864" s="8">
        <v>1</v>
      </c>
      <c r="C864" s="8" t="str">
        <f>C854</f>
        <v>집중</v>
      </c>
      <c r="D864" s="8">
        <v>3</v>
      </c>
      <c r="E864" s="8">
        <v>5</v>
      </c>
      <c r="F864" s="8">
        <v>3</v>
      </c>
      <c r="G864" s="8" t="s">
        <v>208</v>
      </c>
      <c r="H864" s="8">
        <f t="shared" si="55"/>
        <v>3503</v>
      </c>
      <c r="I864" s="8">
        <v>7000104</v>
      </c>
      <c r="J864" s="8">
        <v>16000</v>
      </c>
    </row>
    <row r="865" spans="1:10" x14ac:dyDescent="0.3">
      <c r="A865" s="8">
        <f t="shared" si="54"/>
        <v>3503002</v>
      </c>
      <c r="B865" s="8">
        <v>2</v>
      </c>
      <c r="C865" s="8" t="str">
        <f t="shared" si="56"/>
        <v>방어기제</v>
      </c>
      <c r="D865" s="8">
        <v>3</v>
      </c>
      <c r="E865" s="8">
        <v>5</v>
      </c>
      <c r="F865" s="8">
        <v>3</v>
      </c>
      <c r="G865" s="8" t="s">
        <v>208</v>
      </c>
      <c r="H865" s="8">
        <f t="shared" si="55"/>
        <v>3503</v>
      </c>
      <c r="I865" s="8">
        <v>7000117</v>
      </c>
      <c r="J865" s="8">
        <v>16000</v>
      </c>
    </row>
    <row r="866" spans="1:10" x14ac:dyDescent="0.3">
      <c r="A866" s="8">
        <f t="shared" si="54"/>
        <v>3503003</v>
      </c>
      <c r="B866" s="8">
        <v>3</v>
      </c>
      <c r="C866" s="8" t="str">
        <f t="shared" si="56"/>
        <v>투정</v>
      </c>
      <c r="D866" s="8">
        <v>3</v>
      </c>
      <c r="E866" s="8">
        <v>5</v>
      </c>
      <c r="F866" s="8">
        <v>3</v>
      </c>
      <c r="G866" s="8" t="s">
        <v>208</v>
      </c>
      <c r="H866" s="8">
        <f t="shared" si="55"/>
        <v>3503</v>
      </c>
      <c r="I866" s="8">
        <v>7000133</v>
      </c>
      <c r="J866" s="8">
        <v>16000</v>
      </c>
    </row>
    <row r="867" spans="1:10" x14ac:dyDescent="0.3">
      <c r="A867" s="8">
        <f t="shared" si="54"/>
        <v>3503004</v>
      </c>
      <c r="B867" s="8">
        <v>4</v>
      </c>
      <c r="C867" s="8" t="str">
        <f t="shared" si="56"/>
        <v>수완가</v>
      </c>
      <c r="D867" s="8">
        <v>3</v>
      </c>
      <c r="E867" s="8">
        <v>5</v>
      </c>
      <c r="F867" s="8">
        <v>3</v>
      </c>
      <c r="G867" s="8" t="s">
        <v>209</v>
      </c>
      <c r="H867" s="8">
        <f t="shared" si="55"/>
        <v>3503</v>
      </c>
      <c r="I867" s="8">
        <v>7000134</v>
      </c>
      <c r="J867" s="8">
        <v>14000</v>
      </c>
    </row>
    <row r="868" spans="1:10" x14ac:dyDescent="0.3">
      <c r="A868" s="8">
        <f t="shared" si="54"/>
        <v>3503005</v>
      </c>
      <c r="B868" s="8">
        <v>5</v>
      </c>
      <c r="C868" s="8" t="str">
        <f t="shared" si="56"/>
        <v>이기주의</v>
      </c>
      <c r="D868" s="8">
        <v>3</v>
      </c>
      <c r="E868" s="8">
        <v>5</v>
      </c>
      <c r="F868" s="8">
        <v>3</v>
      </c>
      <c r="G868" s="8" t="s">
        <v>209</v>
      </c>
      <c r="H868" s="8">
        <f t="shared" si="55"/>
        <v>3503</v>
      </c>
      <c r="I868" s="8">
        <v>7000135</v>
      </c>
      <c r="J868" s="8">
        <v>14000</v>
      </c>
    </row>
    <row r="869" spans="1:10" x14ac:dyDescent="0.3">
      <c r="A869" s="8">
        <f t="shared" si="54"/>
        <v>3503006</v>
      </c>
      <c r="B869" s="8">
        <v>6</v>
      </c>
      <c r="C869" s="8" t="str">
        <f t="shared" si="56"/>
        <v>애증</v>
      </c>
      <c r="D869" s="8">
        <v>3</v>
      </c>
      <c r="E869" s="8">
        <v>5</v>
      </c>
      <c r="F869" s="8">
        <v>3</v>
      </c>
      <c r="G869" s="8" t="s">
        <v>210</v>
      </c>
      <c r="H869" s="8">
        <f t="shared" si="55"/>
        <v>3503</v>
      </c>
      <c r="I869" s="8">
        <v>7000142</v>
      </c>
      <c r="J869" s="8">
        <v>9000</v>
      </c>
    </row>
    <row r="870" spans="1:10" x14ac:dyDescent="0.3">
      <c r="A870" s="8">
        <f t="shared" si="54"/>
        <v>3503007</v>
      </c>
      <c r="B870" s="8">
        <v>7</v>
      </c>
      <c r="C870" s="8" t="str">
        <f t="shared" si="56"/>
        <v>자비</v>
      </c>
      <c r="D870" s="8">
        <v>3</v>
      </c>
      <c r="E870" s="8">
        <v>5</v>
      </c>
      <c r="F870" s="8">
        <v>3</v>
      </c>
      <c r="G870" s="8" t="s">
        <v>210</v>
      </c>
      <c r="H870" s="8">
        <f t="shared" si="55"/>
        <v>3503</v>
      </c>
      <c r="I870" s="8">
        <v>7000164</v>
      </c>
      <c r="J870" s="8">
        <v>9000</v>
      </c>
    </row>
    <row r="871" spans="1:10" x14ac:dyDescent="0.3">
      <c r="A871" s="8">
        <f t="shared" si="54"/>
        <v>3503008</v>
      </c>
      <c r="B871" s="8">
        <v>8</v>
      </c>
      <c r="C871" s="8" t="str">
        <f t="shared" si="56"/>
        <v>헌신</v>
      </c>
      <c r="D871" s="8">
        <v>3</v>
      </c>
      <c r="E871" s="8">
        <v>5</v>
      </c>
      <c r="F871" s="8">
        <v>3</v>
      </c>
      <c r="G871" s="8" t="s">
        <v>211</v>
      </c>
      <c r="H871" s="8">
        <f t="shared" si="55"/>
        <v>3503</v>
      </c>
      <c r="I871" s="8">
        <v>7000158</v>
      </c>
      <c r="J871" s="8">
        <v>1800</v>
      </c>
    </row>
    <row r="872" spans="1:10" x14ac:dyDescent="0.3">
      <c r="A872" s="8">
        <f t="shared" si="54"/>
        <v>3503009</v>
      </c>
      <c r="B872" s="8">
        <v>9</v>
      </c>
      <c r="C872" s="8" t="str">
        <f t="shared" si="56"/>
        <v>생존본능</v>
      </c>
      <c r="D872" s="8">
        <v>3</v>
      </c>
      <c r="E872" s="8">
        <v>5</v>
      </c>
      <c r="F872" s="8">
        <v>3</v>
      </c>
      <c r="G872" s="8" t="s">
        <v>212</v>
      </c>
      <c r="H872" s="8">
        <f t="shared" si="55"/>
        <v>3503</v>
      </c>
      <c r="I872" s="8">
        <v>7000103</v>
      </c>
      <c r="J872" s="8">
        <v>500</v>
      </c>
    </row>
    <row r="873" spans="1:10" x14ac:dyDescent="0.3">
      <c r="A873" s="8">
        <f t="shared" si="54"/>
        <v>3503010</v>
      </c>
      <c r="B873" s="8">
        <v>10</v>
      </c>
      <c r="C873" s="8" t="str">
        <f t="shared" si="56"/>
        <v>자기 합리화</v>
      </c>
      <c r="D873" s="8">
        <v>3</v>
      </c>
      <c r="E873" s="8">
        <v>5</v>
      </c>
      <c r="F873" s="8">
        <v>3</v>
      </c>
      <c r="G873" s="8" t="s">
        <v>213</v>
      </c>
      <c r="H873" s="8">
        <f t="shared" si="55"/>
        <v>3503</v>
      </c>
      <c r="I873" s="8">
        <v>7000105</v>
      </c>
      <c r="J873" s="8">
        <v>100</v>
      </c>
    </row>
    <row r="874" spans="1:10" x14ac:dyDescent="0.3">
      <c r="A874" s="8">
        <f t="shared" si="54"/>
        <v>3504001</v>
      </c>
      <c r="B874" s="8">
        <v>1</v>
      </c>
      <c r="C874" s="8" t="str">
        <f>C864</f>
        <v>집중</v>
      </c>
      <c r="D874" s="8">
        <v>3</v>
      </c>
      <c r="E874" s="8">
        <v>5</v>
      </c>
      <c r="F874" s="8">
        <v>4</v>
      </c>
      <c r="G874" s="8" t="s">
        <v>208</v>
      </c>
      <c r="H874" s="8">
        <f t="shared" si="55"/>
        <v>3504</v>
      </c>
      <c r="I874" s="8">
        <v>7000104</v>
      </c>
      <c r="J874" s="8">
        <v>14000</v>
      </c>
    </row>
    <row r="875" spans="1:10" x14ac:dyDescent="0.3">
      <c r="A875" s="8">
        <f t="shared" si="54"/>
        <v>3504002</v>
      </c>
      <c r="B875" s="8">
        <v>2</v>
      </c>
      <c r="C875" s="8" t="str">
        <f t="shared" si="56"/>
        <v>방어기제</v>
      </c>
      <c r="D875" s="8">
        <v>3</v>
      </c>
      <c r="E875" s="8">
        <v>5</v>
      </c>
      <c r="F875" s="8">
        <v>4</v>
      </c>
      <c r="G875" s="8" t="s">
        <v>208</v>
      </c>
      <c r="H875" s="8">
        <f t="shared" si="55"/>
        <v>3504</v>
      </c>
      <c r="I875" s="8">
        <v>7000117</v>
      </c>
      <c r="J875" s="8">
        <v>14000</v>
      </c>
    </row>
    <row r="876" spans="1:10" x14ac:dyDescent="0.3">
      <c r="A876" s="8">
        <f t="shared" si="54"/>
        <v>3504003</v>
      </c>
      <c r="B876" s="8">
        <v>3</v>
      </c>
      <c r="C876" s="8" t="str">
        <f t="shared" si="56"/>
        <v>투정</v>
      </c>
      <c r="D876" s="8">
        <v>3</v>
      </c>
      <c r="E876" s="8">
        <v>5</v>
      </c>
      <c r="F876" s="8">
        <v>4</v>
      </c>
      <c r="G876" s="8" t="s">
        <v>208</v>
      </c>
      <c r="H876" s="8">
        <f t="shared" si="55"/>
        <v>3504</v>
      </c>
      <c r="I876" s="8">
        <v>7000133</v>
      </c>
      <c r="J876" s="8">
        <v>14000</v>
      </c>
    </row>
    <row r="877" spans="1:10" x14ac:dyDescent="0.3">
      <c r="A877" s="8">
        <f t="shared" si="54"/>
        <v>3504004</v>
      </c>
      <c r="B877" s="8">
        <v>4</v>
      </c>
      <c r="C877" s="8" t="str">
        <f t="shared" si="56"/>
        <v>수완가</v>
      </c>
      <c r="D877" s="8">
        <v>3</v>
      </c>
      <c r="E877" s="8">
        <v>5</v>
      </c>
      <c r="F877" s="8">
        <v>4</v>
      </c>
      <c r="G877" s="8" t="s">
        <v>209</v>
      </c>
      <c r="H877" s="8">
        <f t="shared" si="55"/>
        <v>3504</v>
      </c>
      <c r="I877" s="8">
        <v>7000134</v>
      </c>
      <c r="J877" s="8">
        <v>13500</v>
      </c>
    </row>
    <row r="878" spans="1:10" x14ac:dyDescent="0.3">
      <c r="A878" s="8">
        <f t="shared" si="54"/>
        <v>3504005</v>
      </c>
      <c r="B878" s="8">
        <v>5</v>
      </c>
      <c r="C878" s="8" t="str">
        <f t="shared" si="56"/>
        <v>이기주의</v>
      </c>
      <c r="D878" s="8">
        <v>3</v>
      </c>
      <c r="E878" s="8">
        <v>5</v>
      </c>
      <c r="F878" s="8">
        <v>4</v>
      </c>
      <c r="G878" s="8" t="s">
        <v>209</v>
      </c>
      <c r="H878" s="8">
        <f t="shared" si="55"/>
        <v>3504</v>
      </c>
      <c r="I878" s="8">
        <v>7000135</v>
      </c>
      <c r="J878" s="8">
        <v>13500</v>
      </c>
    </row>
    <row r="879" spans="1:10" x14ac:dyDescent="0.3">
      <c r="A879" s="8">
        <f t="shared" si="54"/>
        <v>3504006</v>
      </c>
      <c r="B879" s="8">
        <v>6</v>
      </c>
      <c r="C879" s="8" t="str">
        <f t="shared" si="56"/>
        <v>애증</v>
      </c>
      <c r="D879" s="8">
        <v>3</v>
      </c>
      <c r="E879" s="8">
        <v>5</v>
      </c>
      <c r="F879" s="8">
        <v>4</v>
      </c>
      <c r="G879" s="8" t="s">
        <v>210</v>
      </c>
      <c r="H879" s="8">
        <f t="shared" si="55"/>
        <v>3504</v>
      </c>
      <c r="I879" s="8">
        <v>7000142</v>
      </c>
      <c r="J879" s="8">
        <v>8500</v>
      </c>
    </row>
    <row r="880" spans="1:10" x14ac:dyDescent="0.3">
      <c r="A880" s="8">
        <f t="shared" si="54"/>
        <v>3504007</v>
      </c>
      <c r="B880" s="8">
        <v>7</v>
      </c>
      <c r="C880" s="8" t="str">
        <f t="shared" si="56"/>
        <v>자비</v>
      </c>
      <c r="D880" s="8">
        <v>3</v>
      </c>
      <c r="E880" s="8">
        <v>5</v>
      </c>
      <c r="F880" s="8">
        <v>4</v>
      </c>
      <c r="G880" s="8" t="s">
        <v>210</v>
      </c>
      <c r="H880" s="8">
        <f t="shared" si="55"/>
        <v>3504</v>
      </c>
      <c r="I880" s="8">
        <v>7000164</v>
      </c>
      <c r="J880" s="8">
        <v>8500</v>
      </c>
    </row>
    <row r="881" spans="1:10" x14ac:dyDescent="0.3">
      <c r="A881" s="8">
        <f t="shared" si="54"/>
        <v>3504008</v>
      </c>
      <c r="B881" s="8">
        <v>8</v>
      </c>
      <c r="C881" s="8" t="str">
        <f t="shared" si="56"/>
        <v>헌신</v>
      </c>
      <c r="D881" s="8">
        <v>3</v>
      </c>
      <c r="E881" s="8">
        <v>5</v>
      </c>
      <c r="F881" s="8">
        <v>4</v>
      </c>
      <c r="G881" s="8" t="s">
        <v>211</v>
      </c>
      <c r="H881" s="8">
        <f t="shared" si="55"/>
        <v>3504</v>
      </c>
      <c r="I881" s="8">
        <v>7000158</v>
      </c>
      <c r="J881" s="8">
        <v>1700</v>
      </c>
    </row>
    <row r="882" spans="1:10" x14ac:dyDescent="0.3">
      <c r="A882" s="8">
        <f t="shared" si="54"/>
        <v>3504009</v>
      </c>
      <c r="B882" s="8">
        <v>9</v>
      </c>
      <c r="C882" s="8" t="str">
        <f t="shared" si="56"/>
        <v>생존본능</v>
      </c>
      <c r="D882" s="8">
        <v>3</v>
      </c>
      <c r="E882" s="8">
        <v>5</v>
      </c>
      <c r="F882" s="8">
        <v>4</v>
      </c>
      <c r="G882" s="8" t="s">
        <v>212</v>
      </c>
      <c r="H882" s="8">
        <f t="shared" si="55"/>
        <v>3504</v>
      </c>
      <c r="I882" s="8">
        <v>7000103</v>
      </c>
      <c r="J882" s="8">
        <v>500</v>
      </c>
    </row>
    <row r="883" spans="1:10" x14ac:dyDescent="0.3">
      <c r="A883" s="8">
        <f t="shared" si="54"/>
        <v>3504010</v>
      </c>
      <c r="B883" s="8">
        <v>10</v>
      </c>
      <c r="C883" s="8" t="str">
        <f t="shared" si="56"/>
        <v>자기 합리화</v>
      </c>
      <c r="D883" s="8">
        <v>3</v>
      </c>
      <c r="E883" s="8">
        <v>5</v>
      </c>
      <c r="F883" s="8">
        <v>4</v>
      </c>
      <c r="G883" s="8" t="s">
        <v>213</v>
      </c>
      <c r="H883" s="8">
        <f t="shared" si="55"/>
        <v>3504</v>
      </c>
      <c r="I883" s="8">
        <v>7000105</v>
      </c>
      <c r="J883" s="8">
        <v>100</v>
      </c>
    </row>
    <row r="884" spans="1:10" x14ac:dyDescent="0.3">
      <c r="A884" s="8">
        <f t="shared" si="54"/>
        <v>3505001</v>
      </c>
      <c r="B884" s="8">
        <v>1</v>
      </c>
      <c r="C884" s="8" t="str">
        <f>C874</f>
        <v>집중</v>
      </c>
      <c r="D884" s="8">
        <v>3</v>
      </c>
      <c r="E884" s="8">
        <v>5</v>
      </c>
      <c r="F884" s="8">
        <v>5</v>
      </c>
      <c r="G884" s="8" t="s">
        <v>208</v>
      </c>
      <c r="H884" s="8">
        <f t="shared" si="55"/>
        <v>3505</v>
      </c>
      <c r="I884" s="8">
        <v>7000104</v>
      </c>
      <c r="J884" s="8">
        <v>12000</v>
      </c>
    </row>
    <row r="885" spans="1:10" x14ac:dyDescent="0.3">
      <c r="A885" s="8">
        <f t="shared" si="54"/>
        <v>3505002</v>
      </c>
      <c r="B885" s="8">
        <v>2</v>
      </c>
      <c r="C885" s="8" t="str">
        <f t="shared" si="56"/>
        <v>방어기제</v>
      </c>
      <c r="D885" s="8">
        <v>3</v>
      </c>
      <c r="E885" s="8">
        <v>5</v>
      </c>
      <c r="F885" s="8">
        <v>5</v>
      </c>
      <c r="G885" s="8" t="s">
        <v>208</v>
      </c>
      <c r="H885" s="8">
        <f t="shared" si="55"/>
        <v>3505</v>
      </c>
      <c r="I885" s="8">
        <v>7000117</v>
      </c>
      <c r="J885" s="8">
        <v>12000</v>
      </c>
    </row>
    <row r="886" spans="1:10" x14ac:dyDescent="0.3">
      <c r="A886" s="8">
        <f t="shared" si="54"/>
        <v>3505003</v>
      </c>
      <c r="B886" s="8">
        <v>3</v>
      </c>
      <c r="C886" s="8" t="str">
        <f t="shared" si="56"/>
        <v>투정</v>
      </c>
      <c r="D886" s="8">
        <v>3</v>
      </c>
      <c r="E886" s="8">
        <v>5</v>
      </c>
      <c r="F886" s="8">
        <v>5</v>
      </c>
      <c r="G886" s="8" t="s">
        <v>208</v>
      </c>
      <c r="H886" s="8">
        <f t="shared" si="55"/>
        <v>3505</v>
      </c>
      <c r="I886" s="8">
        <v>7000133</v>
      </c>
      <c r="J886" s="8">
        <v>12000</v>
      </c>
    </row>
    <row r="887" spans="1:10" x14ac:dyDescent="0.3">
      <c r="A887" s="8">
        <f t="shared" si="54"/>
        <v>3505004</v>
      </c>
      <c r="B887" s="8">
        <v>4</v>
      </c>
      <c r="C887" s="8" t="str">
        <f t="shared" si="56"/>
        <v>수완가</v>
      </c>
      <c r="D887" s="8">
        <v>3</v>
      </c>
      <c r="E887" s="8">
        <v>5</v>
      </c>
      <c r="F887" s="8">
        <v>5</v>
      </c>
      <c r="G887" s="8" t="s">
        <v>209</v>
      </c>
      <c r="H887" s="8">
        <f t="shared" si="55"/>
        <v>3505</v>
      </c>
      <c r="I887" s="8">
        <v>7000134</v>
      </c>
      <c r="J887" s="8">
        <v>13000</v>
      </c>
    </row>
    <row r="888" spans="1:10" x14ac:dyDescent="0.3">
      <c r="A888" s="8">
        <f t="shared" si="54"/>
        <v>3505005</v>
      </c>
      <c r="B888" s="8">
        <v>5</v>
      </c>
      <c r="C888" s="8" t="str">
        <f t="shared" si="56"/>
        <v>이기주의</v>
      </c>
      <c r="D888" s="8">
        <v>3</v>
      </c>
      <c r="E888" s="8">
        <v>5</v>
      </c>
      <c r="F888" s="8">
        <v>5</v>
      </c>
      <c r="G888" s="8" t="s">
        <v>209</v>
      </c>
      <c r="H888" s="8">
        <f t="shared" si="55"/>
        <v>3505</v>
      </c>
      <c r="I888" s="8">
        <v>7000135</v>
      </c>
      <c r="J888" s="8">
        <v>13000</v>
      </c>
    </row>
    <row r="889" spans="1:10" x14ac:dyDescent="0.3">
      <c r="A889" s="8">
        <f t="shared" si="54"/>
        <v>3505006</v>
      </c>
      <c r="B889" s="8">
        <v>6</v>
      </c>
      <c r="C889" s="8" t="str">
        <f t="shared" si="56"/>
        <v>애증</v>
      </c>
      <c r="D889" s="8">
        <v>3</v>
      </c>
      <c r="E889" s="8">
        <v>5</v>
      </c>
      <c r="F889" s="8">
        <v>5</v>
      </c>
      <c r="G889" s="8" t="s">
        <v>210</v>
      </c>
      <c r="H889" s="8">
        <f t="shared" si="55"/>
        <v>3505</v>
      </c>
      <c r="I889" s="8">
        <v>7000142</v>
      </c>
      <c r="J889" s="8">
        <v>8000</v>
      </c>
    </row>
    <row r="890" spans="1:10" x14ac:dyDescent="0.3">
      <c r="A890" s="8">
        <f t="shared" si="54"/>
        <v>3505007</v>
      </c>
      <c r="B890" s="8">
        <v>7</v>
      </c>
      <c r="C890" s="8" t="str">
        <f t="shared" si="56"/>
        <v>자비</v>
      </c>
      <c r="D890" s="8">
        <v>3</v>
      </c>
      <c r="E890" s="8">
        <v>5</v>
      </c>
      <c r="F890" s="8">
        <v>5</v>
      </c>
      <c r="G890" s="8" t="s">
        <v>210</v>
      </c>
      <c r="H890" s="8">
        <f t="shared" si="55"/>
        <v>3505</v>
      </c>
      <c r="I890" s="8">
        <v>7000164</v>
      </c>
      <c r="J890" s="8">
        <v>8000</v>
      </c>
    </row>
    <row r="891" spans="1:10" x14ac:dyDescent="0.3">
      <c r="A891" s="8">
        <f t="shared" si="54"/>
        <v>3505008</v>
      </c>
      <c r="B891" s="8">
        <v>8</v>
      </c>
      <c r="C891" s="8" t="str">
        <f t="shared" si="56"/>
        <v>헌신</v>
      </c>
      <c r="D891" s="8">
        <v>3</v>
      </c>
      <c r="E891" s="8">
        <v>5</v>
      </c>
      <c r="F891" s="8">
        <v>5</v>
      </c>
      <c r="G891" s="8" t="s">
        <v>211</v>
      </c>
      <c r="H891" s="8">
        <f t="shared" si="55"/>
        <v>3505</v>
      </c>
      <c r="I891" s="8">
        <v>7000158</v>
      </c>
      <c r="J891" s="8">
        <v>1600</v>
      </c>
    </row>
    <row r="892" spans="1:10" x14ac:dyDescent="0.3">
      <c r="A892" s="8">
        <f t="shared" si="54"/>
        <v>3505009</v>
      </c>
      <c r="B892" s="8">
        <v>9</v>
      </c>
      <c r="C892" s="8" t="str">
        <f t="shared" si="56"/>
        <v>생존본능</v>
      </c>
      <c r="D892" s="8">
        <v>3</v>
      </c>
      <c r="E892" s="8">
        <v>5</v>
      </c>
      <c r="F892" s="8">
        <v>5</v>
      </c>
      <c r="G892" s="8" t="s">
        <v>212</v>
      </c>
      <c r="H892" s="8">
        <f t="shared" si="55"/>
        <v>3505</v>
      </c>
      <c r="I892" s="8">
        <v>7000103</v>
      </c>
      <c r="J892" s="8">
        <v>500</v>
      </c>
    </row>
    <row r="893" spans="1:10" x14ac:dyDescent="0.3">
      <c r="A893" s="8">
        <f t="shared" si="54"/>
        <v>3505010</v>
      </c>
      <c r="B893" s="8">
        <v>10</v>
      </c>
      <c r="C893" s="8" t="str">
        <f t="shared" si="56"/>
        <v>자기 합리화</v>
      </c>
      <c r="D893" s="8">
        <v>3</v>
      </c>
      <c r="E893" s="8">
        <v>5</v>
      </c>
      <c r="F893" s="8">
        <v>5</v>
      </c>
      <c r="G893" s="8" t="s">
        <v>213</v>
      </c>
      <c r="H893" s="8">
        <f t="shared" si="55"/>
        <v>3505</v>
      </c>
      <c r="I893" s="8">
        <v>7000105</v>
      </c>
      <c r="J893" s="8">
        <v>100</v>
      </c>
    </row>
    <row r="894" spans="1:10" x14ac:dyDescent="0.3">
      <c r="A894" s="8">
        <f t="shared" si="54"/>
        <v>3506001</v>
      </c>
      <c r="B894" s="8">
        <v>1</v>
      </c>
      <c r="C894" s="8" t="str">
        <f>C884</f>
        <v>집중</v>
      </c>
      <c r="D894" s="8">
        <v>3</v>
      </c>
      <c r="E894" s="8">
        <v>5</v>
      </c>
      <c r="F894" s="8">
        <v>6</v>
      </c>
      <c r="G894" s="8" t="s">
        <v>208</v>
      </c>
      <c r="H894" s="8">
        <f t="shared" si="55"/>
        <v>3506</v>
      </c>
      <c r="I894" s="8">
        <v>7000104</v>
      </c>
      <c r="J894" s="8">
        <v>10000</v>
      </c>
    </row>
    <row r="895" spans="1:10" x14ac:dyDescent="0.3">
      <c r="A895" s="8">
        <f t="shared" si="54"/>
        <v>3506002</v>
      </c>
      <c r="B895" s="8">
        <v>2</v>
      </c>
      <c r="C895" s="8" t="str">
        <f t="shared" si="56"/>
        <v>방어기제</v>
      </c>
      <c r="D895" s="8">
        <v>3</v>
      </c>
      <c r="E895" s="8">
        <v>5</v>
      </c>
      <c r="F895" s="8">
        <v>6</v>
      </c>
      <c r="G895" s="8" t="s">
        <v>208</v>
      </c>
      <c r="H895" s="8">
        <f t="shared" si="55"/>
        <v>3506</v>
      </c>
      <c r="I895" s="8">
        <v>7000117</v>
      </c>
      <c r="J895" s="8">
        <v>10000</v>
      </c>
    </row>
    <row r="896" spans="1:10" x14ac:dyDescent="0.3">
      <c r="A896" s="8">
        <f t="shared" si="54"/>
        <v>3506003</v>
      </c>
      <c r="B896" s="8">
        <v>3</v>
      </c>
      <c r="C896" s="8" t="str">
        <f t="shared" si="56"/>
        <v>투정</v>
      </c>
      <c r="D896" s="8">
        <v>3</v>
      </c>
      <c r="E896" s="8">
        <v>5</v>
      </c>
      <c r="F896" s="8">
        <v>6</v>
      </c>
      <c r="G896" s="8" t="s">
        <v>208</v>
      </c>
      <c r="H896" s="8">
        <f t="shared" si="55"/>
        <v>3506</v>
      </c>
      <c r="I896" s="8">
        <v>7000133</v>
      </c>
      <c r="J896" s="8">
        <v>10000</v>
      </c>
    </row>
    <row r="897" spans="1:10" x14ac:dyDescent="0.3">
      <c r="A897" s="8">
        <f t="shared" si="54"/>
        <v>3506004</v>
      </c>
      <c r="B897" s="8">
        <v>4</v>
      </c>
      <c r="C897" s="8" t="str">
        <f t="shared" si="56"/>
        <v>수완가</v>
      </c>
      <c r="D897" s="8">
        <v>3</v>
      </c>
      <c r="E897" s="8">
        <v>5</v>
      </c>
      <c r="F897" s="8">
        <v>6</v>
      </c>
      <c r="G897" s="8" t="s">
        <v>209</v>
      </c>
      <c r="H897" s="8">
        <f t="shared" si="55"/>
        <v>3506</v>
      </c>
      <c r="I897" s="8">
        <v>7000134</v>
      </c>
      <c r="J897" s="8">
        <v>12500</v>
      </c>
    </row>
    <row r="898" spans="1:10" x14ac:dyDescent="0.3">
      <c r="A898" s="8">
        <f t="shared" si="54"/>
        <v>3506005</v>
      </c>
      <c r="B898" s="8">
        <v>5</v>
      </c>
      <c r="C898" s="8" t="str">
        <f t="shared" si="56"/>
        <v>이기주의</v>
      </c>
      <c r="D898" s="8">
        <v>3</v>
      </c>
      <c r="E898" s="8">
        <v>5</v>
      </c>
      <c r="F898" s="8">
        <v>6</v>
      </c>
      <c r="G898" s="8" t="s">
        <v>209</v>
      </c>
      <c r="H898" s="8">
        <f t="shared" si="55"/>
        <v>3506</v>
      </c>
      <c r="I898" s="8">
        <v>7000135</v>
      </c>
      <c r="J898" s="8">
        <v>12500</v>
      </c>
    </row>
    <row r="899" spans="1:10" x14ac:dyDescent="0.3">
      <c r="A899" s="8">
        <f t="shared" si="54"/>
        <v>3506006</v>
      </c>
      <c r="B899" s="8">
        <v>6</v>
      </c>
      <c r="C899" s="8" t="str">
        <f t="shared" si="56"/>
        <v>애증</v>
      </c>
      <c r="D899" s="8">
        <v>3</v>
      </c>
      <c r="E899" s="8">
        <v>5</v>
      </c>
      <c r="F899" s="8">
        <v>6</v>
      </c>
      <c r="G899" s="8" t="s">
        <v>210</v>
      </c>
      <c r="H899" s="8">
        <f t="shared" si="55"/>
        <v>3506</v>
      </c>
      <c r="I899" s="8">
        <v>7000142</v>
      </c>
      <c r="J899" s="8">
        <v>7500</v>
      </c>
    </row>
    <row r="900" spans="1:10" x14ac:dyDescent="0.3">
      <c r="A900" s="8">
        <f t="shared" si="54"/>
        <v>3506007</v>
      </c>
      <c r="B900" s="8">
        <v>7</v>
      </c>
      <c r="C900" s="8" t="str">
        <f t="shared" si="56"/>
        <v>자비</v>
      </c>
      <c r="D900" s="8">
        <v>3</v>
      </c>
      <c r="E900" s="8">
        <v>5</v>
      </c>
      <c r="F900" s="8">
        <v>6</v>
      </c>
      <c r="G900" s="8" t="s">
        <v>210</v>
      </c>
      <c r="H900" s="8">
        <f t="shared" si="55"/>
        <v>3506</v>
      </c>
      <c r="I900" s="8">
        <v>7000164</v>
      </c>
      <c r="J900" s="8">
        <v>7500</v>
      </c>
    </row>
    <row r="901" spans="1:10" x14ac:dyDescent="0.3">
      <c r="A901" s="8">
        <f t="shared" si="54"/>
        <v>3506008</v>
      </c>
      <c r="B901" s="8">
        <v>8</v>
      </c>
      <c r="C901" s="8" t="str">
        <f t="shared" si="56"/>
        <v>헌신</v>
      </c>
      <c r="D901" s="8">
        <v>3</v>
      </c>
      <c r="E901" s="8">
        <v>5</v>
      </c>
      <c r="F901" s="8">
        <v>6</v>
      </c>
      <c r="G901" s="8" t="s">
        <v>211</v>
      </c>
      <c r="H901" s="8">
        <f t="shared" si="55"/>
        <v>3506</v>
      </c>
      <c r="I901" s="8">
        <v>7000158</v>
      </c>
      <c r="J901" s="8">
        <v>1500</v>
      </c>
    </row>
    <row r="902" spans="1:10" x14ac:dyDescent="0.3">
      <c r="A902" s="8">
        <f t="shared" si="54"/>
        <v>3506009</v>
      </c>
      <c r="B902" s="8">
        <v>9</v>
      </c>
      <c r="C902" s="8" t="str">
        <f t="shared" si="56"/>
        <v>생존본능</v>
      </c>
      <c r="D902" s="8">
        <v>3</v>
      </c>
      <c r="E902" s="8">
        <v>5</v>
      </c>
      <c r="F902" s="8">
        <v>6</v>
      </c>
      <c r="G902" s="8" t="s">
        <v>212</v>
      </c>
      <c r="H902" s="8">
        <f t="shared" si="55"/>
        <v>3506</v>
      </c>
      <c r="I902" s="8">
        <v>7000103</v>
      </c>
      <c r="J902" s="8">
        <v>500</v>
      </c>
    </row>
    <row r="903" spans="1:10" x14ac:dyDescent="0.3">
      <c r="A903" s="8">
        <f t="shared" si="54"/>
        <v>3506010</v>
      </c>
      <c r="B903" s="8">
        <v>10</v>
      </c>
      <c r="C903" s="8" t="str">
        <f t="shared" si="56"/>
        <v>자기 합리화</v>
      </c>
      <c r="D903" s="8">
        <v>3</v>
      </c>
      <c r="E903" s="8">
        <v>5</v>
      </c>
      <c r="F903" s="8">
        <v>6</v>
      </c>
      <c r="G903" s="8" t="s">
        <v>213</v>
      </c>
      <c r="H903" s="8">
        <f t="shared" si="55"/>
        <v>3506</v>
      </c>
      <c r="I903" s="8">
        <v>7000105</v>
      </c>
      <c r="J903" s="8">
        <v>100</v>
      </c>
    </row>
    <row r="904" spans="1:10" x14ac:dyDescent="0.3">
      <c r="A904" s="11">
        <f>INT(H904&amp;TEXT(B904,"000"))</f>
        <v>4101001</v>
      </c>
      <c r="B904" s="11">
        <v>1</v>
      </c>
      <c r="C904" s="11" t="s">
        <v>336</v>
      </c>
      <c r="D904" s="11">
        <v>4</v>
      </c>
      <c r="E904" s="11">
        <v>1</v>
      </c>
      <c r="F904" s="11">
        <v>1</v>
      </c>
      <c r="G904" s="11" t="s">
        <v>208</v>
      </c>
      <c r="H904" s="11">
        <f>INT(D904&amp;E904&amp;TEXT(F904,"00"))</f>
        <v>4101</v>
      </c>
      <c r="I904" s="11">
        <v>7000101</v>
      </c>
      <c r="J904" s="11">
        <v>20000</v>
      </c>
    </row>
    <row r="905" spans="1:10" x14ac:dyDescent="0.3">
      <c r="A905" s="10">
        <f t="shared" ref="A905:A963" si="57">INT(H905&amp;TEXT(B905,"000"))</f>
        <v>4101002</v>
      </c>
      <c r="B905" s="10">
        <v>2</v>
      </c>
      <c r="C905" s="10" t="s">
        <v>337</v>
      </c>
      <c r="D905" s="10">
        <v>4</v>
      </c>
      <c r="E905" s="10">
        <v>1</v>
      </c>
      <c r="F905" s="10">
        <v>1</v>
      </c>
      <c r="G905" s="10" t="s">
        <v>208</v>
      </c>
      <c r="H905" s="10">
        <f t="shared" ref="H905:H963" si="58">INT(D905&amp;E905&amp;TEXT(F905,"00"))</f>
        <v>4101</v>
      </c>
      <c r="I905" s="10">
        <v>7000106</v>
      </c>
      <c r="J905" s="10">
        <v>20000</v>
      </c>
    </row>
    <row r="906" spans="1:10" x14ac:dyDescent="0.3">
      <c r="A906" s="10">
        <f t="shared" si="57"/>
        <v>4101003</v>
      </c>
      <c r="B906" s="10">
        <v>3</v>
      </c>
      <c r="C906" s="10" t="s">
        <v>339</v>
      </c>
      <c r="D906" s="10">
        <v>4</v>
      </c>
      <c r="E906" s="10">
        <v>1</v>
      </c>
      <c r="F906" s="10">
        <v>1</v>
      </c>
      <c r="G906" s="10" t="s">
        <v>208</v>
      </c>
      <c r="H906" s="10">
        <f t="shared" si="58"/>
        <v>4101</v>
      </c>
      <c r="I906" s="10">
        <v>7000109</v>
      </c>
      <c r="J906" s="10">
        <v>20000</v>
      </c>
    </row>
    <row r="907" spans="1:10" x14ac:dyDescent="0.3">
      <c r="A907" s="10">
        <f t="shared" si="57"/>
        <v>4101004</v>
      </c>
      <c r="B907" s="10">
        <v>4</v>
      </c>
      <c r="C907" s="10" t="s">
        <v>367</v>
      </c>
      <c r="D907" s="10">
        <v>4</v>
      </c>
      <c r="E907" s="10">
        <v>1</v>
      </c>
      <c r="F907" s="10">
        <v>1</v>
      </c>
      <c r="G907" s="10" t="s">
        <v>223</v>
      </c>
      <c r="H907" s="10">
        <f t="shared" si="58"/>
        <v>4101</v>
      </c>
      <c r="I907" s="10">
        <v>7000119</v>
      </c>
      <c r="J907" s="10">
        <v>15000</v>
      </c>
    </row>
    <row r="908" spans="1:10" x14ac:dyDescent="0.3">
      <c r="A908" s="10">
        <f t="shared" si="57"/>
        <v>4101005</v>
      </c>
      <c r="B908" s="10">
        <v>5</v>
      </c>
      <c r="C908" s="10" t="s">
        <v>395</v>
      </c>
      <c r="D908" s="10">
        <v>4</v>
      </c>
      <c r="E908" s="10">
        <v>1</v>
      </c>
      <c r="F908" s="10">
        <v>1</v>
      </c>
      <c r="G908" s="10" t="s">
        <v>223</v>
      </c>
      <c r="H908" s="10">
        <f t="shared" si="58"/>
        <v>4101</v>
      </c>
      <c r="I908" s="10">
        <v>7000166</v>
      </c>
      <c r="J908" s="10">
        <v>15000</v>
      </c>
    </row>
    <row r="909" spans="1:10" x14ac:dyDescent="0.3">
      <c r="A909" s="10">
        <f t="shared" si="57"/>
        <v>4101006</v>
      </c>
      <c r="B909" s="10">
        <v>6</v>
      </c>
      <c r="C909" s="10" t="s">
        <v>368</v>
      </c>
      <c r="D909" s="10">
        <v>4</v>
      </c>
      <c r="E909" s="10">
        <v>1</v>
      </c>
      <c r="F909" s="10">
        <v>1</v>
      </c>
      <c r="G909" s="10" t="s">
        <v>222</v>
      </c>
      <c r="H909" s="10">
        <f t="shared" si="58"/>
        <v>4101</v>
      </c>
      <c r="I909" s="10">
        <v>7000122</v>
      </c>
      <c r="J909" s="10">
        <v>10000</v>
      </c>
    </row>
    <row r="910" spans="1:10" x14ac:dyDescent="0.3">
      <c r="A910" s="10">
        <f t="shared" si="57"/>
        <v>4101007</v>
      </c>
      <c r="B910" s="10">
        <v>7</v>
      </c>
      <c r="C910" s="10" t="s">
        <v>349</v>
      </c>
      <c r="D910" s="10">
        <v>4</v>
      </c>
      <c r="E910" s="10">
        <v>1</v>
      </c>
      <c r="F910" s="10">
        <v>1</v>
      </c>
      <c r="G910" s="10" t="s">
        <v>222</v>
      </c>
      <c r="H910" s="10">
        <f t="shared" si="58"/>
        <v>4101</v>
      </c>
      <c r="I910" s="10">
        <v>7000137</v>
      </c>
      <c r="J910" s="10">
        <v>10000</v>
      </c>
    </row>
    <row r="911" spans="1:10" x14ac:dyDescent="0.3">
      <c r="A911" s="10">
        <f t="shared" si="57"/>
        <v>4101008</v>
      </c>
      <c r="B911" s="10">
        <v>8</v>
      </c>
      <c r="C911" s="10" t="s">
        <v>389</v>
      </c>
      <c r="D911" s="10">
        <v>4</v>
      </c>
      <c r="E911" s="10">
        <v>1</v>
      </c>
      <c r="F911" s="10">
        <v>1</v>
      </c>
      <c r="G911" s="10" t="s">
        <v>211</v>
      </c>
      <c r="H911" s="10">
        <f t="shared" si="58"/>
        <v>4101</v>
      </c>
      <c r="I911" s="10">
        <v>7000168</v>
      </c>
      <c r="J911" s="10">
        <v>2000</v>
      </c>
    </row>
    <row r="912" spans="1:10" x14ac:dyDescent="0.3">
      <c r="A912" s="10">
        <f t="shared" si="57"/>
        <v>4101009</v>
      </c>
      <c r="B912" s="10">
        <v>9</v>
      </c>
      <c r="C912" s="10" t="s">
        <v>390</v>
      </c>
      <c r="D912" s="10">
        <v>4</v>
      </c>
      <c r="E912" s="10">
        <v>1</v>
      </c>
      <c r="F912" s="10">
        <v>1</v>
      </c>
      <c r="G912" s="10" t="s">
        <v>212</v>
      </c>
      <c r="H912" s="10">
        <f t="shared" si="58"/>
        <v>4101</v>
      </c>
      <c r="I912" s="10">
        <v>7000152</v>
      </c>
      <c r="J912" s="10">
        <v>500</v>
      </c>
    </row>
    <row r="913" spans="1:10" x14ac:dyDescent="0.3">
      <c r="A913" s="10">
        <f t="shared" si="57"/>
        <v>4101010</v>
      </c>
      <c r="B913" s="10">
        <v>10</v>
      </c>
      <c r="C913" s="10" t="s">
        <v>345</v>
      </c>
      <c r="D913" s="10">
        <v>4</v>
      </c>
      <c r="E913" s="10">
        <v>1</v>
      </c>
      <c r="F913" s="10">
        <v>1</v>
      </c>
      <c r="G913" s="10" t="s">
        <v>213</v>
      </c>
      <c r="H913" s="10">
        <f t="shared" si="58"/>
        <v>4101</v>
      </c>
      <c r="I913" s="10">
        <v>7000174</v>
      </c>
      <c r="J913" s="10">
        <v>100</v>
      </c>
    </row>
    <row r="914" spans="1:10" x14ac:dyDescent="0.3">
      <c r="A914" s="10">
        <f t="shared" si="57"/>
        <v>4102001</v>
      </c>
      <c r="B914" s="10">
        <v>1</v>
      </c>
      <c r="C914" s="10" t="str">
        <f>C904</f>
        <v>투쟁심</v>
      </c>
      <c r="D914" s="10">
        <v>4</v>
      </c>
      <c r="E914" s="10">
        <v>1</v>
      </c>
      <c r="F914" s="10">
        <v>2</v>
      </c>
      <c r="G914" s="10" t="s">
        <v>208</v>
      </c>
      <c r="H914" s="10">
        <f t="shared" si="58"/>
        <v>4102</v>
      </c>
      <c r="I914" s="10">
        <v>7000101</v>
      </c>
      <c r="J914" s="10">
        <v>18000</v>
      </c>
    </row>
    <row r="915" spans="1:10" x14ac:dyDescent="0.3">
      <c r="A915" s="10">
        <f t="shared" si="57"/>
        <v>4102002</v>
      </c>
      <c r="B915" s="10">
        <v>2</v>
      </c>
      <c r="C915" s="10" t="str">
        <f t="shared" ref="C915:C963" si="59">C905</f>
        <v>원칙주의자</v>
      </c>
      <c r="D915" s="10">
        <v>4</v>
      </c>
      <c r="E915" s="10">
        <v>1</v>
      </c>
      <c r="F915" s="10">
        <v>2</v>
      </c>
      <c r="G915" s="10" t="s">
        <v>208</v>
      </c>
      <c r="H915" s="10">
        <f t="shared" si="58"/>
        <v>4102</v>
      </c>
      <c r="I915" s="10">
        <v>7000106</v>
      </c>
      <c r="J915" s="10">
        <v>18000</v>
      </c>
    </row>
    <row r="916" spans="1:10" x14ac:dyDescent="0.3">
      <c r="A916" s="10">
        <f t="shared" si="57"/>
        <v>4102003</v>
      </c>
      <c r="B916" s="10">
        <v>3</v>
      </c>
      <c r="C916" s="10" t="str">
        <f t="shared" si="59"/>
        <v>예리</v>
      </c>
      <c r="D916" s="10">
        <v>4</v>
      </c>
      <c r="E916" s="10">
        <v>1</v>
      </c>
      <c r="F916" s="10">
        <v>2</v>
      </c>
      <c r="G916" s="10" t="s">
        <v>208</v>
      </c>
      <c r="H916" s="10">
        <f t="shared" si="58"/>
        <v>4102</v>
      </c>
      <c r="I916" s="10">
        <v>7000109</v>
      </c>
      <c r="J916" s="10">
        <v>18000</v>
      </c>
    </row>
    <row r="917" spans="1:10" x14ac:dyDescent="0.3">
      <c r="A917" s="10">
        <f t="shared" si="57"/>
        <v>4102004</v>
      </c>
      <c r="B917" s="10">
        <v>4</v>
      </c>
      <c r="C917" s="10" t="str">
        <f t="shared" si="59"/>
        <v>다재다능</v>
      </c>
      <c r="D917" s="10">
        <v>4</v>
      </c>
      <c r="E917" s="10">
        <v>1</v>
      </c>
      <c r="F917" s="10">
        <v>2</v>
      </c>
      <c r="G917" s="10" t="s">
        <v>209</v>
      </c>
      <c r="H917" s="10">
        <f t="shared" si="58"/>
        <v>4102</v>
      </c>
      <c r="I917" s="10">
        <v>7000119</v>
      </c>
      <c r="J917" s="10">
        <v>14500</v>
      </c>
    </row>
    <row r="918" spans="1:10" x14ac:dyDescent="0.3">
      <c r="A918" s="10">
        <f t="shared" si="57"/>
        <v>4102005</v>
      </c>
      <c r="B918" s="10">
        <v>5</v>
      </c>
      <c r="C918" s="10" t="str">
        <f t="shared" si="59"/>
        <v>우월감</v>
      </c>
      <c r="D918" s="10">
        <v>4</v>
      </c>
      <c r="E918" s="10">
        <v>1</v>
      </c>
      <c r="F918" s="10">
        <v>2</v>
      </c>
      <c r="G918" s="10" t="s">
        <v>209</v>
      </c>
      <c r="H918" s="10">
        <f t="shared" si="58"/>
        <v>4102</v>
      </c>
      <c r="I918" s="10">
        <v>7000166</v>
      </c>
      <c r="J918" s="10">
        <v>14500</v>
      </c>
    </row>
    <row r="919" spans="1:10" x14ac:dyDescent="0.3">
      <c r="A919" s="10">
        <f t="shared" si="57"/>
        <v>4102006</v>
      </c>
      <c r="B919" s="10">
        <v>6</v>
      </c>
      <c r="C919" s="10" t="str">
        <f t="shared" si="59"/>
        <v>기회주의자</v>
      </c>
      <c r="D919" s="10">
        <v>4</v>
      </c>
      <c r="E919" s="10">
        <v>1</v>
      </c>
      <c r="F919" s="10">
        <v>2</v>
      </c>
      <c r="G919" s="10" t="s">
        <v>210</v>
      </c>
      <c r="H919" s="10">
        <f t="shared" si="58"/>
        <v>4102</v>
      </c>
      <c r="I919" s="10">
        <v>7000122</v>
      </c>
      <c r="J919" s="10">
        <v>9500</v>
      </c>
    </row>
    <row r="920" spans="1:10" x14ac:dyDescent="0.3">
      <c r="A920" s="10">
        <f t="shared" si="57"/>
        <v>4102007</v>
      </c>
      <c r="B920" s="10">
        <v>7</v>
      </c>
      <c r="C920" s="10" t="str">
        <f t="shared" si="59"/>
        <v>정정당당</v>
      </c>
      <c r="D920" s="10">
        <v>4</v>
      </c>
      <c r="E920" s="10">
        <v>1</v>
      </c>
      <c r="F920" s="10">
        <v>2</v>
      </c>
      <c r="G920" s="10" t="s">
        <v>210</v>
      </c>
      <c r="H920" s="10">
        <f t="shared" si="58"/>
        <v>4102</v>
      </c>
      <c r="I920" s="10">
        <v>7000137</v>
      </c>
      <c r="J920" s="10">
        <v>9500</v>
      </c>
    </row>
    <row r="921" spans="1:10" x14ac:dyDescent="0.3">
      <c r="A921" s="10">
        <f t="shared" si="57"/>
        <v>4102008</v>
      </c>
      <c r="B921" s="10">
        <v>8</v>
      </c>
      <c r="C921" s="10" t="str">
        <f t="shared" si="59"/>
        <v>호승심</v>
      </c>
      <c r="D921" s="10">
        <v>4</v>
      </c>
      <c r="E921" s="10">
        <v>1</v>
      </c>
      <c r="F921" s="10">
        <v>2</v>
      </c>
      <c r="G921" s="10" t="s">
        <v>211</v>
      </c>
      <c r="H921" s="10">
        <f t="shared" si="58"/>
        <v>4102</v>
      </c>
      <c r="I921" s="10">
        <v>7000168</v>
      </c>
      <c r="J921" s="10">
        <v>1900</v>
      </c>
    </row>
    <row r="922" spans="1:10" x14ac:dyDescent="0.3">
      <c r="A922" s="10">
        <f t="shared" si="57"/>
        <v>4102009</v>
      </c>
      <c r="B922" s="10">
        <v>9</v>
      </c>
      <c r="C922" s="10" t="str">
        <f t="shared" si="59"/>
        <v>선발주자</v>
      </c>
      <c r="D922" s="10">
        <v>4</v>
      </c>
      <c r="E922" s="10">
        <v>1</v>
      </c>
      <c r="F922" s="10">
        <v>2</v>
      </c>
      <c r="G922" s="10" t="s">
        <v>212</v>
      </c>
      <c r="H922" s="10">
        <f t="shared" si="58"/>
        <v>4102</v>
      </c>
      <c r="I922" s="10">
        <v>7000152</v>
      </c>
      <c r="J922" s="10">
        <v>500</v>
      </c>
    </row>
    <row r="923" spans="1:10" x14ac:dyDescent="0.3">
      <c r="A923" s="10">
        <f t="shared" si="57"/>
        <v>4102010</v>
      </c>
      <c r="B923" s="10">
        <v>10</v>
      </c>
      <c r="C923" s="10" t="str">
        <f t="shared" si="59"/>
        <v>자기연소</v>
      </c>
      <c r="D923" s="10">
        <v>4</v>
      </c>
      <c r="E923" s="10">
        <v>1</v>
      </c>
      <c r="F923" s="10">
        <v>2</v>
      </c>
      <c r="G923" s="10" t="s">
        <v>213</v>
      </c>
      <c r="H923" s="10">
        <f t="shared" si="58"/>
        <v>4102</v>
      </c>
      <c r="I923" s="10">
        <v>7000174</v>
      </c>
      <c r="J923" s="10">
        <v>100</v>
      </c>
    </row>
    <row r="924" spans="1:10" x14ac:dyDescent="0.3">
      <c r="A924" s="10">
        <f t="shared" si="57"/>
        <v>4103001</v>
      </c>
      <c r="B924" s="10">
        <v>1</v>
      </c>
      <c r="C924" s="10" t="str">
        <f>C914</f>
        <v>투쟁심</v>
      </c>
      <c r="D924" s="10">
        <v>4</v>
      </c>
      <c r="E924" s="10">
        <v>1</v>
      </c>
      <c r="F924" s="10">
        <v>3</v>
      </c>
      <c r="G924" s="10" t="s">
        <v>208</v>
      </c>
      <c r="H924" s="10">
        <f t="shared" si="58"/>
        <v>4103</v>
      </c>
      <c r="I924" s="10">
        <v>7000101</v>
      </c>
      <c r="J924" s="10">
        <v>16000</v>
      </c>
    </row>
    <row r="925" spans="1:10" x14ac:dyDescent="0.3">
      <c r="A925" s="10">
        <f t="shared" si="57"/>
        <v>4103002</v>
      </c>
      <c r="B925" s="10">
        <v>2</v>
      </c>
      <c r="C925" s="10" t="str">
        <f t="shared" si="59"/>
        <v>원칙주의자</v>
      </c>
      <c r="D925" s="10">
        <v>4</v>
      </c>
      <c r="E925" s="10">
        <v>1</v>
      </c>
      <c r="F925" s="10">
        <v>3</v>
      </c>
      <c r="G925" s="10" t="s">
        <v>208</v>
      </c>
      <c r="H925" s="10">
        <f t="shared" si="58"/>
        <v>4103</v>
      </c>
      <c r="I925" s="10">
        <v>7000106</v>
      </c>
      <c r="J925" s="10">
        <v>16000</v>
      </c>
    </row>
    <row r="926" spans="1:10" x14ac:dyDescent="0.3">
      <c r="A926" s="10">
        <f t="shared" si="57"/>
        <v>4103003</v>
      </c>
      <c r="B926" s="10">
        <v>3</v>
      </c>
      <c r="C926" s="10" t="str">
        <f t="shared" si="59"/>
        <v>예리</v>
      </c>
      <c r="D926" s="10">
        <v>4</v>
      </c>
      <c r="E926" s="10">
        <v>1</v>
      </c>
      <c r="F926" s="10">
        <v>3</v>
      </c>
      <c r="G926" s="10" t="s">
        <v>208</v>
      </c>
      <c r="H926" s="10">
        <f t="shared" si="58"/>
        <v>4103</v>
      </c>
      <c r="I926" s="10">
        <v>7000109</v>
      </c>
      <c r="J926" s="10">
        <v>16000</v>
      </c>
    </row>
    <row r="927" spans="1:10" x14ac:dyDescent="0.3">
      <c r="A927" s="10">
        <f t="shared" si="57"/>
        <v>4103004</v>
      </c>
      <c r="B927" s="10">
        <v>4</v>
      </c>
      <c r="C927" s="10" t="str">
        <f t="shared" si="59"/>
        <v>다재다능</v>
      </c>
      <c r="D927" s="10">
        <v>4</v>
      </c>
      <c r="E927" s="10">
        <v>1</v>
      </c>
      <c r="F927" s="10">
        <v>3</v>
      </c>
      <c r="G927" s="10" t="s">
        <v>209</v>
      </c>
      <c r="H927" s="10">
        <f t="shared" si="58"/>
        <v>4103</v>
      </c>
      <c r="I927" s="10">
        <v>7000119</v>
      </c>
      <c r="J927" s="10">
        <v>14000</v>
      </c>
    </row>
    <row r="928" spans="1:10" x14ac:dyDescent="0.3">
      <c r="A928" s="10">
        <f t="shared" si="57"/>
        <v>4103005</v>
      </c>
      <c r="B928" s="10">
        <v>5</v>
      </c>
      <c r="C928" s="10" t="str">
        <f t="shared" si="59"/>
        <v>우월감</v>
      </c>
      <c r="D928" s="10">
        <v>4</v>
      </c>
      <c r="E928" s="10">
        <v>1</v>
      </c>
      <c r="F928" s="10">
        <v>3</v>
      </c>
      <c r="G928" s="10" t="s">
        <v>209</v>
      </c>
      <c r="H928" s="10">
        <f t="shared" si="58"/>
        <v>4103</v>
      </c>
      <c r="I928" s="10">
        <v>7000166</v>
      </c>
      <c r="J928" s="10">
        <v>14000</v>
      </c>
    </row>
    <row r="929" spans="1:10" x14ac:dyDescent="0.3">
      <c r="A929" s="10">
        <f t="shared" si="57"/>
        <v>4103006</v>
      </c>
      <c r="B929" s="10">
        <v>6</v>
      </c>
      <c r="C929" s="10" t="str">
        <f t="shared" si="59"/>
        <v>기회주의자</v>
      </c>
      <c r="D929" s="10">
        <v>4</v>
      </c>
      <c r="E929" s="10">
        <v>1</v>
      </c>
      <c r="F929" s="10">
        <v>3</v>
      </c>
      <c r="G929" s="10" t="s">
        <v>210</v>
      </c>
      <c r="H929" s="10">
        <f t="shared" si="58"/>
        <v>4103</v>
      </c>
      <c r="I929" s="10">
        <v>7000122</v>
      </c>
      <c r="J929" s="10">
        <v>9000</v>
      </c>
    </row>
    <row r="930" spans="1:10" x14ac:dyDescent="0.3">
      <c r="A930" s="10">
        <f t="shared" si="57"/>
        <v>4103007</v>
      </c>
      <c r="B930" s="10">
        <v>7</v>
      </c>
      <c r="C930" s="10" t="str">
        <f t="shared" si="59"/>
        <v>정정당당</v>
      </c>
      <c r="D930" s="10">
        <v>4</v>
      </c>
      <c r="E930" s="10">
        <v>1</v>
      </c>
      <c r="F930" s="10">
        <v>3</v>
      </c>
      <c r="G930" s="10" t="s">
        <v>210</v>
      </c>
      <c r="H930" s="10">
        <f t="shared" si="58"/>
        <v>4103</v>
      </c>
      <c r="I930" s="10">
        <v>7000137</v>
      </c>
      <c r="J930" s="10">
        <v>9000</v>
      </c>
    </row>
    <row r="931" spans="1:10" x14ac:dyDescent="0.3">
      <c r="A931" s="10">
        <f t="shared" si="57"/>
        <v>4103008</v>
      </c>
      <c r="B931" s="10">
        <v>8</v>
      </c>
      <c r="C931" s="10" t="str">
        <f t="shared" si="59"/>
        <v>호승심</v>
      </c>
      <c r="D931" s="10">
        <v>4</v>
      </c>
      <c r="E931" s="10">
        <v>1</v>
      </c>
      <c r="F931" s="10">
        <v>3</v>
      </c>
      <c r="G931" s="10" t="s">
        <v>211</v>
      </c>
      <c r="H931" s="10">
        <f t="shared" si="58"/>
        <v>4103</v>
      </c>
      <c r="I931" s="10">
        <v>7000168</v>
      </c>
      <c r="J931" s="10">
        <v>1800</v>
      </c>
    </row>
    <row r="932" spans="1:10" x14ac:dyDescent="0.3">
      <c r="A932" s="10">
        <f t="shared" si="57"/>
        <v>4103009</v>
      </c>
      <c r="B932" s="10">
        <v>9</v>
      </c>
      <c r="C932" s="10" t="str">
        <f t="shared" si="59"/>
        <v>선발주자</v>
      </c>
      <c r="D932" s="10">
        <v>4</v>
      </c>
      <c r="E932" s="10">
        <v>1</v>
      </c>
      <c r="F932" s="10">
        <v>3</v>
      </c>
      <c r="G932" s="10" t="s">
        <v>212</v>
      </c>
      <c r="H932" s="10">
        <f t="shared" si="58"/>
        <v>4103</v>
      </c>
      <c r="I932" s="10">
        <v>7000152</v>
      </c>
      <c r="J932" s="10">
        <v>500</v>
      </c>
    </row>
    <row r="933" spans="1:10" x14ac:dyDescent="0.3">
      <c r="A933" s="10">
        <f t="shared" si="57"/>
        <v>4103010</v>
      </c>
      <c r="B933" s="10">
        <v>10</v>
      </c>
      <c r="C933" s="10" t="str">
        <f t="shared" si="59"/>
        <v>자기연소</v>
      </c>
      <c r="D933" s="10">
        <v>4</v>
      </c>
      <c r="E933" s="10">
        <v>1</v>
      </c>
      <c r="F933" s="10">
        <v>3</v>
      </c>
      <c r="G933" s="10" t="s">
        <v>213</v>
      </c>
      <c r="H933" s="10">
        <f t="shared" si="58"/>
        <v>4103</v>
      </c>
      <c r="I933" s="10">
        <v>7000174</v>
      </c>
      <c r="J933" s="10">
        <v>100</v>
      </c>
    </row>
    <row r="934" spans="1:10" x14ac:dyDescent="0.3">
      <c r="A934" s="10">
        <f t="shared" si="57"/>
        <v>4104001</v>
      </c>
      <c r="B934" s="10">
        <v>1</v>
      </c>
      <c r="C934" s="10" t="str">
        <f>C924</f>
        <v>투쟁심</v>
      </c>
      <c r="D934" s="10">
        <v>4</v>
      </c>
      <c r="E934" s="10">
        <v>1</v>
      </c>
      <c r="F934" s="10">
        <v>4</v>
      </c>
      <c r="G934" s="10" t="s">
        <v>208</v>
      </c>
      <c r="H934" s="10">
        <f t="shared" si="58"/>
        <v>4104</v>
      </c>
      <c r="I934" s="10">
        <v>7000101</v>
      </c>
      <c r="J934" s="10">
        <v>14000</v>
      </c>
    </row>
    <row r="935" spans="1:10" x14ac:dyDescent="0.3">
      <c r="A935" s="10">
        <f t="shared" si="57"/>
        <v>4104002</v>
      </c>
      <c r="B935" s="10">
        <v>2</v>
      </c>
      <c r="C935" s="10" t="str">
        <f t="shared" si="59"/>
        <v>원칙주의자</v>
      </c>
      <c r="D935" s="10">
        <v>4</v>
      </c>
      <c r="E935" s="10">
        <v>1</v>
      </c>
      <c r="F935" s="10">
        <v>4</v>
      </c>
      <c r="G935" s="10" t="s">
        <v>208</v>
      </c>
      <c r="H935" s="10">
        <f t="shared" si="58"/>
        <v>4104</v>
      </c>
      <c r="I935" s="10">
        <v>7000106</v>
      </c>
      <c r="J935" s="10">
        <v>14000</v>
      </c>
    </row>
    <row r="936" spans="1:10" x14ac:dyDescent="0.3">
      <c r="A936" s="10">
        <f t="shared" si="57"/>
        <v>4104003</v>
      </c>
      <c r="B936" s="10">
        <v>3</v>
      </c>
      <c r="C936" s="10" t="str">
        <f t="shared" si="59"/>
        <v>예리</v>
      </c>
      <c r="D936" s="10">
        <v>4</v>
      </c>
      <c r="E936" s="10">
        <v>1</v>
      </c>
      <c r="F936" s="10">
        <v>4</v>
      </c>
      <c r="G936" s="10" t="s">
        <v>208</v>
      </c>
      <c r="H936" s="10">
        <f t="shared" si="58"/>
        <v>4104</v>
      </c>
      <c r="I936" s="10">
        <v>7000109</v>
      </c>
      <c r="J936" s="10">
        <v>14000</v>
      </c>
    </row>
    <row r="937" spans="1:10" x14ac:dyDescent="0.3">
      <c r="A937" s="10">
        <f t="shared" si="57"/>
        <v>4104004</v>
      </c>
      <c r="B937" s="10">
        <v>4</v>
      </c>
      <c r="C937" s="10" t="str">
        <f t="shared" si="59"/>
        <v>다재다능</v>
      </c>
      <c r="D937" s="10">
        <v>4</v>
      </c>
      <c r="E937" s="10">
        <v>1</v>
      </c>
      <c r="F937" s="10">
        <v>4</v>
      </c>
      <c r="G937" s="10" t="s">
        <v>209</v>
      </c>
      <c r="H937" s="10">
        <f t="shared" si="58"/>
        <v>4104</v>
      </c>
      <c r="I937" s="10">
        <v>7000119</v>
      </c>
      <c r="J937" s="10">
        <v>13500</v>
      </c>
    </row>
    <row r="938" spans="1:10" x14ac:dyDescent="0.3">
      <c r="A938" s="10">
        <f t="shared" si="57"/>
        <v>4104005</v>
      </c>
      <c r="B938" s="10">
        <v>5</v>
      </c>
      <c r="C938" s="10" t="str">
        <f t="shared" si="59"/>
        <v>우월감</v>
      </c>
      <c r="D938" s="10">
        <v>4</v>
      </c>
      <c r="E938" s="10">
        <v>1</v>
      </c>
      <c r="F938" s="10">
        <v>4</v>
      </c>
      <c r="G938" s="10" t="s">
        <v>209</v>
      </c>
      <c r="H938" s="10">
        <f t="shared" si="58"/>
        <v>4104</v>
      </c>
      <c r="I938" s="10">
        <v>7000166</v>
      </c>
      <c r="J938" s="10">
        <v>13500</v>
      </c>
    </row>
    <row r="939" spans="1:10" x14ac:dyDescent="0.3">
      <c r="A939" s="10">
        <f t="shared" si="57"/>
        <v>4104006</v>
      </c>
      <c r="B939" s="10">
        <v>6</v>
      </c>
      <c r="C939" s="10" t="str">
        <f t="shared" si="59"/>
        <v>기회주의자</v>
      </c>
      <c r="D939" s="10">
        <v>4</v>
      </c>
      <c r="E939" s="10">
        <v>1</v>
      </c>
      <c r="F939" s="10">
        <v>4</v>
      </c>
      <c r="G939" s="10" t="s">
        <v>210</v>
      </c>
      <c r="H939" s="10">
        <f t="shared" si="58"/>
        <v>4104</v>
      </c>
      <c r="I939" s="10">
        <v>7000122</v>
      </c>
      <c r="J939" s="10">
        <v>8500</v>
      </c>
    </row>
    <row r="940" spans="1:10" x14ac:dyDescent="0.3">
      <c r="A940" s="10">
        <f t="shared" si="57"/>
        <v>4104007</v>
      </c>
      <c r="B940" s="10">
        <v>7</v>
      </c>
      <c r="C940" s="10" t="str">
        <f t="shared" si="59"/>
        <v>정정당당</v>
      </c>
      <c r="D940" s="10">
        <v>4</v>
      </c>
      <c r="E940" s="10">
        <v>1</v>
      </c>
      <c r="F940" s="10">
        <v>4</v>
      </c>
      <c r="G940" s="10" t="s">
        <v>210</v>
      </c>
      <c r="H940" s="10">
        <f t="shared" si="58"/>
        <v>4104</v>
      </c>
      <c r="I940" s="10">
        <v>7000137</v>
      </c>
      <c r="J940" s="10">
        <v>8500</v>
      </c>
    </row>
    <row r="941" spans="1:10" x14ac:dyDescent="0.3">
      <c r="A941" s="10">
        <f t="shared" si="57"/>
        <v>4104008</v>
      </c>
      <c r="B941" s="10">
        <v>8</v>
      </c>
      <c r="C941" s="10" t="str">
        <f t="shared" si="59"/>
        <v>호승심</v>
      </c>
      <c r="D941" s="10">
        <v>4</v>
      </c>
      <c r="E941" s="10">
        <v>1</v>
      </c>
      <c r="F941" s="10">
        <v>4</v>
      </c>
      <c r="G941" s="10" t="s">
        <v>211</v>
      </c>
      <c r="H941" s="10">
        <f t="shared" si="58"/>
        <v>4104</v>
      </c>
      <c r="I941" s="10">
        <v>7000168</v>
      </c>
      <c r="J941" s="10">
        <v>1700</v>
      </c>
    </row>
    <row r="942" spans="1:10" x14ac:dyDescent="0.3">
      <c r="A942" s="10">
        <f t="shared" si="57"/>
        <v>4104009</v>
      </c>
      <c r="B942" s="10">
        <v>9</v>
      </c>
      <c r="C942" s="10" t="str">
        <f t="shared" si="59"/>
        <v>선발주자</v>
      </c>
      <c r="D942" s="10">
        <v>4</v>
      </c>
      <c r="E942" s="10">
        <v>1</v>
      </c>
      <c r="F942" s="10">
        <v>4</v>
      </c>
      <c r="G942" s="10" t="s">
        <v>212</v>
      </c>
      <c r="H942" s="10">
        <f t="shared" si="58"/>
        <v>4104</v>
      </c>
      <c r="I942" s="10">
        <v>7000152</v>
      </c>
      <c r="J942" s="10">
        <v>500</v>
      </c>
    </row>
    <row r="943" spans="1:10" x14ac:dyDescent="0.3">
      <c r="A943" s="10">
        <f t="shared" si="57"/>
        <v>4104010</v>
      </c>
      <c r="B943" s="10">
        <v>10</v>
      </c>
      <c r="C943" s="10" t="str">
        <f t="shared" si="59"/>
        <v>자기연소</v>
      </c>
      <c r="D943" s="10">
        <v>4</v>
      </c>
      <c r="E943" s="10">
        <v>1</v>
      </c>
      <c r="F943" s="10">
        <v>4</v>
      </c>
      <c r="G943" s="10" t="s">
        <v>213</v>
      </c>
      <c r="H943" s="10">
        <f t="shared" si="58"/>
        <v>4104</v>
      </c>
      <c r="I943" s="10">
        <v>7000174</v>
      </c>
      <c r="J943" s="10">
        <v>100</v>
      </c>
    </row>
    <row r="944" spans="1:10" x14ac:dyDescent="0.3">
      <c r="A944" s="10">
        <f t="shared" si="57"/>
        <v>4105001</v>
      </c>
      <c r="B944" s="10">
        <v>1</v>
      </c>
      <c r="C944" s="10" t="str">
        <f>C934</f>
        <v>투쟁심</v>
      </c>
      <c r="D944" s="10">
        <v>4</v>
      </c>
      <c r="E944" s="10">
        <v>1</v>
      </c>
      <c r="F944" s="10">
        <v>5</v>
      </c>
      <c r="G944" s="10" t="s">
        <v>208</v>
      </c>
      <c r="H944" s="10">
        <f t="shared" si="58"/>
        <v>4105</v>
      </c>
      <c r="I944" s="10">
        <v>7000101</v>
      </c>
      <c r="J944" s="10">
        <v>12000</v>
      </c>
    </row>
    <row r="945" spans="1:10" x14ac:dyDescent="0.3">
      <c r="A945" s="10">
        <f t="shared" si="57"/>
        <v>4105002</v>
      </c>
      <c r="B945" s="10">
        <v>2</v>
      </c>
      <c r="C945" s="10" t="str">
        <f t="shared" si="59"/>
        <v>원칙주의자</v>
      </c>
      <c r="D945" s="10">
        <v>4</v>
      </c>
      <c r="E945" s="10">
        <v>1</v>
      </c>
      <c r="F945" s="10">
        <v>5</v>
      </c>
      <c r="G945" s="10" t="s">
        <v>208</v>
      </c>
      <c r="H945" s="10">
        <f t="shared" si="58"/>
        <v>4105</v>
      </c>
      <c r="I945" s="10">
        <v>7000106</v>
      </c>
      <c r="J945" s="10">
        <v>12000</v>
      </c>
    </row>
    <row r="946" spans="1:10" x14ac:dyDescent="0.3">
      <c r="A946" s="10">
        <f t="shared" si="57"/>
        <v>4105003</v>
      </c>
      <c r="B946" s="10">
        <v>3</v>
      </c>
      <c r="C946" s="10" t="str">
        <f t="shared" si="59"/>
        <v>예리</v>
      </c>
      <c r="D946" s="10">
        <v>4</v>
      </c>
      <c r="E946" s="10">
        <v>1</v>
      </c>
      <c r="F946" s="10">
        <v>5</v>
      </c>
      <c r="G946" s="10" t="s">
        <v>208</v>
      </c>
      <c r="H946" s="10">
        <f t="shared" si="58"/>
        <v>4105</v>
      </c>
      <c r="I946" s="10">
        <v>7000109</v>
      </c>
      <c r="J946" s="10">
        <v>12000</v>
      </c>
    </row>
    <row r="947" spans="1:10" x14ac:dyDescent="0.3">
      <c r="A947" s="10">
        <f t="shared" si="57"/>
        <v>4105004</v>
      </c>
      <c r="B947" s="10">
        <v>4</v>
      </c>
      <c r="C947" s="10" t="str">
        <f t="shared" si="59"/>
        <v>다재다능</v>
      </c>
      <c r="D947" s="10">
        <v>4</v>
      </c>
      <c r="E947" s="10">
        <v>1</v>
      </c>
      <c r="F947" s="10">
        <v>5</v>
      </c>
      <c r="G947" s="10" t="s">
        <v>209</v>
      </c>
      <c r="H947" s="10">
        <f t="shared" si="58"/>
        <v>4105</v>
      </c>
      <c r="I947" s="10">
        <v>7000119</v>
      </c>
      <c r="J947" s="10">
        <v>13000</v>
      </c>
    </row>
    <row r="948" spans="1:10" x14ac:dyDescent="0.3">
      <c r="A948" s="10">
        <f t="shared" si="57"/>
        <v>4105005</v>
      </c>
      <c r="B948" s="10">
        <v>5</v>
      </c>
      <c r="C948" s="10" t="str">
        <f t="shared" si="59"/>
        <v>우월감</v>
      </c>
      <c r="D948" s="10">
        <v>4</v>
      </c>
      <c r="E948" s="10">
        <v>1</v>
      </c>
      <c r="F948" s="10">
        <v>5</v>
      </c>
      <c r="G948" s="10" t="s">
        <v>209</v>
      </c>
      <c r="H948" s="10">
        <f t="shared" si="58"/>
        <v>4105</v>
      </c>
      <c r="I948" s="10">
        <v>7000166</v>
      </c>
      <c r="J948" s="10">
        <v>13000</v>
      </c>
    </row>
    <row r="949" spans="1:10" x14ac:dyDescent="0.3">
      <c r="A949" s="10">
        <f t="shared" si="57"/>
        <v>4105006</v>
      </c>
      <c r="B949" s="10">
        <v>6</v>
      </c>
      <c r="C949" s="10" t="str">
        <f t="shared" si="59"/>
        <v>기회주의자</v>
      </c>
      <c r="D949" s="10">
        <v>4</v>
      </c>
      <c r="E949" s="10">
        <v>1</v>
      </c>
      <c r="F949" s="10">
        <v>5</v>
      </c>
      <c r="G949" s="10" t="s">
        <v>210</v>
      </c>
      <c r="H949" s="10">
        <f t="shared" si="58"/>
        <v>4105</v>
      </c>
      <c r="I949" s="10">
        <v>7000122</v>
      </c>
      <c r="J949" s="10">
        <v>8000</v>
      </c>
    </row>
    <row r="950" spans="1:10" x14ac:dyDescent="0.3">
      <c r="A950" s="10">
        <f t="shared" si="57"/>
        <v>4105007</v>
      </c>
      <c r="B950" s="10">
        <v>7</v>
      </c>
      <c r="C950" s="10" t="str">
        <f t="shared" si="59"/>
        <v>정정당당</v>
      </c>
      <c r="D950" s="10">
        <v>4</v>
      </c>
      <c r="E950" s="10">
        <v>1</v>
      </c>
      <c r="F950" s="10">
        <v>5</v>
      </c>
      <c r="G950" s="10" t="s">
        <v>210</v>
      </c>
      <c r="H950" s="10">
        <f t="shared" si="58"/>
        <v>4105</v>
      </c>
      <c r="I950" s="10">
        <v>7000137</v>
      </c>
      <c r="J950" s="10">
        <v>8000</v>
      </c>
    </row>
    <row r="951" spans="1:10" x14ac:dyDescent="0.3">
      <c r="A951" s="10">
        <f t="shared" si="57"/>
        <v>4105008</v>
      </c>
      <c r="B951" s="10">
        <v>8</v>
      </c>
      <c r="C951" s="10" t="str">
        <f t="shared" si="59"/>
        <v>호승심</v>
      </c>
      <c r="D951" s="10">
        <v>4</v>
      </c>
      <c r="E951" s="10">
        <v>1</v>
      </c>
      <c r="F951" s="10">
        <v>5</v>
      </c>
      <c r="G951" s="10" t="s">
        <v>211</v>
      </c>
      <c r="H951" s="10">
        <f t="shared" si="58"/>
        <v>4105</v>
      </c>
      <c r="I951" s="10">
        <v>7000168</v>
      </c>
      <c r="J951" s="10">
        <v>1600</v>
      </c>
    </row>
    <row r="952" spans="1:10" x14ac:dyDescent="0.3">
      <c r="A952" s="10">
        <f t="shared" si="57"/>
        <v>4105009</v>
      </c>
      <c r="B952" s="10">
        <v>9</v>
      </c>
      <c r="C952" s="10" t="str">
        <f t="shared" si="59"/>
        <v>선발주자</v>
      </c>
      <c r="D952" s="10">
        <v>4</v>
      </c>
      <c r="E952" s="10">
        <v>1</v>
      </c>
      <c r="F952" s="10">
        <v>5</v>
      </c>
      <c r="G952" s="10" t="s">
        <v>212</v>
      </c>
      <c r="H952" s="10">
        <f t="shared" si="58"/>
        <v>4105</v>
      </c>
      <c r="I952" s="10">
        <v>7000152</v>
      </c>
      <c r="J952" s="10">
        <v>500</v>
      </c>
    </row>
    <row r="953" spans="1:10" x14ac:dyDescent="0.3">
      <c r="A953" s="10">
        <f t="shared" si="57"/>
        <v>4105010</v>
      </c>
      <c r="B953" s="10">
        <v>10</v>
      </c>
      <c r="C953" s="10" t="str">
        <f t="shared" si="59"/>
        <v>자기연소</v>
      </c>
      <c r="D953" s="10">
        <v>4</v>
      </c>
      <c r="E953" s="10">
        <v>1</v>
      </c>
      <c r="F953" s="10">
        <v>5</v>
      </c>
      <c r="G953" s="10" t="s">
        <v>213</v>
      </c>
      <c r="H953" s="10">
        <f t="shared" si="58"/>
        <v>4105</v>
      </c>
      <c r="I953" s="10">
        <v>7000174</v>
      </c>
      <c r="J953" s="10">
        <v>100</v>
      </c>
    </row>
    <row r="954" spans="1:10" x14ac:dyDescent="0.3">
      <c r="A954" s="10">
        <f t="shared" si="57"/>
        <v>4106001</v>
      </c>
      <c r="B954" s="10">
        <v>1</v>
      </c>
      <c r="C954" s="10" t="str">
        <f>C944</f>
        <v>투쟁심</v>
      </c>
      <c r="D954" s="10">
        <v>4</v>
      </c>
      <c r="E954" s="10">
        <v>1</v>
      </c>
      <c r="F954" s="10">
        <v>6</v>
      </c>
      <c r="G954" s="10" t="s">
        <v>208</v>
      </c>
      <c r="H954" s="10">
        <f t="shared" si="58"/>
        <v>4106</v>
      </c>
      <c r="I954" s="10">
        <v>7000101</v>
      </c>
      <c r="J954" s="10">
        <v>10000</v>
      </c>
    </row>
    <row r="955" spans="1:10" x14ac:dyDescent="0.3">
      <c r="A955" s="10">
        <f t="shared" si="57"/>
        <v>4106002</v>
      </c>
      <c r="B955" s="10">
        <v>2</v>
      </c>
      <c r="C955" s="10" t="str">
        <f t="shared" si="59"/>
        <v>원칙주의자</v>
      </c>
      <c r="D955" s="10">
        <v>4</v>
      </c>
      <c r="E955" s="10">
        <v>1</v>
      </c>
      <c r="F955" s="10">
        <v>6</v>
      </c>
      <c r="G955" s="10" t="s">
        <v>208</v>
      </c>
      <c r="H955" s="10">
        <f t="shared" si="58"/>
        <v>4106</v>
      </c>
      <c r="I955" s="10">
        <v>7000106</v>
      </c>
      <c r="J955" s="10">
        <v>10000</v>
      </c>
    </row>
    <row r="956" spans="1:10" x14ac:dyDescent="0.3">
      <c r="A956" s="10">
        <f t="shared" si="57"/>
        <v>4106003</v>
      </c>
      <c r="B956" s="10">
        <v>3</v>
      </c>
      <c r="C956" s="10" t="str">
        <f t="shared" si="59"/>
        <v>예리</v>
      </c>
      <c r="D956" s="10">
        <v>4</v>
      </c>
      <c r="E956" s="10">
        <v>1</v>
      </c>
      <c r="F956" s="10">
        <v>6</v>
      </c>
      <c r="G956" s="10" t="s">
        <v>208</v>
      </c>
      <c r="H956" s="10">
        <f t="shared" si="58"/>
        <v>4106</v>
      </c>
      <c r="I956" s="10">
        <v>7000109</v>
      </c>
      <c r="J956" s="10">
        <v>10000</v>
      </c>
    </row>
    <row r="957" spans="1:10" x14ac:dyDescent="0.3">
      <c r="A957" s="10">
        <f t="shared" si="57"/>
        <v>4106004</v>
      </c>
      <c r="B957" s="10">
        <v>4</v>
      </c>
      <c r="C957" s="10" t="str">
        <f t="shared" si="59"/>
        <v>다재다능</v>
      </c>
      <c r="D957" s="10">
        <v>4</v>
      </c>
      <c r="E957" s="10">
        <v>1</v>
      </c>
      <c r="F957" s="10">
        <v>6</v>
      </c>
      <c r="G957" s="10" t="s">
        <v>209</v>
      </c>
      <c r="H957" s="10">
        <f t="shared" si="58"/>
        <v>4106</v>
      </c>
      <c r="I957" s="10">
        <v>7000119</v>
      </c>
      <c r="J957" s="10">
        <v>12500</v>
      </c>
    </row>
    <row r="958" spans="1:10" x14ac:dyDescent="0.3">
      <c r="A958" s="10">
        <f t="shared" si="57"/>
        <v>4106005</v>
      </c>
      <c r="B958" s="10">
        <v>5</v>
      </c>
      <c r="C958" s="10" t="str">
        <f t="shared" si="59"/>
        <v>우월감</v>
      </c>
      <c r="D958" s="10">
        <v>4</v>
      </c>
      <c r="E958" s="10">
        <v>1</v>
      </c>
      <c r="F958" s="10">
        <v>6</v>
      </c>
      <c r="G958" s="10" t="s">
        <v>209</v>
      </c>
      <c r="H958" s="10">
        <f t="shared" si="58"/>
        <v>4106</v>
      </c>
      <c r="I958" s="10">
        <v>7000166</v>
      </c>
      <c r="J958" s="10">
        <v>12500</v>
      </c>
    </row>
    <row r="959" spans="1:10" x14ac:dyDescent="0.3">
      <c r="A959" s="10">
        <f t="shared" si="57"/>
        <v>4106006</v>
      </c>
      <c r="B959" s="10">
        <v>6</v>
      </c>
      <c r="C959" s="10" t="str">
        <f t="shared" si="59"/>
        <v>기회주의자</v>
      </c>
      <c r="D959" s="10">
        <v>4</v>
      </c>
      <c r="E959" s="10">
        <v>1</v>
      </c>
      <c r="F959" s="10">
        <v>6</v>
      </c>
      <c r="G959" s="10" t="s">
        <v>210</v>
      </c>
      <c r="H959" s="10">
        <f t="shared" si="58"/>
        <v>4106</v>
      </c>
      <c r="I959" s="10">
        <v>7000122</v>
      </c>
      <c r="J959" s="10">
        <v>7500</v>
      </c>
    </row>
    <row r="960" spans="1:10" x14ac:dyDescent="0.3">
      <c r="A960" s="10">
        <f t="shared" si="57"/>
        <v>4106007</v>
      </c>
      <c r="B960" s="10">
        <v>7</v>
      </c>
      <c r="C960" s="10" t="str">
        <f t="shared" si="59"/>
        <v>정정당당</v>
      </c>
      <c r="D960" s="10">
        <v>4</v>
      </c>
      <c r="E960" s="10">
        <v>1</v>
      </c>
      <c r="F960" s="10">
        <v>6</v>
      </c>
      <c r="G960" s="10" t="s">
        <v>210</v>
      </c>
      <c r="H960" s="10">
        <f t="shared" si="58"/>
        <v>4106</v>
      </c>
      <c r="I960" s="10">
        <v>7000137</v>
      </c>
      <c r="J960" s="10">
        <v>7500</v>
      </c>
    </row>
    <row r="961" spans="1:10" x14ac:dyDescent="0.3">
      <c r="A961" s="10">
        <f t="shared" si="57"/>
        <v>4106008</v>
      </c>
      <c r="B961" s="10">
        <v>8</v>
      </c>
      <c r="C961" s="10" t="str">
        <f t="shared" si="59"/>
        <v>호승심</v>
      </c>
      <c r="D961" s="10">
        <v>4</v>
      </c>
      <c r="E961" s="10">
        <v>1</v>
      </c>
      <c r="F961" s="10">
        <v>6</v>
      </c>
      <c r="G961" s="10" t="s">
        <v>211</v>
      </c>
      <c r="H961" s="10">
        <f t="shared" si="58"/>
        <v>4106</v>
      </c>
      <c r="I961" s="10">
        <v>7000168</v>
      </c>
      <c r="J961" s="10">
        <v>1500</v>
      </c>
    </row>
    <row r="962" spans="1:10" x14ac:dyDescent="0.3">
      <c r="A962" s="10">
        <f t="shared" si="57"/>
        <v>4106009</v>
      </c>
      <c r="B962" s="10">
        <v>9</v>
      </c>
      <c r="C962" s="10" t="str">
        <f t="shared" si="59"/>
        <v>선발주자</v>
      </c>
      <c r="D962" s="10">
        <v>4</v>
      </c>
      <c r="E962" s="10">
        <v>1</v>
      </c>
      <c r="F962" s="10">
        <v>6</v>
      </c>
      <c r="G962" s="10" t="s">
        <v>212</v>
      </c>
      <c r="H962" s="10">
        <f t="shared" si="58"/>
        <v>4106</v>
      </c>
      <c r="I962" s="10">
        <v>7000152</v>
      </c>
      <c r="J962" s="10">
        <v>500</v>
      </c>
    </row>
    <row r="963" spans="1:10" x14ac:dyDescent="0.3">
      <c r="A963" s="10">
        <f t="shared" si="57"/>
        <v>4106010</v>
      </c>
      <c r="B963" s="10">
        <v>10</v>
      </c>
      <c r="C963" s="10" t="str">
        <f t="shared" si="59"/>
        <v>자기연소</v>
      </c>
      <c r="D963" s="10">
        <v>4</v>
      </c>
      <c r="E963" s="10">
        <v>1</v>
      </c>
      <c r="F963" s="10">
        <v>6</v>
      </c>
      <c r="G963" s="10" t="s">
        <v>213</v>
      </c>
      <c r="H963" s="10">
        <f t="shared" si="58"/>
        <v>4106</v>
      </c>
      <c r="I963" s="10">
        <v>7000174</v>
      </c>
      <c r="J963" s="10">
        <v>100</v>
      </c>
    </row>
    <row r="964" spans="1:10" x14ac:dyDescent="0.3">
      <c r="A964" s="11">
        <f>INT(H964&amp;TEXT(B964,"000"))</f>
        <v>4201001</v>
      </c>
      <c r="B964" s="11">
        <v>1</v>
      </c>
      <c r="C964" s="11" t="s">
        <v>350</v>
      </c>
      <c r="D964" s="11">
        <v>4</v>
      </c>
      <c r="E964" s="11">
        <v>2</v>
      </c>
      <c r="F964" s="11">
        <v>1</v>
      </c>
      <c r="G964" s="11" t="s">
        <v>208</v>
      </c>
      <c r="H964" s="11">
        <f>INT(D964&amp;E964&amp;TEXT(F964,"00"))</f>
        <v>4201</v>
      </c>
      <c r="I964" s="11">
        <v>7000102</v>
      </c>
      <c r="J964" s="11">
        <v>20000</v>
      </c>
    </row>
    <row r="965" spans="1:10" x14ac:dyDescent="0.3">
      <c r="A965" s="10">
        <f t="shared" ref="A965:A1023" si="60">INT(H965&amp;TEXT(B965,"000"))</f>
        <v>4201002</v>
      </c>
      <c r="B965" s="10">
        <v>2</v>
      </c>
      <c r="C965" s="10" t="s">
        <v>356</v>
      </c>
      <c r="D965" s="10">
        <v>4</v>
      </c>
      <c r="E965" s="10">
        <v>2</v>
      </c>
      <c r="F965" s="10">
        <v>1</v>
      </c>
      <c r="G965" s="10" t="s">
        <v>208</v>
      </c>
      <c r="H965" s="10">
        <f t="shared" ref="H965:H1023" si="61">INT(D965&amp;E965&amp;TEXT(F965,"00"))</f>
        <v>4201</v>
      </c>
      <c r="I965" s="10">
        <v>7000113</v>
      </c>
      <c r="J965" s="10">
        <v>20000</v>
      </c>
    </row>
    <row r="966" spans="1:10" x14ac:dyDescent="0.3">
      <c r="A966" s="10">
        <f t="shared" si="60"/>
        <v>4201003</v>
      </c>
      <c r="B966" s="10">
        <v>3</v>
      </c>
      <c r="C966" s="10" t="s">
        <v>363</v>
      </c>
      <c r="D966" s="10">
        <v>4</v>
      </c>
      <c r="E966" s="10">
        <v>2</v>
      </c>
      <c r="F966" s="10">
        <v>1</v>
      </c>
      <c r="G966" s="10" t="s">
        <v>208</v>
      </c>
      <c r="H966" s="10">
        <f t="shared" si="61"/>
        <v>4201</v>
      </c>
      <c r="I966" s="10">
        <v>7000121</v>
      </c>
      <c r="J966" s="10">
        <v>20000</v>
      </c>
    </row>
    <row r="967" spans="1:10" x14ac:dyDescent="0.3">
      <c r="A967" s="10">
        <f t="shared" si="60"/>
        <v>4201004</v>
      </c>
      <c r="B967" s="10">
        <v>4</v>
      </c>
      <c r="C967" s="10" t="s">
        <v>352</v>
      </c>
      <c r="D967" s="10">
        <v>4</v>
      </c>
      <c r="E967" s="10">
        <v>2</v>
      </c>
      <c r="F967" s="10">
        <v>1</v>
      </c>
      <c r="G967" s="10" t="s">
        <v>223</v>
      </c>
      <c r="H967" s="10">
        <f t="shared" si="61"/>
        <v>4201</v>
      </c>
      <c r="I967" s="10">
        <v>7000120</v>
      </c>
      <c r="J967" s="10">
        <v>15000</v>
      </c>
    </row>
    <row r="968" spans="1:10" x14ac:dyDescent="0.3">
      <c r="A968" s="10">
        <f t="shared" si="60"/>
        <v>4201005</v>
      </c>
      <c r="B968" s="10">
        <v>5</v>
      </c>
      <c r="C968" s="10" t="s">
        <v>367</v>
      </c>
      <c r="D968" s="10">
        <v>4</v>
      </c>
      <c r="E968" s="10">
        <v>2</v>
      </c>
      <c r="F968" s="10">
        <v>1</v>
      </c>
      <c r="G968" s="10" t="s">
        <v>223</v>
      </c>
      <c r="H968" s="10">
        <f t="shared" si="61"/>
        <v>4201</v>
      </c>
      <c r="I968" s="10">
        <v>7000119</v>
      </c>
      <c r="J968" s="10">
        <v>15000</v>
      </c>
    </row>
    <row r="969" spans="1:10" x14ac:dyDescent="0.3">
      <c r="A969" s="10">
        <f t="shared" si="60"/>
        <v>4201006</v>
      </c>
      <c r="B969" s="10">
        <v>6</v>
      </c>
      <c r="C969" s="10" t="s">
        <v>380</v>
      </c>
      <c r="D969" s="10">
        <v>4</v>
      </c>
      <c r="E969" s="10">
        <v>2</v>
      </c>
      <c r="F969" s="10">
        <v>1</v>
      </c>
      <c r="G969" s="10" t="s">
        <v>222</v>
      </c>
      <c r="H969" s="10">
        <f t="shared" si="61"/>
        <v>4201</v>
      </c>
      <c r="I969" s="10">
        <v>7000146</v>
      </c>
      <c r="J969" s="10">
        <v>10000</v>
      </c>
    </row>
    <row r="970" spans="1:10" x14ac:dyDescent="0.3">
      <c r="A970" s="10">
        <f t="shared" si="60"/>
        <v>4201007</v>
      </c>
      <c r="B970" s="10">
        <v>7</v>
      </c>
      <c r="C970" s="10" t="s">
        <v>381</v>
      </c>
      <c r="D970" s="10">
        <v>4</v>
      </c>
      <c r="E970" s="10">
        <v>2</v>
      </c>
      <c r="F970" s="10">
        <v>1</v>
      </c>
      <c r="G970" s="10" t="s">
        <v>222</v>
      </c>
      <c r="H970" s="10">
        <f t="shared" si="61"/>
        <v>4201</v>
      </c>
      <c r="I970" s="10">
        <v>7000150</v>
      </c>
      <c r="J970" s="10">
        <v>10000</v>
      </c>
    </row>
    <row r="971" spans="1:10" x14ac:dyDescent="0.3">
      <c r="A971" s="10">
        <f t="shared" si="60"/>
        <v>4201008</v>
      </c>
      <c r="B971" s="10">
        <v>8</v>
      </c>
      <c r="C971" s="10" t="s">
        <v>397</v>
      </c>
      <c r="D971" s="10">
        <v>4</v>
      </c>
      <c r="E971" s="10">
        <v>2</v>
      </c>
      <c r="F971" s="10">
        <v>1</v>
      </c>
      <c r="G971" s="10" t="s">
        <v>211</v>
      </c>
      <c r="H971" s="10">
        <f t="shared" si="61"/>
        <v>4201</v>
      </c>
      <c r="I971" s="10">
        <v>7000154</v>
      </c>
      <c r="J971" s="10">
        <v>2000</v>
      </c>
    </row>
    <row r="972" spans="1:10" x14ac:dyDescent="0.3">
      <c r="A972" s="10">
        <f t="shared" si="60"/>
        <v>4201009</v>
      </c>
      <c r="B972" s="10">
        <v>9</v>
      </c>
      <c r="C972" s="10" t="s">
        <v>394</v>
      </c>
      <c r="D972" s="10">
        <v>4</v>
      </c>
      <c r="E972" s="10">
        <v>2</v>
      </c>
      <c r="F972" s="10">
        <v>1</v>
      </c>
      <c r="G972" s="10" t="s">
        <v>212</v>
      </c>
      <c r="H972" s="10">
        <f t="shared" si="61"/>
        <v>4201</v>
      </c>
      <c r="I972" s="10">
        <v>7000169</v>
      </c>
      <c r="J972" s="10">
        <v>500</v>
      </c>
    </row>
    <row r="973" spans="1:10" x14ac:dyDescent="0.3">
      <c r="A973" s="10">
        <f t="shared" si="60"/>
        <v>4201010</v>
      </c>
      <c r="B973" s="10">
        <v>10</v>
      </c>
      <c r="C973" s="10" t="s">
        <v>396</v>
      </c>
      <c r="D973" s="10">
        <v>4</v>
      </c>
      <c r="E973" s="10">
        <v>2</v>
      </c>
      <c r="F973" s="10">
        <v>1</v>
      </c>
      <c r="G973" s="10" t="s">
        <v>213</v>
      </c>
      <c r="H973" s="10">
        <f t="shared" si="61"/>
        <v>4201</v>
      </c>
      <c r="I973" s="10">
        <v>7000160</v>
      </c>
      <c r="J973" s="10">
        <v>100</v>
      </c>
    </row>
    <row r="974" spans="1:10" x14ac:dyDescent="0.3">
      <c r="A974" s="10">
        <f t="shared" si="60"/>
        <v>4202001</v>
      </c>
      <c r="B974" s="10">
        <v>1</v>
      </c>
      <c r="C974" s="10" t="str">
        <f>C964</f>
        <v>인내심</v>
      </c>
      <c r="D974" s="10">
        <v>4</v>
      </c>
      <c r="E974" s="10">
        <v>2</v>
      </c>
      <c r="F974" s="10">
        <v>2</v>
      </c>
      <c r="G974" s="10" t="s">
        <v>208</v>
      </c>
      <c r="H974" s="10">
        <f t="shared" si="61"/>
        <v>4202</v>
      </c>
      <c r="I974" s="10">
        <v>7000102</v>
      </c>
      <c r="J974" s="10">
        <v>18000</v>
      </c>
    </row>
    <row r="975" spans="1:10" x14ac:dyDescent="0.3">
      <c r="A975" s="10">
        <f t="shared" si="60"/>
        <v>4202002</v>
      </c>
      <c r="B975" s="10">
        <v>2</v>
      </c>
      <c r="C975" s="10" t="str">
        <f t="shared" ref="C975:C1023" si="62">C965</f>
        <v>완벽주의자</v>
      </c>
      <c r="D975" s="10">
        <v>4</v>
      </c>
      <c r="E975" s="10">
        <v>2</v>
      </c>
      <c r="F975" s="10">
        <v>2</v>
      </c>
      <c r="G975" s="10" t="s">
        <v>208</v>
      </c>
      <c r="H975" s="10">
        <f t="shared" si="61"/>
        <v>4202</v>
      </c>
      <c r="I975" s="10">
        <v>7000113</v>
      </c>
      <c r="J975" s="10">
        <v>18000</v>
      </c>
    </row>
    <row r="976" spans="1:10" x14ac:dyDescent="0.3">
      <c r="A976" s="10">
        <f t="shared" si="60"/>
        <v>4202003</v>
      </c>
      <c r="B976" s="10">
        <v>3</v>
      </c>
      <c r="C976" s="10" t="str">
        <f t="shared" si="62"/>
        <v>겁쟁이</v>
      </c>
      <c r="D976" s="10">
        <v>4</v>
      </c>
      <c r="E976" s="10">
        <v>2</v>
      </c>
      <c r="F976" s="10">
        <v>2</v>
      </c>
      <c r="G976" s="10" t="s">
        <v>208</v>
      </c>
      <c r="H976" s="10">
        <f t="shared" si="61"/>
        <v>4202</v>
      </c>
      <c r="I976" s="10">
        <v>7000121</v>
      </c>
      <c r="J976" s="10">
        <v>18000</v>
      </c>
    </row>
    <row r="977" spans="1:10" x14ac:dyDescent="0.3">
      <c r="A977" s="10">
        <f t="shared" si="60"/>
        <v>4202004</v>
      </c>
      <c r="B977" s="10">
        <v>4</v>
      </c>
      <c r="C977" s="10" t="str">
        <f t="shared" si="62"/>
        <v>철벽</v>
      </c>
      <c r="D977" s="10">
        <v>4</v>
      </c>
      <c r="E977" s="10">
        <v>2</v>
      </c>
      <c r="F977" s="10">
        <v>2</v>
      </c>
      <c r="G977" s="10" t="s">
        <v>209</v>
      </c>
      <c r="H977" s="10">
        <f t="shared" si="61"/>
        <v>4202</v>
      </c>
      <c r="I977" s="10">
        <v>7000120</v>
      </c>
      <c r="J977" s="10">
        <v>14500</v>
      </c>
    </row>
    <row r="978" spans="1:10" x14ac:dyDescent="0.3">
      <c r="A978" s="10">
        <f t="shared" si="60"/>
        <v>4202005</v>
      </c>
      <c r="B978" s="10">
        <v>5</v>
      </c>
      <c r="C978" s="10" t="str">
        <f t="shared" si="62"/>
        <v>다재다능</v>
      </c>
      <c r="D978" s="10">
        <v>4</v>
      </c>
      <c r="E978" s="10">
        <v>2</v>
      </c>
      <c r="F978" s="10">
        <v>2</v>
      </c>
      <c r="G978" s="10" t="s">
        <v>209</v>
      </c>
      <c r="H978" s="10">
        <f t="shared" si="61"/>
        <v>4202</v>
      </c>
      <c r="I978" s="10">
        <v>7000119</v>
      </c>
      <c r="J978" s="10">
        <v>14500</v>
      </c>
    </row>
    <row r="979" spans="1:10" x14ac:dyDescent="0.3">
      <c r="A979" s="10">
        <f t="shared" si="60"/>
        <v>4202006</v>
      </c>
      <c r="B979" s="10">
        <v>6</v>
      </c>
      <c r="C979" s="10" t="str">
        <f t="shared" si="62"/>
        <v>난동</v>
      </c>
      <c r="D979" s="10">
        <v>4</v>
      </c>
      <c r="E979" s="10">
        <v>2</v>
      </c>
      <c r="F979" s="10">
        <v>2</v>
      </c>
      <c r="G979" s="10" t="s">
        <v>210</v>
      </c>
      <c r="H979" s="10">
        <f t="shared" si="61"/>
        <v>4202</v>
      </c>
      <c r="I979" s="10">
        <v>7000146</v>
      </c>
      <c r="J979" s="10">
        <v>9500</v>
      </c>
    </row>
    <row r="980" spans="1:10" x14ac:dyDescent="0.3">
      <c r="A980" s="10">
        <f t="shared" si="60"/>
        <v>4202007</v>
      </c>
      <c r="B980" s="10">
        <v>7</v>
      </c>
      <c r="C980" s="10" t="str">
        <f t="shared" si="62"/>
        <v>트러블 메이커</v>
      </c>
      <c r="D980" s="10">
        <v>4</v>
      </c>
      <c r="E980" s="10">
        <v>2</v>
      </c>
      <c r="F980" s="10">
        <v>2</v>
      </c>
      <c r="G980" s="10" t="s">
        <v>210</v>
      </c>
      <c r="H980" s="10">
        <f t="shared" si="61"/>
        <v>4202</v>
      </c>
      <c r="I980" s="10">
        <v>7000150</v>
      </c>
      <c r="J980" s="10">
        <v>9500</v>
      </c>
    </row>
    <row r="981" spans="1:10" x14ac:dyDescent="0.3">
      <c r="A981" s="10">
        <f t="shared" si="60"/>
        <v>4202008</v>
      </c>
      <c r="B981" s="10">
        <v>8</v>
      </c>
      <c r="C981" s="10" t="str">
        <f t="shared" si="62"/>
        <v>철면피</v>
      </c>
      <c r="D981" s="10">
        <v>4</v>
      </c>
      <c r="E981" s="10">
        <v>2</v>
      </c>
      <c r="F981" s="10">
        <v>2</v>
      </c>
      <c r="G981" s="10" t="s">
        <v>211</v>
      </c>
      <c r="H981" s="10">
        <f t="shared" si="61"/>
        <v>4202</v>
      </c>
      <c r="I981" s="10">
        <v>7000154</v>
      </c>
      <c r="J981" s="10">
        <v>1900</v>
      </c>
    </row>
    <row r="982" spans="1:10" x14ac:dyDescent="0.3">
      <c r="A982" s="10">
        <f t="shared" si="60"/>
        <v>4202009</v>
      </c>
      <c r="B982" s="10">
        <v>9</v>
      </c>
      <c r="C982" s="10" t="str">
        <f t="shared" si="62"/>
        <v>안정</v>
      </c>
      <c r="D982" s="10">
        <v>4</v>
      </c>
      <c r="E982" s="10">
        <v>2</v>
      </c>
      <c r="F982" s="10">
        <v>2</v>
      </c>
      <c r="G982" s="10" t="s">
        <v>212</v>
      </c>
      <c r="H982" s="10">
        <f t="shared" si="61"/>
        <v>4202</v>
      </c>
      <c r="I982" s="10">
        <v>7000169</v>
      </c>
      <c r="J982" s="10">
        <v>500</v>
      </c>
    </row>
    <row r="983" spans="1:10" x14ac:dyDescent="0.3">
      <c r="A983" s="10">
        <f t="shared" si="60"/>
        <v>4202010</v>
      </c>
      <c r="B983" s="10">
        <v>10</v>
      </c>
      <c r="C983" s="10" t="str">
        <f t="shared" si="62"/>
        <v>둔감</v>
      </c>
      <c r="D983" s="10">
        <v>4</v>
      </c>
      <c r="E983" s="10">
        <v>2</v>
      </c>
      <c r="F983" s="10">
        <v>2</v>
      </c>
      <c r="G983" s="10" t="s">
        <v>213</v>
      </c>
      <c r="H983" s="10">
        <f t="shared" si="61"/>
        <v>4202</v>
      </c>
      <c r="I983" s="10">
        <v>7000160</v>
      </c>
      <c r="J983" s="10">
        <v>100</v>
      </c>
    </row>
    <row r="984" spans="1:10" x14ac:dyDescent="0.3">
      <c r="A984" s="10">
        <f t="shared" si="60"/>
        <v>4203001</v>
      </c>
      <c r="B984" s="10">
        <v>1</v>
      </c>
      <c r="C984" s="10" t="str">
        <f>C974</f>
        <v>인내심</v>
      </c>
      <c r="D984" s="10">
        <v>4</v>
      </c>
      <c r="E984" s="10">
        <v>2</v>
      </c>
      <c r="F984" s="10">
        <v>3</v>
      </c>
      <c r="G984" s="10" t="s">
        <v>208</v>
      </c>
      <c r="H984" s="10">
        <f t="shared" si="61"/>
        <v>4203</v>
      </c>
      <c r="I984" s="10">
        <v>7000102</v>
      </c>
      <c r="J984" s="10">
        <v>16000</v>
      </c>
    </row>
    <row r="985" spans="1:10" x14ac:dyDescent="0.3">
      <c r="A985" s="10">
        <f t="shared" si="60"/>
        <v>4203002</v>
      </c>
      <c r="B985" s="10">
        <v>2</v>
      </c>
      <c r="C985" s="10" t="str">
        <f t="shared" si="62"/>
        <v>완벽주의자</v>
      </c>
      <c r="D985" s="10">
        <v>4</v>
      </c>
      <c r="E985" s="10">
        <v>2</v>
      </c>
      <c r="F985" s="10">
        <v>3</v>
      </c>
      <c r="G985" s="10" t="s">
        <v>208</v>
      </c>
      <c r="H985" s="10">
        <f t="shared" si="61"/>
        <v>4203</v>
      </c>
      <c r="I985" s="10">
        <v>7000113</v>
      </c>
      <c r="J985" s="10">
        <v>16000</v>
      </c>
    </row>
    <row r="986" spans="1:10" x14ac:dyDescent="0.3">
      <c r="A986" s="10">
        <f t="shared" si="60"/>
        <v>4203003</v>
      </c>
      <c r="B986" s="10">
        <v>3</v>
      </c>
      <c r="C986" s="10" t="str">
        <f t="shared" si="62"/>
        <v>겁쟁이</v>
      </c>
      <c r="D986" s="10">
        <v>4</v>
      </c>
      <c r="E986" s="10">
        <v>2</v>
      </c>
      <c r="F986" s="10">
        <v>3</v>
      </c>
      <c r="G986" s="10" t="s">
        <v>208</v>
      </c>
      <c r="H986" s="10">
        <f t="shared" si="61"/>
        <v>4203</v>
      </c>
      <c r="I986" s="10">
        <v>7000121</v>
      </c>
      <c r="J986" s="10">
        <v>16000</v>
      </c>
    </row>
    <row r="987" spans="1:10" x14ac:dyDescent="0.3">
      <c r="A987" s="10">
        <f t="shared" si="60"/>
        <v>4203004</v>
      </c>
      <c r="B987" s="10">
        <v>4</v>
      </c>
      <c r="C987" s="10" t="str">
        <f t="shared" si="62"/>
        <v>철벽</v>
      </c>
      <c r="D987" s="10">
        <v>4</v>
      </c>
      <c r="E987" s="10">
        <v>2</v>
      </c>
      <c r="F987" s="10">
        <v>3</v>
      </c>
      <c r="G987" s="10" t="s">
        <v>209</v>
      </c>
      <c r="H987" s="10">
        <f t="shared" si="61"/>
        <v>4203</v>
      </c>
      <c r="I987" s="10">
        <v>7000120</v>
      </c>
      <c r="J987" s="10">
        <v>14000</v>
      </c>
    </row>
    <row r="988" spans="1:10" x14ac:dyDescent="0.3">
      <c r="A988" s="10">
        <f t="shared" si="60"/>
        <v>4203005</v>
      </c>
      <c r="B988" s="10">
        <v>5</v>
      </c>
      <c r="C988" s="10" t="str">
        <f t="shared" si="62"/>
        <v>다재다능</v>
      </c>
      <c r="D988" s="10">
        <v>4</v>
      </c>
      <c r="E988" s="10">
        <v>2</v>
      </c>
      <c r="F988" s="10">
        <v>3</v>
      </c>
      <c r="G988" s="10" t="s">
        <v>209</v>
      </c>
      <c r="H988" s="10">
        <f t="shared" si="61"/>
        <v>4203</v>
      </c>
      <c r="I988" s="10">
        <v>7000119</v>
      </c>
      <c r="J988" s="10">
        <v>14000</v>
      </c>
    </row>
    <row r="989" spans="1:10" x14ac:dyDescent="0.3">
      <c r="A989" s="10">
        <f t="shared" si="60"/>
        <v>4203006</v>
      </c>
      <c r="B989" s="10">
        <v>6</v>
      </c>
      <c r="C989" s="10" t="str">
        <f t="shared" si="62"/>
        <v>난동</v>
      </c>
      <c r="D989" s="10">
        <v>4</v>
      </c>
      <c r="E989" s="10">
        <v>2</v>
      </c>
      <c r="F989" s="10">
        <v>3</v>
      </c>
      <c r="G989" s="10" t="s">
        <v>210</v>
      </c>
      <c r="H989" s="10">
        <f t="shared" si="61"/>
        <v>4203</v>
      </c>
      <c r="I989" s="10">
        <v>7000146</v>
      </c>
      <c r="J989" s="10">
        <v>9000</v>
      </c>
    </row>
    <row r="990" spans="1:10" x14ac:dyDescent="0.3">
      <c r="A990" s="10">
        <f t="shared" si="60"/>
        <v>4203007</v>
      </c>
      <c r="B990" s="10">
        <v>7</v>
      </c>
      <c r="C990" s="10" t="str">
        <f t="shared" si="62"/>
        <v>트러블 메이커</v>
      </c>
      <c r="D990" s="10">
        <v>4</v>
      </c>
      <c r="E990" s="10">
        <v>2</v>
      </c>
      <c r="F990" s="10">
        <v>3</v>
      </c>
      <c r="G990" s="10" t="s">
        <v>210</v>
      </c>
      <c r="H990" s="10">
        <f t="shared" si="61"/>
        <v>4203</v>
      </c>
      <c r="I990" s="10">
        <v>7000150</v>
      </c>
      <c r="J990" s="10">
        <v>9000</v>
      </c>
    </row>
    <row r="991" spans="1:10" x14ac:dyDescent="0.3">
      <c r="A991" s="10">
        <f t="shared" si="60"/>
        <v>4203008</v>
      </c>
      <c r="B991" s="10">
        <v>8</v>
      </c>
      <c r="C991" s="10" t="str">
        <f t="shared" si="62"/>
        <v>철면피</v>
      </c>
      <c r="D991" s="10">
        <v>4</v>
      </c>
      <c r="E991" s="10">
        <v>2</v>
      </c>
      <c r="F991" s="10">
        <v>3</v>
      </c>
      <c r="G991" s="10" t="s">
        <v>211</v>
      </c>
      <c r="H991" s="10">
        <f t="shared" si="61"/>
        <v>4203</v>
      </c>
      <c r="I991" s="10">
        <v>7000154</v>
      </c>
      <c r="J991" s="10">
        <v>1800</v>
      </c>
    </row>
    <row r="992" spans="1:10" x14ac:dyDescent="0.3">
      <c r="A992" s="10">
        <f t="shared" si="60"/>
        <v>4203009</v>
      </c>
      <c r="B992" s="10">
        <v>9</v>
      </c>
      <c r="C992" s="10" t="str">
        <f t="shared" si="62"/>
        <v>안정</v>
      </c>
      <c r="D992" s="10">
        <v>4</v>
      </c>
      <c r="E992" s="10">
        <v>2</v>
      </c>
      <c r="F992" s="10">
        <v>3</v>
      </c>
      <c r="G992" s="10" t="s">
        <v>212</v>
      </c>
      <c r="H992" s="10">
        <f t="shared" si="61"/>
        <v>4203</v>
      </c>
      <c r="I992" s="10">
        <v>7000169</v>
      </c>
      <c r="J992" s="10">
        <v>500</v>
      </c>
    </row>
    <row r="993" spans="1:10" x14ac:dyDescent="0.3">
      <c r="A993" s="10">
        <f t="shared" si="60"/>
        <v>4203010</v>
      </c>
      <c r="B993" s="10">
        <v>10</v>
      </c>
      <c r="C993" s="10" t="str">
        <f t="shared" si="62"/>
        <v>둔감</v>
      </c>
      <c r="D993" s="10">
        <v>4</v>
      </c>
      <c r="E993" s="10">
        <v>2</v>
      </c>
      <c r="F993" s="10">
        <v>3</v>
      </c>
      <c r="G993" s="10" t="s">
        <v>213</v>
      </c>
      <c r="H993" s="10">
        <f t="shared" si="61"/>
        <v>4203</v>
      </c>
      <c r="I993" s="10">
        <v>7000160</v>
      </c>
      <c r="J993" s="10">
        <v>100</v>
      </c>
    </row>
    <row r="994" spans="1:10" x14ac:dyDescent="0.3">
      <c r="A994" s="10">
        <f t="shared" si="60"/>
        <v>4204001</v>
      </c>
      <c r="B994" s="10">
        <v>1</v>
      </c>
      <c r="C994" s="10" t="str">
        <f>C984</f>
        <v>인내심</v>
      </c>
      <c r="D994" s="10">
        <v>4</v>
      </c>
      <c r="E994" s="10">
        <v>2</v>
      </c>
      <c r="F994" s="10">
        <v>4</v>
      </c>
      <c r="G994" s="10" t="s">
        <v>208</v>
      </c>
      <c r="H994" s="10">
        <f t="shared" si="61"/>
        <v>4204</v>
      </c>
      <c r="I994" s="10">
        <v>7000102</v>
      </c>
      <c r="J994" s="10">
        <v>14000</v>
      </c>
    </row>
    <row r="995" spans="1:10" x14ac:dyDescent="0.3">
      <c r="A995" s="10">
        <f t="shared" si="60"/>
        <v>4204002</v>
      </c>
      <c r="B995" s="10">
        <v>2</v>
      </c>
      <c r="C995" s="10" t="str">
        <f t="shared" si="62"/>
        <v>완벽주의자</v>
      </c>
      <c r="D995" s="10">
        <v>4</v>
      </c>
      <c r="E995" s="10">
        <v>2</v>
      </c>
      <c r="F995" s="10">
        <v>4</v>
      </c>
      <c r="G995" s="10" t="s">
        <v>208</v>
      </c>
      <c r="H995" s="10">
        <f t="shared" si="61"/>
        <v>4204</v>
      </c>
      <c r="I995" s="10">
        <v>7000113</v>
      </c>
      <c r="J995" s="10">
        <v>14000</v>
      </c>
    </row>
    <row r="996" spans="1:10" x14ac:dyDescent="0.3">
      <c r="A996" s="10">
        <f t="shared" si="60"/>
        <v>4204003</v>
      </c>
      <c r="B996" s="10">
        <v>3</v>
      </c>
      <c r="C996" s="10" t="str">
        <f t="shared" si="62"/>
        <v>겁쟁이</v>
      </c>
      <c r="D996" s="10">
        <v>4</v>
      </c>
      <c r="E996" s="10">
        <v>2</v>
      </c>
      <c r="F996" s="10">
        <v>4</v>
      </c>
      <c r="G996" s="10" t="s">
        <v>208</v>
      </c>
      <c r="H996" s="10">
        <f t="shared" si="61"/>
        <v>4204</v>
      </c>
      <c r="I996" s="10">
        <v>7000121</v>
      </c>
      <c r="J996" s="10">
        <v>14000</v>
      </c>
    </row>
    <row r="997" spans="1:10" x14ac:dyDescent="0.3">
      <c r="A997" s="10">
        <f t="shared" si="60"/>
        <v>4204004</v>
      </c>
      <c r="B997" s="10">
        <v>4</v>
      </c>
      <c r="C997" s="10" t="str">
        <f t="shared" si="62"/>
        <v>철벽</v>
      </c>
      <c r="D997" s="10">
        <v>4</v>
      </c>
      <c r="E997" s="10">
        <v>2</v>
      </c>
      <c r="F997" s="10">
        <v>4</v>
      </c>
      <c r="G997" s="10" t="s">
        <v>209</v>
      </c>
      <c r="H997" s="10">
        <f t="shared" si="61"/>
        <v>4204</v>
      </c>
      <c r="I997" s="10">
        <v>7000120</v>
      </c>
      <c r="J997" s="10">
        <v>13500</v>
      </c>
    </row>
    <row r="998" spans="1:10" x14ac:dyDescent="0.3">
      <c r="A998" s="10">
        <f t="shared" si="60"/>
        <v>4204005</v>
      </c>
      <c r="B998" s="10">
        <v>5</v>
      </c>
      <c r="C998" s="10" t="str">
        <f t="shared" si="62"/>
        <v>다재다능</v>
      </c>
      <c r="D998" s="10">
        <v>4</v>
      </c>
      <c r="E998" s="10">
        <v>2</v>
      </c>
      <c r="F998" s="10">
        <v>4</v>
      </c>
      <c r="G998" s="10" t="s">
        <v>209</v>
      </c>
      <c r="H998" s="10">
        <f t="shared" si="61"/>
        <v>4204</v>
      </c>
      <c r="I998" s="10">
        <v>7000119</v>
      </c>
      <c r="J998" s="10">
        <v>13500</v>
      </c>
    </row>
    <row r="999" spans="1:10" x14ac:dyDescent="0.3">
      <c r="A999" s="10">
        <f t="shared" si="60"/>
        <v>4204006</v>
      </c>
      <c r="B999" s="10">
        <v>6</v>
      </c>
      <c r="C999" s="10" t="str">
        <f t="shared" si="62"/>
        <v>난동</v>
      </c>
      <c r="D999" s="10">
        <v>4</v>
      </c>
      <c r="E999" s="10">
        <v>2</v>
      </c>
      <c r="F999" s="10">
        <v>4</v>
      </c>
      <c r="G999" s="10" t="s">
        <v>210</v>
      </c>
      <c r="H999" s="10">
        <f t="shared" si="61"/>
        <v>4204</v>
      </c>
      <c r="I999" s="10">
        <v>7000146</v>
      </c>
      <c r="J999" s="10">
        <v>8500</v>
      </c>
    </row>
    <row r="1000" spans="1:10" x14ac:dyDescent="0.3">
      <c r="A1000" s="10">
        <f t="shared" si="60"/>
        <v>4204007</v>
      </c>
      <c r="B1000" s="10">
        <v>7</v>
      </c>
      <c r="C1000" s="10" t="str">
        <f t="shared" si="62"/>
        <v>트러블 메이커</v>
      </c>
      <c r="D1000" s="10">
        <v>4</v>
      </c>
      <c r="E1000" s="10">
        <v>2</v>
      </c>
      <c r="F1000" s="10">
        <v>4</v>
      </c>
      <c r="G1000" s="10" t="s">
        <v>210</v>
      </c>
      <c r="H1000" s="10">
        <f t="shared" si="61"/>
        <v>4204</v>
      </c>
      <c r="I1000" s="10">
        <v>7000150</v>
      </c>
      <c r="J1000" s="10">
        <v>8500</v>
      </c>
    </row>
    <row r="1001" spans="1:10" x14ac:dyDescent="0.3">
      <c r="A1001" s="10">
        <f t="shared" si="60"/>
        <v>4204008</v>
      </c>
      <c r="B1001" s="10">
        <v>8</v>
      </c>
      <c r="C1001" s="10" t="str">
        <f t="shared" si="62"/>
        <v>철면피</v>
      </c>
      <c r="D1001" s="10">
        <v>4</v>
      </c>
      <c r="E1001" s="10">
        <v>2</v>
      </c>
      <c r="F1001" s="10">
        <v>4</v>
      </c>
      <c r="G1001" s="10" t="s">
        <v>211</v>
      </c>
      <c r="H1001" s="10">
        <f t="shared" si="61"/>
        <v>4204</v>
      </c>
      <c r="I1001" s="10">
        <v>7000154</v>
      </c>
      <c r="J1001" s="10">
        <v>1700</v>
      </c>
    </row>
    <row r="1002" spans="1:10" x14ac:dyDescent="0.3">
      <c r="A1002" s="10">
        <f t="shared" si="60"/>
        <v>4204009</v>
      </c>
      <c r="B1002" s="10">
        <v>9</v>
      </c>
      <c r="C1002" s="10" t="str">
        <f t="shared" si="62"/>
        <v>안정</v>
      </c>
      <c r="D1002" s="10">
        <v>4</v>
      </c>
      <c r="E1002" s="10">
        <v>2</v>
      </c>
      <c r="F1002" s="10">
        <v>4</v>
      </c>
      <c r="G1002" s="10" t="s">
        <v>212</v>
      </c>
      <c r="H1002" s="10">
        <f t="shared" si="61"/>
        <v>4204</v>
      </c>
      <c r="I1002" s="10">
        <v>7000169</v>
      </c>
      <c r="J1002" s="10">
        <v>500</v>
      </c>
    </row>
    <row r="1003" spans="1:10" x14ac:dyDescent="0.3">
      <c r="A1003" s="10">
        <f t="shared" si="60"/>
        <v>4204010</v>
      </c>
      <c r="B1003" s="10">
        <v>10</v>
      </c>
      <c r="C1003" s="10" t="str">
        <f t="shared" si="62"/>
        <v>둔감</v>
      </c>
      <c r="D1003" s="10">
        <v>4</v>
      </c>
      <c r="E1003" s="10">
        <v>2</v>
      </c>
      <c r="F1003" s="10">
        <v>4</v>
      </c>
      <c r="G1003" s="10" t="s">
        <v>213</v>
      </c>
      <c r="H1003" s="10">
        <f t="shared" si="61"/>
        <v>4204</v>
      </c>
      <c r="I1003" s="10">
        <v>7000160</v>
      </c>
      <c r="J1003" s="10">
        <v>100</v>
      </c>
    </row>
    <row r="1004" spans="1:10" x14ac:dyDescent="0.3">
      <c r="A1004" s="10">
        <f t="shared" si="60"/>
        <v>4205001</v>
      </c>
      <c r="B1004" s="10">
        <v>1</v>
      </c>
      <c r="C1004" s="10" t="str">
        <f>C994</f>
        <v>인내심</v>
      </c>
      <c r="D1004" s="10">
        <v>4</v>
      </c>
      <c r="E1004" s="10">
        <v>2</v>
      </c>
      <c r="F1004" s="10">
        <v>5</v>
      </c>
      <c r="G1004" s="10" t="s">
        <v>208</v>
      </c>
      <c r="H1004" s="10">
        <f t="shared" si="61"/>
        <v>4205</v>
      </c>
      <c r="I1004" s="10">
        <v>7000102</v>
      </c>
      <c r="J1004" s="10">
        <v>12000</v>
      </c>
    </row>
    <row r="1005" spans="1:10" x14ac:dyDescent="0.3">
      <c r="A1005" s="10">
        <f t="shared" si="60"/>
        <v>4205002</v>
      </c>
      <c r="B1005" s="10">
        <v>2</v>
      </c>
      <c r="C1005" s="10" t="str">
        <f t="shared" si="62"/>
        <v>완벽주의자</v>
      </c>
      <c r="D1005" s="10">
        <v>4</v>
      </c>
      <c r="E1005" s="10">
        <v>2</v>
      </c>
      <c r="F1005" s="10">
        <v>5</v>
      </c>
      <c r="G1005" s="10" t="s">
        <v>208</v>
      </c>
      <c r="H1005" s="10">
        <f t="shared" si="61"/>
        <v>4205</v>
      </c>
      <c r="I1005" s="10">
        <v>7000113</v>
      </c>
      <c r="J1005" s="10">
        <v>12000</v>
      </c>
    </row>
    <row r="1006" spans="1:10" x14ac:dyDescent="0.3">
      <c r="A1006" s="10">
        <f t="shared" si="60"/>
        <v>4205003</v>
      </c>
      <c r="B1006" s="10">
        <v>3</v>
      </c>
      <c r="C1006" s="10" t="str">
        <f t="shared" si="62"/>
        <v>겁쟁이</v>
      </c>
      <c r="D1006" s="10">
        <v>4</v>
      </c>
      <c r="E1006" s="10">
        <v>2</v>
      </c>
      <c r="F1006" s="10">
        <v>5</v>
      </c>
      <c r="G1006" s="10" t="s">
        <v>208</v>
      </c>
      <c r="H1006" s="10">
        <f t="shared" si="61"/>
        <v>4205</v>
      </c>
      <c r="I1006" s="10">
        <v>7000121</v>
      </c>
      <c r="J1006" s="10">
        <v>12000</v>
      </c>
    </row>
    <row r="1007" spans="1:10" x14ac:dyDescent="0.3">
      <c r="A1007" s="10">
        <f t="shared" si="60"/>
        <v>4205004</v>
      </c>
      <c r="B1007" s="10">
        <v>4</v>
      </c>
      <c r="C1007" s="10" t="str">
        <f t="shared" si="62"/>
        <v>철벽</v>
      </c>
      <c r="D1007" s="10">
        <v>4</v>
      </c>
      <c r="E1007" s="10">
        <v>2</v>
      </c>
      <c r="F1007" s="10">
        <v>5</v>
      </c>
      <c r="G1007" s="10" t="s">
        <v>209</v>
      </c>
      <c r="H1007" s="10">
        <f t="shared" si="61"/>
        <v>4205</v>
      </c>
      <c r="I1007" s="10">
        <v>7000120</v>
      </c>
      <c r="J1007" s="10">
        <v>13000</v>
      </c>
    </row>
    <row r="1008" spans="1:10" x14ac:dyDescent="0.3">
      <c r="A1008" s="10">
        <f t="shared" si="60"/>
        <v>4205005</v>
      </c>
      <c r="B1008" s="10">
        <v>5</v>
      </c>
      <c r="C1008" s="10" t="str">
        <f t="shared" si="62"/>
        <v>다재다능</v>
      </c>
      <c r="D1008" s="10">
        <v>4</v>
      </c>
      <c r="E1008" s="10">
        <v>2</v>
      </c>
      <c r="F1008" s="10">
        <v>5</v>
      </c>
      <c r="G1008" s="10" t="s">
        <v>209</v>
      </c>
      <c r="H1008" s="10">
        <f t="shared" si="61"/>
        <v>4205</v>
      </c>
      <c r="I1008" s="10">
        <v>7000119</v>
      </c>
      <c r="J1008" s="10">
        <v>13000</v>
      </c>
    </row>
    <row r="1009" spans="1:10" x14ac:dyDescent="0.3">
      <c r="A1009" s="10">
        <f t="shared" si="60"/>
        <v>4205006</v>
      </c>
      <c r="B1009" s="10">
        <v>6</v>
      </c>
      <c r="C1009" s="10" t="str">
        <f t="shared" si="62"/>
        <v>난동</v>
      </c>
      <c r="D1009" s="10">
        <v>4</v>
      </c>
      <c r="E1009" s="10">
        <v>2</v>
      </c>
      <c r="F1009" s="10">
        <v>5</v>
      </c>
      <c r="G1009" s="10" t="s">
        <v>210</v>
      </c>
      <c r="H1009" s="10">
        <f t="shared" si="61"/>
        <v>4205</v>
      </c>
      <c r="I1009" s="10">
        <v>7000146</v>
      </c>
      <c r="J1009" s="10">
        <v>8000</v>
      </c>
    </row>
    <row r="1010" spans="1:10" x14ac:dyDescent="0.3">
      <c r="A1010" s="10">
        <f t="shared" si="60"/>
        <v>4205007</v>
      </c>
      <c r="B1010" s="10">
        <v>7</v>
      </c>
      <c r="C1010" s="10" t="str">
        <f t="shared" si="62"/>
        <v>트러블 메이커</v>
      </c>
      <c r="D1010" s="10">
        <v>4</v>
      </c>
      <c r="E1010" s="10">
        <v>2</v>
      </c>
      <c r="F1010" s="10">
        <v>5</v>
      </c>
      <c r="G1010" s="10" t="s">
        <v>210</v>
      </c>
      <c r="H1010" s="10">
        <f t="shared" si="61"/>
        <v>4205</v>
      </c>
      <c r="I1010" s="10">
        <v>7000150</v>
      </c>
      <c r="J1010" s="10">
        <v>8000</v>
      </c>
    </row>
    <row r="1011" spans="1:10" x14ac:dyDescent="0.3">
      <c r="A1011" s="10">
        <f t="shared" si="60"/>
        <v>4205008</v>
      </c>
      <c r="B1011" s="10">
        <v>8</v>
      </c>
      <c r="C1011" s="10" t="str">
        <f t="shared" si="62"/>
        <v>철면피</v>
      </c>
      <c r="D1011" s="10">
        <v>4</v>
      </c>
      <c r="E1011" s="10">
        <v>2</v>
      </c>
      <c r="F1011" s="10">
        <v>5</v>
      </c>
      <c r="G1011" s="10" t="s">
        <v>211</v>
      </c>
      <c r="H1011" s="10">
        <f t="shared" si="61"/>
        <v>4205</v>
      </c>
      <c r="I1011" s="10">
        <v>7000154</v>
      </c>
      <c r="J1011" s="10">
        <v>1600</v>
      </c>
    </row>
    <row r="1012" spans="1:10" x14ac:dyDescent="0.3">
      <c r="A1012" s="10">
        <f t="shared" si="60"/>
        <v>4205009</v>
      </c>
      <c r="B1012" s="10">
        <v>9</v>
      </c>
      <c r="C1012" s="10" t="str">
        <f t="shared" si="62"/>
        <v>안정</v>
      </c>
      <c r="D1012" s="10">
        <v>4</v>
      </c>
      <c r="E1012" s="10">
        <v>2</v>
      </c>
      <c r="F1012" s="10">
        <v>5</v>
      </c>
      <c r="G1012" s="10" t="s">
        <v>212</v>
      </c>
      <c r="H1012" s="10">
        <f t="shared" si="61"/>
        <v>4205</v>
      </c>
      <c r="I1012" s="10">
        <v>7000169</v>
      </c>
      <c r="J1012" s="10">
        <v>500</v>
      </c>
    </row>
    <row r="1013" spans="1:10" x14ac:dyDescent="0.3">
      <c r="A1013" s="10">
        <f t="shared" si="60"/>
        <v>4205010</v>
      </c>
      <c r="B1013" s="10">
        <v>10</v>
      </c>
      <c r="C1013" s="10" t="str">
        <f t="shared" si="62"/>
        <v>둔감</v>
      </c>
      <c r="D1013" s="10">
        <v>4</v>
      </c>
      <c r="E1013" s="10">
        <v>2</v>
      </c>
      <c r="F1013" s="10">
        <v>5</v>
      </c>
      <c r="G1013" s="10" t="s">
        <v>213</v>
      </c>
      <c r="H1013" s="10">
        <f t="shared" si="61"/>
        <v>4205</v>
      </c>
      <c r="I1013" s="10">
        <v>7000160</v>
      </c>
      <c r="J1013" s="10">
        <v>100</v>
      </c>
    </row>
    <row r="1014" spans="1:10" x14ac:dyDescent="0.3">
      <c r="A1014" s="10">
        <f t="shared" si="60"/>
        <v>4206001</v>
      </c>
      <c r="B1014" s="10">
        <v>1</v>
      </c>
      <c r="C1014" s="10" t="str">
        <f>C1004</f>
        <v>인내심</v>
      </c>
      <c r="D1014" s="10">
        <v>4</v>
      </c>
      <c r="E1014" s="10">
        <v>2</v>
      </c>
      <c r="F1014" s="10">
        <v>6</v>
      </c>
      <c r="G1014" s="10" t="s">
        <v>208</v>
      </c>
      <c r="H1014" s="10">
        <f t="shared" si="61"/>
        <v>4206</v>
      </c>
      <c r="I1014" s="10">
        <v>7000102</v>
      </c>
      <c r="J1014" s="10">
        <v>10000</v>
      </c>
    </row>
    <row r="1015" spans="1:10" x14ac:dyDescent="0.3">
      <c r="A1015" s="10">
        <f t="shared" si="60"/>
        <v>4206002</v>
      </c>
      <c r="B1015" s="10">
        <v>2</v>
      </c>
      <c r="C1015" s="10" t="str">
        <f t="shared" si="62"/>
        <v>완벽주의자</v>
      </c>
      <c r="D1015" s="10">
        <v>4</v>
      </c>
      <c r="E1015" s="10">
        <v>2</v>
      </c>
      <c r="F1015" s="10">
        <v>6</v>
      </c>
      <c r="G1015" s="10" t="s">
        <v>208</v>
      </c>
      <c r="H1015" s="10">
        <f t="shared" si="61"/>
        <v>4206</v>
      </c>
      <c r="I1015" s="10">
        <v>7000113</v>
      </c>
      <c r="J1015" s="10">
        <v>10000</v>
      </c>
    </row>
    <row r="1016" spans="1:10" x14ac:dyDescent="0.3">
      <c r="A1016" s="10">
        <f t="shared" si="60"/>
        <v>4206003</v>
      </c>
      <c r="B1016" s="10">
        <v>3</v>
      </c>
      <c r="C1016" s="10" t="str">
        <f t="shared" si="62"/>
        <v>겁쟁이</v>
      </c>
      <c r="D1016" s="10">
        <v>4</v>
      </c>
      <c r="E1016" s="10">
        <v>2</v>
      </c>
      <c r="F1016" s="10">
        <v>6</v>
      </c>
      <c r="G1016" s="10" t="s">
        <v>208</v>
      </c>
      <c r="H1016" s="10">
        <f t="shared" si="61"/>
        <v>4206</v>
      </c>
      <c r="I1016" s="10">
        <v>7000121</v>
      </c>
      <c r="J1016" s="10">
        <v>10000</v>
      </c>
    </row>
    <row r="1017" spans="1:10" x14ac:dyDescent="0.3">
      <c r="A1017" s="10">
        <f t="shared" si="60"/>
        <v>4206004</v>
      </c>
      <c r="B1017" s="10">
        <v>4</v>
      </c>
      <c r="C1017" s="10" t="str">
        <f t="shared" si="62"/>
        <v>철벽</v>
      </c>
      <c r="D1017" s="10">
        <v>4</v>
      </c>
      <c r="E1017" s="10">
        <v>2</v>
      </c>
      <c r="F1017" s="10">
        <v>6</v>
      </c>
      <c r="G1017" s="10" t="s">
        <v>209</v>
      </c>
      <c r="H1017" s="10">
        <f t="shared" si="61"/>
        <v>4206</v>
      </c>
      <c r="I1017" s="10">
        <v>7000120</v>
      </c>
      <c r="J1017" s="10">
        <v>12500</v>
      </c>
    </row>
    <row r="1018" spans="1:10" x14ac:dyDescent="0.3">
      <c r="A1018" s="10">
        <f t="shared" si="60"/>
        <v>4206005</v>
      </c>
      <c r="B1018" s="10">
        <v>5</v>
      </c>
      <c r="C1018" s="10" t="str">
        <f t="shared" si="62"/>
        <v>다재다능</v>
      </c>
      <c r="D1018" s="10">
        <v>4</v>
      </c>
      <c r="E1018" s="10">
        <v>2</v>
      </c>
      <c r="F1018" s="10">
        <v>6</v>
      </c>
      <c r="G1018" s="10" t="s">
        <v>209</v>
      </c>
      <c r="H1018" s="10">
        <f t="shared" si="61"/>
        <v>4206</v>
      </c>
      <c r="I1018" s="10">
        <v>7000119</v>
      </c>
      <c r="J1018" s="10">
        <v>12500</v>
      </c>
    </row>
    <row r="1019" spans="1:10" x14ac:dyDescent="0.3">
      <c r="A1019" s="10">
        <f t="shared" si="60"/>
        <v>4206006</v>
      </c>
      <c r="B1019" s="10">
        <v>6</v>
      </c>
      <c r="C1019" s="10" t="str">
        <f t="shared" si="62"/>
        <v>난동</v>
      </c>
      <c r="D1019" s="10">
        <v>4</v>
      </c>
      <c r="E1019" s="10">
        <v>2</v>
      </c>
      <c r="F1019" s="10">
        <v>6</v>
      </c>
      <c r="G1019" s="10" t="s">
        <v>210</v>
      </c>
      <c r="H1019" s="10">
        <f t="shared" si="61"/>
        <v>4206</v>
      </c>
      <c r="I1019" s="10">
        <v>7000146</v>
      </c>
      <c r="J1019" s="10">
        <v>7500</v>
      </c>
    </row>
    <row r="1020" spans="1:10" x14ac:dyDescent="0.3">
      <c r="A1020" s="10">
        <f t="shared" si="60"/>
        <v>4206007</v>
      </c>
      <c r="B1020" s="10">
        <v>7</v>
      </c>
      <c r="C1020" s="10" t="str">
        <f t="shared" si="62"/>
        <v>트러블 메이커</v>
      </c>
      <c r="D1020" s="10">
        <v>4</v>
      </c>
      <c r="E1020" s="10">
        <v>2</v>
      </c>
      <c r="F1020" s="10">
        <v>6</v>
      </c>
      <c r="G1020" s="10" t="s">
        <v>210</v>
      </c>
      <c r="H1020" s="10">
        <f t="shared" si="61"/>
        <v>4206</v>
      </c>
      <c r="I1020" s="10">
        <v>7000150</v>
      </c>
      <c r="J1020" s="10">
        <v>7500</v>
      </c>
    </row>
    <row r="1021" spans="1:10" x14ac:dyDescent="0.3">
      <c r="A1021" s="10">
        <f t="shared" si="60"/>
        <v>4206008</v>
      </c>
      <c r="B1021" s="10">
        <v>8</v>
      </c>
      <c r="C1021" s="10" t="str">
        <f t="shared" si="62"/>
        <v>철면피</v>
      </c>
      <c r="D1021" s="10">
        <v>4</v>
      </c>
      <c r="E1021" s="10">
        <v>2</v>
      </c>
      <c r="F1021" s="10">
        <v>6</v>
      </c>
      <c r="G1021" s="10" t="s">
        <v>211</v>
      </c>
      <c r="H1021" s="10">
        <f t="shared" si="61"/>
        <v>4206</v>
      </c>
      <c r="I1021" s="10">
        <v>7000154</v>
      </c>
      <c r="J1021" s="10">
        <v>1500</v>
      </c>
    </row>
    <row r="1022" spans="1:10" x14ac:dyDescent="0.3">
      <c r="A1022" s="10">
        <f t="shared" si="60"/>
        <v>4206009</v>
      </c>
      <c r="B1022" s="10">
        <v>9</v>
      </c>
      <c r="C1022" s="10" t="str">
        <f t="shared" si="62"/>
        <v>안정</v>
      </c>
      <c r="D1022" s="10">
        <v>4</v>
      </c>
      <c r="E1022" s="10">
        <v>2</v>
      </c>
      <c r="F1022" s="10">
        <v>6</v>
      </c>
      <c r="G1022" s="10" t="s">
        <v>212</v>
      </c>
      <c r="H1022" s="10">
        <f t="shared" si="61"/>
        <v>4206</v>
      </c>
      <c r="I1022" s="10">
        <v>7000169</v>
      </c>
      <c r="J1022" s="10">
        <v>500</v>
      </c>
    </row>
    <row r="1023" spans="1:10" x14ac:dyDescent="0.3">
      <c r="A1023" s="10">
        <f t="shared" si="60"/>
        <v>4206010</v>
      </c>
      <c r="B1023" s="10">
        <v>10</v>
      </c>
      <c r="C1023" s="10" t="str">
        <f t="shared" si="62"/>
        <v>둔감</v>
      </c>
      <c r="D1023" s="10">
        <v>4</v>
      </c>
      <c r="E1023" s="10">
        <v>2</v>
      </c>
      <c r="F1023" s="10">
        <v>6</v>
      </c>
      <c r="G1023" s="10" t="s">
        <v>213</v>
      </c>
      <c r="H1023" s="10">
        <f t="shared" si="61"/>
        <v>4206</v>
      </c>
      <c r="I1023" s="10">
        <v>7000160</v>
      </c>
      <c r="J1023" s="10">
        <v>100</v>
      </c>
    </row>
    <row r="1024" spans="1:10" x14ac:dyDescent="0.3">
      <c r="A1024" s="11">
        <f>INT(H1024&amp;TEXT(B1024,"000"))</f>
        <v>4301001</v>
      </c>
      <c r="B1024" s="11">
        <v>1</v>
      </c>
      <c r="C1024" s="11" t="s">
        <v>358</v>
      </c>
      <c r="D1024" s="11">
        <v>4</v>
      </c>
      <c r="E1024" s="11">
        <v>3</v>
      </c>
      <c r="F1024" s="11">
        <v>1</v>
      </c>
      <c r="G1024" s="11" t="s">
        <v>208</v>
      </c>
      <c r="H1024" s="11">
        <f>INT(D1024&amp;E1024&amp;TEXT(F1024,"00"))</f>
        <v>4301</v>
      </c>
      <c r="I1024" s="11">
        <v>7000114</v>
      </c>
      <c r="J1024" s="11">
        <v>20000</v>
      </c>
    </row>
    <row r="1025" spans="1:10" x14ac:dyDescent="0.3">
      <c r="A1025" s="10">
        <f t="shared" ref="A1025:A1083" si="63">INT(H1025&amp;TEXT(B1025,"000"))</f>
        <v>4301002</v>
      </c>
      <c r="B1025" s="10">
        <v>2</v>
      </c>
      <c r="C1025" s="10" t="s">
        <v>380</v>
      </c>
      <c r="D1025" s="10">
        <v>4</v>
      </c>
      <c r="E1025" s="10">
        <v>3</v>
      </c>
      <c r="F1025" s="10">
        <v>1</v>
      </c>
      <c r="G1025" s="10" t="s">
        <v>208</v>
      </c>
      <c r="H1025" s="10">
        <f t="shared" ref="H1025:H1083" si="64">INT(D1025&amp;E1025&amp;TEXT(F1025,"00"))</f>
        <v>4301</v>
      </c>
      <c r="I1025" s="10">
        <v>7000146</v>
      </c>
      <c r="J1025" s="10">
        <v>20000</v>
      </c>
    </row>
    <row r="1026" spans="1:10" x14ac:dyDescent="0.3">
      <c r="A1026" s="10">
        <f t="shared" si="63"/>
        <v>4301003</v>
      </c>
      <c r="B1026" s="10">
        <v>3</v>
      </c>
      <c r="C1026" s="10" t="s">
        <v>347</v>
      </c>
      <c r="D1026" s="10">
        <v>4</v>
      </c>
      <c r="E1026" s="10">
        <v>3</v>
      </c>
      <c r="F1026" s="10">
        <v>1</v>
      </c>
      <c r="G1026" s="10" t="s">
        <v>208</v>
      </c>
      <c r="H1026" s="10">
        <f t="shared" si="64"/>
        <v>4301</v>
      </c>
      <c r="I1026" s="10">
        <v>7000147</v>
      </c>
      <c r="J1026" s="10">
        <v>20000</v>
      </c>
    </row>
    <row r="1027" spans="1:10" x14ac:dyDescent="0.3">
      <c r="A1027" s="10">
        <f t="shared" si="63"/>
        <v>4301004</v>
      </c>
      <c r="B1027" s="10">
        <v>4</v>
      </c>
      <c r="C1027" s="10" t="s">
        <v>381</v>
      </c>
      <c r="D1027" s="10">
        <v>4</v>
      </c>
      <c r="E1027" s="10">
        <v>3</v>
      </c>
      <c r="F1027" s="10">
        <v>1</v>
      </c>
      <c r="G1027" s="10" t="s">
        <v>223</v>
      </c>
      <c r="H1027" s="10">
        <f t="shared" si="64"/>
        <v>4301</v>
      </c>
      <c r="I1027" s="10">
        <v>7000150</v>
      </c>
      <c r="J1027" s="10">
        <v>15000</v>
      </c>
    </row>
    <row r="1028" spans="1:10" x14ac:dyDescent="0.3">
      <c r="A1028" s="10">
        <f t="shared" si="63"/>
        <v>4301005</v>
      </c>
      <c r="B1028" s="10">
        <v>5</v>
      </c>
      <c r="C1028" s="10" t="s">
        <v>110</v>
      </c>
      <c r="D1028" s="10">
        <v>4</v>
      </c>
      <c r="E1028" s="10">
        <v>3</v>
      </c>
      <c r="F1028" s="10">
        <v>1</v>
      </c>
      <c r="G1028" s="10" t="s">
        <v>223</v>
      </c>
      <c r="H1028" s="10">
        <f t="shared" si="64"/>
        <v>4301</v>
      </c>
      <c r="I1028" s="10">
        <v>7000141</v>
      </c>
      <c r="J1028" s="10">
        <v>15000</v>
      </c>
    </row>
    <row r="1029" spans="1:10" x14ac:dyDescent="0.3">
      <c r="A1029" s="10">
        <f t="shared" si="63"/>
        <v>4301006</v>
      </c>
      <c r="B1029" s="10">
        <v>6</v>
      </c>
      <c r="C1029" s="10" t="s">
        <v>375</v>
      </c>
      <c r="D1029" s="10">
        <v>4</v>
      </c>
      <c r="E1029" s="10">
        <v>3</v>
      </c>
      <c r="F1029" s="10">
        <v>1</v>
      </c>
      <c r="G1029" s="10" t="s">
        <v>222</v>
      </c>
      <c r="H1029" s="10">
        <f t="shared" si="64"/>
        <v>4301</v>
      </c>
      <c r="I1029" s="10">
        <v>7000139</v>
      </c>
      <c r="J1029" s="10">
        <v>10000</v>
      </c>
    </row>
    <row r="1030" spans="1:10" x14ac:dyDescent="0.3">
      <c r="A1030" s="10">
        <f t="shared" si="63"/>
        <v>4301007</v>
      </c>
      <c r="B1030" s="10">
        <v>7</v>
      </c>
      <c r="C1030" s="10" t="s">
        <v>398</v>
      </c>
      <c r="D1030" s="10">
        <v>4</v>
      </c>
      <c r="E1030" s="10">
        <v>3</v>
      </c>
      <c r="F1030" s="10">
        <v>1</v>
      </c>
      <c r="G1030" s="10" t="s">
        <v>222</v>
      </c>
      <c r="H1030" s="10">
        <f t="shared" si="64"/>
        <v>4301</v>
      </c>
      <c r="I1030" s="10">
        <v>7000151</v>
      </c>
      <c r="J1030" s="10">
        <v>10000</v>
      </c>
    </row>
    <row r="1031" spans="1:10" x14ac:dyDescent="0.3">
      <c r="A1031" s="10">
        <f t="shared" si="63"/>
        <v>4301008</v>
      </c>
      <c r="B1031" s="10">
        <v>8</v>
      </c>
      <c r="C1031" s="10" t="s">
        <v>359</v>
      </c>
      <c r="D1031" s="10">
        <v>4</v>
      </c>
      <c r="E1031" s="10">
        <v>3</v>
      </c>
      <c r="F1031" s="10">
        <v>1</v>
      </c>
      <c r="G1031" s="10" t="s">
        <v>211</v>
      </c>
      <c r="H1031" s="10">
        <f t="shared" si="64"/>
        <v>4301</v>
      </c>
      <c r="I1031" s="10">
        <v>7000136</v>
      </c>
      <c r="J1031" s="10">
        <v>2000</v>
      </c>
    </row>
    <row r="1032" spans="1:10" x14ac:dyDescent="0.3">
      <c r="A1032" s="10">
        <f t="shared" si="63"/>
        <v>4301009</v>
      </c>
      <c r="B1032" s="10">
        <v>9</v>
      </c>
      <c r="C1032" s="10" t="s">
        <v>399</v>
      </c>
      <c r="D1032" s="10">
        <v>4</v>
      </c>
      <c r="E1032" s="10">
        <v>3</v>
      </c>
      <c r="F1032" s="10">
        <v>1</v>
      </c>
      <c r="G1032" s="10" t="s">
        <v>212</v>
      </c>
      <c r="H1032" s="10">
        <f t="shared" si="64"/>
        <v>4301</v>
      </c>
      <c r="I1032" s="10">
        <v>7000162</v>
      </c>
      <c r="J1032" s="10">
        <v>500</v>
      </c>
    </row>
    <row r="1033" spans="1:10" x14ac:dyDescent="0.3">
      <c r="A1033" s="10">
        <f t="shared" si="63"/>
        <v>4301010</v>
      </c>
      <c r="B1033" s="10">
        <v>10</v>
      </c>
      <c r="C1033" s="10" t="s">
        <v>337</v>
      </c>
      <c r="D1033" s="10">
        <v>4</v>
      </c>
      <c r="E1033" s="10">
        <v>3</v>
      </c>
      <c r="F1033" s="10">
        <v>1</v>
      </c>
      <c r="G1033" s="10" t="s">
        <v>213</v>
      </c>
      <c r="H1033" s="10">
        <f t="shared" si="64"/>
        <v>4301</v>
      </c>
      <c r="I1033" s="10">
        <v>7000106</v>
      </c>
      <c r="J1033" s="10">
        <v>100</v>
      </c>
    </row>
    <row r="1034" spans="1:10" x14ac:dyDescent="0.3">
      <c r="A1034" s="10">
        <f t="shared" si="63"/>
        <v>4302001</v>
      </c>
      <c r="B1034" s="10">
        <v>1</v>
      </c>
      <c r="C1034" s="10" t="str">
        <f>C1024</f>
        <v>성급</v>
      </c>
      <c r="D1034" s="10">
        <v>4</v>
      </c>
      <c r="E1034" s="10">
        <v>3</v>
      </c>
      <c r="F1034" s="10">
        <v>2</v>
      </c>
      <c r="G1034" s="10" t="s">
        <v>208</v>
      </c>
      <c r="H1034" s="10">
        <f t="shared" si="64"/>
        <v>4302</v>
      </c>
      <c r="I1034" s="10">
        <v>7000114</v>
      </c>
      <c r="J1034" s="10">
        <v>18000</v>
      </c>
    </row>
    <row r="1035" spans="1:10" x14ac:dyDescent="0.3">
      <c r="A1035" s="10">
        <f t="shared" si="63"/>
        <v>4302002</v>
      </c>
      <c r="B1035" s="10">
        <v>2</v>
      </c>
      <c r="C1035" s="10" t="str">
        <f t="shared" ref="C1035:C1083" si="65">C1025</f>
        <v>난동</v>
      </c>
      <c r="D1035" s="10">
        <v>4</v>
      </c>
      <c r="E1035" s="10">
        <v>3</v>
      </c>
      <c r="F1035" s="10">
        <v>2</v>
      </c>
      <c r="G1035" s="10" t="s">
        <v>208</v>
      </c>
      <c r="H1035" s="10">
        <f t="shared" si="64"/>
        <v>4302</v>
      </c>
      <c r="I1035" s="10">
        <v>7000146</v>
      </c>
      <c r="J1035" s="10">
        <v>18000</v>
      </c>
    </row>
    <row r="1036" spans="1:10" x14ac:dyDescent="0.3">
      <c r="A1036" s="10">
        <f t="shared" si="63"/>
        <v>4302003</v>
      </c>
      <c r="B1036" s="10">
        <v>3</v>
      </c>
      <c r="C1036" s="10" t="str">
        <f t="shared" si="65"/>
        <v>열혈한</v>
      </c>
      <c r="D1036" s="10">
        <v>4</v>
      </c>
      <c r="E1036" s="10">
        <v>3</v>
      </c>
      <c r="F1036" s="10">
        <v>2</v>
      </c>
      <c r="G1036" s="10" t="s">
        <v>208</v>
      </c>
      <c r="H1036" s="10">
        <f t="shared" si="64"/>
        <v>4302</v>
      </c>
      <c r="I1036" s="10">
        <v>7000147</v>
      </c>
      <c r="J1036" s="10">
        <v>18000</v>
      </c>
    </row>
    <row r="1037" spans="1:10" x14ac:dyDescent="0.3">
      <c r="A1037" s="10">
        <f t="shared" si="63"/>
        <v>4302004</v>
      </c>
      <c r="B1037" s="10">
        <v>4</v>
      </c>
      <c r="C1037" s="10" t="str">
        <f t="shared" si="65"/>
        <v>트러블 메이커</v>
      </c>
      <c r="D1037" s="10">
        <v>4</v>
      </c>
      <c r="E1037" s="10">
        <v>3</v>
      </c>
      <c r="F1037" s="10">
        <v>2</v>
      </c>
      <c r="G1037" s="10" t="s">
        <v>209</v>
      </c>
      <c r="H1037" s="10">
        <f t="shared" si="64"/>
        <v>4302</v>
      </c>
      <c r="I1037" s="10">
        <v>7000150</v>
      </c>
      <c r="J1037" s="10">
        <v>14500</v>
      </c>
    </row>
    <row r="1038" spans="1:10" x14ac:dyDescent="0.3">
      <c r="A1038" s="10">
        <f t="shared" si="63"/>
        <v>4302005</v>
      </c>
      <c r="B1038" s="10">
        <v>5</v>
      </c>
      <c r="C1038" s="10" t="str">
        <f t="shared" si="65"/>
        <v>위기감지</v>
      </c>
      <c r="D1038" s="10">
        <v>4</v>
      </c>
      <c r="E1038" s="10">
        <v>3</v>
      </c>
      <c r="F1038" s="10">
        <v>2</v>
      </c>
      <c r="G1038" s="10" t="s">
        <v>209</v>
      </c>
      <c r="H1038" s="10">
        <f t="shared" si="64"/>
        <v>4302</v>
      </c>
      <c r="I1038" s="10">
        <v>7000141</v>
      </c>
      <c r="J1038" s="10">
        <v>14500</v>
      </c>
    </row>
    <row r="1039" spans="1:10" x14ac:dyDescent="0.3">
      <c r="A1039" s="10">
        <f t="shared" si="63"/>
        <v>4302006</v>
      </c>
      <c r="B1039" s="10">
        <v>6</v>
      </c>
      <c r="C1039" s="10" t="str">
        <f t="shared" si="65"/>
        <v>오기</v>
      </c>
      <c r="D1039" s="10">
        <v>4</v>
      </c>
      <c r="E1039" s="10">
        <v>3</v>
      </c>
      <c r="F1039" s="10">
        <v>2</v>
      </c>
      <c r="G1039" s="10" t="s">
        <v>210</v>
      </c>
      <c r="H1039" s="10">
        <f t="shared" si="64"/>
        <v>4302</v>
      </c>
      <c r="I1039" s="10">
        <v>7000139</v>
      </c>
      <c r="J1039" s="10">
        <v>9500</v>
      </c>
    </row>
    <row r="1040" spans="1:10" x14ac:dyDescent="0.3">
      <c r="A1040" s="10">
        <f t="shared" si="63"/>
        <v>4302007</v>
      </c>
      <c r="B1040" s="10">
        <v>7</v>
      </c>
      <c r="C1040" s="10" t="str">
        <f t="shared" si="65"/>
        <v>후발주자</v>
      </c>
      <c r="D1040" s="10">
        <v>4</v>
      </c>
      <c r="E1040" s="10">
        <v>3</v>
      </c>
      <c r="F1040" s="10">
        <v>2</v>
      </c>
      <c r="G1040" s="10" t="s">
        <v>210</v>
      </c>
      <c r="H1040" s="10">
        <f t="shared" si="64"/>
        <v>4302</v>
      </c>
      <c r="I1040" s="10">
        <v>7000151</v>
      </c>
      <c r="J1040" s="10">
        <v>9500</v>
      </c>
    </row>
    <row r="1041" spans="1:10" x14ac:dyDescent="0.3">
      <c r="A1041" s="10">
        <f t="shared" si="63"/>
        <v>4302008</v>
      </c>
      <c r="B1041" s="10">
        <v>8</v>
      </c>
      <c r="C1041" s="10" t="str">
        <f t="shared" si="65"/>
        <v>무자비</v>
      </c>
      <c r="D1041" s="10">
        <v>4</v>
      </c>
      <c r="E1041" s="10">
        <v>3</v>
      </c>
      <c r="F1041" s="10">
        <v>2</v>
      </c>
      <c r="G1041" s="10" t="s">
        <v>211</v>
      </c>
      <c r="H1041" s="10">
        <f t="shared" si="64"/>
        <v>4302</v>
      </c>
      <c r="I1041" s="10">
        <v>7000136</v>
      </c>
      <c r="J1041" s="10">
        <v>1900</v>
      </c>
    </row>
    <row r="1042" spans="1:10" x14ac:dyDescent="0.3">
      <c r="A1042" s="10">
        <f t="shared" si="63"/>
        <v>4302009</v>
      </c>
      <c r="B1042" s="10">
        <v>9</v>
      </c>
      <c r="C1042" s="10" t="str">
        <f t="shared" si="65"/>
        <v>강박증</v>
      </c>
      <c r="D1042" s="10">
        <v>4</v>
      </c>
      <c r="E1042" s="10">
        <v>3</v>
      </c>
      <c r="F1042" s="10">
        <v>2</v>
      </c>
      <c r="G1042" s="10" t="s">
        <v>212</v>
      </c>
      <c r="H1042" s="10">
        <f t="shared" si="64"/>
        <v>4302</v>
      </c>
      <c r="I1042" s="10">
        <v>7000162</v>
      </c>
      <c r="J1042" s="10">
        <v>500</v>
      </c>
    </row>
    <row r="1043" spans="1:10" x14ac:dyDescent="0.3">
      <c r="A1043" s="10">
        <f t="shared" si="63"/>
        <v>4302010</v>
      </c>
      <c r="B1043" s="10">
        <v>10</v>
      </c>
      <c r="C1043" s="10" t="str">
        <f t="shared" si="65"/>
        <v>원칙주의자</v>
      </c>
      <c r="D1043" s="10">
        <v>4</v>
      </c>
      <c r="E1043" s="10">
        <v>3</v>
      </c>
      <c r="F1043" s="10">
        <v>2</v>
      </c>
      <c r="G1043" s="10" t="s">
        <v>213</v>
      </c>
      <c r="H1043" s="10">
        <f t="shared" si="64"/>
        <v>4302</v>
      </c>
      <c r="I1043" s="10">
        <v>7000106</v>
      </c>
      <c r="J1043" s="10">
        <v>100</v>
      </c>
    </row>
    <row r="1044" spans="1:10" x14ac:dyDescent="0.3">
      <c r="A1044" s="10">
        <f t="shared" si="63"/>
        <v>4303001</v>
      </c>
      <c r="B1044" s="10">
        <v>1</v>
      </c>
      <c r="C1044" s="10" t="str">
        <f>C1034</f>
        <v>성급</v>
      </c>
      <c r="D1044" s="10">
        <v>4</v>
      </c>
      <c r="E1044" s="10">
        <v>3</v>
      </c>
      <c r="F1044" s="10">
        <v>3</v>
      </c>
      <c r="G1044" s="10" t="s">
        <v>208</v>
      </c>
      <c r="H1044" s="10">
        <f t="shared" si="64"/>
        <v>4303</v>
      </c>
      <c r="I1044" s="10">
        <v>7000114</v>
      </c>
      <c r="J1044" s="10">
        <v>16000</v>
      </c>
    </row>
    <row r="1045" spans="1:10" x14ac:dyDescent="0.3">
      <c r="A1045" s="10">
        <f t="shared" si="63"/>
        <v>4303002</v>
      </c>
      <c r="B1045" s="10">
        <v>2</v>
      </c>
      <c r="C1045" s="10" t="str">
        <f t="shared" si="65"/>
        <v>난동</v>
      </c>
      <c r="D1045" s="10">
        <v>4</v>
      </c>
      <c r="E1045" s="10">
        <v>3</v>
      </c>
      <c r="F1045" s="10">
        <v>3</v>
      </c>
      <c r="G1045" s="10" t="s">
        <v>208</v>
      </c>
      <c r="H1045" s="10">
        <f t="shared" si="64"/>
        <v>4303</v>
      </c>
      <c r="I1045" s="10">
        <v>7000146</v>
      </c>
      <c r="J1045" s="10">
        <v>16000</v>
      </c>
    </row>
    <row r="1046" spans="1:10" x14ac:dyDescent="0.3">
      <c r="A1046" s="10">
        <f t="shared" si="63"/>
        <v>4303003</v>
      </c>
      <c r="B1046" s="10">
        <v>3</v>
      </c>
      <c r="C1046" s="10" t="str">
        <f t="shared" si="65"/>
        <v>열혈한</v>
      </c>
      <c r="D1046" s="10">
        <v>4</v>
      </c>
      <c r="E1046" s="10">
        <v>3</v>
      </c>
      <c r="F1046" s="10">
        <v>3</v>
      </c>
      <c r="G1046" s="10" t="s">
        <v>208</v>
      </c>
      <c r="H1046" s="10">
        <f t="shared" si="64"/>
        <v>4303</v>
      </c>
      <c r="I1046" s="10">
        <v>7000147</v>
      </c>
      <c r="J1046" s="10">
        <v>16000</v>
      </c>
    </row>
    <row r="1047" spans="1:10" x14ac:dyDescent="0.3">
      <c r="A1047" s="10">
        <f t="shared" si="63"/>
        <v>4303004</v>
      </c>
      <c r="B1047" s="10">
        <v>4</v>
      </c>
      <c r="C1047" s="10" t="str">
        <f t="shared" si="65"/>
        <v>트러블 메이커</v>
      </c>
      <c r="D1047" s="10">
        <v>4</v>
      </c>
      <c r="E1047" s="10">
        <v>3</v>
      </c>
      <c r="F1047" s="10">
        <v>3</v>
      </c>
      <c r="G1047" s="10" t="s">
        <v>209</v>
      </c>
      <c r="H1047" s="10">
        <f t="shared" si="64"/>
        <v>4303</v>
      </c>
      <c r="I1047" s="10">
        <v>7000150</v>
      </c>
      <c r="J1047" s="10">
        <v>14000</v>
      </c>
    </row>
    <row r="1048" spans="1:10" x14ac:dyDescent="0.3">
      <c r="A1048" s="10">
        <f t="shared" si="63"/>
        <v>4303005</v>
      </c>
      <c r="B1048" s="10">
        <v>5</v>
      </c>
      <c r="C1048" s="10" t="str">
        <f t="shared" si="65"/>
        <v>위기감지</v>
      </c>
      <c r="D1048" s="10">
        <v>4</v>
      </c>
      <c r="E1048" s="10">
        <v>3</v>
      </c>
      <c r="F1048" s="10">
        <v>3</v>
      </c>
      <c r="G1048" s="10" t="s">
        <v>209</v>
      </c>
      <c r="H1048" s="10">
        <f t="shared" si="64"/>
        <v>4303</v>
      </c>
      <c r="I1048" s="10">
        <v>7000141</v>
      </c>
      <c r="J1048" s="10">
        <v>14000</v>
      </c>
    </row>
    <row r="1049" spans="1:10" x14ac:dyDescent="0.3">
      <c r="A1049" s="10">
        <f t="shared" si="63"/>
        <v>4303006</v>
      </c>
      <c r="B1049" s="10">
        <v>6</v>
      </c>
      <c r="C1049" s="10" t="str">
        <f t="shared" si="65"/>
        <v>오기</v>
      </c>
      <c r="D1049" s="10">
        <v>4</v>
      </c>
      <c r="E1049" s="10">
        <v>3</v>
      </c>
      <c r="F1049" s="10">
        <v>3</v>
      </c>
      <c r="G1049" s="10" t="s">
        <v>210</v>
      </c>
      <c r="H1049" s="10">
        <f t="shared" si="64"/>
        <v>4303</v>
      </c>
      <c r="I1049" s="10">
        <v>7000139</v>
      </c>
      <c r="J1049" s="10">
        <v>9000</v>
      </c>
    </row>
    <row r="1050" spans="1:10" x14ac:dyDescent="0.3">
      <c r="A1050" s="10">
        <f t="shared" si="63"/>
        <v>4303007</v>
      </c>
      <c r="B1050" s="10">
        <v>7</v>
      </c>
      <c r="C1050" s="10" t="str">
        <f t="shared" si="65"/>
        <v>후발주자</v>
      </c>
      <c r="D1050" s="10">
        <v>4</v>
      </c>
      <c r="E1050" s="10">
        <v>3</v>
      </c>
      <c r="F1050" s="10">
        <v>3</v>
      </c>
      <c r="G1050" s="10" t="s">
        <v>210</v>
      </c>
      <c r="H1050" s="10">
        <f t="shared" si="64"/>
        <v>4303</v>
      </c>
      <c r="I1050" s="10">
        <v>7000151</v>
      </c>
      <c r="J1050" s="10">
        <v>9000</v>
      </c>
    </row>
    <row r="1051" spans="1:10" x14ac:dyDescent="0.3">
      <c r="A1051" s="10">
        <f t="shared" si="63"/>
        <v>4303008</v>
      </c>
      <c r="B1051" s="10">
        <v>8</v>
      </c>
      <c r="C1051" s="10" t="str">
        <f t="shared" si="65"/>
        <v>무자비</v>
      </c>
      <c r="D1051" s="10">
        <v>4</v>
      </c>
      <c r="E1051" s="10">
        <v>3</v>
      </c>
      <c r="F1051" s="10">
        <v>3</v>
      </c>
      <c r="G1051" s="10" t="s">
        <v>211</v>
      </c>
      <c r="H1051" s="10">
        <f t="shared" si="64"/>
        <v>4303</v>
      </c>
      <c r="I1051" s="10">
        <v>7000136</v>
      </c>
      <c r="J1051" s="10">
        <v>1800</v>
      </c>
    </row>
    <row r="1052" spans="1:10" x14ac:dyDescent="0.3">
      <c r="A1052" s="10">
        <f t="shared" si="63"/>
        <v>4303009</v>
      </c>
      <c r="B1052" s="10">
        <v>9</v>
      </c>
      <c r="C1052" s="10" t="str">
        <f t="shared" si="65"/>
        <v>강박증</v>
      </c>
      <c r="D1052" s="10">
        <v>4</v>
      </c>
      <c r="E1052" s="10">
        <v>3</v>
      </c>
      <c r="F1052" s="10">
        <v>3</v>
      </c>
      <c r="G1052" s="10" t="s">
        <v>212</v>
      </c>
      <c r="H1052" s="10">
        <f t="shared" si="64"/>
        <v>4303</v>
      </c>
      <c r="I1052" s="10">
        <v>7000162</v>
      </c>
      <c r="J1052" s="10">
        <v>500</v>
      </c>
    </row>
    <row r="1053" spans="1:10" x14ac:dyDescent="0.3">
      <c r="A1053" s="10">
        <f t="shared" si="63"/>
        <v>4303010</v>
      </c>
      <c r="B1053" s="10">
        <v>10</v>
      </c>
      <c r="C1053" s="10" t="str">
        <f t="shared" si="65"/>
        <v>원칙주의자</v>
      </c>
      <c r="D1053" s="10">
        <v>4</v>
      </c>
      <c r="E1053" s="10">
        <v>3</v>
      </c>
      <c r="F1053" s="10">
        <v>3</v>
      </c>
      <c r="G1053" s="10" t="s">
        <v>213</v>
      </c>
      <c r="H1053" s="10">
        <f t="shared" si="64"/>
        <v>4303</v>
      </c>
      <c r="I1053" s="10">
        <v>7000106</v>
      </c>
      <c r="J1053" s="10">
        <v>100</v>
      </c>
    </row>
    <row r="1054" spans="1:10" x14ac:dyDescent="0.3">
      <c r="A1054" s="10">
        <f t="shared" si="63"/>
        <v>4304001</v>
      </c>
      <c r="B1054" s="10">
        <v>1</v>
      </c>
      <c r="C1054" s="10" t="str">
        <f>C1044</f>
        <v>성급</v>
      </c>
      <c r="D1054" s="10">
        <v>4</v>
      </c>
      <c r="E1054" s="10">
        <v>3</v>
      </c>
      <c r="F1054" s="10">
        <v>4</v>
      </c>
      <c r="G1054" s="10" t="s">
        <v>208</v>
      </c>
      <c r="H1054" s="10">
        <f t="shared" si="64"/>
        <v>4304</v>
      </c>
      <c r="I1054" s="10">
        <v>7000114</v>
      </c>
      <c r="J1054" s="10">
        <v>14000</v>
      </c>
    </row>
    <row r="1055" spans="1:10" x14ac:dyDescent="0.3">
      <c r="A1055" s="10">
        <f t="shared" si="63"/>
        <v>4304002</v>
      </c>
      <c r="B1055" s="10">
        <v>2</v>
      </c>
      <c r="C1055" s="10" t="str">
        <f t="shared" si="65"/>
        <v>난동</v>
      </c>
      <c r="D1055" s="10">
        <v>4</v>
      </c>
      <c r="E1055" s="10">
        <v>3</v>
      </c>
      <c r="F1055" s="10">
        <v>4</v>
      </c>
      <c r="G1055" s="10" t="s">
        <v>208</v>
      </c>
      <c r="H1055" s="10">
        <f t="shared" si="64"/>
        <v>4304</v>
      </c>
      <c r="I1055" s="10">
        <v>7000146</v>
      </c>
      <c r="J1055" s="10">
        <v>14000</v>
      </c>
    </row>
    <row r="1056" spans="1:10" x14ac:dyDescent="0.3">
      <c r="A1056" s="10">
        <f t="shared" si="63"/>
        <v>4304003</v>
      </c>
      <c r="B1056" s="10">
        <v>3</v>
      </c>
      <c r="C1056" s="10" t="str">
        <f t="shared" si="65"/>
        <v>열혈한</v>
      </c>
      <c r="D1056" s="10">
        <v>4</v>
      </c>
      <c r="E1056" s="10">
        <v>3</v>
      </c>
      <c r="F1056" s="10">
        <v>4</v>
      </c>
      <c r="G1056" s="10" t="s">
        <v>208</v>
      </c>
      <c r="H1056" s="10">
        <f t="shared" si="64"/>
        <v>4304</v>
      </c>
      <c r="I1056" s="10">
        <v>7000147</v>
      </c>
      <c r="J1056" s="10">
        <v>14000</v>
      </c>
    </row>
    <row r="1057" spans="1:10" x14ac:dyDescent="0.3">
      <c r="A1057" s="10">
        <f t="shared" si="63"/>
        <v>4304004</v>
      </c>
      <c r="B1057" s="10">
        <v>4</v>
      </c>
      <c r="C1057" s="10" t="str">
        <f t="shared" si="65"/>
        <v>트러블 메이커</v>
      </c>
      <c r="D1057" s="10">
        <v>4</v>
      </c>
      <c r="E1057" s="10">
        <v>3</v>
      </c>
      <c r="F1057" s="10">
        <v>4</v>
      </c>
      <c r="G1057" s="10" t="s">
        <v>209</v>
      </c>
      <c r="H1057" s="10">
        <f t="shared" si="64"/>
        <v>4304</v>
      </c>
      <c r="I1057" s="10">
        <v>7000150</v>
      </c>
      <c r="J1057" s="10">
        <v>13500</v>
      </c>
    </row>
    <row r="1058" spans="1:10" x14ac:dyDescent="0.3">
      <c r="A1058" s="10">
        <f t="shared" si="63"/>
        <v>4304005</v>
      </c>
      <c r="B1058" s="10">
        <v>5</v>
      </c>
      <c r="C1058" s="10" t="str">
        <f t="shared" si="65"/>
        <v>위기감지</v>
      </c>
      <c r="D1058" s="10">
        <v>4</v>
      </c>
      <c r="E1058" s="10">
        <v>3</v>
      </c>
      <c r="F1058" s="10">
        <v>4</v>
      </c>
      <c r="G1058" s="10" t="s">
        <v>209</v>
      </c>
      <c r="H1058" s="10">
        <f t="shared" si="64"/>
        <v>4304</v>
      </c>
      <c r="I1058" s="10">
        <v>7000141</v>
      </c>
      <c r="J1058" s="10">
        <v>13500</v>
      </c>
    </row>
    <row r="1059" spans="1:10" x14ac:dyDescent="0.3">
      <c r="A1059" s="10">
        <f t="shared" si="63"/>
        <v>4304006</v>
      </c>
      <c r="B1059" s="10">
        <v>6</v>
      </c>
      <c r="C1059" s="10" t="str">
        <f t="shared" si="65"/>
        <v>오기</v>
      </c>
      <c r="D1059" s="10">
        <v>4</v>
      </c>
      <c r="E1059" s="10">
        <v>3</v>
      </c>
      <c r="F1059" s="10">
        <v>4</v>
      </c>
      <c r="G1059" s="10" t="s">
        <v>210</v>
      </c>
      <c r="H1059" s="10">
        <f t="shared" si="64"/>
        <v>4304</v>
      </c>
      <c r="I1059" s="10">
        <v>7000139</v>
      </c>
      <c r="J1059" s="10">
        <v>8500</v>
      </c>
    </row>
    <row r="1060" spans="1:10" x14ac:dyDescent="0.3">
      <c r="A1060" s="10">
        <f t="shared" si="63"/>
        <v>4304007</v>
      </c>
      <c r="B1060" s="10">
        <v>7</v>
      </c>
      <c r="C1060" s="10" t="str">
        <f t="shared" si="65"/>
        <v>후발주자</v>
      </c>
      <c r="D1060" s="10">
        <v>4</v>
      </c>
      <c r="E1060" s="10">
        <v>3</v>
      </c>
      <c r="F1060" s="10">
        <v>4</v>
      </c>
      <c r="G1060" s="10" t="s">
        <v>210</v>
      </c>
      <c r="H1060" s="10">
        <f t="shared" si="64"/>
        <v>4304</v>
      </c>
      <c r="I1060" s="10">
        <v>7000151</v>
      </c>
      <c r="J1060" s="10">
        <v>8500</v>
      </c>
    </row>
    <row r="1061" spans="1:10" x14ac:dyDescent="0.3">
      <c r="A1061" s="10">
        <f t="shared" si="63"/>
        <v>4304008</v>
      </c>
      <c r="B1061" s="10">
        <v>8</v>
      </c>
      <c r="C1061" s="10" t="str">
        <f t="shared" si="65"/>
        <v>무자비</v>
      </c>
      <c r="D1061" s="10">
        <v>4</v>
      </c>
      <c r="E1061" s="10">
        <v>3</v>
      </c>
      <c r="F1061" s="10">
        <v>4</v>
      </c>
      <c r="G1061" s="10" t="s">
        <v>211</v>
      </c>
      <c r="H1061" s="10">
        <f t="shared" si="64"/>
        <v>4304</v>
      </c>
      <c r="I1061" s="10">
        <v>7000136</v>
      </c>
      <c r="J1061" s="10">
        <v>1700</v>
      </c>
    </row>
    <row r="1062" spans="1:10" x14ac:dyDescent="0.3">
      <c r="A1062" s="10">
        <f t="shared" si="63"/>
        <v>4304009</v>
      </c>
      <c r="B1062" s="10">
        <v>9</v>
      </c>
      <c r="C1062" s="10" t="str">
        <f t="shared" si="65"/>
        <v>강박증</v>
      </c>
      <c r="D1062" s="10">
        <v>4</v>
      </c>
      <c r="E1062" s="10">
        <v>3</v>
      </c>
      <c r="F1062" s="10">
        <v>4</v>
      </c>
      <c r="G1062" s="10" t="s">
        <v>212</v>
      </c>
      <c r="H1062" s="10">
        <f t="shared" si="64"/>
        <v>4304</v>
      </c>
      <c r="I1062" s="10">
        <v>7000162</v>
      </c>
      <c r="J1062" s="10">
        <v>500</v>
      </c>
    </row>
    <row r="1063" spans="1:10" x14ac:dyDescent="0.3">
      <c r="A1063" s="10">
        <f t="shared" si="63"/>
        <v>4304010</v>
      </c>
      <c r="B1063" s="10">
        <v>10</v>
      </c>
      <c r="C1063" s="10" t="str">
        <f t="shared" si="65"/>
        <v>원칙주의자</v>
      </c>
      <c r="D1063" s="10">
        <v>4</v>
      </c>
      <c r="E1063" s="10">
        <v>3</v>
      </c>
      <c r="F1063" s="10">
        <v>4</v>
      </c>
      <c r="G1063" s="10" t="s">
        <v>213</v>
      </c>
      <c r="H1063" s="10">
        <f t="shared" si="64"/>
        <v>4304</v>
      </c>
      <c r="I1063" s="10">
        <v>7000106</v>
      </c>
      <c r="J1063" s="10">
        <v>100</v>
      </c>
    </row>
    <row r="1064" spans="1:10" x14ac:dyDescent="0.3">
      <c r="A1064" s="10">
        <f t="shared" si="63"/>
        <v>4305001</v>
      </c>
      <c r="B1064" s="10">
        <v>1</v>
      </c>
      <c r="C1064" s="10" t="str">
        <f>C1054</f>
        <v>성급</v>
      </c>
      <c r="D1064" s="10">
        <v>4</v>
      </c>
      <c r="E1064" s="10">
        <v>3</v>
      </c>
      <c r="F1064" s="10">
        <v>5</v>
      </c>
      <c r="G1064" s="10" t="s">
        <v>208</v>
      </c>
      <c r="H1064" s="10">
        <f t="shared" si="64"/>
        <v>4305</v>
      </c>
      <c r="I1064" s="10">
        <v>7000114</v>
      </c>
      <c r="J1064" s="10">
        <v>12000</v>
      </c>
    </row>
    <row r="1065" spans="1:10" x14ac:dyDescent="0.3">
      <c r="A1065" s="10">
        <f t="shared" si="63"/>
        <v>4305002</v>
      </c>
      <c r="B1065" s="10">
        <v>2</v>
      </c>
      <c r="C1065" s="10" t="str">
        <f t="shared" si="65"/>
        <v>난동</v>
      </c>
      <c r="D1065" s="10">
        <v>4</v>
      </c>
      <c r="E1065" s="10">
        <v>3</v>
      </c>
      <c r="F1065" s="10">
        <v>5</v>
      </c>
      <c r="G1065" s="10" t="s">
        <v>208</v>
      </c>
      <c r="H1065" s="10">
        <f t="shared" si="64"/>
        <v>4305</v>
      </c>
      <c r="I1065" s="10">
        <v>7000146</v>
      </c>
      <c r="J1065" s="10">
        <v>12000</v>
      </c>
    </row>
    <row r="1066" spans="1:10" x14ac:dyDescent="0.3">
      <c r="A1066" s="10">
        <f t="shared" si="63"/>
        <v>4305003</v>
      </c>
      <c r="B1066" s="10">
        <v>3</v>
      </c>
      <c r="C1066" s="10" t="str">
        <f t="shared" si="65"/>
        <v>열혈한</v>
      </c>
      <c r="D1066" s="10">
        <v>4</v>
      </c>
      <c r="E1066" s="10">
        <v>3</v>
      </c>
      <c r="F1066" s="10">
        <v>5</v>
      </c>
      <c r="G1066" s="10" t="s">
        <v>208</v>
      </c>
      <c r="H1066" s="10">
        <f t="shared" si="64"/>
        <v>4305</v>
      </c>
      <c r="I1066" s="10">
        <v>7000147</v>
      </c>
      <c r="J1066" s="10">
        <v>12000</v>
      </c>
    </row>
    <row r="1067" spans="1:10" x14ac:dyDescent="0.3">
      <c r="A1067" s="10">
        <f t="shared" si="63"/>
        <v>4305004</v>
      </c>
      <c r="B1067" s="10">
        <v>4</v>
      </c>
      <c r="C1067" s="10" t="str">
        <f t="shared" si="65"/>
        <v>트러블 메이커</v>
      </c>
      <c r="D1067" s="10">
        <v>4</v>
      </c>
      <c r="E1067" s="10">
        <v>3</v>
      </c>
      <c r="F1067" s="10">
        <v>5</v>
      </c>
      <c r="G1067" s="10" t="s">
        <v>209</v>
      </c>
      <c r="H1067" s="10">
        <f t="shared" si="64"/>
        <v>4305</v>
      </c>
      <c r="I1067" s="10">
        <v>7000150</v>
      </c>
      <c r="J1067" s="10">
        <v>13000</v>
      </c>
    </row>
    <row r="1068" spans="1:10" x14ac:dyDescent="0.3">
      <c r="A1068" s="10">
        <f t="shared" si="63"/>
        <v>4305005</v>
      </c>
      <c r="B1068" s="10">
        <v>5</v>
      </c>
      <c r="C1068" s="10" t="str">
        <f t="shared" si="65"/>
        <v>위기감지</v>
      </c>
      <c r="D1068" s="10">
        <v>4</v>
      </c>
      <c r="E1068" s="10">
        <v>3</v>
      </c>
      <c r="F1068" s="10">
        <v>5</v>
      </c>
      <c r="G1068" s="10" t="s">
        <v>209</v>
      </c>
      <c r="H1068" s="10">
        <f t="shared" si="64"/>
        <v>4305</v>
      </c>
      <c r="I1068" s="10">
        <v>7000141</v>
      </c>
      <c r="J1068" s="10">
        <v>13000</v>
      </c>
    </row>
    <row r="1069" spans="1:10" x14ac:dyDescent="0.3">
      <c r="A1069" s="10">
        <f t="shared" si="63"/>
        <v>4305006</v>
      </c>
      <c r="B1069" s="10">
        <v>6</v>
      </c>
      <c r="C1069" s="10" t="str">
        <f t="shared" si="65"/>
        <v>오기</v>
      </c>
      <c r="D1069" s="10">
        <v>4</v>
      </c>
      <c r="E1069" s="10">
        <v>3</v>
      </c>
      <c r="F1069" s="10">
        <v>5</v>
      </c>
      <c r="G1069" s="10" t="s">
        <v>210</v>
      </c>
      <c r="H1069" s="10">
        <f t="shared" si="64"/>
        <v>4305</v>
      </c>
      <c r="I1069" s="10">
        <v>7000139</v>
      </c>
      <c r="J1069" s="10">
        <v>8000</v>
      </c>
    </row>
    <row r="1070" spans="1:10" x14ac:dyDescent="0.3">
      <c r="A1070" s="10">
        <f t="shared" si="63"/>
        <v>4305007</v>
      </c>
      <c r="B1070" s="10">
        <v>7</v>
      </c>
      <c r="C1070" s="10" t="str">
        <f t="shared" si="65"/>
        <v>후발주자</v>
      </c>
      <c r="D1070" s="10">
        <v>4</v>
      </c>
      <c r="E1070" s="10">
        <v>3</v>
      </c>
      <c r="F1070" s="10">
        <v>5</v>
      </c>
      <c r="G1070" s="10" t="s">
        <v>210</v>
      </c>
      <c r="H1070" s="10">
        <f t="shared" si="64"/>
        <v>4305</v>
      </c>
      <c r="I1070" s="10">
        <v>7000151</v>
      </c>
      <c r="J1070" s="10">
        <v>8000</v>
      </c>
    </row>
    <row r="1071" spans="1:10" x14ac:dyDescent="0.3">
      <c r="A1071" s="10">
        <f t="shared" si="63"/>
        <v>4305008</v>
      </c>
      <c r="B1071" s="10">
        <v>8</v>
      </c>
      <c r="C1071" s="10" t="str">
        <f t="shared" si="65"/>
        <v>무자비</v>
      </c>
      <c r="D1071" s="10">
        <v>4</v>
      </c>
      <c r="E1071" s="10">
        <v>3</v>
      </c>
      <c r="F1071" s="10">
        <v>5</v>
      </c>
      <c r="G1071" s="10" t="s">
        <v>211</v>
      </c>
      <c r="H1071" s="10">
        <f t="shared" si="64"/>
        <v>4305</v>
      </c>
      <c r="I1071" s="10">
        <v>7000136</v>
      </c>
      <c r="J1071" s="10">
        <v>1600</v>
      </c>
    </row>
    <row r="1072" spans="1:10" x14ac:dyDescent="0.3">
      <c r="A1072" s="10">
        <f t="shared" si="63"/>
        <v>4305009</v>
      </c>
      <c r="B1072" s="10">
        <v>9</v>
      </c>
      <c r="C1072" s="10" t="str">
        <f t="shared" si="65"/>
        <v>강박증</v>
      </c>
      <c r="D1072" s="10">
        <v>4</v>
      </c>
      <c r="E1072" s="10">
        <v>3</v>
      </c>
      <c r="F1072" s="10">
        <v>5</v>
      </c>
      <c r="G1072" s="10" t="s">
        <v>212</v>
      </c>
      <c r="H1072" s="10">
        <f t="shared" si="64"/>
        <v>4305</v>
      </c>
      <c r="I1072" s="10">
        <v>7000162</v>
      </c>
      <c r="J1072" s="10">
        <v>500</v>
      </c>
    </row>
    <row r="1073" spans="1:10" x14ac:dyDescent="0.3">
      <c r="A1073" s="10">
        <f t="shared" si="63"/>
        <v>4305010</v>
      </c>
      <c r="B1073" s="10">
        <v>10</v>
      </c>
      <c r="C1073" s="10" t="str">
        <f t="shared" si="65"/>
        <v>원칙주의자</v>
      </c>
      <c r="D1073" s="10">
        <v>4</v>
      </c>
      <c r="E1073" s="10">
        <v>3</v>
      </c>
      <c r="F1073" s="10">
        <v>5</v>
      </c>
      <c r="G1073" s="10" t="s">
        <v>213</v>
      </c>
      <c r="H1073" s="10">
        <f t="shared" si="64"/>
        <v>4305</v>
      </c>
      <c r="I1073" s="10">
        <v>7000106</v>
      </c>
      <c r="J1073" s="10">
        <v>100</v>
      </c>
    </row>
    <row r="1074" spans="1:10" x14ac:dyDescent="0.3">
      <c r="A1074" s="10">
        <f t="shared" si="63"/>
        <v>4306001</v>
      </c>
      <c r="B1074" s="10">
        <v>1</v>
      </c>
      <c r="C1074" s="10" t="str">
        <f>C1064</f>
        <v>성급</v>
      </c>
      <c r="D1074" s="10">
        <v>4</v>
      </c>
      <c r="E1074" s="10">
        <v>3</v>
      </c>
      <c r="F1074" s="10">
        <v>6</v>
      </c>
      <c r="G1074" s="10" t="s">
        <v>208</v>
      </c>
      <c r="H1074" s="10">
        <f t="shared" si="64"/>
        <v>4306</v>
      </c>
      <c r="I1074" s="10">
        <v>7000114</v>
      </c>
      <c r="J1074" s="10">
        <v>10000</v>
      </c>
    </row>
    <row r="1075" spans="1:10" x14ac:dyDescent="0.3">
      <c r="A1075" s="10">
        <f t="shared" si="63"/>
        <v>4306002</v>
      </c>
      <c r="B1075" s="10">
        <v>2</v>
      </c>
      <c r="C1075" s="10" t="str">
        <f t="shared" si="65"/>
        <v>난동</v>
      </c>
      <c r="D1075" s="10">
        <v>4</v>
      </c>
      <c r="E1075" s="10">
        <v>3</v>
      </c>
      <c r="F1075" s="10">
        <v>6</v>
      </c>
      <c r="G1075" s="10" t="s">
        <v>208</v>
      </c>
      <c r="H1075" s="10">
        <f t="shared" si="64"/>
        <v>4306</v>
      </c>
      <c r="I1075" s="10">
        <v>7000146</v>
      </c>
      <c r="J1075" s="10">
        <v>10000</v>
      </c>
    </row>
    <row r="1076" spans="1:10" x14ac:dyDescent="0.3">
      <c r="A1076" s="10">
        <f t="shared" si="63"/>
        <v>4306003</v>
      </c>
      <c r="B1076" s="10">
        <v>3</v>
      </c>
      <c r="C1076" s="10" t="str">
        <f t="shared" si="65"/>
        <v>열혈한</v>
      </c>
      <c r="D1076" s="10">
        <v>4</v>
      </c>
      <c r="E1076" s="10">
        <v>3</v>
      </c>
      <c r="F1076" s="10">
        <v>6</v>
      </c>
      <c r="G1076" s="10" t="s">
        <v>208</v>
      </c>
      <c r="H1076" s="10">
        <f t="shared" si="64"/>
        <v>4306</v>
      </c>
      <c r="I1076" s="10">
        <v>7000147</v>
      </c>
      <c r="J1076" s="10">
        <v>10000</v>
      </c>
    </row>
    <row r="1077" spans="1:10" x14ac:dyDescent="0.3">
      <c r="A1077" s="10">
        <f t="shared" si="63"/>
        <v>4306004</v>
      </c>
      <c r="B1077" s="10">
        <v>4</v>
      </c>
      <c r="C1077" s="10" t="str">
        <f t="shared" si="65"/>
        <v>트러블 메이커</v>
      </c>
      <c r="D1077" s="10">
        <v>4</v>
      </c>
      <c r="E1077" s="10">
        <v>3</v>
      </c>
      <c r="F1077" s="10">
        <v>6</v>
      </c>
      <c r="G1077" s="10" t="s">
        <v>209</v>
      </c>
      <c r="H1077" s="10">
        <f t="shared" si="64"/>
        <v>4306</v>
      </c>
      <c r="I1077" s="10">
        <v>7000150</v>
      </c>
      <c r="J1077" s="10">
        <v>12500</v>
      </c>
    </row>
    <row r="1078" spans="1:10" x14ac:dyDescent="0.3">
      <c r="A1078" s="10">
        <f t="shared" si="63"/>
        <v>4306005</v>
      </c>
      <c r="B1078" s="10">
        <v>5</v>
      </c>
      <c r="C1078" s="10" t="str">
        <f t="shared" si="65"/>
        <v>위기감지</v>
      </c>
      <c r="D1078" s="10">
        <v>4</v>
      </c>
      <c r="E1078" s="10">
        <v>3</v>
      </c>
      <c r="F1078" s="10">
        <v>6</v>
      </c>
      <c r="G1078" s="10" t="s">
        <v>209</v>
      </c>
      <c r="H1078" s="10">
        <f t="shared" si="64"/>
        <v>4306</v>
      </c>
      <c r="I1078" s="10">
        <v>7000141</v>
      </c>
      <c r="J1078" s="10">
        <v>12500</v>
      </c>
    </row>
    <row r="1079" spans="1:10" x14ac:dyDescent="0.3">
      <c r="A1079" s="10">
        <f t="shared" si="63"/>
        <v>4306006</v>
      </c>
      <c r="B1079" s="10">
        <v>6</v>
      </c>
      <c r="C1079" s="10" t="str">
        <f t="shared" si="65"/>
        <v>오기</v>
      </c>
      <c r="D1079" s="10">
        <v>4</v>
      </c>
      <c r="E1079" s="10">
        <v>3</v>
      </c>
      <c r="F1079" s="10">
        <v>6</v>
      </c>
      <c r="G1079" s="10" t="s">
        <v>210</v>
      </c>
      <c r="H1079" s="10">
        <f t="shared" si="64"/>
        <v>4306</v>
      </c>
      <c r="I1079" s="10">
        <v>7000139</v>
      </c>
      <c r="J1079" s="10">
        <v>7500</v>
      </c>
    </row>
    <row r="1080" spans="1:10" x14ac:dyDescent="0.3">
      <c r="A1080" s="10">
        <f t="shared" si="63"/>
        <v>4306007</v>
      </c>
      <c r="B1080" s="10">
        <v>7</v>
      </c>
      <c r="C1080" s="10" t="str">
        <f t="shared" si="65"/>
        <v>후발주자</v>
      </c>
      <c r="D1080" s="10">
        <v>4</v>
      </c>
      <c r="E1080" s="10">
        <v>3</v>
      </c>
      <c r="F1080" s="10">
        <v>6</v>
      </c>
      <c r="G1080" s="10" t="s">
        <v>210</v>
      </c>
      <c r="H1080" s="10">
        <f t="shared" si="64"/>
        <v>4306</v>
      </c>
      <c r="I1080" s="10">
        <v>7000151</v>
      </c>
      <c r="J1080" s="10">
        <v>7500</v>
      </c>
    </row>
    <row r="1081" spans="1:10" x14ac:dyDescent="0.3">
      <c r="A1081" s="10">
        <f t="shared" si="63"/>
        <v>4306008</v>
      </c>
      <c r="B1081" s="10">
        <v>8</v>
      </c>
      <c r="C1081" s="10" t="str">
        <f t="shared" si="65"/>
        <v>무자비</v>
      </c>
      <c r="D1081" s="10">
        <v>4</v>
      </c>
      <c r="E1081" s="10">
        <v>3</v>
      </c>
      <c r="F1081" s="10">
        <v>6</v>
      </c>
      <c r="G1081" s="10" t="s">
        <v>211</v>
      </c>
      <c r="H1081" s="10">
        <f t="shared" si="64"/>
        <v>4306</v>
      </c>
      <c r="I1081" s="10">
        <v>7000136</v>
      </c>
      <c r="J1081" s="10">
        <v>1500</v>
      </c>
    </row>
    <row r="1082" spans="1:10" x14ac:dyDescent="0.3">
      <c r="A1082" s="10">
        <f t="shared" si="63"/>
        <v>4306009</v>
      </c>
      <c r="B1082" s="10">
        <v>9</v>
      </c>
      <c r="C1082" s="10" t="str">
        <f t="shared" si="65"/>
        <v>강박증</v>
      </c>
      <c r="D1082" s="10">
        <v>4</v>
      </c>
      <c r="E1082" s="10">
        <v>3</v>
      </c>
      <c r="F1082" s="10">
        <v>6</v>
      </c>
      <c r="G1082" s="10" t="s">
        <v>212</v>
      </c>
      <c r="H1082" s="10">
        <f t="shared" si="64"/>
        <v>4306</v>
      </c>
      <c r="I1082" s="10">
        <v>7000162</v>
      </c>
      <c r="J1082" s="10">
        <v>500</v>
      </c>
    </row>
    <row r="1083" spans="1:10" x14ac:dyDescent="0.3">
      <c r="A1083" s="10">
        <f t="shared" si="63"/>
        <v>4306010</v>
      </c>
      <c r="B1083" s="10">
        <v>10</v>
      </c>
      <c r="C1083" s="10" t="str">
        <f t="shared" si="65"/>
        <v>원칙주의자</v>
      </c>
      <c r="D1083" s="10">
        <v>4</v>
      </c>
      <c r="E1083" s="10">
        <v>3</v>
      </c>
      <c r="F1083" s="10">
        <v>6</v>
      </c>
      <c r="G1083" s="10" t="s">
        <v>213</v>
      </c>
      <c r="H1083" s="10">
        <f t="shared" si="64"/>
        <v>4306</v>
      </c>
      <c r="I1083" s="10">
        <v>7000106</v>
      </c>
      <c r="J1083" s="10">
        <v>100</v>
      </c>
    </row>
    <row r="1084" spans="1:10" x14ac:dyDescent="0.3">
      <c r="A1084" s="11">
        <f>INT(H1084&amp;TEXT(B1084,"000"))</f>
        <v>4401001</v>
      </c>
      <c r="B1084" s="11">
        <v>1</v>
      </c>
      <c r="C1084" s="11" t="s">
        <v>364</v>
      </c>
      <c r="D1084" s="11">
        <v>4</v>
      </c>
      <c r="E1084" s="11">
        <v>4</v>
      </c>
      <c r="F1084" s="11">
        <v>1</v>
      </c>
      <c r="G1084" s="11" t="s">
        <v>208</v>
      </c>
      <c r="H1084" s="11">
        <f>INT(D1084&amp;E1084&amp;TEXT(F1084,"00"))</f>
        <v>4401</v>
      </c>
      <c r="I1084" s="11">
        <v>7000104</v>
      </c>
      <c r="J1084" s="11">
        <v>20000</v>
      </c>
    </row>
    <row r="1085" spans="1:10" x14ac:dyDescent="0.3">
      <c r="A1085" s="10">
        <f t="shared" ref="A1085:A1143" si="66">INT(H1085&amp;TEXT(B1085,"000"))</f>
        <v>4401002</v>
      </c>
      <c r="B1085" s="10">
        <v>2</v>
      </c>
      <c r="C1085" s="10" t="s">
        <v>365</v>
      </c>
      <c r="D1085" s="10">
        <v>4</v>
      </c>
      <c r="E1085" s="10">
        <v>4</v>
      </c>
      <c r="F1085" s="10">
        <v>1</v>
      </c>
      <c r="G1085" s="10" t="s">
        <v>208</v>
      </c>
      <c r="H1085" s="10">
        <f t="shared" ref="H1085:H1143" si="67">INT(D1085&amp;E1085&amp;TEXT(F1085,"00"))</f>
        <v>4401</v>
      </c>
      <c r="I1085" s="10">
        <v>7000115</v>
      </c>
      <c r="J1085" s="10">
        <v>20000</v>
      </c>
    </row>
    <row r="1086" spans="1:10" x14ac:dyDescent="0.3">
      <c r="A1086" s="10">
        <f t="shared" si="66"/>
        <v>4401003</v>
      </c>
      <c r="B1086" s="10">
        <v>3</v>
      </c>
      <c r="C1086" s="10" t="s">
        <v>386</v>
      </c>
      <c r="D1086" s="10">
        <v>4</v>
      </c>
      <c r="E1086" s="10">
        <v>4</v>
      </c>
      <c r="F1086" s="10">
        <v>1</v>
      </c>
      <c r="G1086" s="10" t="s">
        <v>208</v>
      </c>
      <c r="H1086" s="10">
        <f t="shared" si="67"/>
        <v>4401</v>
      </c>
      <c r="I1086" s="10">
        <v>7000170</v>
      </c>
      <c r="J1086" s="10">
        <v>20000</v>
      </c>
    </row>
    <row r="1087" spans="1:10" x14ac:dyDescent="0.3">
      <c r="A1087" s="10">
        <f t="shared" si="66"/>
        <v>4401004</v>
      </c>
      <c r="B1087" s="10">
        <v>4</v>
      </c>
      <c r="C1087" s="10" t="s">
        <v>387</v>
      </c>
      <c r="D1087" s="10">
        <v>4</v>
      </c>
      <c r="E1087" s="10">
        <v>4</v>
      </c>
      <c r="F1087" s="10">
        <v>1</v>
      </c>
      <c r="G1087" s="10" t="s">
        <v>223</v>
      </c>
      <c r="H1087" s="10">
        <f t="shared" si="67"/>
        <v>4401</v>
      </c>
      <c r="I1087" s="10">
        <v>7000171</v>
      </c>
      <c r="J1087" s="10">
        <v>15000</v>
      </c>
    </row>
    <row r="1088" spans="1:10" x14ac:dyDescent="0.3">
      <c r="A1088" s="10">
        <f t="shared" si="66"/>
        <v>4401005</v>
      </c>
      <c r="B1088" s="10">
        <v>5</v>
      </c>
      <c r="C1088" s="10" t="s">
        <v>349</v>
      </c>
      <c r="D1088" s="10">
        <v>4</v>
      </c>
      <c r="E1088" s="10">
        <v>4</v>
      </c>
      <c r="F1088" s="10">
        <v>1</v>
      </c>
      <c r="G1088" s="10" t="s">
        <v>223</v>
      </c>
      <c r="H1088" s="10">
        <f t="shared" si="67"/>
        <v>4401</v>
      </c>
      <c r="I1088" s="10">
        <v>7000137</v>
      </c>
      <c r="J1088" s="10">
        <v>15000</v>
      </c>
    </row>
    <row r="1089" spans="1:10" x14ac:dyDescent="0.3">
      <c r="A1089" s="10">
        <f t="shared" si="66"/>
        <v>4401006</v>
      </c>
      <c r="B1089" s="10">
        <v>6</v>
      </c>
      <c r="C1089" s="10" t="s">
        <v>388</v>
      </c>
      <c r="D1089" s="10">
        <v>4</v>
      </c>
      <c r="E1089" s="10">
        <v>4</v>
      </c>
      <c r="F1089" s="10">
        <v>1</v>
      </c>
      <c r="G1089" s="10" t="s">
        <v>222</v>
      </c>
      <c r="H1089" s="10">
        <f t="shared" si="67"/>
        <v>4401</v>
      </c>
      <c r="I1089" s="10">
        <v>7000158</v>
      </c>
      <c r="J1089" s="10">
        <v>10000</v>
      </c>
    </row>
    <row r="1090" spans="1:10" x14ac:dyDescent="0.3">
      <c r="A1090" s="10">
        <f t="shared" si="66"/>
        <v>4401007</v>
      </c>
      <c r="B1090" s="10">
        <v>7</v>
      </c>
      <c r="C1090" s="10" t="s">
        <v>394</v>
      </c>
      <c r="D1090" s="10">
        <v>4</v>
      </c>
      <c r="E1090" s="10">
        <v>4</v>
      </c>
      <c r="F1090" s="10">
        <v>1</v>
      </c>
      <c r="G1090" s="10" t="s">
        <v>222</v>
      </c>
      <c r="H1090" s="10">
        <f t="shared" si="67"/>
        <v>4401</v>
      </c>
      <c r="I1090" s="10">
        <v>7000169</v>
      </c>
      <c r="J1090" s="10">
        <v>10000</v>
      </c>
    </row>
    <row r="1091" spans="1:10" x14ac:dyDescent="0.3">
      <c r="A1091" s="10">
        <f t="shared" si="66"/>
        <v>4401008</v>
      </c>
      <c r="B1091" s="10">
        <v>8</v>
      </c>
      <c r="C1091" s="10" t="s">
        <v>363</v>
      </c>
      <c r="D1091" s="10">
        <v>4</v>
      </c>
      <c r="E1091" s="10">
        <v>4</v>
      </c>
      <c r="F1091" s="10">
        <v>1</v>
      </c>
      <c r="G1091" s="10" t="s">
        <v>211</v>
      </c>
      <c r="H1091" s="10">
        <f t="shared" si="67"/>
        <v>4401</v>
      </c>
      <c r="I1091" s="10">
        <v>7000121</v>
      </c>
      <c r="J1091" s="10">
        <v>2000</v>
      </c>
    </row>
    <row r="1092" spans="1:10" x14ac:dyDescent="0.3">
      <c r="A1092" s="10">
        <f t="shared" si="66"/>
        <v>4401009</v>
      </c>
      <c r="B1092" s="10">
        <v>9</v>
      </c>
      <c r="C1092" s="10" t="s">
        <v>367</v>
      </c>
      <c r="D1092" s="10">
        <v>4</v>
      </c>
      <c r="E1092" s="10">
        <v>4</v>
      </c>
      <c r="F1092" s="10">
        <v>1</v>
      </c>
      <c r="G1092" s="10" t="s">
        <v>212</v>
      </c>
      <c r="H1092" s="10">
        <f t="shared" si="67"/>
        <v>4401</v>
      </c>
      <c r="I1092" s="10">
        <v>7000119</v>
      </c>
      <c r="J1092" s="10">
        <v>500</v>
      </c>
    </row>
    <row r="1093" spans="1:10" x14ac:dyDescent="0.3">
      <c r="A1093" s="10">
        <f t="shared" si="66"/>
        <v>4401010</v>
      </c>
      <c r="B1093" s="10">
        <v>10</v>
      </c>
      <c r="C1093" s="10" t="s">
        <v>393</v>
      </c>
      <c r="D1093" s="10">
        <v>4</v>
      </c>
      <c r="E1093" s="10">
        <v>4</v>
      </c>
      <c r="F1093" s="10">
        <v>1</v>
      </c>
      <c r="G1093" s="10" t="s">
        <v>213</v>
      </c>
      <c r="H1093" s="10">
        <f t="shared" si="67"/>
        <v>4401</v>
      </c>
      <c r="I1093" s="10">
        <v>7000157</v>
      </c>
      <c r="J1093" s="10">
        <v>100</v>
      </c>
    </row>
    <row r="1094" spans="1:10" x14ac:dyDescent="0.3">
      <c r="A1094" s="10">
        <f t="shared" si="66"/>
        <v>4402001</v>
      </c>
      <c r="B1094" s="10">
        <v>1</v>
      </c>
      <c r="C1094" s="10" t="str">
        <f>C1084</f>
        <v>집중</v>
      </c>
      <c r="D1094" s="10">
        <v>4</v>
      </c>
      <c r="E1094" s="10">
        <v>4</v>
      </c>
      <c r="F1094" s="10">
        <v>2</v>
      </c>
      <c r="G1094" s="10" t="s">
        <v>208</v>
      </c>
      <c r="H1094" s="10">
        <f t="shared" si="67"/>
        <v>4402</v>
      </c>
      <c r="I1094" s="10">
        <v>7000104</v>
      </c>
      <c r="J1094" s="10">
        <v>18000</v>
      </c>
    </row>
    <row r="1095" spans="1:10" x14ac:dyDescent="0.3">
      <c r="A1095" s="10">
        <f t="shared" si="66"/>
        <v>4402002</v>
      </c>
      <c r="B1095" s="10">
        <v>2</v>
      </c>
      <c r="C1095" s="10" t="str">
        <f t="shared" ref="C1095:C1143" si="68">C1085</f>
        <v>만전태세</v>
      </c>
      <c r="D1095" s="10">
        <v>4</v>
      </c>
      <c r="E1095" s="10">
        <v>4</v>
      </c>
      <c r="F1095" s="10">
        <v>2</v>
      </c>
      <c r="G1095" s="10" t="s">
        <v>208</v>
      </c>
      <c r="H1095" s="10">
        <f t="shared" si="67"/>
        <v>4402</v>
      </c>
      <c r="I1095" s="10">
        <v>7000115</v>
      </c>
      <c r="J1095" s="10">
        <v>18000</v>
      </c>
    </row>
    <row r="1096" spans="1:10" x14ac:dyDescent="0.3">
      <c r="A1096" s="10">
        <f t="shared" si="66"/>
        <v>4402003</v>
      </c>
      <c r="B1096" s="10">
        <v>3</v>
      </c>
      <c r="C1096" s="10" t="str">
        <f t="shared" si="68"/>
        <v>기선제압</v>
      </c>
      <c r="D1096" s="10">
        <v>4</v>
      </c>
      <c r="E1096" s="10">
        <v>4</v>
      </c>
      <c r="F1096" s="10">
        <v>2</v>
      </c>
      <c r="G1096" s="10" t="s">
        <v>208</v>
      </c>
      <c r="H1096" s="10">
        <f t="shared" si="67"/>
        <v>4402</v>
      </c>
      <c r="I1096" s="10">
        <v>7000170</v>
      </c>
      <c r="J1096" s="10">
        <v>18000</v>
      </c>
    </row>
    <row r="1097" spans="1:10" x14ac:dyDescent="0.3">
      <c r="A1097" s="10">
        <f t="shared" si="66"/>
        <v>4402004</v>
      </c>
      <c r="B1097" s="10">
        <v>4</v>
      </c>
      <c r="C1097" s="10" t="str">
        <f t="shared" si="68"/>
        <v>의기투합</v>
      </c>
      <c r="D1097" s="10">
        <v>4</v>
      </c>
      <c r="E1097" s="10">
        <v>4</v>
      </c>
      <c r="F1097" s="10">
        <v>2</v>
      </c>
      <c r="G1097" s="10" t="s">
        <v>209</v>
      </c>
      <c r="H1097" s="10">
        <f t="shared" si="67"/>
        <v>4402</v>
      </c>
      <c r="I1097" s="10">
        <v>7000171</v>
      </c>
      <c r="J1097" s="10">
        <v>14500</v>
      </c>
    </row>
    <row r="1098" spans="1:10" x14ac:dyDescent="0.3">
      <c r="A1098" s="10">
        <f t="shared" si="66"/>
        <v>4402005</v>
      </c>
      <c r="B1098" s="10">
        <v>5</v>
      </c>
      <c r="C1098" s="10" t="str">
        <f t="shared" si="68"/>
        <v>정정당당</v>
      </c>
      <c r="D1098" s="10">
        <v>4</v>
      </c>
      <c r="E1098" s="10">
        <v>4</v>
      </c>
      <c r="F1098" s="10">
        <v>2</v>
      </c>
      <c r="G1098" s="10" t="s">
        <v>209</v>
      </c>
      <c r="H1098" s="10">
        <f t="shared" si="67"/>
        <v>4402</v>
      </c>
      <c r="I1098" s="10">
        <v>7000137</v>
      </c>
      <c r="J1098" s="10">
        <v>14500</v>
      </c>
    </row>
    <row r="1099" spans="1:10" x14ac:dyDescent="0.3">
      <c r="A1099" s="10">
        <f t="shared" si="66"/>
        <v>4402006</v>
      </c>
      <c r="B1099" s="10">
        <v>6</v>
      </c>
      <c r="C1099" s="10" t="str">
        <f t="shared" si="68"/>
        <v>헌신</v>
      </c>
      <c r="D1099" s="10">
        <v>4</v>
      </c>
      <c r="E1099" s="10">
        <v>4</v>
      </c>
      <c r="F1099" s="10">
        <v>2</v>
      </c>
      <c r="G1099" s="10" t="s">
        <v>210</v>
      </c>
      <c r="H1099" s="10">
        <f t="shared" si="67"/>
        <v>4402</v>
      </c>
      <c r="I1099" s="10">
        <v>7000158</v>
      </c>
      <c r="J1099" s="10">
        <v>9500</v>
      </c>
    </row>
    <row r="1100" spans="1:10" x14ac:dyDescent="0.3">
      <c r="A1100" s="10">
        <f t="shared" si="66"/>
        <v>4402007</v>
      </c>
      <c r="B1100" s="10">
        <v>7</v>
      </c>
      <c r="C1100" s="10" t="str">
        <f t="shared" si="68"/>
        <v>안정</v>
      </c>
      <c r="D1100" s="10">
        <v>4</v>
      </c>
      <c r="E1100" s="10">
        <v>4</v>
      </c>
      <c r="F1100" s="10">
        <v>2</v>
      </c>
      <c r="G1100" s="10" t="s">
        <v>210</v>
      </c>
      <c r="H1100" s="10">
        <f t="shared" si="67"/>
        <v>4402</v>
      </c>
      <c r="I1100" s="10">
        <v>7000169</v>
      </c>
      <c r="J1100" s="10">
        <v>9500</v>
      </c>
    </row>
    <row r="1101" spans="1:10" x14ac:dyDescent="0.3">
      <c r="A1101" s="10">
        <f t="shared" si="66"/>
        <v>4402008</v>
      </c>
      <c r="B1101" s="10">
        <v>8</v>
      </c>
      <c r="C1101" s="10" t="str">
        <f t="shared" si="68"/>
        <v>겁쟁이</v>
      </c>
      <c r="D1101" s="10">
        <v>4</v>
      </c>
      <c r="E1101" s="10">
        <v>4</v>
      </c>
      <c r="F1101" s="10">
        <v>2</v>
      </c>
      <c r="G1101" s="10" t="s">
        <v>211</v>
      </c>
      <c r="H1101" s="10">
        <f t="shared" si="67"/>
        <v>4402</v>
      </c>
      <c r="I1101" s="10">
        <v>7000121</v>
      </c>
      <c r="J1101" s="10">
        <v>1900</v>
      </c>
    </row>
    <row r="1102" spans="1:10" x14ac:dyDescent="0.3">
      <c r="A1102" s="10">
        <f t="shared" si="66"/>
        <v>4402009</v>
      </c>
      <c r="B1102" s="10">
        <v>9</v>
      </c>
      <c r="C1102" s="10" t="str">
        <f t="shared" si="68"/>
        <v>다재다능</v>
      </c>
      <c r="D1102" s="10">
        <v>4</v>
      </c>
      <c r="E1102" s="10">
        <v>4</v>
      </c>
      <c r="F1102" s="10">
        <v>2</v>
      </c>
      <c r="G1102" s="10" t="s">
        <v>212</v>
      </c>
      <c r="H1102" s="10">
        <f t="shared" si="67"/>
        <v>4402</v>
      </c>
      <c r="I1102" s="10">
        <v>7000119</v>
      </c>
      <c r="J1102" s="10">
        <v>500</v>
      </c>
    </row>
    <row r="1103" spans="1:10" x14ac:dyDescent="0.3">
      <c r="A1103" s="10">
        <f t="shared" si="66"/>
        <v>4402010</v>
      </c>
      <c r="B1103" s="10">
        <v>10</v>
      </c>
      <c r="C1103" s="10" t="str">
        <f t="shared" si="68"/>
        <v>몽상가</v>
      </c>
      <c r="D1103" s="10">
        <v>4</v>
      </c>
      <c r="E1103" s="10">
        <v>4</v>
      </c>
      <c r="F1103" s="10">
        <v>2</v>
      </c>
      <c r="G1103" s="10" t="s">
        <v>213</v>
      </c>
      <c r="H1103" s="10">
        <f t="shared" si="67"/>
        <v>4402</v>
      </c>
      <c r="I1103" s="10">
        <v>7000157</v>
      </c>
      <c r="J1103" s="10">
        <v>100</v>
      </c>
    </row>
    <row r="1104" spans="1:10" x14ac:dyDescent="0.3">
      <c r="A1104" s="10">
        <f t="shared" si="66"/>
        <v>4403001</v>
      </c>
      <c r="B1104" s="10">
        <v>1</v>
      </c>
      <c r="C1104" s="10" t="str">
        <f>C1094</f>
        <v>집중</v>
      </c>
      <c r="D1104" s="10">
        <v>4</v>
      </c>
      <c r="E1104" s="10">
        <v>4</v>
      </c>
      <c r="F1104" s="10">
        <v>3</v>
      </c>
      <c r="G1104" s="10" t="s">
        <v>208</v>
      </c>
      <c r="H1104" s="10">
        <f t="shared" si="67"/>
        <v>4403</v>
      </c>
      <c r="I1104" s="10">
        <v>7000104</v>
      </c>
      <c r="J1104" s="10">
        <v>16000</v>
      </c>
    </row>
    <row r="1105" spans="1:10" x14ac:dyDescent="0.3">
      <c r="A1105" s="10">
        <f t="shared" si="66"/>
        <v>4403002</v>
      </c>
      <c r="B1105" s="10">
        <v>2</v>
      </c>
      <c r="C1105" s="10" t="str">
        <f t="shared" si="68"/>
        <v>만전태세</v>
      </c>
      <c r="D1105" s="10">
        <v>4</v>
      </c>
      <c r="E1105" s="10">
        <v>4</v>
      </c>
      <c r="F1105" s="10">
        <v>3</v>
      </c>
      <c r="G1105" s="10" t="s">
        <v>208</v>
      </c>
      <c r="H1105" s="10">
        <f t="shared" si="67"/>
        <v>4403</v>
      </c>
      <c r="I1105" s="10">
        <v>7000115</v>
      </c>
      <c r="J1105" s="10">
        <v>16000</v>
      </c>
    </row>
    <row r="1106" spans="1:10" x14ac:dyDescent="0.3">
      <c r="A1106" s="10">
        <f t="shared" si="66"/>
        <v>4403003</v>
      </c>
      <c r="B1106" s="10">
        <v>3</v>
      </c>
      <c r="C1106" s="10" t="str">
        <f t="shared" si="68"/>
        <v>기선제압</v>
      </c>
      <c r="D1106" s="10">
        <v>4</v>
      </c>
      <c r="E1106" s="10">
        <v>4</v>
      </c>
      <c r="F1106" s="10">
        <v>3</v>
      </c>
      <c r="G1106" s="10" t="s">
        <v>208</v>
      </c>
      <c r="H1106" s="10">
        <f t="shared" si="67"/>
        <v>4403</v>
      </c>
      <c r="I1106" s="10">
        <v>7000170</v>
      </c>
      <c r="J1106" s="10">
        <v>16000</v>
      </c>
    </row>
    <row r="1107" spans="1:10" x14ac:dyDescent="0.3">
      <c r="A1107" s="10">
        <f t="shared" si="66"/>
        <v>4403004</v>
      </c>
      <c r="B1107" s="10">
        <v>4</v>
      </c>
      <c r="C1107" s="10" t="str">
        <f t="shared" si="68"/>
        <v>의기투합</v>
      </c>
      <c r="D1107" s="10">
        <v>4</v>
      </c>
      <c r="E1107" s="10">
        <v>4</v>
      </c>
      <c r="F1107" s="10">
        <v>3</v>
      </c>
      <c r="G1107" s="10" t="s">
        <v>209</v>
      </c>
      <c r="H1107" s="10">
        <f t="shared" si="67"/>
        <v>4403</v>
      </c>
      <c r="I1107" s="10">
        <v>7000171</v>
      </c>
      <c r="J1107" s="10">
        <v>14000</v>
      </c>
    </row>
    <row r="1108" spans="1:10" x14ac:dyDescent="0.3">
      <c r="A1108" s="10">
        <f t="shared" si="66"/>
        <v>4403005</v>
      </c>
      <c r="B1108" s="10">
        <v>5</v>
      </c>
      <c r="C1108" s="10" t="str">
        <f t="shared" si="68"/>
        <v>정정당당</v>
      </c>
      <c r="D1108" s="10">
        <v>4</v>
      </c>
      <c r="E1108" s="10">
        <v>4</v>
      </c>
      <c r="F1108" s="10">
        <v>3</v>
      </c>
      <c r="G1108" s="10" t="s">
        <v>209</v>
      </c>
      <c r="H1108" s="10">
        <f t="shared" si="67"/>
        <v>4403</v>
      </c>
      <c r="I1108" s="10">
        <v>7000137</v>
      </c>
      <c r="J1108" s="10">
        <v>14000</v>
      </c>
    </row>
    <row r="1109" spans="1:10" x14ac:dyDescent="0.3">
      <c r="A1109" s="10">
        <f t="shared" si="66"/>
        <v>4403006</v>
      </c>
      <c r="B1109" s="10">
        <v>6</v>
      </c>
      <c r="C1109" s="10" t="str">
        <f t="shared" si="68"/>
        <v>헌신</v>
      </c>
      <c r="D1109" s="10">
        <v>4</v>
      </c>
      <c r="E1109" s="10">
        <v>4</v>
      </c>
      <c r="F1109" s="10">
        <v>3</v>
      </c>
      <c r="G1109" s="10" t="s">
        <v>210</v>
      </c>
      <c r="H1109" s="10">
        <f t="shared" si="67"/>
        <v>4403</v>
      </c>
      <c r="I1109" s="10">
        <v>7000158</v>
      </c>
      <c r="J1109" s="10">
        <v>9000</v>
      </c>
    </row>
    <row r="1110" spans="1:10" x14ac:dyDescent="0.3">
      <c r="A1110" s="10">
        <f t="shared" si="66"/>
        <v>4403007</v>
      </c>
      <c r="B1110" s="10">
        <v>7</v>
      </c>
      <c r="C1110" s="10" t="str">
        <f t="shared" si="68"/>
        <v>안정</v>
      </c>
      <c r="D1110" s="10">
        <v>4</v>
      </c>
      <c r="E1110" s="10">
        <v>4</v>
      </c>
      <c r="F1110" s="10">
        <v>3</v>
      </c>
      <c r="G1110" s="10" t="s">
        <v>210</v>
      </c>
      <c r="H1110" s="10">
        <f t="shared" si="67"/>
        <v>4403</v>
      </c>
      <c r="I1110" s="10">
        <v>7000169</v>
      </c>
      <c r="J1110" s="10">
        <v>9000</v>
      </c>
    </row>
    <row r="1111" spans="1:10" x14ac:dyDescent="0.3">
      <c r="A1111" s="10">
        <f t="shared" si="66"/>
        <v>4403008</v>
      </c>
      <c r="B1111" s="10">
        <v>8</v>
      </c>
      <c r="C1111" s="10" t="str">
        <f t="shared" si="68"/>
        <v>겁쟁이</v>
      </c>
      <c r="D1111" s="10">
        <v>4</v>
      </c>
      <c r="E1111" s="10">
        <v>4</v>
      </c>
      <c r="F1111" s="10">
        <v>3</v>
      </c>
      <c r="G1111" s="10" t="s">
        <v>211</v>
      </c>
      <c r="H1111" s="10">
        <f t="shared" si="67"/>
        <v>4403</v>
      </c>
      <c r="I1111" s="10">
        <v>7000121</v>
      </c>
      <c r="J1111" s="10">
        <v>1800</v>
      </c>
    </row>
    <row r="1112" spans="1:10" x14ac:dyDescent="0.3">
      <c r="A1112" s="10">
        <f t="shared" si="66"/>
        <v>4403009</v>
      </c>
      <c r="B1112" s="10">
        <v>9</v>
      </c>
      <c r="C1112" s="10" t="str">
        <f t="shared" si="68"/>
        <v>다재다능</v>
      </c>
      <c r="D1112" s="10">
        <v>4</v>
      </c>
      <c r="E1112" s="10">
        <v>4</v>
      </c>
      <c r="F1112" s="10">
        <v>3</v>
      </c>
      <c r="G1112" s="10" t="s">
        <v>212</v>
      </c>
      <c r="H1112" s="10">
        <f t="shared" si="67"/>
        <v>4403</v>
      </c>
      <c r="I1112" s="10">
        <v>7000119</v>
      </c>
      <c r="J1112" s="10">
        <v>500</v>
      </c>
    </row>
    <row r="1113" spans="1:10" x14ac:dyDescent="0.3">
      <c r="A1113" s="10">
        <f t="shared" si="66"/>
        <v>4403010</v>
      </c>
      <c r="B1113" s="10">
        <v>10</v>
      </c>
      <c r="C1113" s="10" t="str">
        <f t="shared" si="68"/>
        <v>몽상가</v>
      </c>
      <c r="D1113" s="10">
        <v>4</v>
      </c>
      <c r="E1113" s="10">
        <v>4</v>
      </c>
      <c r="F1113" s="10">
        <v>3</v>
      </c>
      <c r="G1113" s="10" t="s">
        <v>213</v>
      </c>
      <c r="H1113" s="10">
        <f t="shared" si="67"/>
        <v>4403</v>
      </c>
      <c r="I1113" s="10">
        <v>7000157</v>
      </c>
      <c r="J1113" s="10">
        <v>100</v>
      </c>
    </row>
    <row r="1114" spans="1:10" x14ac:dyDescent="0.3">
      <c r="A1114" s="10">
        <f t="shared" si="66"/>
        <v>4404001</v>
      </c>
      <c r="B1114" s="10">
        <v>1</v>
      </c>
      <c r="C1114" s="10" t="str">
        <f>C1104</f>
        <v>집중</v>
      </c>
      <c r="D1114" s="10">
        <v>4</v>
      </c>
      <c r="E1114" s="10">
        <v>4</v>
      </c>
      <c r="F1114" s="10">
        <v>4</v>
      </c>
      <c r="G1114" s="10" t="s">
        <v>208</v>
      </c>
      <c r="H1114" s="10">
        <f t="shared" si="67"/>
        <v>4404</v>
      </c>
      <c r="I1114" s="10">
        <v>7000104</v>
      </c>
      <c r="J1114" s="10">
        <v>14000</v>
      </c>
    </row>
    <row r="1115" spans="1:10" x14ac:dyDescent="0.3">
      <c r="A1115" s="10">
        <f t="shared" si="66"/>
        <v>4404002</v>
      </c>
      <c r="B1115" s="10">
        <v>2</v>
      </c>
      <c r="C1115" s="10" t="str">
        <f t="shared" si="68"/>
        <v>만전태세</v>
      </c>
      <c r="D1115" s="10">
        <v>4</v>
      </c>
      <c r="E1115" s="10">
        <v>4</v>
      </c>
      <c r="F1115" s="10">
        <v>4</v>
      </c>
      <c r="G1115" s="10" t="s">
        <v>208</v>
      </c>
      <c r="H1115" s="10">
        <f t="shared" si="67"/>
        <v>4404</v>
      </c>
      <c r="I1115" s="10">
        <v>7000115</v>
      </c>
      <c r="J1115" s="10">
        <v>14000</v>
      </c>
    </row>
    <row r="1116" spans="1:10" x14ac:dyDescent="0.3">
      <c r="A1116" s="10">
        <f t="shared" si="66"/>
        <v>4404003</v>
      </c>
      <c r="B1116" s="10">
        <v>3</v>
      </c>
      <c r="C1116" s="10" t="str">
        <f t="shared" si="68"/>
        <v>기선제압</v>
      </c>
      <c r="D1116" s="10">
        <v>4</v>
      </c>
      <c r="E1116" s="10">
        <v>4</v>
      </c>
      <c r="F1116" s="10">
        <v>4</v>
      </c>
      <c r="G1116" s="10" t="s">
        <v>208</v>
      </c>
      <c r="H1116" s="10">
        <f t="shared" si="67"/>
        <v>4404</v>
      </c>
      <c r="I1116" s="10">
        <v>7000170</v>
      </c>
      <c r="J1116" s="10">
        <v>14000</v>
      </c>
    </row>
    <row r="1117" spans="1:10" x14ac:dyDescent="0.3">
      <c r="A1117" s="10">
        <f t="shared" si="66"/>
        <v>4404004</v>
      </c>
      <c r="B1117" s="10">
        <v>4</v>
      </c>
      <c r="C1117" s="10" t="str">
        <f t="shared" si="68"/>
        <v>의기투합</v>
      </c>
      <c r="D1117" s="10">
        <v>4</v>
      </c>
      <c r="E1117" s="10">
        <v>4</v>
      </c>
      <c r="F1117" s="10">
        <v>4</v>
      </c>
      <c r="G1117" s="10" t="s">
        <v>209</v>
      </c>
      <c r="H1117" s="10">
        <f t="shared" si="67"/>
        <v>4404</v>
      </c>
      <c r="I1117" s="10">
        <v>7000171</v>
      </c>
      <c r="J1117" s="10">
        <v>13500</v>
      </c>
    </row>
    <row r="1118" spans="1:10" x14ac:dyDescent="0.3">
      <c r="A1118" s="10">
        <f t="shared" si="66"/>
        <v>4404005</v>
      </c>
      <c r="B1118" s="10">
        <v>5</v>
      </c>
      <c r="C1118" s="10" t="str">
        <f t="shared" si="68"/>
        <v>정정당당</v>
      </c>
      <c r="D1118" s="10">
        <v>4</v>
      </c>
      <c r="E1118" s="10">
        <v>4</v>
      </c>
      <c r="F1118" s="10">
        <v>4</v>
      </c>
      <c r="G1118" s="10" t="s">
        <v>209</v>
      </c>
      <c r="H1118" s="10">
        <f t="shared" si="67"/>
        <v>4404</v>
      </c>
      <c r="I1118" s="10">
        <v>7000137</v>
      </c>
      <c r="J1118" s="10">
        <v>13500</v>
      </c>
    </row>
    <row r="1119" spans="1:10" x14ac:dyDescent="0.3">
      <c r="A1119" s="10">
        <f t="shared" si="66"/>
        <v>4404006</v>
      </c>
      <c r="B1119" s="10">
        <v>6</v>
      </c>
      <c r="C1119" s="10" t="str">
        <f t="shared" si="68"/>
        <v>헌신</v>
      </c>
      <c r="D1119" s="10">
        <v>4</v>
      </c>
      <c r="E1119" s="10">
        <v>4</v>
      </c>
      <c r="F1119" s="10">
        <v>4</v>
      </c>
      <c r="G1119" s="10" t="s">
        <v>210</v>
      </c>
      <c r="H1119" s="10">
        <f t="shared" si="67"/>
        <v>4404</v>
      </c>
      <c r="I1119" s="10">
        <v>7000158</v>
      </c>
      <c r="J1119" s="10">
        <v>8500</v>
      </c>
    </row>
    <row r="1120" spans="1:10" x14ac:dyDescent="0.3">
      <c r="A1120" s="10">
        <f t="shared" si="66"/>
        <v>4404007</v>
      </c>
      <c r="B1120" s="10">
        <v>7</v>
      </c>
      <c r="C1120" s="10" t="str">
        <f t="shared" si="68"/>
        <v>안정</v>
      </c>
      <c r="D1120" s="10">
        <v>4</v>
      </c>
      <c r="E1120" s="10">
        <v>4</v>
      </c>
      <c r="F1120" s="10">
        <v>4</v>
      </c>
      <c r="G1120" s="10" t="s">
        <v>210</v>
      </c>
      <c r="H1120" s="10">
        <f t="shared" si="67"/>
        <v>4404</v>
      </c>
      <c r="I1120" s="10">
        <v>7000169</v>
      </c>
      <c r="J1120" s="10">
        <v>8500</v>
      </c>
    </row>
    <row r="1121" spans="1:10" x14ac:dyDescent="0.3">
      <c r="A1121" s="10">
        <f t="shared" si="66"/>
        <v>4404008</v>
      </c>
      <c r="B1121" s="10">
        <v>8</v>
      </c>
      <c r="C1121" s="10" t="str">
        <f t="shared" si="68"/>
        <v>겁쟁이</v>
      </c>
      <c r="D1121" s="10">
        <v>4</v>
      </c>
      <c r="E1121" s="10">
        <v>4</v>
      </c>
      <c r="F1121" s="10">
        <v>4</v>
      </c>
      <c r="G1121" s="10" t="s">
        <v>211</v>
      </c>
      <c r="H1121" s="10">
        <f t="shared" si="67"/>
        <v>4404</v>
      </c>
      <c r="I1121" s="10">
        <v>7000121</v>
      </c>
      <c r="J1121" s="10">
        <v>1700</v>
      </c>
    </row>
    <row r="1122" spans="1:10" x14ac:dyDescent="0.3">
      <c r="A1122" s="10">
        <f t="shared" si="66"/>
        <v>4404009</v>
      </c>
      <c r="B1122" s="10">
        <v>9</v>
      </c>
      <c r="C1122" s="10" t="str">
        <f t="shared" si="68"/>
        <v>다재다능</v>
      </c>
      <c r="D1122" s="10">
        <v>4</v>
      </c>
      <c r="E1122" s="10">
        <v>4</v>
      </c>
      <c r="F1122" s="10">
        <v>4</v>
      </c>
      <c r="G1122" s="10" t="s">
        <v>212</v>
      </c>
      <c r="H1122" s="10">
        <f t="shared" si="67"/>
        <v>4404</v>
      </c>
      <c r="I1122" s="10">
        <v>7000119</v>
      </c>
      <c r="J1122" s="10">
        <v>500</v>
      </c>
    </row>
    <row r="1123" spans="1:10" x14ac:dyDescent="0.3">
      <c r="A1123" s="10">
        <f t="shared" si="66"/>
        <v>4404010</v>
      </c>
      <c r="B1123" s="10">
        <v>10</v>
      </c>
      <c r="C1123" s="10" t="str">
        <f t="shared" si="68"/>
        <v>몽상가</v>
      </c>
      <c r="D1123" s="10">
        <v>4</v>
      </c>
      <c r="E1123" s="10">
        <v>4</v>
      </c>
      <c r="F1123" s="10">
        <v>4</v>
      </c>
      <c r="G1123" s="10" t="s">
        <v>213</v>
      </c>
      <c r="H1123" s="10">
        <f t="shared" si="67"/>
        <v>4404</v>
      </c>
      <c r="I1123" s="10">
        <v>7000157</v>
      </c>
      <c r="J1123" s="10">
        <v>100</v>
      </c>
    </row>
    <row r="1124" spans="1:10" x14ac:dyDescent="0.3">
      <c r="A1124" s="10">
        <f t="shared" si="66"/>
        <v>4405001</v>
      </c>
      <c r="B1124" s="10">
        <v>1</v>
      </c>
      <c r="C1124" s="10" t="str">
        <f>C1114</f>
        <v>집중</v>
      </c>
      <c r="D1124" s="10">
        <v>4</v>
      </c>
      <c r="E1124" s="10">
        <v>4</v>
      </c>
      <c r="F1124" s="10">
        <v>5</v>
      </c>
      <c r="G1124" s="10" t="s">
        <v>208</v>
      </c>
      <c r="H1124" s="10">
        <f t="shared" si="67"/>
        <v>4405</v>
      </c>
      <c r="I1124" s="10">
        <v>7000104</v>
      </c>
      <c r="J1124" s="10">
        <v>12000</v>
      </c>
    </row>
    <row r="1125" spans="1:10" x14ac:dyDescent="0.3">
      <c r="A1125" s="10">
        <f t="shared" si="66"/>
        <v>4405002</v>
      </c>
      <c r="B1125" s="10">
        <v>2</v>
      </c>
      <c r="C1125" s="10" t="str">
        <f t="shared" si="68"/>
        <v>만전태세</v>
      </c>
      <c r="D1125" s="10">
        <v>4</v>
      </c>
      <c r="E1125" s="10">
        <v>4</v>
      </c>
      <c r="F1125" s="10">
        <v>5</v>
      </c>
      <c r="G1125" s="10" t="s">
        <v>208</v>
      </c>
      <c r="H1125" s="10">
        <f t="shared" si="67"/>
        <v>4405</v>
      </c>
      <c r="I1125" s="10">
        <v>7000115</v>
      </c>
      <c r="J1125" s="10">
        <v>12000</v>
      </c>
    </row>
    <row r="1126" spans="1:10" x14ac:dyDescent="0.3">
      <c r="A1126" s="10">
        <f t="shared" si="66"/>
        <v>4405003</v>
      </c>
      <c r="B1126" s="10">
        <v>3</v>
      </c>
      <c r="C1126" s="10" t="str">
        <f t="shared" si="68"/>
        <v>기선제압</v>
      </c>
      <c r="D1126" s="10">
        <v>4</v>
      </c>
      <c r="E1126" s="10">
        <v>4</v>
      </c>
      <c r="F1126" s="10">
        <v>5</v>
      </c>
      <c r="G1126" s="10" t="s">
        <v>208</v>
      </c>
      <c r="H1126" s="10">
        <f t="shared" si="67"/>
        <v>4405</v>
      </c>
      <c r="I1126" s="10">
        <v>7000170</v>
      </c>
      <c r="J1126" s="10">
        <v>12000</v>
      </c>
    </row>
    <row r="1127" spans="1:10" x14ac:dyDescent="0.3">
      <c r="A1127" s="10">
        <f t="shared" si="66"/>
        <v>4405004</v>
      </c>
      <c r="B1127" s="10">
        <v>4</v>
      </c>
      <c r="C1127" s="10" t="str">
        <f t="shared" si="68"/>
        <v>의기투합</v>
      </c>
      <c r="D1127" s="10">
        <v>4</v>
      </c>
      <c r="E1127" s="10">
        <v>4</v>
      </c>
      <c r="F1127" s="10">
        <v>5</v>
      </c>
      <c r="G1127" s="10" t="s">
        <v>209</v>
      </c>
      <c r="H1127" s="10">
        <f t="shared" si="67"/>
        <v>4405</v>
      </c>
      <c r="I1127" s="10">
        <v>7000171</v>
      </c>
      <c r="J1127" s="10">
        <v>13000</v>
      </c>
    </row>
    <row r="1128" spans="1:10" x14ac:dyDescent="0.3">
      <c r="A1128" s="10">
        <f t="shared" si="66"/>
        <v>4405005</v>
      </c>
      <c r="B1128" s="10">
        <v>5</v>
      </c>
      <c r="C1128" s="10" t="str">
        <f t="shared" si="68"/>
        <v>정정당당</v>
      </c>
      <c r="D1128" s="10">
        <v>4</v>
      </c>
      <c r="E1128" s="10">
        <v>4</v>
      </c>
      <c r="F1128" s="10">
        <v>5</v>
      </c>
      <c r="G1128" s="10" t="s">
        <v>209</v>
      </c>
      <c r="H1128" s="10">
        <f t="shared" si="67"/>
        <v>4405</v>
      </c>
      <c r="I1128" s="10">
        <v>7000137</v>
      </c>
      <c r="J1128" s="10">
        <v>13000</v>
      </c>
    </row>
    <row r="1129" spans="1:10" x14ac:dyDescent="0.3">
      <c r="A1129" s="10">
        <f t="shared" si="66"/>
        <v>4405006</v>
      </c>
      <c r="B1129" s="10">
        <v>6</v>
      </c>
      <c r="C1129" s="10" t="str">
        <f t="shared" si="68"/>
        <v>헌신</v>
      </c>
      <c r="D1129" s="10">
        <v>4</v>
      </c>
      <c r="E1129" s="10">
        <v>4</v>
      </c>
      <c r="F1129" s="10">
        <v>5</v>
      </c>
      <c r="G1129" s="10" t="s">
        <v>210</v>
      </c>
      <c r="H1129" s="10">
        <f t="shared" si="67"/>
        <v>4405</v>
      </c>
      <c r="I1129" s="10">
        <v>7000158</v>
      </c>
      <c r="J1129" s="10">
        <v>8000</v>
      </c>
    </row>
    <row r="1130" spans="1:10" x14ac:dyDescent="0.3">
      <c r="A1130" s="10">
        <f t="shared" si="66"/>
        <v>4405007</v>
      </c>
      <c r="B1130" s="10">
        <v>7</v>
      </c>
      <c r="C1130" s="10" t="str">
        <f t="shared" si="68"/>
        <v>안정</v>
      </c>
      <c r="D1130" s="10">
        <v>4</v>
      </c>
      <c r="E1130" s="10">
        <v>4</v>
      </c>
      <c r="F1130" s="10">
        <v>5</v>
      </c>
      <c r="G1130" s="10" t="s">
        <v>210</v>
      </c>
      <c r="H1130" s="10">
        <f t="shared" si="67"/>
        <v>4405</v>
      </c>
      <c r="I1130" s="10">
        <v>7000169</v>
      </c>
      <c r="J1130" s="10">
        <v>8000</v>
      </c>
    </row>
    <row r="1131" spans="1:10" x14ac:dyDescent="0.3">
      <c r="A1131" s="10">
        <f t="shared" si="66"/>
        <v>4405008</v>
      </c>
      <c r="B1131" s="10">
        <v>8</v>
      </c>
      <c r="C1131" s="10" t="str">
        <f t="shared" si="68"/>
        <v>겁쟁이</v>
      </c>
      <c r="D1131" s="10">
        <v>4</v>
      </c>
      <c r="E1131" s="10">
        <v>4</v>
      </c>
      <c r="F1131" s="10">
        <v>5</v>
      </c>
      <c r="G1131" s="10" t="s">
        <v>211</v>
      </c>
      <c r="H1131" s="10">
        <f t="shared" si="67"/>
        <v>4405</v>
      </c>
      <c r="I1131" s="10">
        <v>7000121</v>
      </c>
      <c r="J1131" s="10">
        <v>1600</v>
      </c>
    </row>
    <row r="1132" spans="1:10" x14ac:dyDescent="0.3">
      <c r="A1132" s="10">
        <f t="shared" si="66"/>
        <v>4405009</v>
      </c>
      <c r="B1132" s="10">
        <v>9</v>
      </c>
      <c r="C1132" s="10" t="str">
        <f t="shared" si="68"/>
        <v>다재다능</v>
      </c>
      <c r="D1132" s="10">
        <v>4</v>
      </c>
      <c r="E1132" s="10">
        <v>4</v>
      </c>
      <c r="F1132" s="10">
        <v>5</v>
      </c>
      <c r="G1132" s="10" t="s">
        <v>212</v>
      </c>
      <c r="H1132" s="10">
        <f t="shared" si="67"/>
        <v>4405</v>
      </c>
      <c r="I1132" s="10">
        <v>7000119</v>
      </c>
      <c r="J1132" s="10">
        <v>500</v>
      </c>
    </row>
    <row r="1133" spans="1:10" x14ac:dyDescent="0.3">
      <c r="A1133" s="10">
        <f t="shared" si="66"/>
        <v>4405010</v>
      </c>
      <c r="B1133" s="10">
        <v>10</v>
      </c>
      <c r="C1133" s="10" t="str">
        <f t="shared" si="68"/>
        <v>몽상가</v>
      </c>
      <c r="D1133" s="10">
        <v>4</v>
      </c>
      <c r="E1133" s="10">
        <v>4</v>
      </c>
      <c r="F1133" s="10">
        <v>5</v>
      </c>
      <c r="G1133" s="10" t="s">
        <v>213</v>
      </c>
      <c r="H1133" s="10">
        <f t="shared" si="67"/>
        <v>4405</v>
      </c>
      <c r="I1133" s="10">
        <v>7000157</v>
      </c>
      <c r="J1133" s="10">
        <v>100</v>
      </c>
    </row>
    <row r="1134" spans="1:10" x14ac:dyDescent="0.3">
      <c r="A1134" s="10">
        <f t="shared" si="66"/>
        <v>4406001</v>
      </c>
      <c r="B1134" s="10">
        <v>1</v>
      </c>
      <c r="C1134" s="10" t="str">
        <f>C1124</f>
        <v>집중</v>
      </c>
      <c r="D1134" s="10">
        <v>4</v>
      </c>
      <c r="E1134" s="10">
        <v>4</v>
      </c>
      <c r="F1134" s="10">
        <v>6</v>
      </c>
      <c r="G1134" s="10" t="s">
        <v>208</v>
      </c>
      <c r="H1134" s="10">
        <f t="shared" si="67"/>
        <v>4406</v>
      </c>
      <c r="I1134" s="10">
        <v>7000104</v>
      </c>
      <c r="J1134" s="10">
        <v>10000</v>
      </c>
    </row>
    <row r="1135" spans="1:10" x14ac:dyDescent="0.3">
      <c r="A1135" s="10">
        <f t="shared" si="66"/>
        <v>4406002</v>
      </c>
      <c r="B1135" s="10">
        <v>2</v>
      </c>
      <c r="C1135" s="10" t="str">
        <f t="shared" si="68"/>
        <v>만전태세</v>
      </c>
      <c r="D1135" s="10">
        <v>4</v>
      </c>
      <c r="E1135" s="10">
        <v>4</v>
      </c>
      <c r="F1135" s="10">
        <v>6</v>
      </c>
      <c r="G1135" s="10" t="s">
        <v>208</v>
      </c>
      <c r="H1135" s="10">
        <f t="shared" si="67"/>
        <v>4406</v>
      </c>
      <c r="I1135" s="10">
        <v>7000115</v>
      </c>
      <c r="J1135" s="10">
        <v>10000</v>
      </c>
    </row>
    <row r="1136" spans="1:10" x14ac:dyDescent="0.3">
      <c r="A1136" s="10">
        <f t="shared" si="66"/>
        <v>4406003</v>
      </c>
      <c r="B1136" s="10">
        <v>3</v>
      </c>
      <c r="C1136" s="10" t="str">
        <f t="shared" si="68"/>
        <v>기선제압</v>
      </c>
      <c r="D1136" s="10">
        <v>4</v>
      </c>
      <c r="E1136" s="10">
        <v>4</v>
      </c>
      <c r="F1136" s="10">
        <v>6</v>
      </c>
      <c r="G1136" s="10" t="s">
        <v>208</v>
      </c>
      <c r="H1136" s="10">
        <f t="shared" si="67"/>
        <v>4406</v>
      </c>
      <c r="I1136" s="10">
        <v>7000170</v>
      </c>
      <c r="J1136" s="10">
        <v>10000</v>
      </c>
    </row>
    <row r="1137" spans="1:10" x14ac:dyDescent="0.3">
      <c r="A1137" s="10">
        <f t="shared" si="66"/>
        <v>4406004</v>
      </c>
      <c r="B1137" s="10">
        <v>4</v>
      </c>
      <c r="C1137" s="10" t="str">
        <f t="shared" si="68"/>
        <v>의기투합</v>
      </c>
      <c r="D1137" s="10">
        <v>4</v>
      </c>
      <c r="E1137" s="10">
        <v>4</v>
      </c>
      <c r="F1137" s="10">
        <v>6</v>
      </c>
      <c r="G1137" s="10" t="s">
        <v>209</v>
      </c>
      <c r="H1137" s="10">
        <f t="shared" si="67"/>
        <v>4406</v>
      </c>
      <c r="I1137" s="10">
        <v>7000171</v>
      </c>
      <c r="J1137" s="10">
        <v>12500</v>
      </c>
    </row>
    <row r="1138" spans="1:10" x14ac:dyDescent="0.3">
      <c r="A1138" s="10">
        <f t="shared" si="66"/>
        <v>4406005</v>
      </c>
      <c r="B1138" s="10">
        <v>5</v>
      </c>
      <c r="C1138" s="10" t="str">
        <f t="shared" si="68"/>
        <v>정정당당</v>
      </c>
      <c r="D1138" s="10">
        <v>4</v>
      </c>
      <c r="E1138" s="10">
        <v>4</v>
      </c>
      <c r="F1138" s="10">
        <v>6</v>
      </c>
      <c r="G1138" s="10" t="s">
        <v>209</v>
      </c>
      <c r="H1138" s="10">
        <f t="shared" si="67"/>
        <v>4406</v>
      </c>
      <c r="I1138" s="10">
        <v>7000137</v>
      </c>
      <c r="J1138" s="10">
        <v>12500</v>
      </c>
    </row>
    <row r="1139" spans="1:10" x14ac:dyDescent="0.3">
      <c r="A1139" s="10">
        <f t="shared" si="66"/>
        <v>4406006</v>
      </c>
      <c r="B1139" s="10">
        <v>6</v>
      </c>
      <c r="C1139" s="10" t="str">
        <f t="shared" si="68"/>
        <v>헌신</v>
      </c>
      <c r="D1139" s="10">
        <v>4</v>
      </c>
      <c r="E1139" s="10">
        <v>4</v>
      </c>
      <c r="F1139" s="10">
        <v>6</v>
      </c>
      <c r="G1139" s="10" t="s">
        <v>210</v>
      </c>
      <c r="H1139" s="10">
        <f t="shared" si="67"/>
        <v>4406</v>
      </c>
      <c r="I1139" s="10">
        <v>7000158</v>
      </c>
      <c r="J1139" s="10">
        <v>7500</v>
      </c>
    </row>
    <row r="1140" spans="1:10" x14ac:dyDescent="0.3">
      <c r="A1140" s="10">
        <f t="shared" si="66"/>
        <v>4406007</v>
      </c>
      <c r="B1140" s="10">
        <v>7</v>
      </c>
      <c r="C1140" s="10" t="str">
        <f t="shared" si="68"/>
        <v>안정</v>
      </c>
      <c r="D1140" s="10">
        <v>4</v>
      </c>
      <c r="E1140" s="10">
        <v>4</v>
      </c>
      <c r="F1140" s="10">
        <v>6</v>
      </c>
      <c r="G1140" s="10" t="s">
        <v>210</v>
      </c>
      <c r="H1140" s="10">
        <f t="shared" si="67"/>
        <v>4406</v>
      </c>
      <c r="I1140" s="10">
        <v>7000169</v>
      </c>
      <c r="J1140" s="10">
        <v>7500</v>
      </c>
    </row>
    <row r="1141" spans="1:10" x14ac:dyDescent="0.3">
      <c r="A1141" s="10">
        <f t="shared" si="66"/>
        <v>4406008</v>
      </c>
      <c r="B1141" s="10">
        <v>8</v>
      </c>
      <c r="C1141" s="10" t="str">
        <f t="shared" si="68"/>
        <v>겁쟁이</v>
      </c>
      <c r="D1141" s="10">
        <v>4</v>
      </c>
      <c r="E1141" s="10">
        <v>4</v>
      </c>
      <c r="F1141" s="10">
        <v>6</v>
      </c>
      <c r="G1141" s="10" t="s">
        <v>211</v>
      </c>
      <c r="H1141" s="10">
        <f t="shared" si="67"/>
        <v>4406</v>
      </c>
      <c r="I1141" s="10">
        <v>7000121</v>
      </c>
      <c r="J1141" s="10">
        <v>1500</v>
      </c>
    </row>
    <row r="1142" spans="1:10" x14ac:dyDescent="0.3">
      <c r="A1142" s="10">
        <f t="shared" si="66"/>
        <v>4406009</v>
      </c>
      <c r="B1142" s="10">
        <v>9</v>
      </c>
      <c r="C1142" s="10" t="str">
        <f t="shared" si="68"/>
        <v>다재다능</v>
      </c>
      <c r="D1142" s="10">
        <v>4</v>
      </c>
      <c r="E1142" s="10">
        <v>4</v>
      </c>
      <c r="F1142" s="10">
        <v>6</v>
      </c>
      <c r="G1142" s="10" t="s">
        <v>212</v>
      </c>
      <c r="H1142" s="10">
        <f t="shared" si="67"/>
        <v>4406</v>
      </c>
      <c r="I1142" s="10">
        <v>7000119</v>
      </c>
      <c r="J1142" s="10">
        <v>500</v>
      </c>
    </row>
    <row r="1143" spans="1:10" x14ac:dyDescent="0.3">
      <c r="A1143" s="10">
        <f t="shared" si="66"/>
        <v>4406010</v>
      </c>
      <c r="B1143" s="10">
        <v>10</v>
      </c>
      <c r="C1143" s="10" t="str">
        <f t="shared" si="68"/>
        <v>몽상가</v>
      </c>
      <c r="D1143" s="10">
        <v>4</v>
      </c>
      <c r="E1143" s="10">
        <v>4</v>
      </c>
      <c r="F1143" s="10">
        <v>6</v>
      </c>
      <c r="G1143" s="10" t="s">
        <v>213</v>
      </c>
      <c r="H1143" s="10">
        <f t="shared" si="67"/>
        <v>4406</v>
      </c>
      <c r="I1143" s="10">
        <v>7000157</v>
      </c>
      <c r="J1143" s="10">
        <v>100</v>
      </c>
    </row>
    <row r="1144" spans="1:10" x14ac:dyDescent="0.3">
      <c r="A1144" s="11">
        <f>INT(H1144&amp;TEXT(B1144,"000"))</f>
        <v>4501001</v>
      </c>
      <c r="B1144" s="11">
        <v>1</v>
      </c>
      <c r="C1144" s="11" t="s">
        <v>370</v>
      </c>
      <c r="D1144" s="11">
        <v>4</v>
      </c>
      <c r="E1144" s="11">
        <v>5</v>
      </c>
      <c r="F1144" s="11">
        <v>1</v>
      </c>
      <c r="G1144" s="11" t="s">
        <v>208</v>
      </c>
      <c r="H1144" s="11">
        <f>INT(D1144&amp;E1144&amp;TEXT(F1144,"00"))</f>
        <v>4501</v>
      </c>
      <c r="I1144" s="11">
        <v>7000103</v>
      </c>
      <c r="J1144" s="11">
        <v>20000</v>
      </c>
    </row>
    <row r="1145" spans="1:10" x14ac:dyDescent="0.3">
      <c r="A1145" s="10">
        <f t="shared" ref="A1145:A1203" si="69">INT(H1145&amp;TEXT(B1145,"000"))</f>
        <v>4501002</v>
      </c>
      <c r="B1145" s="10">
        <v>2</v>
      </c>
      <c r="C1145" s="10" t="s">
        <v>372</v>
      </c>
      <c r="D1145" s="10">
        <v>4</v>
      </c>
      <c r="E1145" s="10">
        <v>5</v>
      </c>
      <c r="F1145" s="10">
        <v>1</v>
      </c>
      <c r="G1145" s="10" t="s">
        <v>208</v>
      </c>
      <c r="H1145" s="10">
        <f t="shared" ref="H1145:H1203" si="70">INT(D1145&amp;E1145&amp;TEXT(F1145,"00"))</f>
        <v>4501</v>
      </c>
      <c r="I1145" s="10">
        <v>7000117</v>
      </c>
      <c r="J1145" s="10">
        <v>20000</v>
      </c>
    </row>
    <row r="1146" spans="1:10" x14ac:dyDescent="0.3">
      <c r="A1146" s="10">
        <f t="shared" si="69"/>
        <v>4501003</v>
      </c>
      <c r="B1146" s="10">
        <v>3</v>
      </c>
      <c r="C1146" s="10" t="s">
        <v>391</v>
      </c>
      <c r="D1146" s="10">
        <v>4</v>
      </c>
      <c r="E1146" s="10">
        <v>5</v>
      </c>
      <c r="F1146" s="10">
        <v>1</v>
      </c>
      <c r="G1146" s="10" t="s">
        <v>208</v>
      </c>
      <c r="H1146" s="10">
        <f t="shared" si="70"/>
        <v>4501</v>
      </c>
      <c r="I1146" s="10">
        <v>7000164</v>
      </c>
      <c r="J1146" s="10">
        <v>20000</v>
      </c>
    </row>
    <row r="1147" spans="1:10" x14ac:dyDescent="0.3">
      <c r="A1147" s="10">
        <f t="shared" si="69"/>
        <v>4501004</v>
      </c>
      <c r="B1147" s="10">
        <v>4</v>
      </c>
      <c r="C1147" s="10" t="s">
        <v>377</v>
      </c>
      <c r="D1147" s="10">
        <v>4</v>
      </c>
      <c r="E1147" s="10">
        <v>5</v>
      </c>
      <c r="F1147" s="10">
        <v>1</v>
      </c>
      <c r="G1147" s="10" t="s">
        <v>223</v>
      </c>
      <c r="H1147" s="10">
        <f t="shared" si="70"/>
        <v>4501</v>
      </c>
      <c r="I1147" s="10">
        <v>7000134</v>
      </c>
      <c r="J1147" s="10">
        <v>15000</v>
      </c>
    </row>
    <row r="1148" spans="1:10" x14ac:dyDescent="0.3">
      <c r="A1148" s="10">
        <f t="shared" si="69"/>
        <v>4501005</v>
      </c>
      <c r="B1148" s="10">
        <v>5</v>
      </c>
      <c r="C1148" s="10" t="s">
        <v>378</v>
      </c>
      <c r="D1148" s="10">
        <v>4</v>
      </c>
      <c r="E1148" s="10">
        <v>5</v>
      </c>
      <c r="F1148" s="10">
        <v>1</v>
      </c>
      <c r="G1148" s="10" t="s">
        <v>223</v>
      </c>
      <c r="H1148" s="10">
        <f t="shared" si="70"/>
        <v>4501</v>
      </c>
      <c r="I1148" s="10">
        <v>7000135</v>
      </c>
      <c r="J1148" s="10">
        <v>15000</v>
      </c>
    </row>
    <row r="1149" spans="1:10" x14ac:dyDescent="0.3">
      <c r="A1149" s="10">
        <f t="shared" si="69"/>
        <v>4501006</v>
      </c>
      <c r="B1149" s="10">
        <v>6</v>
      </c>
      <c r="C1149" s="10" t="s">
        <v>355</v>
      </c>
      <c r="D1149" s="10">
        <v>4</v>
      </c>
      <c r="E1149" s="10">
        <v>5</v>
      </c>
      <c r="F1149" s="10">
        <v>1</v>
      </c>
      <c r="G1149" s="10" t="s">
        <v>222</v>
      </c>
      <c r="H1149" s="10">
        <f t="shared" si="70"/>
        <v>4501</v>
      </c>
      <c r="I1149" s="10">
        <v>7000142</v>
      </c>
      <c r="J1149" s="10">
        <v>10000</v>
      </c>
    </row>
    <row r="1150" spans="1:10" x14ac:dyDescent="0.3">
      <c r="A1150" s="10">
        <f t="shared" si="69"/>
        <v>4501007</v>
      </c>
      <c r="B1150" s="10">
        <v>7</v>
      </c>
      <c r="C1150" s="10" t="s">
        <v>388</v>
      </c>
      <c r="D1150" s="10">
        <v>4</v>
      </c>
      <c r="E1150" s="10">
        <v>5</v>
      </c>
      <c r="F1150" s="10">
        <v>1</v>
      </c>
      <c r="G1150" s="10" t="s">
        <v>222</v>
      </c>
      <c r="H1150" s="10">
        <f t="shared" si="70"/>
        <v>4501</v>
      </c>
      <c r="I1150" s="10">
        <v>7000158</v>
      </c>
      <c r="J1150" s="10">
        <v>10000</v>
      </c>
    </row>
    <row r="1151" spans="1:10" x14ac:dyDescent="0.3">
      <c r="A1151" s="10">
        <f t="shared" si="69"/>
        <v>4501008</v>
      </c>
      <c r="B1151" s="10">
        <v>8</v>
      </c>
      <c r="C1151" s="10" t="s">
        <v>400</v>
      </c>
      <c r="D1151" s="10">
        <v>4</v>
      </c>
      <c r="E1151" s="10">
        <v>5</v>
      </c>
      <c r="F1151" s="10">
        <v>1</v>
      </c>
      <c r="G1151" s="10" t="s">
        <v>211</v>
      </c>
      <c r="H1151" s="10">
        <f t="shared" si="70"/>
        <v>4501</v>
      </c>
      <c r="I1151" s="10">
        <v>7000173</v>
      </c>
      <c r="J1151" s="10">
        <v>2000</v>
      </c>
    </row>
    <row r="1152" spans="1:10" x14ac:dyDescent="0.3">
      <c r="A1152" s="10">
        <f t="shared" si="69"/>
        <v>4501009</v>
      </c>
      <c r="B1152" s="10">
        <v>9</v>
      </c>
      <c r="C1152" s="10" t="s">
        <v>394</v>
      </c>
      <c r="D1152" s="10">
        <v>4</v>
      </c>
      <c r="E1152" s="10">
        <v>5</v>
      </c>
      <c r="F1152" s="10">
        <v>1</v>
      </c>
      <c r="G1152" s="10" t="s">
        <v>212</v>
      </c>
      <c r="H1152" s="10">
        <f t="shared" si="70"/>
        <v>4501</v>
      </c>
      <c r="I1152" s="10">
        <v>7000169</v>
      </c>
      <c r="J1152" s="10">
        <v>500</v>
      </c>
    </row>
    <row r="1153" spans="1:10" x14ac:dyDescent="0.3">
      <c r="A1153" s="10">
        <f t="shared" si="69"/>
        <v>4501010</v>
      </c>
      <c r="B1153" s="10">
        <v>10</v>
      </c>
      <c r="C1153" s="10" t="s">
        <v>352</v>
      </c>
      <c r="D1153" s="10">
        <v>4</v>
      </c>
      <c r="E1153" s="10">
        <v>5</v>
      </c>
      <c r="F1153" s="10">
        <v>1</v>
      </c>
      <c r="G1153" s="10" t="s">
        <v>213</v>
      </c>
      <c r="H1153" s="10">
        <f t="shared" si="70"/>
        <v>4501</v>
      </c>
      <c r="I1153" s="10">
        <v>7000120</v>
      </c>
      <c r="J1153" s="10">
        <v>100</v>
      </c>
    </row>
    <row r="1154" spans="1:10" x14ac:dyDescent="0.3">
      <c r="A1154" s="10">
        <f t="shared" si="69"/>
        <v>4502001</v>
      </c>
      <c r="B1154" s="10">
        <v>1</v>
      </c>
      <c r="C1154" s="10" t="str">
        <f>C1144</f>
        <v>생존본능</v>
      </c>
      <c r="D1154" s="10">
        <v>4</v>
      </c>
      <c r="E1154" s="10">
        <v>5</v>
      </c>
      <c r="F1154" s="10">
        <v>2</v>
      </c>
      <c r="G1154" s="10" t="s">
        <v>208</v>
      </c>
      <c r="H1154" s="10">
        <f t="shared" si="70"/>
        <v>4502</v>
      </c>
      <c r="I1154" s="10">
        <v>7000103</v>
      </c>
      <c r="J1154" s="10">
        <v>18000</v>
      </c>
    </row>
    <row r="1155" spans="1:10" x14ac:dyDescent="0.3">
      <c r="A1155" s="10">
        <f t="shared" si="69"/>
        <v>4502002</v>
      </c>
      <c r="B1155" s="10">
        <v>2</v>
      </c>
      <c r="C1155" s="10" t="str">
        <f t="shared" ref="C1155:C1203" si="71">C1145</f>
        <v>방어기제</v>
      </c>
      <c r="D1155" s="10">
        <v>4</v>
      </c>
      <c r="E1155" s="10">
        <v>5</v>
      </c>
      <c r="F1155" s="10">
        <v>2</v>
      </c>
      <c r="G1155" s="10" t="s">
        <v>208</v>
      </c>
      <c r="H1155" s="10">
        <f t="shared" si="70"/>
        <v>4502</v>
      </c>
      <c r="I1155" s="10">
        <v>7000117</v>
      </c>
      <c r="J1155" s="10">
        <v>18000</v>
      </c>
    </row>
    <row r="1156" spans="1:10" x14ac:dyDescent="0.3">
      <c r="A1156" s="10">
        <f t="shared" si="69"/>
        <v>4502003</v>
      </c>
      <c r="B1156" s="10">
        <v>3</v>
      </c>
      <c r="C1156" s="10" t="str">
        <f t="shared" si="71"/>
        <v>자비</v>
      </c>
      <c r="D1156" s="10">
        <v>4</v>
      </c>
      <c r="E1156" s="10">
        <v>5</v>
      </c>
      <c r="F1156" s="10">
        <v>2</v>
      </c>
      <c r="G1156" s="10" t="s">
        <v>208</v>
      </c>
      <c r="H1156" s="10">
        <f t="shared" si="70"/>
        <v>4502</v>
      </c>
      <c r="I1156" s="10">
        <v>7000164</v>
      </c>
      <c r="J1156" s="10">
        <v>18000</v>
      </c>
    </row>
    <row r="1157" spans="1:10" x14ac:dyDescent="0.3">
      <c r="A1157" s="10">
        <f t="shared" si="69"/>
        <v>4502004</v>
      </c>
      <c r="B1157" s="10">
        <v>4</v>
      </c>
      <c r="C1157" s="10" t="str">
        <f t="shared" si="71"/>
        <v>수완가</v>
      </c>
      <c r="D1157" s="10">
        <v>4</v>
      </c>
      <c r="E1157" s="10">
        <v>5</v>
      </c>
      <c r="F1157" s="10">
        <v>2</v>
      </c>
      <c r="G1157" s="10" t="s">
        <v>209</v>
      </c>
      <c r="H1157" s="10">
        <f t="shared" si="70"/>
        <v>4502</v>
      </c>
      <c r="I1157" s="10">
        <v>7000134</v>
      </c>
      <c r="J1157" s="10">
        <v>14500</v>
      </c>
    </row>
    <row r="1158" spans="1:10" x14ac:dyDescent="0.3">
      <c r="A1158" s="10">
        <f t="shared" si="69"/>
        <v>4502005</v>
      </c>
      <c r="B1158" s="10">
        <v>5</v>
      </c>
      <c r="C1158" s="10" t="str">
        <f t="shared" si="71"/>
        <v>이기주의</v>
      </c>
      <c r="D1158" s="10">
        <v>4</v>
      </c>
      <c r="E1158" s="10">
        <v>5</v>
      </c>
      <c r="F1158" s="10">
        <v>2</v>
      </c>
      <c r="G1158" s="10" t="s">
        <v>209</v>
      </c>
      <c r="H1158" s="10">
        <f t="shared" si="70"/>
        <v>4502</v>
      </c>
      <c r="I1158" s="10">
        <v>7000135</v>
      </c>
      <c r="J1158" s="10">
        <v>14500</v>
      </c>
    </row>
    <row r="1159" spans="1:10" x14ac:dyDescent="0.3">
      <c r="A1159" s="10">
        <f t="shared" si="69"/>
        <v>4502006</v>
      </c>
      <c r="B1159" s="10">
        <v>6</v>
      </c>
      <c r="C1159" s="10" t="str">
        <f t="shared" si="71"/>
        <v>애증</v>
      </c>
      <c r="D1159" s="10">
        <v>4</v>
      </c>
      <c r="E1159" s="10">
        <v>5</v>
      </c>
      <c r="F1159" s="10">
        <v>2</v>
      </c>
      <c r="G1159" s="10" t="s">
        <v>210</v>
      </c>
      <c r="H1159" s="10">
        <f t="shared" si="70"/>
        <v>4502</v>
      </c>
      <c r="I1159" s="10">
        <v>7000142</v>
      </c>
      <c r="J1159" s="10">
        <v>9500</v>
      </c>
    </row>
    <row r="1160" spans="1:10" x14ac:dyDescent="0.3">
      <c r="A1160" s="10">
        <f t="shared" si="69"/>
        <v>4502007</v>
      </c>
      <c r="B1160" s="10">
        <v>7</v>
      </c>
      <c r="C1160" s="10" t="str">
        <f t="shared" si="71"/>
        <v>헌신</v>
      </c>
      <c r="D1160" s="10">
        <v>4</v>
      </c>
      <c r="E1160" s="10">
        <v>5</v>
      </c>
      <c r="F1160" s="10">
        <v>2</v>
      </c>
      <c r="G1160" s="10" t="s">
        <v>210</v>
      </c>
      <c r="H1160" s="10">
        <f t="shared" si="70"/>
        <v>4502</v>
      </c>
      <c r="I1160" s="10">
        <v>7000158</v>
      </c>
      <c r="J1160" s="10">
        <v>9500</v>
      </c>
    </row>
    <row r="1161" spans="1:10" x14ac:dyDescent="0.3">
      <c r="A1161" s="10">
        <f t="shared" si="69"/>
        <v>4502008</v>
      </c>
      <c r="B1161" s="10">
        <v>8</v>
      </c>
      <c r="C1161" s="10" t="str">
        <f t="shared" si="71"/>
        <v>독선가</v>
      </c>
      <c r="D1161" s="10">
        <v>4</v>
      </c>
      <c r="E1161" s="10">
        <v>5</v>
      </c>
      <c r="F1161" s="10">
        <v>2</v>
      </c>
      <c r="G1161" s="10" t="s">
        <v>211</v>
      </c>
      <c r="H1161" s="10">
        <f t="shared" si="70"/>
        <v>4502</v>
      </c>
      <c r="I1161" s="10">
        <v>7000173</v>
      </c>
      <c r="J1161" s="10">
        <v>1900</v>
      </c>
    </row>
    <row r="1162" spans="1:10" x14ac:dyDescent="0.3">
      <c r="A1162" s="10">
        <f t="shared" si="69"/>
        <v>4502009</v>
      </c>
      <c r="B1162" s="10">
        <v>9</v>
      </c>
      <c r="C1162" s="10" t="str">
        <f t="shared" si="71"/>
        <v>안정</v>
      </c>
      <c r="D1162" s="10">
        <v>4</v>
      </c>
      <c r="E1162" s="10">
        <v>5</v>
      </c>
      <c r="F1162" s="10">
        <v>2</v>
      </c>
      <c r="G1162" s="10" t="s">
        <v>212</v>
      </c>
      <c r="H1162" s="10">
        <f t="shared" si="70"/>
        <v>4502</v>
      </c>
      <c r="I1162" s="10">
        <v>7000169</v>
      </c>
      <c r="J1162" s="10">
        <v>500</v>
      </c>
    </row>
    <row r="1163" spans="1:10" x14ac:dyDescent="0.3">
      <c r="A1163" s="10">
        <f t="shared" si="69"/>
        <v>4502010</v>
      </c>
      <c r="B1163" s="10">
        <v>10</v>
      </c>
      <c r="C1163" s="10" t="str">
        <f t="shared" si="71"/>
        <v>철벽</v>
      </c>
      <c r="D1163" s="10">
        <v>4</v>
      </c>
      <c r="E1163" s="10">
        <v>5</v>
      </c>
      <c r="F1163" s="10">
        <v>2</v>
      </c>
      <c r="G1163" s="10" t="s">
        <v>213</v>
      </c>
      <c r="H1163" s="10">
        <f t="shared" si="70"/>
        <v>4502</v>
      </c>
      <c r="I1163" s="10">
        <v>7000120</v>
      </c>
      <c r="J1163" s="10">
        <v>100</v>
      </c>
    </row>
    <row r="1164" spans="1:10" x14ac:dyDescent="0.3">
      <c r="A1164" s="10">
        <f t="shared" si="69"/>
        <v>4503001</v>
      </c>
      <c r="B1164" s="10">
        <v>1</v>
      </c>
      <c r="C1164" s="10" t="str">
        <f>C1154</f>
        <v>생존본능</v>
      </c>
      <c r="D1164" s="10">
        <v>4</v>
      </c>
      <c r="E1164" s="10">
        <v>5</v>
      </c>
      <c r="F1164" s="10">
        <v>3</v>
      </c>
      <c r="G1164" s="10" t="s">
        <v>208</v>
      </c>
      <c r="H1164" s="10">
        <f t="shared" si="70"/>
        <v>4503</v>
      </c>
      <c r="I1164" s="10">
        <v>7000103</v>
      </c>
      <c r="J1164" s="10">
        <v>16000</v>
      </c>
    </row>
    <row r="1165" spans="1:10" x14ac:dyDescent="0.3">
      <c r="A1165" s="10">
        <f t="shared" si="69"/>
        <v>4503002</v>
      </c>
      <c r="B1165" s="10">
        <v>2</v>
      </c>
      <c r="C1165" s="10" t="str">
        <f t="shared" si="71"/>
        <v>방어기제</v>
      </c>
      <c r="D1165" s="10">
        <v>4</v>
      </c>
      <c r="E1165" s="10">
        <v>5</v>
      </c>
      <c r="F1165" s="10">
        <v>3</v>
      </c>
      <c r="G1165" s="10" t="s">
        <v>208</v>
      </c>
      <c r="H1165" s="10">
        <f t="shared" si="70"/>
        <v>4503</v>
      </c>
      <c r="I1165" s="10">
        <v>7000117</v>
      </c>
      <c r="J1165" s="10">
        <v>16000</v>
      </c>
    </row>
    <row r="1166" spans="1:10" x14ac:dyDescent="0.3">
      <c r="A1166" s="10">
        <f t="shared" si="69"/>
        <v>4503003</v>
      </c>
      <c r="B1166" s="10">
        <v>3</v>
      </c>
      <c r="C1166" s="10" t="str">
        <f t="shared" si="71"/>
        <v>자비</v>
      </c>
      <c r="D1166" s="10">
        <v>4</v>
      </c>
      <c r="E1166" s="10">
        <v>5</v>
      </c>
      <c r="F1166" s="10">
        <v>3</v>
      </c>
      <c r="G1166" s="10" t="s">
        <v>208</v>
      </c>
      <c r="H1166" s="10">
        <f t="shared" si="70"/>
        <v>4503</v>
      </c>
      <c r="I1166" s="10">
        <v>7000164</v>
      </c>
      <c r="J1166" s="10">
        <v>16000</v>
      </c>
    </row>
    <row r="1167" spans="1:10" x14ac:dyDescent="0.3">
      <c r="A1167" s="10">
        <f t="shared" si="69"/>
        <v>4503004</v>
      </c>
      <c r="B1167" s="10">
        <v>4</v>
      </c>
      <c r="C1167" s="10" t="str">
        <f t="shared" si="71"/>
        <v>수완가</v>
      </c>
      <c r="D1167" s="10">
        <v>4</v>
      </c>
      <c r="E1167" s="10">
        <v>5</v>
      </c>
      <c r="F1167" s="10">
        <v>3</v>
      </c>
      <c r="G1167" s="10" t="s">
        <v>209</v>
      </c>
      <c r="H1167" s="10">
        <f t="shared" si="70"/>
        <v>4503</v>
      </c>
      <c r="I1167" s="10">
        <v>7000134</v>
      </c>
      <c r="J1167" s="10">
        <v>14000</v>
      </c>
    </row>
    <row r="1168" spans="1:10" x14ac:dyDescent="0.3">
      <c r="A1168" s="10">
        <f t="shared" si="69"/>
        <v>4503005</v>
      </c>
      <c r="B1168" s="10">
        <v>5</v>
      </c>
      <c r="C1168" s="10" t="str">
        <f t="shared" si="71"/>
        <v>이기주의</v>
      </c>
      <c r="D1168" s="10">
        <v>4</v>
      </c>
      <c r="E1168" s="10">
        <v>5</v>
      </c>
      <c r="F1168" s="10">
        <v>3</v>
      </c>
      <c r="G1168" s="10" t="s">
        <v>209</v>
      </c>
      <c r="H1168" s="10">
        <f t="shared" si="70"/>
        <v>4503</v>
      </c>
      <c r="I1168" s="10">
        <v>7000135</v>
      </c>
      <c r="J1168" s="10">
        <v>14000</v>
      </c>
    </row>
    <row r="1169" spans="1:10" x14ac:dyDescent="0.3">
      <c r="A1169" s="10">
        <f t="shared" si="69"/>
        <v>4503006</v>
      </c>
      <c r="B1169" s="10">
        <v>6</v>
      </c>
      <c r="C1169" s="10" t="str">
        <f t="shared" si="71"/>
        <v>애증</v>
      </c>
      <c r="D1169" s="10">
        <v>4</v>
      </c>
      <c r="E1169" s="10">
        <v>5</v>
      </c>
      <c r="F1169" s="10">
        <v>3</v>
      </c>
      <c r="G1169" s="10" t="s">
        <v>210</v>
      </c>
      <c r="H1169" s="10">
        <f t="shared" si="70"/>
        <v>4503</v>
      </c>
      <c r="I1169" s="10">
        <v>7000142</v>
      </c>
      <c r="J1169" s="10">
        <v>9000</v>
      </c>
    </row>
    <row r="1170" spans="1:10" x14ac:dyDescent="0.3">
      <c r="A1170" s="10">
        <f t="shared" si="69"/>
        <v>4503007</v>
      </c>
      <c r="B1170" s="10">
        <v>7</v>
      </c>
      <c r="C1170" s="10" t="str">
        <f t="shared" si="71"/>
        <v>헌신</v>
      </c>
      <c r="D1170" s="10">
        <v>4</v>
      </c>
      <c r="E1170" s="10">
        <v>5</v>
      </c>
      <c r="F1170" s="10">
        <v>3</v>
      </c>
      <c r="G1170" s="10" t="s">
        <v>210</v>
      </c>
      <c r="H1170" s="10">
        <f t="shared" si="70"/>
        <v>4503</v>
      </c>
      <c r="I1170" s="10">
        <v>7000158</v>
      </c>
      <c r="J1170" s="10">
        <v>9000</v>
      </c>
    </row>
    <row r="1171" spans="1:10" x14ac:dyDescent="0.3">
      <c r="A1171" s="10">
        <f t="shared" si="69"/>
        <v>4503008</v>
      </c>
      <c r="B1171" s="10">
        <v>8</v>
      </c>
      <c r="C1171" s="10" t="str">
        <f t="shared" si="71"/>
        <v>독선가</v>
      </c>
      <c r="D1171" s="10">
        <v>4</v>
      </c>
      <c r="E1171" s="10">
        <v>5</v>
      </c>
      <c r="F1171" s="10">
        <v>3</v>
      </c>
      <c r="G1171" s="10" t="s">
        <v>211</v>
      </c>
      <c r="H1171" s="10">
        <f t="shared" si="70"/>
        <v>4503</v>
      </c>
      <c r="I1171" s="10">
        <v>7000173</v>
      </c>
      <c r="J1171" s="10">
        <v>1800</v>
      </c>
    </row>
    <row r="1172" spans="1:10" x14ac:dyDescent="0.3">
      <c r="A1172" s="10">
        <f t="shared" si="69"/>
        <v>4503009</v>
      </c>
      <c r="B1172" s="10">
        <v>9</v>
      </c>
      <c r="C1172" s="10" t="str">
        <f t="shared" si="71"/>
        <v>안정</v>
      </c>
      <c r="D1172" s="10">
        <v>4</v>
      </c>
      <c r="E1172" s="10">
        <v>5</v>
      </c>
      <c r="F1172" s="10">
        <v>3</v>
      </c>
      <c r="G1172" s="10" t="s">
        <v>212</v>
      </c>
      <c r="H1172" s="10">
        <f t="shared" si="70"/>
        <v>4503</v>
      </c>
      <c r="I1172" s="10">
        <v>7000169</v>
      </c>
      <c r="J1172" s="10">
        <v>500</v>
      </c>
    </row>
    <row r="1173" spans="1:10" x14ac:dyDescent="0.3">
      <c r="A1173" s="10">
        <f t="shared" si="69"/>
        <v>4503010</v>
      </c>
      <c r="B1173" s="10">
        <v>10</v>
      </c>
      <c r="C1173" s="10" t="str">
        <f t="shared" si="71"/>
        <v>철벽</v>
      </c>
      <c r="D1173" s="10">
        <v>4</v>
      </c>
      <c r="E1173" s="10">
        <v>5</v>
      </c>
      <c r="F1173" s="10">
        <v>3</v>
      </c>
      <c r="G1173" s="10" t="s">
        <v>213</v>
      </c>
      <c r="H1173" s="10">
        <f t="shared" si="70"/>
        <v>4503</v>
      </c>
      <c r="I1173" s="10">
        <v>7000120</v>
      </c>
      <c r="J1173" s="10">
        <v>100</v>
      </c>
    </row>
    <row r="1174" spans="1:10" x14ac:dyDescent="0.3">
      <c r="A1174" s="10">
        <f t="shared" si="69"/>
        <v>4504001</v>
      </c>
      <c r="B1174" s="10">
        <v>1</v>
      </c>
      <c r="C1174" s="10" t="str">
        <f>C1164</f>
        <v>생존본능</v>
      </c>
      <c r="D1174" s="10">
        <v>4</v>
      </c>
      <c r="E1174" s="10">
        <v>5</v>
      </c>
      <c r="F1174" s="10">
        <v>4</v>
      </c>
      <c r="G1174" s="10" t="s">
        <v>208</v>
      </c>
      <c r="H1174" s="10">
        <f t="shared" si="70"/>
        <v>4504</v>
      </c>
      <c r="I1174" s="10">
        <v>7000103</v>
      </c>
      <c r="J1174" s="10">
        <v>14000</v>
      </c>
    </row>
    <row r="1175" spans="1:10" x14ac:dyDescent="0.3">
      <c r="A1175" s="10">
        <f t="shared" si="69"/>
        <v>4504002</v>
      </c>
      <c r="B1175" s="10">
        <v>2</v>
      </c>
      <c r="C1175" s="10" t="str">
        <f t="shared" si="71"/>
        <v>방어기제</v>
      </c>
      <c r="D1175" s="10">
        <v>4</v>
      </c>
      <c r="E1175" s="10">
        <v>5</v>
      </c>
      <c r="F1175" s="10">
        <v>4</v>
      </c>
      <c r="G1175" s="10" t="s">
        <v>208</v>
      </c>
      <c r="H1175" s="10">
        <f t="shared" si="70"/>
        <v>4504</v>
      </c>
      <c r="I1175" s="10">
        <v>7000117</v>
      </c>
      <c r="J1175" s="10">
        <v>14000</v>
      </c>
    </row>
    <row r="1176" spans="1:10" x14ac:dyDescent="0.3">
      <c r="A1176" s="10">
        <f t="shared" si="69"/>
        <v>4504003</v>
      </c>
      <c r="B1176" s="10">
        <v>3</v>
      </c>
      <c r="C1176" s="10" t="str">
        <f t="shared" si="71"/>
        <v>자비</v>
      </c>
      <c r="D1176" s="10">
        <v>4</v>
      </c>
      <c r="E1176" s="10">
        <v>5</v>
      </c>
      <c r="F1176" s="10">
        <v>4</v>
      </c>
      <c r="G1176" s="10" t="s">
        <v>208</v>
      </c>
      <c r="H1176" s="10">
        <f t="shared" si="70"/>
        <v>4504</v>
      </c>
      <c r="I1176" s="10">
        <v>7000164</v>
      </c>
      <c r="J1176" s="10">
        <v>14000</v>
      </c>
    </row>
    <row r="1177" spans="1:10" x14ac:dyDescent="0.3">
      <c r="A1177" s="10">
        <f t="shared" si="69"/>
        <v>4504004</v>
      </c>
      <c r="B1177" s="10">
        <v>4</v>
      </c>
      <c r="C1177" s="10" t="str">
        <f t="shared" si="71"/>
        <v>수완가</v>
      </c>
      <c r="D1177" s="10">
        <v>4</v>
      </c>
      <c r="E1177" s="10">
        <v>5</v>
      </c>
      <c r="F1177" s="10">
        <v>4</v>
      </c>
      <c r="G1177" s="10" t="s">
        <v>209</v>
      </c>
      <c r="H1177" s="10">
        <f t="shared" si="70"/>
        <v>4504</v>
      </c>
      <c r="I1177" s="10">
        <v>7000134</v>
      </c>
      <c r="J1177" s="10">
        <v>13500</v>
      </c>
    </row>
    <row r="1178" spans="1:10" x14ac:dyDescent="0.3">
      <c r="A1178" s="10">
        <f t="shared" si="69"/>
        <v>4504005</v>
      </c>
      <c r="B1178" s="10">
        <v>5</v>
      </c>
      <c r="C1178" s="10" t="str">
        <f t="shared" si="71"/>
        <v>이기주의</v>
      </c>
      <c r="D1178" s="10">
        <v>4</v>
      </c>
      <c r="E1178" s="10">
        <v>5</v>
      </c>
      <c r="F1178" s="10">
        <v>4</v>
      </c>
      <c r="G1178" s="10" t="s">
        <v>209</v>
      </c>
      <c r="H1178" s="10">
        <f t="shared" si="70"/>
        <v>4504</v>
      </c>
      <c r="I1178" s="10">
        <v>7000135</v>
      </c>
      <c r="J1178" s="10">
        <v>13500</v>
      </c>
    </row>
    <row r="1179" spans="1:10" x14ac:dyDescent="0.3">
      <c r="A1179" s="10">
        <f t="shared" si="69"/>
        <v>4504006</v>
      </c>
      <c r="B1179" s="10">
        <v>6</v>
      </c>
      <c r="C1179" s="10" t="str">
        <f t="shared" si="71"/>
        <v>애증</v>
      </c>
      <c r="D1179" s="10">
        <v>4</v>
      </c>
      <c r="E1179" s="10">
        <v>5</v>
      </c>
      <c r="F1179" s="10">
        <v>4</v>
      </c>
      <c r="G1179" s="10" t="s">
        <v>210</v>
      </c>
      <c r="H1179" s="10">
        <f t="shared" si="70"/>
        <v>4504</v>
      </c>
      <c r="I1179" s="10">
        <v>7000142</v>
      </c>
      <c r="J1179" s="10">
        <v>8500</v>
      </c>
    </row>
    <row r="1180" spans="1:10" x14ac:dyDescent="0.3">
      <c r="A1180" s="10">
        <f t="shared" si="69"/>
        <v>4504007</v>
      </c>
      <c r="B1180" s="10">
        <v>7</v>
      </c>
      <c r="C1180" s="10" t="str">
        <f t="shared" si="71"/>
        <v>헌신</v>
      </c>
      <c r="D1180" s="10">
        <v>4</v>
      </c>
      <c r="E1180" s="10">
        <v>5</v>
      </c>
      <c r="F1180" s="10">
        <v>4</v>
      </c>
      <c r="G1180" s="10" t="s">
        <v>210</v>
      </c>
      <c r="H1180" s="10">
        <f t="shared" si="70"/>
        <v>4504</v>
      </c>
      <c r="I1180" s="10">
        <v>7000158</v>
      </c>
      <c r="J1180" s="10">
        <v>8500</v>
      </c>
    </row>
    <row r="1181" spans="1:10" x14ac:dyDescent="0.3">
      <c r="A1181" s="10">
        <f t="shared" si="69"/>
        <v>4504008</v>
      </c>
      <c r="B1181" s="10">
        <v>8</v>
      </c>
      <c r="C1181" s="10" t="str">
        <f t="shared" si="71"/>
        <v>독선가</v>
      </c>
      <c r="D1181" s="10">
        <v>4</v>
      </c>
      <c r="E1181" s="10">
        <v>5</v>
      </c>
      <c r="F1181" s="10">
        <v>4</v>
      </c>
      <c r="G1181" s="10" t="s">
        <v>211</v>
      </c>
      <c r="H1181" s="10">
        <f t="shared" si="70"/>
        <v>4504</v>
      </c>
      <c r="I1181" s="10">
        <v>7000173</v>
      </c>
      <c r="J1181" s="10">
        <v>1700</v>
      </c>
    </row>
    <row r="1182" spans="1:10" x14ac:dyDescent="0.3">
      <c r="A1182" s="10">
        <f t="shared" si="69"/>
        <v>4504009</v>
      </c>
      <c r="B1182" s="10">
        <v>9</v>
      </c>
      <c r="C1182" s="10" t="str">
        <f t="shared" si="71"/>
        <v>안정</v>
      </c>
      <c r="D1182" s="10">
        <v>4</v>
      </c>
      <c r="E1182" s="10">
        <v>5</v>
      </c>
      <c r="F1182" s="10">
        <v>4</v>
      </c>
      <c r="G1182" s="10" t="s">
        <v>212</v>
      </c>
      <c r="H1182" s="10">
        <f t="shared" si="70"/>
        <v>4504</v>
      </c>
      <c r="I1182" s="10">
        <v>7000169</v>
      </c>
      <c r="J1182" s="10">
        <v>500</v>
      </c>
    </row>
    <row r="1183" spans="1:10" x14ac:dyDescent="0.3">
      <c r="A1183" s="10">
        <f t="shared" si="69"/>
        <v>4504010</v>
      </c>
      <c r="B1183" s="10">
        <v>10</v>
      </c>
      <c r="C1183" s="10" t="str">
        <f t="shared" si="71"/>
        <v>철벽</v>
      </c>
      <c r="D1183" s="10">
        <v>4</v>
      </c>
      <c r="E1183" s="10">
        <v>5</v>
      </c>
      <c r="F1183" s="10">
        <v>4</v>
      </c>
      <c r="G1183" s="10" t="s">
        <v>213</v>
      </c>
      <c r="H1183" s="10">
        <f t="shared" si="70"/>
        <v>4504</v>
      </c>
      <c r="I1183" s="10">
        <v>7000120</v>
      </c>
      <c r="J1183" s="10">
        <v>100</v>
      </c>
    </row>
    <row r="1184" spans="1:10" x14ac:dyDescent="0.3">
      <c r="A1184" s="10">
        <f t="shared" si="69"/>
        <v>4505001</v>
      </c>
      <c r="B1184" s="10">
        <v>1</v>
      </c>
      <c r="C1184" s="10" t="str">
        <f>C1174</f>
        <v>생존본능</v>
      </c>
      <c r="D1184" s="10">
        <v>4</v>
      </c>
      <c r="E1184" s="10">
        <v>5</v>
      </c>
      <c r="F1184" s="10">
        <v>5</v>
      </c>
      <c r="G1184" s="10" t="s">
        <v>208</v>
      </c>
      <c r="H1184" s="10">
        <f t="shared" si="70"/>
        <v>4505</v>
      </c>
      <c r="I1184" s="10">
        <v>7000103</v>
      </c>
      <c r="J1184" s="10">
        <v>12000</v>
      </c>
    </row>
    <row r="1185" spans="1:10" x14ac:dyDescent="0.3">
      <c r="A1185" s="10">
        <f t="shared" si="69"/>
        <v>4505002</v>
      </c>
      <c r="B1185" s="10">
        <v>2</v>
      </c>
      <c r="C1185" s="10" t="str">
        <f t="shared" si="71"/>
        <v>방어기제</v>
      </c>
      <c r="D1185" s="10">
        <v>4</v>
      </c>
      <c r="E1185" s="10">
        <v>5</v>
      </c>
      <c r="F1185" s="10">
        <v>5</v>
      </c>
      <c r="G1185" s="10" t="s">
        <v>208</v>
      </c>
      <c r="H1185" s="10">
        <f t="shared" si="70"/>
        <v>4505</v>
      </c>
      <c r="I1185" s="10">
        <v>7000117</v>
      </c>
      <c r="J1185" s="10">
        <v>12000</v>
      </c>
    </row>
    <row r="1186" spans="1:10" x14ac:dyDescent="0.3">
      <c r="A1186" s="10">
        <f t="shared" si="69"/>
        <v>4505003</v>
      </c>
      <c r="B1186" s="10">
        <v>3</v>
      </c>
      <c r="C1186" s="10" t="str">
        <f t="shared" si="71"/>
        <v>자비</v>
      </c>
      <c r="D1186" s="10">
        <v>4</v>
      </c>
      <c r="E1186" s="10">
        <v>5</v>
      </c>
      <c r="F1186" s="10">
        <v>5</v>
      </c>
      <c r="G1186" s="10" t="s">
        <v>208</v>
      </c>
      <c r="H1186" s="10">
        <f t="shared" si="70"/>
        <v>4505</v>
      </c>
      <c r="I1186" s="10">
        <v>7000164</v>
      </c>
      <c r="J1186" s="10">
        <v>12000</v>
      </c>
    </row>
    <row r="1187" spans="1:10" x14ac:dyDescent="0.3">
      <c r="A1187" s="10">
        <f t="shared" si="69"/>
        <v>4505004</v>
      </c>
      <c r="B1187" s="10">
        <v>4</v>
      </c>
      <c r="C1187" s="10" t="str">
        <f t="shared" si="71"/>
        <v>수완가</v>
      </c>
      <c r="D1187" s="10">
        <v>4</v>
      </c>
      <c r="E1187" s="10">
        <v>5</v>
      </c>
      <c r="F1187" s="10">
        <v>5</v>
      </c>
      <c r="G1187" s="10" t="s">
        <v>209</v>
      </c>
      <c r="H1187" s="10">
        <f t="shared" si="70"/>
        <v>4505</v>
      </c>
      <c r="I1187" s="10">
        <v>7000134</v>
      </c>
      <c r="J1187" s="10">
        <v>13000</v>
      </c>
    </row>
    <row r="1188" spans="1:10" x14ac:dyDescent="0.3">
      <c r="A1188" s="10">
        <f t="shared" si="69"/>
        <v>4505005</v>
      </c>
      <c r="B1188" s="10">
        <v>5</v>
      </c>
      <c r="C1188" s="10" t="str">
        <f t="shared" si="71"/>
        <v>이기주의</v>
      </c>
      <c r="D1188" s="10">
        <v>4</v>
      </c>
      <c r="E1188" s="10">
        <v>5</v>
      </c>
      <c r="F1188" s="10">
        <v>5</v>
      </c>
      <c r="G1188" s="10" t="s">
        <v>209</v>
      </c>
      <c r="H1188" s="10">
        <f t="shared" si="70"/>
        <v>4505</v>
      </c>
      <c r="I1188" s="10">
        <v>7000135</v>
      </c>
      <c r="J1188" s="10">
        <v>13000</v>
      </c>
    </row>
    <row r="1189" spans="1:10" x14ac:dyDescent="0.3">
      <c r="A1189" s="10">
        <f t="shared" si="69"/>
        <v>4505006</v>
      </c>
      <c r="B1189" s="10">
        <v>6</v>
      </c>
      <c r="C1189" s="10" t="str">
        <f t="shared" si="71"/>
        <v>애증</v>
      </c>
      <c r="D1189" s="10">
        <v>4</v>
      </c>
      <c r="E1189" s="10">
        <v>5</v>
      </c>
      <c r="F1189" s="10">
        <v>5</v>
      </c>
      <c r="G1189" s="10" t="s">
        <v>210</v>
      </c>
      <c r="H1189" s="10">
        <f t="shared" si="70"/>
        <v>4505</v>
      </c>
      <c r="I1189" s="10">
        <v>7000142</v>
      </c>
      <c r="J1189" s="10">
        <v>8000</v>
      </c>
    </row>
    <row r="1190" spans="1:10" x14ac:dyDescent="0.3">
      <c r="A1190" s="10">
        <f t="shared" si="69"/>
        <v>4505007</v>
      </c>
      <c r="B1190" s="10">
        <v>7</v>
      </c>
      <c r="C1190" s="10" t="str">
        <f t="shared" si="71"/>
        <v>헌신</v>
      </c>
      <c r="D1190" s="10">
        <v>4</v>
      </c>
      <c r="E1190" s="10">
        <v>5</v>
      </c>
      <c r="F1190" s="10">
        <v>5</v>
      </c>
      <c r="G1190" s="10" t="s">
        <v>210</v>
      </c>
      <c r="H1190" s="10">
        <f t="shared" si="70"/>
        <v>4505</v>
      </c>
      <c r="I1190" s="10">
        <v>7000158</v>
      </c>
      <c r="J1190" s="10">
        <v>8000</v>
      </c>
    </row>
    <row r="1191" spans="1:10" x14ac:dyDescent="0.3">
      <c r="A1191" s="10">
        <f t="shared" si="69"/>
        <v>4505008</v>
      </c>
      <c r="B1191" s="10">
        <v>8</v>
      </c>
      <c r="C1191" s="10" t="str">
        <f t="shared" si="71"/>
        <v>독선가</v>
      </c>
      <c r="D1191" s="10">
        <v>4</v>
      </c>
      <c r="E1191" s="10">
        <v>5</v>
      </c>
      <c r="F1191" s="10">
        <v>5</v>
      </c>
      <c r="G1191" s="10" t="s">
        <v>211</v>
      </c>
      <c r="H1191" s="10">
        <f t="shared" si="70"/>
        <v>4505</v>
      </c>
      <c r="I1191" s="10">
        <v>7000173</v>
      </c>
      <c r="J1191" s="10">
        <v>1600</v>
      </c>
    </row>
    <row r="1192" spans="1:10" x14ac:dyDescent="0.3">
      <c r="A1192" s="10">
        <f t="shared" si="69"/>
        <v>4505009</v>
      </c>
      <c r="B1192" s="10">
        <v>9</v>
      </c>
      <c r="C1192" s="10" t="str">
        <f t="shared" si="71"/>
        <v>안정</v>
      </c>
      <c r="D1192" s="10">
        <v>4</v>
      </c>
      <c r="E1192" s="10">
        <v>5</v>
      </c>
      <c r="F1192" s="10">
        <v>5</v>
      </c>
      <c r="G1192" s="10" t="s">
        <v>212</v>
      </c>
      <c r="H1192" s="10">
        <f t="shared" si="70"/>
        <v>4505</v>
      </c>
      <c r="I1192" s="10">
        <v>7000169</v>
      </c>
      <c r="J1192" s="10">
        <v>500</v>
      </c>
    </row>
    <row r="1193" spans="1:10" x14ac:dyDescent="0.3">
      <c r="A1193" s="10">
        <f t="shared" si="69"/>
        <v>4505010</v>
      </c>
      <c r="B1193" s="10">
        <v>10</v>
      </c>
      <c r="C1193" s="10" t="str">
        <f t="shared" si="71"/>
        <v>철벽</v>
      </c>
      <c r="D1193" s="10">
        <v>4</v>
      </c>
      <c r="E1193" s="10">
        <v>5</v>
      </c>
      <c r="F1193" s="10">
        <v>5</v>
      </c>
      <c r="G1193" s="10" t="s">
        <v>213</v>
      </c>
      <c r="H1193" s="10">
        <f t="shared" si="70"/>
        <v>4505</v>
      </c>
      <c r="I1193" s="10">
        <v>7000120</v>
      </c>
      <c r="J1193" s="10">
        <v>100</v>
      </c>
    </row>
    <row r="1194" spans="1:10" x14ac:dyDescent="0.3">
      <c r="A1194" s="10">
        <f t="shared" si="69"/>
        <v>4506001</v>
      </c>
      <c r="B1194" s="10">
        <v>1</v>
      </c>
      <c r="C1194" s="10" t="str">
        <f>C1184</f>
        <v>생존본능</v>
      </c>
      <c r="D1194" s="10">
        <v>4</v>
      </c>
      <c r="E1194" s="10">
        <v>5</v>
      </c>
      <c r="F1194" s="10">
        <v>6</v>
      </c>
      <c r="G1194" s="10" t="s">
        <v>208</v>
      </c>
      <c r="H1194" s="10">
        <f t="shared" si="70"/>
        <v>4506</v>
      </c>
      <c r="I1194" s="10">
        <v>7000103</v>
      </c>
      <c r="J1194" s="10">
        <v>10000</v>
      </c>
    </row>
    <row r="1195" spans="1:10" x14ac:dyDescent="0.3">
      <c r="A1195" s="10">
        <f t="shared" si="69"/>
        <v>4506002</v>
      </c>
      <c r="B1195" s="10">
        <v>2</v>
      </c>
      <c r="C1195" s="10" t="str">
        <f t="shared" si="71"/>
        <v>방어기제</v>
      </c>
      <c r="D1195" s="10">
        <v>4</v>
      </c>
      <c r="E1195" s="10">
        <v>5</v>
      </c>
      <c r="F1195" s="10">
        <v>6</v>
      </c>
      <c r="G1195" s="10" t="s">
        <v>208</v>
      </c>
      <c r="H1195" s="10">
        <f t="shared" si="70"/>
        <v>4506</v>
      </c>
      <c r="I1195" s="10">
        <v>7000117</v>
      </c>
      <c r="J1195" s="10">
        <v>10000</v>
      </c>
    </row>
    <row r="1196" spans="1:10" x14ac:dyDescent="0.3">
      <c r="A1196" s="10">
        <f t="shared" si="69"/>
        <v>4506003</v>
      </c>
      <c r="B1196" s="10">
        <v>3</v>
      </c>
      <c r="C1196" s="10" t="str">
        <f t="shared" si="71"/>
        <v>자비</v>
      </c>
      <c r="D1196" s="10">
        <v>4</v>
      </c>
      <c r="E1196" s="10">
        <v>5</v>
      </c>
      <c r="F1196" s="10">
        <v>6</v>
      </c>
      <c r="G1196" s="10" t="s">
        <v>208</v>
      </c>
      <c r="H1196" s="10">
        <f t="shared" si="70"/>
        <v>4506</v>
      </c>
      <c r="I1196" s="10">
        <v>7000164</v>
      </c>
      <c r="J1196" s="10">
        <v>10000</v>
      </c>
    </row>
    <row r="1197" spans="1:10" x14ac:dyDescent="0.3">
      <c r="A1197" s="10">
        <f t="shared" si="69"/>
        <v>4506004</v>
      </c>
      <c r="B1197" s="10">
        <v>4</v>
      </c>
      <c r="C1197" s="10" t="str">
        <f t="shared" si="71"/>
        <v>수완가</v>
      </c>
      <c r="D1197" s="10">
        <v>4</v>
      </c>
      <c r="E1197" s="10">
        <v>5</v>
      </c>
      <c r="F1197" s="10">
        <v>6</v>
      </c>
      <c r="G1197" s="10" t="s">
        <v>209</v>
      </c>
      <c r="H1197" s="10">
        <f t="shared" si="70"/>
        <v>4506</v>
      </c>
      <c r="I1197" s="10">
        <v>7000134</v>
      </c>
      <c r="J1197" s="10">
        <v>12500</v>
      </c>
    </row>
    <row r="1198" spans="1:10" x14ac:dyDescent="0.3">
      <c r="A1198" s="10">
        <f t="shared" si="69"/>
        <v>4506005</v>
      </c>
      <c r="B1198" s="10">
        <v>5</v>
      </c>
      <c r="C1198" s="10" t="str">
        <f t="shared" si="71"/>
        <v>이기주의</v>
      </c>
      <c r="D1198" s="10">
        <v>4</v>
      </c>
      <c r="E1198" s="10">
        <v>5</v>
      </c>
      <c r="F1198" s="10">
        <v>6</v>
      </c>
      <c r="G1198" s="10" t="s">
        <v>209</v>
      </c>
      <c r="H1198" s="10">
        <f t="shared" si="70"/>
        <v>4506</v>
      </c>
      <c r="I1198" s="10">
        <v>7000135</v>
      </c>
      <c r="J1198" s="10">
        <v>12500</v>
      </c>
    </row>
    <row r="1199" spans="1:10" x14ac:dyDescent="0.3">
      <c r="A1199" s="10">
        <f t="shared" si="69"/>
        <v>4506006</v>
      </c>
      <c r="B1199" s="10">
        <v>6</v>
      </c>
      <c r="C1199" s="10" t="str">
        <f t="shared" si="71"/>
        <v>애증</v>
      </c>
      <c r="D1199" s="10">
        <v>4</v>
      </c>
      <c r="E1199" s="10">
        <v>5</v>
      </c>
      <c r="F1199" s="10">
        <v>6</v>
      </c>
      <c r="G1199" s="10" t="s">
        <v>210</v>
      </c>
      <c r="H1199" s="10">
        <f t="shared" si="70"/>
        <v>4506</v>
      </c>
      <c r="I1199" s="10">
        <v>7000142</v>
      </c>
      <c r="J1199" s="10">
        <v>7500</v>
      </c>
    </row>
    <row r="1200" spans="1:10" x14ac:dyDescent="0.3">
      <c r="A1200" s="10">
        <f t="shared" si="69"/>
        <v>4506007</v>
      </c>
      <c r="B1200" s="10">
        <v>7</v>
      </c>
      <c r="C1200" s="10" t="str">
        <f t="shared" si="71"/>
        <v>헌신</v>
      </c>
      <c r="D1200" s="10">
        <v>4</v>
      </c>
      <c r="E1200" s="10">
        <v>5</v>
      </c>
      <c r="F1200" s="10">
        <v>6</v>
      </c>
      <c r="G1200" s="10" t="s">
        <v>210</v>
      </c>
      <c r="H1200" s="10">
        <f t="shared" si="70"/>
        <v>4506</v>
      </c>
      <c r="I1200" s="10">
        <v>7000158</v>
      </c>
      <c r="J1200" s="10">
        <v>7500</v>
      </c>
    </row>
    <row r="1201" spans="1:10" x14ac:dyDescent="0.3">
      <c r="A1201" s="10">
        <f t="shared" si="69"/>
        <v>4506008</v>
      </c>
      <c r="B1201" s="10">
        <v>8</v>
      </c>
      <c r="C1201" s="10" t="str">
        <f t="shared" si="71"/>
        <v>독선가</v>
      </c>
      <c r="D1201" s="10">
        <v>4</v>
      </c>
      <c r="E1201" s="10">
        <v>5</v>
      </c>
      <c r="F1201" s="10">
        <v>6</v>
      </c>
      <c r="G1201" s="10" t="s">
        <v>211</v>
      </c>
      <c r="H1201" s="10">
        <f t="shared" si="70"/>
        <v>4506</v>
      </c>
      <c r="I1201" s="10">
        <v>7000173</v>
      </c>
      <c r="J1201" s="10">
        <v>1500</v>
      </c>
    </row>
    <row r="1202" spans="1:10" x14ac:dyDescent="0.3">
      <c r="A1202" s="10">
        <f t="shared" si="69"/>
        <v>4506009</v>
      </c>
      <c r="B1202" s="10">
        <v>9</v>
      </c>
      <c r="C1202" s="10" t="str">
        <f t="shared" si="71"/>
        <v>안정</v>
      </c>
      <c r="D1202" s="10">
        <v>4</v>
      </c>
      <c r="E1202" s="10">
        <v>5</v>
      </c>
      <c r="F1202" s="10">
        <v>6</v>
      </c>
      <c r="G1202" s="10" t="s">
        <v>212</v>
      </c>
      <c r="H1202" s="10">
        <f t="shared" si="70"/>
        <v>4506</v>
      </c>
      <c r="I1202" s="10">
        <v>7000169</v>
      </c>
      <c r="J1202" s="10">
        <v>500</v>
      </c>
    </row>
    <row r="1203" spans="1:10" x14ac:dyDescent="0.3">
      <c r="A1203" s="10">
        <f t="shared" si="69"/>
        <v>4506010</v>
      </c>
      <c r="B1203" s="10">
        <v>10</v>
      </c>
      <c r="C1203" s="10" t="str">
        <f t="shared" si="71"/>
        <v>철벽</v>
      </c>
      <c r="D1203" s="10">
        <v>4</v>
      </c>
      <c r="E1203" s="10">
        <v>5</v>
      </c>
      <c r="F1203" s="10">
        <v>6</v>
      </c>
      <c r="G1203" s="10" t="s">
        <v>213</v>
      </c>
      <c r="H1203" s="10">
        <f t="shared" si="70"/>
        <v>4506</v>
      </c>
      <c r="I1203" s="10">
        <v>7000120</v>
      </c>
      <c r="J1203" s="10">
        <v>100</v>
      </c>
    </row>
    <row r="1204" spans="1:10" x14ac:dyDescent="0.3">
      <c r="A1204" s="13">
        <f>INT(H1204&amp;TEXT(B1204,"000"))</f>
        <v>5101001</v>
      </c>
      <c r="B1204" s="13">
        <v>1</v>
      </c>
      <c r="C1204" s="13" t="s">
        <v>336</v>
      </c>
      <c r="D1204" s="13">
        <v>5</v>
      </c>
      <c r="E1204" s="13">
        <v>1</v>
      </c>
      <c r="F1204" s="13">
        <v>1</v>
      </c>
      <c r="G1204" s="13" t="s">
        <v>208</v>
      </c>
      <c r="H1204" s="13">
        <f>INT(D1204&amp;E1204&amp;TEXT(F1204,"00"))</f>
        <v>5101</v>
      </c>
      <c r="I1204" s="13">
        <v>7000101</v>
      </c>
      <c r="J1204" s="13">
        <v>20000</v>
      </c>
    </row>
    <row r="1205" spans="1:10" x14ac:dyDescent="0.3">
      <c r="A1205" s="12">
        <f t="shared" ref="A1205:A1263" si="72">INT(H1205&amp;TEXT(B1205,"000"))</f>
        <v>5101002</v>
      </c>
      <c r="B1205" s="12">
        <v>2</v>
      </c>
      <c r="C1205" s="12" t="s">
        <v>348</v>
      </c>
      <c r="D1205" s="12">
        <v>5</v>
      </c>
      <c r="E1205" s="12">
        <v>1</v>
      </c>
      <c r="F1205" s="12">
        <v>1</v>
      </c>
      <c r="G1205" s="12" t="s">
        <v>208</v>
      </c>
      <c r="H1205" s="12">
        <f t="shared" ref="H1205:H1263" si="73">INT(D1205&amp;E1205&amp;TEXT(F1205,"00"))</f>
        <v>5101</v>
      </c>
      <c r="I1205" s="12">
        <v>7000108</v>
      </c>
      <c r="J1205" s="12">
        <v>20000</v>
      </c>
    </row>
    <row r="1206" spans="1:10" x14ac:dyDescent="0.3">
      <c r="A1206" s="12">
        <f t="shared" si="72"/>
        <v>5101003</v>
      </c>
      <c r="B1206" s="12">
        <v>3</v>
      </c>
      <c r="C1206" s="12" t="s">
        <v>401</v>
      </c>
      <c r="D1206" s="12">
        <v>5</v>
      </c>
      <c r="E1206" s="12">
        <v>1</v>
      </c>
      <c r="F1206" s="12">
        <v>1</v>
      </c>
      <c r="G1206" s="12" t="s">
        <v>208</v>
      </c>
      <c r="H1206" s="12">
        <f t="shared" si="73"/>
        <v>5101</v>
      </c>
      <c r="I1206" s="12">
        <v>7000125</v>
      </c>
      <c r="J1206" s="12">
        <v>20000</v>
      </c>
    </row>
    <row r="1207" spans="1:10" x14ac:dyDescent="0.3">
      <c r="A1207" s="12">
        <f t="shared" si="72"/>
        <v>5101004</v>
      </c>
      <c r="B1207" s="12">
        <v>4</v>
      </c>
      <c r="C1207" s="12" t="s">
        <v>340</v>
      </c>
      <c r="D1207" s="12">
        <v>5</v>
      </c>
      <c r="E1207" s="12">
        <v>1</v>
      </c>
      <c r="F1207" s="12">
        <v>1</v>
      </c>
      <c r="G1207" s="12" t="s">
        <v>223</v>
      </c>
      <c r="H1207" s="12">
        <f t="shared" si="73"/>
        <v>5101</v>
      </c>
      <c r="I1207" s="12">
        <v>7000126</v>
      </c>
      <c r="J1207" s="12">
        <v>15000</v>
      </c>
    </row>
    <row r="1208" spans="1:10" x14ac:dyDescent="0.3">
      <c r="A1208" s="12">
        <f t="shared" si="72"/>
        <v>5101005</v>
      </c>
      <c r="B1208" s="12">
        <v>5</v>
      </c>
      <c r="C1208" s="12" t="s">
        <v>341</v>
      </c>
      <c r="D1208" s="12">
        <v>5</v>
      </c>
      <c r="E1208" s="12">
        <v>1</v>
      </c>
      <c r="F1208" s="12">
        <v>1</v>
      </c>
      <c r="G1208" s="12" t="s">
        <v>223</v>
      </c>
      <c r="H1208" s="12">
        <f t="shared" si="73"/>
        <v>5101</v>
      </c>
      <c r="I1208" s="12">
        <v>7000127</v>
      </c>
      <c r="J1208" s="12">
        <v>15000</v>
      </c>
    </row>
    <row r="1209" spans="1:10" x14ac:dyDescent="0.3">
      <c r="A1209" s="12">
        <f t="shared" si="72"/>
        <v>5101006</v>
      </c>
      <c r="B1209" s="12">
        <v>6</v>
      </c>
      <c r="C1209" s="12" t="s">
        <v>342</v>
      </c>
      <c r="D1209" s="12">
        <v>5</v>
      </c>
      <c r="E1209" s="12">
        <v>1</v>
      </c>
      <c r="F1209" s="12">
        <v>1</v>
      </c>
      <c r="G1209" s="12" t="s">
        <v>222</v>
      </c>
      <c r="H1209" s="12">
        <f t="shared" si="73"/>
        <v>5101</v>
      </c>
      <c r="I1209" s="12">
        <v>7000129</v>
      </c>
      <c r="J1209" s="12">
        <v>10000</v>
      </c>
    </row>
    <row r="1210" spans="1:10" x14ac:dyDescent="0.3">
      <c r="A1210" s="12">
        <f t="shared" si="72"/>
        <v>5101007</v>
      </c>
      <c r="B1210" s="12">
        <v>7</v>
      </c>
      <c r="C1210" s="12" t="s">
        <v>343</v>
      </c>
      <c r="D1210" s="12">
        <v>5</v>
      </c>
      <c r="E1210" s="12">
        <v>1</v>
      </c>
      <c r="F1210" s="12">
        <v>1</v>
      </c>
      <c r="G1210" s="12" t="s">
        <v>222</v>
      </c>
      <c r="H1210" s="12">
        <f t="shared" si="73"/>
        <v>5101</v>
      </c>
      <c r="I1210" s="12">
        <v>7000130</v>
      </c>
      <c r="J1210" s="12">
        <v>10000</v>
      </c>
    </row>
    <row r="1211" spans="1:10" x14ac:dyDescent="0.3">
      <c r="A1211" s="12">
        <f t="shared" si="72"/>
        <v>5101008</v>
      </c>
      <c r="B1211" s="12">
        <v>8</v>
      </c>
      <c r="C1211" s="12" t="s">
        <v>344</v>
      </c>
      <c r="D1211" s="12">
        <v>5</v>
      </c>
      <c r="E1211" s="12">
        <v>1</v>
      </c>
      <c r="F1211" s="12">
        <v>1</v>
      </c>
      <c r="G1211" s="12" t="s">
        <v>211</v>
      </c>
      <c r="H1211" s="12">
        <f t="shared" si="73"/>
        <v>5101</v>
      </c>
      <c r="I1211" s="12">
        <v>7000163</v>
      </c>
      <c r="J1211" s="12">
        <v>2000</v>
      </c>
    </row>
    <row r="1212" spans="1:10" x14ac:dyDescent="0.3">
      <c r="A1212" s="12">
        <f t="shared" si="72"/>
        <v>5101009</v>
      </c>
      <c r="B1212" s="12">
        <v>9</v>
      </c>
      <c r="C1212" s="12" t="s">
        <v>402</v>
      </c>
      <c r="D1212" s="12">
        <v>5</v>
      </c>
      <c r="E1212" s="12">
        <v>1</v>
      </c>
      <c r="F1212" s="12">
        <v>1</v>
      </c>
      <c r="G1212" s="12" t="s">
        <v>212</v>
      </c>
      <c r="H1212" s="12">
        <f t="shared" si="73"/>
        <v>5101</v>
      </c>
      <c r="I1212" s="12">
        <v>7000172</v>
      </c>
      <c r="J1212" s="12">
        <v>500</v>
      </c>
    </row>
    <row r="1213" spans="1:10" x14ac:dyDescent="0.3">
      <c r="A1213" s="12">
        <f t="shared" si="72"/>
        <v>5101010</v>
      </c>
      <c r="B1213" s="12">
        <v>10</v>
      </c>
      <c r="C1213" s="12" t="s">
        <v>345</v>
      </c>
      <c r="D1213" s="12">
        <v>5</v>
      </c>
      <c r="E1213" s="12">
        <v>1</v>
      </c>
      <c r="F1213" s="12">
        <v>1</v>
      </c>
      <c r="G1213" s="12" t="s">
        <v>213</v>
      </c>
      <c r="H1213" s="12">
        <f t="shared" si="73"/>
        <v>5101</v>
      </c>
      <c r="I1213" s="12">
        <v>7000174</v>
      </c>
      <c r="J1213" s="12">
        <v>100</v>
      </c>
    </row>
    <row r="1214" spans="1:10" x14ac:dyDescent="0.3">
      <c r="A1214" s="12">
        <f t="shared" si="72"/>
        <v>5102001</v>
      </c>
      <c r="B1214" s="12">
        <v>1</v>
      </c>
      <c r="C1214" s="12" t="str">
        <f>C1204</f>
        <v>투쟁심</v>
      </c>
      <c r="D1214" s="12">
        <v>5</v>
      </c>
      <c r="E1214" s="12">
        <v>1</v>
      </c>
      <c r="F1214" s="12">
        <v>2</v>
      </c>
      <c r="G1214" s="12" t="s">
        <v>208</v>
      </c>
      <c r="H1214" s="12">
        <f t="shared" si="73"/>
        <v>5102</v>
      </c>
      <c r="I1214" s="12">
        <v>7000101</v>
      </c>
      <c r="J1214" s="12">
        <v>18000</v>
      </c>
    </row>
    <row r="1215" spans="1:10" x14ac:dyDescent="0.3">
      <c r="A1215" s="12">
        <f t="shared" si="72"/>
        <v>5102002</v>
      </c>
      <c r="B1215" s="12">
        <v>2</v>
      </c>
      <c r="C1215" s="12" t="str">
        <f t="shared" ref="C1215:C1263" si="74">C1205</f>
        <v>극의 해방</v>
      </c>
      <c r="D1215" s="12">
        <v>5</v>
      </c>
      <c r="E1215" s="12">
        <v>1</v>
      </c>
      <c r="F1215" s="12">
        <v>2</v>
      </c>
      <c r="G1215" s="12" t="s">
        <v>208</v>
      </c>
      <c r="H1215" s="12">
        <f t="shared" si="73"/>
        <v>5102</v>
      </c>
      <c r="I1215" s="12">
        <v>7000108</v>
      </c>
      <c r="J1215" s="12">
        <v>18000</v>
      </c>
    </row>
    <row r="1216" spans="1:10" x14ac:dyDescent="0.3">
      <c r="A1216" s="12">
        <f t="shared" si="72"/>
        <v>5102003</v>
      </c>
      <c r="B1216" s="12">
        <v>3</v>
      </c>
      <c r="C1216" s="12" t="str">
        <f t="shared" si="74"/>
        <v>증오</v>
      </c>
      <c r="D1216" s="12">
        <v>5</v>
      </c>
      <c r="E1216" s="12">
        <v>1</v>
      </c>
      <c r="F1216" s="12">
        <v>2</v>
      </c>
      <c r="G1216" s="12" t="s">
        <v>208</v>
      </c>
      <c r="H1216" s="12">
        <f t="shared" si="73"/>
        <v>5102</v>
      </c>
      <c r="I1216" s="12">
        <v>7000125</v>
      </c>
      <c r="J1216" s="12">
        <v>18000</v>
      </c>
    </row>
    <row r="1217" spans="1:10" x14ac:dyDescent="0.3">
      <c r="A1217" s="12">
        <f t="shared" si="72"/>
        <v>5102004</v>
      </c>
      <c r="B1217" s="12">
        <v>4</v>
      </c>
      <c r="C1217" s="12" t="str">
        <f t="shared" si="74"/>
        <v>격노</v>
      </c>
      <c r="D1217" s="12">
        <v>5</v>
      </c>
      <c r="E1217" s="12">
        <v>1</v>
      </c>
      <c r="F1217" s="12">
        <v>2</v>
      </c>
      <c r="G1217" s="12" t="s">
        <v>209</v>
      </c>
      <c r="H1217" s="12">
        <f t="shared" si="73"/>
        <v>5102</v>
      </c>
      <c r="I1217" s="12">
        <v>7000126</v>
      </c>
      <c r="J1217" s="12">
        <v>14500</v>
      </c>
    </row>
    <row r="1218" spans="1:10" x14ac:dyDescent="0.3">
      <c r="A1218" s="12">
        <f t="shared" si="72"/>
        <v>5102005</v>
      </c>
      <c r="B1218" s="12">
        <v>5</v>
      </c>
      <c r="C1218" s="12" t="str">
        <f t="shared" si="74"/>
        <v>광분</v>
      </c>
      <c r="D1218" s="12">
        <v>5</v>
      </c>
      <c r="E1218" s="12">
        <v>1</v>
      </c>
      <c r="F1218" s="12">
        <v>2</v>
      </c>
      <c r="G1218" s="12" t="s">
        <v>209</v>
      </c>
      <c r="H1218" s="12">
        <f t="shared" si="73"/>
        <v>5102</v>
      </c>
      <c r="I1218" s="12">
        <v>7000127</v>
      </c>
      <c r="J1218" s="12">
        <v>14500</v>
      </c>
    </row>
    <row r="1219" spans="1:10" x14ac:dyDescent="0.3">
      <c r="A1219" s="12">
        <f t="shared" si="72"/>
        <v>5102006</v>
      </c>
      <c r="B1219" s="12">
        <v>6</v>
      </c>
      <c r="C1219" s="12" t="str">
        <f t="shared" si="74"/>
        <v>다혈질</v>
      </c>
      <c r="D1219" s="12">
        <v>5</v>
      </c>
      <c r="E1219" s="12">
        <v>1</v>
      </c>
      <c r="F1219" s="12">
        <v>2</v>
      </c>
      <c r="G1219" s="12" t="s">
        <v>210</v>
      </c>
      <c r="H1219" s="12">
        <f t="shared" si="73"/>
        <v>5102</v>
      </c>
      <c r="I1219" s="12">
        <v>7000129</v>
      </c>
      <c r="J1219" s="12">
        <v>9500</v>
      </c>
    </row>
    <row r="1220" spans="1:10" x14ac:dyDescent="0.3">
      <c r="A1220" s="12">
        <f t="shared" si="72"/>
        <v>5102007</v>
      </c>
      <c r="B1220" s="12">
        <v>7</v>
      </c>
      <c r="C1220" s="12" t="str">
        <f t="shared" si="74"/>
        <v>광폭화</v>
      </c>
      <c r="D1220" s="12">
        <v>5</v>
      </c>
      <c r="E1220" s="12">
        <v>1</v>
      </c>
      <c r="F1220" s="12">
        <v>2</v>
      </c>
      <c r="G1220" s="12" t="s">
        <v>210</v>
      </c>
      <c r="H1220" s="12">
        <f t="shared" si="73"/>
        <v>5102</v>
      </c>
      <c r="I1220" s="12">
        <v>7000130</v>
      </c>
      <c r="J1220" s="12">
        <v>9500</v>
      </c>
    </row>
    <row r="1221" spans="1:10" x14ac:dyDescent="0.3">
      <c r="A1221" s="12">
        <f t="shared" si="72"/>
        <v>5102008</v>
      </c>
      <c r="B1221" s="12">
        <v>8</v>
      </c>
      <c r="C1221" s="12" t="str">
        <f t="shared" si="74"/>
        <v>독기</v>
      </c>
      <c r="D1221" s="12">
        <v>5</v>
      </c>
      <c r="E1221" s="12">
        <v>1</v>
      </c>
      <c r="F1221" s="12">
        <v>2</v>
      </c>
      <c r="G1221" s="12" t="s">
        <v>211</v>
      </c>
      <c r="H1221" s="12">
        <f t="shared" si="73"/>
        <v>5102</v>
      </c>
      <c r="I1221" s="12">
        <v>7000163</v>
      </c>
      <c r="J1221" s="12">
        <v>1900</v>
      </c>
    </row>
    <row r="1222" spans="1:10" x14ac:dyDescent="0.3">
      <c r="A1222" s="12">
        <f t="shared" si="72"/>
        <v>5102009</v>
      </c>
      <c r="B1222" s="12">
        <v>9</v>
      </c>
      <c r="C1222" s="12" t="str">
        <f t="shared" si="74"/>
        <v>원한</v>
      </c>
      <c r="D1222" s="12">
        <v>5</v>
      </c>
      <c r="E1222" s="12">
        <v>1</v>
      </c>
      <c r="F1222" s="12">
        <v>2</v>
      </c>
      <c r="G1222" s="12" t="s">
        <v>212</v>
      </c>
      <c r="H1222" s="12">
        <f t="shared" si="73"/>
        <v>5102</v>
      </c>
      <c r="I1222" s="12">
        <v>7000172</v>
      </c>
      <c r="J1222" s="12">
        <v>500</v>
      </c>
    </row>
    <row r="1223" spans="1:10" x14ac:dyDescent="0.3">
      <c r="A1223" s="12">
        <f t="shared" si="72"/>
        <v>5102010</v>
      </c>
      <c r="B1223" s="12">
        <v>10</v>
      </c>
      <c r="C1223" s="12" t="str">
        <f t="shared" si="74"/>
        <v>자기연소</v>
      </c>
      <c r="D1223" s="12">
        <v>5</v>
      </c>
      <c r="E1223" s="12">
        <v>1</v>
      </c>
      <c r="F1223" s="12">
        <v>2</v>
      </c>
      <c r="G1223" s="12" t="s">
        <v>213</v>
      </c>
      <c r="H1223" s="12">
        <f t="shared" si="73"/>
        <v>5102</v>
      </c>
      <c r="I1223" s="12">
        <v>7000174</v>
      </c>
      <c r="J1223" s="12">
        <v>100</v>
      </c>
    </row>
    <row r="1224" spans="1:10" x14ac:dyDescent="0.3">
      <c r="A1224" s="12">
        <f t="shared" si="72"/>
        <v>5103001</v>
      </c>
      <c r="B1224" s="12">
        <v>1</v>
      </c>
      <c r="C1224" s="12" t="str">
        <f>C1214</f>
        <v>투쟁심</v>
      </c>
      <c r="D1224" s="12">
        <v>5</v>
      </c>
      <c r="E1224" s="12">
        <v>1</v>
      </c>
      <c r="F1224" s="12">
        <v>3</v>
      </c>
      <c r="G1224" s="12" t="s">
        <v>208</v>
      </c>
      <c r="H1224" s="12">
        <f t="shared" si="73"/>
        <v>5103</v>
      </c>
      <c r="I1224" s="12">
        <v>7000101</v>
      </c>
      <c r="J1224" s="12">
        <v>16000</v>
      </c>
    </row>
    <row r="1225" spans="1:10" x14ac:dyDescent="0.3">
      <c r="A1225" s="12">
        <f t="shared" si="72"/>
        <v>5103002</v>
      </c>
      <c r="B1225" s="12">
        <v>2</v>
      </c>
      <c r="C1225" s="12" t="str">
        <f t="shared" si="74"/>
        <v>극의 해방</v>
      </c>
      <c r="D1225" s="12">
        <v>5</v>
      </c>
      <c r="E1225" s="12">
        <v>1</v>
      </c>
      <c r="F1225" s="12">
        <v>3</v>
      </c>
      <c r="G1225" s="12" t="s">
        <v>208</v>
      </c>
      <c r="H1225" s="12">
        <f t="shared" si="73"/>
        <v>5103</v>
      </c>
      <c r="I1225" s="12">
        <v>7000108</v>
      </c>
      <c r="J1225" s="12">
        <v>16000</v>
      </c>
    </row>
    <row r="1226" spans="1:10" x14ac:dyDescent="0.3">
      <c r="A1226" s="12">
        <f t="shared" si="72"/>
        <v>5103003</v>
      </c>
      <c r="B1226" s="12">
        <v>3</v>
      </c>
      <c r="C1226" s="12" t="str">
        <f t="shared" si="74"/>
        <v>증오</v>
      </c>
      <c r="D1226" s="12">
        <v>5</v>
      </c>
      <c r="E1226" s="12">
        <v>1</v>
      </c>
      <c r="F1226" s="12">
        <v>3</v>
      </c>
      <c r="G1226" s="12" t="s">
        <v>208</v>
      </c>
      <c r="H1226" s="12">
        <f t="shared" si="73"/>
        <v>5103</v>
      </c>
      <c r="I1226" s="12">
        <v>7000125</v>
      </c>
      <c r="J1226" s="12">
        <v>16000</v>
      </c>
    </row>
    <row r="1227" spans="1:10" x14ac:dyDescent="0.3">
      <c r="A1227" s="12">
        <f t="shared" si="72"/>
        <v>5103004</v>
      </c>
      <c r="B1227" s="12">
        <v>4</v>
      </c>
      <c r="C1227" s="12" t="str">
        <f t="shared" si="74"/>
        <v>격노</v>
      </c>
      <c r="D1227" s="12">
        <v>5</v>
      </c>
      <c r="E1227" s="12">
        <v>1</v>
      </c>
      <c r="F1227" s="12">
        <v>3</v>
      </c>
      <c r="G1227" s="12" t="s">
        <v>209</v>
      </c>
      <c r="H1227" s="12">
        <f t="shared" si="73"/>
        <v>5103</v>
      </c>
      <c r="I1227" s="12">
        <v>7000126</v>
      </c>
      <c r="J1227" s="12">
        <v>14000</v>
      </c>
    </row>
    <row r="1228" spans="1:10" x14ac:dyDescent="0.3">
      <c r="A1228" s="12">
        <f t="shared" si="72"/>
        <v>5103005</v>
      </c>
      <c r="B1228" s="12">
        <v>5</v>
      </c>
      <c r="C1228" s="12" t="str">
        <f t="shared" si="74"/>
        <v>광분</v>
      </c>
      <c r="D1228" s="12">
        <v>5</v>
      </c>
      <c r="E1228" s="12">
        <v>1</v>
      </c>
      <c r="F1228" s="12">
        <v>3</v>
      </c>
      <c r="G1228" s="12" t="s">
        <v>209</v>
      </c>
      <c r="H1228" s="12">
        <f t="shared" si="73"/>
        <v>5103</v>
      </c>
      <c r="I1228" s="12">
        <v>7000127</v>
      </c>
      <c r="J1228" s="12">
        <v>14000</v>
      </c>
    </row>
    <row r="1229" spans="1:10" x14ac:dyDescent="0.3">
      <c r="A1229" s="12">
        <f t="shared" si="72"/>
        <v>5103006</v>
      </c>
      <c r="B1229" s="12">
        <v>6</v>
      </c>
      <c r="C1229" s="12" t="str">
        <f t="shared" si="74"/>
        <v>다혈질</v>
      </c>
      <c r="D1229" s="12">
        <v>5</v>
      </c>
      <c r="E1229" s="12">
        <v>1</v>
      </c>
      <c r="F1229" s="12">
        <v>3</v>
      </c>
      <c r="G1229" s="12" t="s">
        <v>210</v>
      </c>
      <c r="H1229" s="12">
        <f t="shared" si="73"/>
        <v>5103</v>
      </c>
      <c r="I1229" s="12">
        <v>7000129</v>
      </c>
      <c r="J1229" s="12">
        <v>9000</v>
      </c>
    </row>
    <row r="1230" spans="1:10" x14ac:dyDescent="0.3">
      <c r="A1230" s="12">
        <f t="shared" si="72"/>
        <v>5103007</v>
      </c>
      <c r="B1230" s="12">
        <v>7</v>
      </c>
      <c r="C1230" s="12" t="str">
        <f t="shared" si="74"/>
        <v>광폭화</v>
      </c>
      <c r="D1230" s="12">
        <v>5</v>
      </c>
      <c r="E1230" s="12">
        <v>1</v>
      </c>
      <c r="F1230" s="12">
        <v>3</v>
      </c>
      <c r="G1230" s="12" t="s">
        <v>210</v>
      </c>
      <c r="H1230" s="12">
        <f t="shared" si="73"/>
        <v>5103</v>
      </c>
      <c r="I1230" s="12">
        <v>7000130</v>
      </c>
      <c r="J1230" s="12">
        <v>9000</v>
      </c>
    </row>
    <row r="1231" spans="1:10" x14ac:dyDescent="0.3">
      <c r="A1231" s="12">
        <f t="shared" si="72"/>
        <v>5103008</v>
      </c>
      <c r="B1231" s="12">
        <v>8</v>
      </c>
      <c r="C1231" s="12" t="str">
        <f t="shared" si="74"/>
        <v>독기</v>
      </c>
      <c r="D1231" s="12">
        <v>5</v>
      </c>
      <c r="E1231" s="12">
        <v>1</v>
      </c>
      <c r="F1231" s="12">
        <v>3</v>
      </c>
      <c r="G1231" s="12" t="s">
        <v>211</v>
      </c>
      <c r="H1231" s="12">
        <f t="shared" si="73"/>
        <v>5103</v>
      </c>
      <c r="I1231" s="12">
        <v>7000163</v>
      </c>
      <c r="J1231" s="12">
        <v>1800</v>
      </c>
    </row>
    <row r="1232" spans="1:10" x14ac:dyDescent="0.3">
      <c r="A1232" s="12">
        <f t="shared" si="72"/>
        <v>5103009</v>
      </c>
      <c r="B1232" s="12">
        <v>9</v>
      </c>
      <c r="C1232" s="12" t="str">
        <f t="shared" si="74"/>
        <v>원한</v>
      </c>
      <c r="D1232" s="12">
        <v>5</v>
      </c>
      <c r="E1232" s="12">
        <v>1</v>
      </c>
      <c r="F1232" s="12">
        <v>3</v>
      </c>
      <c r="G1232" s="12" t="s">
        <v>212</v>
      </c>
      <c r="H1232" s="12">
        <f t="shared" si="73"/>
        <v>5103</v>
      </c>
      <c r="I1232" s="12">
        <v>7000172</v>
      </c>
      <c r="J1232" s="12">
        <v>500</v>
      </c>
    </row>
    <row r="1233" spans="1:10" x14ac:dyDescent="0.3">
      <c r="A1233" s="12">
        <f t="shared" si="72"/>
        <v>5103010</v>
      </c>
      <c r="B1233" s="12">
        <v>10</v>
      </c>
      <c r="C1233" s="12" t="str">
        <f t="shared" si="74"/>
        <v>자기연소</v>
      </c>
      <c r="D1233" s="12">
        <v>5</v>
      </c>
      <c r="E1233" s="12">
        <v>1</v>
      </c>
      <c r="F1233" s="12">
        <v>3</v>
      </c>
      <c r="G1233" s="12" t="s">
        <v>213</v>
      </c>
      <c r="H1233" s="12">
        <f t="shared" si="73"/>
        <v>5103</v>
      </c>
      <c r="I1233" s="12">
        <v>7000174</v>
      </c>
      <c r="J1233" s="12">
        <v>100</v>
      </c>
    </row>
    <row r="1234" spans="1:10" x14ac:dyDescent="0.3">
      <c r="A1234" s="12">
        <f t="shared" si="72"/>
        <v>5104001</v>
      </c>
      <c r="B1234" s="12">
        <v>1</v>
      </c>
      <c r="C1234" s="12" t="str">
        <f>C1224</f>
        <v>투쟁심</v>
      </c>
      <c r="D1234" s="12">
        <v>5</v>
      </c>
      <c r="E1234" s="12">
        <v>1</v>
      </c>
      <c r="F1234" s="12">
        <v>4</v>
      </c>
      <c r="G1234" s="12" t="s">
        <v>208</v>
      </c>
      <c r="H1234" s="12">
        <f t="shared" si="73"/>
        <v>5104</v>
      </c>
      <c r="I1234" s="12">
        <v>7000101</v>
      </c>
      <c r="J1234" s="12">
        <v>14000</v>
      </c>
    </row>
    <row r="1235" spans="1:10" x14ac:dyDescent="0.3">
      <c r="A1235" s="12">
        <f t="shared" si="72"/>
        <v>5104002</v>
      </c>
      <c r="B1235" s="12">
        <v>2</v>
      </c>
      <c r="C1235" s="12" t="str">
        <f t="shared" si="74"/>
        <v>극의 해방</v>
      </c>
      <c r="D1235" s="12">
        <v>5</v>
      </c>
      <c r="E1235" s="12">
        <v>1</v>
      </c>
      <c r="F1235" s="12">
        <v>4</v>
      </c>
      <c r="G1235" s="12" t="s">
        <v>208</v>
      </c>
      <c r="H1235" s="12">
        <f t="shared" si="73"/>
        <v>5104</v>
      </c>
      <c r="I1235" s="12">
        <v>7000108</v>
      </c>
      <c r="J1235" s="12">
        <v>14000</v>
      </c>
    </row>
    <row r="1236" spans="1:10" x14ac:dyDescent="0.3">
      <c r="A1236" s="12">
        <f t="shared" si="72"/>
        <v>5104003</v>
      </c>
      <c r="B1236" s="12">
        <v>3</v>
      </c>
      <c r="C1236" s="12" t="str">
        <f t="shared" si="74"/>
        <v>증오</v>
      </c>
      <c r="D1236" s="12">
        <v>5</v>
      </c>
      <c r="E1236" s="12">
        <v>1</v>
      </c>
      <c r="F1236" s="12">
        <v>4</v>
      </c>
      <c r="G1236" s="12" t="s">
        <v>208</v>
      </c>
      <c r="H1236" s="12">
        <f t="shared" si="73"/>
        <v>5104</v>
      </c>
      <c r="I1236" s="12">
        <v>7000125</v>
      </c>
      <c r="J1236" s="12">
        <v>14000</v>
      </c>
    </row>
    <row r="1237" spans="1:10" x14ac:dyDescent="0.3">
      <c r="A1237" s="12">
        <f t="shared" si="72"/>
        <v>5104004</v>
      </c>
      <c r="B1237" s="12">
        <v>4</v>
      </c>
      <c r="C1237" s="12" t="str">
        <f t="shared" si="74"/>
        <v>격노</v>
      </c>
      <c r="D1237" s="12">
        <v>5</v>
      </c>
      <c r="E1237" s="12">
        <v>1</v>
      </c>
      <c r="F1237" s="12">
        <v>4</v>
      </c>
      <c r="G1237" s="12" t="s">
        <v>209</v>
      </c>
      <c r="H1237" s="12">
        <f t="shared" si="73"/>
        <v>5104</v>
      </c>
      <c r="I1237" s="12">
        <v>7000126</v>
      </c>
      <c r="J1237" s="12">
        <v>13500</v>
      </c>
    </row>
    <row r="1238" spans="1:10" x14ac:dyDescent="0.3">
      <c r="A1238" s="12">
        <f t="shared" si="72"/>
        <v>5104005</v>
      </c>
      <c r="B1238" s="12">
        <v>5</v>
      </c>
      <c r="C1238" s="12" t="str">
        <f t="shared" si="74"/>
        <v>광분</v>
      </c>
      <c r="D1238" s="12">
        <v>5</v>
      </c>
      <c r="E1238" s="12">
        <v>1</v>
      </c>
      <c r="F1238" s="12">
        <v>4</v>
      </c>
      <c r="G1238" s="12" t="s">
        <v>209</v>
      </c>
      <c r="H1238" s="12">
        <f t="shared" si="73"/>
        <v>5104</v>
      </c>
      <c r="I1238" s="12">
        <v>7000127</v>
      </c>
      <c r="J1238" s="12">
        <v>13500</v>
      </c>
    </row>
    <row r="1239" spans="1:10" x14ac:dyDescent="0.3">
      <c r="A1239" s="12">
        <f t="shared" si="72"/>
        <v>5104006</v>
      </c>
      <c r="B1239" s="12">
        <v>6</v>
      </c>
      <c r="C1239" s="12" t="str">
        <f t="shared" si="74"/>
        <v>다혈질</v>
      </c>
      <c r="D1239" s="12">
        <v>5</v>
      </c>
      <c r="E1239" s="12">
        <v>1</v>
      </c>
      <c r="F1239" s="12">
        <v>4</v>
      </c>
      <c r="G1239" s="12" t="s">
        <v>210</v>
      </c>
      <c r="H1239" s="12">
        <f t="shared" si="73"/>
        <v>5104</v>
      </c>
      <c r="I1239" s="12">
        <v>7000129</v>
      </c>
      <c r="J1239" s="12">
        <v>8500</v>
      </c>
    </row>
    <row r="1240" spans="1:10" x14ac:dyDescent="0.3">
      <c r="A1240" s="12">
        <f t="shared" si="72"/>
        <v>5104007</v>
      </c>
      <c r="B1240" s="12">
        <v>7</v>
      </c>
      <c r="C1240" s="12" t="str">
        <f t="shared" si="74"/>
        <v>광폭화</v>
      </c>
      <c r="D1240" s="12">
        <v>5</v>
      </c>
      <c r="E1240" s="12">
        <v>1</v>
      </c>
      <c r="F1240" s="12">
        <v>4</v>
      </c>
      <c r="G1240" s="12" t="s">
        <v>210</v>
      </c>
      <c r="H1240" s="12">
        <f t="shared" si="73"/>
        <v>5104</v>
      </c>
      <c r="I1240" s="12">
        <v>7000130</v>
      </c>
      <c r="J1240" s="12">
        <v>8500</v>
      </c>
    </row>
    <row r="1241" spans="1:10" x14ac:dyDescent="0.3">
      <c r="A1241" s="12">
        <f t="shared" si="72"/>
        <v>5104008</v>
      </c>
      <c r="B1241" s="12">
        <v>8</v>
      </c>
      <c r="C1241" s="12" t="str">
        <f t="shared" si="74"/>
        <v>독기</v>
      </c>
      <c r="D1241" s="12">
        <v>5</v>
      </c>
      <c r="E1241" s="12">
        <v>1</v>
      </c>
      <c r="F1241" s="12">
        <v>4</v>
      </c>
      <c r="G1241" s="12" t="s">
        <v>211</v>
      </c>
      <c r="H1241" s="12">
        <f t="shared" si="73"/>
        <v>5104</v>
      </c>
      <c r="I1241" s="12">
        <v>7000163</v>
      </c>
      <c r="J1241" s="12">
        <v>1700</v>
      </c>
    </row>
    <row r="1242" spans="1:10" x14ac:dyDescent="0.3">
      <c r="A1242" s="12">
        <f t="shared" si="72"/>
        <v>5104009</v>
      </c>
      <c r="B1242" s="12">
        <v>9</v>
      </c>
      <c r="C1242" s="12" t="str">
        <f t="shared" si="74"/>
        <v>원한</v>
      </c>
      <c r="D1242" s="12">
        <v>5</v>
      </c>
      <c r="E1242" s="12">
        <v>1</v>
      </c>
      <c r="F1242" s="12">
        <v>4</v>
      </c>
      <c r="G1242" s="12" t="s">
        <v>212</v>
      </c>
      <c r="H1242" s="12">
        <f t="shared" si="73"/>
        <v>5104</v>
      </c>
      <c r="I1242" s="12">
        <v>7000172</v>
      </c>
      <c r="J1242" s="12">
        <v>500</v>
      </c>
    </row>
    <row r="1243" spans="1:10" x14ac:dyDescent="0.3">
      <c r="A1243" s="12">
        <f t="shared" si="72"/>
        <v>5104010</v>
      </c>
      <c r="B1243" s="12">
        <v>10</v>
      </c>
      <c r="C1243" s="12" t="str">
        <f t="shared" si="74"/>
        <v>자기연소</v>
      </c>
      <c r="D1243" s="12">
        <v>5</v>
      </c>
      <c r="E1243" s="12">
        <v>1</v>
      </c>
      <c r="F1243" s="12">
        <v>4</v>
      </c>
      <c r="G1243" s="12" t="s">
        <v>213</v>
      </c>
      <c r="H1243" s="12">
        <f t="shared" si="73"/>
        <v>5104</v>
      </c>
      <c r="I1243" s="12">
        <v>7000174</v>
      </c>
      <c r="J1243" s="12">
        <v>100</v>
      </c>
    </row>
    <row r="1244" spans="1:10" x14ac:dyDescent="0.3">
      <c r="A1244" s="12">
        <f t="shared" si="72"/>
        <v>5105001</v>
      </c>
      <c r="B1244" s="12">
        <v>1</v>
      </c>
      <c r="C1244" s="12" t="str">
        <f>C1234</f>
        <v>투쟁심</v>
      </c>
      <c r="D1244" s="12">
        <v>5</v>
      </c>
      <c r="E1244" s="12">
        <v>1</v>
      </c>
      <c r="F1244" s="12">
        <v>5</v>
      </c>
      <c r="G1244" s="12" t="s">
        <v>208</v>
      </c>
      <c r="H1244" s="12">
        <f t="shared" si="73"/>
        <v>5105</v>
      </c>
      <c r="I1244" s="12">
        <v>7000101</v>
      </c>
      <c r="J1244" s="12">
        <v>12000</v>
      </c>
    </row>
    <row r="1245" spans="1:10" x14ac:dyDescent="0.3">
      <c r="A1245" s="12">
        <f t="shared" si="72"/>
        <v>5105002</v>
      </c>
      <c r="B1245" s="12">
        <v>2</v>
      </c>
      <c r="C1245" s="12" t="str">
        <f t="shared" si="74"/>
        <v>극의 해방</v>
      </c>
      <c r="D1245" s="12">
        <v>5</v>
      </c>
      <c r="E1245" s="12">
        <v>1</v>
      </c>
      <c r="F1245" s="12">
        <v>5</v>
      </c>
      <c r="G1245" s="12" t="s">
        <v>208</v>
      </c>
      <c r="H1245" s="12">
        <f t="shared" si="73"/>
        <v>5105</v>
      </c>
      <c r="I1245" s="12">
        <v>7000108</v>
      </c>
      <c r="J1245" s="12">
        <v>12000</v>
      </c>
    </row>
    <row r="1246" spans="1:10" x14ac:dyDescent="0.3">
      <c r="A1246" s="12">
        <f t="shared" si="72"/>
        <v>5105003</v>
      </c>
      <c r="B1246" s="12">
        <v>3</v>
      </c>
      <c r="C1246" s="12" t="str">
        <f t="shared" si="74"/>
        <v>증오</v>
      </c>
      <c r="D1246" s="12">
        <v>5</v>
      </c>
      <c r="E1246" s="12">
        <v>1</v>
      </c>
      <c r="F1246" s="12">
        <v>5</v>
      </c>
      <c r="G1246" s="12" t="s">
        <v>208</v>
      </c>
      <c r="H1246" s="12">
        <f t="shared" si="73"/>
        <v>5105</v>
      </c>
      <c r="I1246" s="12">
        <v>7000125</v>
      </c>
      <c r="J1246" s="12">
        <v>12000</v>
      </c>
    </row>
    <row r="1247" spans="1:10" x14ac:dyDescent="0.3">
      <c r="A1247" s="12">
        <f t="shared" si="72"/>
        <v>5105004</v>
      </c>
      <c r="B1247" s="12">
        <v>4</v>
      </c>
      <c r="C1247" s="12" t="str">
        <f t="shared" si="74"/>
        <v>격노</v>
      </c>
      <c r="D1247" s="12">
        <v>5</v>
      </c>
      <c r="E1247" s="12">
        <v>1</v>
      </c>
      <c r="F1247" s="12">
        <v>5</v>
      </c>
      <c r="G1247" s="12" t="s">
        <v>209</v>
      </c>
      <c r="H1247" s="12">
        <f t="shared" si="73"/>
        <v>5105</v>
      </c>
      <c r="I1247" s="12">
        <v>7000126</v>
      </c>
      <c r="J1247" s="12">
        <v>13000</v>
      </c>
    </row>
    <row r="1248" spans="1:10" x14ac:dyDescent="0.3">
      <c r="A1248" s="12">
        <f t="shared" si="72"/>
        <v>5105005</v>
      </c>
      <c r="B1248" s="12">
        <v>5</v>
      </c>
      <c r="C1248" s="12" t="str">
        <f t="shared" si="74"/>
        <v>광분</v>
      </c>
      <c r="D1248" s="12">
        <v>5</v>
      </c>
      <c r="E1248" s="12">
        <v>1</v>
      </c>
      <c r="F1248" s="12">
        <v>5</v>
      </c>
      <c r="G1248" s="12" t="s">
        <v>209</v>
      </c>
      <c r="H1248" s="12">
        <f t="shared" si="73"/>
        <v>5105</v>
      </c>
      <c r="I1248" s="12">
        <v>7000127</v>
      </c>
      <c r="J1248" s="12">
        <v>13000</v>
      </c>
    </row>
    <row r="1249" spans="1:10" x14ac:dyDescent="0.3">
      <c r="A1249" s="12">
        <f t="shared" si="72"/>
        <v>5105006</v>
      </c>
      <c r="B1249" s="12">
        <v>6</v>
      </c>
      <c r="C1249" s="12" t="str">
        <f t="shared" si="74"/>
        <v>다혈질</v>
      </c>
      <c r="D1249" s="12">
        <v>5</v>
      </c>
      <c r="E1249" s="12">
        <v>1</v>
      </c>
      <c r="F1249" s="12">
        <v>5</v>
      </c>
      <c r="G1249" s="12" t="s">
        <v>210</v>
      </c>
      <c r="H1249" s="12">
        <f t="shared" si="73"/>
        <v>5105</v>
      </c>
      <c r="I1249" s="12">
        <v>7000129</v>
      </c>
      <c r="J1249" s="12">
        <v>8000</v>
      </c>
    </row>
    <row r="1250" spans="1:10" x14ac:dyDescent="0.3">
      <c r="A1250" s="12">
        <f t="shared" si="72"/>
        <v>5105007</v>
      </c>
      <c r="B1250" s="12">
        <v>7</v>
      </c>
      <c r="C1250" s="12" t="str">
        <f t="shared" si="74"/>
        <v>광폭화</v>
      </c>
      <c r="D1250" s="12">
        <v>5</v>
      </c>
      <c r="E1250" s="12">
        <v>1</v>
      </c>
      <c r="F1250" s="12">
        <v>5</v>
      </c>
      <c r="G1250" s="12" t="s">
        <v>210</v>
      </c>
      <c r="H1250" s="12">
        <f t="shared" si="73"/>
        <v>5105</v>
      </c>
      <c r="I1250" s="12">
        <v>7000130</v>
      </c>
      <c r="J1250" s="12">
        <v>8000</v>
      </c>
    </row>
    <row r="1251" spans="1:10" x14ac:dyDescent="0.3">
      <c r="A1251" s="12">
        <f t="shared" si="72"/>
        <v>5105008</v>
      </c>
      <c r="B1251" s="12">
        <v>8</v>
      </c>
      <c r="C1251" s="12" t="str">
        <f t="shared" si="74"/>
        <v>독기</v>
      </c>
      <c r="D1251" s="12">
        <v>5</v>
      </c>
      <c r="E1251" s="12">
        <v>1</v>
      </c>
      <c r="F1251" s="12">
        <v>5</v>
      </c>
      <c r="G1251" s="12" t="s">
        <v>211</v>
      </c>
      <c r="H1251" s="12">
        <f t="shared" si="73"/>
        <v>5105</v>
      </c>
      <c r="I1251" s="12">
        <v>7000163</v>
      </c>
      <c r="J1251" s="12">
        <v>1600</v>
      </c>
    </row>
    <row r="1252" spans="1:10" x14ac:dyDescent="0.3">
      <c r="A1252" s="12">
        <f t="shared" si="72"/>
        <v>5105009</v>
      </c>
      <c r="B1252" s="12">
        <v>9</v>
      </c>
      <c r="C1252" s="12" t="str">
        <f t="shared" si="74"/>
        <v>원한</v>
      </c>
      <c r="D1252" s="12">
        <v>5</v>
      </c>
      <c r="E1252" s="12">
        <v>1</v>
      </c>
      <c r="F1252" s="12">
        <v>5</v>
      </c>
      <c r="G1252" s="12" t="s">
        <v>212</v>
      </c>
      <c r="H1252" s="12">
        <f t="shared" si="73"/>
        <v>5105</v>
      </c>
      <c r="I1252" s="12">
        <v>7000172</v>
      </c>
      <c r="J1252" s="12">
        <v>500</v>
      </c>
    </row>
    <row r="1253" spans="1:10" x14ac:dyDescent="0.3">
      <c r="A1253" s="12">
        <f t="shared" si="72"/>
        <v>5105010</v>
      </c>
      <c r="B1253" s="12">
        <v>10</v>
      </c>
      <c r="C1253" s="12" t="str">
        <f t="shared" si="74"/>
        <v>자기연소</v>
      </c>
      <c r="D1253" s="12">
        <v>5</v>
      </c>
      <c r="E1253" s="12">
        <v>1</v>
      </c>
      <c r="F1253" s="12">
        <v>5</v>
      </c>
      <c r="G1253" s="12" t="s">
        <v>213</v>
      </c>
      <c r="H1253" s="12">
        <f t="shared" si="73"/>
        <v>5105</v>
      </c>
      <c r="I1253" s="12">
        <v>7000174</v>
      </c>
      <c r="J1253" s="12">
        <v>100</v>
      </c>
    </row>
    <row r="1254" spans="1:10" x14ac:dyDescent="0.3">
      <c r="A1254" s="12">
        <f t="shared" si="72"/>
        <v>5106001</v>
      </c>
      <c r="B1254" s="12">
        <v>1</v>
      </c>
      <c r="C1254" s="12" t="str">
        <f>C1244</f>
        <v>투쟁심</v>
      </c>
      <c r="D1254" s="12">
        <v>5</v>
      </c>
      <c r="E1254" s="12">
        <v>1</v>
      </c>
      <c r="F1254" s="12">
        <v>6</v>
      </c>
      <c r="G1254" s="12" t="s">
        <v>208</v>
      </c>
      <c r="H1254" s="12">
        <f t="shared" si="73"/>
        <v>5106</v>
      </c>
      <c r="I1254" s="12">
        <v>7000101</v>
      </c>
      <c r="J1254" s="12">
        <v>10000</v>
      </c>
    </row>
    <row r="1255" spans="1:10" x14ac:dyDescent="0.3">
      <c r="A1255" s="12">
        <f t="shared" si="72"/>
        <v>5106002</v>
      </c>
      <c r="B1255" s="12">
        <v>2</v>
      </c>
      <c r="C1255" s="12" t="str">
        <f t="shared" si="74"/>
        <v>극의 해방</v>
      </c>
      <c r="D1255" s="12">
        <v>5</v>
      </c>
      <c r="E1255" s="12">
        <v>1</v>
      </c>
      <c r="F1255" s="12">
        <v>6</v>
      </c>
      <c r="G1255" s="12" t="s">
        <v>208</v>
      </c>
      <c r="H1255" s="12">
        <f t="shared" si="73"/>
        <v>5106</v>
      </c>
      <c r="I1255" s="12">
        <v>7000108</v>
      </c>
      <c r="J1255" s="12">
        <v>10000</v>
      </c>
    </row>
    <row r="1256" spans="1:10" x14ac:dyDescent="0.3">
      <c r="A1256" s="12">
        <f t="shared" si="72"/>
        <v>5106003</v>
      </c>
      <c r="B1256" s="12">
        <v>3</v>
      </c>
      <c r="C1256" s="12" t="str">
        <f t="shared" si="74"/>
        <v>증오</v>
      </c>
      <c r="D1256" s="12">
        <v>5</v>
      </c>
      <c r="E1256" s="12">
        <v>1</v>
      </c>
      <c r="F1256" s="12">
        <v>6</v>
      </c>
      <c r="G1256" s="12" t="s">
        <v>208</v>
      </c>
      <c r="H1256" s="12">
        <f t="shared" si="73"/>
        <v>5106</v>
      </c>
      <c r="I1256" s="12">
        <v>7000125</v>
      </c>
      <c r="J1256" s="12">
        <v>10000</v>
      </c>
    </row>
    <row r="1257" spans="1:10" x14ac:dyDescent="0.3">
      <c r="A1257" s="12">
        <f t="shared" si="72"/>
        <v>5106004</v>
      </c>
      <c r="B1257" s="12">
        <v>4</v>
      </c>
      <c r="C1257" s="12" t="str">
        <f t="shared" si="74"/>
        <v>격노</v>
      </c>
      <c r="D1257" s="12">
        <v>5</v>
      </c>
      <c r="E1257" s="12">
        <v>1</v>
      </c>
      <c r="F1257" s="12">
        <v>6</v>
      </c>
      <c r="G1257" s="12" t="s">
        <v>209</v>
      </c>
      <c r="H1257" s="12">
        <f t="shared" si="73"/>
        <v>5106</v>
      </c>
      <c r="I1257" s="12">
        <v>7000126</v>
      </c>
      <c r="J1257" s="12">
        <v>12500</v>
      </c>
    </row>
    <row r="1258" spans="1:10" x14ac:dyDescent="0.3">
      <c r="A1258" s="12">
        <f t="shared" si="72"/>
        <v>5106005</v>
      </c>
      <c r="B1258" s="12">
        <v>5</v>
      </c>
      <c r="C1258" s="12" t="str">
        <f t="shared" si="74"/>
        <v>광분</v>
      </c>
      <c r="D1258" s="12">
        <v>5</v>
      </c>
      <c r="E1258" s="12">
        <v>1</v>
      </c>
      <c r="F1258" s="12">
        <v>6</v>
      </c>
      <c r="G1258" s="12" t="s">
        <v>209</v>
      </c>
      <c r="H1258" s="12">
        <f t="shared" si="73"/>
        <v>5106</v>
      </c>
      <c r="I1258" s="12">
        <v>7000127</v>
      </c>
      <c r="J1258" s="12">
        <v>12500</v>
      </c>
    </row>
    <row r="1259" spans="1:10" x14ac:dyDescent="0.3">
      <c r="A1259" s="12">
        <f t="shared" si="72"/>
        <v>5106006</v>
      </c>
      <c r="B1259" s="12">
        <v>6</v>
      </c>
      <c r="C1259" s="12" t="str">
        <f t="shared" si="74"/>
        <v>다혈질</v>
      </c>
      <c r="D1259" s="12">
        <v>5</v>
      </c>
      <c r="E1259" s="12">
        <v>1</v>
      </c>
      <c r="F1259" s="12">
        <v>6</v>
      </c>
      <c r="G1259" s="12" t="s">
        <v>210</v>
      </c>
      <c r="H1259" s="12">
        <f t="shared" si="73"/>
        <v>5106</v>
      </c>
      <c r="I1259" s="12">
        <v>7000129</v>
      </c>
      <c r="J1259" s="12">
        <v>7500</v>
      </c>
    </row>
    <row r="1260" spans="1:10" x14ac:dyDescent="0.3">
      <c r="A1260" s="12">
        <f t="shared" si="72"/>
        <v>5106007</v>
      </c>
      <c r="B1260" s="12">
        <v>7</v>
      </c>
      <c r="C1260" s="12" t="str">
        <f t="shared" si="74"/>
        <v>광폭화</v>
      </c>
      <c r="D1260" s="12">
        <v>5</v>
      </c>
      <c r="E1260" s="12">
        <v>1</v>
      </c>
      <c r="F1260" s="12">
        <v>6</v>
      </c>
      <c r="G1260" s="12" t="s">
        <v>210</v>
      </c>
      <c r="H1260" s="12">
        <f t="shared" si="73"/>
        <v>5106</v>
      </c>
      <c r="I1260" s="12">
        <v>7000130</v>
      </c>
      <c r="J1260" s="12">
        <v>7500</v>
      </c>
    </row>
    <row r="1261" spans="1:10" x14ac:dyDescent="0.3">
      <c r="A1261" s="12">
        <f t="shared" si="72"/>
        <v>5106008</v>
      </c>
      <c r="B1261" s="12">
        <v>8</v>
      </c>
      <c r="C1261" s="12" t="str">
        <f t="shared" si="74"/>
        <v>독기</v>
      </c>
      <c r="D1261" s="12">
        <v>5</v>
      </c>
      <c r="E1261" s="12">
        <v>1</v>
      </c>
      <c r="F1261" s="12">
        <v>6</v>
      </c>
      <c r="G1261" s="12" t="s">
        <v>211</v>
      </c>
      <c r="H1261" s="12">
        <f t="shared" si="73"/>
        <v>5106</v>
      </c>
      <c r="I1261" s="12">
        <v>7000163</v>
      </c>
      <c r="J1261" s="12">
        <v>1500</v>
      </c>
    </row>
    <row r="1262" spans="1:10" x14ac:dyDescent="0.3">
      <c r="A1262" s="12">
        <f t="shared" si="72"/>
        <v>5106009</v>
      </c>
      <c r="B1262" s="12">
        <v>9</v>
      </c>
      <c r="C1262" s="12" t="str">
        <f t="shared" si="74"/>
        <v>원한</v>
      </c>
      <c r="D1262" s="12">
        <v>5</v>
      </c>
      <c r="E1262" s="12">
        <v>1</v>
      </c>
      <c r="F1262" s="12">
        <v>6</v>
      </c>
      <c r="G1262" s="12" t="s">
        <v>212</v>
      </c>
      <c r="H1262" s="12">
        <f t="shared" si="73"/>
        <v>5106</v>
      </c>
      <c r="I1262" s="12">
        <v>7000172</v>
      </c>
      <c r="J1262" s="12">
        <v>500</v>
      </c>
    </row>
    <row r="1263" spans="1:10" x14ac:dyDescent="0.3">
      <c r="A1263" s="12">
        <f t="shared" si="72"/>
        <v>5106010</v>
      </c>
      <c r="B1263" s="12">
        <v>10</v>
      </c>
      <c r="C1263" s="12" t="str">
        <f t="shared" si="74"/>
        <v>자기연소</v>
      </c>
      <c r="D1263" s="12">
        <v>5</v>
      </c>
      <c r="E1263" s="12">
        <v>1</v>
      </c>
      <c r="F1263" s="12">
        <v>6</v>
      </c>
      <c r="G1263" s="12" t="s">
        <v>213</v>
      </c>
      <c r="H1263" s="12">
        <f t="shared" si="73"/>
        <v>5106</v>
      </c>
      <c r="I1263" s="12">
        <v>7000174</v>
      </c>
      <c r="J1263" s="12">
        <v>100</v>
      </c>
    </row>
    <row r="1264" spans="1:10" x14ac:dyDescent="0.3">
      <c r="A1264" s="13">
        <f>INT(H1264&amp;TEXT(B1264,"000"))</f>
        <v>5201001</v>
      </c>
      <c r="B1264" s="13">
        <v>1</v>
      </c>
      <c r="C1264" s="13" t="s">
        <v>350</v>
      </c>
      <c r="D1264" s="13">
        <v>5</v>
      </c>
      <c r="E1264" s="13">
        <v>2</v>
      </c>
      <c r="F1264" s="13">
        <v>1</v>
      </c>
      <c r="G1264" s="13" t="s">
        <v>208</v>
      </c>
      <c r="H1264" s="13">
        <f>INT(D1264&amp;E1264&amp;TEXT(F1264,"00"))</f>
        <v>5201</v>
      </c>
      <c r="I1264" s="13">
        <v>7000102</v>
      </c>
      <c r="J1264" s="13">
        <v>20000</v>
      </c>
    </row>
    <row r="1265" spans="1:10" x14ac:dyDescent="0.3">
      <c r="A1265" s="12">
        <f t="shared" ref="A1265:A1323" si="75">INT(H1265&amp;TEXT(B1265,"000"))</f>
        <v>5201002</v>
      </c>
      <c r="B1265" s="12">
        <v>2</v>
      </c>
      <c r="C1265" s="12" t="s">
        <v>357</v>
      </c>
      <c r="D1265" s="12">
        <v>5</v>
      </c>
      <c r="E1265" s="12">
        <v>2</v>
      </c>
      <c r="F1265" s="12">
        <v>1</v>
      </c>
      <c r="G1265" s="12" t="s">
        <v>208</v>
      </c>
      <c r="H1265" s="12">
        <f t="shared" ref="H1265:H1323" si="76">INT(D1265&amp;E1265&amp;TEXT(F1265,"00"))</f>
        <v>5201</v>
      </c>
      <c r="I1265" s="12">
        <v>7000110</v>
      </c>
      <c r="J1265" s="12">
        <v>20000</v>
      </c>
    </row>
    <row r="1266" spans="1:10" x14ac:dyDescent="0.3">
      <c r="A1266" s="12">
        <f t="shared" si="75"/>
        <v>5201003</v>
      </c>
      <c r="B1266" s="12">
        <v>3</v>
      </c>
      <c r="C1266" s="12" t="s">
        <v>351</v>
      </c>
      <c r="D1266" s="12">
        <v>5</v>
      </c>
      <c r="E1266" s="12">
        <v>2</v>
      </c>
      <c r="F1266" s="12">
        <v>1</v>
      </c>
      <c r="G1266" s="12" t="s">
        <v>208</v>
      </c>
      <c r="H1266" s="12">
        <f t="shared" si="76"/>
        <v>5201</v>
      </c>
      <c r="I1266" s="12">
        <v>7000112</v>
      </c>
      <c r="J1266" s="12">
        <v>20000</v>
      </c>
    </row>
    <row r="1267" spans="1:10" x14ac:dyDescent="0.3">
      <c r="A1267" s="12">
        <f t="shared" si="75"/>
        <v>5201004</v>
      </c>
      <c r="B1267" s="12">
        <v>4</v>
      </c>
      <c r="C1267" s="12" t="s">
        <v>369</v>
      </c>
      <c r="D1267" s="12">
        <v>5</v>
      </c>
      <c r="E1267" s="12">
        <v>2</v>
      </c>
      <c r="F1267" s="12">
        <v>1</v>
      </c>
      <c r="G1267" s="12" t="s">
        <v>223</v>
      </c>
      <c r="H1267" s="12">
        <f t="shared" si="76"/>
        <v>5201</v>
      </c>
      <c r="I1267" s="12">
        <v>7000131</v>
      </c>
      <c r="J1267" s="12">
        <v>15000</v>
      </c>
    </row>
    <row r="1268" spans="1:10" x14ac:dyDescent="0.3">
      <c r="A1268" s="12">
        <f t="shared" si="75"/>
        <v>5201005</v>
      </c>
      <c r="B1268" s="12">
        <v>5</v>
      </c>
      <c r="C1268" s="12" t="s">
        <v>375</v>
      </c>
      <c r="D1268" s="12">
        <v>5</v>
      </c>
      <c r="E1268" s="12">
        <v>2</v>
      </c>
      <c r="F1268" s="12">
        <v>1</v>
      </c>
      <c r="G1268" s="12" t="s">
        <v>223</v>
      </c>
      <c r="H1268" s="12">
        <f t="shared" si="76"/>
        <v>5201</v>
      </c>
      <c r="I1268" s="12">
        <v>7000139</v>
      </c>
      <c r="J1268" s="12">
        <v>15000</v>
      </c>
    </row>
    <row r="1269" spans="1:10" x14ac:dyDescent="0.3">
      <c r="A1269" s="12">
        <f t="shared" si="75"/>
        <v>5201006</v>
      </c>
      <c r="B1269" s="12">
        <v>6</v>
      </c>
      <c r="C1269" s="12" t="s">
        <v>346</v>
      </c>
      <c r="D1269" s="12">
        <v>5</v>
      </c>
      <c r="E1269" s="12">
        <v>2</v>
      </c>
      <c r="F1269" s="12">
        <v>1</v>
      </c>
      <c r="G1269" s="12" t="s">
        <v>222</v>
      </c>
      <c r="H1269" s="12">
        <f t="shared" si="76"/>
        <v>5201</v>
      </c>
      <c r="I1269" s="12">
        <v>7000143</v>
      </c>
      <c r="J1269" s="12">
        <v>10000</v>
      </c>
    </row>
    <row r="1270" spans="1:10" x14ac:dyDescent="0.3">
      <c r="A1270" s="12">
        <f t="shared" si="75"/>
        <v>5201007</v>
      </c>
      <c r="B1270" s="12">
        <v>7</v>
      </c>
      <c r="C1270" s="12" t="s">
        <v>404</v>
      </c>
      <c r="D1270" s="12">
        <v>5</v>
      </c>
      <c r="E1270" s="12">
        <v>2</v>
      </c>
      <c r="F1270" s="12">
        <v>1</v>
      </c>
      <c r="G1270" s="12" t="s">
        <v>222</v>
      </c>
      <c r="H1270" s="12">
        <f t="shared" si="76"/>
        <v>5201</v>
      </c>
      <c r="I1270" s="12">
        <v>7000144</v>
      </c>
      <c r="J1270" s="12">
        <v>10000</v>
      </c>
    </row>
    <row r="1271" spans="1:10" x14ac:dyDescent="0.3">
      <c r="A1271" s="12">
        <f t="shared" si="75"/>
        <v>5201008</v>
      </c>
      <c r="B1271" s="12">
        <v>8</v>
      </c>
      <c r="C1271" s="12" t="s">
        <v>382</v>
      </c>
      <c r="D1271" s="12">
        <v>5</v>
      </c>
      <c r="E1271" s="12">
        <v>2</v>
      </c>
      <c r="F1271" s="12">
        <v>1</v>
      </c>
      <c r="G1271" s="12" t="s">
        <v>211</v>
      </c>
      <c r="H1271" s="12">
        <f t="shared" si="76"/>
        <v>5201</v>
      </c>
      <c r="I1271" s="12">
        <v>7000145</v>
      </c>
      <c r="J1271" s="12">
        <v>2000</v>
      </c>
    </row>
    <row r="1272" spans="1:10" x14ac:dyDescent="0.3">
      <c r="A1272" s="12">
        <f t="shared" si="75"/>
        <v>5201009</v>
      </c>
      <c r="B1272" s="12">
        <v>9</v>
      </c>
      <c r="C1272" s="12" t="s">
        <v>380</v>
      </c>
      <c r="D1272" s="12">
        <v>5</v>
      </c>
      <c r="E1272" s="12">
        <v>2</v>
      </c>
      <c r="F1272" s="12">
        <v>1</v>
      </c>
      <c r="G1272" s="12" t="s">
        <v>212</v>
      </c>
      <c r="H1272" s="12">
        <f t="shared" si="76"/>
        <v>5201</v>
      </c>
      <c r="I1272" s="12">
        <v>7000146</v>
      </c>
      <c r="J1272" s="12">
        <v>500</v>
      </c>
    </row>
    <row r="1273" spans="1:10" x14ac:dyDescent="0.3">
      <c r="A1273" s="12">
        <f t="shared" si="75"/>
        <v>5201010</v>
      </c>
      <c r="B1273" s="12">
        <v>10</v>
      </c>
      <c r="C1273" s="12" t="s">
        <v>384</v>
      </c>
      <c r="D1273" s="12">
        <v>5</v>
      </c>
      <c r="E1273" s="12">
        <v>2</v>
      </c>
      <c r="F1273" s="12">
        <v>1</v>
      </c>
      <c r="G1273" s="12" t="s">
        <v>213</v>
      </c>
      <c r="H1273" s="12">
        <f t="shared" si="76"/>
        <v>5201</v>
      </c>
      <c r="I1273" s="12">
        <v>7000153</v>
      </c>
      <c r="J1273" s="12">
        <v>100</v>
      </c>
    </row>
    <row r="1274" spans="1:10" x14ac:dyDescent="0.3">
      <c r="A1274" s="12">
        <f t="shared" si="75"/>
        <v>5202001</v>
      </c>
      <c r="B1274" s="12">
        <v>1</v>
      </c>
      <c r="C1274" s="12" t="str">
        <f>C1264</f>
        <v>인내심</v>
      </c>
      <c r="D1274" s="12">
        <v>5</v>
      </c>
      <c r="E1274" s="12">
        <v>2</v>
      </c>
      <c r="F1274" s="12">
        <v>2</v>
      </c>
      <c r="G1274" s="12" t="s">
        <v>208</v>
      </c>
      <c r="H1274" s="12">
        <f t="shared" si="76"/>
        <v>5202</v>
      </c>
      <c r="I1274" s="12">
        <v>7000102</v>
      </c>
      <c r="J1274" s="12">
        <v>18000</v>
      </c>
    </row>
    <row r="1275" spans="1:10" x14ac:dyDescent="0.3">
      <c r="A1275" s="12">
        <f t="shared" si="75"/>
        <v>5202002</v>
      </c>
      <c r="B1275" s="12">
        <v>2</v>
      </c>
      <c r="C1275" s="12" t="str">
        <f t="shared" ref="C1275:C1323" si="77">C1265</f>
        <v>복수심</v>
      </c>
      <c r="D1275" s="12">
        <v>5</v>
      </c>
      <c r="E1275" s="12">
        <v>2</v>
      </c>
      <c r="F1275" s="12">
        <v>2</v>
      </c>
      <c r="G1275" s="12" t="s">
        <v>208</v>
      </c>
      <c r="H1275" s="12">
        <f t="shared" si="76"/>
        <v>5202</v>
      </c>
      <c r="I1275" s="12">
        <v>7000110</v>
      </c>
      <c r="J1275" s="12">
        <v>18000</v>
      </c>
    </row>
    <row r="1276" spans="1:10" x14ac:dyDescent="0.3">
      <c r="A1276" s="12">
        <f t="shared" si="75"/>
        <v>5202003</v>
      </c>
      <c r="B1276" s="12">
        <v>3</v>
      </c>
      <c r="C1276" s="12" t="str">
        <f t="shared" si="77"/>
        <v>허영심</v>
      </c>
      <c r="D1276" s="12">
        <v>5</v>
      </c>
      <c r="E1276" s="12">
        <v>2</v>
      </c>
      <c r="F1276" s="12">
        <v>2</v>
      </c>
      <c r="G1276" s="12" t="s">
        <v>208</v>
      </c>
      <c r="H1276" s="12">
        <f t="shared" si="76"/>
        <v>5202</v>
      </c>
      <c r="I1276" s="12">
        <v>7000112</v>
      </c>
      <c r="J1276" s="12">
        <v>18000</v>
      </c>
    </row>
    <row r="1277" spans="1:10" x14ac:dyDescent="0.3">
      <c r="A1277" s="12">
        <f t="shared" si="75"/>
        <v>5202004</v>
      </c>
      <c r="B1277" s="12">
        <v>4</v>
      </c>
      <c r="C1277" s="12" t="str">
        <f t="shared" si="77"/>
        <v>앙갚음</v>
      </c>
      <c r="D1277" s="12">
        <v>5</v>
      </c>
      <c r="E1277" s="12">
        <v>2</v>
      </c>
      <c r="F1277" s="12">
        <v>2</v>
      </c>
      <c r="G1277" s="12" t="s">
        <v>209</v>
      </c>
      <c r="H1277" s="12">
        <f t="shared" si="76"/>
        <v>5202</v>
      </c>
      <c r="I1277" s="12">
        <v>7000131</v>
      </c>
      <c r="J1277" s="12">
        <v>14500</v>
      </c>
    </row>
    <row r="1278" spans="1:10" x14ac:dyDescent="0.3">
      <c r="A1278" s="12">
        <f t="shared" si="75"/>
        <v>5202005</v>
      </c>
      <c r="B1278" s="12">
        <v>5</v>
      </c>
      <c r="C1278" s="12" t="str">
        <f t="shared" si="77"/>
        <v>오기</v>
      </c>
      <c r="D1278" s="12">
        <v>5</v>
      </c>
      <c r="E1278" s="12">
        <v>2</v>
      </c>
      <c r="F1278" s="12">
        <v>2</v>
      </c>
      <c r="G1278" s="12" t="s">
        <v>209</v>
      </c>
      <c r="H1278" s="12">
        <f t="shared" si="76"/>
        <v>5202</v>
      </c>
      <c r="I1278" s="12">
        <v>7000139</v>
      </c>
      <c r="J1278" s="12">
        <v>14500</v>
      </c>
    </row>
    <row r="1279" spans="1:10" x14ac:dyDescent="0.3">
      <c r="A1279" s="12">
        <f t="shared" si="75"/>
        <v>5202006</v>
      </c>
      <c r="B1279" s="12">
        <v>6</v>
      </c>
      <c r="C1279" s="12" t="str">
        <f t="shared" si="77"/>
        <v>성화</v>
      </c>
      <c r="D1279" s="12">
        <v>5</v>
      </c>
      <c r="E1279" s="12">
        <v>2</v>
      </c>
      <c r="F1279" s="12">
        <v>2</v>
      </c>
      <c r="G1279" s="12" t="s">
        <v>210</v>
      </c>
      <c r="H1279" s="12">
        <f t="shared" si="76"/>
        <v>5202</v>
      </c>
      <c r="I1279" s="12">
        <v>7000143</v>
      </c>
      <c r="J1279" s="12">
        <v>9500</v>
      </c>
    </row>
    <row r="1280" spans="1:10" x14ac:dyDescent="0.3">
      <c r="A1280" s="12">
        <f t="shared" si="75"/>
        <v>5202007</v>
      </c>
      <c r="B1280" s="12">
        <v>7</v>
      </c>
      <c r="C1280" s="12" t="str">
        <f t="shared" si="77"/>
        <v>표독</v>
      </c>
      <c r="D1280" s="12">
        <v>5</v>
      </c>
      <c r="E1280" s="12">
        <v>2</v>
      </c>
      <c r="F1280" s="12">
        <v>2</v>
      </c>
      <c r="G1280" s="12" t="s">
        <v>210</v>
      </c>
      <c r="H1280" s="12">
        <f t="shared" si="76"/>
        <v>5202</v>
      </c>
      <c r="I1280" s="12">
        <v>7000144</v>
      </c>
      <c r="J1280" s="12">
        <v>9500</v>
      </c>
    </row>
    <row r="1281" spans="1:10" x14ac:dyDescent="0.3">
      <c r="A1281" s="12">
        <f t="shared" si="75"/>
        <v>5202008</v>
      </c>
      <c r="B1281" s="12">
        <v>8</v>
      </c>
      <c r="C1281" s="12" t="str">
        <f t="shared" si="77"/>
        <v>혈투</v>
      </c>
      <c r="D1281" s="12">
        <v>5</v>
      </c>
      <c r="E1281" s="12">
        <v>2</v>
      </c>
      <c r="F1281" s="12">
        <v>2</v>
      </c>
      <c r="G1281" s="12" t="s">
        <v>211</v>
      </c>
      <c r="H1281" s="12">
        <f t="shared" si="76"/>
        <v>5202</v>
      </c>
      <c r="I1281" s="12">
        <v>7000145</v>
      </c>
      <c r="J1281" s="12">
        <v>1900</v>
      </c>
    </row>
    <row r="1282" spans="1:10" x14ac:dyDescent="0.3">
      <c r="A1282" s="12">
        <f t="shared" si="75"/>
        <v>5202009</v>
      </c>
      <c r="B1282" s="12">
        <v>9</v>
      </c>
      <c r="C1282" s="12" t="str">
        <f t="shared" si="77"/>
        <v>난동</v>
      </c>
      <c r="D1282" s="12">
        <v>5</v>
      </c>
      <c r="E1282" s="12">
        <v>2</v>
      </c>
      <c r="F1282" s="12">
        <v>2</v>
      </c>
      <c r="G1282" s="12" t="s">
        <v>212</v>
      </c>
      <c r="H1282" s="12">
        <f t="shared" si="76"/>
        <v>5202</v>
      </c>
      <c r="I1282" s="12">
        <v>7000146</v>
      </c>
      <c r="J1282" s="12">
        <v>500</v>
      </c>
    </row>
    <row r="1283" spans="1:10" x14ac:dyDescent="0.3">
      <c r="A1283" s="12">
        <f t="shared" si="75"/>
        <v>5202010</v>
      </c>
      <c r="B1283" s="12">
        <v>10</v>
      </c>
      <c r="C1283" s="12" t="str">
        <f t="shared" si="77"/>
        <v>불굴의 의지</v>
      </c>
      <c r="D1283" s="12">
        <v>5</v>
      </c>
      <c r="E1283" s="12">
        <v>2</v>
      </c>
      <c r="F1283" s="12">
        <v>2</v>
      </c>
      <c r="G1283" s="12" t="s">
        <v>213</v>
      </c>
      <c r="H1283" s="12">
        <f t="shared" si="76"/>
        <v>5202</v>
      </c>
      <c r="I1283" s="12">
        <v>7000153</v>
      </c>
      <c r="J1283" s="12">
        <v>100</v>
      </c>
    </row>
    <row r="1284" spans="1:10" x14ac:dyDescent="0.3">
      <c r="A1284" s="12">
        <f t="shared" si="75"/>
        <v>5203001</v>
      </c>
      <c r="B1284" s="12">
        <v>1</v>
      </c>
      <c r="C1284" s="12" t="str">
        <f>C1274</f>
        <v>인내심</v>
      </c>
      <c r="D1284" s="12">
        <v>5</v>
      </c>
      <c r="E1284" s="12">
        <v>2</v>
      </c>
      <c r="F1284" s="12">
        <v>3</v>
      </c>
      <c r="G1284" s="12" t="s">
        <v>208</v>
      </c>
      <c r="H1284" s="12">
        <f t="shared" si="76"/>
        <v>5203</v>
      </c>
      <c r="I1284" s="12">
        <v>7000102</v>
      </c>
      <c r="J1284" s="12">
        <v>16000</v>
      </c>
    </row>
    <row r="1285" spans="1:10" x14ac:dyDescent="0.3">
      <c r="A1285" s="12">
        <f t="shared" si="75"/>
        <v>5203002</v>
      </c>
      <c r="B1285" s="12">
        <v>2</v>
      </c>
      <c r="C1285" s="12" t="str">
        <f t="shared" si="77"/>
        <v>복수심</v>
      </c>
      <c r="D1285" s="12">
        <v>5</v>
      </c>
      <c r="E1285" s="12">
        <v>2</v>
      </c>
      <c r="F1285" s="12">
        <v>3</v>
      </c>
      <c r="G1285" s="12" t="s">
        <v>208</v>
      </c>
      <c r="H1285" s="12">
        <f t="shared" si="76"/>
        <v>5203</v>
      </c>
      <c r="I1285" s="12">
        <v>7000110</v>
      </c>
      <c r="J1285" s="12">
        <v>16000</v>
      </c>
    </row>
    <row r="1286" spans="1:10" x14ac:dyDescent="0.3">
      <c r="A1286" s="12">
        <f t="shared" si="75"/>
        <v>5203003</v>
      </c>
      <c r="B1286" s="12">
        <v>3</v>
      </c>
      <c r="C1286" s="12" t="str">
        <f t="shared" si="77"/>
        <v>허영심</v>
      </c>
      <c r="D1286" s="12">
        <v>5</v>
      </c>
      <c r="E1286" s="12">
        <v>2</v>
      </c>
      <c r="F1286" s="12">
        <v>3</v>
      </c>
      <c r="G1286" s="12" t="s">
        <v>208</v>
      </c>
      <c r="H1286" s="12">
        <f t="shared" si="76"/>
        <v>5203</v>
      </c>
      <c r="I1286" s="12">
        <v>7000112</v>
      </c>
      <c r="J1286" s="12">
        <v>16000</v>
      </c>
    </row>
    <row r="1287" spans="1:10" x14ac:dyDescent="0.3">
      <c r="A1287" s="12">
        <f t="shared" si="75"/>
        <v>5203004</v>
      </c>
      <c r="B1287" s="12">
        <v>4</v>
      </c>
      <c r="C1287" s="12" t="str">
        <f t="shared" si="77"/>
        <v>앙갚음</v>
      </c>
      <c r="D1287" s="12">
        <v>5</v>
      </c>
      <c r="E1287" s="12">
        <v>2</v>
      </c>
      <c r="F1287" s="12">
        <v>3</v>
      </c>
      <c r="G1287" s="12" t="s">
        <v>209</v>
      </c>
      <c r="H1287" s="12">
        <f t="shared" si="76"/>
        <v>5203</v>
      </c>
      <c r="I1287" s="12">
        <v>7000131</v>
      </c>
      <c r="J1287" s="12">
        <v>14000</v>
      </c>
    </row>
    <row r="1288" spans="1:10" x14ac:dyDescent="0.3">
      <c r="A1288" s="12">
        <f t="shared" si="75"/>
        <v>5203005</v>
      </c>
      <c r="B1288" s="12">
        <v>5</v>
      </c>
      <c r="C1288" s="12" t="str">
        <f t="shared" si="77"/>
        <v>오기</v>
      </c>
      <c r="D1288" s="12">
        <v>5</v>
      </c>
      <c r="E1288" s="12">
        <v>2</v>
      </c>
      <c r="F1288" s="12">
        <v>3</v>
      </c>
      <c r="G1288" s="12" t="s">
        <v>209</v>
      </c>
      <c r="H1288" s="12">
        <f t="shared" si="76"/>
        <v>5203</v>
      </c>
      <c r="I1288" s="12">
        <v>7000139</v>
      </c>
      <c r="J1288" s="12">
        <v>14000</v>
      </c>
    </row>
    <row r="1289" spans="1:10" x14ac:dyDescent="0.3">
      <c r="A1289" s="12">
        <f t="shared" si="75"/>
        <v>5203006</v>
      </c>
      <c r="B1289" s="12">
        <v>6</v>
      </c>
      <c r="C1289" s="12" t="str">
        <f t="shared" si="77"/>
        <v>성화</v>
      </c>
      <c r="D1289" s="12">
        <v>5</v>
      </c>
      <c r="E1289" s="12">
        <v>2</v>
      </c>
      <c r="F1289" s="12">
        <v>3</v>
      </c>
      <c r="G1289" s="12" t="s">
        <v>210</v>
      </c>
      <c r="H1289" s="12">
        <f t="shared" si="76"/>
        <v>5203</v>
      </c>
      <c r="I1289" s="12">
        <v>7000143</v>
      </c>
      <c r="J1289" s="12">
        <v>9000</v>
      </c>
    </row>
    <row r="1290" spans="1:10" x14ac:dyDescent="0.3">
      <c r="A1290" s="12">
        <f t="shared" si="75"/>
        <v>5203007</v>
      </c>
      <c r="B1290" s="12">
        <v>7</v>
      </c>
      <c r="C1290" s="12" t="str">
        <f t="shared" si="77"/>
        <v>표독</v>
      </c>
      <c r="D1290" s="12">
        <v>5</v>
      </c>
      <c r="E1290" s="12">
        <v>2</v>
      </c>
      <c r="F1290" s="12">
        <v>3</v>
      </c>
      <c r="G1290" s="12" t="s">
        <v>210</v>
      </c>
      <c r="H1290" s="12">
        <f t="shared" si="76"/>
        <v>5203</v>
      </c>
      <c r="I1290" s="12">
        <v>7000144</v>
      </c>
      <c r="J1290" s="12">
        <v>9000</v>
      </c>
    </row>
    <row r="1291" spans="1:10" x14ac:dyDescent="0.3">
      <c r="A1291" s="12">
        <f t="shared" si="75"/>
        <v>5203008</v>
      </c>
      <c r="B1291" s="12">
        <v>8</v>
      </c>
      <c r="C1291" s="12" t="str">
        <f t="shared" si="77"/>
        <v>혈투</v>
      </c>
      <c r="D1291" s="12">
        <v>5</v>
      </c>
      <c r="E1291" s="12">
        <v>2</v>
      </c>
      <c r="F1291" s="12">
        <v>3</v>
      </c>
      <c r="G1291" s="12" t="s">
        <v>211</v>
      </c>
      <c r="H1291" s="12">
        <f t="shared" si="76"/>
        <v>5203</v>
      </c>
      <c r="I1291" s="12">
        <v>7000145</v>
      </c>
      <c r="J1291" s="12">
        <v>1800</v>
      </c>
    </row>
    <row r="1292" spans="1:10" x14ac:dyDescent="0.3">
      <c r="A1292" s="12">
        <f t="shared" si="75"/>
        <v>5203009</v>
      </c>
      <c r="B1292" s="12">
        <v>9</v>
      </c>
      <c r="C1292" s="12" t="str">
        <f t="shared" si="77"/>
        <v>난동</v>
      </c>
      <c r="D1292" s="12">
        <v>5</v>
      </c>
      <c r="E1292" s="12">
        <v>2</v>
      </c>
      <c r="F1292" s="12">
        <v>3</v>
      </c>
      <c r="G1292" s="12" t="s">
        <v>212</v>
      </c>
      <c r="H1292" s="12">
        <f t="shared" si="76"/>
        <v>5203</v>
      </c>
      <c r="I1292" s="12">
        <v>7000146</v>
      </c>
      <c r="J1292" s="12">
        <v>500</v>
      </c>
    </row>
    <row r="1293" spans="1:10" x14ac:dyDescent="0.3">
      <c r="A1293" s="12">
        <f t="shared" si="75"/>
        <v>5203010</v>
      </c>
      <c r="B1293" s="12">
        <v>10</v>
      </c>
      <c r="C1293" s="12" t="str">
        <f t="shared" si="77"/>
        <v>불굴의 의지</v>
      </c>
      <c r="D1293" s="12">
        <v>5</v>
      </c>
      <c r="E1293" s="12">
        <v>2</v>
      </c>
      <c r="F1293" s="12">
        <v>3</v>
      </c>
      <c r="G1293" s="12" t="s">
        <v>213</v>
      </c>
      <c r="H1293" s="12">
        <f t="shared" si="76"/>
        <v>5203</v>
      </c>
      <c r="I1293" s="12">
        <v>7000153</v>
      </c>
      <c r="J1293" s="12">
        <v>100</v>
      </c>
    </row>
    <row r="1294" spans="1:10" x14ac:dyDescent="0.3">
      <c r="A1294" s="12">
        <f t="shared" si="75"/>
        <v>5204001</v>
      </c>
      <c r="B1294" s="12">
        <v>1</v>
      </c>
      <c r="C1294" s="12" t="str">
        <f>C1284</f>
        <v>인내심</v>
      </c>
      <c r="D1294" s="12">
        <v>5</v>
      </c>
      <c r="E1294" s="12">
        <v>2</v>
      </c>
      <c r="F1294" s="12">
        <v>4</v>
      </c>
      <c r="G1294" s="12" t="s">
        <v>208</v>
      </c>
      <c r="H1294" s="12">
        <f t="shared" si="76"/>
        <v>5204</v>
      </c>
      <c r="I1294" s="12">
        <v>7000102</v>
      </c>
      <c r="J1294" s="12">
        <v>14000</v>
      </c>
    </row>
    <row r="1295" spans="1:10" x14ac:dyDescent="0.3">
      <c r="A1295" s="12">
        <f t="shared" si="75"/>
        <v>5204002</v>
      </c>
      <c r="B1295" s="12">
        <v>2</v>
      </c>
      <c r="C1295" s="12" t="str">
        <f t="shared" si="77"/>
        <v>복수심</v>
      </c>
      <c r="D1295" s="12">
        <v>5</v>
      </c>
      <c r="E1295" s="12">
        <v>2</v>
      </c>
      <c r="F1295" s="12">
        <v>4</v>
      </c>
      <c r="G1295" s="12" t="s">
        <v>208</v>
      </c>
      <c r="H1295" s="12">
        <f t="shared" si="76"/>
        <v>5204</v>
      </c>
      <c r="I1295" s="12">
        <v>7000110</v>
      </c>
      <c r="J1295" s="12">
        <v>14000</v>
      </c>
    </row>
    <row r="1296" spans="1:10" x14ac:dyDescent="0.3">
      <c r="A1296" s="12">
        <f t="shared" si="75"/>
        <v>5204003</v>
      </c>
      <c r="B1296" s="12">
        <v>3</v>
      </c>
      <c r="C1296" s="12" t="str">
        <f t="shared" si="77"/>
        <v>허영심</v>
      </c>
      <c r="D1296" s="12">
        <v>5</v>
      </c>
      <c r="E1296" s="12">
        <v>2</v>
      </c>
      <c r="F1296" s="12">
        <v>4</v>
      </c>
      <c r="G1296" s="12" t="s">
        <v>208</v>
      </c>
      <c r="H1296" s="12">
        <f t="shared" si="76"/>
        <v>5204</v>
      </c>
      <c r="I1296" s="12">
        <v>7000112</v>
      </c>
      <c r="J1296" s="12">
        <v>14000</v>
      </c>
    </row>
    <row r="1297" spans="1:10" x14ac:dyDescent="0.3">
      <c r="A1297" s="12">
        <f t="shared" si="75"/>
        <v>5204004</v>
      </c>
      <c r="B1297" s="12">
        <v>4</v>
      </c>
      <c r="C1297" s="12" t="str">
        <f t="shared" si="77"/>
        <v>앙갚음</v>
      </c>
      <c r="D1297" s="12">
        <v>5</v>
      </c>
      <c r="E1297" s="12">
        <v>2</v>
      </c>
      <c r="F1297" s="12">
        <v>4</v>
      </c>
      <c r="G1297" s="12" t="s">
        <v>209</v>
      </c>
      <c r="H1297" s="12">
        <f t="shared" si="76"/>
        <v>5204</v>
      </c>
      <c r="I1297" s="12">
        <v>7000131</v>
      </c>
      <c r="J1297" s="12">
        <v>13500</v>
      </c>
    </row>
    <row r="1298" spans="1:10" x14ac:dyDescent="0.3">
      <c r="A1298" s="12">
        <f t="shared" si="75"/>
        <v>5204005</v>
      </c>
      <c r="B1298" s="12">
        <v>5</v>
      </c>
      <c r="C1298" s="12" t="str">
        <f t="shared" si="77"/>
        <v>오기</v>
      </c>
      <c r="D1298" s="12">
        <v>5</v>
      </c>
      <c r="E1298" s="12">
        <v>2</v>
      </c>
      <c r="F1298" s="12">
        <v>4</v>
      </c>
      <c r="G1298" s="12" t="s">
        <v>209</v>
      </c>
      <c r="H1298" s="12">
        <f t="shared" si="76"/>
        <v>5204</v>
      </c>
      <c r="I1298" s="12">
        <v>7000139</v>
      </c>
      <c r="J1298" s="12">
        <v>13500</v>
      </c>
    </row>
    <row r="1299" spans="1:10" x14ac:dyDescent="0.3">
      <c r="A1299" s="12">
        <f t="shared" si="75"/>
        <v>5204006</v>
      </c>
      <c r="B1299" s="12">
        <v>6</v>
      </c>
      <c r="C1299" s="12" t="str">
        <f t="shared" si="77"/>
        <v>성화</v>
      </c>
      <c r="D1299" s="12">
        <v>5</v>
      </c>
      <c r="E1299" s="12">
        <v>2</v>
      </c>
      <c r="F1299" s="12">
        <v>4</v>
      </c>
      <c r="G1299" s="12" t="s">
        <v>210</v>
      </c>
      <c r="H1299" s="12">
        <f t="shared" si="76"/>
        <v>5204</v>
      </c>
      <c r="I1299" s="12">
        <v>7000143</v>
      </c>
      <c r="J1299" s="12">
        <v>8500</v>
      </c>
    </row>
    <row r="1300" spans="1:10" x14ac:dyDescent="0.3">
      <c r="A1300" s="12">
        <f t="shared" si="75"/>
        <v>5204007</v>
      </c>
      <c r="B1300" s="12">
        <v>7</v>
      </c>
      <c r="C1300" s="12" t="str">
        <f t="shared" si="77"/>
        <v>표독</v>
      </c>
      <c r="D1300" s="12">
        <v>5</v>
      </c>
      <c r="E1300" s="12">
        <v>2</v>
      </c>
      <c r="F1300" s="12">
        <v>4</v>
      </c>
      <c r="G1300" s="12" t="s">
        <v>210</v>
      </c>
      <c r="H1300" s="12">
        <f t="shared" si="76"/>
        <v>5204</v>
      </c>
      <c r="I1300" s="12">
        <v>7000144</v>
      </c>
      <c r="J1300" s="12">
        <v>8500</v>
      </c>
    </row>
    <row r="1301" spans="1:10" x14ac:dyDescent="0.3">
      <c r="A1301" s="12">
        <f t="shared" si="75"/>
        <v>5204008</v>
      </c>
      <c r="B1301" s="12">
        <v>8</v>
      </c>
      <c r="C1301" s="12" t="str">
        <f t="shared" si="77"/>
        <v>혈투</v>
      </c>
      <c r="D1301" s="12">
        <v>5</v>
      </c>
      <c r="E1301" s="12">
        <v>2</v>
      </c>
      <c r="F1301" s="12">
        <v>4</v>
      </c>
      <c r="G1301" s="12" t="s">
        <v>211</v>
      </c>
      <c r="H1301" s="12">
        <f t="shared" si="76"/>
        <v>5204</v>
      </c>
      <c r="I1301" s="12">
        <v>7000145</v>
      </c>
      <c r="J1301" s="12">
        <v>1700</v>
      </c>
    </row>
    <row r="1302" spans="1:10" x14ac:dyDescent="0.3">
      <c r="A1302" s="12">
        <f t="shared" si="75"/>
        <v>5204009</v>
      </c>
      <c r="B1302" s="12">
        <v>9</v>
      </c>
      <c r="C1302" s="12" t="str">
        <f t="shared" si="77"/>
        <v>난동</v>
      </c>
      <c r="D1302" s="12">
        <v>5</v>
      </c>
      <c r="E1302" s="12">
        <v>2</v>
      </c>
      <c r="F1302" s="12">
        <v>4</v>
      </c>
      <c r="G1302" s="12" t="s">
        <v>212</v>
      </c>
      <c r="H1302" s="12">
        <f t="shared" si="76"/>
        <v>5204</v>
      </c>
      <c r="I1302" s="12">
        <v>7000146</v>
      </c>
      <c r="J1302" s="12">
        <v>500</v>
      </c>
    </row>
    <row r="1303" spans="1:10" x14ac:dyDescent="0.3">
      <c r="A1303" s="12">
        <f t="shared" si="75"/>
        <v>5204010</v>
      </c>
      <c r="B1303" s="12">
        <v>10</v>
      </c>
      <c r="C1303" s="12" t="str">
        <f t="shared" si="77"/>
        <v>불굴의 의지</v>
      </c>
      <c r="D1303" s="12">
        <v>5</v>
      </c>
      <c r="E1303" s="12">
        <v>2</v>
      </c>
      <c r="F1303" s="12">
        <v>4</v>
      </c>
      <c r="G1303" s="12" t="s">
        <v>213</v>
      </c>
      <c r="H1303" s="12">
        <f t="shared" si="76"/>
        <v>5204</v>
      </c>
      <c r="I1303" s="12">
        <v>7000153</v>
      </c>
      <c r="J1303" s="12">
        <v>100</v>
      </c>
    </row>
    <row r="1304" spans="1:10" x14ac:dyDescent="0.3">
      <c r="A1304" s="12">
        <f t="shared" si="75"/>
        <v>5205001</v>
      </c>
      <c r="B1304" s="12">
        <v>1</v>
      </c>
      <c r="C1304" s="12" t="str">
        <f>C1294</f>
        <v>인내심</v>
      </c>
      <c r="D1304" s="12">
        <v>5</v>
      </c>
      <c r="E1304" s="12">
        <v>2</v>
      </c>
      <c r="F1304" s="12">
        <v>5</v>
      </c>
      <c r="G1304" s="12" t="s">
        <v>208</v>
      </c>
      <c r="H1304" s="12">
        <f t="shared" si="76"/>
        <v>5205</v>
      </c>
      <c r="I1304" s="12">
        <v>7000102</v>
      </c>
      <c r="J1304" s="12">
        <v>12000</v>
      </c>
    </row>
    <row r="1305" spans="1:10" x14ac:dyDescent="0.3">
      <c r="A1305" s="12">
        <f t="shared" si="75"/>
        <v>5205002</v>
      </c>
      <c r="B1305" s="12">
        <v>2</v>
      </c>
      <c r="C1305" s="12" t="str">
        <f t="shared" si="77"/>
        <v>복수심</v>
      </c>
      <c r="D1305" s="12">
        <v>5</v>
      </c>
      <c r="E1305" s="12">
        <v>2</v>
      </c>
      <c r="F1305" s="12">
        <v>5</v>
      </c>
      <c r="G1305" s="12" t="s">
        <v>208</v>
      </c>
      <c r="H1305" s="12">
        <f t="shared" si="76"/>
        <v>5205</v>
      </c>
      <c r="I1305" s="12">
        <v>7000110</v>
      </c>
      <c r="J1305" s="12">
        <v>12000</v>
      </c>
    </row>
    <row r="1306" spans="1:10" x14ac:dyDescent="0.3">
      <c r="A1306" s="12">
        <f t="shared" si="75"/>
        <v>5205003</v>
      </c>
      <c r="B1306" s="12">
        <v>3</v>
      </c>
      <c r="C1306" s="12" t="str">
        <f t="shared" si="77"/>
        <v>허영심</v>
      </c>
      <c r="D1306" s="12">
        <v>5</v>
      </c>
      <c r="E1306" s="12">
        <v>2</v>
      </c>
      <c r="F1306" s="12">
        <v>5</v>
      </c>
      <c r="G1306" s="12" t="s">
        <v>208</v>
      </c>
      <c r="H1306" s="12">
        <f t="shared" si="76"/>
        <v>5205</v>
      </c>
      <c r="I1306" s="12">
        <v>7000112</v>
      </c>
      <c r="J1306" s="12">
        <v>12000</v>
      </c>
    </row>
    <row r="1307" spans="1:10" x14ac:dyDescent="0.3">
      <c r="A1307" s="12">
        <f t="shared" si="75"/>
        <v>5205004</v>
      </c>
      <c r="B1307" s="12">
        <v>4</v>
      </c>
      <c r="C1307" s="12" t="str">
        <f t="shared" si="77"/>
        <v>앙갚음</v>
      </c>
      <c r="D1307" s="12">
        <v>5</v>
      </c>
      <c r="E1307" s="12">
        <v>2</v>
      </c>
      <c r="F1307" s="12">
        <v>5</v>
      </c>
      <c r="G1307" s="12" t="s">
        <v>209</v>
      </c>
      <c r="H1307" s="12">
        <f t="shared" si="76"/>
        <v>5205</v>
      </c>
      <c r="I1307" s="12">
        <v>7000131</v>
      </c>
      <c r="J1307" s="12">
        <v>13000</v>
      </c>
    </row>
    <row r="1308" spans="1:10" x14ac:dyDescent="0.3">
      <c r="A1308" s="12">
        <f t="shared" si="75"/>
        <v>5205005</v>
      </c>
      <c r="B1308" s="12">
        <v>5</v>
      </c>
      <c r="C1308" s="12" t="str">
        <f t="shared" si="77"/>
        <v>오기</v>
      </c>
      <c r="D1308" s="12">
        <v>5</v>
      </c>
      <c r="E1308" s="12">
        <v>2</v>
      </c>
      <c r="F1308" s="12">
        <v>5</v>
      </c>
      <c r="G1308" s="12" t="s">
        <v>209</v>
      </c>
      <c r="H1308" s="12">
        <f t="shared" si="76"/>
        <v>5205</v>
      </c>
      <c r="I1308" s="12">
        <v>7000139</v>
      </c>
      <c r="J1308" s="12">
        <v>13000</v>
      </c>
    </row>
    <row r="1309" spans="1:10" x14ac:dyDescent="0.3">
      <c r="A1309" s="12">
        <f t="shared" si="75"/>
        <v>5205006</v>
      </c>
      <c r="B1309" s="12">
        <v>6</v>
      </c>
      <c r="C1309" s="12" t="str">
        <f t="shared" si="77"/>
        <v>성화</v>
      </c>
      <c r="D1309" s="12">
        <v>5</v>
      </c>
      <c r="E1309" s="12">
        <v>2</v>
      </c>
      <c r="F1309" s="12">
        <v>5</v>
      </c>
      <c r="G1309" s="12" t="s">
        <v>210</v>
      </c>
      <c r="H1309" s="12">
        <f t="shared" si="76"/>
        <v>5205</v>
      </c>
      <c r="I1309" s="12">
        <v>7000143</v>
      </c>
      <c r="J1309" s="12">
        <v>8000</v>
      </c>
    </row>
    <row r="1310" spans="1:10" x14ac:dyDescent="0.3">
      <c r="A1310" s="12">
        <f t="shared" si="75"/>
        <v>5205007</v>
      </c>
      <c r="B1310" s="12">
        <v>7</v>
      </c>
      <c r="C1310" s="12" t="str">
        <f t="shared" si="77"/>
        <v>표독</v>
      </c>
      <c r="D1310" s="12">
        <v>5</v>
      </c>
      <c r="E1310" s="12">
        <v>2</v>
      </c>
      <c r="F1310" s="12">
        <v>5</v>
      </c>
      <c r="G1310" s="12" t="s">
        <v>210</v>
      </c>
      <c r="H1310" s="12">
        <f t="shared" si="76"/>
        <v>5205</v>
      </c>
      <c r="I1310" s="12">
        <v>7000144</v>
      </c>
      <c r="J1310" s="12">
        <v>8000</v>
      </c>
    </row>
    <row r="1311" spans="1:10" x14ac:dyDescent="0.3">
      <c r="A1311" s="12">
        <f t="shared" si="75"/>
        <v>5205008</v>
      </c>
      <c r="B1311" s="12">
        <v>8</v>
      </c>
      <c r="C1311" s="12" t="str">
        <f t="shared" si="77"/>
        <v>혈투</v>
      </c>
      <c r="D1311" s="12">
        <v>5</v>
      </c>
      <c r="E1311" s="12">
        <v>2</v>
      </c>
      <c r="F1311" s="12">
        <v>5</v>
      </c>
      <c r="G1311" s="12" t="s">
        <v>211</v>
      </c>
      <c r="H1311" s="12">
        <f t="shared" si="76"/>
        <v>5205</v>
      </c>
      <c r="I1311" s="12">
        <v>7000145</v>
      </c>
      <c r="J1311" s="12">
        <v>1600</v>
      </c>
    </row>
    <row r="1312" spans="1:10" x14ac:dyDescent="0.3">
      <c r="A1312" s="12">
        <f t="shared" si="75"/>
        <v>5205009</v>
      </c>
      <c r="B1312" s="12">
        <v>9</v>
      </c>
      <c r="C1312" s="12" t="str">
        <f t="shared" si="77"/>
        <v>난동</v>
      </c>
      <c r="D1312" s="12">
        <v>5</v>
      </c>
      <c r="E1312" s="12">
        <v>2</v>
      </c>
      <c r="F1312" s="12">
        <v>5</v>
      </c>
      <c r="G1312" s="12" t="s">
        <v>212</v>
      </c>
      <c r="H1312" s="12">
        <f t="shared" si="76"/>
        <v>5205</v>
      </c>
      <c r="I1312" s="12">
        <v>7000146</v>
      </c>
      <c r="J1312" s="12">
        <v>500</v>
      </c>
    </row>
    <row r="1313" spans="1:10" x14ac:dyDescent="0.3">
      <c r="A1313" s="12">
        <f t="shared" si="75"/>
        <v>5205010</v>
      </c>
      <c r="B1313" s="12">
        <v>10</v>
      </c>
      <c r="C1313" s="12" t="str">
        <f t="shared" si="77"/>
        <v>불굴의 의지</v>
      </c>
      <c r="D1313" s="12">
        <v>5</v>
      </c>
      <c r="E1313" s="12">
        <v>2</v>
      </c>
      <c r="F1313" s="12">
        <v>5</v>
      </c>
      <c r="G1313" s="12" t="s">
        <v>213</v>
      </c>
      <c r="H1313" s="12">
        <f t="shared" si="76"/>
        <v>5205</v>
      </c>
      <c r="I1313" s="12">
        <v>7000153</v>
      </c>
      <c r="J1313" s="12">
        <v>100</v>
      </c>
    </row>
    <row r="1314" spans="1:10" x14ac:dyDescent="0.3">
      <c r="A1314" s="12">
        <f t="shared" si="75"/>
        <v>5206001</v>
      </c>
      <c r="B1314" s="12">
        <v>1</v>
      </c>
      <c r="C1314" s="12" t="str">
        <f>C1304</f>
        <v>인내심</v>
      </c>
      <c r="D1314" s="12">
        <v>5</v>
      </c>
      <c r="E1314" s="12">
        <v>2</v>
      </c>
      <c r="F1314" s="12">
        <v>6</v>
      </c>
      <c r="G1314" s="12" t="s">
        <v>208</v>
      </c>
      <c r="H1314" s="12">
        <f t="shared" si="76"/>
        <v>5206</v>
      </c>
      <c r="I1314" s="12">
        <v>7000102</v>
      </c>
      <c r="J1314" s="12">
        <v>10000</v>
      </c>
    </row>
    <row r="1315" spans="1:10" x14ac:dyDescent="0.3">
      <c r="A1315" s="12">
        <f t="shared" si="75"/>
        <v>5206002</v>
      </c>
      <c r="B1315" s="12">
        <v>2</v>
      </c>
      <c r="C1315" s="12" t="str">
        <f t="shared" si="77"/>
        <v>복수심</v>
      </c>
      <c r="D1315" s="12">
        <v>5</v>
      </c>
      <c r="E1315" s="12">
        <v>2</v>
      </c>
      <c r="F1315" s="12">
        <v>6</v>
      </c>
      <c r="G1315" s="12" t="s">
        <v>208</v>
      </c>
      <c r="H1315" s="12">
        <f t="shared" si="76"/>
        <v>5206</v>
      </c>
      <c r="I1315" s="12">
        <v>7000110</v>
      </c>
      <c r="J1315" s="12">
        <v>10000</v>
      </c>
    </row>
    <row r="1316" spans="1:10" x14ac:dyDescent="0.3">
      <c r="A1316" s="12">
        <f t="shared" si="75"/>
        <v>5206003</v>
      </c>
      <c r="B1316" s="12">
        <v>3</v>
      </c>
      <c r="C1316" s="12" t="str">
        <f t="shared" si="77"/>
        <v>허영심</v>
      </c>
      <c r="D1316" s="12">
        <v>5</v>
      </c>
      <c r="E1316" s="12">
        <v>2</v>
      </c>
      <c r="F1316" s="12">
        <v>6</v>
      </c>
      <c r="G1316" s="12" t="s">
        <v>208</v>
      </c>
      <c r="H1316" s="12">
        <f t="shared" si="76"/>
        <v>5206</v>
      </c>
      <c r="I1316" s="12">
        <v>7000112</v>
      </c>
      <c r="J1316" s="12">
        <v>10000</v>
      </c>
    </row>
    <row r="1317" spans="1:10" x14ac:dyDescent="0.3">
      <c r="A1317" s="12">
        <f t="shared" si="75"/>
        <v>5206004</v>
      </c>
      <c r="B1317" s="12">
        <v>4</v>
      </c>
      <c r="C1317" s="12" t="str">
        <f t="shared" si="77"/>
        <v>앙갚음</v>
      </c>
      <c r="D1317" s="12">
        <v>5</v>
      </c>
      <c r="E1317" s="12">
        <v>2</v>
      </c>
      <c r="F1317" s="12">
        <v>6</v>
      </c>
      <c r="G1317" s="12" t="s">
        <v>209</v>
      </c>
      <c r="H1317" s="12">
        <f t="shared" si="76"/>
        <v>5206</v>
      </c>
      <c r="I1317" s="12">
        <v>7000131</v>
      </c>
      <c r="J1317" s="12">
        <v>12500</v>
      </c>
    </row>
    <row r="1318" spans="1:10" x14ac:dyDescent="0.3">
      <c r="A1318" s="12">
        <f t="shared" si="75"/>
        <v>5206005</v>
      </c>
      <c r="B1318" s="12">
        <v>5</v>
      </c>
      <c r="C1318" s="12" t="str">
        <f t="shared" si="77"/>
        <v>오기</v>
      </c>
      <c r="D1318" s="12">
        <v>5</v>
      </c>
      <c r="E1318" s="12">
        <v>2</v>
      </c>
      <c r="F1318" s="12">
        <v>6</v>
      </c>
      <c r="G1318" s="12" t="s">
        <v>209</v>
      </c>
      <c r="H1318" s="12">
        <f t="shared" si="76"/>
        <v>5206</v>
      </c>
      <c r="I1318" s="12">
        <v>7000139</v>
      </c>
      <c r="J1318" s="12">
        <v>12500</v>
      </c>
    </row>
    <row r="1319" spans="1:10" x14ac:dyDescent="0.3">
      <c r="A1319" s="12">
        <f t="shared" si="75"/>
        <v>5206006</v>
      </c>
      <c r="B1319" s="12">
        <v>6</v>
      </c>
      <c r="C1319" s="12" t="str">
        <f t="shared" si="77"/>
        <v>성화</v>
      </c>
      <c r="D1319" s="12">
        <v>5</v>
      </c>
      <c r="E1319" s="12">
        <v>2</v>
      </c>
      <c r="F1319" s="12">
        <v>6</v>
      </c>
      <c r="G1319" s="12" t="s">
        <v>210</v>
      </c>
      <c r="H1319" s="12">
        <f t="shared" si="76"/>
        <v>5206</v>
      </c>
      <c r="I1319" s="12">
        <v>7000143</v>
      </c>
      <c r="J1319" s="12">
        <v>7500</v>
      </c>
    </row>
    <row r="1320" spans="1:10" x14ac:dyDescent="0.3">
      <c r="A1320" s="12">
        <f t="shared" si="75"/>
        <v>5206007</v>
      </c>
      <c r="B1320" s="12">
        <v>7</v>
      </c>
      <c r="C1320" s="12" t="str">
        <f t="shared" si="77"/>
        <v>표독</v>
      </c>
      <c r="D1320" s="12">
        <v>5</v>
      </c>
      <c r="E1320" s="12">
        <v>2</v>
      </c>
      <c r="F1320" s="12">
        <v>6</v>
      </c>
      <c r="G1320" s="12" t="s">
        <v>210</v>
      </c>
      <c r="H1320" s="12">
        <f t="shared" si="76"/>
        <v>5206</v>
      </c>
      <c r="I1320" s="12">
        <v>7000144</v>
      </c>
      <c r="J1320" s="12">
        <v>7500</v>
      </c>
    </row>
    <row r="1321" spans="1:10" x14ac:dyDescent="0.3">
      <c r="A1321" s="12">
        <f t="shared" si="75"/>
        <v>5206008</v>
      </c>
      <c r="B1321" s="12">
        <v>8</v>
      </c>
      <c r="C1321" s="12" t="str">
        <f t="shared" si="77"/>
        <v>혈투</v>
      </c>
      <c r="D1321" s="12">
        <v>5</v>
      </c>
      <c r="E1321" s="12">
        <v>2</v>
      </c>
      <c r="F1321" s="12">
        <v>6</v>
      </c>
      <c r="G1321" s="12" t="s">
        <v>211</v>
      </c>
      <c r="H1321" s="12">
        <f t="shared" si="76"/>
        <v>5206</v>
      </c>
      <c r="I1321" s="12">
        <v>7000145</v>
      </c>
      <c r="J1321" s="12">
        <v>1500</v>
      </c>
    </row>
    <row r="1322" spans="1:10" x14ac:dyDescent="0.3">
      <c r="A1322" s="12">
        <f t="shared" si="75"/>
        <v>5206009</v>
      </c>
      <c r="B1322" s="12">
        <v>9</v>
      </c>
      <c r="C1322" s="12" t="str">
        <f t="shared" si="77"/>
        <v>난동</v>
      </c>
      <c r="D1322" s="12">
        <v>5</v>
      </c>
      <c r="E1322" s="12">
        <v>2</v>
      </c>
      <c r="F1322" s="12">
        <v>6</v>
      </c>
      <c r="G1322" s="12" t="s">
        <v>212</v>
      </c>
      <c r="H1322" s="12">
        <f t="shared" si="76"/>
        <v>5206</v>
      </c>
      <c r="I1322" s="12">
        <v>7000146</v>
      </c>
      <c r="J1322" s="12">
        <v>500</v>
      </c>
    </row>
    <row r="1323" spans="1:10" x14ac:dyDescent="0.3">
      <c r="A1323" s="12">
        <f t="shared" si="75"/>
        <v>5206010</v>
      </c>
      <c r="B1323" s="12">
        <v>10</v>
      </c>
      <c r="C1323" s="12" t="str">
        <f t="shared" si="77"/>
        <v>불굴의 의지</v>
      </c>
      <c r="D1323" s="12">
        <v>5</v>
      </c>
      <c r="E1323" s="12">
        <v>2</v>
      </c>
      <c r="F1323" s="12">
        <v>6</v>
      </c>
      <c r="G1323" s="12" t="s">
        <v>213</v>
      </c>
      <c r="H1323" s="12">
        <f t="shared" si="76"/>
        <v>5206</v>
      </c>
      <c r="I1323" s="12">
        <v>7000153</v>
      </c>
      <c r="J1323" s="12">
        <v>100</v>
      </c>
    </row>
    <row r="1324" spans="1:10" x14ac:dyDescent="0.3">
      <c r="A1324" s="13">
        <f>INT(H1324&amp;TEXT(B1324,"000"))</f>
        <v>5301001</v>
      </c>
      <c r="B1324" s="13">
        <v>1</v>
      </c>
      <c r="C1324" s="13" t="s">
        <v>362</v>
      </c>
      <c r="D1324" s="13">
        <v>5</v>
      </c>
      <c r="E1324" s="13">
        <v>3</v>
      </c>
      <c r="F1324" s="13">
        <v>1</v>
      </c>
      <c r="G1324" s="13" t="s">
        <v>208</v>
      </c>
      <c r="H1324" s="13">
        <f>INT(D1324&amp;E1324&amp;TEXT(F1324,"00"))</f>
        <v>5301</v>
      </c>
      <c r="I1324" s="13">
        <v>7000105</v>
      </c>
      <c r="J1324" s="13">
        <v>20000</v>
      </c>
    </row>
    <row r="1325" spans="1:10" x14ac:dyDescent="0.3">
      <c r="A1325" s="12">
        <f t="shared" ref="A1325:A1383" si="78">INT(H1325&amp;TEXT(B1325,"000"))</f>
        <v>5301002</v>
      </c>
      <c r="B1325" s="12">
        <v>2</v>
      </c>
      <c r="C1325" s="12" t="s">
        <v>379</v>
      </c>
      <c r="D1325" s="12">
        <v>5</v>
      </c>
      <c r="E1325" s="12">
        <v>3</v>
      </c>
      <c r="F1325" s="12">
        <v>1</v>
      </c>
      <c r="G1325" s="12" t="s">
        <v>208</v>
      </c>
      <c r="H1325" s="12">
        <f t="shared" ref="H1325:H1383" si="79">INT(D1325&amp;E1325&amp;TEXT(F1325,"00"))</f>
        <v>5301</v>
      </c>
      <c r="I1325" s="12">
        <v>7000148</v>
      </c>
      <c r="J1325" s="12">
        <v>20000</v>
      </c>
    </row>
    <row r="1326" spans="1:10" x14ac:dyDescent="0.3">
      <c r="A1326" s="12">
        <f t="shared" si="78"/>
        <v>5301003</v>
      </c>
      <c r="B1326" s="12">
        <v>3</v>
      </c>
      <c r="C1326" s="12" t="s">
        <v>385</v>
      </c>
      <c r="D1326" s="12">
        <v>5</v>
      </c>
      <c r="E1326" s="12">
        <v>3</v>
      </c>
      <c r="F1326" s="12">
        <v>1</v>
      </c>
      <c r="G1326" s="12" t="s">
        <v>208</v>
      </c>
      <c r="H1326" s="12">
        <f t="shared" si="79"/>
        <v>5301</v>
      </c>
      <c r="I1326" s="12">
        <v>7000165</v>
      </c>
      <c r="J1326" s="12">
        <v>20000</v>
      </c>
    </row>
    <row r="1327" spans="1:10" x14ac:dyDescent="0.3">
      <c r="A1327" s="12">
        <f t="shared" si="78"/>
        <v>5301004</v>
      </c>
      <c r="B1327" s="12">
        <v>4</v>
      </c>
      <c r="C1327" s="12" t="s">
        <v>355</v>
      </c>
      <c r="D1327" s="12">
        <v>5</v>
      </c>
      <c r="E1327" s="12">
        <v>3</v>
      </c>
      <c r="F1327" s="12">
        <v>1</v>
      </c>
      <c r="G1327" s="12" t="s">
        <v>223</v>
      </c>
      <c r="H1327" s="12">
        <f t="shared" si="79"/>
        <v>5301</v>
      </c>
      <c r="I1327" s="12">
        <v>7000142</v>
      </c>
      <c r="J1327" s="12">
        <v>15000</v>
      </c>
    </row>
    <row r="1328" spans="1:10" x14ac:dyDescent="0.3">
      <c r="A1328" s="12">
        <f t="shared" si="78"/>
        <v>5301005</v>
      </c>
      <c r="B1328" s="12">
        <v>5</v>
      </c>
      <c r="C1328" s="12" t="s">
        <v>382</v>
      </c>
      <c r="D1328" s="12">
        <v>5</v>
      </c>
      <c r="E1328" s="12">
        <v>3</v>
      </c>
      <c r="F1328" s="12">
        <v>1</v>
      </c>
      <c r="G1328" s="12" t="s">
        <v>223</v>
      </c>
      <c r="H1328" s="12">
        <f t="shared" si="79"/>
        <v>5301</v>
      </c>
      <c r="I1328" s="12">
        <v>7000145</v>
      </c>
      <c r="J1328" s="12">
        <v>15000</v>
      </c>
    </row>
    <row r="1329" spans="1:10" x14ac:dyDescent="0.3">
      <c r="A1329" s="12">
        <f t="shared" si="78"/>
        <v>5301006</v>
      </c>
      <c r="B1329" s="12">
        <v>6</v>
      </c>
      <c r="C1329" s="12" t="s">
        <v>399</v>
      </c>
      <c r="D1329" s="12">
        <v>5</v>
      </c>
      <c r="E1329" s="12">
        <v>3</v>
      </c>
      <c r="F1329" s="12">
        <v>1</v>
      </c>
      <c r="G1329" s="12" t="s">
        <v>222</v>
      </c>
      <c r="H1329" s="12">
        <f t="shared" si="79"/>
        <v>5301</v>
      </c>
      <c r="I1329" s="12">
        <v>7000162</v>
      </c>
      <c r="J1329" s="12">
        <v>10000</v>
      </c>
    </row>
    <row r="1330" spans="1:10" x14ac:dyDescent="0.3">
      <c r="A1330" s="12">
        <f t="shared" si="78"/>
        <v>5301007</v>
      </c>
      <c r="B1330" s="12">
        <v>7</v>
      </c>
      <c r="C1330" s="12" t="s">
        <v>359</v>
      </c>
      <c r="D1330" s="12">
        <v>5</v>
      </c>
      <c r="E1330" s="12">
        <v>3</v>
      </c>
      <c r="F1330" s="12">
        <v>1</v>
      </c>
      <c r="G1330" s="12" t="s">
        <v>222</v>
      </c>
      <c r="H1330" s="12">
        <f t="shared" si="79"/>
        <v>5301</v>
      </c>
      <c r="I1330" s="12">
        <v>7000136</v>
      </c>
      <c r="J1330" s="12">
        <v>10000</v>
      </c>
    </row>
    <row r="1331" spans="1:10" x14ac:dyDescent="0.3">
      <c r="A1331" s="12">
        <f t="shared" si="78"/>
        <v>5301008</v>
      </c>
      <c r="B1331" s="12">
        <v>8</v>
      </c>
      <c r="C1331" s="12" t="s">
        <v>110</v>
      </c>
      <c r="D1331" s="12">
        <v>5</v>
      </c>
      <c r="E1331" s="12">
        <v>3</v>
      </c>
      <c r="F1331" s="12">
        <v>1</v>
      </c>
      <c r="G1331" s="12" t="s">
        <v>211</v>
      </c>
      <c r="H1331" s="12">
        <f t="shared" si="79"/>
        <v>5301</v>
      </c>
      <c r="I1331" s="12">
        <v>7000141</v>
      </c>
      <c r="J1331" s="12">
        <v>2000</v>
      </c>
    </row>
    <row r="1332" spans="1:10" x14ac:dyDescent="0.3">
      <c r="A1332" s="12">
        <f t="shared" si="78"/>
        <v>5301009</v>
      </c>
      <c r="B1332" s="12">
        <v>9</v>
      </c>
      <c r="C1332" s="12" t="s">
        <v>398</v>
      </c>
      <c r="D1332" s="12">
        <v>5</v>
      </c>
      <c r="E1332" s="12">
        <v>3</v>
      </c>
      <c r="F1332" s="12">
        <v>1</v>
      </c>
      <c r="G1332" s="12" t="s">
        <v>212</v>
      </c>
      <c r="H1332" s="12">
        <f t="shared" si="79"/>
        <v>5301</v>
      </c>
      <c r="I1332" s="12">
        <v>7000151</v>
      </c>
      <c r="J1332" s="12">
        <v>500</v>
      </c>
    </row>
    <row r="1333" spans="1:10" x14ac:dyDescent="0.3">
      <c r="A1333" s="12">
        <f t="shared" si="78"/>
        <v>5301010</v>
      </c>
      <c r="B1333" s="12">
        <v>10</v>
      </c>
      <c r="C1333" s="12" t="s">
        <v>402</v>
      </c>
      <c r="D1333" s="12">
        <v>5</v>
      </c>
      <c r="E1333" s="12">
        <v>3</v>
      </c>
      <c r="F1333" s="12">
        <v>1</v>
      </c>
      <c r="G1333" s="12" t="s">
        <v>213</v>
      </c>
      <c r="H1333" s="12">
        <f t="shared" si="79"/>
        <v>5301</v>
      </c>
      <c r="I1333" s="12">
        <v>7000172</v>
      </c>
      <c r="J1333" s="12">
        <v>100</v>
      </c>
    </row>
    <row r="1334" spans="1:10" x14ac:dyDescent="0.3">
      <c r="A1334" s="12">
        <f t="shared" si="78"/>
        <v>5302001</v>
      </c>
      <c r="B1334" s="12">
        <v>1</v>
      </c>
      <c r="C1334" s="12" t="str">
        <f>C1324</f>
        <v>자기 합리화</v>
      </c>
      <c r="D1334" s="12">
        <v>5</v>
      </c>
      <c r="E1334" s="12">
        <v>3</v>
      </c>
      <c r="F1334" s="12">
        <v>2</v>
      </c>
      <c r="G1334" s="12" t="s">
        <v>208</v>
      </c>
      <c r="H1334" s="12">
        <f t="shared" si="79"/>
        <v>5302</v>
      </c>
      <c r="I1334" s="12">
        <v>7000105</v>
      </c>
      <c r="J1334" s="12">
        <v>18000</v>
      </c>
    </row>
    <row r="1335" spans="1:10" x14ac:dyDescent="0.3">
      <c r="A1335" s="12">
        <f t="shared" si="78"/>
        <v>5302002</v>
      </c>
      <c r="B1335" s="12">
        <v>2</v>
      </c>
      <c r="C1335" s="12" t="str">
        <f t="shared" ref="C1335:C1383" si="80">C1325</f>
        <v>독설가</v>
      </c>
      <c r="D1335" s="12">
        <v>5</v>
      </c>
      <c r="E1335" s="12">
        <v>3</v>
      </c>
      <c r="F1335" s="12">
        <v>2</v>
      </c>
      <c r="G1335" s="12" t="s">
        <v>208</v>
      </c>
      <c r="H1335" s="12">
        <f t="shared" si="79"/>
        <v>5302</v>
      </c>
      <c r="I1335" s="12">
        <v>7000148</v>
      </c>
      <c r="J1335" s="12">
        <v>18000</v>
      </c>
    </row>
    <row r="1336" spans="1:10" x14ac:dyDescent="0.3">
      <c r="A1336" s="12">
        <f t="shared" si="78"/>
        <v>5302003</v>
      </c>
      <c r="B1336" s="12">
        <v>3</v>
      </c>
      <c r="C1336" s="12" t="str">
        <f t="shared" si="80"/>
        <v>가학성애</v>
      </c>
      <c r="D1336" s="12">
        <v>5</v>
      </c>
      <c r="E1336" s="12">
        <v>3</v>
      </c>
      <c r="F1336" s="12">
        <v>2</v>
      </c>
      <c r="G1336" s="12" t="s">
        <v>208</v>
      </c>
      <c r="H1336" s="12">
        <f t="shared" si="79"/>
        <v>5302</v>
      </c>
      <c r="I1336" s="12">
        <v>7000165</v>
      </c>
      <c r="J1336" s="12">
        <v>18000</v>
      </c>
    </row>
    <row r="1337" spans="1:10" x14ac:dyDescent="0.3">
      <c r="A1337" s="12">
        <f t="shared" si="78"/>
        <v>5302004</v>
      </c>
      <c r="B1337" s="12">
        <v>4</v>
      </c>
      <c r="C1337" s="12" t="str">
        <f t="shared" si="80"/>
        <v>애증</v>
      </c>
      <c r="D1337" s="12">
        <v>5</v>
      </c>
      <c r="E1337" s="12">
        <v>3</v>
      </c>
      <c r="F1337" s="12">
        <v>2</v>
      </c>
      <c r="G1337" s="12" t="s">
        <v>209</v>
      </c>
      <c r="H1337" s="12">
        <f t="shared" si="79"/>
        <v>5302</v>
      </c>
      <c r="I1337" s="12">
        <v>7000142</v>
      </c>
      <c r="J1337" s="12">
        <v>14500</v>
      </c>
    </row>
    <row r="1338" spans="1:10" x14ac:dyDescent="0.3">
      <c r="A1338" s="12">
        <f t="shared" si="78"/>
        <v>5302005</v>
      </c>
      <c r="B1338" s="12">
        <v>5</v>
      </c>
      <c r="C1338" s="12" t="str">
        <f t="shared" si="80"/>
        <v>혈투</v>
      </c>
      <c r="D1338" s="12">
        <v>5</v>
      </c>
      <c r="E1338" s="12">
        <v>3</v>
      </c>
      <c r="F1338" s="12">
        <v>2</v>
      </c>
      <c r="G1338" s="12" t="s">
        <v>209</v>
      </c>
      <c r="H1338" s="12">
        <f t="shared" si="79"/>
        <v>5302</v>
      </c>
      <c r="I1338" s="12">
        <v>7000145</v>
      </c>
      <c r="J1338" s="12">
        <v>14500</v>
      </c>
    </row>
    <row r="1339" spans="1:10" x14ac:dyDescent="0.3">
      <c r="A1339" s="12">
        <f t="shared" si="78"/>
        <v>5302006</v>
      </c>
      <c r="B1339" s="12">
        <v>6</v>
      </c>
      <c r="C1339" s="12" t="str">
        <f t="shared" si="80"/>
        <v>강박증</v>
      </c>
      <c r="D1339" s="12">
        <v>5</v>
      </c>
      <c r="E1339" s="12">
        <v>3</v>
      </c>
      <c r="F1339" s="12">
        <v>2</v>
      </c>
      <c r="G1339" s="12" t="s">
        <v>210</v>
      </c>
      <c r="H1339" s="12">
        <f t="shared" si="79"/>
        <v>5302</v>
      </c>
      <c r="I1339" s="12">
        <v>7000162</v>
      </c>
      <c r="J1339" s="12">
        <v>9500</v>
      </c>
    </row>
    <row r="1340" spans="1:10" x14ac:dyDescent="0.3">
      <c r="A1340" s="12">
        <f t="shared" si="78"/>
        <v>5302007</v>
      </c>
      <c r="B1340" s="12">
        <v>7</v>
      </c>
      <c r="C1340" s="12" t="str">
        <f t="shared" si="80"/>
        <v>무자비</v>
      </c>
      <c r="D1340" s="12">
        <v>5</v>
      </c>
      <c r="E1340" s="12">
        <v>3</v>
      </c>
      <c r="F1340" s="12">
        <v>2</v>
      </c>
      <c r="G1340" s="12" t="s">
        <v>210</v>
      </c>
      <c r="H1340" s="12">
        <f t="shared" si="79"/>
        <v>5302</v>
      </c>
      <c r="I1340" s="12">
        <v>7000136</v>
      </c>
      <c r="J1340" s="12">
        <v>9500</v>
      </c>
    </row>
    <row r="1341" spans="1:10" x14ac:dyDescent="0.3">
      <c r="A1341" s="12">
        <f t="shared" si="78"/>
        <v>5302008</v>
      </c>
      <c r="B1341" s="12">
        <v>8</v>
      </c>
      <c r="C1341" s="12" t="str">
        <f t="shared" si="80"/>
        <v>위기감지</v>
      </c>
      <c r="D1341" s="12">
        <v>5</v>
      </c>
      <c r="E1341" s="12">
        <v>3</v>
      </c>
      <c r="F1341" s="12">
        <v>2</v>
      </c>
      <c r="G1341" s="12" t="s">
        <v>211</v>
      </c>
      <c r="H1341" s="12">
        <f t="shared" si="79"/>
        <v>5302</v>
      </c>
      <c r="I1341" s="12">
        <v>7000141</v>
      </c>
      <c r="J1341" s="12">
        <v>1900</v>
      </c>
    </row>
    <row r="1342" spans="1:10" x14ac:dyDescent="0.3">
      <c r="A1342" s="12">
        <f t="shared" si="78"/>
        <v>5302009</v>
      </c>
      <c r="B1342" s="12">
        <v>9</v>
      </c>
      <c r="C1342" s="12" t="str">
        <f t="shared" si="80"/>
        <v>후발주자</v>
      </c>
      <c r="D1342" s="12">
        <v>5</v>
      </c>
      <c r="E1342" s="12">
        <v>3</v>
      </c>
      <c r="F1342" s="12">
        <v>2</v>
      </c>
      <c r="G1342" s="12" t="s">
        <v>212</v>
      </c>
      <c r="H1342" s="12">
        <f t="shared" si="79"/>
        <v>5302</v>
      </c>
      <c r="I1342" s="12">
        <v>7000151</v>
      </c>
      <c r="J1342" s="12">
        <v>500</v>
      </c>
    </row>
    <row r="1343" spans="1:10" x14ac:dyDescent="0.3">
      <c r="A1343" s="12">
        <f t="shared" si="78"/>
        <v>5302010</v>
      </c>
      <c r="B1343" s="12">
        <v>10</v>
      </c>
      <c r="C1343" s="12" t="str">
        <f t="shared" si="80"/>
        <v>원한</v>
      </c>
      <c r="D1343" s="12">
        <v>5</v>
      </c>
      <c r="E1343" s="12">
        <v>3</v>
      </c>
      <c r="F1343" s="12">
        <v>2</v>
      </c>
      <c r="G1343" s="12" t="s">
        <v>213</v>
      </c>
      <c r="H1343" s="12">
        <f t="shared" si="79"/>
        <v>5302</v>
      </c>
      <c r="I1343" s="12">
        <v>7000172</v>
      </c>
      <c r="J1343" s="12">
        <v>100</v>
      </c>
    </row>
    <row r="1344" spans="1:10" x14ac:dyDescent="0.3">
      <c r="A1344" s="12">
        <f t="shared" si="78"/>
        <v>5303001</v>
      </c>
      <c r="B1344" s="12">
        <v>1</v>
      </c>
      <c r="C1344" s="12" t="str">
        <f>C1334</f>
        <v>자기 합리화</v>
      </c>
      <c r="D1344" s="12">
        <v>5</v>
      </c>
      <c r="E1344" s="12">
        <v>3</v>
      </c>
      <c r="F1344" s="12">
        <v>3</v>
      </c>
      <c r="G1344" s="12" t="s">
        <v>208</v>
      </c>
      <c r="H1344" s="12">
        <f t="shared" si="79"/>
        <v>5303</v>
      </c>
      <c r="I1344" s="12">
        <v>7000105</v>
      </c>
      <c r="J1344" s="12">
        <v>16000</v>
      </c>
    </row>
    <row r="1345" spans="1:10" x14ac:dyDescent="0.3">
      <c r="A1345" s="12">
        <f t="shared" si="78"/>
        <v>5303002</v>
      </c>
      <c r="B1345" s="12">
        <v>2</v>
      </c>
      <c r="C1345" s="12" t="str">
        <f t="shared" si="80"/>
        <v>독설가</v>
      </c>
      <c r="D1345" s="12">
        <v>5</v>
      </c>
      <c r="E1345" s="12">
        <v>3</v>
      </c>
      <c r="F1345" s="12">
        <v>3</v>
      </c>
      <c r="G1345" s="12" t="s">
        <v>208</v>
      </c>
      <c r="H1345" s="12">
        <f t="shared" si="79"/>
        <v>5303</v>
      </c>
      <c r="I1345" s="12">
        <v>7000148</v>
      </c>
      <c r="J1345" s="12">
        <v>16000</v>
      </c>
    </row>
    <row r="1346" spans="1:10" x14ac:dyDescent="0.3">
      <c r="A1346" s="12">
        <f t="shared" si="78"/>
        <v>5303003</v>
      </c>
      <c r="B1346" s="12">
        <v>3</v>
      </c>
      <c r="C1346" s="12" t="str">
        <f t="shared" si="80"/>
        <v>가학성애</v>
      </c>
      <c r="D1346" s="12">
        <v>5</v>
      </c>
      <c r="E1346" s="12">
        <v>3</v>
      </c>
      <c r="F1346" s="12">
        <v>3</v>
      </c>
      <c r="G1346" s="12" t="s">
        <v>208</v>
      </c>
      <c r="H1346" s="12">
        <f t="shared" si="79"/>
        <v>5303</v>
      </c>
      <c r="I1346" s="12">
        <v>7000165</v>
      </c>
      <c r="J1346" s="12">
        <v>16000</v>
      </c>
    </row>
    <row r="1347" spans="1:10" x14ac:dyDescent="0.3">
      <c r="A1347" s="12">
        <f t="shared" si="78"/>
        <v>5303004</v>
      </c>
      <c r="B1347" s="12">
        <v>4</v>
      </c>
      <c r="C1347" s="12" t="str">
        <f t="shared" si="80"/>
        <v>애증</v>
      </c>
      <c r="D1347" s="12">
        <v>5</v>
      </c>
      <c r="E1347" s="12">
        <v>3</v>
      </c>
      <c r="F1347" s="12">
        <v>3</v>
      </c>
      <c r="G1347" s="12" t="s">
        <v>209</v>
      </c>
      <c r="H1347" s="12">
        <f t="shared" si="79"/>
        <v>5303</v>
      </c>
      <c r="I1347" s="12">
        <v>7000142</v>
      </c>
      <c r="J1347" s="12">
        <v>14000</v>
      </c>
    </row>
    <row r="1348" spans="1:10" x14ac:dyDescent="0.3">
      <c r="A1348" s="12">
        <f t="shared" si="78"/>
        <v>5303005</v>
      </c>
      <c r="B1348" s="12">
        <v>5</v>
      </c>
      <c r="C1348" s="12" t="str">
        <f t="shared" si="80"/>
        <v>혈투</v>
      </c>
      <c r="D1348" s="12">
        <v>5</v>
      </c>
      <c r="E1348" s="12">
        <v>3</v>
      </c>
      <c r="F1348" s="12">
        <v>3</v>
      </c>
      <c r="G1348" s="12" t="s">
        <v>209</v>
      </c>
      <c r="H1348" s="12">
        <f t="shared" si="79"/>
        <v>5303</v>
      </c>
      <c r="I1348" s="12">
        <v>7000145</v>
      </c>
      <c r="J1348" s="12">
        <v>14000</v>
      </c>
    </row>
    <row r="1349" spans="1:10" x14ac:dyDescent="0.3">
      <c r="A1349" s="12">
        <f t="shared" si="78"/>
        <v>5303006</v>
      </c>
      <c r="B1349" s="12">
        <v>6</v>
      </c>
      <c r="C1349" s="12" t="str">
        <f t="shared" si="80"/>
        <v>강박증</v>
      </c>
      <c r="D1349" s="12">
        <v>5</v>
      </c>
      <c r="E1349" s="12">
        <v>3</v>
      </c>
      <c r="F1349" s="12">
        <v>3</v>
      </c>
      <c r="G1349" s="12" t="s">
        <v>210</v>
      </c>
      <c r="H1349" s="12">
        <f t="shared" si="79"/>
        <v>5303</v>
      </c>
      <c r="I1349" s="12">
        <v>7000162</v>
      </c>
      <c r="J1349" s="12">
        <v>9000</v>
      </c>
    </row>
    <row r="1350" spans="1:10" x14ac:dyDescent="0.3">
      <c r="A1350" s="12">
        <f t="shared" si="78"/>
        <v>5303007</v>
      </c>
      <c r="B1350" s="12">
        <v>7</v>
      </c>
      <c r="C1350" s="12" t="str">
        <f t="shared" si="80"/>
        <v>무자비</v>
      </c>
      <c r="D1350" s="12">
        <v>5</v>
      </c>
      <c r="E1350" s="12">
        <v>3</v>
      </c>
      <c r="F1350" s="12">
        <v>3</v>
      </c>
      <c r="G1350" s="12" t="s">
        <v>210</v>
      </c>
      <c r="H1350" s="12">
        <f t="shared" si="79"/>
        <v>5303</v>
      </c>
      <c r="I1350" s="12">
        <v>7000136</v>
      </c>
      <c r="J1350" s="12">
        <v>9000</v>
      </c>
    </row>
    <row r="1351" spans="1:10" x14ac:dyDescent="0.3">
      <c r="A1351" s="12">
        <f t="shared" si="78"/>
        <v>5303008</v>
      </c>
      <c r="B1351" s="12">
        <v>8</v>
      </c>
      <c r="C1351" s="12" t="str">
        <f t="shared" si="80"/>
        <v>위기감지</v>
      </c>
      <c r="D1351" s="12">
        <v>5</v>
      </c>
      <c r="E1351" s="12">
        <v>3</v>
      </c>
      <c r="F1351" s="12">
        <v>3</v>
      </c>
      <c r="G1351" s="12" t="s">
        <v>211</v>
      </c>
      <c r="H1351" s="12">
        <f t="shared" si="79"/>
        <v>5303</v>
      </c>
      <c r="I1351" s="12">
        <v>7000141</v>
      </c>
      <c r="J1351" s="12">
        <v>1800</v>
      </c>
    </row>
    <row r="1352" spans="1:10" x14ac:dyDescent="0.3">
      <c r="A1352" s="12">
        <f t="shared" si="78"/>
        <v>5303009</v>
      </c>
      <c r="B1352" s="12">
        <v>9</v>
      </c>
      <c r="C1352" s="12" t="str">
        <f t="shared" si="80"/>
        <v>후발주자</v>
      </c>
      <c r="D1352" s="12">
        <v>5</v>
      </c>
      <c r="E1352" s="12">
        <v>3</v>
      </c>
      <c r="F1352" s="12">
        <v>3</v>
      </c>
      <c r="G1352" s="12" t="s">
        <v>212</v>
      </c>
      <c r="H1352" s="12">
        <f t="shared" si="79"/>
        <v>5303</v>
      </c>
      <c r="I1352" s="12">
        <v>7000151</v>
      </c>
      <c r="J1352" s="12">
        <v>500</v>
      </c>
    </row>
    <row r="1353" spans="1:10" x14ac:dyDescent="0.3">
      <c r="A1353" s="12">
        <f t="shared" si="78"/>
        <v>5303010</v>
      </c>
      <c r="B1353" s="12">
        <v>10</v>
      </c>
      <c r="C1353" s="12" t="str">
        <f t="shared" si="80"/>
        <v>원한</v>
      </c>
      <c r="D1353" s="12">
        <v>5</v>
      </c>
      <c r="E1353" s="12">
        <v>3</v>
      </c>
      <c r="F1353" s="12">
        <v>3</v>
      </c>
      <c r="G1353" s="12" t="s">
        <v>213</v>
      </c>
      <c r="H1353" s="12">
        <f t="shared" si="79"/>
        <v>5303</v>
      </c>
      <c r="I1353" s="12">
        <v>7000172</v>
      </c>
      <c r="J1353" s="12">
        <v>100</v>
      </c>
    </row>
    <row r="1354" spans="1:10" x14ac:dyDescent="0.3">
      <c r="A1354" s="12">
        <f t="shared" si="78"/>
        <v>5304001</v>
      </c>
      <c r="B1354" s="12">
        <v>1</v>
      </c>
      <c r="C1354" s="12" t="str">
        <f>C1344</f>
        <v>자기 합리화</v>
      </c>
      <c r="D1354" s="12">
        <v>5</v>
      </c>
      <c r="E1354" s="12">
        <v>3</v>
      </c>
      <c r="F1354" s="12">
        <v>4</v>
      </c>
      <c r="G1354" s="12" t="s">
        <v>208</v>
      </c>
      <c r="H1354" s="12">
        <f t="shared" si="79"/>
        <v>5304</v>
      </c>
      <c r="I1354" s="12">
        <v>7000105</v>
      </c>
      <c r="J1354" s="12">
        <v>14000</v>
      </c>
    </row>
    <row r="1355" spans="1:10" x14ac:dyDescent="0.3">
      <c r="A1355" s="12">
        <f t="shared" si="78"/>
        <v>5304002</v>
      </c>
      <c r="B1355" s="12">
        <v>2</v>
      </c>
      <c r="C1355" s="12" t="str">
        <f t="shared" si="80"/>
        <v>독설가</v>
      </c>
      <c r="D1355" s="12">
        <v>5</v>
      </c>
      <c r="E1355" s="12">
        <v>3</v>
      </c>
      <c r="F1355" s="12">
        <v>4</v>
      </c>
      <c r="G1355" s="12" t="s">
        <v>208</v>
      </c>
      <c r="H1355" s="12">
        <f t="shared" si="79"/>
        <v>5304</v>
      </c>
      <c r="I1355" s="12">
        <v>7000148</v>
      </c>
      <c r="J1355" s="12">
        <v>14000</v>
      </c>
    </row>
    <row r="1356" spans="1:10" x14ac:dyDescent="0.3">
      <c r="A1356" s="12">
        <f t="shared" si="78"/>
        <v>5304003</v>
      </c>
      <c r="B1356" s="12">
        <v>3</v>
      </c>
      <c r="C1356" s="12" t="str">
        <f t="shared" si="80"/>
        <v>가학성애</v>
      </c>
      <c r="D1356" s="12">
        <v>5</v>
      </c>
      <c r="E1356" s="12">
        <v>3</v>
      </c>
      <c r="F1356" s="12">
        <v>4</v>
      </c>
      <c r="G1356" s="12" t="s">
        <v>208</v>
      </c>
      <c r="H1356" s="12">
        <f t="shared" si="79"/>
        <v>5304</v>
      </c>
      <c r="I1356" s="12">
        <v>7000165</v>
      </c>
      <c r="J1356" s="12">
        <v>14000</v>
      </c>
    </row>
    <row r="1357" spans="1:10" x14ac:dyDescent="0.3">
      <c r="A1357" s="12">
        <f t="shared" si="78"/>
        <v>5304004</v>
      </c>
      <c r="B1357" s="12">
        <v>4</v>
      </c>
      <c r="C1357" s="12" t="str">
        <f t="shared" si="80"/>
        <v>애증</v>
      </c>
      <c r="D1357" s="12">
        <v>5</v>
      </c>
      <c r="E1357" s="12">
        <v>3</v>
      </c>
      <c r="F1357" s="12">
        <v>4</v>
      </c>
      <c r="G1357" s="12" t="s">
        <v>209</v>
      </c>
      <c r="H1357" s="12">
        <f t="shared" si="79"/>
        <v>5304</v>
      </c>
      <c r="I1357" s="12">
        <v>7000142</v>
      </c>
      <c r="J1357" s="12">
        <v>13500</v>
      </c>
    </row>
    <row r="1358" spans="1:10" x14ac:dyDescent="0.3">
      <c r="A1358" s="12">
        <f t="shared" si="78"/>
        <v>5304005</v>
      </c>
      <c r="B1358" s="12">
        <v>5</v>
      </c>
      <c r="C1358" s="12" t="str">
        <f t="shared" si="80"/>
        <v>혈투</v>
      </c>
      <c r="D1358" s="12">
        <v>5</v>
      </c>
      <c r="E1358" s="12">
        <v>3</v>
      </c>
      <c r="F1358" s="12">
        <v>4</v>
      </c>
      <c r="G1358" s="12" t="s">
        <v>209</v>
      </c>
      <c r="H1358" s="12">
        <f t="shared" si="79"/>
        <v>5304</v>
      </c>
      <c r="I1358" s="12">
        <v>7000145</v>
      </c>
      <c r="J1358" s="12">
        <v>13500</v>
      </c>
    </row>
    <row r="1359" spans="1:10" x14ac:dyDescent="0.3">
      <c r="A1359" s="12">
        <f t="shared" si="78"/>
        <v>5304006</v>
      </c>
      <c r="B1359" s="12">
        <v>6</v>
      </c>
      <c r="C1359" s="12" t="str">
        <f t="shared" si="80"/>
        <v>강박증</v>
      </c>
      <c r="D1359" s="12">
        <v>5</v>
      </c>
      <c r="E1359" s="12">
        <v>3</v>
      </c>
      <c r="F1359" s="12">
        <v>4</v>
      </c>
      <c r="G1359" s="12" t="s">
        <v>210</v>
      </c>
      <c r="H1359" s="12">
        <f t="shared" si="79"/>
        <v>5304</v>
      </c>
      <c r="I1359" s="12">
        <v>7000162</v>
      </c>
      <c r="J1359" s="12">
        <v>8500</v>
      </c>
    </row>
    <row r="1360" spans="1:10" x14ac:dyDescent="0.3">
      <c r="A1360" s="12">
        <f t="shared" si="78"/>
        <v>5304007</v>
      </c>
      <c r="B1360" s="12">
        <v>7</v>
      </c>
      <c r="C1360" s="12" t="str">
        <f t="shared" si="80"/>
        <v>무자비</v>
      </c>
      <c r="D1360" s="12">
        <v>5</v>
      </c>
      <c r="E1360" s="12">
        <v>3</v>
      </c>
      <c r="F1360" s="12">
        <v>4</v>
      </c>
      <c r="G1360" s="12" t="s">
        <v>210</v>
      </c>
      <c r="H1360" s="12">
        <f t="shared" si="79"/>
        <v>5304</v>
      </c>
      <c r="I1360" s="12">
        <v>7000136</v>
      </c>
      <c r="J1360" s="12">
        <v>8500</v>
      </c>
    </row>
    <row r="1361" spans="1:10" x14ac:dyDescent="0.3">
      <c r="A1361" s="12">
        <f t="shared" si="78"/>
        <v>5304008</v>
      </c>
      <c r="B1361" s="12">
        <v>8</v>
      </c>
      <c r="C1361" s="12" t="str">
        <f t="shared" si="80"/>
        <v>위기감지</v>
      </c>
      <c r="D1361" s="12">
        <v>5</v>
      </c>
      <c r="E1361" s="12">
        <v>3</v>
      </c>
      <c r="F1361" s="12">
        <v>4</v>
      </c>
      <c r="G1361" s="12" t="s">
        <v>211</v>
      </c>
      <c r="H1361" s="12">
        <f t="shared" si="79"/>
        <v>5304</v>
      </c>
      <c r="I1361" s="12">
        <v>7000141</v>
      </c>
      <c r="J1361" s="12">
        <v>1700</v>
      </c>
    </row>
    <row r="1362" spans="1:10" x14ac:dyDescent="0.3">
      <c r="A1362" s="12">
        <f t="shared" si="78"/>
        <v>5304009</v>
      </c>
      <c r="B1362" s="12">
        <v>9</v>
      </c>
      <c r="C1362" s="12" t="str">
        <f t="shared" si="80"/>
        <v>후발주자</v>
      </c>
      <c r="D1362" s="12">
        <v>5</v>
      </c>
      <c r="E1362" s="12">
        <v>3</v>
      </c>
      <c r="F1362" s="12">
        <v>4</v>
      </c>
      <c r="G1362" s="12" t="s">
        <v>212</v>
      </c>
      <c r="H1362" s="12">
        <f t="shared" si="79"/>
        <v>5304</v>
      </c>
      <c r="I1362" s="12">
        <v>7000151</v>
      </c>
      <c r="J1362" s="12">
        <v>500</v>
      </c>
    </row>
    <row r="1363" spans="1:10" x14ac:dyDescent="0.3">
      <c r="A1363" s="12">
        <f t="shared" si="78"/>
        <v>5304010</v>
      </c>
      <c r="B1363" s="12">
        <v>10</v>
      </c>
      <c r="C1363" s="12" t="str">
        <f t="shared" si="80"/>
        <v>원한</v>
      </c>
      <c r="D1363" s="12">
        <v>5</v>
      </c>
      <c r="E1363" s="12">
        <v>3</v>
      </c>
      <c r="F1363" s="12">
        <v>4</v>
      </c>
      <c r="G1363" s="12" t="s">
        <v>213</v>
      </c>
      <c r="H1363" s="12">
        <f t="shared" si="79"/>
        <v>5304</v>
      </c>
      <c r="I1363" s="12">
        <v>7000172</v>
      </c>
      <c r="J1363" s="12">
        <v>100</v>
      </c>
    </row>
    <row r="1364" spans="1:10" x14ac:dyDescent="0.3">
      <c r="A1364" s="12">
        <f t="shared" si="78"/>
        <v>5305001</v>
      </c>
      <c r="B1364" s="12">
        <v>1</v>
      </c>
      <c r="C1364" s="12" t="str">
        <f>C1354</f>
        <v>자기 합리화</v>
      </c>
      <c r="D1364" s="12">
        <v>5</v>
      </c>
      <c r="E1364" s="12">
        <v>3</v>
      </c>
      <c r="F1364" s="12">
        <v>5</v>
      </c>
      <c r="G1364" s="12" t="s">
        <v>208</v>
      </c>
      <c r="H1364" s="12">
        <f t="shared" si="79"/>
        <v>5305</v>
      </c>
      <c r="I1364" s="12">
        <v>7000105</v>
      </c>
      <c r="J1364" s="12">
        <v>12000</v>
      </c>
    </row>
    <row r="1365" spans="1:10" x14ac:dyDescent="0.3">
      <c r="A1365" s="12">
        <f t="shared" si="78"/>
        <v>5305002</v>
      </c>
      <c r="B1365" s="12">
        <v>2</v>
      </c>
      <c r="C1365" s="12" t="str">
        <f t="shared" si="80"/>
        <v>독설가</v>
      </c>
      <c r="D1365" s="12">
        <v>5</v>
      </c>
      <c r="E1365" s="12">
        <v>3</v>
      </c>
      <c r="F1365" s="12">
        <v>5</v>
      </c>
      <c r="G1365" s="12" t="s">
        <v>208</v>
      </c>
      <c r="H1365" s="12">
        <f t="shared" si="79"/>
        <v>5305</v>
      </c>
      <c r="I1365" s="12">
        <v>7000148</v>
      </c>
      <c r="J1365" s="12">
        <v>12000</v>
      </c>
    </row>
    <row r="1366" spans="1:10" x14ac:dyDescent="0.3">
      <c r="A1366" s="12">
        <f t="shared" si="78"/>
        <v>5305003</v>
      </c>
      <c r="B1366" s="12">
        <v>3</v>
      </c>
      <c r="C1366" s="12" t="str">
        <f t="shared" si="80"/>
        <v>가학성애</v>
      </c>
      <c r="D1366" s="12">
        <v>5</v>
      </c>
      <c r="E1366" s="12">
        <v>3</v>
      </c>
      <c r="F1366" s="12">
        <v>5</v>
      </c>
      <c r="G1366" s="12" t="s">
        <v>208</v>
      </c>
      <c r="H1366" s="12">
        <f t="shared" si="79"/>
        <v>5305</v>
      </c>
      <c r="I1366" s="12">
        <v>7000165</v>
      </c>
      <c r="J1366" s="12">
        <v>12000</v>
      </c>
    </row>
    <row r="1367" spans="1:10" x14ac:dyDescent="0.3">
      <c r="A1367" s="12">
        <f t="shared" si="78"/>
        <v>5305004</v>
      </c>
      <c r="B1367" s="12">
        <v>4</v>
      </c>
      <c r="C1367" s="12" t="str">
        <f t="shared" si="80"/>
        <v>애증</v>
      </c>
      <c r="D1367" s="12">
        <v>5</v>
      </c>
      <c r="E1367" s="12">
        <v>3</v>
      </c>
      <c r="F1367" s="12">
        <v>5</v>
      </c>
      <c r="G1367" s="12" t="s">
        <v>209</v>
      </c>
      <c r="H1367" s="12">
        <f t="shared" si="79"/>
        <v>5305</v>
      </c>
      <c r="I1367" s="12">
        <v>7000142</v>
      </c>
      <c r="J1367" s="12">
        <v>13000</v>
      </c>
    </row>
    <row r="1368" spans="1:10" x14ac:dyDescent="0.3">
      <c r="A1368" s="12">
        <f t="shared" si="78"/>
        <v>5305005</v>
      </c>
      <c r="B1368" s="12">
        <v>5</v>
      </c>
      <c r="C1368" s="12" t="str">
        <f t="shared" si="80"/>
        <v>혈투</v>
      </c>
      <c r="D1368" s="12">
        <v>5</v>
      </c>
      <c r="E1368" s="12">
        <v>3</v>
      </c>
      <c r="F1368" s="12">
        <v>5</v>
      </c>
      <c r="G1368" s="12" t="s">
        <v>209</v>
      </c>
      <c r="H1368" s="12">
        <f t="shared" si="79"/>
        <v>5305</v>
      </c>
      <c r="I1368" s="12">
        <v>7000145</v>
      </c>
      <c r="J1368" s="12">
        <v>13000</v>
      </c>
    </row>
    <row r="1369" spans="1:10" x14ac:dyDescent="0.3">
      <c r="A1369" s="12">
        <f t="shared" si="78"/>
        <v>5305006</v>
      </c>
      <c r="B1369" s="12">
        <v>6</v>
      </c>
      <c r="C1369" s="12" t="str">
        <f t="shared" si="80"/>
        <v>강박증</v>
      </c>
      <c r="D1369" s="12">
        <v>5</v>
      </c>
      <c r="E1369" s="12">
        <v>3</v>
      </c>
      <c r="F1369" s="12">
        <v>5</v>
      </c>
      <c r="G1369" s="12" t="s">
        <v>210</v>
      </c>
      <c r="H1369" s="12">
        <f t="shared" si="79"/>
        <v>5305</v>
      </c>
      <c r="I1369" s="12">
        <v>7000162</v>
      </c>
      <c r="J1369" s="12">
        <v>8000</v>
      </c>
    </row>
    <row r="1370" spans="1:10" x14ac:dyDescent="0.3">
      <c r="A1370" s="12">
        <f t="shared" si="78"/>
        <v>5305007</v>
      </c>
      <c r="B1370" s="12">
        <v>7</v>
      </c>
      <c r="C1370" s="12" t="str">
        <f t="shared" si="80"/>
        <v>무자비</v>
      </c>
      <c r="D1370" s="12">
        <v>5</v>
      </c>
      <c r="E1370" s="12">
        <v>3</v>
      </c>
      <c r="F1370" s="12">
        <v>5</v>
      </c>
      <c r="G1370" s="12" t="s">
        <v>210</v>
      </c>
      <c r="H1370" s="12">
        <f t="shared" si="79"/>
        <v>5305</v>
      </c>
      <c r="I1370" s="12">
        <v>7000136</v>
      </c>
      <c r="J1370" s="12">
        <v>8000</v>
      </c>
    </row>
    <row r="1371" spans="1:10" x14ac:dyDescent="0.3">
      <c r="A1371" s="12">
        <f t="shared" si="78"/>
        <v>5305008</v>
      </c>
      <c r="B1371" s="12">
        <v>8</v>
      </c>
      <c r="C1371" s="12" t="str">
        <f t="shared" si="80"/>
        <v>위기감지</v>
      </c>
      <c r="D1371" s="12">
        <v>5</v>
      </c>
      <c r="E1371" s="12">
        <v>3</v>
      </c>
      <c r="F1371" s="12">
        <v>5</v>
      </c>
      <c r="G1371" s="12" t="s">
        <v>211</v>
      </c>
      <c r="H1371" s="12">
        <f t="shared" si="79"/>
        <v>5305</v>
      </c>
      <c r="I1371" s="12">
        <v>7000141</v>
      </c>
      <c r="J1371" s="12">
        <v>1600</v>
      </c>
    </row>
    <row r="1372" spans="1:10" x14ac:dyDescent="0.3">
      <c r="A1372" s="12">
        <f t="shared" si="78"/>
        <v>5305009</v>
      </c>
      <c r="B1372" s="12">
        <v>9</v>
      </c>
      <c r="C1372" s="12" t="str">
        <f t="shared" si="80"/>
        <v>후발주자</v>
      </c>
      <c r="D1372" s="12">
        <v>5</v>
      </c>
      <c r="E1372" s="12">
        <v>3</v>
      </c>
      <c r="F1372" s="12">
        <v>5</v>
      </c>
      <c r="G1372" s="12" t="s">
        <v>212</v>
      </c>
      <c r="H1372" s="12">
        <f t="shared" si="79"/>
        <v>5305</v>
      </c>
      <c r="I1372" s="12">
        <v>7000151</v>
      </c>
      <c r="J1372" s="12">
        <v>500</v>
      </c>
    </row>
    <row r="1373" spans="1:10" x14ac:dyDescent="0.3">
      <c r="A1373" s="12">
        <f t="shared" si="78"/>
        <v>5305010</v>
      </c>
      <c r="B1373" s="12">
        <v>10</v>
      </c>
      <c r="C1373" s="12" t="str">
        <f t="shared" si="80"/>
        <v>원한</v>
      </c>
      <c r="D1373" s="12">
        <v>5</v>
      </c>
      <c r="E1373" s="12">
        <v>3</v>
      </c>
      <c r="F1373" s="12">
        <v>5</v>
      </c>
      <c r="G1373" s="12" t="s">
        <v>213</v>
      </c>
      <c r="H1373" s="12">
        <f t="shared" si="79"/>
        <v>5305</v>
      </c>
      <c r="I1373" s="12">
        <v>7000172</v>
      </c>
      <c r="J1373" s="12">
        <v>100</v>
      </c>
    </row>
    <row r="1374" spans="1:10" x14ac:dyDescent="0.3">
      <c r="A1374" s="12">
        <f t="shared" si="78"/>
        <v>5306001</v>
      </c>
      <c r="B1374" s="12">
        <v>1</v>
      </c>
      <c r="C1374" s="12" t="str">
        <f>C1364</f>
        <v>자기 합리화</v>
      </c>
      <c r="D1374" s="12">
        <v>5</v>
      </c>
      <c r="E1374" s="12">
        <v>3</v>
      </c>
      <c r="F1374" s="12">
        <v>6</v>
      </c>
      <c r="G1374" s="12" t="s">
        <v>208</v>
      </c>
      <c r="H1374" s="12">
        <f t="shared" si="79"/>
        <v>5306</v>
      </c>
      <c r="I1374" s="12">
        <v>7000105</v>
      </c>
      <c r="J1374" s="12">
        <v>10000</v>
      </c>
    </row>
    <row r="1375" spans="1:10" x14ac:dyDescent="0.3">
      <c r="A1375" s="12">
        <f t="shared" si="78"/>
        <v>5306002</v>
      </c>
      <c r="B1375" s="12">
        <v>2</v>
      </c>
      <c r="C1375" s="12" t="str">
        <f t="shared" si="80"/>
        <v>독설가</v>
      </c>
      <c r="D1375" s="12">
        <v>5</v>
      </c>
      <c r="E1375" s="12">
        <v>3</v>
      </c>
      <c r="F1375" s="12">
        <v>6</v>
      </c>
      <c r="G1375" s="12" t="s">
        <v>208</v>
      </c>
      <c r="H1375" s="12">
        <f t="shared" si="79"/>
        <v>5306</v>
      </c>
      <c r="I1375" s="12">
        <v>7000148</v>
      </c>
      <c r="J1375" s="12">
        <v>10000</v>
      </c>
    </row>
    <row r="1376" spans="1:10" x14ac:dyDescent="0.3">
      <c r="A1376" s="12">
        <f t="shared" si="78"/>
        <v>5306003</v>
      </c>
      <c r="B1376" s="12">
        <v>3</v>
      </c>
      <c r="C1376" s="12" t="str">
        <f t="shared" si="80"/>
        <v>가학성애</v>
      </c>
      <c r="D1376" s="12">
        <v>5</v>
      </c>
      <c r="E1376" s="12">
        <v>3</v>
      </c>
      <c r="F1376" s="12">
        <v>6</v>
      </c>
      <c r="G1376" s="12" t="s">
        <v>208</v>
      </c>
      <c r="H1376" s="12">
        <f t="shared" si="79"/>
        <v>5306</v>
      </c>
      <c r="I1376" s="12">
        <v>7000165</v>
      </c>
      <c r="J1376" s="12">
        <v>10000</v>
      </c>
    </row>
    <row r="1377" spans="1:10" x14ac:dyDescent="0.3">
      <c r="A1377" s="12">
        <f t="shared" si="78"/>
        <v>5306004</v>
      </c>
      <c r="B1377" s="12">
        <v>4</v>
      </c>
      <c r="C1377" s="12" t="str">
        <f t="shared" si="80"/>
        <v>애증</v>
      </c>
      <c r="D1377" s="12">
        <v>5</v>
      </c>
      <c r="E1377" s="12">
        <v>3</v>
      </c>
      <c r="F1377" s="12">
        <v>6</v>
      </c>
      <c r="G1377" s="12" t="s">
        <v>209</v>
      </c>
      <c r="H1377" s="12">
        <f t="shared" si="79"/>
        <v>5306</v>
      </c>
      <c r="I1377" s="12">
        <v>7000142</v>
      </c>
      <c r="J1377" s="12">
        <v>12500</v>
      </c>
    </row>
    <row r="1378" spans="1:10" x14ac:dyDescent="0.3">
      <c r="A1378" s="12">
        <f t="shared" si="78"/>
        <v>5306005</v>
      </c>
      <c r="B1378" s="12">
        <v>5</v>
      </c>
      <c r="C1378" s="12" t="str">
        <f t="shared" si="80"/>
        <v>혈투</v>
      </c>
      <c r="D1378" s="12">
        <v>5</v>
      </c>
      <c r="E1378" s="12">
        <v>3</v>
      </c>
      <c r="F1378" s="12">
        <v>6</v>
      </c>
      <c r="G1378" s="12" t="s">
        <v>209</v>
      </c>
      <c r="H1378" s="12">
        <f t="shared" si="79"/>
        <v>5306</v>
      </c>
      <c r="I1378" s="12">
        <v>7000145</v>
      </c>
      <c r="J1378" s="12">
        <v>12500</v>
      </c>
    </row>
    <row r="1379" spans="1:10" x14ac:dyDescent="0.3">
      <c r="A1379" s="12">
        <f t="shared" si="78"/>
        <v>5306006</v>
      </c>
      <c r="B1379" s="12">
        <v>6</v>
      </c>
      <c r="C1379" s="12" t="str">
        <f t="shared" si="80"/>
        <v>강박증</v>
      </c>
      <c r="D1379" s="12">
        <v>5</v>
      </c>
      <c r="E1379" s="12">
        <v>3</v>
      </c>
      <c r="F1379" s="12">
        <v>6</v>
      </c>
      <c r="G1379" s="12" t="s">
        <v>210</v>
      </c>
      <c r="H1379" s="12">
        <f t="shared" si="79"/>
        <v>5306</v>
      </c>
      <c r="I1379" s="12">
        <v>7000162</v>
      </c>
      <c r="J1379" s="12">
        <v>7500</v>
      </c>
    </row>
    <row r="1380" spans="1:10" x14ac:dyDescent="0.3">
      <c r="A1380" s="12">
        <f t="shared" si="78"/>
        <v>5306007</v>
      </c>
      <c r="B1380" s="12">
        <v>7</v>
      </c>
      <c r="C1380" s="12" t="str">
        <f t="shared" si="80"/>
        <v>무자비</v>
      </c>
      <c r="D1380" s="12">
        <v>5</v>
      </c>
      <c r="E1380" s="12">
        <v>3</v>
      </c>
      <c r="F1380" s="12">
        <v>6</v>
      </c>
      <c r="G1380" s="12" t="s">
        <v>210</v>
      </c>
      <c r="H1380" s="12">
        <f t="shared" si="79"/>
        <v>5306</v>
      </c>
      <c r="I1380" s="12">
        <v>7000136</v>
      </c>
      <c r="J1380" s="12">
        <v>7500</v>
      </c>
    </row>
    <row r="1381" spans="1:10" x14ac:dyDescent="0.3">
      <c r="A1381" s="12">
        <f t="shared" si="78"/>
        <v>5306008</v>
      </c>
      <c r="B1381" s="12">
        <v>8</v>
      </c>
      <c r="C1381" s="12" t="str">
        <f t="shared" si="80"/>
        <v>위기감지</v>
      </c>
      <c r="D1381" s="12">
        <v>5</v>
      </c>
      <c r="E1381" s="12">
        <v>3</v>
      </c>
      <c r="F1381" s="12">
        <v>6</v>
      </c>
      <c r="G1381" s="12" t="s">
        <v>211</v>
      </c>
      <c r="H1381" s="12">
        <f t="shared" si="79"/>
        <v>5306</v>
      </c>
      <c r="I1381" s="12">
        <v>7000141</v>
      </c>
      <c r="J1381" s="12">
        <v>1500</v>
      </c>
    </row>
    <row r="1382" spans="1:10" x14ac:dyDescent="0.3">
      <c r="A1382" s="12">
        <f t="shared" si="78"/>
        <v>5306009</v>
      </c>
      <c r="B1382" s="12">
        <v>9</v>
      </c>
      <c r="C1382" s="12" t="str">
        <f t="shared" si="80"/>
        <v>후발주자</v>
      </c>
      <c r="D1382" s="12">
        <v>5</v>
      </c>
      <c r="E1382" s="12">
        <v>3</v>
      </c>
      <c r="F1382" s="12">
        <v>6</v>
      </c>
      <c r="G1382" s="12" t="s">
        <v>212</v>
      </c>
      <c r="H1382" s="12">
        <f t="shared" si="79"/>
        <v>5306</v>
      </c>
      <c r="I1382" s="12">
        <v>7000151</v>
      </c>
      <c r="J1382" s="12">
        <v>500</v>
      </c>
    </row>
    <row r="1383" spans="1:10" x14ac:dyDescent="0.3">
      <c r="A1383" s="12">
        <f t="shared" si="78"/>
        <v>5306010</v>
      </c>
      <c r="B1383" s="12">
        <v>10</v>
      </c>
      <c r="C1383" s="12" t="str">
        <f t="shared" si="80"/>
        <v>원한</v>
      </c>
      <c r="D1383" s="12">
        <v>5</v>
      </c>
      <c r="E1383" s="12">
        <v>3</v>
      </c>
      <c r="F1383" s="12">
        <v>6</v>
      </c>
      <c r="G1383" s="12" t="s">
        <v>213</v>
      </c>
      <c r="H1383" s="12">
        <f t="shared" si="79"/>
        <v>5306</v>
      </c>
      <c r="I1383" s="12">
        <v>7000172</v>
      </c>
      <c r="J1383" s="12">
        <v>100</v>
      </c>
    </row>
    <row r="1384" spans="1:10" x14ac:dyDescent="0.3">
      <c r="A1384" s="13">
        <f>INT(H1384&amp;TEXT(B1384,"000"))</f>
        <v>5401001</v>
      </c>
      <c r="B1384" s="13">
        <v>1</v>
      </c>
      <c r="C1384" s="13" t="s">
        <v>403</v>
      </c>
      <c r="D1384" s="13">
        <v>5</v>
      </c>
      <c r="E1384" s="13">
        <v>4</v>
      </c>
      <c r="F1384" s="13">
        <v>1</v>
      </c>
      <c r="G1384" s="13" t="s">
        <v>208</v>
      </c>
      <c r="H1384" s="13">
        <f>INT(D1384&amp;E1384&amp;TEXT(F1384,"00"))</f>
        <v>5401</v>
      </c>
      <c r="I1384" s="13">
        <v>7000167</v>
      </c>
      <c r="J1384" s="13">
        <v>20000</v>
      </c>
    </row>
    <row r="1385" spans="1:10" x14ac:dyDescent="0.3">
      <c r="A1385" s="12">
        <f t="shared" ref="A1385:A1443" si="81">INT(H1385&amp;TEXT(B1385,"000"))</f>
        <v>5401002</v>
      </c>
      <c r="B1385" s="12">
        <v>2</v>
      </c>
      <c r="C1385" s="12" t="s">
        <v>362</v>
      </c>
      <c r="D1385" s="12">
        <v>5</v>
      </c>
      <c r="E1385" s="12">
        <v>4</v>
      </c>
      <c r="F1385" s="12">
        <v>1</v>
      </c>
      <c r="G1385" s="12" t="s">
        <v>208</v>
      </c>
      <c r="H1385" s="12">
        <f t="shared" ref="H1385:H1443" si="82">INT(D1385&amp;E1385&amp;TEXT(F1385,"00"))</f>
        <v>5401</v>
      </c>
      <c r="I1385" s="12">
        <v>7000105</v>
      </c>
      <c r="J1385" s="12">
        <v>20000</v>
      </c>
    </row>
    <row r="1386" spans="1:10" x14ac:dyDescent="0.3">
      <c r="A1386" s="12">
        <f t="shared" si="81"/>
        <v>5401003</v>
      </c>
      <c r="B1386" s="12">
        <v>3</v>
      </c>
      <c r="C1386" s="12" t="s">
        <v>390</v>
      </c>
      <c r="D1386" s="12">
        <v>5</v>
      </c>
      <c r="E1386" s="12">
        <v>4</v>
      </c>
      <c r="F1386" s="12">
        <v>1</v>
      </c>
      <c r="G1386" s="12" t="s">
        <v>208</v>
      </c>
      <c r="H1386" s="12">
        <f t="shared" si="82"/>
        <v>5401</v>
      </c>
      <c r="I1386" s="12">
        <v>7000152</v>
      </c>
      <c r="J1386" s="12">
        <v>20000</v>
      </c>
    </row>
    <row r="1387" spans="1:10" x14ac:dyDescent="0.3">
      <c r="A1387" s="12">
        <f t="shared" si="81"/>
        <v>5401004</v>
      </c>
      <c r="B1387" s="12">
        <v>4</v>
      </c>
      <c r="C1387" s="12" t="s">
        <v>368</v>
      </c>
      <c r="D1387" s="12">
        <v>5</v>
      </c>
      <c r="E1387" s="12">
        <v>4</v>
      </c>
      <c r="F1387" s="12">
        <v>1</v>
      </c>
      <c r="G1387" s="12" t="s">
        <v>223</v>
      </c>
      <c r="H1387" s="12">
        <f t="shared" si="82"/>
        <v>5401</v>
      </c>
      <c r="I1387" s="12">
        <v>7000122</v>
      </c>
      <c r="J1387" s="12">
        <v>15000</v>
      </c>
    </row>
    <row r="1388" spans="1:10" x14ac:dyDescent="0.3">
      <c r="A1388" s="12">
        <f t="shared" si="81"/>
        <v>5401005</v>
      </c>
      <c r="B1388" s="12">
        <v>5</v>
      </c>
      <c r="C1388" s="12" t="s">
        <v>361</v>
      </c>
      <c r="D1388" s="12">
        <v>5</v>
      </c>
      <c r="E1388" s="12">
        <v>4</v>
      </c>
      <c r="F1388" s="12">
        <v>1</v>
      </c>
      <c r="G1388" s="12" t="s">
        <v>223</v>
      </c>
      <c r="H1388" s="12">
        <f t="shared" si="82"/>
        <v>5401</v>
      </c>
      <c r="I1388" s="12">
        <v>7000123</v>
      </c>
      <c r="J1388" s="12">
        <v>15000</v>
      </c>
    </row>
    <row r="1389" spans="1:10" x14ac:dyDescent="0.3">
      <c r="A1389" s="12">
        <f t="shared" si="81"/>
        <v>5401006</v>
      </c>
      <c r="B1389" s="12">
        <v>6</v>
      </c>
      <c r="C1389" s="12" t="s">
        <v>376</v>
      </c>
      <c r="D1389" s="12">
        <v>5</v>
      </c>
      <c r="E1389" s="12">
        <v>4</v>
      </c>
      <c r="F1389" s="12">
        <v>1</v>
      </c>
      <c r="G1389" s="12" t="s">
        <v>222</v>
      </c>
      <c r="H1389" s="12">
        <f t="shared" si="82"/>
        <v>5401</v>
      </c>
      <c r="I1389" s="12">
        <v>7000124</v>
      </c>
      <c r="J1389" s="12">
        <v>10000</v>
      </c>
    </row>
    <row r="1390" spans="1:10" x14ac:dyDescent="0.3">
      <c r="A1390" s="12">
        <f t="shared" si="81"/>
        <v>5401007</v>
      </c>
      <c r="B1390" s="12">
        <v>7</v>
      </c>
      <c r="C1390" s="12" t="s">
        <v>387</v>
      </c>
      <c r="D1390" s="12">
        <v>5</v>
      </c>
      <c r="E1390" s="12">
        <v>4</v>
      </c>
      <c r="F1390" s="12">
        <v>1</v>
      </c>
      <c r="G1390" s="12" t="s">
        <v>222</v>
      </c>
      <c r="H1390" s="12">
        <f t="shared" si="82"/>
        <v>5401</v>
      </c>
      <c r="I1390" s="12">
        <v>7000171</v>
      </c>
      <c r="J1390" s="12">
        <v>10000</v>
      </c>
    </row>
    <row r="1391" spans="1:10" x14ac:dyDescent="0.3">
      <c r="A1391" s="12">
        <f t="shared" si="81"/>
        <v>5401008</v>
      </c>
      <c r="B1391" s="12">
        <v>8</v>
      </c>
      <c r="C1391" s="12" t="s">
        <v>402</v>
      </c>
      <c r="D1391" s="12">
        <v>5</v>
      </c>
      <c r="E1391" s="12">
        <v>4</v>
      </c>
      <c r="F1391" s="12">
        <v>1</v>
      </c>
      <c r="G1391" s="12" t="s">
        <v>211</v>
      </c>
      <c r="H1391" s="12">
        <f t="shared" si="82"/>
        <v>5401</v>
      </c>
      <c r="I1391" s="12">
        <v>7000172</v>
      </c>
      <c r="J1391" s="12">
        <v>2000</v>
      </c>
    </row>
    <row r="1392" spans="1:10" x14ac:dyDescent="0.3">
      <c r="A1392" s="12">
        <f t="shared" si="81"/>
        <v>5401009</v>
      </c>
      <c r="B1392" s="12">
        <v>9</v>
      </c>
      <c r="C1392" s="12" t="s">
        <v>388</v>
      </c>
      <c r="D1392" s="12">
        <v>5</v>
      </c>
      <c r="E1392" s="12">
        <v>4</v>
      </c>
      <c r="F1392" s="12">
        <v>1</v>
      </c>
      <c r="G1392" s="12" t="s">
        <v>212</v>
      </c>
      <c r="H1392" s="12">
        <f t="shared" si="82"/>
        <v>5401</v>
      </c>
      <c r="I1392" s="12">
        <v>7000158</v>
      </c>
      <c r="J1392" s="12">
        <v>500</v>
      </c>
    </row>
    <row r="1393" spans="1:10" x14ac:dyDescent="0.3">
      <c r="A1393" s="12">
        <f t="shared" si="81"/>
        <v>5401010</v>
      </c>
      <c r="B1393" s="12">
        <v>10</v>
      </c>
      <c r="C1393" s="12" t="s">
        <v>389</v>
      </c>
      <c r="D1393" s="12">
        <v>5</v>
      </c>
      <c r="E1393" s="12">
        <v>4</v>
      </c>
      <c r="F1393" s="12">
        <v>1</v>
      </c>
      <c r="G1393" s="12" t="s">
        <v>213</v>
      </c>
      <c r="H1393" s="12">
        <f t="shared" si="82"/>
        <v>5401</v>
      </c>
      <c r="I1393" s="12">
        <v>7000168</v>
      </c>
      <c r="J1393" s="12">
        <v>100</v>
      </c>
    </row>
    <row r="1394" spans="1:10" x14ac:dyDescent="0.3">
      <c r="A1394" s="12">
        <f t="shared" si="81"/>
        <v>5402001</v>
      </c>
      <c r="B1394" s="12">
        <v>1</v>
      </c>
      <c r="C1394" s="12" t="str">
        <f>C1384</f>
        <v>계산가</v>
      </c>
      <c r="D1394" s="12">
        <v>5</v>
      </c>
      <c r="E1394" s="12">
        <v>4</v>
      </c>
      <c r="F1394" s="12">
        <v>2</v>
      </c>
      <c r="G1394" s="12" t="s">
        <v>208</v>
      </c>
      <c r="H1394" s="12">
        <f t="shared" si="82"/>
        <v>5402</v>
      </c>
      <c r="I1394" s="12">
        <v>7000167</v>
      </c>
      <c r="J1394" s="12">
        <v>18000</v>
      </c>
    </row>
    <row r="1395" spans="1:10" x14ac:dyDescent="0.3">
      <c r="A1395" s="12">
        <f t="shared" si="81"/>
        <v>5402002</v>
      </c>
      <c r="B1395" s="12">
        <v>2</v>
      </c>
      <c r="C1395" s="12" t="str">
        <f t="shared" ref="C1395:C1443" si="83">C1385</f>
        <v>자기 합리화</v>
      </c>
      <c r="D1395" s="12">
        <v>5</v>
      </c>
      <c r="E1395" s="12">
        <v>4</v>
      </c>
      <c r="F1395" s="12">
        <v>2</v>
      </c>
      <c r="G1395" s="12" t="s">
        <v>208</v>
      </c>
      <c r="H1395" s="12">
        <f t="shared" si="82"/>
        <v>5402</v>
      </c>
      <c r="I1395" s="12">
        <v>7000105</v>
      </c>
      <c r="J1395" s="12">
        <v>18000</v>
      </c>
    </row>
    <row r="1396" spans="1:10" x14ac:dyDescent="0.3">
      <c r="A1396" s="12">
        <f t="shared" si="81"/>
        <v>5402003</v>
      </c>
      <c r="B1396" s="12">
        <v>3</v>
      </c>
      <c r="C1396" s="12" t="str">
        <f t="shared" si="83"/>
        <v>선발주자</v>
      </c>
      <c r="D1396" s="12">
        <v>5</v>
      </c>
      <c r="E1396" s="12">
        <v>4</v>
      </c>
      <c r="F1396" s="12">
        <v>2</v>
      </c>
      <c r="G1396" s="12" t="s">
        <v>208</v>
      </c>
      <c r="H1396" s="12">
        <f t="shared" si="82"/>
        <v>5402</v>
      </c>
      <c r="I1396" s="12">
        <v>7000152</v>
      </c>
      <c r="J1396" s="12">
        <v>18000</v>
      </c>
    </row>
    <row r="1397" spans="1:10" x14ac:dyDescent="0.3">
      <c r="A1397" s="12">
        <f t="shared" si="81"/>
        <v>5402004</v>
      </c>
      <c r="B1397" s="12">
        <v>4</v>
      </c>
      <c r="C1397" s="12" t="str">
        <f t="shared" si="83"/>
        <v>기회주의자</v>
      </c>
      <c r="D1397" s="12">
        <v>5</v>
      </c>
      <c r="E1397" s="12">
        <v>4</v>
      </c>
      <c r="F1397" s="12">
        <v>2</v>
      </c>
      <c r="G1397" s="12" t="s">
        <v>209</v>
      </c>
      <c r="H1397" s="12">
        <f t="shared" si="82"/>
        <v>5402</v>
      </c>
      <c r="I1397" s="12">
        <v>7000122</v>
      </c>
      <c r="J1397" s="12">
        <v>14500</v>
      </c>
    </row>
    <row r="1398" spans="1:10" x14ac:dyDescent="0.3">
      <c r="A1398" s="12">
        <f t="shared" si="81"/>
        <v>5402005</v>
      </c>
      <c r="B1398" s="12">
        <v>5</v>
      </c>
      <c r="C1398" s="12" t="str">
        <f t="shared" si="83"/>
        <v>책략가</v>
      </c>
      <c r="D1398" s="12">
        <v>5</v>
      </c>
      <c r="E1398" s="12">
        <v>4</v>
      </c>
      <c r="F1398" s="12">
        <v>2</v>
      </c>
      <c r="G1398" s="12" t="s">
        <v>209</v>
      </c>
      <c r="H1398" s="12">
        <f t="shared" si="82"/>
        <v>5402</v>
      </c>
      <c r="I1398" s="12">
        <v>7000123</v>
      </c>
      <c r="J1398" s="12">
        <v>14500</v>
      </c>
    </row>
    <row r="1399" spans="1:10" x14ac:dyDescent="0.3">
      <c r="A1399" s="12">
        <f t="shared" si="81"/>
        <v>5402006</v>
      </c>
      <c r="B1399" s="12">
        <v>6</v>
      </c>
      <c r="C1399" s="12" t="str">
        <f t="shared" si="83"/>
        <v>착취</v>
      </c>
      <c r="D1399" s="12">
        <v>5</v>
      </c>
      <c r="E1399" s="12">
        <v>4</v>
      </c>
      <c r="F1399" s="12">
        <v>2</v>
      </c>
      <c r="G1399" s="12" t="s">
        <v>210</v>
      </c>
      <c r="H1399" s="12">
        <f t="shared" si="82"/>
        <v>5402</v>
      </c>
      <c r="I1399" s="12">
        <v>7000124</v>
      </c>
      <c r="J1399" s="12">
        <v>9500</v>
      </c>
    </row>
    <row r="1400" spans="1:10" x14ac:dyDescent="0.3">
      <c r="A1400" s="12">
        <f t="shared" si="81"/>
        <v>5402007</v>
      </c>
      <c r="B1400" s="12">
        <v>7</v>
      </c>
      <c r="C1400" s="12" t="str">
        <f t="shared" si="83"/>
        <v>의기투합</v>
      </c>
      <c r="D1400" s="12">
        <v>5</v>
      </c>
      <c r="E1400" s="12">
        <v>4</v>
      </c>
      <c r="F1400" s="12">
        <v>2</v>
      </c>
      <c r="G1400" s="12" t="s">
        <v>210</v>
      </c>
      <c r="H1400" s="12">
        <f t="shared" si="82"/>
        <v>5402</v>
      </c>
      <c r="I1400" s="12">
        <v>7000171</v>
      </c>
      <c r="J1400" s="12">
        <v>9500</v>
      </c>
    </row>
    <row r="1401" spans="1:10" x14ac:dyDescent="0.3">
      <c r="A1401" s="12">
        <f t="shared" si="81"/>
        <v>5402008</v>
      </c>
      <c r="B1401" s="12">
        <v>8</v>
      </c>
      <c r="C1401" s="12" t="str">
        <f t="shared" si="83"/>
        <v>원한</v>
      </c>
      <c r="D1401" s="12">
        <v>5</v>
      </c>
      <c r="E1401" s="12">
        <v>4</v>
      </c>
      <c r="F1401" s="12">
        <v>2</v>
      </c>
      <c r="G1401" s="12" t="s">
        <v>211</v>
      </c>
      <c r="H1401" s="12">
        <f t="shared" si="82"/>
        <v>5402</v>
      </c>
      <c r="I1401" s="12">
        <v>7000172</v>
      </c>
      <c r="J1401" s="12">
        <v>1900</v>
      </c>
    </row>
    <row r="1402" spans="1:10" x14ac:dyDescent="0.3">
      <c r="A1402" s="12">
        <f t="shared" si="81"/>
        <v>5402009</v>
      </c>
      <c r="B1402" s="12">
        <v>9</v>
      </c>
      <c r="C1402" s="12" t="str">
        <f t="shared" si="83"/>
        <v>헌신</v>
      </c>
      <c r="D1402" s="12">
        <v>5</v>
      </c>
      <c r="E1402" s="12">
        <v>4</v>
      </c>
      <c r="F1402" s="12">
        <v>2</v>
      </c>
      <c r="G1402" s="12" t="s">
        <v>212</v>
      </c>
      <c r="H1402" s="12">
        <f t="shared" si="82"/>
        <v>5402</v>
      </c>
      <c r="I1402" s="12">
        <v>7000158</v>
      </c>
      <c r="J1402" s="12">
        <v>500</v>
      </c>
    </row>
    <row r="1403" spans="1:10" x14ac:dyDescent="0.3">
      <c r="A1403" s="12">
        <f t="shared" si="81"/>
        <v>5402010</v>
      </c>
      <c r="B1403" s="12">
        <v>10</v>
      </c>
      <c r="C1403" s="12" t="str">
        <f t="shared" si="83"/>
        <v>호승심</v>
      </c>
      <c r="D1403" s="12">
        <v>5</v>
      </c>
      <c r="E1403" s="12">
        <v>4</v>
      </c>
      <c r="F1403" s="12">
        <v>2</v>
      </c>
      <c r="G1403" s="12" t="s">
        <v>213</v>
      </c>
      <c r="H1403" s="12">
        <f t="shared" si="82"/>
        <v>5402</v>
      </c>
      <c r="I1403" s="12">
        <v>7000168</v>
      </c>
      <c r="J1403" s="12">
        <v>100</v>
      </c>
    </row>
    <row r="1404" spans="1:10" x14ac:dyDescent="0.3">
      <c r="A1404" s="12">
        <f t="shared" si="81"/>
        <v>5403001</v>
      </c>
      <c r="B1404" s="12">
        <v>1</v>
      </c>
      <c r="C1404" s="12" t="str">
        <f>C1394</f>
        <v>계산가</v>
      </c>
      <c r="D1404" s="12">
        <v>5</v>
      </c>
      <c r="E1404" s="12">
        <v>4</v>
      </c>
      <c r="F1404" s="12">
        <v>3</v>
      </c>
      <c r="G1404" s="12" t="s">
        <v>208</v>
      </c>
      <c r="H1404" s="12">
        <f t="shared" si="82"/>
        <v>5403</v>
      </c>
      <c r="I1404" s="12">
        <v>7000167</v>
      </c>
      <c r="J1404" s="12">
        <v>16000</v>
      </c>
    </row>
    <row r="1405" spans="1:10" x14ac:dyDescent="0.3">
      <c r="A1405" s="12">
        <f t="shared" si="81"/>
        <v>5403002</v>
      </c>
      <c r="B1405" s="12">
        <v>2</v>
      </c>
      <c r="C1405" s="12" t="str">
        <f t="shared" si="83"/>
        <v>자기 합리화</v>
      </c>
      <c r="D1405" s="12">
        <v>5</v>
      </c>
      <c r="E1405" s="12">
        <v>4</v>
      </c>
      <c r="F1405" s="12">
        <v>3</v>
      </c>
      <c r="G1405" s="12" t="s">
        <v>208</v>
      </c>
      <c r="H1405" s="12">
        <f t="shared" si="82"/>
        <v>5403</v>
      </c>
      <c r="I1405" s="12">
        <v>7000105</v>
      </c>
      <c r="J1405" s="12">
        <v>16000</v>
      </c>
    </row>
    <row r="1406" spans="1:10" x14ac:dyDescent="0.3">
      <c r="A1406" s="12">
        <f t="shared" si="81"/>
        <v>5403003</v>
      </c>
      <c r="B1406" s="12">
        <v>3</v>
      </c>
      <c r="C1406" s="12" t="str">
        <f t="shared" si="83"/>
        <v>선발주자</v>
      </c>
      <c r="D1406" s="12">
        <v>5</v>
      </c>
      <c r="E1406" s="12">
        <v>4</v>
      </c>
      <c r="F1406" s="12">
        <v>3</v>
      </c>
      <c r="G1406" s="12" t="s">
        <v>208</v>
      </c>
      <c r="H1406" s="12">
        <f t="shared" si="82"/>
        <v>5403</v>
      </c>
      <c r="I1406" s="12">
        <v>7000152</v>
      </c>
      <c r="J1406" s="12">
        <v>16000</v>
      </c>
    </row>
    <row r="1407" spans="1:10" x14ac:dyDescent="0.3">
      <c r="A1407" s="12">
        <f t="shared" si="81"/>
        <v>5403004</v>
      </c>
      <c r="B1407" s="12">
        <v>4</v>
      </c>
      <c r="C1407" s="12" t="str">
        <f t="shared" si="83"/>
        <v>기회주의자</v>
      </c>
      <c r="D1407" s="12">
        <v>5</v>
      </c>
      <c r="E1407" s="12">
        <v>4</v>
      </c>
      <c r="F1407" s="12">
        <v>3</v>
      </c>
      <c r="G1407" s="12" t="s">
        <v>209</v>
      </c>
      <c r="H1407" s="12">
        <f t="shared" si="82"/>
        <v>5403</v>
      </c>
      <c r="I1407" s="12">
        <v>7000122</v>
      </c>
      <c r="J1407" s="12">
        <v>14000</v>
      </c>
    </row>
    <row r="1408" spans="1:10" x14ac:dyDescent="0.3">
      <c r="A1408" s="12">
        <f t="shared" si="81"/>
        <v>5403005</v>
      </c>
      <c r="B1408" s="12">
        <v>5</v>
      </c>
      <c r="C1408" s="12" t="str">
        <f t="shared" si="83"/>
        <v>책략가</v>
      </c>
      <c r="D1408" s="12">
        <v>5</v>
      </c>
      <c r="E1408" s="12">
        <v>4</v>
      </c>
      <c r="F1408" s="12">
        <v>3</v>
      </c>
      <c r="G1408" s="12" t="s">
        <v>209</v>
      </c>
      <c r="H1408" s="12">
        <f t="shared" si="82"/>
        <v>5403</v>
      </c>
      <c r="I1408" s="12">
        <v>7000123</v>
      </c>
      <c r="J1408" s="12">
        <v>14000</v>
      </c>
    </row>
    <row r="1409" spans="1:10" x14ac:dyDescent="0.3">
      <c r="A1409" s="12">
        <f t="shared" si="81"/>
        <v>5403006</v>
      </c>
      <c r="B1409" s="12">
        <v>6</v>
      </c>
      <c r="C1409" s="12" t="str">
        <f t="shared" si="83"/>
        <v>착취</v>
      </c>
      <c r="D1409" s="12">
        <v>5</v>
      </c>
      <c r="E1409" s="12">
        <v>4</v>
      </c>
      <c r="F1409" s="12">
        <v>3</v>
      </c>
      <c r="G1409" s="12" t="s">
        <v>210</v>
      </c>
      <c r="H1409" s="12">
        <f t="shared" si="82"/>
        <v>5403</v>
      </c>
      <c r="I1409" s="12">
        <v>7000124</v>
      </c>
      <c r="J1409" s="12">
        <v>9000</v>
      </c>
    </row>
    <row r="1410" spans="1:10" x14ac:dyDescent="0.3">
      <c r="A1410" s="12">
        <f t="shared" si="81"/>
        <v>5403007</v>
      </c>
      <c r="B1410" s="12">
        <v>7</v>
      </c>
      <c r="C1410" s="12" t="str">
        <f t="shared" si="83"/>
        <v>의기투합</v>
      </c>
      <c r="D1410" s="12">
        <v>5</v>
      </c>
      <c r="E1410" s="12">
        <v>4</v>
      </c>
      <c r="F1410" s="12">
        <v>3</v>
      </c>
      <c r="G1410" s="12" t="s">
        <v>210</v>
      </c>
      <c r="H1410" s="12">
        <f t="shared" si="82"/>
        <v>5403</v>
      </c>
      <c r="I1410" s="12">
        <v>7000171</v>
      </c>
      <c r="J1410" s="12">
        <v>9000</v>
      </c>
    </row>
    <row r="1411" spans="1:10" x14ac:dyDescent="0.3">
      <c r="A1411" s="12">
        <f t="shared" si="81"/>
        <v>5403008</v>
      </c>
      <c r="B1411" s="12">
        <v>8</v>
      </c>
      <c r="C1411" s="12" t="str">
        <f t="shared" si="83"/>
        <v>원한</v>
      </c>
      <c r="D1411" s="12">
        <v>5</v>
      </c>
      <c r="E1411" s="12">
        <v>4</v>
      </c>
      <c r="F1411" s="12">
        <v>3</v>
      </c>
      <c r="G1411" s="12" t="s">
        <v>211</v>
      </c>
      <c r="H1411" s="12">
        <f t="shared" si="82"/>
        <v>5403</v>
      </c>
      <c r="I1411" s="12">
        <v>7000172</v>
      </c>
      <c r="J1411" s="12">
        <v>1800</v>
      </c>
    </row>
    <row r="1412" spans="1:10" x14ac:dyDescent="0.3">
      <c r="A1412" s="12">
        <f t="shared" si="81"/>
        <v>5403009</v>
      </c>
      <c r="B1412" s="12">
        <v>9</v>
      </c>
      <c r="C1412" s="12" t="str">
        <f t="shared" si="83"/>
        <v>헌신</v>
      </c>
      <c r="D1412" s="12">
        <v>5</v>
      </c>
      <c r="E1412" s="12">
        <v>4</v>
      </c>
      <c r="F1412" s="12">
        <v>3</v>
      </c>
      <c r="G1412" s="12" t="s">
        <v>212</v>
      </c>
      <c r="H1412" s="12">
        <f t="shared" si="82"/>
        <v>5403</v>
      </c>
      <c r="I1412" s="12">
        <v>7000158</v>
      </c>
      <c r="J1412" s="12">
        <v>500</v>
      </c>
    </row>
    <row r="1413" spans="1:10" x14ac:dyDescent="0.3">
      <c r="A1413" s="12">
        <f t="shared" si="81"/>
        <v>5403010</v>
      </c>
      <c r="B1413" s="12">
        <v>10</v>
      </c>
      <c r="C1413" s="12" t="str">
        <f t="shared" si="83"/>
        <v>호승심</v>
      </c>
      <c r="D1413" s="12">
        <v>5</v>
      </c>
      <c r="E1413" s="12">
        <v>4</v>
      </c>
      <c r="F1413" s="12">
        <v>3</v>
      </c>
      <c r="G1413" s="12" t="s">
        <v>213</v>
      </c>
      <c r="H1413" s="12">
        <f t="shared" si="82"/>
        <v>5403</v>
      </c>
      <c r="I1413" s="12">
        <v>7000168</v>
      </c>
      <c r="J1413" s="12">
        <v>100</v>
      </c>
    </row>
    <row r="1414" spans="1:10" x14ac:dyDescent="0.3">
      <c r="A1414" s="12">
        <f t="shared" si="81"/>
        <v>5404001</v>
      </c>
      <c r="B1414" s="12">
        <v>1</v>
      </c>
      <c r="C1414" s="12" t="str">
        <f>C1404</f>
        <v>계산가</v>
      </c>
      <c r="D1414" s="12">
        <v>5</v>
      </c>
      <c r="E1414" s="12">
        <v>4</v>
      </c>
      <c r="F1414" s="12">
        <v>4</v>
      </c>
      <c r="G1414" s="12" t="s">
        <v>208</v>
      </c>
      <c r="H1414" s="12">
        <f t="shared" si="82"/>
        <v>5404</v>
      </c>
      <c r="I1414" s="12">
        <v>7000167</v>
      </c>
      <c r="J1414" s="12">
        <v>14000</v>
      </c>
    </row>
    <row r="1415" spans="1:10" x14ac:dyDescent="0.3">
      <c r="A1415" s="12">
        <f t="shared" si="81"/>
        <v>5404002</v>
      </c>
      <c r="B1415" s="12">
        <v>2</v>
      </c>
      <c r="C1415" s="12" t="str">
        <f t="shared" si="83"/>
        <v>자기 합리화</v>
      </c>
      <c r="D1415" s="12">
        <v>5</v>
      </c>
      <c r="E1415" s="12">
        <v>4</v>
      </c>
      <c r="F1415" s="12">
        <v>4</v>
      </c>
      <c r="G1415" s="12" t="s">
        <v>208</v>
      </c>
      <c r="H1415" s="12">
        <f t="shared" si="82"/>
        <v>5404</v>
      </c>
      <c r="I1415" s="12">
        <v>7000105</v>
      </c>
      <c r="J1415" s="12">
        <v>14000</v>
      </c>
    </row>
    <row r="1416" spans="1:10" x14ac:dyDescent="0.3">
      <c r="A1416" s="12">
        <f t="shared" si="81"/>
        <v>5404003</v>
      </c>
      <c r="B1416" s="12">
        <v>3</v>
      </c>
      <c r="C1416" s="12" t="str">
        <f t="shared" si="83"/>
        <v>선발주자</v>
      </c>
      <c r="D1416" s="12">
        <v>5</v>
      </c>
      <c r="E1416" s="12">
        <v>4</v>
      </c>
      <c r="F1416" s="12">
        <v>4</v>
      </c>
      <c r="G1416" s="12" t="s">
        <v>208</v>
      </c>
      <c r="H1416" s="12">
        <f t="shared" si="82"/>
        <v>5404</v>
      </c>
      <c r="I1416" s="12">
        <v>7000152</v>
      </c>
      <c r="J1416" s="12">
        <v>14000</v>
      </c>
    </row>
    <row r="1417" spans="1:10" x14ac:dyDescent="0.3">
      <c r="A1417" s="12">
        <f t="shared" si="81"/>
        <v>5404004</v>
      </c>
      <c r="B1417" s="12">
        <v>4</v>
      </c>
      <c r="C1417" s="12" t="str">
        <f t="shared" si="83"/>
        <v>기회주의자</v>
      </c>
      <c r="D1417" s="12">
        <v>5</v>
      </c>
      <c r="E1417" s="12">
        <v>4</v>
      </c>
      <c r="F1417" s="12">
        <v>4</v>
      </c>
      <c r="G1417" s="12" t="s">
        <v>209</v>
      </c>
      <c r="H1417" s="12">
        <f t="shared" si="82"/>
        <v>5404</v>
      </c>
      <c r="I1417" s="12">
        <v>7000122</v>
      </c>
      <c r="J1417" s="12">
        <v>13500</v>
      </c>
    </row>
    <row r="1418" spans="1:10" x14ac:dyDescent="0.3">
      <c r="A1418" s="12">
        <f t="shared" si="81"/>
        <v>5404005</v>
      </c>
      <c r="B1418" s="12">
        <v>5</v>
      </c>
      <c r="C1418" s="12" t="str">
        <f t="shared" si="83"/>
        <v>책략가</v>
      </c>
      <c r="D1418" s="12">
        <v>5</v>
      </c>
      <c r="E1418" s="12">
        <v>4</v>
      </c>
      <c r="F1418" s="12">
        <v>4</v>
      </c>
      <c r="G1418" s="12" t="s">
        <v>209</v>
      </c>
      <c r="H1418" s="12">
        <f t="shared" si="82"/>
        <v>5404</v>
      </c>
      <c r="I1418" s="12">
        <v>7000123</v>
      </c>
      <c r="J1418" s="12">
        <v>13500</v>
      </c>
    </row>
    <row r="1419" spans="1:10" x14ac:dyDescent="0.3">
      <c r="A1419" s="12">
        <f t="shared" si="81"/>
        <v>5404006</v>
      </c>
      <c r="B1419" s="12">
        <v>6</v>
      </c>
      <c r="C1419" s="12" t="str">
        <f t="shared" si="83"/>
        <v>착취</v>
      </c>
      <c r="D1419" s="12">
        <v>5</v>
      </c>
      <c r="E1419" s="12">
        <v>4</v>
      </c>
      <c r="F1419" s="12">
        <v>4</v>
      </c>
      <c r="G1419" s="12" t="s">
        <v>210</v>
      </c>
      <c r="H1419" s="12">
        <f t="shared" si="82"/>
        <v>5404</v>
      </c>
      <c r="I1419" s="12">
        <v>7000124</v>
      </c>
      <c r="J1419" s="12">
        <v>8500</v>
      </c>
    </row>
    <row r="1420" spans="1:10" x14ac:dyDescent="0.3">
      <c r="A1420" s="12">
        <f t="shared" si="81"/>
        <v>5404007</v>
      </c>
      <c r="B1420" s="12">
        <v>7</v>
      </c>
      <c r="C1420" s="12" t="str">
        <f t="shared" si="83"/>
        <v>의기투합</v>
      </c>
      <c r="D1420" s="12">
        <v>5</v>
      </c>
      <c r="E1420" s="12">
        <v>4</v>
      </c>
      <c r="F1420" s="12">
        <v>4</v>
      </c>
      <c r="G1420" s="12" t="s">
        <v>210</v>
      </c>
      <c r="H1420" s="12">
        <f t="shared" si="82"/>
        <v>5404</v>
      </c>
      <c r="I1420" s="12">
        <v>7000171</v>
      </c>
      <c r="J1420" s="12">
        <v>8500</v>
      </c>
    </row>
    <row r="1421" spans="1:10" x14ac:dyDescent="0.3">
      <c r="A1421" s="12">
        <f t="shared" si="81"/>
        <v>5404008</v>
      </c>
      <c r="B1421" s="12">
        <v>8</v>
      </c>
      <c r="C1421" s="12" t="str">
        <f t="shared" si="83"/>
        <v>원한</v>
      </c>
      <c r="D1421" s="12">
        <v>5</v>
      </c>
      <c r="E1421" s="12">
        <v>4</v>
      </c>
      <c r="F1421" s="12">
        <v>4</v>
      </c>
      <c r="G1421" s="12" t="s">
        <v>211</v>
      </c>
      <c r="H1421" s="12">
        <f t="shared" si="82"/>
        <v>5404</v>
      </c>
      <c r="I1421" s="12">
        <v>7000172</v>
      </c>
      <c r="J1421" s="12">
        <v>1700</v>
      </c>
    </row>
    <row r="1422" spans="1:10" x14ac:dyDescent="0.3">
      <c r="A1422" s="12">
        <f t="shared" si="81"/>
        <v>5404009</v>
      </c>
      <c r="B1422" s="12">
        <v>9</v>
      </c>
      <c r="C1422" s="12" t="str">
        <f t="shared" si="83"/>
        <v>헌신</v>
      </c>
      <c r="D1422" s="12">
        <v>5</v>
      </c>
      <c r="E1422" s="12">
        <v>4</v>
      </c>
      <c r="F1422" s="12">
        <v>4</v>
      </c>
      <c r="G1422" s="12" t="s">
        <v>212</v>
      </c>
      <c r="H1422" s="12">
        <f t="shared" si="82"/>
        <v>5404</v>
      </c>
      <c r="I1422" s="12">
        <v>7000158</v>
      </c>
      <c r="J1422" s="12">
        <v>500</v>
      </c>
    </row>
    <row r="1423" spans="1:10" x14ac:dyDescent="0.3">
      <c r="A1423" s="12">
        <f t="shared" si="81"/>
        <v>5404010</v>
      </c>
      <c r="B1423" s="12">
        <v>10</v>
      </c>
      <c r="C1423" s="12" t="str">
        <f t="shared" si="83"/>
        <v>호승심</v>
      </c>
      <c r="D1423" s="12">
        <v>5</v>
      </c>
      <c r="E1423" s="12">
        <v>4</v>
      </c>
      <c r="F1423" s="12">
        <v>4</v>
      </c>
      <c r="G1423" s="12" t="s">
        <v>213</v>
      </c>
      <c r="H1423" s="12">
        <f t="shared" si="82"/>
        <v>5404</v>
      </c>
      <c r="I1423" s="12">
        <v>7000168</v>
      </c>
      <c r="J1423" s="12">
        <v>100</v>
      </c>
    </row>
    <row r="1424" spans="1:10" x14ac:dyDescent="0.3">
      <c r="A1424" s="12">
        <f t="shared" si="81"/>
        <v>5405001</v>
      </c>
      <c r="B1424" s="12">
        <v>1</v>
      </c>
      <c r="C1424" s="12" t="str">
        <f>C1414</f>
        <v>계산가</v>
      </c>
      <c r="D1424" s="12">
        <v>5</v>
      </c>
      <c r="E1424" s="12">
        <v>4</v>
      </c>
      <c r="F1424" s="12">
        <v>5</v>
      </c>
      <c r="G1424" s="12" t="s">
        <v>208</v>
      </c>
      <c r="H1424" s="12">
        <f t="shared" si="82"/>
        <v>5405</v>
      </c>
      <c r="I1424" s="12">
        <v>7000167</v>
      </c>
      <c r="J1424" s="12">
        <v>12000</v>
      </c>
    </row>
    <row r="1425" spans="1:10" x14ac:dyDescent="0.3">
      <c r="A1425" s="12">
        <f t="shared" si="81"/>
        <v>5405002</v>
      </c>
      <c r="B1425" s="12">
        <v>2</v>
      </c>
      <c r="C1425" s="12" t="str">
        <f t="shared" si="83"/>
        <v>자기 합리화</v>
      </c>
      <c r="D1425" s="12">
        <v>5</v>
      </c>
      <c r="E1425" s="12">
        <v>4</v>
      </c>
      <c r="F1425" s="12">
        <v>5</v>
      </c>
      <c r="G1425" s="12" t="s">
        <v>208</v>
      </c>
      <c r="H1425" s="12">
        <f t="shared" si="82"/>
        <v>5405</v>
      </c>
      <c r="I1425" s="12">
        <v>7000105</v>
      </c>
      <c r="J1425" s="12">
        <v>12000</v>
      </c>
    </row>
    <row r="1426" spans="1:10" x14ac:dyDescent="0.3">
      <c r="A1426" s="12">
        <f t="shared" si="81"/>
        <v>5405003</v>
      </c>
      <c r="B1426" s="12">
        <v>3</v>
      </c>
      <c r="C1426" s="12" t="str">
        <f t="shared" si="83"/>
        <v>선발주자</v>
      </c>
      <c r="D1426" s="12">
        <v>5</v>
      </c>
      <c r="E1426" s="12">
        <v>4</v>
      </c>
      <c r="F1426" s="12">
        <v>5</v>
      </c>
      <c r="G1426" s="12" t="s">
        <v>208</v>
      </c>
      <c r="H1426" s="12">
        <f t="shared" si="82"/>
        <v>5405</v>
      </c>
      <c r="I1426" s="12">
        <v>7000152</v>
      </c>
      <c r="J1426" s="12">
        <v>12000</v>
      </c>
    </row>
    <row r="1427" spans="1:10" x14ac:dyDescent="0.3">
      <c r="A1427" s="12">
        <f t="shared" si="81"/>
        <v>5405004</v>
      </c>
      <c r="B1427" s="12">
        <v>4</v>
      </c>
      <c r="C1427" s="12" t="str">
        <f t="shared" si="83"/>
        <v>기회주의자</v>
      </c>
      <c r="D1427" s="12">
        <v>5</v>
      </c>
      <c r="E1427" s="12">
        <v>4</v>
      </c>
      <c r="F1427" s="12">
        <v>5</v>
      </c>
      <c r="G1427" s="12" t="s">
        <v>209</v>
      </c>
      <c r="H1427" s="12">
        <f t="shared" si="82"/>
        <v>5405</v>
      </c>
      <c r="I1427" s="12">
        <v>7000122</v>
      </c>
      <c r="J1427" s="12">
        <v>13000</v>
      </c>
    </row>
    <row r="1428" spans="1:10" x14ac:dyDescent="0.3">
      <c r="A1428" s="12">
        <f t="shared" si="81"/>
        <v>5405005</v>
      </c>
      <c r="B1428" s="12">
        <v>5</v>
      </c>
      <c r="C1428" s="12" t="str">
        <f t="shared" si="83"/>
        <v>책략가</v>
      </c>
      <c r="D1428" s="12">
        <v>5</v>
      </c>
      <c r="E1428" s="12">
        <v>4</v>
      </c>
      <c r="F1428" s="12">
        <v>5</v>
      </c>
      <c r="G1428" s="12" t="s">
        <v>209</v>
      </c>
      <c r="H1428" s="12">
        <f t="shared" si="82"/>
        <v>5405</v>
      </c>
      <c r="I1428" s="12">
        <v>7000123</v>
      </c>
      <c r="J1428" s="12">
        <v>13000</v>
      </c>
    </row>
    <row r="1429" spans="1:10" x14ac:dyDescent="0.3">
      <c r="A1429" s="12">
        <f t="shared" si="81"/>
        <v>5405006</v>
      </c>
      <c r="B1429" s="12">
        <v>6</v>
      </c>
      <c r="C1429" s="12" t="str">
        <f t="shared" si="83"/>
        <v>착취</v>
      </c>
      <c r="D1429" s="12">
        <v>5</v>
      </c>
      <c r="E1429" s="12">
        <v>4</v>
      </c>
      <c r="F1429" s="12">
        <v>5</v>
      </c>
      <c r="G1429" s="12" t="s">
        <v>210</v>
      </c>
      <c r="H1429" s="12">
        <f t="shared" si="82"/>
        <v>5405</v>
      </c>
      <c r="I1429" s="12">
        <v>7000124</v>
      </c>
      <c r="J1429" s="12">
        <v>8000</v>
      </c>
    </row>
    <row r="1430" spans="1:10" x14ac:dyDescent="0.3">
      <c r="A1430" s="12">
        <f t="shared" si="81"/>
        <v>5405007</v>
      </c>
      <c r="B1430" s="12">
        <v>7</v>
      </c>
      <c r="C1430" s="12" t="str">
        <f t="shared" si="83"/>
        <v>의기투합</v>
      </c>
      <c r="D1430" s="12">
        <v>5</v>
      </c>
      <c r="E1430" s="12">
        <v>4</v>
      </c>
      <c r="F1430" s="12">
        <v>5</v>
      </c>
      <c r="G1430" s="12" t="s">
        <v>210</v>
      </c>
      <c r="H1430" s="12">
        <f t="shared" si="82"/>
        <v>5405</v>
      </c>
      <c r="I1430" s="12">
        <v>7000171</v>
      </c>
      <c r="J1430" s="12">
        <v>8000</v>
      </c>
    </row>
    <row r="1431" spans="1:10" x14ac:dyDescent="0.3">
      <c r="A1431" s="12">
        <f t="shared" si="81"/>
        <v>5405008</v>
      </c>
      <c r="B1431" s="12">
        <v>8</v>
      </c>
      <c r="C1431" s="12" t="str">
        <f t="shared" si="83"/>
        <v>원한</v>
      </c>
      <c r="D1431" s="12">
        <v>5</v>
      </c>
      <c r="E1431" s="12">
        <v>4</v>
      </c>
      <c r="F1431" s="12">
        <v>5</v>
      </c>
      <c r="G1431" s="12" t="s">
        <v>211</v>
      </c>
      <c r="H1431" s="12">
        <f t="shared" si="82"/>
        <v>5405</v>
      </c>
      <c r="I1431" s="12">
        <v>7000172</v>
      </c>
      <c r="J1431" s="12">
        <v>1600</v>
      </c>
    </row>
    <row r="1432" spans="1:10" x14ac:dyDescent="0.3">
      <c r="A1432" s="12">
        <f t="shared" si="81"/>
        <v>5405009</v>
      </c>
      <c r="B1432" s="12">
        <v>9</v>
      </c>
      <c r="C1432" s="12" t="str">
        <f t="shared" si="83"/>
        <v>헌신</v>
      </c>
      <c r="D1432" s="12">
        <v>5</v>
      </c>
      <c r="E1432" s="12">
        <v>4</v>
      </c>
      <c r="F1432" s="12">
        <v>5</v>
      </c>
      <c r="G1432" s="12" t="s">
        <v>212</v>
      </c>
      <c r="H1432" s="12">
        <f t="shared" si="82"/>
        <v>5405</v>
      </c>
      <c r="I1432" s="12">
        <v>7000158</v>
      </c>
      <c r="J1432" s="12">
        <v>500</v>
      </c>
    </row>
    <row r="1433" spans="1:10" x14ac:dyDescent="0.3">
      <c r="A1433" s="12">
        <f t="shared" si="81"/>
        <v>5405010</v>
      </c>
      <c r="B1433" s="12">
        <v>10</v>
      </c>
      <c r="C1433" s="12" t="str">
        <f t="shared" si="83"/>
        <v>호승심</v>
      </c>
      <c r="D1433" s="12">
        <v>5</v>
      </c>
      <c r="E1433" s="12">
        <v>4</v>
      </c>
      <c r="F1433" s="12">
        <v>5</v>
      </c>
      <c r="G1433" s="12" t="s">
        <v>213</v>
      </c>
      <c r="H1433" s="12">
        <f t="shared" si="82"/>
        <v>5405</v>
      </c>
      <c r="I1433" s="12">
        <v>7000168</v>
      </c>
      <c r="J1433" s="12">
        <v>100</v>
      </c>
    </row>
    <row r="1434" spans="1:10" x14ac:dyDescent="0.3">
      <c r="A1434" s="12">
        <f t="shared" si="81"/>
        <v>5406001</v>
      </c>
      <c r="B1434" s="12">
        <v>1</v>
      </c>
      <c r="C1434" s="12" t="str">
        <f>C1424</f>
        <v>계산가</v>
      </c>
      <c r="D1434" s="12">
        <v>5</v>
      </c>
      <c r="E1434" s="12">
        <v>4</v>
      </c>
      <c r="F1434" s="12">
        <v>6</v>
      </c>
      <c r="G1434" s="12" t="s">
        <v>208</v>
      </c>
      <c r="H1434" s="12">
        <f t="shared" si="82"/>
        <v>5406</v>
      </c>
      <c r="I1434" s="12">
        <v>7000167</v>
      </c>
      <c r="J1434" s="12">
        <v>10000</v>
      </c>
    </row>
    <row r="1435" spans="1:10" x14ac:dyDescent="0.3">
      <c r="A1435" s="12">
        <f t="shared" si="81"/>
        <v>5406002</v>
      </c>
      <c r="B1435" s="12">
        <v>2</v>
      </c>
      <c r="C1435" s="12" t="str">
        <f t="shared" si="83"/>
        <v>자기 합리화</v>
      </c>
      <c r="D1435" s="12">
        <v>5</v>
      </c>
      <c r="E1435" s="12">
        <v>4</v>
      </c>
      <c r="F1435" s="12">
        <v>6</v>
      </c>
      <c r="G1435" s="12" t="s">
        <v>208</v>
      </c>
      <c r="H1435" s="12">
        <f t="shared" si="82"/>
        <v>5406</v>
      </c>
      <c r="I1435" s="12">
        <v>7000105</v>
      </c>
      <c r="J1435" s="12">
        <v>10000</v>
      </c>
    </row>
    <row r="1436" spans="1:10" x14ac:dyDescent="0.3">
      <c r="A1436" s="12">
        <f t="shared" si="81"/>
        <v>5406003</v>
      </c>
      <c r="B1436" s="12">
        <v>3</v>
      </c>
      <c r="C1436" s="12" t="str">
        <f t="shared" si="83"/>
        <v>선발주자</v>
      </c>
      <c r="D1436" s="12">
        <v>5</v>
      </c>
      <c r="E1436" s="12">
        <v>4</v>
      </c>
      <c r="F1436" s="12">
        <v>6</v>
      </c>
      <c r="G1436" s="12" t="s">
        <v>208</v>
      </c>
      <c r="H1436" s="12">
        <f t="shared" si="82"/>
        <v>5406</v>
      </c>
      <c r="I1436" s="12">
        <v>7000152</v>
      </c>
      <c r="J1436" s="12">
        <v>10000</v>
      </c>
    </row>
    <row r="1437" spans="1:10" x14ac:dyDescent="0.3">
      <c r="A1437" s="12">
        <f t="shared" si="81"/>
        <v>5406004</v>
      </c>
      <c r="B1437" s="12">
        <v>4</v>
      </c>
      <c r="C1437" s="12" t="str">
        <f t="shared" si="83"/>
        <v>기회주의자</v>
      </c>
      <c r="D1437" s="12">
        <v>5</v>
      </c>
      <c r="E1437" s="12">
        <v>4</v>
      </c>
      <c r="F1437" s="12">
        <v>6</v>
      </c>
      <c r="G1437" s="12" t="s">
        <v>209</v>
      </c>
      <c r="H1437" s="12">
        <f t="shared" si="82"/>
        <v>5406</v>
      </c>
      <c r="I1437" s="12">
        <v>7000122</v>
      </c>
      <c r="J1437" s="12">
        <v>12500</v>
      </c>
    </row>
    <row r="1438" spans="1:10" x14ac:dyDescent="0.3">
      <c r="A1438" s="12">
        <f t="shared" si="81"/>
        <v>5406005</v>
      </c>
      <c r="B1438" s="12">
        <v>5</v>
      </c>
      <c r="C1438" s="12" t="str">
        <f t="shared" si="83"/>
        <v>책략가</v>
      </c>
      <c r="D1438" s="12">
        <v>5</v>
      </c>
      <c r="E1438" s="12">
        <v>4</v>
      </c>
      <c r="F1438" s="12">
        <v>6</v>
      </c>
      <c r="G1438" s="12" t="s">
        <v>209</v>
      </c>
      <c r="H1438" s="12">
        <f t="shared" si="82"/>
        <v>5406</v>
      </c>
      <c r="I1438" s="12">
        <v>7000123</v>
      </c>
      <c r="J1438" s="12">
        <v>12500</v>
      </c>
    </row>
    <row r="1439" spans="1:10" x14ac:dyDescent="0.3">
      <c r="A1439" s="12">
        <f t="shared" si="81"/>
        <v>5406006</v>
      </c>
      <c r="B1439" s="12">
        <v>6</v>
      </c>
      <c r="C1439" s="12" t="str">
        <f t="shared" si="83"/>
        <v>착취</v>
      </c>
      <c r="D1439" s="12">
        <v>5</v>
      </c>
      <c r="E1439" s="12">
        <v>4</v>
      </c>
      <c r="F1439" s="12">
        <v>6</v>
      </c>
      <c r="G1439" s="12" t="s">
        <v>210</v>
      </c>
      <c r="H1439" s="12">
        <f t="shared" si="82"/>
        <v>5406</v>
      </c>
      <c r="I1439" s="12">
        <v>7000124</v>
      </c>
      <c r="J1439" s="12">
        <v>7500</v>
      </c>
    </row>
    <row r="1440" spans="1:10" x14ac:dyDescent="0.3">
      <c r="A1440" s="12">
        <f t="shared" si="81"/>
        <v>5406007</v>
      </c>
      <c r="B1440" s="12">
        <v>7</v>
      </c>
      <c r="C1440" s="12" t="str">
        <f t="shared" si="83"/>
        <v>의기투합</v>
      </c>
      <c r="D1440" s="12">
        <v>5</v>
      </c>
      <c r="E1440" s="12">
        <v>4</v>
      </c>
      <c r="F1440" s="12">
        <v>6</v>
      </c>
      <c r="G1440" s="12" t="s">
        <v>210</v>
      </c>
      <c r="H1440" s="12">
        <f t="shared" si="82"/>
        <v>5406</v>
      </c>
      <c r="I1440" s="12">
        <v>7000171</v>
      </c>
      <c r="J1440" s="12">
        <v>7500</v>
      </c>
    </row>
    <row r="1441" spans="1:10" x14ac:dyDescent="0.3">
      <c r="A1441" s="12">
        <f t="shared" si="81"/>
        <v>5406008</v>
      </c>
      <c r="B1441" s="12">
        <v>8</v>
      </c>
      <c r="C1441" s="12" t="str">
        <f t="shared" si="83"/>
        <v>원한</v>
      </c>
      <c r="D1441" s="12">
        <v>5</v>
      </c>
      <c r="E1441" s="12">
        <v>4</v>
      </c>
      <c r="F1441" s="12">
        <v>6</v>
      </c>
      <c r="G1441" s="12" t="s">
        <v>211</v>
      </c>
      <c r="H1441" s="12">
        <f t="shared" si="82"/>
        <v>5406</v>
      </c>
      <c r="I1441" s="12">
        <v>7000172</v>
      </c>
      <c r="J1441" s="12">
        <v>1500</v>
      </c>
    </row>
    <row r="1442" spans="1:10" x14ac:dyDescent="0.3">
      <c r="A1442" s="12">
        <f t="shared" si="81"/>
        <v>5406009</v>
      </c>
      <c r="B1442" s="12">
        <v>9</v>
      </c>
      <c r="C1442" s="12" t="str">
        <f t="shared" si="83"/>
        <v>헌신</v>
      </c>
      <c r="D1442" s="12">
        <v>5</v>
      </c>
      <c r="E1442" s="12">
        <v>4</v>
      </c>
      <c r="F1442" s="12">
        <v>6</v>
      </c>
      <c r="G1442" s="12" t="s">
        <v>212</v>
      </c>
      <c r="H1442" s="12">
        <f t="shared" si="82"/>
        <v>5406</v>
      </c>
      <c r="I1442" s="12">
        <v>7000158</v>
      </c>
      <c r="J1442" s="12">
        <v>500</v>
      </c>
    </row>
    <row r="1443" spans="1:10" x14ac:dyDescent="0.3">
      <c r="A1443" s="12">
        <f t="shared" si="81"/>
        <v>5406010</v>
      </c>
      <c r="B1443" s="12">
        <v>10</v>
      </c>
      <c r="C1443" s="12" t="str">
        <f t="shared" si="83"/>
        <v>호승심</v>
      </c>
      <c r="D1443" s="12">
        <v>5</v>
      </c>
      <c r="E1443" s="12">
        <v>4</v>
      </c>
      <c r="F1443" s="12">
        <v>6</v>
      </c>
      <c r="G1443" s="12" t="s">
        <v>213</v>
      </c>
      <c r="H1443" s="12">
        <f t="shared" si="82"/>
        <v>5406</v>
      </c>
      <c r="I1443" s="12">
        <v>7000168</v>
      </c>
      <c r="J1443" s="12">
        <v>100</v>
      </c>
    </row>
    <row r="1444" spans="1:10" x14ac:dyDescent="0.3">
      <c r="A1444" s="13">
        <f>INT(H1444&amp;TEXT(B1444,"000"))</f>
        <v>5501001</v>
      </c>
      <c r="B1444" s="13">
        <v>1</v>
      </c>
      <c r="C1444" s="13" t="s">
        <v>395</v>
      </c>
      <c r="D1444" s="13">
        <v>5</v>
      </c>
      <c r="E1444" s="13">
        <v>5</v>
      </c>
      <c r="F1444" s="13">
        <v>1</v>
      </c>
      <c r="G1444" s="13" t="s">
        <v>208</v>
      </c>
      <c r="H1444" s="13">
        <f>INT(D1444&amp;E1444&amp;TEXT(F1444,"00"))</f>
        <v>5501</v>
      </c>
      <c r="I1444" s="13">
        <v>7000166</v>
      </c>
      <c r="J1444" s="13">
        <v>20000</v>
      </c>
    </row>
    <row r="1445" spans="1:10" x14ac:dyDescent="0.3">
      <c r="A1445" s="12">
        <f t="shared" ref="A1445:A1503" si="84">INT(H1445&amp;TEXT(B1445,"000"))</f>
        <v>5501002</v>
      </c>
      <c r="B1445" s="12">
        <v>2</v>
      </c>
      <c r="C1445" s="12" t="s">
        <v>374</v>
      </c>
      <c r="D1445" s="12">
        <v>5</v>
      </c>
      <c r="E1445" s="12">
        <v>5</v>
      </c>
      <c r="F1445" s="12">
        <v>1</v>
      </c>
      <c r="G1445" s="12" t="s">
        <v>208</v>
      </c>
      <c r="H1445" s="12">
        <f t="shared" ref="H1445:H1503" si="85">INT(D1445&amp;E1445&amp;TEXT(F1445,"00"))</f>
        <v>5501</v>
      </c>
      <c r="I1445" s="12">
        <v>7000133</v>
      </c>
      <c r="J1445" s="12">
        <v>20000</v>
      </c>
    </row>
    <row r="1446" spans="1:10" x14ac:dyDescent="0.3">
      <c r="A1446" s="12">
        <f t="shared" si="84"/>
        <v>5501003</v>
      </c>
      <c r="B1446" s="12">
        <v>3</v>
      </c>
      <c r="C1446" s="12" t="s">
        <v>377</v>
      </c>
      <c r="D1446" s="12">
        <v>5</v>
      </c>
      <c r="E1446" s="12">
        <v>5</v>
      </c>
      <c r="F1446" s="12">
        <v>1</v>
      </c>
      <c r="G1446" s="12" t="s">
        <v>208</v>
      </c>
      <c r="H1446" s="12">
        <f t="shared" si="85"/>
        <v>5501</v>
      </c>
      <c r="I1446" s="12">
        <v>7000134</v>
      </c>
      <c r="J1446" s="12">
        <v>20000</v>
      </c>
    </row>
    <row r="1447" spans="1:10" x14ac:dyDescent="0.3">
      <c r="A1447" s="12">
        <f t="shared" si="84"/>
        <v>5501004</v>
      </c>
      <c r="B1447" s="12">
        <v>4</v>
      </c>
      <c r="C1447" s="12" t="s">
        <v>378</v>
      </c>
      <c r="D1447" s="12">
        <v>5</v>
      </c>
      <c r="E1447" s="12">
        <v>5</v>
      </c>
      <c r="F1447" s="12">
        <v>1</v>
      </c>
      <c r="G1447" s="12" t="s">
        <v>223</v>
      </c>
      <c r="H1447" s="12">
        <f t="shared" si="85"/>
        <v>5501</v>
      </c>
      <c r="I1447" s="12">
        <v>7000135</v>
      </c>
      <c r="J1447" s="12">
        <v>15000</v>
      </c>
    </row>
    <row r="1448" spans="1:10" x14ac:dyDescent="0.3">
      <c r="A1448" s="12">
        <f t="shared" si="84"/>
        <v>5501005</v>
      </c>
      <c r="B1448" s="12">
        <v>5</v>
      </c>
      <c r="C1448" s="12" t="s">
        <v>355</v>
      </c>
      <c r="D1448" s="12">
        <v>5</v>
      </c>
      <c r="E1448" s="12">
        <v>5</v>
      </c>
      <c r="F1448" s="12">
        <v>1</v>
      </c>
      <c r="G1448" s="12" t="s">
        <v>223</v>
      </c>
      <c r="H1448" s="12">
        <f t="shared" si="85"/>
        <v>5501</v>
      </c>
      <c r="I1448" s="12">
        <v>7000142</v>
      </c>
      <c r="J1448" s="12">
        <v>15000</v>
      </c>
    </row>
    <row r="1449" spans="1:10" x14ac:dyDescent="0.3">
      <c r="A1449" s="12">
        <f t="shared" si="84"/>
        <v>5501006</v>
      </c>
      <c r="B1449" s="12">
        <v>6</v>
      </c>
      <c r="C1449" s="12" t="s">
        <v>388</v>
      </c>
      <c r="D1449" s="12">
        <v>5</v>
      </c>
      <c r="E1449" s="12">
        <v>5</v>
      </c>
      <c r="F1449" s="12">
        <v>1</v>
      </c>
      <c r="G1449" s="12" t="s">
        <v>222</v>
      </c>
      <c r="H1449" s="12">
        <f t="shared" si="85"/>
        <v>5501</v>
      </c>
      <c r="I1449" s="12">
        <v>7000158</v>
      </c>
      <c r="J1449" s="12">
        <v>10000</v>
      </c>
    </row>
    <row r="1450" spans="1:10" x14ac:dyDescent="0.3">
      <c r="A1450" s="12">
        <f t="shared" si="84"/>
        <v>5501007</v>
      </c>
      <c r="B1450" s="12">
        <v>7</v>
      </c>
      <c r="C1450" s="12" t="s">
        <v>402</v>
      </c>
      <c r="D1450" s="12">
        <v>5</v>
      </c>
      <c r="E1450" s="12">
        <v>5</v>
      </c>
      <c r="F1450" s="12">
        <v>1</v>
      </c>
      <c r="G1450" s="12" t="s">
        <v>222</v>
      </c>
      <c r="H1450" s="12">
        <f t="shared" si="85"/>
        <v>5501</v>
      </c>
      <c r="I1450" s="12">
        <v>7000172</v>
      </c>
      <c r="J1450" s="12">
        <v>10000</v>
      </c>
    </row>
    <row r="1451" spans="1:10" x14ac:dyDescent="0.3">
      <c r="A1451" s="12">
        <f t="shared" si="84"/>
        <v>5501008</v>
      </c>
      <c r="B1451" s="12">
        <v>8</v>
      </c>
      <c r="C1451" s="12" t="s">
        <v>384</v>
      </c>
      <c r="D1451" s="12">
        <v>5</v>
      </c>
      <c r="E1451" s="12">
        <v>5</v>
      </c>
      <c r="F1451" s="12">
        <v>1</v>
      </c>
      <c r="G1451" s="12" t="s">
        <v>211</v>
      </c>
      <c r="H1451" s="12">
        <f t="shared" si="85"/>
        <v>5501</v>
      </c>
      <c r="I1451" s="12">
        <v>7000153</v>
      </c>
      <c r="J1451" s="12">
        <v>2000</v>
      </c>
    </row>
    <row r="1452" spans="1:10" x14ac:dyDescent="0.3">
      <c r="A1452" s="12">
        <f t="shared" si="84"/>
        <v>5501009</v>
      </c>
      <c r="B1452" s="12">
        <v>9</v>
      </c>
      <c r="C1452" s="12" t="s">
        <v>391</v>
      </c>
      <c r="D1452" s="12">
        <v>5</v>
      </c>
      <c r="E1452" s="12">
        <v>5</v>
      </c>
      <c r="F1452" s="12">
        <v>1</v>
      </c>
      <c r="G1452" s="12" t="s">
        <v>212</v>
      </c>
      <c r="H1452" s="12">
        <f t="shared" si="85"/>
        <v>5501</v>
      </c>
      <c r="I1452" s="12">
        <v>7000164</v>
      </c>
      <c r="J1452" s="12">
        <v>500</v>
      </c>
    </row>
    <row r="1453" spans="1:10" x14ac:dyDescent="0.3">
      <c r="A1453" s="12">
        <f t="shared" si="84"/>
        <v>5501010</v>
      </c>
      <c r="B1453" s="12">
        <v>10</v>
      </c>
      <c r="C1453" s="12" t="s">
        <v>344</v>
      </c>
      <c r="D1453" s="12">
        <v>5</v>
      </c>
      <c r="E1453" s="12">
        <v>5</v>
      </c>
      <c r="F1453" s="12">
        <v>1</v>
      </c>
      <c r="G1453" s="12" t="s">
        <v>213</v>
      </c>
      <c r="H1453" s="12">
        <f t="shared" si="85"/>
        <v>5501</v>
      </c>
      <c r="I1453" s="12">
        <v>7000163</v>
      </c>
      <c r="J1453" s="12">
        <v>100</v>
      </c>
    </row>
    <row r="1454" spans="1:10" x14ac:dyDescent="0.3">
      <c r="A1454" s="12">
        <f t="shared" si="84"/>
        <v>5502001</v>
      </c>
      <c r="B1454" s="12">
        <v>1</v>
      </c>
      <c r="C1454" s="12" t="str">
        <f>C1444</f>
        <v>우월감</v>
      </c>
      <c r="D1454" s="12">
        <v>5</v>
      </c>
      <c r="E1454" s="12">
        <v>5</v>
      </c>
      <c r="F1454" s="12">
        <v>2</v>
      </c>
      <c r="G1454" s="12" t="s">
        <v>208</v>
      </c>
      <c r="H1454" s="12">
        <f t="shared" si="85"/>
        <v>5502</v>
      </c>
      <c r="I1454" s="12">
        <v>7000166</v>
      </c>
      <c r="J1454" s="12">
        <v>18000</v>
      </c>
    </row>
    <row r="1455" spans="1:10" x14ac:dyDescent="0.3">
      <c r="A1455" s="12">
        <f t="shared" si="84"/>
        <v>5502002</v>
      </c>
      <c r="B1455" s="12">
        <v>2</v>
      </c>
      <c r="C1455" s="12" t="str">
        <f t="shared" ref="C1455:C1503" si="86">C1445</f>
        <v>투정</v>
      </c>
      <c r="D1455" s="12">
        <v>5</v>
      </c>
      <c r="E1455" s="12">
        <v>5</v>
      </c>
      <c r="F1455" s="12">
        <v>2</v>
      </c>
      <c r="G1455" s="12" t="s">
        <v>208</v>
      </c>
      <c r="H1455" s="12">
        <f t="shared" si="85"/>
        <v>5502</v>
      </c>
      <c r="I1455" s="12">
        <v>7000133</v>
      </c>
      <c r="J1455" s="12">
        <v>18000</v>
      </c>
    </row>
    <row r="1456" spans="1:10" x14ac:dyDescent="0.3">
      <c r="A1456" s="12">
        <f t="shared" si="84"/>
        <v>5502003</v>
      </c>
      <c r="B1456" s="12">
        <v>3</v>
      </c>
      <c r="C1456" s="12" t="str">
        <f t="shared" si="86"/>
        <v>수완가</v>
      </c>
      <c r="D1456" s="12">
        <v>5</v>
      </c>
      <c r="E1456" s="12">
        <v>5</v>
      </c>
      <c r="F1456" s="12">
        <v>2</v>
      </c>
      <c r="G1456" s="12" t="s">
        <v>208</v>
      </c>
      <c r="H1456" s="12">
        <f t="shared" si="85"/>
        <v>5502</v>
      </c>
      <c r="I1456" s="12">
        <v>7000134</v>
      </c>
      <c r="J1456" s="12">
        <v>18000</v>
      </c>
    </row>
    <row r="1457" spans="1:10" x14ac:dyDescent="0.3">
      <c r="A1457" s="12">
        <f t="shared" si="84"/>
        <v>5502004</v>
      </c>
      <c r="B1457" s="12">
        <v>4</v>
      </c>
      <c r="C1457" s="12" t="str">
        <f t="shared" si="86"/>
        <v>이기주의</v>
      </c>
      <c r="D1457" s="12">
        <v>5</v>
      </c>
      <c r="E1457" s="12">
        <v>5</v>
      </c>
      <c r="F1457" s="12">
        <v>2</v>
      </c>
      <c r="G1457" s="12" t="s">
        <v>209</v>
      </c>
      <c r="H1457" s="12">
        <f t="shared" si="85"/>
        <v>5502</v>
      </c>
      <c r="I1457" s="12">
        <v>7000135</v>
      </c>
      <c r="J1457" s="12">
        <v>14500</v>
      </c>
    </row>
    <row r="1458" spans="1:10" x14ac:dyDescent="0.3">
      <c r="A1458" s="12">
        <f t="shared" si="84"/>
        <v>5502005</v>
      </c>
      <c r="B1458" s="12">
        <v>5</v>
      </c>
      <c r="C1458" s="12" t="str">
        <f t="shared" si="86"/>
        <v>애증</v>
      </c>
      <c r="D1458" s="12">
        <v>5</v>
      </c>
      <c r="E1458" s="12">
        <v>5</v>
      </c>
      <c r="F1458" s="12">
        <v>2</v>
      </c>
      <c r="G1458" s="12" t="s">
        <v>209</v>
      </c>
      <c r="H1458" s="12">
        <f t="shared" si="85"/>
        <v>5502</v>
      </c>
      <c r="I1458" s="12">
        <v>7000142</v>
      </c>
      <c r="J1458" s="12">
        <v>14500</v>
      </c>
    </row>
    <row r="1459" spans="1:10" x14ac:dyDescent="0.3">
      <c r="A1459" s="12">
        <f t="shared" si="84"/>
        <v>5502006</v>
      </c>
      <c r="B1459" s="12">
        <v>6</v>
      </c>
      <c r="C1459" s="12" t="str">
        <f t="shared" si="86"/>
        <v>헌신</v>
      </c>
      <c r="D1459" s="12">
        <v>5</v>
      </c>
      <c r="E1459" s="12">
        <v>5</v>
      </c>
      <c r="F1459" s="12">
        <v>2</v>
      </c>
      <c r="G1459" s="12" t="s">
        <v>210</v>
      </c>
      <c r="H1459" s="12">
        <f t="shared" si="85"/>
        <v>5502</v>
      </c>
      <c r="I1459" s="12">
        <v>7000158</v>
      </c>
      <c r="J1459" s="12">
        <v>9500</v>
      </c>
    </row>
    <row r="1460" spans="1:10" x14ac:dyDescent="0.3">
      <c r="A1460" s="12">
        <f t="shared" si="84"/>
        <v>5502007</v>
      </c>
      <c r="B1460" s="12">
        <v>7</v>
      </c>
      <c r="C1460" s="12" t="str">
        <f t="shared" si="86"/>
        <v>원한</v>
      </c>
      <c r="D1460" s="12">
        <v>5</v>
      </c>
      <c r="E1460" s="12">
        <v>5</v>
      </c>
      <c r="F1460" s="12">
        <v>2</v>
      </c>
      <c r="G1460" s="12" t="s">
        <v>210</v>
      </c>
      <c r="H1460" s="12">
        <f t="shared" si="85"/>
        <v>5502</v>
      </c>
      <c r="I1460" s="12">
        <v>7000172</v>
      </c>
      <c r="J1460" s="12">
        <v>9500</v>
      </c>
    </row>
    <row r="1461" spans="1:10" x14ac:dyDescent="0.3">
      <c r="A1461" s="12">
        <f t="shared" si="84"/>
        <v>5502008</v>
      </c>
      <c r="B1461" s="12">
        <v>8</v>
      </c>
      <c r="C1461" s="12" t="str">
        <f t="shared" si="86"/>
        <v>불굴의 의지</v>
      </c>
      <c r="D1461" s="12">
        <v>5</v>
      </c>
      <c r="E1461" s="12">
        <v>5</v>
      </c>
      <c r="F1461" s="12">
        <v>2</v>
      </c>
      <c r="G1461" s="12" t="s">
        <v>211</v>
      </c>
      <c r="H1461" s="12">
        <f t="shared" si="85"/>
        <v>5502</v>
      </c>
      <c r="I1461" s="12">
        <v>7000153</v>
      </c>
      <c r="J1461" s="12">
        <v>1900</v>
      </c>
    </row>
    <row r="1462" spans="1:10" x14ac:dyDescent="0.3">
      <c r="A1462" s="12">
        <f t="shared" si="84"/>
        <v>5502009</v>
      </c>
      <c r="B1462" s="12">
        <v>9</v>
      </c>
      <c r="C1462" s="12" t="str">
        <f t="shared" si="86"/>
        <v>자비</v>
      </c>
      <c r="D1462" s="12">
        <v>5</v>
      </c>
      <c r="E1462" s="12">
        <v>5</v>
      </c>
      <c r="F1462" s="12">
        <v>2</v>
      </c>
      <c r="G1462" s="12" t="s">
        <v>212</v>
      </c>
      <c r="H1462" s="12">
        <f t="shared" si="85"/>
        <v>5502</v>
      </c>
      <c r="I1462" s="12">
        <v>7000164</v>
      </c>
      <c r="J1462" s="12">
        <v>500</v>
      </c>
    </row>
    <row r="1463" spans="1:10" x14ac:dyDescent="0.3">
      <c r="A1463" s="12">
        <f t="shared" si="84"/>
        <v>5502010</v>
      </c>
      <c r="B1463" s="12">
        <v>10</v>
      </c>
      <c r="C1463" s="12" t="str">
        <f t="shared" si="86"/>
        <v>독기</v>
      </c>
      <c r="D1463" s="12">
        <v>5</v>
      </c>
      <c r="E1463" s="12">
        <v>5</v>
      </c>
      <c r="F1463" s="12">
        <v>2</v>
      </c>
      <c r="G1463" s="12" t="s">
        <v>213</v>
      </c>
      <c r="H1463" s="12">
        <f t="shared" si="85"/>
        <v>5502</v>
      </c>
      <c r="I1463" s="12">
        <v>7000163</v>
      </c>
      <c r="J1463" s="12">
        <v>100</v>
      </c>
    </row>
    <row r="1464" spans="1:10" x14ac:dyDescent="0.3">
      <c r="A1464" s="12">
        <f t="shared" si="84"/>
        <v>5503001</v>
      </c>
      <c r="B1464" s="12">
        <v>1</v>
      </c>
      <c r="C1464" s="12" t="str">
        <f>C1454</f>
        <v>우월감</v>
      </c>
      <c r="D1464" s="12">
        <v>5</v>
      </c>
      <c r="E1464" s="12">
        <v>5</v>
      </c>
      <c r="F1464" s="12">
        <v>3</v>
      </c>
      <c r="G1464" s="12" t="s">
        <v>208</v>
      </c>
      <c r="H1464" s="12">
        <f t="shared" si="85"/>
        <v>5503</v>
      </c>
      <c r="I1464" s="12">
        <v>7000166</v>
      </c>
      <c r="J1464" s="12">
        <v>16000</v>
      </c>
    </row>
    <row r="1465" spans="1:10" x14ac:dyDescent="0.3">
      <c r="A1465" s="12">
        <f t="shared" si="84"/>
        <v>5503002</v>
      </c>
      <c r="B1465" s="12">
        <v>2</v>
      </c>
      <c r="C1465" s="12" t="str">
        <f t="shared" si="86"/>
        <v>투정</v>
      </c>
      <c r="D1465" s="12">
        <v>5</v>
      </c>
      <c r="E1465" s="12">
        <v>5</v>
      </c>
      <c r="F1465" s="12">
        <v>3</v>
      </c>
      <c r="G1465" s="12" t="s">
        <v>208</v>
      </c>
      <c r="H1465" s="12">
        <f t="shared" si="85"/>
        <v>5503</v>
      </c>
      <c r="I1465" s="12">
        <v>7000133</v>
      </c>
      <c r="J1465" s="12">
        <v>16000</v>
      </c>
    </row>
    <row r="1466" spans="1:10" x14ac:dyDescent="0.3">
      <c r="A1466" s="12">
        <f t="shared" si="84"/>
        <v>5503003</v>
      </c>
      <c r="B1466" s="12">
        <v>3</v>
      </c>
      <c r="C1466" s="12" t="str">
        <f t="shared" si="86"/>
        <v>수완가</v>
      </c>
      <c r="D1466" s="12">
        <v>5</v>
      </c>
      <c r="E1466" s="12">
        <v>5</v>
      </c>
      <c r="F1466" s="12">
        <v>3</v>
      </c>
      <c r="G1466" s="12" t="s">
        <v>208</v>
      </c>
      <c r="H1466" s="12">
        <f t="shared" si="85"/>
        <v>5503</v>
      </c>
      <c r="I1466" s="12">
        <v>7000134</v>
      </c>
      <c r="J1466" s="12">
        <v>16000</v>
      </c>
    </row>
    <row r="1467" spans="1:10" x14ac:dyDescent="0.3">
      <c r="A1467" s="12">
        <f t="shared" si="84"/>
        <v>5503004</v>
      </c>
      <c r="B1467" s="12">
        <v>4</v>
      </c>
      <c r="C1467" s="12" t="str">
        <f t="shared" si="86"/>
        <v>이기주의</v>
      </c>
      <c r="D1467" s="12">
        <v>5</v>
      </c>
      <c r="E1467" s="12">
        <v>5</v>
      </c>
      <c r="F1467" s="12">
        <v>3</v>
      </c>
      <c r="G1467" s="12" t="s">
        <v>209</v>
      </c>
      <c r="H1467" s="12">
        <f t="shared" si="85"/>
        <v>5503</v>
      </c>
      <c r="I1467" s="12">
        <v>7000135</v>
      </c>
      <c r="J1467" s="12">
        <v>14000</v>
      </c>
    </row>
    <row r="1468" spans="1:10" x14ac:dyDescent="0.3">
      <c r="A1468" s="12">
        <f t="shared" si="84"/>
        <v>5503005</v>
      </c>
      <c r="B1468" s="12">
        <v>5</v>
      </c>
      <c r="C1468" s="12" t="str">
        <f t="shared" si="86"/>
        <v>애증</v>
      </c>
      <c r="D1468" s="12">
        <v>5</v>
      </c>
      <c r="E1468" s="12">
        <v>5</v>
      </c>
      <c r="F1468" s="12">
        <v>3</v>
      </c>
      <c r="G1468" s="12" t="s">
        <v>209</v>
      </c>
      <c r="H1468" s="12">
        <f t="shared" si="85"/>
        <v>5503</v>
      </c>
      <c r="I1468" s="12">
        <v>7000142</v>
      </c>
      <c r="J1468" s="12">
        <v>14000</v>
      </c>
    </row>
    <row r="1469" spans="1:10" x14ac:dyDescent="0.3">
      <c r="A1469" s="12">
        <f t="shared" si="84"/>
        <v>5503006</v>
      </c>
      <c r="B1469" s="12">
        <v>6</v>
      </c>
      <c r="C1469" s="12" t="str">
        <f t="shared" si="86"/>
        <v>헌신</v>
      </c>
      <c r="D1469" s="12">
        <v>5</v>
      </c>
      <c r="E1469" s="12">
        <v>5</v>
      </c>
      <c r="F1469" s="12">
        <v>3</v>
      </c>
      <c r="G1469" s="12" t="s">
        <v>210</v>
      </c>
      <c r="H1469" s="12">
        <f t="shared" si="85"/>
        <v>5503</v>
      </c>
      <c r="I1469" s="12">
        <v>7000158</v>
      </c>
      <c r="J1469" s="12">
        <v>9000</v>
      </c>
    </row>
    <row r="1470" spans="1:10" x14ac:dyDescent="0.3">
      <c r="A1470" s="12">
        <f t="shared" si="84"/>
        <v>5503007</v>
      </c>
      <c r="B1470" s="12">
        <v>7</v>
      </c>
      <c r="C1470" s="12" t="str">
        <f t="shared" si="86"/>
        <v>원한</v>
      </c>
      <c r="D1470" s="12">
        <v>5</v>
      </c>
      <c r="E1470" s="12">
        <v>5</v>
      </c>
      <c r="F1470" s="12">
        <v>3</v>
      </c>
      <c r="G1470" s="12" t="s">
        <v>210</v>
      </c>
      <c r="H1470" s="12">
        <f t="shared" si="85"/>
        <v>5503</v>
      </c>
      <c r="I1470" s="12">
        <v>7000172</v>
      </c>
      <c r="J1470" s="12">
        <v>9000</v>
      </c>
    </row>
    <row r="1471" spans="1:10" x14ac:dyDescent="0.3">
      <c r="A1471" s="12">
        <f t="shared" si="84"/>
        <v>5503008</v>
      </c>
      <c r="B1471" s="12">
        <v>8</v>
      </c>
      <c r="C1471" s="12" t="str">
        <f t="shared" si="86"/>
        <v>불굴의 의지</v>
      </c>
      <c r="D1471" s="12">
        <v>5</v>
      </c>
      <c r="E1471" s="12">
        <v>5</v>
      </c>
      <c r="F1471" s="12">
        <v>3</v>
      </c>
      <c r="G1471" s="12" t="s">
        <v>211</v>
      </c>
      <c r="H1471" s="12">
        <f t="shared" si="85"/>
        <v>5503</v>
      </c>
      <c r="I1471" s="12">
        <v>7000153</v>
      </c>
      <c r="J1471" s="12">
        <v>1800</v>
      </c>
    </row>
    <row r="1472" spans="1:10" x14ac:dyDescent="0.3">
      <c r="A1472" s="12">
        <f t="shared" si="84"/>
        <v>5503009</v>
      </c>
      <c r="B1472" s="12">
        <v>9</v>
      </c>
      <c r="C1472" s="12" t="str">
        <f t="shared" si="86"/>
        <v>자비</v>
      </c>
      <c r="D1472" s="12">
        <v>5</v>
      </c>
      <c r="E1472" s="12">
        <v>5</v>
      </c>
      <c r="F1472" s="12">
        <v>3</v>
      </c>
      <c r="G1472" s="12" t="s">
        <v>212</v>
      </c>
      <c r="H1472" s="12">
        <f t="shared" si="85"/>
        <v>5503</v>
      </c>
      <c r="I1472" s="12">
        <v>7000164</v>
      </c>
      <c r="J1472" s="12">
        <v>500</v>
      </c>
    </row>
    <row r="1473" spans="1:10" x14ac:dyDescent="0.3">
      <c r="A1473" s="12">
        <f t="shared" si="84"/>
        <v>5503010</v>
      </c>
      <c r="B1473" s="12">
        <v>10</v>
      </c>
      <c r="C1473" s="12" t="str">
        <f t="shared" si="86"/>
        <v>독기</v>
      </c>
      <c r="D1473" s="12">
        <v>5</v>
      </c>
      <c r="E1473" s="12">
        <v>5</v>
      </c>
      <c r="F1473" s="12">
        <v>3</v>
      </c>
      <c r="G1473" s="12" t="s">
        <v>213</v>
      </c>
      <c r="H1473" s="12">
        <f t="shared" si="85"/>
        <v>5503</v>
      </c>
      <c r="I1473" s="12">
        <v>7000163</v>
      </c>
      <c r="J1473" s="12">
        <v>100</v>
      </c>
    </row>
    <row r="1474" spans="1:10" x14ac:dyDescent="0.3">
      <c r="A1474" s="12">
        <f t="shared" si="84"/>
        <v>5504001</v>
      </c>
      <c r="B1474" s="12">
        <v>1</v>
      </c>
      <c r="C1474" s="12" t="str">
        <f>C1464</f>
        <v>우월감</v>
      </c>
      <c r="D1474" s="12">
        <v>5</v>
      </c>
      <c r="E1474" s="12">
        <v>5</v>
      </c>
      <c r="F1474" s="12">
        <v>4</v>
      </c>
      <c r="G1474" s="12" t="s">
        <v>208</v>
      </c>
      <c r="H1474" s="12">
        <f t="shared" si="85"/>
        <v>5504</v>
      </c>
      <c r="I1474" s="12">
        <v>7000166</v>
      </c>
      <c r="J1474" s="12">
        <v>14000</v>
      </c>
    </row>
    <row r="1475" spans="1:10" x14ac:dyDescent="0.3">
      <c r="A1475" s="12">
        <f t="shared" si="84"/>
        <v>5504002</v>
      </c>
      <c r="B1475" s="12">
        <v>2</v>
      </c>
      <c r="C1475" s="12" t="str">
        <f t="shared" si="86"/>
        <v>투정</v>
      </c>
      <c r="D1475" s="12">
        <v>5</v>
      </c>
      <c r="E1475" s="12">
        <v>5</v>
      </c>
      <c r="F1475" s="12">
        <v>4</v>
      </c>
      <c r="G1475" s="12" t="s">
        <v>208</v>
      </c>
      <c r="H1475" s="12">
        <f t="shared" si="85"/>
        <v>5504</v>
      </c>
      <c r="I1475" s="12">
        <v>7000133</v>
      </c>
      <c r="J1475" s="12">
        <v>14000</v>
      </c>
    </row>
    <row r="1476" spans="1:10" x14ac:dyDescent="0.3">
      <c r="A1476" s="12">
        <f t="shared" si="84"/>
        <v>5504003</v>
      </c>
      <c r="B1476" s="12">
        <v>3</v>
      </c>
      <c r="C1476" s="12" t="str">
        <f t="shared" si="86"/>
        <v>수완가</v>
      </c>
      <c r="D1476" s="12">
        <v>5</v>
      </c>
      <c r="E1476" s="12">
        <v>5</v>
      </c>
      <c r="F1476" s="12">
        <v>4</v>
      </c>
      <c r="G1476" s="12" t="s">
        <v>208</v>
      </c>
      <c r="H1476" s="12">
        <f t="shared" si="85"/>
        <v>5504</v>
      </c>
      <c r="I1476" s="12">
        <v>7000134</v>
      </c>
      <c r="J1476" s="12">
        <v>14000</v>
      </c>
    </row>
    <row r="1477" spans="1:10" x14ac:dyDescent="0.3">
      <c r="A1477" s="12">
        <f t="shared" si="84"/>
        <v>5504004</v>
      </c>
      <c r="B1477" s="12">
        <v>4</v>
      </c>
      <c r="C1477" s="12" t="str">
        <f t="shared" si="86"/>
        <v>이기주의</v>
      </c>
      <c r="D1477" s="12">
        <v>5</v>
      </c>
      <c r="E1477" s="12">
        <v>5</v>
      </c>
      <c r="F1477" s="12">
        <v>4</v>
      </c>
      <c r="G1477" s="12" t="s">
        <v>209</v>
      </c>
      <c r="H1477" s="12">
        <f t="shared" si="85"/>
        <v>5504</v>
      </c>
      <c r="I1477" s="12">
        <v>7000135</v>
      </c>
      <c r="J1477" s="12">
        <v>13500</v>
      </c>
    </row>
    <row r="1478" spans="1:10" x14ac:dyDescent="0.3">
      <c r="A1478" s="12">
        <f t="shared" si="84"/>
        <v>5504005</v>
      </c>
      <c r="B1478" s="12">
        <v>5</v>
      </c>
      <c r="C1478" s="12" t="str">
        <f t="shared" si="86"/>
        <v>애증</v>
      </c>
      <c r="D1478" s="12">
        <v>5</v>
      </c>
      <c r="E1478" s="12">
        <v>5</v>
      </c>
      <c r="F1478" s="12">
        <v>4</v>
      </c>
      <c r="G1478" s="12" t="s">
        <v>209</v>
      </c>
      <c r="H1478" s="12">
        <f t="shared" si="85"/>
        <v>5504</v>
      </c>
      <c r="I1478" s="12">
        <v>7000142</v>
      </c>
      <c r="J1478" s="12">
        <v>13500</v>
      </c>
    </row>
    <row r="1479" spans="1:10" x14ac:dyDescent="0.3">
      <c r="A1479" s="12">
        <f t="shared" si="84"/>
        <v>5504006</v>
      </c>
      <c r="B1479" s="12">
        <v>6</v>
      </c>
      <c r="C1479" s="12" t="str">
        <f t="shared" si="86"/>
        <v>헌신</v>
      </c>
      <c r="D1479" s="12">
        <v>5</v>
      </c>
      <c r="E1479" s="12">
        <v>5</v>
      </c>
      <c r="F1479" s="12">
        <v>4</v>
      </c>
      <c r="G1479" s="12" t="s">
        <v>210</v>
      </c>
      <c r="H1479" s="12">
        <f t="shared" si="85"/>
        <v>5504</v>
      </c>
      <c r="I1479" s="12">
        <v>7000158</v>
      </c>
      <c r="J1479" s="12">
        <v>8500</v>
      </c>
    </row>
    <row r="1480" spans="1:10" x14ac:dyDescent="0.3">
      <c r="A1480" s="12">
        <f t="shared" si="84"/>
        <v>5504007</v>
      </c>
      <c r="B1480" s="12">
        <v>7</v>
      </c>
      <c r="C1480" s="12" t="str">
        <f t="shared" si="86"/>
        <v>원한</v>
      </c>
      <c r="D1480" s="12">
        <v>5</v>
      </c>
      <c r="E1480" s="12">
        <v>5</v>
      </c>
      <c r="F1480" s="12">
        <v>4</v>
      </c>
      <c r="G1480" s="12" t="s">
        <v>210</v>
      </c>
      <c r="H1480" s="12">
        <f t="shared" si="85"/>
        <v>5504</v>
      </c>
      <c r="I1480" s="12">
        <v>7000172</v>
      </c>
      <c r="J1480" s="12">
        <v>8500</v>
      </c>
    </row>
    <row r="1481" spans="1:10" x14ac:dyDescent="0.3">
      <c r="A1481" s="12">
        <f t="shared" si="84"/>
        <v>5504008</v>
      </c>
      <c r="B1481" s="12">
        <v>8</v>
      </c>
      <c r="C1481" s="12" t="str">
        <f t="shared" si="86"/>
        <v>불굴의 의지</v>
      </c>
      <c r="D1481" s="12">
        <v>5</v>
      </c>
      <c r="E1481" s="12">
        <v>5</v>
      </c>
      <c r="F1481" s="12">
        <v>4</v>
      </c>
      <c r="G1481" s="12" t="s">
        <v>211</v>
      </c>
      <c r="H1481" s="12">
        <f t="shared" si="85"/>
        <v>5504</v>
      </c>
      <c r="I1481" s="12">
        <v>7000153</v>
      </c>
      <c r="J1481" s="12">
        <v>1700</v>
      </c>
    </row>
    <row r="1482" spans="1:10" x14ac:dyDescent="0.3">
      <c r="A1482" s="12">
        <f t="shared" si="84"/>
        <v>5504009</v>
      </c>
      <c r="B1482" s="12">
        <v>9</v>
      </c>
      <c r="C1482" s="12" t="str">
        <f t="shared" si="86"/>
        <v>자비</v>
      </c>
      <c r="D1482" s="12">
        <v>5</v>
      </c>
      <c r="E1482" s="12">
        <v>5</v>
      </c>
      <c r="F1482" s="12">
        <v>4</v>
      </c>
      <c r="G1482" s="12" t="s">
        <v>212</v>
      </c>
      <c r="H1482" s="12">
        <f t="shared" si="85"/>
        <v>5504</v>
      </c>
      <c r="I1482" s="12">
        <v>7000164</v>
      </c>
      <c r="J1482" s="12">
        <v>500</v>
      </c>
    </row>
    <row r="1483" spans="1:10" x14ac:dyDescent="0.3">
      <c r="A1483" s="12">
        <f t="shared" si="84"/>
        <v>5504010</v>
      </c>
      <c r="B1483" s="12">
        <v>10</v>
      </c>
      <c r="C1483" s="12" t="str">
        <f t="shared" si="86"/>
        <v>독기</v>
      </c>
      <c r="D1483" s="12">
        <v>5</v>
      </c>
      <c r="E1483" s="12">
        <v>5</v>
      </c>
      <c r="F1483" s="12">
        <v>4</v>
      </c>
      <c r="G1483" s="12" t="s">
        <v>213</v>
      </c>
      <c r="H1483" s="12">
        <f t="shared" si="85"/>
        <v>5504</v>
      </c>
      <c r="I1483" s="12">
        <v>7000163</v>
      </c>
      <c r="J1483" s="12">
        <v>100</v>
      </c>
    </row>
    <row r="1484" spans="1:10" x14ac:dyDescent="0.3">
      <c r="A1484" s="12">
        <f t="shared" si="84"/>
        <v>5505001</v>
      </c>
      <c r="B1484" s="12">
        <v>1</v>
      </c>
      <c r="C1484" s="12" t="str">
        <f>C1474</f>
        <v>우월감</v>
      </c>
      <c r="D1484" s="12">
        <v>5</v>
      </c>
      <c r="E1484" s="12">
        <v>5</v>
      </c>
      <c r="F1484" s="12">
        <v>5</v>
      </c>
      <c r="G1484" s="12" t="s">
        <v>208</v>
      </c>
      <c r="H1484" s="12">
        <f t="shared" si="85"/>
        <v>5505</v>
      </c>
      <c r="I1484" s="12">
        <v>7000166</v>
      </c>
      <c r="J1484" s="12">
        <v>12000</v>
      </c>
    </row>
    <row r="1485" spans="1:10" x14ac:dyDescent="0.3">
      <c r="A1485" s="12">
        <f t="shared" si="84"/>
        <v>5505002</v>
      </c>
      <c r="B1485" s="12">
        <v>2</v>
      </c>
      <c r="C1485" s="12" t="str">
        <f t="shared" si="86"/>
        <v>투정</v>
      </c>
      <c r="D1485" s="12">
        <v>5</v>
      </c>
      <c r="E1485" s="12">
        <v>5</v>
      </c>
      <c r="F1485" s="12">
        <v>5</v>
      </c>
      <c r="G1485" s="12" t="s">
        <v>208</v>
      </c>
      <c r="H1485" s="12">
        <f t="shared" si="85"/>
        <v>5505</v>
      </c>
      <c r="I1485" s="12">
        <v>7000133</v>
      </c>
      <c r="J1485" s="12">
        <v>12000</v>
      </c>
    </row>
    <row r="1486" spans="1:10" x14ac:dyDescent="0.3">
      <c r="A1486" s="12">
        <f t="shared" si="84"/>
        <v>5505003</v>
      </c>
      <c r="B1486" s="12">
        <v>3</v>
      </c>
      <c r="C1486" s="12" t="str">
        <f t="shared" si="86"/>
        <v>수완가</v>
      </c>
      <c r="D1486" s="12">
        <v>5</v>
      </c>
      <c r="E1486" s="12">
        <v>5</v>
      </c>
      <c r="F1486" s="12">
        <v>5</v>
      </c>
      <c r="G1486" s="12" t="s">
        <v>208</v>
      </c>
      <c r="H1486" s="12">
        <f t="shared" si="85"/>
        <v>5505</v>
      </c>
      <c r="I1486" s="12">
        <v>7000134</v>
      </c>
      <c r="J1486" s="12">
        <v>12000</v>
      </c>
    </row>
    <row r="1487" spans="1:10" x14ac:dyDescent="0.3">
      <c r="A1487" s="12">
        <f t="shared" si="84"/>
        <v>5505004</v>
      </c>
      <c r="B1487" s="12">
        <v>4</v>
      </c>
      <c r="C1487" s="12" t="str">
        <f t="shared" si="86"/>
        <v>이기주의</v>
      </c>
      <c r="D1487" s="12">
        <v>5</v>
      </c>
      <c r="E1487" s="12">
        <v>5</v>
      </c>
      <c r="F1487" s="12">
        <v>5</v>
      </c>
      <c r="G1487" s="12" t="s">
        <v>209</v>
      </c>
      <c r="H1487" s="12">
        <f t="shared" si="85"/>
        <v>5505</v>
      </c>
      <c r="I1487" s="12">
        <v>7000135</v>
      </c>
      <c r="J1487" s="12">
        <v>13000</v>
      </c>
    </row>
    <row r="1488" spans="1:10" x14ac:dyDescent="0.3">
      <c r="A1488" s="12">
        <f t="shared" si="84"/>
        <v>5505005</v>
      </c>
      <c r="B1488" s="12">
        <v>5</v>
      </c>
      <c r="C1488" s="12" t="str">
        <f t="shared" si="86"/>
        <v>애증</v>
      </c>
      <c r="D1488" s="12">
        <v>5</v>
      </c>
      <c r="E1488" s="12">
        <v>5</v>
      </c>
      <c r="F1488" s="12">
        <v>5</v>
      </c>
      <c r="G1488" s="12" t="s">
        <v>209</v>
      </c>
      <c r="H1488" s="12">
        <f t="shared" si="85"/>
        <v>5505</v>
      </c>
      <c r="I1488" s="12">
        <v>7000142</v>
      </c>
      <c r="J1488" s="12">
        <v>13000</v>
      </c>
    </row>
    <row r="1489" spans="1:10" x14ac:dyDescent="0.3">
      <c r="A1489" s="12">
        <f t="shared" si="84"/>
        <v>5505006</v>
      </c>
      <c r="B1489" s="12">
        <v>6</v>
      </c>
      <c r="C1489" s="12" t="str">
        <f t="shared" si="86"/>
        <v>헌신</v>
      </c>
      <c r="D1489" s="12">
        <v>5</v>
      </c>
      <c r="E1489" s="12">
        <v>5</v>
      </c>
      <c r="F1489" s="12">
        <v>5</v>
      </c>
      <c r="G1489" s="12" t="s">
        <v>210</v>
      </c>
      <c r="H1489" s="12">
        <f t="shared" si="85"/>
        <v>5505</v>
      </c>
      <c r="I1489" s="12">
        <v>7000158</v>
      </c>
      <c r="J1489" s="12">
        <v>8000</v>
      </c>
    </row>
    <row r="1490" spans="1:10" x14ac:dyDescent="0.3">
      <c r="A1490" s="12">
        <f t="shared" si="84"/>
        <v>5505007</v>
      </c>
      <c r="B1490" s="12">
        <v>7</v>
      </c>
      <c r="C1490" s="12" t="str">
        <f t="shared" si="86"/>
        <v>원한</v>
      </c>
      <c r="D1490" s="12">
        <v>5</v>
      </c>
      <c r="E1490" s="12">
        <v>5</v>
      </c>
      <c r="F1490" s="12">
        <v>5</v>
      </c>
      <c r="G1490" s="12" t="s">
        <v>210</v>
      </c>
      <c r="H1490" s="12">
        <f t="shared" si="85"/>
        <v>5505</v>
      </c>
      <c r="I1490" s="12">
        <v>7000172</v>
      </c>
      <c r="J1490" s="12">
        <v>8000</v>
      </c>
    </row>
    <row r="1491" spans="1:10" x14ac:dyDescent="0.3">
      <c r="A1491" s="12">
        <f t="shared" si="84"/>
        <v>5505008</v>
      </c>
      <c r="B1491" s="12">
        <v>8</v>
      </c>
      <c r="C1491" s="12" t="str">
        <f t="shared" si="86"/>
        <v>불굴의 의지</v>
      </c>
      <c r="D1491" s="12">
        <v>5</v>
      </c>
      <c r="E1491" s="12">
        <v>5</v>
      </c>
      <c r="F1491" s="12">
        <v>5</v>
      </c>
      <c r="G1491" s="12" t="s">
        <v>211</v>
      </c>
      <c r="H1491" s="12">
        <f t="shared" si="85"/>
        <v>5505</v>
      </c>
      <c r="I1491" s="12">
        <v>7000153</v>
      </c>
      <c r="J1491" s="12">
        <v>1600</v>
      </c>
    </row>
    <row r="1492" spans="1:10" x14ac:dyDescent="0.3">
      <c r="A1492" s="12">
        <f t="shared" si="84"/>
        <v>5505009</v>
      </c>
      <c r="B1492" s="12">
        <v>9</v>
      </c>
      <c r="C1492" s="12" t="str">
        <f t="shared" si="86"/>
        <v>자비</v>
      </c>
      <c r="D1492" s="12">
        <v>5</v>
      </c>
      <c r="E1492" s="12">
        <v>5</v>
      </c>
      <c r="F1492" s="12">
        <v>5</v>
      </c>
      <c r="G1492" s="12" t="s">
        <v>212</v>
      </c>
      <c r="H1492" s="12">
        <f t="shared" si="85"/>
        <v>5505</v>
      </c>
      <c r="I1492" s="12">
        <v>7000164</v>
      </c>
      <c r="J1492" s="12">
        <v>500</v>
      </c>
    </row>
    <row r="1493" spans="1:10" x14ac:dyDescent="0.3">
      <c r="A1493" s="12">
        <f t="shared" si="84"/>
        <v>5505010</v>
      </c>
      <c r="B1493" s="12">
        <v>10</v>
      </c>
      <c r="C1493" s="12" t="str">
        <f t="shared" si="86"/>
        <v>독기</v>
      </c>
      <c r="D1493" s="12">
        <v>5</v>
      </c>
      <c r="E1493" s="12">
        <v>5</v>
      </c>
      <c r="F1493" s="12">
        <v>5</v>
      </c>
      <c r="G1493" s="12" t="s">
        <v>213</v>
      </c>
      <c r="H1493" s="12">
        <f t="shared" si="85"/>
        <v>5505</v>
      </c>
      <c r="I1493" s="12">
        <v>7000163</v>
      </c>
      <c r="J1493" s="12">
        <v>100</v>
      </c>
    </row>
    <row r="1494" spans="1:10" x14ac:dyDescent="0.3">
      <c r="A1494" s="12">
        <f t="shared" si="84"/>
        <v>5506001</v>
      </c>
      <c r="B1494" s="12">
        <v>1</v>
      </c>
      <c r="C1494" s="12" t="str">
        <f>C1484</f>
        <v>우월감</v>
      </c>
      <c r="D1494" s="12">
        <v>5</v>
      </c>
      <c r="E1494" s="12">
        <v>5</v>
      </c>
      <c r="F1494" s="12">
        <v>6</v>
      </c>
      <c r="G1494" s="12" t="s">
        <v>208</v>
      </c>
      <c r="H1494" s="12">
        <f t="shared" si="85"/>
        <v>5506</v>
      </c>
      <c r="I1494" s="12">
        <v>7000166</v>
      </c>
      <c r="J1494" s="12">
        <v>10000</v>
      </c>
    </row>
    <row r="1495" spans="1:10" x14ac:dyDescent="0.3">
      <c r="A1495" s="12">
        <f t="shared" si="84"/>
        <v>5506002</v>
      </c>
      <c r="B1495" s="12">
        <v>2</v>
      </c>
      <c r="C1495" s="12" t="str">
        <f t="shared" si="86"/>
        <v>투정</v>
      </c>
      <c r="D1495" s="12">
        <v>5</v>
      </c>
      <c r="E1495" s="12">
        <v>5</v>
      </c>
      <c r="F1495" s="12">
        <v>6</v>
      </c>
      <c r="G1495" s="12" t="s">
        <v>208</v>
      </c>
      <c r="H1495" s="12">
        <f t="shared" si="85"/>
        <v>5506</v>
      </c>
      <c r="I1495" s="12">
        <v>7000133</v>
      </c>
      <c r="J1495" s="12">
        <v>10000</v>
      </c>
    </row>
    <row r="1496" spans="1:10" x14ac:dyDescent="0.3">
      <c r="A1496" s="12">
        <f t="shared" si="84"/>
        <v>5506003</v>
      </c>
      <c r="B1496" s="12">
        <v>3</v>
      </c>
      <c r="C1496" s="12" t="str">
        <f t="shared" si="86"/>
        <v>수완가</v>
      </c>
      <c r="D1496" s="12">
        <v>5</v>
      </c>
      <c r="E1496" s="12">
        <v>5</v>
      </c>
      <c r="F1496" s="12">
        <v>6</v>
      </c>
      <c r="G1496" s="12" t="s">
        <v>208</v>
      </c>
      <c r="H1496" s="12">
        <f t="shared" si="85"/>
        <v>5506</v>
      </c>
      <c r="I1496" s="12">
        <v>7000134</v>
      </c>
      <c r="J1496" s="12">
        <v>10000</v>
      </c>
    </row>
    <row r="1497" spans="1:10" x14ac:dyDescent="0.3">
      <c r="A1497" s="12">
        <f t="shared" si="84"/>
        <v>5506004</v>
      </c>
      <c r="B1497" s="12">
        <v>4</v>
      </c>
      <c r="C1497" s="12" t="str">
        <f t="shared" si="86"/>
        <v>이기주의</v>
      </c>
      <c r="D1497" s="12">
        <v>5</v>
      </c>
      <c r="E1497" s="12">
        <v>5</v>
      </c>
      <c r="F1497" s="12">
        <v>6</v>
      </c>
      <c r="G1497" s="12" t="s">
        <v>209</v>
      </c>
      <c r="H1497" s="12">
        <f t="shared" si="85"/>
        <v>5506</v>
      </c>
      <c r="I1497" s="12">
        <v>7000135</v>
      </c>
      <c r="J1497" s="12">
        <v>12500</v>
      </c>
    </row>
    <row r="1498" spans="1:10" x14ac:dyDescent="0.3">
      <c r="A1498" s="12">
        <f t="shared" si="84"/>
        <v>5506005</v>
      </c>
      <c r="B1498" s="12">
        <v>5</v>
      </c>
      <c r="C1498" s="12" t="str">
        <f t="shared" si="86"/>
        <v>애증</v>
      </c>
      <c r="D1498" s="12">
        <v>5</v>
      </c>
      <c r="E1498" s="12">
        <v>5</v>
      </c>
      <c r="F1498" s="12">
        <v>6</v>
      </c>
      <c r="G1498" s="12" t="s">
        <v>209</v>
      </c>
      <c r="H1498" s="12">
        <f t="shared" si="85"/>
        <v>5506</v>
      </c>
      <c r="I1498" s="12">
        <v>7000142</v>
      </c>
      <c r="J1498" s="12">
        <v>12500</v>
      </c>
    </row>
    <row r="1499" spans="1:10" x14ac:dyDescent="0.3">
      <c r="A1499" s="12">
        <f t="shared" si="84"/>
        <v>5506006</v>
      </c>
      <c r="B1499" s="12">
        <v>6</v>
      </c>
      <c r="C1499" s="12" t="str">
        <f t="shared" si="86"/>
        <v>헌신</v>
      </c>
      <c r="D1499" s="12">
        <v>5</v>
      </c>
      <c r="E1499" s="12">
        <v>5</v>
      </c>
      <c r="F1499" s="12">
        <v>6</v>
      </c>
      <c r="G1499" s="12" t="s">
        <v>210</v>
      </c>
      <c r="H1499" s="12">
        <f t="shared" si="85"/>
        <v>5506</v>
      </c>
      <c r="I1499" s="12">
        <v>7000158</v>
      </c>
      <c r="J1499" s="12">
        <v>7500</v>
      </c>
    </row>
    <row r="1500" spans="1:10" x14ac:dyDescent="0.3">
      <c r="A1500" s="12">
        <f t="shared" si="84"/>
        <v>5506007</v>
      </c>
      <c r="B1500" s="12">
        <v>7</v>
      </c>
      <c r="C1500" s="12" t="str">
        <f t="shared" si="86"/>
        <v>원한</v>
      </c>
      <c r="D1500" s="12">
        <v>5</v>
      </c>
      <c r="E1500" s="12">
        <v>5</v>
      </c>
      <c r="F1500" s="12">
        <v>6</v>
      </c>
      <c r="G1500" s="12" t="s">
        <v>210</v>
      </c>
      <c r="H1500" s="12">
        <f t="shared" si="85"/>
        <v>5506</v>
      </c>
      <c r="I1500" s="12">
        <v>7000172</v>
      </c>
      <c r="J1500" s="12">
        <v>7500</v>
      </c>
    </row>
    <row r="1501" spans="1:10" x14ac:dyDescent="0.3">
      <c r="A1501" s="12">
        <f t="shared" si="84"/>
        <v>5506008</v>
      </c>
      <c r="B1501" s="12">
        <v>8</v>
      </c>
      <c r="C1501" s="12" t="str">
        <f t="shared" si="86"/>
        <v>불굴의 의지</v>
      </c>
      <c r="D1501" s="12">
        <v>5</v>
      </c>
      <c r="E1501" s="12">
        <v>5</v>
      </c>
      <c r="F1501" s="12">
        <v>6</v>
      </c>
      <c r="G1501" s="12" t="s">
        <v>211</v>
      </c>
      <c r="H1501" s="12">
        <f t="shared" si="85"/>
        <v>5506</v>
      </c>
      <c r="I1501" s="12">
        <v>7000153</v>
      </c>
      <c r="J1501" s="12">
        <v>1500</v>
      </c>
    </row>
    <row r="1502" spans="1:10" x14ac:dyDescent="0.3">
      <c r="A1502" s="12">
        <f t="shared" si="84"/>
        <v>5506009</v>
      </c>
      <c r="B1502" s="12">
        <v>9</v>
      </c>
      <c r="C1502" s="12" t="str">
        <f t="shared" si="86"/>
        <v>자비</v>
      </c>
      <c r="D1502" s="12">
        <v>5</v>
      </c>
      <c r="E1502" s="12">
        <v>5</v>
      </c>
      <c r="F1502" s="12">
        <v>6</v>
      </c>
      <c r="G1502" s="12" t="s">
        <v>212</v>
      </c>
      <c r="H1502" s="12">
        <f t="shared" si="85"/>
        <v>5506</v>
      </c>
      <c r="I1502" s="12">
        <v>7000164</v>
      </c>
      <c r="J1502" s="12">
        <v>500</v>
      </c>
    </row>
    <row r="1503" spans="1:10" x14ac:dyDescent="0.3">
      <c r="A1503" s="12">
        <f t="shared" si="84"/>
        <v>5506010</v>
      </c>
      <c r="B1503" s="12">
        <v>10</v>
      </c>
      <c r="C1503" s="12" t="str">
        <f t="shared" si="86"/>
        <v>독기</v>
      </c>
      <c r="D1503" s="12">
        <v>5</v>
      </c>
      <c r="E1503" s="12">
        <v>5</v>
      </c>
      <c r="F1503" s="12">
        <v>6</v>
      </c>
      <c r="G1503" s="12" t="s">
        <v>213</v>
      </c>
      <c r="H1503" s="12">
        <f t="shared" si="85"/>
        <v>5506</v>
      </c>
      <c r="I1503" s="12">
        <v>7000163</v>
      </c>
      <c r="J1503" s="12">
        <v>100</v>
      </c>
    </row>
  </sheetData>
  <phoneticPr fontId="1" type="noConversion"/>
  <conditionalFormatting sqref="I1:I1048576">
    <cfRule type="containsErrors" dxfId="4" priority="1">
      <formula>ISERROR(I1)</formula>
    </cfRule>
  </conditionalFormatting>
  <conditionalFormatting sqref="K4:P13">
    <cfRule type="colorScale" priority="6">
      <colorScale>
        <cfvo type="min"/>
        <cfvo type="max"/>
        <color rgb="FFFCFCFF"/>
        <color rgb="FF63BE7B"/>
      </colorScale>
    </cfRule>
  </conditionalFormatting>
  <conditionalFormatting sqref="Q4:Q72">
    <cfRule type="duplicateValues" dxfId="3" priority="107"/>
    <cfRule type="duplicateValues" dxfId="2" priority="108"/>
  </conditionalFormatting>
  <conditionalFormatting sqref="Q47 Q42 Q5 Q7 Q9 Q11 Q13 Q15 Q17 Q19 Q21 Q23 Q25 Q27 Q29 Q31 Q33 Q35 Q37 Q39 Q44 Q49 Q51:Q72">
    <cfRule type="duplicateValues" dxfId="1" priority="7"/>
    <cfRule type="duplicateValues" dxfId="0" priority="8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FD27-ED8F-4E0E-B44F-87E2B0E2B7C1}">
  <dimension ref="A1:H513"/>
  <sheetViews>
    <sheetView workbookViewId="0">
      <selection activeCell="A4" sqref="A4"/>
    </sheetView>
  </sheetViews>
  <sheetFormatPr defaultRowHeight="16.5" x14ac:dyDescent="0.3"/>
  <cols>
    <col min="1" max="1" width="9" style="3"/>
    <col min="2" max="2" width="12.75" style="3" bestFit="1" customWidth="1"/>
    <col min="3" max="3" width="12.75" style="3" customWidth="1"/>
    <col min="4" max="4" width="18.625" style="3" bestFit="1" customWidth="1"/>
    <col min="5" max="5" width="12.75" style="3" customWidth="1"/>
    <col min="6" max="6" width="9" style="3"/>
    <col min="7" max="7" width="16.75" style="3" bestFit="1" customWidth="1"/>
    <col min="8" max="8" width="11.5" style="2" bestFit="1" customWidth="1"/>
  </cols>
  <sheetData>
    <row r="1" spans="1:8" x14ac:dyDescent="0.3">
      <c r="A1" s="3" t="s">
        <v>0</v>
      </c>
      <c r="B1" s="3" t="s">
        <v>74</v>
      </c>
      <c r="C1" s="3" t="s">
        <v>282</v>
      </c>
      <c r="D1" s="3" t="s">
        <v>4</v>
      </c>
      <c r="E1" s="3" t="s">
        <v>435</v>
      </c>
      <c r="F1" s="3" t="s">
        <v>177</v>
      </c>
      <c r="G1" s="3" t="s">
        <v>154</v>
      </c>
      <c r="H1" s="3" t="s">
        <v>175</v>
      </c>
    </row>
    <row r="4" spans="1:8" x14ac:dyDescent="0.3">
      <c r="A4" s="3">
        <f t="shared" ref="A4:A215" si="0">(MOD(E4, 1000)+1000)*100+F4</f>
        <v>135400</v>
      </c>
      <c r="B4" s="3" t="s">
        <v>157</v>
      </c>
      <c r="C4" s="3" t="s">
        <v>283</v>
      </c>
      <c r="D4" s="3" t="str">
        <f t="shared" ref="D4:D18" si="1">C4&amp;"_presona_"&amp;TEXT(F4+1, "00")&amp;"_Name"</f>
        <v>c354_presona_01_Name</v>
      </c>
      <c r="E4" s="3">
        <v>10000354</v>
      </c>
      <c r="F4" s="3">
        <v>0</v>
      </c>
      <c r="G4" s="3" t="str">
        <f t="shared" ref="G4:G33" si="2">C4&amp;"_persona_"&amp;TEXT(F4+1, "00")</f>
        <v>c354_persona_01</v>
      </c>
      <c r="H4" s="2">
        <v>1</v>
      </c>
    </row>
    <row r="5" spans="1:8" x14ac:dyDescent="0.3">
      <c r="A5" s="3">
        <f t="shared" si="0"/>
        <v>135401</v>
      </c>
      <c r="B5" s="3" t="s">
        <v>157</v>
      </c>
      <c r="C5" s="3" t="s">
        <v>283</v>
      </c>
      <c r="D5" s="3" t="str">
        <f t="shared" si="1"/>
        <v>c354_presona_02_Name</v>
      </c>
      <c r="E5" s="3">
        <v>10000354</v>
      </c>
      <c r="F5" s="3">
        <v>1</v>
      </c>
      <c r="G5" s="3" t="str">
        <f t="shared" si="2"/>
        <v>c354_persona_02</v>
      </c>
      <c r="H5" s="2">
        <v>1</v>
      </c>
    </row>
    <row r="6" spans="1:8" x14ac:dyDescent="0.3">
      <c r="A6" s="3">
        <f t="shared" si="0"/>
        <v>135402</v>
      </c>
      <c r="B6" s="3" t="s">
        <v>157</v>
      </c>
      <c r="C6" s="3" t="s">
        <v>283</v>
      </c>
      <c r="D6" s="3" t="str">
        <f t="shared" si="1"/>
        <v>c354_presona_03_Name</v>
      </c>
      <c r="E6" s="3">
        <v>10000354</v>
      </c>
      <c r="F6" s="3">
        <v>2</v>
      </c>
      <c r="G6" s="3" t="str">
        <f t="shared" si="2"/>
        <v>c354_persona_03</v>
      </c>
      <c r="H6" s="2">
        <v>1</v>
      </c>
    </row>
    <row r="7" spans="1:8" x14ac:dyDescent="0.3">
      <c r="A7" s="3">
        <f t="shared" si="0"/>
        <v>135403</v>
      </c>
      <c r="B7" s="3" t="s">
        <v>157</v>
      </c>
      <c r="C7" s="3" t="s">
        <v>283</v>
      </c>
      <c r="D7" s="3" t="str">
        <f t="shared" si="1"/>
        <v>c354_presona_04_Name</v>
      </c>
      <c r="E7" s="3">
        <v>10000354</v>
      </c>
      <c r="F7" s="3">
        <v>3</v>
      </c>
      <c r="G7" s="3" t="str">
        <f t="shared" si="2"/>
        <v>c354_persona_04</v>
      </c>
      <c r="H7" s="2">
        <v>1</v>
      </c>
    </row>
    <row r="8" spans="1:8" x14ac:dyDescent="0.3">
      <c r="A8" s="3">
        <f t="shared" si="0"/>
        <v>135404</v>
      </c>
      <c r="B8" s="3" t="s">
        <v>157</v>
      </c>
      <c r="C8" s="3" t="s">
        <v>283</v>
      </c>
      <c r="D8" s="3" t="str">
        <f t="shared" si="1"/>
        <v>c354_presona_05_Name</v>
      </c>
      <c r="E8" s="3">
        <v>10000354</v>
      </c>
      <c r="F8" s="3">
        <v>4</v>
      </c>
      <c r="G8" s="3" t="str">
        <f t="shared" si="2"/>
        <v>c354_persona_05</v>
      </c>
      <c r="H8" s="2">
        <v>1</v>
      </c>
    </row>
    <row r="9" spans="1:8" x14ac:dyDescent="0.3">
      <c r="A9" s="3">
        <f t="shared" si="0"/>
        <v>135405</v>
      </c>
      <c r="B9" s="3" t="s">
        <v>157</v>
      </c>
      <c r="C9" s="3" t="s">
        <v>283</v>
      </c>
      <c r="D9" s="3" t="str">
        <f t="shared" si="1"/>
        <v>c354_presona_06_Name</v>
      </c>
      <c r="E9" s="3">
        <v>10000354</v>
      </c>
      <c r="F9" s="3">
        <v>5</v>
      </c>
      <c r="G9" s="3" t="str">
        <f t="shared" si="2"/>
        <v>c354_persona_06</v>
      </c>
      <c r="H9" s="2">
        <v>1</v>
      </c>
    </row>
    <row r="10" spans="1:8" x14ac:dyDescent="0.3">
      <c r="A10" s="3">
        <f t="shared" si="0"/>
        <v>135406</v>
      </c>
      <c r="B10" s="3" t="s">
        <v>157</v>
      </c>
      <c r="C10" s="3" t="s">
        <v>283</v>
      </c>
      <c r="D10" s="3" t="str">
        <f t="shared" si="1"/>
        <v>c354_presona_07_Name</v>
      </c>
      <c r="E10" s="3">
        <v>10000354</v>
      </c>
      <c r="F10" s="3">
        <v>6</v>
      </c>
      <c r="G10" s="3" t="str">
        <f t="shared" si="2"/>
        <v>c354_persona_07</v>
      </c>
      <c r="H10" s="2">
        <v>1</v>
      </c>
    </row>
    <row r="11" spans="1:8" x14ac:dyDescent="0.3">
      <c r="A11" s="3">
        <f t="shared" si="0"/>
        <v>135407</v>
      </c>
      <c r="B11" s="3" t="s">
        <v>157</v>
      </c>
      <c r="C11" s="3" t="s">
        <v>283</v>
      </c>
      <c r="D11" s="3" t="str">
        <f t="shared" si="1"/>
        <v>c354_presona_08_Name</v>
      </c>
      <c r="E11" s="3">
        <v>10000354</v>
      </c>
      <c r="F11" s="3">
        <v>7</v>
      </c>
      <c r="G11" s="3" t="str">
        <f t="shared" si="2"/>
        <v>c354_persona_08</v>
      </c>
      <c r="H11" s="2">
        <v>1</v>
      </c>
    </row>
    <row r="12" spans="1:8" x14ac:dyDescent="0.3">
      <c r="A12" s="3">
        <f t="shared" si="0"/>
        <v>135408</v>
      </c>
      <c r="B12" s="3" t="s">
        <v>157</v>
      </c>
      <c r="C12" s="3" t="s">
        <v>283</v>
      </c>
      <c r="D12" s="3" t="str">
        <f t="shared" si="1"/>
        <v>c354_presona_09_Name</v>
      </c>
      <c r="E12" s="3">
        <v>10000354</v>
      </c>
      <c r="F12" s="3">
        <v>8</v>
      </c>
      <c r="G12" s="3" t="str">
        <f t="shared" si="2"/>
        <v>c354_persona_09</v>
      </c>
      <c r="H12" s="2">
        <v>1</v>
      </c>
    </row>
    <row r="13" spans="1:8" x14ac:dyDescent="0.3">
      <c r="A13" s="3">
        <f t="shared" si="0"/>
        <v>135409</v>
      </c>
      <c r="B13" s="3" t="s">
        <v>157</v>
      </c>
      <c r="C13" s="3" t="s">
        <v>283</v>
      </c>
      <c r="D13" s="3" t="str">
        <f t="shared" si="1"/>
        <v>c354_presona_10_Name</v>
      </c>
      <c r="E13" s="3">
        <v>10000354</v>
      </c>
      <c r="F13" s="3">
        <v>9</v>
      </c>
      <c r="G13" s="3" t="str">
        <f t="shared" si="2"/>
        <v>c354_persona_10</v>
      </c>
      <c r="H13" s="2">
        <v>1</v>
      </c>
    </row>
    <row r="14" spans="1:8" x14ac:dyDescent="0.3">
      <c r="A14" s="3">
        <f t="shared" si="0"/>
        <v>135410</v>
      </c>
      <c r="B14" s="3" t="s">
        <v>157</v>
      </c>
      <c r="C14" s="3" t="s">
        <v>283</v>
      </c>
      <c r="D14" s="3" t="str">
        <f t="shared" si="1"/>
        <v>c354_presona_11_Name</v>
      </c>
      <c r="E14" s="3">
        <v>10000354</v>
      </c>
      <c r="F14" s="3">
        <v>10</v>
      </c>
      <c r="G14" s="3" t="str">
        <f t="shared" si="2"/>
        <v>c354_persona_11</v>
      </c>
      <c r="H14" s="2">
        <v>1</v>
      </c>
    </row>
    <row r="15" spans="1:8" x14ac:dyDescent="0.3">
      <c r="A15" s="3">
        <f t="shared" si="0"/>
        <v>135411</v>
      </c>
      <c r="B15" s="3" t="s">
        <v>157</v>
      </c>
      <c r="C15" s="3" t="s">
        <v>283</v>
      </c>
      <c r="D15" s="3" t="str">
        <f t="shared" si="1"/>
        <v>c354_presona_12_Name</v>
      </c>
      <c r="E15" s="3">
        <v>10000354</v>
      </c>
      <c r="F15" s="3">
        <v>11</v>
      </c>
      <c r="G15" s="3" t="str">
        <f t="shared" si="2"/>
        <v>c354_persona_12</v>
      </c>
      <c r="H15" s="2">
        <v>1</v>
      </c>
    </row>
    <row r="16" spans="1:8" x14ac:dyDescent="0.3">
      <c r="A16" s="3">
        <f t="shared" si="0"/>
        <v>135412</v>
      </c>
      <c r="B16" s="3" t="s">
        <v>157</v>
      </c>
      <c r="C16" s="3" t="s">
        <v>283</v>
      </c>
      <c r="D16" s="3" t="str">
        <f t="shared" si="1"/>
        <v>c354_presona_13_Name</v>
      </c>
      <c r="E16" s="3">
        <v>10000354</v>
      </c>
      <c r="F16" s="3">
        <v>12</v>
      </c>
      <c r="G16" s="3" t="str">
        <f t="shared" si="2"/>
        <v>c354_persona_13</v>
      </c>
      <c r="H16" s="2">
        <v>1</v>
      </c>
    </row>
    <row r="17" spans="1:8" x14ac:dyDescent="0.3">
      <c r="A17" s="3">
        <f t="shared" si="0"/>
        <v>135413</v>
      </c>
      <c r="B17" s="3" t="s">
        <v>157</v>
      </c>
      <c r="C17" s="3" t="s">
        <v>283</v>
      </c>
      <c r="D17" s="3" t="str">
        <f t="shared" si="1"/>
        <v>c354_presona_14_Name</v>
      </c>
      <c r="E17" s="3">
        <v>10000354</v>
      </c>
      <c r="F17" s="3">
        <v>13</v>
      </c>
      <c r="G17" s="3" t="str">
        <f t="shared" si="2"/>
        <v>c354_persona_14</v>
      </c>
      <c r="H17" s="2">
        <v>1</v>
      </c>
    </row>
    <row r="18" spans="1:8" x14ac:dyDescent="0.3">
      <c r="A18" s="3">
        <f t="shared" si="0"/>
        <v>135414</v>
      </c>
      <c r="B18" s="3" t="s">
        <v>157</v>
      </c>
      <c r="C18" s="3" t="s">
        <v>283</v>
      </c>
      <c r="D18" s="3" t="str">
        <f t="shared" si="1"/>
        <v>c354_presona_15_Name</v>
      </c>
      <c r="E18" s="3">
        <v>10000354</v>
      </c>
      <c r="F18" s="3">
        <v>14</v>
      </c>
      <c r="G18" s="3" t="str">
        <f t="shared" si="2"/>
        <v>c354_persona_15</v>
      </c>
      <c r="H18" s="2">
        <v>1</v>
      </c>
    </row>
    <row r="19" spans="1:8" x14ac:dyDescent="0.3">
      <c r="A19" s="3">
        <f t="shared" si="0"/>
        <v>129600</v>
      </c>
      <c r="B19" s="3" t="s">
        <v>158</v>
      </c>
      <c r="C19" s="3" t="s">
        <v>284</v>
      </c>
      <c r="D19" s="3" t="str">
        <f>C19&amp;"_presona_"&amp;TEXT(F19+1, "00")&amp;"_Name"</f>
        <v>c296_presona_01_Name</v>
      </c>
      <c r="E19" s="3">
        <v>10000296</v>
      </c>
      <c r="F19" s="3">
        <v>0</v>
      </c>
      <c r="G19" s="3" t="str">
        <f t="shared" si="2"/>
        <v>c296_persona_01</v>
      </c>
      <c r="H19" s="2">
        <v>1</v>
      </c>
    </row>
    <row r="20" spans="1:8" x14ac:dyDescent="0.3">
      <c r="A20" s="3">
        <f t="shared" si="0"/>
        <v>129601</v>
      </c>
      <c r="B20" s="3" t="s">
        <v>158</v>
      </c>
      <c r="C20" s="3" t="s">
        <v>284</v>
      </c>
      <c r="D20" s="3" t="str">
        <f t="shared" ref="D20:D83" si="3">C20&amp;"_presona_"&amp;TEXT(F20+1, "00")&amp;"_Name"</f>
        <v>c296_presona_02_Name</v>
      </c>
      <c r="E20" s="3">
        <v>10000296</v>
      </c>
      <c r="F20" s="3">
        <v>1</v>
      </c>
      <c r="G20" s="3" t="str">
        <f t="shared" si="2"/>
        <v>c296_persona_02</v>
      </c>
      <c r="H20" s="2">
        <v>1</v>
      </c>
    </row>
    <row r="21" spans="1:8" x14ac:dyDescent="0.3">
      <c r="A21" s="3">
        <f t="shared" si="0"/>
        <v>129602</v>
      </c>
      <c r="B21" s="3" t="s">
        <v>158</v>
      </c>
      <c r="C21" s="3" t="s">
        <v>284</v>
      </c>
      <c r="D21" s="3" t="str">
        <f t="shared" si="3"/>
        <v>c296_presona_03_Name</v>
      </c>
      <c r="E21" s="3">
        <v>10000296</v>
      </c>
      <c r="F21" s="3">
        <v>2</v>
      </c>
      <c r="G21" s="3" t="str">
        <f t="shared" si="2"/>
        <v>c296_persona_03</v>
      </c>
      <c r="H21" s="2">
        <v>1</v>
      </c>
    </row>
    <row r="22" spans="1:8" x14ac:dyDescent="0.3">
      <c r="A22" s="3">
        <f t="shared" si="0"/>
        <v>129603</v>
      </c>
      <c r="B22" s="3" t="s">
        <v>158</v>
      </c>
      <c r="C22" s="3" t="s">
        <v>284</v>
      </c>
      <c r="D22" s="3" t="str">
        <f t="shared" si="3"/>
        <v>c296_presona_04_Name</v>
      </c>
      <c r="E22" s="3">
        <v>10000296</v>
      </c>
      <c r="F22" s="3">
        <v>3</v>
      </c>
      <c r="G22" s="3" t="str">
        <f t="shared" si="2"/>
        <v>c296_persona_04</v>
      </c>
      <c r="H22" s="2">
        <v>1</v>
      </c>
    </row>
    <row r="23" spans="1:8" x14ac:dyDescent="0.3">
      <c r="A23" s="3">
        <f t="shared" si="0"/>
        <v>129604</v>
      </c>
      <c r="B23" s="3" t="s">
        <v>158</v>
      </c>
      <c r="C23" s="3" t="s">
        <v>284</v>
      </c>
      <c r="D23" s="3" t="str">
        <f t="shared" si="3"/>
        <v>c296_presona_05_Name</v>
      </c>
      <c r="E23" s="3">
        <v>10000296</v>
      </c>
      <c r="F23" s="3">
        <v>4</v>
      </c>
      <c r="G23" s="3" t="str">
        <f t="shared" si="2"/>
        <v>c296_persona_05</v>
      </c>
      <c r="H23" s="2">
        <v>1</v>
      </c>
    </row>
    <row r="24" spans="1:8" x14ac:dyDescent="0.3">
      <c r="A24" s="3">
        <f t="shared" si="0"/>
        <v>129605</v>
      </c>
      <c r="B24" s="3" t="s">
        <v>158</v>
      </c>
      <c r="C24" s="3" t="s">
        <v>284</v>
      </c>
      <c r="D24" s="3" t="str">
        <f t="shared" si="3"/>
        <v>c296_presona_06_Name</v>
      </c>
      <c r="E24" s="3">
        <v>10000296</v>
      </c>
      <c r="F24" s="3">
        <v>5</v>
      </c>
      <c r="G24" s="3" t="str">
        <f t="shared" si="2"/>
        <v>c296_persona_06</v>
      </c>
      <c r="H24" s="2">
        <v>1</v>
      </c>
    </row>
    <row r="25" spans="1:8" x14ac:dyDescent="0.3">
      <c r="A25" s="3">
        <f t="shared" si="0"/>
        <v>129606</v>
      </c>
      <c r="B25" s="3" t="s">
        <v>158</v>
      </c>
      <c r="C25" s="3" t="s">
        <v>284</v>
      </c>
      <c r="D25" s="3" t="str">
        <f t="shared" si="3"/>
        <v>c296_presona_07_Name</v>
      </c>
      <c r="E25" s="3">
        <v>10000296</v>
      </c>
      <c r="F25" s="3">
        <v>6</v>
      </c>
      <c r="G25" s="3" t="str">
        <f t="shared" si="2"/>
        <v>c296_persona_07</v>
      </c>
      <c r="H25" s="2">
        <v>1</v>
      </c>
    </row>
    <row r="26" spans="1:8" x14ac:dyDescent="0.3">
      <c r="A26" s="3">
        <f t="shared" si="0"/>
        <v>129607</v>
      </c>
      <c r="B26" s="3" t="s">
        <v>158</v>
      </c>
      <c r="C26" s="3" t="s">
        <v>284</v>
      </c>
      <c r="D26" s="3" t="str">
        <f t="shared" si="3"/>
        <v>c296_presona_08_Name</v>
      </c>
      <c r="E26" s="3">
        <v>10000296</v>
      </c>
      <c r="F26" s="3">
        <v>7</v>
      </c>
      <c r="G26" s="3" t="str">
        <f t="shared" si="2"/>
        <v>c296_persona_08</v>
      </c>
      <c r="H26" s="2">
        <v>1</v>
      </c>
    </row>
    <row r="27" spans="1:8" x14ac:dyDescent="0.3">
      <c r="A27" s="3">
        <f t="shared" si="0"/>
        <v>129608</v>
      </c>
      <c r="B27" s="3" t="s">
        <v>158</v>
      </c>
      <c r="C27" s="3" t="s">
        <v>284</v>
      </c>
      <c r="D27" s="3" t="str">
        <f t="shared" si="3"/>
        <v>c296_presona_09_Name</v>
      </c>
      <c r="E27" s="3">
        <v>10000296</v>
      </c>
      <c r="F27" s="3">
        <v>8</v>
      </c>
      <c r="G27" s="3" t="str">
        <f t="shared" si="2"/>
        <v>c296_persona_09</v>
      </c>
      <c r="H27" s="2">
        <v>1</v>
      </c>
    </row>
    <row r="28" spans="1:8" x14ac:dyDescent="0.3">
      <c r="A28" s="3">
        <f t="shared" si="0"/>
        <v>129609</v>
      </c>
      <c r="B28" s="3" t="s">
        <v>158</v>
      </c>
      <c r="C28" s="3" t="s">
        <v>284</v>
      </c>
      <c r="D28" s="3" t="str">
        <f t="shared" si="3"/>
        <v>c296_presona_10_Name</v>
      </c>
      <c r="E28" s="3">
        <v>10000296</v>
      </c>
      <c r="F28" s="3">
        <v>9</v>
      </c>
      <c r="G28" s="3" t="str">
        <f t="shared" si="2"/>
        <v>c296_persona_10</v>
      </c>
      <c r="H28" s="2">
        <v>1</v>
      </c>
    </row>
    <row r="29" spans="1:8" x14ac:dyDescent="0.3">
      <c r="A29" s="3">
        <f t="shared" si="0"/>
        <v>129610</v>
      </c>
      <c r="B29" s="3" t="s">
        <v>158</v>
      </c>
      <c r="C29" s="3" t="s">
        <v>284</v>
      </c>
      <c r="D29" s="3" t="str">
        <f t="shared" si="3"/>
        <v>c296_presona_11_Name</v>
      </c>
      <c r="E29" s="3">
        <v>10000296</v>
      </c>
      <c r="F29" s="3">
        <v>10</v>
      </c>
      <c r="G29" s="3" t="str">
        <f t="shared" si="2"/>
        <v>c296_persona_11</v>
      </c>
      <c r="H29" s="2">
        <v>1</v>
      </c>
    </row>
    <row r="30" spans="1:8" x14ac:dyDescent="0.3">
      <c r="A30" s="3">
        <f t="shared" si="0"/>
        <v>129611</v>
      </c>
      <c r="B30" s="3" t="s">
        <v>158</v>
      </c>
      <c r="C30" s="3" t="s">
        <v>284</v>
      </c>
      <c r="D30" s="3" t="str">
        <f t="shared" si="3"/>
        <v>c296_presona_12_Name</v>
      </c>
      <c r="E30" s="3">
        <v>10000296</v>
      </c>
      <c r="F30" s="3">
        <v>11</v>
      </c>
      <c r="G30" s="3" t="str">
        <f t="shared" si="2"/>
        <v>c296_persona_12</v>
      </c>
      <c r="H30" s="2">
        <v>1</v>
      </c>
    </row>
    <row r="31" spans="1:8" x14ac:dyDescent="0.3">
      <c r="A31" s="3">
        <f t="shared" si="0"/>
        <v>129612</v>
      </c>
      <c r="B31" s="3" t="s">
        <v>158</v>
      </c>
      <c r="C31" s="3" t="s">
        <v>284</v>
      </c>
      <c r="D31" s="3" t="str">
        <f t="shared" si="3"/>
        <v>c296_presona_13_Name</v>
      </c>
      <c r="E31" s="3">
        <v>10000296</v>
      </c>
      <c r="F31" s="3">
        <v>12</v>
      </c>
      <c r="G31" s="3" t="str">
        <f t="shared" si="2"/>
        <v>c296_persona_13</v>
      </c>
      <c r="H31" s="2">
        <v>1</v>
      </c>
    </row>
    <row r="32" spans="1:8" x14ac:dyDescent="0.3">
      <c r="A32" s="3">
        <f t="shared" si="0"/>
        <v>129613</v>
      </c>
      <c r="B32" s="3" t="s">
        <v>158</v>
      </c>
      <c r="C32" s="3" t="s">
        <v>284</v>
      </c>
      <c r="D32" s="3" t="str">
        <f t="shared" si="3"/>
        <v>c296_presona_14_Name</v>
      </c>
      <c r="E32" s="3">
        <v>10000296</v>
      </c>
      <c r="F32" s="3">
        <v>13</v>
      </c>
      <c r="G32" s="3" t="str">
        <f t="shared" si="2"/>
        <v>c296_persona_14</v>
      </c>
      <c r="H32" s="2">
        <v>1</v>
      </c>
    </row>
    <row r="33" spans="1:8" x14ac:dyDescent="0.3">
      <c r="A33" s="3">
        <f t="shared" si="0"/>
        <v>129614</v>
      </c>
      <c r="B33" s="3" t="s">
        <v>158</v>
      </c>
      <c r="C33" s="3" t="s">
        <v>284</v>
      </c>
      <c r="D33" s="3" t="str">
        <f t="shared" si="3"/>
        <v>c296_presona_15_Name</v>
      </c>
      <c r="E33" s="3">
        <v>10000296</v>
      </c>
      <c r="F33" s="3">
        <v>14</v>
      </c>
      <c r="G33" s="3" t="str">
        <f t="shared" si="2"/>
        <v>c296_persona_15</v>
      </c>
      <c r="H33" s="2">
        <v>1</v>
      </c>
    </row>
    <row r="34" spans="1:8" x14ac:dyDescent="0.3">
      <c r="A34" s="3">
        <f t="shared" si="0"/>
        <v>100300</v>
      </c>
      <c r="B34" s="3" t="s">
        <v>159</v>
      </c>
      <c r="C34" s="3" t="s">
        <v>285</v>
      </c>
      <c r="D34" s="3" t="str">
        <f t="shared" si="3"/>
        <v>c003_presona_01_Name</v>
      </c>
      <c r="E34" s="3">
        <v>10000003</v>
      </c>
      <c r="F34" s="3">
        <v>0</v>
      </c>
      <c r="G34" s="3" t="s">
        <v>335</v>
      </c>
      <c r="H34" s="2">
        <v>1</v>
      </c>
    </row>
    <row r="35" spans="1:8" x14ac:dyDescent="0.3">
      <c r="A35" s="3">
        <f t="shared" si="0"/>
        <v>100301</v>
      </c>
      <c r="B35" s="3" t="s">
        <v>159</v>
      </c>
      <c r="C35" s="3" t="s">
        <v>285</v>
      </c>
      <c r="D35" s="3" t="str">
        <f t="shared" si="3"/>
        <v>c003_presona_02_Name</v>
      </c>
      <c r="E35" s="3">
        <v>10000003</v>
      </c>
      <c r="F35" s="3">
        <v>1</v>
      </c>
      <c r="G35" s="3" t="s">
        <v>335</v>
      </c>
      <c r="H35" s="2">
        <v>1</v>
      </c>
    </row>
    <row r="36" spans="1:8" x14ac:dyDescent="0.3">
      <c r="A36" s="3">
        <f t="shared" si="0"/>
        <v>100302</v>
      </c>
      <c r="B36" s="3" t="s">
        <v>159</v>
      </c>
      <c r="C36" s="3" t="s">
        <v>285</v>
      </c>
      <c r="D36" s="3" t="str">
        <f t="shared" si="3"/>
        <v>c003_presona_03_Name</v>
      </c>
      <c r="E36" s="3">
        <v>10000003</v>
      </c>
      <c r="F36" s="3">
        <v>2</v>
      </c>
      <c r="G36" s="3" t="s">
        <v>335</v>
      </c>
      <c r="H36" s="2">
        <v>1</v>
      </c>
    </row>
    <row r="37" spans="1:8" x14ac:dyDescent="0.3">
      <c r="A37" s="3">
        <f t="shared" si="0"/>
        <v>100303</v>
      </c>
      <c r="B37" s="3" t="s">
        <v>159</v>
      </c>
      <c r="C37" s="3" t="s">
        <v>285</v>
      </c>
      <c r="D37" s="3" t="str">
        <f t="shared" si="3"/>
        <v>c003_presona_04_Name</v>
      </c>
      <c r="E37" s="3">
        <v>10000003</v>
      </c>
      <c r="F37" s="3">
        <v>3</v>
      </c>
      <c r="G37" s="3" t="s">
        <v>335</v>
      </c>
      <c r="H37" s="2">
        <v>1</v>
      </c>
    </row>
    <row r="38" spans="1:8" x14ac:dyDescent="0.3">
      <c r="A38" s="3">
        <f t="shared" si="0"/>
        <v>100304</v>
      </c>
      <c r="B38" s="3" t="s">
        <v>159</v>
      </c>
      <c r="C38" s="3" t="s">
        <v>285</v>
      </c>
      <c r="D38" s="3" t="str">
        <f t="shared" si="3"/>
        <v>c003_presona_05_Name</v>
      </c>
      <c r="E38" s="3">
        <v>10000003</v>
      </c>
      <c r="F38" s="3">
        <v>4</v>
      </c>
      <c r="G38" s="3" t="s">
        <v>335</v>
      </c>
      <c r="H38" s="2">
        <v>1</v>
      </c>
    </row>
    <row r="39" spans="1:8" x14ac:dyDescent="0.3">
      <c r="A39" s="3">
        <f t="shared" si="0"/>
        <v>100305</v>
      </c>
      <c r="B39" s="3" t="s">
        <v>159</v>
      </c>
      <c r="C39" s="3" t="s">
        <v>285</v>
      </c>
      <c r="D39" s="3" t="str">
        <f t="shared" si="3"/>
        <v>c003_presona_06_Name</v>
      </c>
      <c r="E39" s="3">
        <v>10000003</v>
      </c>
      <c r="F39" s="3">
        <v>5</v>
      </c>
      <c r="G39" s="3" t="s">
        <v>335</v>
      </c>
      <c r="H39" s="2">
        <v>1</v>
      </c>
    </row>
    <row r="40" spans="1:8" x14ac:dyDescent="0.3">
      <c r="A40" s="3">
        <f t="shared" si="0"/>
        <v>100306</v>
      </c>
      <c r="B40" s="3" t="s">
        <v>159</v>
      </c>
      <c r="C40" s="3" t="s">
        <v>285</v>
      </c>
      <c r="D40" s="3" t="str">
        <f t="shared" si="3"/>
        <v>c003_presona_07_Name</v>
      </c>
      <c r="E40" s="3">
        <v>10000003</v>
      </c>
      <c r="F40" s="3">
        <v>6</v>
      </c>
      <c r="G40" s="3" t="s">
        <v>335</v>
      </c>
      <c r="H40" s="2">
        <v>1</v>
      </c>
    </row>
    <row r="41" spans="1:8" x14ac:dyDescent="0.3">
      <c r="A41" s="3">
        <f t="shared" si="0"/>
        <v>100307</v>
      </c>
      <c r="B41" s="3" t="s">
        <v>159</v>
      </c>
      <c r="C41" s="3" t="s">
        <v>285</v>
      </c>
      <c r="D41" s="3" t="str">
        <f t="shared" si="3"/>
        <v>c003_presona_08_Name</v>
      </c>
      <c r="E41" s="3">
        <v>10000003</v>
      </c>
      <c r="F41" s="3">
        <v>7</v>
      </c>
      <c r="G41" s="3" t="s">
        <v>335</v>
      </c>
      <c r="H41" s="2">
        <v>1</v>
      </c>
    </row>
    <row r="42" spans="1:8" x14ac:dyDescent="0.3">
      <c r="A42" s="3">
        <f t="shared" si="0"/>
        <v>100308</v>
      </c>
      <c r="B42" s="3" t="s">
        <v>159</v>
      </c>
      <c r="C42" s="3" t="s">
        <v>285</v>
      </c>
      <c r="D42" s="3" t="str">
        <f t="shared" si="3"/>
        <v>c003_presona_09_Name</v>
      </c>
      <c r="E42" s="3">
        <v>10000003</v>
      </c>
      <c r="F42" s="3">
        <v>8</v>
      </c>
      <c r="G42" s="3" t="s">
        <v>335</v>
      </c>
      <c r="H42" s="2">
        <v>1</v>
      </c>
    </row>
    <row r="43" spans="1:8" x14ac:dyDescent="0.3">
      <c r="A43" s="3">
        <f t="shared" si="0"/>
        <v>100309</v>
      </c>
      <c r="B43" s="3" t="s">
        <v>159</v>
      </c>
      <c r="C43" s="3" t="s">
        <v>285</v>
      </c>
      <c r="D43" s="3" t="str">
        <f t="shared" si="3"/>
        <v>c003_presona_10_Name</v>
      </c>
      <c r="E43" s="3">
        <v>10000003</v>
      </c>
      <c r="F43" s="3">
        <v>9</v>
      </c>
      <c r="G43" s="3" t="s">
        <v>335</v>
      </c>
      <c r="H43" s="2">
        <v>1</v>
      </c>
    </row>
    <row r="44" spans="1:8" x14ac:dyDescent="0.3">
      <c r="A44" s="3">
        <f t="shared" si="0"/>
        <v>100310</v>
      </c>
      <c r="B44" s="3" t="s">
        <v>159</v>
      </c>
      <c r="C44" s="3" t="s">
        <v>285</v>
      </c>
      <c r="D44" s="3" t="str">
        <f t="shared" si="3"/>
        <v>c003_presona_11_Name</v>
      </c>
      <c r="E44" s="3">
        <v>10000003</v>
      </c>
      <c r="F44" s="3">
        <v>10</v>
      </c>
      <c r="G44" s="3" t="s">
        <v>335</v>
      </c>
      <c r="H44" s="2">
        <v>1</v>
      </c>
    </row>
    <row r="45" spans="1:8" x14ac:dyDescent="0.3">
      <c r="A45" s="3">
        <f t="shared" si="0"/>
        <v>100311</v>
      </c>
      <c r="B45" s="3" t="s">
        <v>159</v>
      </c>
      <c r="C45" s="3" t="s">
        <v>285</v>
      </c>
      <c r="D45" s="3" t="str">
        <f t="shared" si="3"/>
        <v>c003_presona_12_Name</v>
      </c>
      <c r="E45" s="3">
        <v>10000003</v>
      </c>
      <c r="F45" s="3">
        <v>11</v>
      </c>
      <c r="G45" s="3" t="s">
        <v>335</v>
      </c>
      <c r="H45" s="2">
        <v>1</v>
      </c>
    </row>
    <row r="46" spans="1:8" x14ac:dyDescent="0.3">
      <c r="A46" s="3">
        <f t="shared" si="0"/>
        <v>100312</v>
      </c>
      <c r="B46" s="3" t="s">
        <v>159</v>
      </c>
      <c r="C46" s="3" t="s">
        <v>285</v>
      </c>
      <c r="D46" s="3" t="str">
        <f t="shared" si="3"/>
        <v>c003_presona_13_Name</v>
      </c>
      <c r="E46" s="3">
        <v>10000003</v>
      </c>
      <c r="F46" s="3">
        <v>12</v>
      </c>
      <c r="G46" s="3" t="s">
        <v>335</v>
      </c>
      <c r="H46" s="2">
        <v>1</v>
      </c>
    </row>
    <row r="47" spans="1:8" x14ac:dyDescent="0.3">
      <c r="A47" s="3">
        <f t="shared" si="0"/>
        <v>100313</v>
      </c>
      <c r="B47" s="3" t="s">
        <v>159</v>
      </c>
      <c r="C47" s="3" t="s">
        <v>285</v>
      </c>
      <c r="D47" s="3" t="str">
        <f t="shared" si="3"/>
        <v>c003_presona_14_Name</v>
      </c>
      <c r="E47" s="3">
        <v>10000003</v>
      </c>
      <c r="F47" s="3">
        <v>13</v>
      </c>
      <c r="G47" s="3" t="s">
        <v>335</v>
      </c>
      <c r="H47" s="2">
        <v>1</v>
      </c>
    </row>
    <row r="48" spans="1:8" x14ac:dyDescent="0.3">
      <c r="A48" s="3">
        <f t="shared" si="0"/>
        <v>100314</v>
      </c>
      <c r="B48" s="3" t="s">
        <v>159</v>
      </c>
      <c r="C48" s="3" t="s">
        <v>285</v>
      </c>
      <c r="D48" s="3" t="str">
        <f t="shared" si="3"/>
        <v>c003_presona_15_Name</v>
      </c>
      <c r="E48" s="3">
        <v>10000003</v>
      </c>
      <c r="F48" s="3">
        <v>14</v>
      </c>
      <c r="G48" s="3" t="s">
        <v>335</v>
      </c>
      <c r="H48" s="2">
        <v>1</v>
      </c>
    </row>
    <row r="49" spans="1:8" x14ac:dyDescent="0.3">
      <c r="A49" s="3">
        <f t="shared" si="0"/>
        <v>146400</v>
      </c>
      <c r="B49" s="3" t="s">
        <v>160</v>
      </c>
      <c r="C49" s="3" t="s">
        <v>286</v>
      </c>
      <c r="D49" s="3" t="str">
        <f t="shared" si="3"/>
        <v>c464_presona_01_Name</v>
      </c>
      <c r="E49" s="3">
        <v>10000464</v>
      </c>
      <c r="F49" s="3">
        <v>0</v>
      </c>
      <c r="G49" s="3" t="s">
        <v>335</v>
      </c>
      <c r="H49" s="2">
        <v>1</v>
      </c>
    </row>
    <row r="50" spans="1:8" x14ac:dyDescent="0.3">
      <c r="A50" s="3">
        <f t="shared" si="0"/>
        <v>146401</v>
      </c>
      <c r="B50" s="3" t="s">
        <v>160</v>
      </c>
      <c r="C50" s="3" t="s">
        <v>286</v>
      </c>
      <c r="D50" s="3" t="str">
        <f t="shared" si="3"/>
        <v>c464_presona_02_Name</v>
      </c>
      <c r="E50" s="3">
        <v>10000464</v>
      </c>
      <c r="F50" s="3">
        <v>1</v>
      </c>
      <c r="G50" s="3" t="s">
        <v>335</v>
      </c>
      <c r="H50" s="2">
        <v>1</v>
      </c>
    </row>
    <row r="51" spans="1:8" x14ac:dyDescent="0.3">
      <c r="A51" s="3">
        <f t="shared" si="0"/>
        <v>146402</v>
      </c>
      <c r="B51" s="3" t="s">
        <v>160</v>
      </c>
      <c r="C51" s="3" t="s">
        <v>286</v>
      </c>
      <c r="D51" s="3" t="str">
        <f t="shared" si="3"/>
        <v>c464_presona_03_Name</v>
      </c>
      <c r="E51" s="3">
        <v>10000464</v>
      </c>
      <c r="F51" s="3">
        <v>2</v>
      </c>
      <c r="G51" s="3" t="s">
        <v>335</v>
      </c>
      <c r="H51" s="2">
        <v>1</v>
      </c>
    </row>
    <row r="52" spans="1:8" x14ac:dyDescent="0.3">
      <c r="A52" s="3">
        <f t="shared" si="0"/>
        <v>146403</v>
      </c>
      <c r="B52" s="3" t="s">
        <v>160</v>
      </c>
      <c r="C52" s="3" t="s">
        <v>286</v>
      </c>
      <c r="D52" s="3" t="str">
        <f t="shared" si="3"/>
        <v>c464_presona_04_Name</v>
      </c>
      <c r="E52" s="3">
        <v>10000464</v>
      </c>
      <c r="F52" s="3">
        <v>3</v>
      </c>
      <c r="G52" s="3" t="s">
        <v>335</v>
      </c>
      <c r="H52" s="2">
        <v>1</v>
      </c>
    </row>
    <row r="53" spans="1:8" x14ac:dyDescent="0.3">
      <c r="A53" s="3">
        <f t="shared" si="0"/>
        <v>146404</v>
      </c>
      <c r="B53" s="3" t="s">
        <v>160</v>
      </c>
      <c r="C53" s="3" t="s">
        <v>286</v>
      </c>
      <c r="D53" s="3" t="str">
        <f t="shared" si="3"/>
        <v>c464_presona_05_Name</v>
      </c>
      <c r="E53" s="3">
        <v>10000464</v>
      </c>
      <c r="F53" s="3">
        <v>4</v>
      </c>
      <c r="G53" s="3" t="s">
        <v>335</v>
      </c>
      <c r="H53" s="2">
        <v>1</v>
      </c>
    </row>
    <row r="54" spans="1:8" x14ac:dyDescent="0.3">
      <c r="A54" s="3">
        <f t="shared" si="0"/>
        <v>146405</v>
      </c>
      <c r="B54" s="3" t="s">
        <v>160</v>
      </c>
      <c r="C54" s="3" t="s">
        <v>286</v>
      </c>
      <c r="D54" s="3" t="str">
        <f t="shared" si="3"/>
        <v>c464_presona_06_Name</v>
      </c>
      <c r="E54" s="3">
        <v>10000464</v>
      </c>
      <c r="F54" s="3">
        <v>5</v>
      </c>
      <c r="G54" s="3" t="s">
        <v>335</v>
      </c>
      <c r="H54" s="2">
        <v>1</v>
      </c>
    </row>
    <row r="55" spans="1:8" x14ac:dyDescent="0.3">
      <c r="A55" s="3">
        <f t="shared" si="0"/>
        <v>146406</v>
      </c>
      <c r="B55" s="3" t="s">
        <v>160</v>
      </c>
      <c r="C55" s="3" t="s">
        <v>286</v>
      </c>
      <c r="D55" s="3" t="str">
        <f t="shared" si="3"/>
        <v>c464_presona_07_Name</v>
      </c>
      <c r="E55" s="3">
        <v>10000464</v>
      </c>
      <c r="F55" s="3">
        <v>6</v>
      </c>
      <c r="G55" s="3" t="s">
        <v>335</v>
      </c>
      <c r="H55" s="2">
        <v>1</v>
      </c>
    </row>
    <row r="56" spans="1:8" x14ac:dyDescent="0.3">
      <c r="A56" s="3">
        <f t="shared" si="0"/>
        <v>146407</v>
      </c>
      <c r="B56" s="3" t="s">
        <v>160</v>
      </c>
      <c r="C56" s="3" t="s">
        <v>286</v>
      </c>
      <c r="D56" s="3" t="str">
        <f t="shared" si="3"/>
        <v>c464_presona_08_Name</v>
      </c>
      <c r="E56" s="3">
        <v>10000464</v>
      </c>
      <c r="F56" s="3">
        <v>7</v>
      </c>
      <c r="G56" s="3" t="s">
        <v>335</v>
      </c>
      <c r="H56" s="2">
        <v>1</v>
      </c>
    </row>
    <row r="57" spans="1:8" x14ac:dyDescent="0.3">
      <c r="A57" s="3">
        <f t="shared" si="0"/>
        <v>146408</v>
      </c>
      <c r="B57" s="3" t="s">
        <v>160</v>
      </c>
      <c r="C57" s="3" t="s">
        <v>286</v>
      </c>
      <c r="D57" s="3" t="str">
        <f t="shared" si="3"/>
        <v>c464_presona_09_Name</v>
      </c>
      <c r="E57" s="3">
        <v>10000464</v>
      </c>
      <c r="F57" s="3">
        <v>8</v>
      </c>
      <c r="G57" s="3" t="s">
        <v>335</v>
      </c>
      <c r="H57" s="2">
        <v>1</v>
      </c>
    </row>
    <row r="58" spans="1:8" x14ac:dyDescent="0.3">
      <c r="A58" s="3">
        <f t="shared" si="0"/>
        <v>146409</v>
      </c>
      <c r="B58" s="3" t="s">
        <v>160</v>
      </c>
      <c r="C58" s="3" t="s">
        <v>286</v>
      </c>
      <c r="D58" s="3" t="str">
        <f t="shared" si="3"/>
        <v>c464_presona_10_Name</v>
      </c>
      <c r="E58" s="3">
        <v>10000464</v>
      </c>
      <c r="F58" s="3">
        <v>9</v>
      </c>
      <c r="G58" s="3" t="s">
        <v>335</v>
      </c>
      <c r="H58" s="2">
        <v>1</v>
      </c>
    </row>
    <row r="59" spans="1:8" x14ac:dyDescent="0.3">
      <c r="A59" s="3">
        <f t="shared" si="0"/>
        <v>146410</v>
      </c>
      <c r="B59" s="3" t="s">
        <v>160</v>
      </c>
      <c r="C59" s="3" t="s">
        <v>286</v>
      </c>
      <c r="D59" s="3" t="str">
        <f t="shared" si="3"/>
        <v>c464_presona_11_Name</v>
      </c>
      <c r="E59" s="3">
        <v>10000464</v>
      </c>
      <c r="F59" s="3">
        <v>10</v>
      </c>
      <c r="G59" s="3" t="s">
        <v>335</v>
      </c>
      <c r="H59" s="2">
        <v>1</v>
      </c>
    </row>
    <row r="60" spans="1:8" x14ac:dyDescent="0.3">
      <c r="A60" s="3">
        <f t="shared" si="0"/>
        <v>146411</v>
      </c>
      <c r="B60" s="3" t="s">
        <v>160</v>
      </c>
      <c r="C60" s="3" t="s">
        <v>286</v>
      </c>
      <c r="D60" s="3" t="str">
        <f t="shared" si="3"/>
        <v>c464_presona_12_Name</v>
      </c>
      <c r="E60" s="3">
        <v>10000464</v>
      </c>
      <c r="F60" s="3">
        <v>11</v>
      </c>
      <c r="G60" s="3" t="s">
        <v>335</v>
      </c>
      <c r="H60" s="2">
        <v>1</v>
      </c>
    </row>
    <row r="61" spans="1:8" x14ac:dyDescent="0.3">
      <c r="A61" s="3">
        <f t="shared" si="0"/>
        <v>146412</v>
      </c>
      <c r="B61" s="3" t="s">
        <v>160</v>
      </c>
      <c r="C61" s="3" t="s">
        <v>286</v>
      </c>
      <c r="D61" s="3" t="str">
        <f t="shared" si="3"/>
        <v>c464_presona_13_Name</v>
      </c>
      <c r="E61" s="3">
        <v>10000464</v>
      </c>
      <c r="F61" s="3">
        <v>12</v>
      </c>
      <c r="G61" s="3" t="s">
        <v>335</v>
      </c>
      <c r="H61" s="2">
        <v>1</v>
      </c>
    </row>
    <row r="62" spans="1:8" x14ac:dyDescent="0.3">
      <c r="A62" s="3">
        <f t="shared" si="0"/>
        <v>146413</v>
      </c>
      <c r="B62" s="3" t="s">
        <v>160</v>
      </c>
      <c r="C62" s="3" t="s">
        <v>286</v>
      </c>
      <c r="D62" s="3" t="str">
        <f t="shared" si="3"/>
        <v>c464_presona_14_Name</v>
      </c>
      <c r="E62" s="3">
        <v>10000464</v>
      </c>
      <c r="F62" s="3">
        <v>13</v>
      </c>
      <c r="G62" s="3" t="s">
        <v>335</v>
      </c>
      <c r="H62" s="2">
        <v>1</v>
      </c>
    </row>
    <row r="63" spans="1:8" x14ac:dyDescent="0.3">
      <c r="A63" s="3">
        <f t="shared" si="0"/>
        <v>146414</v>
      </c>
      <c r="B63" s="3" t="s">
        <v>160</v>
      </c>
      <c r="C63" s="3" t="s">
        <v>286</v>
      </c>
      <c r="D63" s="3" t="str">
        <f t="shared" si="3"/>
        <v>c464_presona_15_Name</v>
      </c>
      <c r="E63" s="3">
        <v>10000464</v>
      </c>
      <c r="F63" s="3">
        <v>14</v>
      </c>
      <c r="G63" s="3" t="s">
        <v>335</v>
      </c>
      <c r="H63" s="2">
        <v>1</v>
      </c>
    </row>
    <row r="64" spans="1:8" x14ac:dyDescent="0.3">
      <c r="A64" s="3">
        <f t="shared" si="0"/>
        <v>135300</v>
      </c>
      <c r="B64" s="3" t="s">
        <v>161</v>
      </c>
      <c r="C64" s="3" t="s">
        <v>287</v>
      </c>
      <c r="D64" s="3" t="str">
        <f t="shared" si="3"/>
        <v>c353_presona_01_Name</v>
      </c>
      <c r="E64" s="3">
        <v>10000353</v>
      </c>
      <c r="F64" s="3">
        <v>0</v>
      </c>
      <c r="G64" s="3" t="str">
        <f t="shared" ref="G64:G78" si="4">C64&amp;"_persona_"&amp;TEXT(F64+1, "00")</f>
        <v>c353_persona_01</v>
      </c>
      <c r="H64" s="2">
        <v>1</v>
      </c>
    </row>
    <row r="65" spans="1:8" x14ac:dyDescent="0.3">
      <c r="A65" s="3">
        <f t="shared" si="0"/>
        <v>135301</v>
      </c>
      <c r="B65" s="3" t="s">
        <v>161</v>
      </c>
      <c r="C65" s="3" t="s">
        <v>287</v>
      </c>
      <c r="D65" s="3" t="str">
        <f t="shared" si="3"/>
        <v>c353_presona_02_Name</v>
      </c>
      <c r="E65" s="3">
        <v>10000353</v>
      </c>
      <c r="F65" s="3">
        <v>1</v>
      </c>
      <c r="G65" s="3" t="str">
        <f t="shared" si="4"/>
        <v>c353_persona_02</v>
      </c>
      <c r="H65" s="2">
        <v>1</v>
      </c>
    </row>
    <row r="66" spans="1:8" x14ac:dyDescent="0.3">
      <c r="A66" s="3">
        <f t="shared" si="0"/>
        <v>135302</v>
      </c>
      <c r="B66" s="3" t="s">
        <v>161</v>
      </c>
      <c r="C66" s="3" t="s">
        <v>287</v>
      </c>
      <c r="D66" s="3" t="str">
        <f t="shared" si="3"/>
        <v>c353_presona_03_Name</v>
      </c>
      <c r="E66" s="3">
        <v>10000353</v>
      </c>
      <c r="F66" s="3">
        <v>2</v>
      </c>
      <c r="G66" s="3" t="str">
        <f t="shared" si="4"/>
        <v>c353_persona_03</v>
      </c>
      <c r="H66" s="2">
        <v>1</v>
      </c>
    </row>
    <row r="67" spans="1:8" x14ac:dyDescent="0.3">
      <c r="A67" s="3">
        <f t="shared" si="0"/>
        <v>135303</v>
      </c>
      <c r="B67" s="3" t="s">
        <v>161</v>
      </c>
      <c r="C67" s="3" t="s">
        <v>287</v>
      </c>
      <c r="D67" s="3" t="str">
        <f t="shared" si="3"/>
        <v>c353_presona_04_Name</v>
      </c>
      <c r="E67" s="3">
        <v>10000353</v>
      </c>
      <c r="F67" s="3">
        <v>3</v>
      </c>
      <c r="G67" s="3" t="str">
        <f t="shared" si="4"/>
        <v>c353_persona_04</v>
      </c>
      <c r="H67" s="2">
        <v>1</v>
      </c>
    </row>
    <row r="68" spans="1:8" x14ac:dyDescent="0.3">
      <c r="A68" s="3">
        <f t="shared" si="0"/>
        <v>135304</v>
      </c>
      <c r="B68" s="3" t="s">
        <v>161</v>
      </c>
      <c r="C68" s="3" t="s">
        <v>287</v>
      </c>
      <c r="D68" s="3" t="str">
        <f t="shared" si="3"/>
        <v>c353_presona_05_Name</v>
      </c>
      <c r="E68" s="3">
        <v>10000353</v>
      </c>
      <c r="F68" s="3">
        <v>4</v>
      </c>
      <c r="G68" s="3" t="str">
        <f t="shared" si="4"/>
        <v>c353_persona_05</v>
      </c>
      <c r="H68" s="2">
        <v>1</v>
      </c>
    </row>
    <row r="69" spans="1:8" x14ac:dyDescent="0.3">
      <c r="A69" s="3">
        <f t="shared" si="0"/>
        <v>135305</v>
      </c>
      <c r="B69" s="3" t="s">
        <v>161</v>
      </c>
      <c r="C69" s="3" t="s">
        <v>287</v>
      </c>
      <c r="D69" s="3" t="str">
        <f t="shared" si="3"/>
        <v>c353_presona_06_Name</v>
      </c>
      <c r="E69" s="3">
        <v>10000353</v>
      </c>
      <c r="F69" s="3">
        <v>5</v>
      </c>
      <c r="G69" s="3" t="str">
        <f t="shared" si="4"/>
        <v>c353_persona_06</v>
      </c>
      <c r="H69" s="2">
        <v>1</v>
      </c>
    </row>
    <row r="70" spans="1:8" x14ac:dyDescent="0.3">
      <c r="A70" s="3">
        <f t="shared" si="0"/>
        <v>135306</v>
      </c>
      <c r="B70" s="3" t="s">
        <v>161</v>
      </c>
      <c r="C70" s="3" t="s">
        <v>287</v>
      </c>
      <c r="D70" s="3" t="str">
        <f t="shared" si="3"/>
        <v>c353_presona_07_Name</v>
      </c>
      <c r="E70" s="3">
        <v>10000353</v>
      </c>
      <c r="F70" s="3">
        <v>6</v>
      </c>
      <c r="G70" s="3" t="str">
        <f t="shared" si="4"/>
        <v>c353_persona_07</v>
      </c>
      <c r="H70" s="2">
        <v>1</v>
      </c>
    </row>
    <row r="71" spans="1:8" x14ac:dyDescent="0.3">
      <c r="A71" s="3">
        <f t="shared" si="0"/>
        <v>135307</v>
      </c>
      <c r="B71" s="3" t="s">
        <v>161</v>
      </c>
      <c r="C71" s="3" t="s">
        <v>287</v>
      </c>
      <c r="D71" s="3" t="str">
        <f t="shared" si="3"/>
        <v>c353_presona_08_Name</v>
      </c>
      <c r="E71" s="3">
        <v>10000353</v>
      </c>
      <c r="F71" s="3">
        <v>7</v>
      </c>
      <c r="G71" s="3" t="str">
        <f t="shared" si="4"/>
        <v>c353_persona_08</v>
      </c>
      <c r="H71" s="2">
        <v>1</v>
      </c>
    </row>
    <row r="72" spans="1:8" x14ac:dyDescent="0.3">
      <c r="A72" s="3">
        <f t="shared" si="0"/>
        <v>135308</v>
      </c>
      <c r="B72" s="3" t="s">
        <v>161</v>
      </c>
      <c r="C72" s="3" t="s">
        <v>287</v>
      </c>
      <c r="D72" s="3" t="str">
        <f t="shared" si="3"/>
        <v>c353_presona_09_Name</v>
      </c>
      <c r="E72" s="3">
        <v>10000353</v>
      </c>
      <c r="F72" s="3">
        <v>8</v>
      </c>
      <c r="G72" s="3" t="str">
        <f t="shared" si="4"/>
        <v>c353_persona_09</v>
      </c>
      <c r="H72" s="2">
        <v>1</v>
      </c>
    </row>
    <row r="73" spans="1:8" x14ac:dyDescent="0.3">
      <c r="A73" s="3">
        <f t="shared" si="0"/>
        <v>135309</v>
      </c>
      <c r="B73" s="3" t="s">
        <v>161</v>
      </c>
      <c r="C73" s="3" t="s">
        <v>287</v>
      </c>
      <c r="D73" s="3" t="str">
        <f t="shared" si="3"/>
        <v>c353_presona_10_Name</v>
      </c>
      <c r="E73" s="3">
        <v>10000353</v>
      </c>
      <c r="F73" s="3">
        <v>9</v>
      </c>
      <c r="G73" s="3" t="str">
        <f t="shared" si="4"/>
        <v>c353_persona_10</v>
      </c>
      <c r="H73" s="2">
        <v>1</v>
      </c>
    </row>
    <row r="74" spans="1:8" x14ac:dyDescent="0.3">
      <c r="A74" s="3">
        <f t="shared" si="0"/>
        <v>135310</v>
      </c>
      <c r="B74" s="3" t="s">
        <v>161</v>
      </c>
      <c r="C74" s="3" t="s">
        <v>287</v>
      </c>
      <c r="D74" s="3" t="str">
        <f t="shared" si="3"/>
        <v>c353_presona_11_Name</v>
      </c>
      <c r="E74" s="3">
        <v>10000353</v>
      </c>
      <c r="F74" s="3">
        <v>10</v>
      </c>
      <c r="G74" s="3" t="str">
        <f t="shared" si="4"/>
        <v>c353_persona_11</v>
      </c>
      <c r="H74" s="2">
        <v>1</v>
      </c>
    </row>
    <row r="75" spans="1:8" x14ac:dyDescent="0.3">
      <c r="A75" s="3">
        <f t="shared" si="0"/>
        <v>135311</v>
      </c>
      <c r="B75" s="3" t="s">
        <v>161</v>
      </c>
      <c r="C75" s="3" t="s">
        <v>287</v>
      </c>
      <c r="D75" s="3" t="str">
        <f t="shared" si="3"/>
        <v>c353_presona_12_Name</v>
      </c>
      <c r="E75" s="3">
        <v>10000353</v>
      </c>
      <c r="F75" s="3">
        <v>11</v>
      </c>
      <c r="G75" s="3" t="str">
        <f t="shared" si="4"/>
        <v>c353_persona_12</v>
      </c>
      <c r="H75" s="2">
        <v>1</v>
      </c>
    </row>
    <row r="76" spans="1:8" x14ac:dyDescent="0.3">
      <c r="A76" s="3">
        <f t="shared" si="0"/>
        <v>135312</v>
      </c>
      <c r="B76" s="3" t="s">
        <v>161</v>
      </c>
      <c r="C76" s="3" t="s">
        <v>287</v>
      </c>
      <c r="D76" s="3" t="str">
        <f t="shared" si="3"/>
        <v>c353_presona_13_Name</v>
      </c>
      <c r="E76" s="3">
        <v>10000353</v>
      </c>
      <c r="F76" s="3">
        <v>12</v>
      </c>
      <c r="G76" s="3" t="str">
        <f t="shared" si="4"/>
        <v>c353_persona_13</v>
      </c>
      <c r="H76" s="2">
        <v>1</v>
      </c>
    </row>
    <row r="77" spans="1:8" x14ac:dyDescent="0.3">
      <c r="A77" s="3">
        <f t="shared" si="0"/>
        <v>135313</v>
      </c>
      <c r="B77" s="3" t="s">
        <v>161</v>
      </c>
      <c r="C77" s="3" t="s">
        <v>287</v>
      </c>
      <c r="D77" s="3" t="str">
        <f t="shared" si="3"/>
        <v>c353_presona_14_Name</v>
      </c>
      <c r="E77" s="3">
        <v>10000353</v>
      </c>
      <c r="F77" s="3">
        <v>13</v>
      </c>
      <c r="G77" s="3" t="str">
        <f t="shared" si="4"/>
        <v>c353_persona_14</v>
      </c>
      <c r="H77" s="2">
        <v>1</v>
      </c>
    </row>
    <row r="78" spans="1:8" x14ac:dyDescent="0.3">
      <c r="A78" s="3">
        <f t="shared" si="0"/>
        <v>135314</v>
      </c>
      <c r="B78" s="3" t="s">
        <v>161</v>
      </c>
      <c r="C78" s="3" t="s">
        <v>287</v>
      </c>
      <c r="D78" s="3" t="str">
        <f t="shared" si="3"/>
        <v>c353_presona_15_Name</v>
      </c>
      <c r="E78" s="3">
        <v>10000353</v>
      </c>
      <c r="F78" s="3">
        <v>14</v>
      </c>
      <c r="G78" s="3" t="str">
        <f t="shared" si="4"/>
        <v>c353_persona_15</v>
      </c>
      <c r="H78" s="2">
        <v>1</v>
      </c>
    </row>
    <row r="79" spans="1:8" x14ac:dyDescent="0.3">
      <c r="A79" s="3">
        <f t="shared" si="0"/>
        <v>122900</v>
      </c>
      <c r="B79" s="3" t="s">
        <v>162</v>
      </c>
      <c r="C79" s="3" t="s">
        <v>288</v>
      </c>
      <c r="D79" s="3" t="str">
        <f t="shared" si="3"/>
        <v>c229_presona_01_Name</v>
      </c>
      <c r="E79" s="3">
        <v>10000229</v>
      </c>
      <c r="F79" s="3">
        <v>0</v>
      </c>
      <c r="G79" s="3" t="str">
        <f t="shared" ref="G79:G93" si="5">C79&amp;"_persona_"&amp;TEXT(F79+1, "00")</f>
        <v>c229_persona_01</v>
      </c>
      <c r="H79" s="2">
        <v>1</v>
      </c>
    </row>
    <row r="80" spans="1:8" x14ac:dyDescent="0.3">
      <c r="A80" s="3">
        <f t="shared" si="0"/>
        <v>122901</v>
      </c>
      <c r="B80" s="3" t="s">
        <v>162</v>
      </c>
      <c r="C80" s="3" t="s">
        <v>288</v>
      </c>
      <c r="D80" s="3" t="str">
        <f t="shared" si="3"/>
        <v>c229_presona_02_Name</v>
      </c>
      <c r="E80" s="3">
        <v>10000229</v>
      </c>
      <c r="F80" s="3">
        <v>1</v>
      </c>
      <c r="G80" s="3" t="str">
        <f t="shared" si="5"/>
        <v>c229_persona_02</v>
      </c>
      <c r="H80" s="2">
        <v>1</v>
      </c>
    </row>
    <row r="81" spans="1:8" x14ac:dyDescent="0.3">
      <c r="A81" s="3">
        <f t="shared" si="0"/>
        <v>122902</v>
      </c>
      <c r="B81" s="3" t="s">
        <v>162</v>
      </c>
      <c r="C81" s="3" t="s">
        <v>288</v>
      </c>
      <c r="D81" s="3" t="str">
        <f t="shared" si="3"/>
        <v>c229_presona_03_Name</v>
      </c>
      <c r="E81" s="3">
        <v>10000229</v>
      </c>
      <c r="F81" s="3">
        <v>2</v>
      </c>
      <c r="G81" s="3" t="str">
        <f t="shared" si="5"/>
        <v>c229_persona_03</v>
      </c>
      <c r="H81" s="2">
        <v>1</v>
      </c>
    </row>
    <row r="82" spans="1:8" x14ac:dyDescent="0.3">
      <c r="A82" s="3">
        <f t="shared" si="0"/>
        <v>122903</v>
      </c>
      <c r="B82" s="3" t="s">
        <v>162</v>
      </c>
      <c r="C82" s="3" t="s">
        <v>288</v>
      </c>
      <c r="D82" s="3" t="str">
        <f t="shared" si="3"/>
        <v>c229_presona_04_Name</v>
      </c>
      <c r="E82" s="3">
        <v>10000229</v>
      </c>
      <c r="F82" s="3">
        <v>3</v>
      </c>
      <c r="G82" s="3" t="str">
        <f t="shared" si="5"/>
        <v>c229_persona_04</v>
      </c>
      <c r="H82" s="2">
        <v>1</v>
      </c>
    </row>
    <row r="83" spans="1:8" x14ac:dyDescent="0.3">
      <c r="A83" s="3">
        <f t="shared" si="0"/>
        <v>122904</v>
      </c>
      <c r="B83" s="3" t="s">
        <v>162</v>
      </c>
      <c r="C83" s="3" t="s">
        <v>288</v>
      </c>
      <c r="D83" s="3" t="str">
        <f t="shared" si="3"/>
        <v>c229_presona_05_Name</v>
      </c>
      <c r="E83" s="3">
        <v>10000229</v>
      </c>
      <c r="F83" s="3">
        <v>4</v>
      </c>
      <c r="G83" s="3" t="str">
        <f t="shared" si="5"/>
        <v>c229_persona_05</v>
      </c>
      <c r="H83" s="2">
        <v>1</v>
      </c>
    </row>
    <row r="84" spans="1:8" x14ac:dyDescent="0.3">
      <c r="A84" s="3">
        <f t="shared" si="0"/>
        <v>122905</v>
      </c>
      <c r="B84" s="3" t="s">
        <v>162</v>
      </c>
      <c r="C84" s="3" t="s">
        <v>288</v>
      </c>
      <c r="D84" s="3" t="str">
        <f t="shared" ref="D84:D147" si="6">C84&amp;"_presona_"&amp;TEXT(F84+1, "00")&amp;"_Name"</f>
        <v>c229_presona_06_Name</v>
      </c>
      <c r="E84" s="3">
        <v>10000229</v>
      </c>
      <c r="F84" s="3">
        <v>5</v>
      </c>
      <c r="G84" s="3" t="str">
        <f t="shared" si="5"/>
        <v>c229_persona_06</v>
      </c>
      <c r="H84" s="2">
        <v>1</v>
      </c>
    </row>
    <row r="85" spans="1:8" x14ac:dyDescent="0.3">
      <c r="A85" s="3">
        <f t="shared" si="0"/>
        <v>122906</v>
      </c>
      <c r="B85" s="3" t="s">
        <v>162</v>
      </c>
      <c r="C85" s="3" t="s">
        <v>288</v>
      </c>
      <c r="D85" s="3" t="str">
        <f t="shared" si="6"/>
        <v>c229_presona_07_Name</v>
      </c>
      <c r="E85" s="3">
        <v>10000229</v>
      </c>
      <c r="F85" s="3">
        <v>6</v>
      </c>
      <c r="G85" s="3" t="str">
        <f t="shared" si="5"/>
        <v>c229_persona_07</v>
      </c>
      <c r="H85" s="2">
        <v>1</v>
      </c>
    </row>
    <row r="86" spans="1:8" x14ac:dyDescent="0.3">
      <c r="A86" s="3">
        <f t="shared" si="0"/>
        <v>122907</v>
      </c>
      <c r="B86" s="3" t="s">
        <v>162</v>
      </c>
      <c r="C86" s="3" t="s">
        <v>288</v>
      </c>
      <c r="D86" s="3" t="str">
        <f t="shared" si="6"/>
        <v>c229_presona_08_Name</v>
      </c>
      <c r="E86" s="3">
        <v>10000229</v>
      </c>
      <c r="F86" s="3">
        <v>7</v>
      </c>
      <c r="G86" s="3" t="str">
        <f t="shared" si="5"/>
        <v>c229_persona_08</v>
      </c>
      <c r="H86" s="2">
        <v>1</v>
      </c>
    </row>
    <row r="87" spans="1:8" x14ac:dyDescent="0.3">
      <c r="A87" s="3">
        <f t="shared" si="0"/>
        <v>122908</v>
      </c>
      <c r="B87" s="3" t="s">
        <v>162</v>
      </c>
      <c r="C87" s="3" t="s">
        <v>288</v>
      </c>
      <c r="D87" s="3" t="str">
        <f t="shared" si="6"/>
        <v>c229_presona_09_Name</v>
      </c>
      <c r="E87" s="3">
        <v>10000229</v>
      </c>
      <c r="F87" s="3">
        <v>8</v>
      </c>
      <c r="G87" s="3" t="str">
        <f t="shared" si="5"/>
        <v>c229_persona_09</v>
      </c>
      <c r="H87" s="2">
        <v>1</v>
      </c>
    </row>
    <row r="88" spans="1:8" x14ac:dyDescent="0.3">
      <c r="A88" s="3">
        <f t="shared" si="0"/>
        <v>122909</v>
      </c>
      <c r="B88" s="3" t="s">
        <v>162</v>
      </c>
      <c r="C88" s="3" t="s">
        <v>288</v>
      </c>
      <c r="D88" s="3" t="str">
        <f t="shared" si="6"/>
        <v>c229_presona_10_Name</v>
      </c>
      <c r="E88" s="3">
        <v>10000229</v>
      </c>
      <c r="F88" s="3">
        <v>9</v>
      </c>
      <c r="G88" s="3" t="str">
        <f t="shared" si="5"/>
        <v>c229_persona_10</v>
      </c>
      <c r="H88" s="2">
        <v>1</v>
      </c>
    </row>
    <row r="89" spans="1:8" x14ac:dyDescent="0.3">
      <c r="A89" s="3">
        <f t="shared" si="0"/>
        <v>122910</v>
      </c>
      <c r="B89" s="3" t="s">
        <v>162</v>
      </c>
      <c r="C89" s="3" t="s">
        <v>288</v>
      </c>
      <c r="D89" s="3" t="str">
        <f t="shared" si="6"/>
        <v>c229_presona_11_Name</v>
      </c>
      <c r="E89" s="3">
        <v>10000229</v>
      </c>
      <c r="F89" s="3">
        <v>10</v>
      </c>
      <c r="G89" s="3" t="str">
        <f t="shared" si="5"/>
        <v>c229_persona_11</v>
      </c>
      <c r="H89" s="2">
        <v>1</v>
      </c>
    </row>
    <row r="90" spans="1:8" x14ac:dyDescent="0.3">
      <c r="A90" s="3">
        <f t="shared" si="0"/>
        <v>122911</v>
      </c>
      <c r="B90" s="3" t="s">
        <v>162</v>
      </c>
      <c r="C90" s="3" t="s">
        <v>288</v>
      </c>
      <c r="D90" s="3" t="str">
        <f t="shared" si="6"/>
        <v>c229_presona_12_Name</v>
      </c>
      <c r="E90" s="3">
        <v>10000229</v>
      </c>
      <c r="F90" s="3">
        <v>11</v>
      </c>
      <c r="G90" s="3" t="str">
        <f t="shared" si="5"/>
        <v>c229_persona_12</v>
      </c>
      <c r="H90" s="2">
        <v>1</v>
      </c>
    </row>
    <row r="91" spans="1:8" x14ac:dyDescent="0.3">
      <c r="A91" s="3">
        <f t="shared" si="0"/>
        <v>122912</v>
      </c>
      <c r="B91" s="3" t="s">
        <v>162</v>
      </c>
      <c r="C91" s="3" t="s">
        <v>288</v>
      </c>
      <c r="D91" s="3" t="str">
        <f t="shared" si="6"/>
        <v>c229_presona_13_Name</v>
      </c>
      <c r="E91" s="3">
        <v>10000229</v>
      </c>
      <c r="F91" s="3">
        <v>12</v>
      </c>
      <c r="G91" s="3" t="str">
        <f t="shared" si="5"/>
        <v>c229_persona_13</v>
      </c>
      <c r="H91" s="2">
        <v>1</v>
      </c>
    </row>
    <row r="92" spans="1:8" x14ac:dyDescent="0.3">
      <c r="A92" s="3">
        <f t="shared" si="0"/>
        <v>122913</v>
      </c>
      <c r="B92" s="3" t="s">
        <v>162</v>
      </c>
      <c r="C92" s="3" t="s">
        <v>288</v>
      </c>
      <c r="D92" s="3" t="str">
        <f t="shared" si="6"/>
        <v>c229_presona_14_Name</v>
      </c>
      <c r="E92" s="3">
        <v>10000229</v>
      </c>
      <c r="F92" s="3">
        <v>13</v>
      </c>
      <c r="G92" s="3" t="str">
        <f t="shared" si="5"/>
        <v>c229_persona_14</v>
      </c>
      <c r="H92" s="2">
        <v>1</v>
      </c>
    </row>
    <row r="93" spans="1:8" x14ac:dyDescent="0.3">
      <c r="A93" s="3">
        <f t="shared" si="0"/>
        <v>122914</v>
      </c>
      <c r="B93" s="3" t="s">
        <v>162</v>
      </c>
      <c r="C93" s="3" t="s">
        <v>288</v>
      </c>
      <c r="D93" s="3" t="str">
        <f t="shared" si="6"/>
        <v>c229_presona_15_Name</v>
      </c>
      <c r="E93" s="3">
        <v>10000229</v>
      </c>
      <c r="F93" s="3">
        <v>14</v>
      </c>
      <c r="G93" s="3" t="str">
        <f t="shared" si="5"/>
        <v>c229_persona_15</v>
      </c>
      <c r="H93" s="2">
        <v>1</v>
      </c>
    </row>
    <row r="94" spans="1:8" x14ac:dyDescent="0.3">
      <c r="A94" s="3">
        <f t="shared" si="0"/>
        <v>118000</v>
      </c>
      <c r="B94" s="3" t="s">
        <v>163</v>
      </c>
      <c r="C94" s="3" t="s">
        <v>289</v>
      </c>
      <c r="D94" s="3" t="str">
        <f t="shared" si="6"/>
        <v>c180_presona_01_Name</v>
      </c>
      <c r="E94" s="3">
        <v>10000180</v>
      </c>
      <c r="F94" s="3">
        <v>0</v>
      </c>
      <c r="G94" s="3" t="str">
        <f t="shared" ref="G94:G123" si="7">C94&amp;"_persona_"&amp;TEXT(F94+1, "00")</f>
        <v>c180_persona_01</v>
      </c>
      <c r="H94" s="2">
        <v>1</v>
      </c>
    </row>
    <row r="95" spans="1:8" x14ac:dyDescent="0.3">
      <c r="A95" s="3">
        <f t="shared" si="0"/>
        <v>118001</v>
      </c>
      <c r="B95" s="3" t="s">
        <v>163</v>
      </c>
      <c r="C95" s="3" t="s">
        <v>289</v>
      </c>
      <c r="D95" s="3" t="str">
        <f t="shared" si="6"/>
        <v>c180_presona_02_Name</v>
      </c>
      <c r="E95" s="3">
        <v>10000180</v>
      </c>
      <c r="F95" s="3">
        <v>1</v>
      </c>
      <c r="G95" s="3" t="str">
        <f t="shared" si="7"/>
        <v>c180_persona_02</v>
      </c>
      <c r="H95" s="2">
        <v>1</v>
      </c>
    </row>
    <row r="96" spans="1:8" x14ac:dyDescent="0.3">
      <c r="A96" s="3">
        <f t="shared" si="0"/>
        <v>118002</v>
      </c>
      <c r="B96" s="3" t="s">
        <v>163</v>
      </c>
      <c r="C96" s="3" t="s">
        <v>289</v>
      </c>
      <c r="D96" s="3" t="str">
        <f t="shared" si="6"/>
        <v>c180_presona_03_Name</v>
      </c>
      <c r="E96" s="3">
        <v>10000180</v>
      </c>
      <c r="F96" s="3">
        <v>2</v>
      </c>
      <c r="G96" s="3" t="str">
        <f t="shared" si="7"/>
        <v>c180_persona_03</v>
      </c>
      <c r="H96" s="2">
        <v>1</v>
      </c>
    </row>
    <row r="97" spans="1:8" x14ac:dyDescent="0.3">
      <c r="A97" s="3">
        <f t="shared" si="0"/>
        <v>118003</v>
      </c>
      <c r="B97" s="3" t="s">
        <v>163</v>
      </c>
      <c r="C97" s="3" t="s">
        <v>289</v>
      </c>
      <c r="D97" s="3" t="str">
        <f t="shared" si="6"/>
        <v>c180_presona_04_Name</v>
      </c>
      <c r="E97" s="3">
        <v>10000180</v>
      </c>
      <c r="F97" s="3">
        <v>3</v>
      </c>
      <c r="G97" s="3" t="str">
        <f t="shared" si="7"/>
        <v>c180_persona_04</v>
      </c>
      <c r="H97" s="2">
        <v>1</v>
      </c>
    </row>
    <row r="98" spans="1:8" x14ac:dyDescent="0.3">
      <c r="A98" s="3">
        <f t="shared" si="0"/>
        <v>118004</v>
      </c>
      <c r="B98" s="3" t="s">
        <v>163</v>
      </c>
      <c r="C98" s="3" t="s">
        <v>289</v>
      </c>
      <c r="D98" s="3" t="str">
        <f t="shared" si="6"/>
        <v>c180_presona_05_Name</v>
      </c>
      <c r="E98" s="3">
        <v>10000180</v>
      </c>
      <c r="F98" s="3">
        <v>4</v>
      </c>
      <c r="G98" s="3" t="str">
        <f t="shared" si="7"/>
        <v>c180_persona_05</v>
      </c>
      <c r="H98" s="2">
        <v>1</v>
      </c>
    </row>
    <row r="99" spans="1:8" x14ac:dyDescent="0.3">
      <c r="A99" s="3">
        <f t="shared" si="0"/>
        <v>118005</v>
      </c>
      <c r="B99" s="3" t="s">
        <v>163</v>
      </c>
      <c r="C99" s="3" t="s">
        <v>289</v>
      </c>
      <c r="D99" s="3" t="str">
        <f t="shared" si="6"/>
        <v>c180_presona_06_Name</v>
      </c>
      <c r="E99" s="3">
        <v>10000180</v>
      </c>
      <c r="F99" s="3">
        <v>5</v>
      </c>
      <c r="G99" s="3" t="str">
        <f t="shared" si="7"/>
        <v>c180_persona_06</v>
      </c>
      <c r="H99" s="2">
        <v>1</v>
      </c>
    </row>
    <row r="100" spans="1:8" x14ac:dyDescent="0.3">
      <c r="A100" s="3">
        <f t="shared" si="0"/>
        <v>118006</v>
      </c>
      <c r="B100" s="3" t="s">
        <v>163</v>
      </c>
      <c r="C100" s="3" t="s">
        <v>289</v>
      </c>
      <c r="D100" s="3" t="str">
        <f t="shared" si="6"/>
        <v>c180_presona_07_Name</v>
      </c>
      <c r="E100" s="3">
        <v>10000180</v>
      </c>
      <c r="F100" s="3">
        <v>6</v>
      </c>
      <c r="G100" s="3" t="str">
        <f t="shared" si="7"/>
        <v>c180_persona_07</v>
      </c>
      <c r="H100" s="2">
        <v>1</v>
      </c>
    </row>
    <row r="101" spans="1:8" x14ac:dyDescent="0.3">
      <c r="A101" s="3">
        <f t="shared" si="0"/>
        <v>118007</v>
      </c>
      <c r="B101" s="3" t="s">
        <v>163</v>
      </c>
      <c r="C101" s="3" t="s">
        <v>289</v>
      </c>
      <c r="D101" s="3" t="str">
        <f t="shared" si="6"/>
        <v>c180_presona_08_Name</v>
      </c>
      <c r="E101" s="3">
        <v>10000180</v>
      </c>
      <c r="F101" s="3">
        <v>7</v>
      </c>
      <c r="G101" s="3" t="str">
        <f t="shared" si="7"/>
        <v>c180_persona_08</v>
      </c>
      <c r="H101" s="2">
        <v>1</v>
      </c>
    </row>
    <row r="102" spans="1:8" x14ac:dyDescent="0.3">
      <c r="A102" s="3">
        <f t="shared" si="0"/>
        <v>118008</v>
      </c>
      <c r="B102" s="3" t="s">
        <v>163</v>
      </c>
      <c r="C102" s="3" t="s">
        <v>289</v>
      </c>
      <c r="D102" s="3" t="str">
        <f t="shared" si="6"/>
        <v>c180_presona_09_Name</v>
      </c>
      <c r="E102" s="3">
        <v>10000180</v>
      </c>
      <c r="F102" s="3">
        <v>8</v>
      </c>
      <c r="G102" s="3" t="str">
        <f t="shared" si="7"/>
        <v>c180_persona_09</v>
      </c>
      <c r="H102" s="2">
        <v>1</v>
      </c>
    </row>
    <row r="103" spans="1:8" x14ac:dyDescent="0.3">
      <c r="A103" s="3">
        <f t="shared" si="0"/>
        <v>118009</v>
      </c>
      <c r="B103" s="3" t="s">
        <v>163</v>
      </c>
      <c r="C103" s="3" t="s">
        <v>289</v>
      </c>
      <c r="D103" s="3" t="str">
        <f t="shared" si="6"/>
        <v>c180_presona_10_Name</v>
      </c>
      <c r="E103" s="3">
        <v>10000180</v>
      </c>
      <c r="F103" s="3">
        <v>9</v>
      </c>
      <c r="G103" s="3" t="str">
        <f t="shared" si="7"/>
        <v>c180_persona_10</v>
      </c>
      <c r="H103" s="2">
        <v>1</v>
      </c>
    </row>
    <row r="104" spans="1:8" x14ac:dyDescent="0.3">
      <c r="A104" s="3">
        <f t="shared" si="0"/>
        <v>118010</v>
      </c>
      <c r="B104" s="3" t="s">
        <v>163</v>
      </c>
      <c r="C104" s="3" t="s">
        <v>289</v>
      </c>
      <c r="D104" s="3" t="str">
        <f t="shared" si="6"/>
        <v>c180_presona_11_Name</v>
      </c>
      <c r="E104" s="3">
        <v>10000180</v>
      </c>
      <c r="F104" s="3">
        <v>10</v>
      </c>
      <c r="G104" s="3" t="str">
        <f t="shared" si="7"/>
        <v>c180_persona_11</v>
      </c>
      <c r="H104" s="2">
        <v>1</v>
      </c>
    </row>
    <row r="105" spans="1:8" x14ac:dyDescent="0.3">
      <c r="A105" s="3">
        <f t="shared" si="0"/>
        <v>118011</v>
      </c>
      <c r="B105" s="3" t="s">
        <v>163</v>
      </c>
      <c r="C105" s="3" t="s">
        <v>289</v>
      </c>
      <c r="D105" s="3" t="str">
        <f t="shared" si="6"/>
        <v>c180_presona_12_Name</v>
      </c>
      <c r="E105" s="3">
        <v>10000180</v>
      </c>
      <c r="F105" s="3">
        <v>11</v>
      </c>
      <c r="G105" s="3" t="str">
        <f t="shared" si="7"/>
        <v>c180_persona_12</v>
      </c>
      <c r="H105" s="2">
        <v>1</v>
      </c>
    </row>
    <row r="106" spans="1:8" x14ac:dyDescent="0.3">
      <c r="A106" s="3">
        <f t="shared" si="0"/>
        <v>118012</v>
      </c>
      <c r="B106" s="3" t="s">
        <v>163</v>
      </c>
      <c r="C106" s="3" t="s">
        <v>289</v>
      </c>
      <c r="D106" s="3" t="str">
        <f t="shared" si="6"/>
        <v>c180_presona_13_Name</v>
      </c>
      <c r="E106" s="3">
        <v>10000180</v>
      </c>
      <c r="F106" s="3">
        <v>12</v>
      </c>
      <c r="G106" s="3" t="str">
        <f t="shared" si="7"/>
        <v>c180_persona_13</v>
      </c>
      <c r="H106" s="2">
        <v>1</v>
      </c>
    </row>
    <row r="107" spans="1:8" x14ac:dyDescent="0.3">
      <c r="A107" s="3">
        <f t="shared" si="0"/>
        <v>118013</v>
      </c>
      <c r="B107" s="3" t="s">
        <v>163</v>
      </c>
      <c r="C107" s="3" t="s">
        <v>289</v>
      </c>
      <c r="D107" s="3" t="str">
        <f t="shared" si="6"/>
        <v>c180_presona_14_Name</v>
      </c>
      <c r="E107" s="3">
        <v>10000180</v>
      </c>
      <c r="F107" s="3">
        <v>13</v>
      </c>
      <c r="G107" s="3" t="str">
        <f t="shared" si="7"/>
        <v>c180_persona_14</v>
      </c>
      <c r="H107" s="2">
        <v>1</v>
      </c>
    </row>
    <row r="108" spans="1:8" x14ac:dyDescent="0.3">
      <c r="A108" s="3">
        <f t="shared" si="0"/>
        <v>118014</v>
      </c>
      <c r="B108" s="3" t="s">
        <v>163</v>
      </c>
      <c r="C108" s="3" t="s">
        <v>289</v>
      </c>
      <c r="D108" s="3" t="str">
        <f t="shared" si="6"/>
        <v>c180_presona_15_Name</v>
      </c>
      <c r="E108" s="3">
        <v>10000180</v>
      </c>
      <c r="F108" s="3">
        <v>14</v>
      </c>
      <c r="G108" s="3" t="str">
        <f t="shared" si="7"/>
        <v>c180_persona_15</v>
      </c>
      <c r="H108" s="2">
        <v>1</v>
      </c>
    </row>
    <row r="109" spans="1:8" x14ac:dyDescent="0.3">
      <c r="A109" s="3">
        <f t="shared" si="0"/>
        <v>118300</v>
      </c>
      <c r="B109" s="3" t="s">
        <v>164</v>
      </c>
      <c r="C109" s="3" t="s">
        <v>290</v>
      </c>
      <c r="D109" s="3" t="str">
        <f t="shared" si="6"/>
        <v>c183_presona_01_Name</v>
      </c>
      <c r="E109" s="3">
        <v>10000183</v>
      </c>
      <c r="F109" s="3">
        <v>0</v>
      </c>
      <c r="G109" s="3" t="str">
        <f t="shared" si="7"/>
        <v>c183_persona_01</v>
      </c>
      <c r="H109" s="2">
        <v>1</v>
      </c>
    </row>
    <row r="110" spans="1:8" x14ac:dyDescent="0.3">
      <c r="A110" s="3">
        <f t="shared" si="0"/>
        <v>118301</v>
      </c>
      <c r="B110" s="3" t="s">
        <v>164</v>
      </c>
      <c r="C110" s="3" t="s">
        <v>290</v>
      </c>
      <c r="D110" s="3" t="str">
        <f t="shared" si="6"/>
        <v>c183_presona_02_Name</v>
      </c>
      <c r="E110" s="3">
        <v>10000183</v>
      </c>
      <c r="F110" s="3">
        <v>1</v>
      </c>
      <c r="G110" s="3" t="str">
        <f t="shared" si="7"/>
        <v>c183_persona_02</v>
      </c>
      <c r="H110" s="2">
        <v>1</v>
      </c>
    </row>
    <row r="111" spans="1:8" x14ac:dyDescent="0.3">
      <c r="A111" s="3">
        <f t="shared" si="0"/>
        <v>118302</v>
      </c>
      <c r="B111" s="3" t="s">
        <v>164</v>
      </c>
      <c r="C111" s="3" t="s">
        <v>290</v>
      </c>
      <c r="D111" s="3" t="str">
        <f t="shared" si="6"/>
        <v>c183_presona_03_Name</v>
      </c>
      <c r="E111" s="3">
        <v>10000183</v>
      </c>
      <c r="F111" s="3">
        <v>2</v>
      </c>
      <c r="G111" s="3" t="str">
        <f t="shared" si="7"/>
        <v>c183_persona_03</v>
      </c>
      <c r="H111" s="2">
        <v>1</v>
      </c>
    </row>
    <row r="112" spans="1:8" x14ac:dyDescent="0.3">
      <c r="A112" s="3">
        <f t="shared" si="0"/>
        <v>118303</v>
      </c>
      <c r="B112" s="3" t="s">
        <v>164</v>
      </c>
      <c r="C112" s="3" t="s">
        <v>290</v>
      </c>
      <c r="D112" s="3" t="str">
        <f t="shared" si="6"/>
        <v>c183_presona_04_Name</v>
      </c>
      <c r="E112" s="3">
        <v>10000183</v>
      </c>
      <c r="F112" s="3">
        <v>3</v>
      </c>
      <c r="G112" s="3" t="str">
        <f t="shared" si="7"/>
        <v>c183_persona_04</v>
      </c>
      <c r="H112" s="2">
        <v>1</v>
      </c>
    </row>
    <row r="113" spans="1:8" x14ac:dyDescent="0.3">
      <c r="A113" s="3">
        <f t="shared" si="0"/>
        <v>118304</v>
      </c>
      <c r="B113" s="3" t="s">
        <v>164</v>
      </c>
      <c r="C113" s="3" t="s">
        <v>290</v>
      </c>
      <c r="D113" s="3" t="str">
        <f t="shared" si="6"/>
        <v>c183_presona_05_Name</v>
      </c>
      <c r="E113" s="3">
        <v>10000183</v>
      </c>
      <c r="F113" s="3">
        <v>4</v>
      </c>
      <c r="G113" s="3" t="str">
        <f t="shared" si="7"/>
        <v>c183_persona_05</v>
      </c>
      <c r="H113" s="2">
        <v>1</v>
      </c>
    </row>
    <row r="114" spans="1:8" x14ac:dyDescent="0.3">
      <c r="A114" s="3">
        <f t="shared" si="0"/>
        <v>118305</v>
      </c>
      <c r="B114" s="3" t="s">
        <v>164</v>
      </c>
      <c r="C114" s="3" t="s">
        <v>290</v>
      </c>
      <c r="D114" s="3" t="str">
        <f t="shared" si="6"/>
        <v>c183_presona_06_Name</v>
      </c>
      <c r="E114" s="3">
        <v>10000183</v>
      </c>
      <c r="F114" s="3">
        <v>5</v>
      </c>
      <c r="G114" s="3" t="str">
        <f t="shared" si="7"/>
        <v>c183_persona_06</v>
      </c>
      <c r="H114" s="2">
        <v>1</v>
      </c>
    </row>
    <row r="115" spans="1:8" x14ac:dyDescent="0.3">
      <c r="A115" s="3">
        <f t="shared" si="0"/>
        <v>118306</v>
      </c>
      <c r="B115" s="3" t="s">
        <v>164</v>
      </c>
      <c r="C115" s="3" t="s">
        <v>290</v>
      </c>
      <c r="D115" s="3" t="str">
        <f t="shared" si="6"/>
        <v>c183_presona_07_Name</v>
      </c>
      <c r="E115" s="3">
        <v>10000183</v>
      </c>
      <c r="F115" s="3">
        <v>6</v>
      </c>
      <c r="G115" s="3" t="str">
        <f t="shared" si="7"/>
        <v>c183_persona_07</v>
      </c>
      <c r="H115" s="2">
        <v>1</v>
      </c>
    </row>
    <row r="116" spans="1:8" x14ac:dyDescent="0.3">
      <c r="A116" s="3">
        <f t="shared" si="0"/>
        <v>118307</v>
      </c>
      <c r="B116" s="3" t="s">
        <v>164</v>
      </c>
      <c r="C116" s="3" t="s">
        <v>290</v>
      </c>
      <c r="D116" s="3" t="str">
        <f t="shared" si="6"/>
        <v>c183_presona_08_Name</v>
      </c>
      <c r="E116" s="3">
        <v>10000183</v>
      </c>
      <c r="F116" s="3">
        <v>7</v>
      </c>
      <c r="G116" s="3" t="str">
        <f t="shared" si="7"/>
        <v>c183_persona_08</v>
      </c>
      <c r="H116" s="2">
        <v>1</v>
      </c>
    </row>
    <row r="117" spans="1:8" x14ac:dyDescent="0.3">
      <c r="A117" s="3">
        <f t="shared" si="0"/>
        <v>118308</v>
      </c>
      <c r="B117" s="3" t="s">
        <v>164</v>
      </c>
      <c r="C117" s="3" t="s">
        <v>290</v>
      </c>
      <c r="D117" s="3" t="str">
        <f t="shared" si="6"/>
        <v>c183_presona_09_Name</v>
      </c>
      <c r="E117" s="3">
        <v>10000183</v>
      </c>
      <c r="F117" s="3">
        <v>8</v>
      </c>
      <c r="G117" s="3" t="str">
        <f t="shared" si="7"/>
        <v>c183_persona_09</v>
      </c>
      <c r="H117" s="2">
        <v>1</v>
      </c>
    </row>
    <row r="118" spans="1:8" x14ac:dyDescent="0.3">
      <c r="A118" s="3">
        <f t="shared" si="0"/>
        <v>118309</v>
      </c>
      <c r="B118" s="3" t="s">
        <v>164</v>
      </c>
      <c r="C118" s="3" t="s">
        <v>290</v>
      </c>
      <c r="D118" s="3" t="str">
        <f t="shared" si="6"/>
        <v>c183_presona_10_Name</v>
      </c>
      <c r="E118" s="3">
        <v>10000183</v>
      </c>
      <c r="F118" s="3">
        <v>9</v>
      </c>
      <c r="G118" s="3" t="str">
        <f t="shared" si="7"/>
        <v>c183_persona_10</v>
      </c>
      <c r="H118" s="2">
        <v>1</v>
      </c>
    </row>
    <row r="119" spans="1:8" x14ac:dyDescent="0.3">
      <c r="A119" s="3">
        <f t="shared" si="0"/>
        <v>118310</v>
      </c>
      <c r="B119" s="3" t="s">
        <v>164</v>
      </c>
      <c r="C119" s="3" t="s">
        <v>290</v>
      </c>
      <c r="D119" s="3" t="str">
        <f t="shared" si="6"/>
        <v>c183_presona_11_Name</v>
      </c>
      <c r="E119" s="3">
        <v>10000183</v>
      </c>
      <c r="F119" s="3">
        <v>10</v>
      </c>
      <c r="G119" s="3" t="str">
        <f t="shared" si="7"/>
        <v>c183_persona_11</v>
      </c>
      <c r="H119" s="2">
        <v>1</v>
      </c>
    </row>
    <row r="120" spans="1:8" x14ac:dyDescent="0.3">
      <c r="A120" s="3">
        <f t="shared" si="0"/>
        <v>118311</v>
      </c>
      <c r="B120" s="3" t="s">
        <v>164</v>
      </c>
      <c r="C120" s="3" t="s">
        <v>290</v>
      </c>
      <c r="D120" s="3" t="str">
        <f t="shared" si="6"/>
        <v>c183_presona_12_Name</v>
      </c>
      <c r="E120" s="3">
        <v>10000183</v>
      </c>
      <c r="F120" s="3">
        <v>11</v>
      </c>
      <c r="G120" s="3" t="str">
        <f t="shared" si="7"/>
        <v>c183_persona_12</v>
      </c>
      <c r="H120" s="2">
        <v>1</v>
      </c>
    </row>
    <row r="121" spans="1:8" x14ac:dyDescent="0.3">
      <c r="A121" s="3">
        <f t="shared" si="0"/>
        <v>118312</v>
      </c>
      <c r="B121" s="3" t="s">
        <v>164</v>
      </c>
      <c r="C121" s="3" t="s">
        <v>290</v>
      </c>
      <c r="D121" s="3" t="str">
        <f t="shared" si="6"/>
        <v>c183_presona_13_Name</v>
      </c>
      <c r="E121" s="3">
        <v>10000183</v>
      </c>
      <c r="F121" s="3">
        <v>12</v>
      </c>
      <c r="G121" s="3" t="str">
        <f t="shared" si="7"/>
        <v>c183_persona_13</v>
      </c>
      <c r="H121" s="2">
        <v>1</v>
      </c>
    </row>
    <row r="122" spans="1:8" x14ac:dyDescent="0.3">
      <c r="A122" s="3">
        <f t="shared" si="0"/>
        <v>118313</v>
      </c>
      <c r="B122" s="3" t="s">
        <v>164</v>
      </c>
      <c r="C122" s="3" t="s">
        <v>290</v>
      </c>
      <c r="D122" s="3" t="str">
        <f t="shared" si="6"/>
        <v>c183_presona_14_Name</v>
      </c>
      <c r="E122" s="3">
        <v>10000183</v>
      </c>
      <c r="F122" s="3">
        <v>13</v>
      </c>
      <c r="G122" s="3" t="str">
        <f t="shared" si="7"/>
        <v>c183_persona_14</v>
      </c>
      <c r="H122" s="2">
        <v>1</v>
      </c>
    </row>
    <row r="123" spans="1:8" x14ac:dyDescent="0.3">
      <c r="A123" s="3">
        <f t="shared" si="0"/>
        <v>118314</v>
      </c>
      <c r="B123" s="3" t="s">
        <v>164</v>
      </c>
      <c r="C123" s="3" t="s">
        <v>290</v>
      </c>
      <c r="D123" s="3" t="str">
        <f t="shared" si="6"/>
        <v>c183_presona_15_Name</v>
      </c>
      <c r="E123" s="3">
        <v>10000183</v>
      </c>
      <c r="F123" s="3">
        <v>14</v>
      </c>
      <c r="G123" s="3" t="str">
        <f t="shared" si="7"/>
        <v>c183_persona_15</v>
      </c>
      <c r="H123" s="2">
        <v>1</v>
      </c>
    </row>
    <row r="124" spans="1:8" x14ac:dyDescent="0.3">
      <c r="A124" s="3">
        <f t="shared" si="0"/>
        <v>105100</v>
      </c>
      <c r="B124" s="3" t="s">
        <v>165</v>
      </c>
      <c r="C124" s="3" t="s">
        <v>291</v>
      </c>
      <c r="D124" s="3" t="str">
        <f t="shared" si="6"/>
        <v>c051_presona_01_Name</v>
      </c>
      <c r="E124" s="3">
        <v>10000051</v>
      </c>
      <c r="F124" s="3">
        <v>0</v>
      </c>
      <c r="G124" s="3" t="s">
        <v>335</v>
      </c>
      <c r="H124" s="2">
        <v>1</v>
      </c>
    </row>
    <row r="125" spans="1:8" x14ac:dyDescent="0.3">
      <c r="A125" s="3">
        <f t="shared" si="0"/>
        <v>105101</v>
      </c>
      <c r="B125" s="3" t="s">
        <v>165</v>
      </c>
      <c r="C125" s="3" t="s">
        <v>291</v>
      </c>
      <c r="D125" s="3" t="str">
        <f t="shared" si="6"/>
        <v>c051_presona_02_Name</v>
      </c>
      <c r="E125" s="3">
        <v>10000051</v>
      </c>
      <c r="F125" s="3">
        <v>1</v>
      </c>
      <c r="G125" s="3" t="s">
        <v>335</v>
      </c>
      <c r="H125" s="2">
        <v>1</v>
      </c>
    </row>
    <row r="126" spans="1:8" x14ac:dyDescent="0.3">
      <c r="A126" s="3">
        <f t="shared" si="0"/>
        <v>105102</v>
      </c>
      <c r="B126" s="3" t="s">
        <v>165</v>
      </c>
      <c r="C126" s="3" t="s">
        <v>291</v>
      </c>
      <c r="D126" s="3" t="str">
        <f t="shared" si="6"/>
        <v>c051_presona_03_Name</v>
      </c>
      <c r="E126" s="3">
        <v>10000051</v>
      </c>
      <c r="F126" s="3">
        <v>2</v>
      </c>
      <c r="G126" s="3" t="s">
        <v>335</v>
      </c>
      <c r="H126" s="2">
        <v>1</v>
      </c>
    </row>
    <row r="127" spans="1:8" x14ac:dyDescent="0.3">
      <c r="A127" s="3">
        <f t="shared" si="0"/>
        <v>105103</v>
      </c>
      <c r="B127" s="3" t="s">
        <v>165</v>
      </c>
      <c r="C127" s="3" t="s">
        <v>291</v>
      </c>
      <c r="D127" s="3" t="str">
        <f t="shared" si="6"/>
        <v>c051_presona_04_Name</v>
      </c>
      <c r="E127" s="3">
        <v>10000051</v>
      </c>
      <c r="F127" s="3">
        <v>3</v>
      </c>
      <c r="G127" s="3" t="s">
        <v>335</v>
      </c>
      <c r="H127" s="2">
        <v>1</v>
      </c>
    </row>
    <row r="128" spans="1:8" x14ac:dyDescent="0.3">
      <c r="A128" s="3">
        <f t="shared" si="0"/>
        <v>105104</v>
      </c>
      <c r="B128" s="3" t="s">
        <v>165</v>
      </c>
      <c r="C128" s="3" t="s">
        <v>291</v>
      </c>
      <c r="D128" s="3" t="str">
        <f t="shared" si="6"/>
        <v>c051_presona_05_Name</v>
      </c>
      <c r="E128" s="3">
        <v>10000051</v>
      </c>
      <c r="F128" s="3">
        <v>4</v>
      </c>
      <c r="G128" s="3" t="s">
        <v>335</v>
      </c>
      <c r="H128" s="2">
        <v>1</v>
      </c>
    </row>
    <row r="129" spans="1:8" x14ac:dyDescent="0.3">
      <c r="A129" s="3">
        <f t="shared" si="0"/>
        <v>105105</v>
      </c>
      <c r="B129" s="3" t="s">
        <v>165</v>
      </c>
      <c r="C129" s="3" t="s">
        <v>291</v>
      </c>
      <c r="D129" s="3" t="str">
        <f t="shared" si="6"/>
        <v>c051_presona_06_Name</v>
      </c>
      <c r="E129" s="3">
        <v>10000051</v>
      </c>
      <c r="F129" s="3">
        <v>5</v>
      </c>
      <c r="G129" s="3" t="s">
        <v>335</v>
      </c>
      <c r="H129" s="2">
        <v>1</v>
      </c>
    </row>
    <row r="130" spans="1:8" x14ac:dyDescent="0.3">
      <c r="A130" s="3">
        <f t="shared" si="0"/>
        <v>105106</v>
      </c>
      <c r="B130" s="3" t="s">
        <v>165</v>
      </c>
      <c r="C130" s="3" t="s">
        <v>291</v>
      </c>
      <c r="D130" s="3" t="str">
        <f t="shared" si="6"/>
        <v>c051_presona_07_Name</v>
      </c>
      <c r="E130" s="3">
        <v>10000051</v>
      </c>
      <c r="F130" s="3">
        <v>6</v>
      </c>
      <c r="G130" s="3" t="s">
        <v>335</v>
      </c>
      <c r="H130" s="2">
        <v>1</v>
      </c>
    </row>
    <row r="131" spans="1:8" x14ac:dyDescent="0.3">
      <c r="A131" s="3">
        <f t="shared" si="0"/>
        <v>105107</v>
      </c>
      <c r="B131" s="3" t="s">
        <v>165</v>
      </c>
      <c r="C131" s="3" t="s">
        <v>291</v>
      </c>
      <c r="D131" s="3" t="str">
        <f t="shared" si="6"/>
        <v>c051_presona_08_Name</v>
      </c>
      <c r="E131" s="3">
        <v>10000051</v>
      </c>
      <c r="F131" s="3">
        <v>7</v>
      </c>
      <c r="G131" s="3" t="s">
        <v>335</v>
      </c>
      <c r="H131" s="2">
        <v>1</v>
      </c>
    </row>
    <row r="132" spans="1:8" x14ac:dyDescent="0.3">
      <c r="A132" s="3">
        <f t="shared" si="0"/>
        <v>105108</v>
      </c>
      <c r="B132" s="3" t="s">
        <v>165</v>
      </c>
      <c r="C132" s="3" t="s">
        <v>291</v>
      </c>
      <c r="D132" s="3" t="str">
        <f t="shared" si="6"/>
        <v>c051_presona_09_Name</v>
      </c>
      <c r="E132" s="3">
        <v>10000051</v>
      </c>
      <c r="F132" s="3">
        <v>8</v>
      </c>
      <c r="G132" s="3" t="s">
        <v>335</v>
      </c>
      <c r="H132" s="2">
        <v>1</v>
      </c>
    </row>
    <row r="133" spans="1:8" x14ac:dyDescent="0.3">
      <c r="A133" s="3">
        <f t="shared" si="0"/>
        <v>105109</v>
      </c>
      <c r="B133" s="3" t="s">
        <v>165</v>
      </c>
      <c r="C133" s="3" t="s">
        <v>291</v>
      </c>
      <c r="D133" s="3" t="str">
        <f t="shared" si="6"/>
        <v>c051_presona_10_Name</v>
      </c>
      <c r="E133" s="3">
        <v>10000051</v>
      </c>
      <c r="F133" s="3">
        <v>9</v>
      </c>
      <c r="G133" s="3" t="s">
        <v>335</v>
      </c>
      <c r="H133" s="2">
        <v>1</v>
      </c>
    </row>
    <row r="134" spans="1:8" x14ac:dyDescent="0.3">
      <c r="A134" s="3">
        <f t="shared" si="0"/>
        <v>105110</v>
      </c>
      <c r="B134" s="3" t="s">
        <v>165</v>
      </c>
      <c r="C134" s="3" t="s">
        <v>291</v>
      </c>
      <c r="D134" s="3" t="str">
        <f t="shared" si="6"/>
        <v>c051_presona_11_Name</v>
      </c>
      <c r="E134" s="3">
        <v>10000051</v>
      </c>
      <c r="F134" s="3">
        <v>10</v>
      </c>
      <c r="G134" s="3" t="s">
        <v>335</v>
      </c>
      <c r="H134" s="2">
        <v>1</v>
      </c>
    </row>
    <row r="135" spans="1:8" x14ac:dyDescent="0.3">
      <c r="A135" s="3">
        <f t="shared" si="0"/>
        <v>105111</v>
      </c>
      <c r="B135" s="3" t="s">
        <v>165</v>
      </c>
      <c r="C135" s="3" t="s">
        <v>291</v>
      </c>
      <c r="D135" s="3" t="str">
        <f t="shared" si="6"/>
        <v>c051_presona_12_Name</v>
      </c>
      <c r="E135" s="3">
        <v>10000051</v>
      </c>
      <c r="F135" s="3">
        <v>11</v>
      </c>
      <c r="G135" s="3" t="s">
        <v>335</v>
      </c>
      <c r="H135" s="2">
        <v>1</v>
      </c>
    </row>
    <row r="136" spans="1:8" x14ac:dyDescent="0.3">
      <c r="A136" s="3">
        <f t="shared" si="0"/>
        <v>105112</v>
      </c>
      <c r="B136" s="3" t="s">
        <v>165</v>
      </c>
      <c r="C136" s="3" t="s">
        <v>291</v>
      </c>
      <c r="D136" s="3" t="str">
        <f t="shared" si="6"/>
        <v>c051_presona_13_Name</v>
      </c>
      <c r="E136" s="3">
        <v>10000051</v>
      </c>
      <c r="F136" s="3">
        <v>12</v>
      </c>
      <c r="G136" s="3" t="s">
        <v>335</v>
      </c>
      <c r="H136" s="2">
        <v>1</v>
      </c>
    </row>
    <row r="137" spans="1:8" x14ac:dyDescent="0.3">
      <c r="A137" s="3">
        <f t="shared" si="0"/>
        <v>105113</v>
      </c>
      <c r="B137" s="3" t="s">
        <v>165</v>
      </c>
      <c r="C137" s="3" t="s">
        <v>291</v>
      </c>
      <c r="D137" s="3" t="str">
        <f t="shared" si="6"/>
        <v>c051_presona_14_Name</v>
      </c>
      <c r="E137" s="3">
        <v>10000051</v>
      </c>
      <c r="F137" s="3">
        <v>13</v>
      </c>
      <c r="G137" s="3" t="s">
        <v>335</v>
      </c>
      <c r="H137" s="2">
        <v>1</v>
      </c>
    </row>
    <row r="138" spans="1:8" x14ac:dyDescent="0.3">
      <c r="A138" s="3">
        <f t="shared" si="0"/>
        <v>105114</v>
      </c>
      <c r="B138" s="3" t="s">
        <v>165</v>
      </c>
      <c r="C138" s="3" t="s">
        <v>291</v>
      </c>
      <c r="D138" s="3" t="str">
        <f t="shared" si="6"/>
        <v>c051_presona_15_Name</v>
      </c>
      <c r="E138" s="3">
        <v>10000051</v>
      </c>
      <c r="F138" s="3">
        <v>14</v>
      </c>
      <c r="G138" s="3" t="s">
        <v>335</v>
      </c>
      <c r="H138" s="2">
        <v>1</v>
      </c>
    </row>
    <row r="139" spans="1:8" x14ac:dyDescent="0.3">
      <c r="A139" s="3">
        <f t="shared" si="0"/>
        <v>136400</v>
      </c>
      <c r="B139" s="3" t="s">
        <v>166</v>
      </c>
      <c r="C139" s="3" t="s">
        <v>292</v>
      </c>
      <c r="D139" s="3" t="str">
        <f t="shared" si="6"/>
        <v>c364_presona_01_Name</v>
      </c>
      <c r="E139" s="3">
        <v>10000364</v>
      </c>
      <c r="F139" s="3">
        <v>0</v>
      </c>
      <c r="G139" s="3" t="s">
        <v>335</v>
      </c>
      <c r="H139" s="2">
        <v>1</v>
      </c>
    </row>
    <row r="140" spans="1:8" x14ac:dyDescent="0.3">
      <c r="A140" s="3">
        <f t="shared" si="0"/>
        <v>136401</v>
      </c>
      <c r="B140" s="3" t="s">
        <v>166</v>
      </c>
      <c r="C140" s="3" t="s">
        <v>292</v>
      </c>
      <c r="D140" s="3" t="str">
        <f t="shared" si="6"/>
        <v>c364_presona_02_Name</v>
      </c>
      <c r="E140" s="3">
        <v>10000364</v>
      </c>
      <c r="F140" s="3">
        <v>1</v>
      </c>
      <c r="G140" s="3" t="s">
        <v>335</v>
      </c>
      <c r="H140" s="2">
        <v>1</v>
      </c>
    </row>
    <row r="141" spans="1:8" x14ac:dyDescent="0.3">
      <c r="A141" s="3">
        <f t="shared" si="0"/>
        <v>136402</v>
      </c>
      <c r="B141" s="3" t="s">
        <v>166</v>
      </c>
      <c r="C141" s="3" t="s">
        <v>292</v>
      </c>
      <c r="D141" s="3" t="str">
        <f t="shared" si="6"/>
        <v>c364_presona_03_Name</v>
      </c>
      <c r="E141" s="3">
        <v>10000364</v>
      </c>
      <c r="F141" s="3">
        <v>2</v>
      </c>
      <c r="G141" s="3" t="s">
        <v>335</v>
      </c>
      <c r="H141" s="2">
        <v>1</v>
      </c>
    </row>
    <row r="142" spans="1:8" x14ac:dyDescent="0.3">
      <c r="A142" s="3">
        <f t="shared" si="0"/>
        <v>136403</v>
      </c>
      <c r="B142" s="3" t="s">
        <v>166</v>
      </c>
      <c r="C142" s="3" t="s">
        <v>292</v>
      </c>
      <c r="D142" s="3" t="str">
        <f t="shared" si="6"/>
        <v>c364_presona_04_Name</v>
      </c>
      <c r="E142" s="3">
        <v>10000364</v>
      </c>
      <c r="F142" s="3">
        <v>3</v>
      </c>
      <c r="G142" s="3" t="s">
        <v>335</v>
      </c>
      <c r="H142" s="2">
        <v>1</v>
      </c>
    </row>
    <row r="143" spans="1:8" x14ac:dyDescent="0.3">
      <c r="A143" s="3">
        <f t="shared" si="0"/>
        <v>136404</v>
      </c>
      <c r="B143" s="3" t="s">
        <v>166</v>
      </c>
      <c r="C143" s="3" t="s">
        <v>292</v>
      </c>
      <c r="D143" s="3" t="str">
        <f t="shared" si="6"/>
        <v>c364_presona_05_Name</v>
      </c>
      <c r="E143" s="3">
        <v>10000364</v>
      </c>
      <c r="F143" s="3">
        <v>4</v>
      </c>
      <c r="G143" s="3" t="s">
        <v>335</v>
      </c>
      <c r="H143" s="2">
        <v>1</v>
      </c>
    </row>
    <row r="144" spans="1:8" x14ac:dyDescent="0.3">
      <c r="A144" s="3">
        <f t="shared" si="0"/>
        <v>136405</v>
      </c>
      <c r="B144" s="3" t="s">
        <v>166</v>
      </c>
      <c r="C144" s="3" t="s">
        <v>292</v>
      </c>
      <c r="D144" s="3" t="str">
        <f t="shared" si="6"/>
        <v>c364_presona_06_Name</v>
      </c>
      <c r="E144" s="3">
        <v>10000364</v>
      </c>
      <c r="F144" s="3">
        <v>5</v>
      </c>
      <c r="G144" s="3" t="s">
        <v>335</v>
      </c>
      <c r="H144" s="2">
        <v>1</v>
      </c>
    </row>
    <row r="145" spans="1:8" x14ac:dyDescent="0.3">
      <c r="A145" s="3">
        <f t="shared" si="0"/>
        <v>136406</v>
      </c>
      <c r="B145" s="3" t="s">
        <v>166</v>
      </c>
      <c r="C145" s="3" t="s">
        <v>292</v>
      </c>
      <c r="D145" s="3" t="str">
        <f t="shared" si="6"/>
        <v>c364_presona_07_Name</v>
      </c>
      <c r="E145" s="3">
        <v>10000364</v>
      </c>
      <c r="F145" s="3">
        <v>6</v>
      </c>
      <c r="G145" s="3" t="s">
        <v>335</v>
      </c>
      <c r="H145" s="2">
        <v>1</v>
      </c>
    </row>
    <row r="146" spans="1:8" x14ac:dyDescent="0.3">
      <c r="A146" s="3">
        <f t="shared" si="0"/>
        <v>136407</v>
      </c>
      <c r="B146" s="3" t="s">
        <v>166</v>
      </c>
      <c r="C146" s="3" t="s">
        <v>292</v>
      </c>
      <c r="D146" s="3" t="str">
        <f t="shared" si="6"/>
        <v>c364_presona_08_Name</v>
      </c>
      <c r="E146" s="3">
        <v>10000364</v>
      </c>
      <c r="F146" s="3">
        <v>7</v>
      </c>
      <c r="G146" s="3" t="s">
        <v>335</v>
      </c>
      <c r="H146" s="2">
        <v>1</v>
      </c>
    </row>
    <row r="147" spans="1:8" x14ac:dyDescent="0.3">
      <c r="A147" s="3">
        <f t="shared" si="0"/>
        <v>136408</v>
      </c>
      <c r="B147" s="3" t="s">
        <v>166</v>
      </c>
      <c r="C147" s="3" t="s">
        <v>292</v>
      </c>
      <c r="D147" s="3" t="str">
        <f t="shared" si="6"/>
        <v>c364_presona_09_Name</v>
      </c>
      <c r="E147" s="3">
        <v>10000364</v>
      </c>
      <c r="F147" s="3">
        <v>8</v>
      </c>
      <c r="G147" s="3" t="s">
        <v>335</v>
      </c>
      <c r="H147" s="2">
        <v>1</v>
      </c>
    </row>
    <row r="148" spans="1:8" x14ac:dyDescent="0.3">
      <c r="A148" s="3">
        <f t="shared" si="0"/>
        <v>136409</v>
      </c>
      <c r="B148" s="3" t="s">
        <v>166</v>
      </c>
      <c r="C148" s="3" t="s">
        <v>292</v>
      </c>
      <c r="D148" s="3" t="str">
        <f t="shared" ref="D148:D211" si="8">C148&amp;"_presona_"&amp;TEXT(F148+1, "00")&amp;"_Name"</f>
        <v>c364_presona_10_Name</v>
      </c>
      <c r="E148" s="3">
        <v>10000364</v>
      </c>
      <c r="F148" s="3">
        <v>9</v>
      </c>
      <c r="G148" s="3" t="s">
        <v>335</v>
      </c>
      <c r="H148" s="2">
        <v>1</v>
      </c>
    </row>
    <row r="149" spans="1:8" x14ac:dyDescent="0.3">
      <c r="A149" s="3">
        <f t="shared" si="0"/>
        <v>136410</v>
      </c>
      <c r="B149" s="3" t="s">
        <v>166</v>
      </c>
      <c r="C149" s="3" t="s">
        <v>292</v>
      </c>
      <c r="D149" s="3" t="str">
        <f t="shared" si="8"/>
        <v>c364_presona_11_Name</v>
      </c>
      <c r="E149" s="3">
        <v>10000364</v>
      </c>
      <c r="F149" s="3">
        <v>10</v>
      </c>
      <c r="G149" s="3" t="s">
        <v>335</v>
      </c>
      <c r="H149" s="2">
        <v>1</v>
      </c>
    </row>
    <row r="150" spans="1:8" x14ac:dyDescent="0.3">
      <c r="A150" s="3">
        <f t="shared" si="0"/>
        <v>136411</v>
      </c>
      <c r="B150" s="3" t="s">
        <v>166</v>
      </c>
      <c r="C150" s="3" t="s">
        <v>292</v>
      </c>
      <c r="D150" s="3" t="str">
        <f t="shared" si="8"/>
        <v>c364_presona_12_Name</v>
      </c>
      <c r="E150" s="3">
        <v>10000364</v>
      </c>
      <c r="F150" s="3">
        <v>11</v>
      </c>
      <c r="G150" s="3" t="s">
        <v>335</v>
      </c>
      <c r="H150" s="2">
        <v>1</v>
      </c>
    </row>
    <row r="151" spans="1:8" x14ac:dyDescent="0.3">
      <c r="A151" s="3">
        <f t="shared" si="0"/>
        <v>136412</v>
      </c>
      <c r="B151" s="3" t="s">
        <v>166</v>
      </c>
      <c r="C151" s="3" t="s">
        <v>292</v>
      </c>
      <c r="D151" s="3" t="str">
        <f t="shared" si="8"/>
        <v>c364_presona_13_Name</v>
      </c>
      <c r="E151" s="3">
        <v>10000364</v>
      </c>
      <c r="F151" s="3">
        <v>12</v>
      </c>
      <c r="G151" s="3" t="s">
        <v>335</v>
      </c>
      <c r="H151" s="2">
        <v>1</v>
      </c>
    </row>
    <row r="152" spans="1:8" x14ac:dyDescent="0.3">
      <c r="A152" s="3">
        <f t="shared" si="0"/>
        <v>136413</v>
      </c>
      <c r="B152" s="3" t="s">
        <v>166</v>
      </c>
      <c r="C152" s="3" t="s">
        <v>292</v>
      </c>
      <c r="D152" s="3" t="str">
        <f t="shared" si="8"/>
        <v>c364_presona_14_Name</v>
      </c>
      <c r="E152" s="3">
        <v>10000364</v>
      </c>
      <c r="F152" s="3">
        <v>13</v>
      </c>
      <c r="G152" s="3" t="s">
        <v>335</v>
      </c>
      <c r="H152" s="2">
        <v>1</v>
      </c>
    </row>
    <row r="153" spans="1:8" x14ac:dyDescent="0.3">
      <c r="A153" s="3">
        <f t="shared" si="0"/>
        <v>136414</v>
      </c>
      <c r="B153" s="3" t="s">
        <v>166</v>
      </c>
      <c r="C153" s="3" t="s">
        <v>292</v>
      </c>
      <c r="D153" s="3" t="str">
        <f t="shared" si="8"/>
        <v>c364_presona_15_Name</v>
      </c>
      <c r="E153" s="3">
        <v>10000364</v>
      </c>
      <c r="F153" s="3">
        <v>14</v>
      </c>
      <c r="G153" s="3" t="s">
        <v>335</v>
      </c>
      <c r="H153" s="2">
        <v>1</v>
      </c>
    </row>
    <row r="154" spans="1:8" x14ac:dyDescent="0.3">
      <c r="A154" s="3">
        <f t="shared" si="0"/>
        <v>100200</v>
      </c>
      <c r="B154" s="3" t="s">
        <v>167</v>
      </c>
      <c r="C154" s="3" t="s">
        <v>293</v>
      </c>
      <c r="D154" s="3" t="str">
        <f t="shared" si="8"/>
        <v>c002_presona_01_Name</v>
      </c>
      <c r="E154" s="3">
        <v>10000002</v>
      </c>
      <c r="F154" s="3">
        <v>0</v>
      </c>
      <c r="G154" s="3" t="s">
        <v>335</v>
      </c>
      <c r="H154" s="2">
        <v>1</v>
      </c>
    </row>
    <row r="155" spans="1:8" x14ac:dyDescent="0.3">
      <c r="A155" s="3">
        <f t="shared" si="0"/>
        <v>100201</v>
      </c>
      <c r="B155" s="3" t="s">
        <v>167</v>
      </c>
      <c r="C155" s="3" t="s">
        <v>293</v>
      </c>
      <c r="D155" s="3" t="str">
        <f t="shared" si="8"/>
        <v>c002_presona_02_Name</v>
      </c>
      <c r="E155" s="3">
        <v>10000002</v>
      </c>
      <c r="F155" s="3">
        <v>1</v>
      </c>
      <c r="G155" s="3" t="s">
        <v>335</v>
      </c>
      <c r="H155" s="2">
        <v>1</v>
      </c>
    </row>
    <row r="156" spans="1:8" x14ac:dyDescent="0.3">
      <c r="A156" s="3">
        <f t="shared" si="0"/>
        <v>100202</v>
      </c>
      <c r="B156" s="3" t="s">
        <v>167</v>
      </c>
      <c r="C156" s="3" t="s">
        <v>293</v>
      </c>
      <c r="D156" s="3" t="str">
        <f t="shared" si="8"/>
        <v>c002_presona_03_Name</v>
      </c>
      <c r="E156" s="3">
        <v>10000002</v>
      </c>
      <c r="F156" s="3">
        <v>2</v>
      </c>
      <c r="G156" s="3" t="s">
        <v>335</v>
      </c>
      <c r="H156" s="2">
        <v>1</v>
      </c>
    </row>
    <row r="157" spans="1:8" x14ac:dyDescent="0.3">
      <c r="A157" s="3">
        <f t="shared" si="0"/>
        <v>100203</v>
      </c>
      <c r="B157" s="3" t="s">
        <v>167</v>
      </c>
      <c r="C157" s="3" t="s">
        <v>293</v>
      </c>
      <c r="D157" s="3" t="str">
        <f t="shared" si="8"/>
        <v>c002_presona_04_Name</v>
      </c>
      <c r="E157" s="3">
        <v>10000002</v>
      </c>
      <c r="F157" s="3">
        <v>3</v>
      </c>
      <c r="G157" s="3" t="s">
        <v>335</v>
      </c>
      <c r="H157" s="2">
        <v>1</v>
      </c>
    </row>
    <row r="158" spans="1:8" x14ac:dyDescent="0.3">
      <c r="A158" s="3">
        <f t="shared" si="0"/>
        <v>100204</v>
      </c>
      <c r="B158" s="3" t="s">
        <v>167</v>
      </c>
      <c r="C158" s="3" t="s">
        <v>293</v>
      </c>
      <c r="D158" s="3" t="str">
        <f t="shared" si="8"/>
        <v>c002_presona_05_Name</v>
      </c>
      <c r="E158" s="3">
        <v>10000002</v>
      </c>
      <c r="F158" s="3">
        <v>4</v>
      </c>
      <c r="G158" s="3" t="s">
        <v>335</v>
      </c>
      <c r="H158" s="2">
        <v>1</v>
      </c>
    </row>
    <row r="159" spans="1:8" x14ac:dyDescent="0.3">
      <c r="A159" s="3">
        <f t="shared" si="0"/>
        <v>100205</v>
      </c>
      <c r="B159" s="3" t="s">
        <v>167</v>
      </c>
      <c r="C159" s="3" t="s">
        <v>293</v>
      </c>
      <c r="D159" s="3" t="str">
        <f t="shared" si="8"/>
        <v>c002_presona_06_Name</v>
      </c>
      <c r="E159" s="3">
        <v>10000002</v>
      </c>
      <c r="F159" s="3">
        <v>5</v>
      </c>
      <c r="G159" s="3" t="s">
        <v>335</v>
      </c>
      <c r="H159" s="2">
        <v>1</v>
      </c>
    </row>
    <row r="160" spans="1:8" x14ac:dyDescent="0.3">
      <c r="A160" s="3">
        <f t="shared" si="0"/>
        <v>100206</v>
      </c>
      <c r="B160" s="3" t="s">
        <v>167</v>
      </c>
      <c r="C160" s="3" t="s">
        <v>293</v>
      </c>
      <c r="D160" s="3" t="str">
        <f t="shared" si="8"/>
        <v>c002_presona_07_Name</v>
      </c>
      <c r="E160" s="3">
        <v>10000002</v>
      </c>
      <c r="F160" s="3">
        <v>6</v>
      </c>
      <c r="G160" s="3" t="s">
        <v>335</v>
      </c>
      <c r="H160" s="2">
        <v>1</v>
      </c>
    </row>
    <row r="161" spans="1:8" x14ac:dyDescent="0.3">
      <c r="A161" s="3">
        <f t="shared" si="0"/>
        <v>100207</v>
      </c>
      <c r="B161" s="3" t="s">
        <v>167</v>
      </c>
      <c r="C161" s="3" t="s">
        <v>293</v>
      </c>
      <c r="D161" s="3" t="str">
        <f t="shared" si="8"/>
        <v>c002_presona_08_Name</v>
      </c>
      <c r="E161" s="3">
        <v>10000002</v>
      </c>
      <c r="F161" s="3">
        <v>7</v>
      </c>
      <c r="G161" s="3" t="s">
        <v>335</v>
      </c>
      <c r="H161" s="2">
        <v>1</v>
      </c>
    </row>
    <row r="162" spans="1:8" x14ac:dyDescent="0.3">
      <c r="A162" s="3">
        <f t="shared" si="0"/>
        <v>100208</v>
      </c>
      <c r="B162" s="3" t="s">
        <v>167</v>
      </c>
      <c r="C162" s="3" t="s">
        <v>293</v>
      </c>
      <c r="D162" s="3" t="str">
        <f t="shared" si="8"/>
        <v>c002_presona_09_Name</v>
      </c>
      <c r="E162" s="3">
        <v>10000002</v>
      </c>
      <c r="F162" s="3">
        <v>8</v>
      </c>
      <c r="G162" s="3" t="s">
        <v>335</v>
      </c>
      <c r="H162" s="2">
        <v>1</v>
      </c>
    </row>
    <row r="163" spans="1:8" x14ac:dyDescent="0.3">
      <c r="A163" s="3">
        <f t="shared" si="0"/>
        <v>100209</v>
      </c>
      <c r="B163" s="3" t="s">
        <v>167</v>
      </c>
      <c r="C163" s="3" t="s">
        <v>293</v>
      </c>
      <c r="D163" s="3" t="str">
        <f t="shared" si="8"/>
        <v>c002_presona_10_Name</v>
      </c>
      <c r="E163" s="3">
        <v>10000002</v>
      </c>
      <c r="F163" s="3">
        <v>9</v>
      </c>
      <c r="G163" s="3" t="s">
        <v>335</v>
      </c>
      <c r="H163" s="2">
        <v>1</v>
      </c>
    </row>
    <row r="164" spans="1:8" x14ac:dyDescent="0.3">
      <c r="A164" s="3">
        <f t="shared" si="0"/>
        <v>100210</v>
      </c>
      <c r="B164" s="3" t="s">
        <v>167</v>
      </c>
      <c r="C164" s="3" t="s">
        <v>293</v>
      </c>
      <c r="D164" s="3" t="str">
        <f t="shared" si="8"/>
        <v>c002_presona_11_Name</v>
      </c>
      <c r="E164" s="3">
        <v>10000002</v>
      </c>
      <c r="F164" s="3">
        <v>10</v>
      </c>
      <c r="G164" s="3" t="s">
        <v>335</v>
      </c>
      <c r="H164" s="2">
        <v>1</v>
      </c>
    </row>
    <row r="165" spans="1:8" x14ac:dyDescent="0.3">
      <c r="A165" s="3">
        <f t="shared" si="0"/>
        <v>100211</v>
      </c>
      <c r="B165" s="3" t="s">
        <v>167</v>
      </c>
      <c r="C165" s="3" t="s">
        <v>293</v>
      </c>
      <c r="D165" s="3" t="str">
        <f t="shared" si="8"/>
        <v>c002_presona_12_Name</v>
      </c>
      <c r="E165" s="3">
        <v>10000002</v>
      </c>
      <c r="F165" s="3">
        <v>11</v>
      </c>
      <c r="G165" s="3" t="s">
        <v>335</v>
      </c>
      <c r="H165" s="2">
        <v>1</v>
      </c>
    </row>
    <row r="166" spans="1:8" x14ac:dyDescent="0.3">
      <c r="A166" s="3">
        <f t="shared" si="0"/>
        <v>100212</v>
      </c>
      <c r="B166" s="3" t="s">
        <v>167</v>
      </c>
      <c r="C166" s="3" t="s">
        <v>293</v>
      </c>
      <c r="D166" s="3" t="str">
        <f t="shared" si="8"/>
        <v>c002_presona_13_Name</v>
      </c>
      <c r="E166" s="3">
        <v>10000002</v>
      </c>
      <c r="F166" s="3">
        <v>12</v>
      </c>
      <c r="G166" s="3" t="s">
        <v>335</v>
      </c>
      <c r="H166" s="2">
        <v>1</v>
      </c>
    </row>
    <row r="167" spans="1:8" x14ac:dyDescent="0.3">
      <c r="A167" s="3">
        <f t="shared" si="0"/>
        <v>100213</v>
      </c>
      <c r="B167" s="3" t="s">
        <v>167</v>
      </c>
      <c r="C167" s="3" t="s">
        <v>293</v>
      </c>
      <c r="D167" s="3" t="str">
        <f t="shared" si="8"/>
        <v>c002_presona_14_Name</v>
      </c>
      <c r="E167" s="3">
        <v>10000002</v>
      </c>
      <c r="F167" s="3">
        <v>13</v>
      </c>
      <c r="G167" s="3" t="s">
        <v>335</v>
      </c>
      <c r="H167" s="2">
        <v>1</v>
      </c>
    </row>
    <row r="168" spans="1:8" x14ac:dyDescent="0.3">
      <c r="A168" s="3">
        <f t="shared" si="0"/>
        <v>100214</v>
      </c>
      <c r="B168" s="3" t="s">
        <v>167</v>
      </c>
      <c r="C168" s="3" t="s">
        <v>293</v>
      </c>
      <c r="D168" s="3" t="str">
        <f t="shared" si="8"/>
        <v>c002_presona_15_Name</v>
      </c>
      <c r="E168" s="3">
        <v>10000002</v>
      </c>
      <c r="F168" s="3">
        <v>14</v>
      </c>
      <c r="G168" s="3" t="s">
        <v>335</v>
      </c>
      <c r="H168" s="2">
        <v>1</v>
      </c>
    </row>
    <row r="169" spans="1:8" x14ac:dyDescent="0.3">
      <c r="A169" s="3">
        <f t="shared" si="0"/>
        <v>141700</v>
      </c>
      <c r="B169" s="3" t="s">
        <v>168</v>
      </c>
      <c r="C169" s="3" t="s">
        <v>294</v>
      </c>
      <c r="D169" s="3" t="str">
        <f t="shared" si="8"/>
        <v>c417_presona_01_Name</v>
      </c>
      <c r="E169" s="3">
        <v>10000417</v>
      </c>
      <c r="F169" s="3">
        <v>0</v>
      </c>
      <c r="G169" s="3" t="str">
        <f t="shared" ref="G169:G183" si="9">C169&amp;"_persona_"&amp;TEXT(F169+1, "00")</f>
        <v>c417_persona_01</v>
      </c>
      <c r="H169" s="2">
        <v>1</v>
      </c>
    </row>
    <row r="170" spans="1:8" x14ac:dyDescent="0.3">
      <c r="A170" s="3">
        <f t="shared" si="0"/>
        <v>141701</v>
      </c>
      <c r="B170" s="3" t="s">
        <v>168</v>
      </c>
      <c r="C170" s="3" t="s">
        <v>294</v>
      </c>
      <c r="D170" s="3" t="str">
        <f t="shared" si="8"/>
        <v>c417_presona_02_Name</v>
      </c>
      <c r="E170" s="3">
        <v>10000417</v>
      </c>
      <c r="F170" s="3">
        <v>1</v>
      </c>
      <c r="G170" s="3" t="str">
        <f t="shared" si="9"/>
        <v>c417_persona_02</v>
      </c>
      <c r="H170" s="2">
        <v>1</v>
      </c>
    </row>
    <row r="171" spans="1:8" x14ac:dyDescent="0.3">
      <c r="A171" s="3">
        <f t="shared" si="0"/>
        <v>141702</v>
      </c>
      <c r="B171" s="3" t="s">
        <v>168</v>
      </c>
      <c r="C171" s="3" t="s">
        <v>294</v>
      </c>
      <c r="D171" s="3" t="str">
        <f t="shared" si="8"/>
        <v>c417_presona_03_Name</v>
      </c>
      <c r="E171" s="3">
        <v>10000417</v>
      </c>
      <c r="F171" s="3">
        <v>2</v>
      </c>
      <c r="G171" s="3" t="str">
        <f t="shared" si="9"/>
        <v>c417_persona_03</v>
      </c>
      <c r="H171" s="2">
        <v>1</v>
      </c>
    </row>
    <row r="172" spans="1:8" x14ac:dyDescent="0.3">
      <c r="A172" s="3">
        <f t="shared" si="0"/>
        <v>141703</v>
      </c>
      <c r="B172" s="3" t="s">
        <v>168</v>
      </c>
      <c r="C172" s="3" t="s">
        <v>294</v>
      </c>
      <c r="D172" s="3" t="str">
        <f t="shared" si="8"/>
        <v>c417_presona_04_Name</v>
      </c>
      <c r="E172" s="3">
        <v>10000417</v>
      </c>
      <c r="F172" s="3">
        <v>3</v>
      </c>
      <c r="G172" s="3" t="str">
        <f t="shared" si="9"/>
        <v>c417_persona_04</v>
      </c>
      <c r="H172" s="2">
        <v>1</v>
      </c>
    </row>
    <row r="173" spans="1:8" x14ac:dyDescent="0.3">
      <c r="A173" s="3">
        <f t="shared" si="0"/>
        <v>141704</v>
      </c>
      <c r="B173" s="3" t="s">
        <v>168</v>
      </c>
      <c r="C173" s="3" t="s">
        <v>294</v>
      </c>
      <c r="D173" s="3" t="str">
        <f t="shared" si="8"/>
        <v>c417_presona_05_Name</v>
      </c>
      <c r="E173" s="3">
        <v>10000417</v>
      </c>
      <c r="F173" s="3">
        <v>4</v>
      </c>
      <c r="G173" s="3" t="str">
        <f t="shared" si="9"/>
        <v>c417_persona_05</v>
      </c>
      <c r="H173" s="2">
        <v>1</v>
      </c>
    </row>
    <row r="174" spans="1:8" x14ac:dyDescent="0.3">
      <c r="A174" s="3">
        <f t="shared" si="0"/>
        <v>141705</v>
      </c>
      <c r="B174" s="3" t="s">
        <v>168</v>
      </c>
      <c r="C174" s="3" t="s">
        <v>294</v>
      </c>
      <c r="D174" s="3" t="str">
        <f t="shared" si="8"/>
        <v>c417_presona_06_Name</v>
      </c>
      <c r="E174" s="3">
        <v>10000417</v>
      </c>
      <c r="F174" s="3">
        <v>5</v>
      </c>
      <c r="G174" s="3" t="str">
        <f t="shared" si="9"/>
        <v>c417_persona_06</v>
      </c>
      <c r="H174" s="2">
        <v>1</v>
      </c>
    </row>
    <row r="175" spans="1:8" x14ac:dyDescent="0.3">
      <c r="A175" s="3">
        <f t="shared" si="0"/>
        <v>141706</v>
      </c>
      <c r="B175" s="3" t="s">
        <v>168</v>
      </c>
      <c r="C175" s="3" t="s">
        <v>294</v>
      </c>
      <c r="D175" s="3" t="str">
        <f t="shared" si="8"/>
        <v>c417_presona_07_Name</v>
      </c>
      <c r="E175" s="3">
        <v>10000417</v>
      </c>
      <c r="F175" s="3">
        <v>6</v>
      </c>
      <c r="G175" s="3" t="str">
        <f t="shared" si="9"/>
        <v>c417_persona_07</v>
      </c>
      <c r="H175" s="2">
        <v>1</v>
      </c>
    </row>
    <row r="176" spans="1:8" x14ac:dyDescent="0.3">
      <c r="A176" s="3">
        <f t="shared" si="0"/>
        <v>141707</v>
      </c>
      <c r="B176" s="3" t="s">
        <v>168</v>
      </c>
      <c r="C176" s="3" t="s">
        <v>294</v>
      </c>
      <c r="D176" s="3" t="str">
        <f t="shared" si="8"/>
        <v>c417_presona_08_Name</v>
      </c>
      <c r="E176" s="3">
        <v>10000417</v>
      </c>
      <c r="F176" s="3">
        <v>7</v>
      </c>
      <c r="G176" s="3" t="str">
        <f t="shared" si="9"/>
        <v>c417_persona_08</v>
      </c>
      <c r="H176" s="2">
        <v>1</v>
      </c>
    </row>
    <row r="177" spans="1:8" x14ac:dyDescent="0.3">
      <c r="A177" s="3">
        <f t="shared" si="0"/>
        <v>141708</v>
      </c>
      <c r="B177" s="3" t="s">
        <v>168</v>
      </c>
      <c r="C177" s="3" t="s">
        <v>294</v>
      </c>
      <c r="D177" s="3" t="str">
        <f t="shared" si="8"/>
        <v>c417_presona_09_Name</v>
      </c>
      <c r="E177" s="3">
        <v>10000417</v>
      </c>
      <c r="F177" s="3">
        <v>8</v>
      </c>
      <c r="G177" s="3" t="str">
        <f t="shared" si="9"/>
        <v>c417_persona_09</v>
      </c>
      <c r="H177" s="2">
        <v>1</v>
      </c>
    </row>
    <row r="178" spans="1:8" x14ac:dyDescent="0.3">
      <c r="A178" s="3">
        <f t="shared" si="0"/>
        <v>141709</v>
      </c>
      <c r="B178" s="3" t="s">
        <v>168</v>
      </c>
      <c r="C178" s="3" t="s">
        <v>294</v>
      </c>
      <c r="D178" s="3" t="str">
        <f t="shared" si="8"/>
        <v>c417_presona_10_Name</v>
      </c>
      <c r="E178" s="3">
        <v>10000417</v>
      </c>
      <c r="F178" s="3">
        <v>9</v>
      </c>
      <c r="G178" s="3" t="str">
        <f t="shared" si="9"/>
        <v>c417_persona_10</v>
      </c>
      <c r="H178" s="2">
        <v>1</v>
      </c>
    </row>
    <row r="179" spans="1:8" x14ac:dyDescent="0.3">
      <c r="A179" s="3">
        <f t="shared" si="0"/>
        <v>141710</v>
      </c>
      <c r="B179" s="3" t="s">
        <v>168</v>
      </c>
      <c r="C179" s="3" t="s">
        <v>294</v>
      </c>
      <c r="D179" s="3" t="str">
        <f t="shared" si="8"/>
        <v>c417_presona_11_Name</v>
      </c>
      <c r="E179" s="3">
        <v>10000417</v>
      </c>
      <c r="F179" s="3">
        <v>10</v>
      </c>
      <c r="G179" s="3" t="str">
        <f t="shared" si="9"/>
        <v>c417_persona_11</v>
      </c>
      <c r="H179" s="2">
        <v>1</v>
      </c>
    </row>
    <row r="180" spans="1:8" x14ac:dyDescent="0.3">
      <c r="A180" s="3">
        <f t="shared" si="0"/>
        <v>141711</v>
      </c>
      <c r="B180" s="3" t="s">
        <v>168</v>
      </c>
      <c r="C180" s="3" t="s">
        <v>294</v>
      </c>
      <c r="D180" s="3" t="str">
        <f t="shared" si="8"/>
        <v>c417_presona_12_Name</v>
      </c>
      <c r="E180" s="3">
        <v>10000417</v>
      </c>
      <c r="F180" s="3">
        <v>11</v>
      </c>
      <c r="G180" s="3" t="str">
        <f t="shared" si="9"/>
        <v>c417_persona_12</v>
      </c>
      <c r="H180" s="2">
        <v>1</v>
      </c>
    </row>
    <row r="181" spans="1:8" x14ac:dyDescent="0.3">
      <c r="A181" s="3">
        <f t="shared" si="0"/>
        <v>141712</v>
      </c>
      <c r="B181" s="3" t="s">
        <v>168</v>
      </c>
      <c r="C181" s="3" t="s">
        <v>294</v>
      </c>
      <c r="D181" s="3" t="str">
        <f t="shared" si="8"/>
        <v>c417_presona_13_Name</v>
      </c>
      <c r="E181" s="3">
        <v>10000417</v>
      </c>
      <c r="F181" s="3">
        <v>12</v>
      </c>
      <c r="G181" s="3" t="str">
        <f t="shared" si="9"/>
        <v>c417_persona_13</v>
      </c>
      <c r="H181" s="2">
        <v>1</v>
      </c>
    </row>
    <row r="182" spans="1:8" x14ac:dyDescent="0.3">
      <c r="A182" s="3">
        <f t="shared" si="0"/>
        <v>141713</v>
      </c>
      <c r="B182" s="3" t="s">
        <v>168</v>
      </c>
      <c r="C182" s="3" t="s">
        <v>294</v>
      </c>
      <c r="D182" s="3" t="str">
        <f t="shared" si="8"/>
        <v>c417_presona_14_Name</v>
      </c>
      <c r="E182" s="3">
        <v>10000417</v>
      </c>
      <c r="F182" s="3">
        <v>13</v>
      </c>
      <c r="G182" s="3" t="str">
        <f t="shared" si="9"/>
        <v>c417_persona_14</v>
      </c>
      <c r="H182" s="2">
        <v>1</v>
      </c>
    </row>
    <row r="183" spans="1:8" x14ac:dyDescent="0.3">
      <c r="A183" s="3">
        <f t="shared" si="0"/>
        <v>141714</v>
      </c>
      <c r="B183" s="3" t="s">
        <v>168</v>
      </c>
      <c r="C183" s="3" t="s">
        <v>294</v>
      </c>
      <c r="D183" s="3" t="str">
        <f t="shared" si="8"/>
        <v>c417_presona_15_Name</v>
      </c>
      <c r="E183" s="3">
        <v>10000417</v>
      </c>
      <c r="F183" s="3">
        <v>14</v>
      </c>
      <c r="G183" s="3" t="str">
        <f t="shared" si="9"/>
        <v>c417_persona_15</v>
      </c>
      <c r="H183" s="2">
        <v>1</v>
      </c>
    </row>
    <row r="184" spans="1:8" x14ac:dyDescent="0.3">
      <c r="A184" s="3">
        <f t="shared" si="0"/>
        <v>143200</v>
      </c>
      <c r="B184" s="3" t="s">
        <v>71</v>
      </c>
      <c r="C184" s="3" t="s">
        <v>295</v>
      </c>
      <c r="D184" s="3" t="str">
        <f t="shared" si="8"/>
        <v>c432_presona_01_Name</v>
      </c>
      <c r="E184" s="3">
        <v>10000432</v>
      </c>
      <c r="F184" s="3">
        <v>0</v>
      </c>
      <c r="G184" s="3" t="s">
        <v>335</v>
      </c>
      <c r="H184" s="2">
        <v>1</v>
      </c>
    </row>
    <row r="185" spans="1:8" x14ac:dyDescent="0.3">
      <c r="A185" s="3">
        <f t="shared" si="0"/>
        <v>143201</v>
      </c>
      <c r="B185" s="3" t="s">
        <v>71</v>
      </c>
      <c r="C185" s="3" t="s">
        <v>295</v>
      </c>
      <c r="D185" s="3" t="str">
        <f t="shared" si="8"/>
        <v>c432_presona_02_Name</v>
      </c>
      <c r="E185" s="3">
        <v>10000432</v>
      </c>
      <c r="F185" s="3">
        <v>1</v>
      </c>
      <c r="G185" s="3" t="s">
        <v>335</v>
      </c>
      <c r="H185" s="2">
        <v>1</v>
      </c>
    </row>
    <row r="186" spans="1:8" x14ac:dyDescent="0.3">
      <c r="A186" s="3">
        <f t="shared" si="0"/>
        <v>143202</v>
      </c>
      <c r="B186" s="3" t="s">
        <v>71</v>
      </c>
      <c r="C186" s="3" t="s">
        <v>295</v>
      </c>
      <c r="D186" s="3" t="str">
        <f t="shared" si="8"/>
        <v>c432_presona_03_Name</v>
      </c>
      <c r="E186" s="3">
        <v>10000432</v>
      </c>
      <c r="F186" s="3">
        <v>2</v>
      </c>
      <c r="G186" s="3" t="s">
        <v>335</v>
      </c>
      <c r="H186" s="2">
        <v>1</v>
      </c>
    </row>
    <row r="187" spans="1:8" x14ac:dyDescent="0.3">
      <c r="A187" s="3">
        <f t="shared" si="0"/>
        <v>143203</v>
      </c>
      <c r="B187" s="3" t="s">
        <v>71</v>
      </c>
      <c r="C187" s="3" t="s">
        <v>295</v>
      </c>
      <c r="D187" s="3" t="str">
        <f t="shared" si="8"/>
        <v>c432_presona_04_Name</v>
      </c>
      <c r="E187" s="3">
        <v>10000432</v>
      </c>
      <c r="F187" s="3">
        <v>3</v>
      </c>
      <c r="G187" s="3" t="s">
        <v>335</v>
      </c>
      <c r="H187" s="2">
        <v>1</v>
      </c>
    </row>
    <row r="188" spans="1:8" x14ac:dyDescent="0.3">
      <c r="A188" s="3">
        <f t="shared" si="0"/>
        <v>143204</v>
      </c>
      <c r="B188" s="3" t="s">
        <v>71</v>
      </c>
      <c r="C188" s="3" t="s">
        <v>295</v>
      </c>
      <c r="D188" s="3" t="str">
        <f t="shared" si="8"/>
        <v>c432_presona_05_Name</v>
      </c>
      <c r="E188" s="3">
        <v>10000432</v>
      </c>
      <c r="F188" s="3">
        <v>4</v>
      </c>
      <c r="G188" s="3" t="s">
        <v>335</v>
      </c>
      <c r="H188" s="2">
        <v>1</v>
      </c>
    </row>
    <row r="189" spans="1:8" x14ac:dyDescent="0.3">
      <c r="A189" s="3">
        <f t="shared" si="0"/>
        <v>143205</v>
      </c>
      <c r="B189" s="3" t="s">
        <v>71</v>
      </c>
      <c r="C189" s="3" t="s">
        <v>295</v>
      </c>
      <c r="D189" s="3" t="str">
        <f t="shared" si="8"/>
        <v>c432_presona_06_Name</v>
      </c>
      <c r="E189" s="3">
        <v>10000432</v>
      </c>
      <c r="F189" s="3">
        <v>5</v>
      </c>
      <c r="G189" s="3" t="s">
        <v>335</v>
      </c>
      <c r="H189" s="2">
        <v>1</v>
      </c>
    </row>
    <row r="190" spans="1:8" x14ac:dyDescent="0.3">
      <c r="A190" s="3">
        <f t="shared" si="0"/>
        <v>143206</v>
      </c>
      <c r="B190" s="3" t="s">
        <v>71</v>
      </c>
      <c r="C190" s="3" t="s">
        <v>295</v>
      </c>
      <c r="D190" s="3" t="str">
        <f t="shared" si="8"/>
        <v>c432_presona_07_Name</v>
      </c>
      <c r="E190" s="3">
        <v>10000432</v>
      </c>
      <c r="F190" s="3">
        <v>6</v>
      </c>
      <c r="G190" s="3" t="s">
        <v>335</v>
      </c>
      <c r="H190" s="2">
        <v>1</v>
      </c>
    </row>
    <row r="191" spans="1:8" x14ac:dyDescent="0.3">
      <c r="A191" s="3">
        <f t="shared" si="0"/>
        <v>143207</v>
      </c>
      <c r="B191" s="3" t="s">
        <v>71</v>
      </c>
      <c r="C191" s="3" t="s">
        <v>295</v>
      </c>
      <c r="D191" s="3" t="str">
        <f t="shared" si="8"/>
        <v>c432_presona_08_Name</v>
      </c>
      <c r="E191" s="3">
        <v>10000432</v>
      </c>
      <c r="F191" s="3">
        <v>7</v>
      </c>
      <c r="G191" s="3" t="s">
        <v>335</v>
      </c>
      <c r="H191" s="2">
        <v>1</v>
      </c>
    </row>
    <row r="192" spans="1:8" x14ac:dyDescent="0.3">
      <c r="A192" s="3">
        <f t="shared" si="0"/>
        <v>143208</v>
      </c>
      <c r="B192" s="3" t="s">
        <v>71</v>
      </c>
      <c r="C192" s="3" t="s">
        <v>295</v>
      </c>
      <c r="D192" s="3" t="str">
        <f t="shared" si="8"/>
        <v>c432_presona_09_Name</v>
      </c>
      <c r="E192" s="3">
        <v>10000432</v>
      </c>
      <c r="F192" s="3">
        <v>8</v>
      </c>
      <c r="G192" s="3" t="s">
        <v>335</v>
      </c>
      <c r="H192" s="2">
        <v>1</v>
      </c>
    </row>
    <row r="193" spans="1:8" x14ac:dyDescent="0.3">
      <c r="A193" s="3">
        <f t="shared" si="0"/>
        <v>143209</v>
      </c>
      <c r="B193" s="3" t="s">
        <v>71</v>
      </c>
      <c r="C193" s="3" t="s">
        <v>295</v>
      </c>
      <c r="D193" s="3" t="str">
        <f t="shared" si="8"/>
        <v>c432_presona_10_Name</v>
      </c>
      <c r="E193" s="3">
        <v>10000432</v>
      </c>
      <c r="F193" s="3">
        <v>9</v>
      </c>
      <c r="G193" s="3" t="s">
        <v>335</v>
      </c>
      <c r="H193" s="2">
        <v>1</v>
      </c>
    </row>
    <row r="194" spans="1:8" x14ac:dyDescent="0.3">
      <c r="A194" s="3">
        <f t="shared" si="0"/>
        <v>143210</v>
      </c>
      <c r="B194" s="3" t="s">
        <v>71</v>
      </c>
      <c r="C194" s="3" t="s">
        <v>295</v>
      </c>
      <c r="D194" s="3" t="str">
        <f t="shared" si="8"/>
        <v>c432_presona_11_Name</v>
      </c>
      <c r="E194" s="3">
        <v>10000432</v>
      </c>
      <c r="F194" s="3">
        <v>10</v>
      </c>
      <c r="G194" s="3" t="s">
        <v>335</v>
      </c>
      <c r="H194" s="2">
        <v>1</v>
      </c>
    </row>
    <row r="195" spans="1:8" x14ac:dyDescent="0.3">
      <c r="A195" s="3">
        <f t="shared" si="0"/>
        <v>143211</v>
      </c>
      <c r="B195" s="3" t="s">
        <v>71</v>
      </c>
      <c r="C195" s="3" t="s">
        <v>295</v>
      </c>
      <c r="D195" s="3" t="str">
        <f t="shared" si="8"/>
        <v>c432_presona_12_Name</v>
      </c>
      <c r="E195" s="3">
        <v>10000432</v>
      </c>
      <c r="F195" s="3">
        <v>11</v>
      </c>
      <c r="G195" s="3" t="s">
        <v>335</v>
      </c>
      <c r="H195" s="2">
        <v>1</v>
      </c>
    </row>
    <row r="196" spans="1:8" x14ac:dyDescent="0.3">
      <c r="A196" s="3">
        <f t="shared" si="0"/>
        <v>143212</v>
      </c>
      <c r="B196" s="3" t="s">
        <v>71</v>
      </c>
      <c r="C196" s="3" t="s">
        <v>295</v>
      </c>
      <c r="D196" s="3" t="str">
        <f t="shared" si="8"/>
        <v>c432_presona_13_Name</v>
      </c>
      <c r="E196" s="3">
        <v>10000432</v>
      </c>
      <c r="F196" s="3">
        <v>12</v>
      </c>
      <c r="G196" s="3" t="s">
        <v>335</v>
      </c>
      <c r="H196" s="2">
        <v>1</v>
      </c>
    </row>
    <row r="197" spans="1:8" x14ac:dyDescent="0.3">
      <c r="A197" s="3">
        <f t="shared" si="0"/>
        <v>143213</v>
      </c>
      <c r="B197" s="3" t="s">
        <v>71</v>
      </c>
      <c r="C197" s="3" t="s">
        <v>295</v>
      </c>
      <c r="D197" s="3" t="str">
        <f t="shared" si="8"/>
        <v>c432_presona_14_Name</v>
      </c>
      <c r="E197" s="3">
        <v>10000432</v>
      </c>
      <c r="F197" s="3">
        <v>13</v>
      </c>
      <c r="G197" s="3" t="s">
        <v>335</v>
      </c>
      <c r="H197" s="2">
        <v>1</v>
      </c>
    </row>
    <row r="198" spans="1:8" x14ac:dyDescent="0.3">
      <c r="A198" s="3">
        <f t="shared" si="0"/>
        <v>143214</v>
      </c>
      <c r="B198" s="3" t="s">
        <v>71</v>
      </c>
      <c r="C198" s="3" t="s">
        <v>295</v>
      </c>
      <c r="D198" s="3" t="str">
        <f t="shared" si="8"/>
        <v>c432_presona_15_Name</v>
      </c>
      <c r="E198" s="3">
        <v>10000432</v>
      </c>
      <c r="F198" s="3">
        <v>14</v>
      </c>
      <c r="G198" s="3" t="s">
        <v>335</v>
      </c>
      <c r="H198" s="2">
        <v>1</v>
      </c>
    </row>
    <row r="199" spans="1:8" x14ac:dyDescent="0.3">
      <c r="A199" s="3">
        <f t="shared" si="0"/>
        <v>148600</v>
      </c>
      <c r="B199" s="3" t="s">
        <v>72</v>
      </c>
      <c r="C199" s="3" t="s">
        <v>296</v>
      </c>
      <c r="D199" s="3" t="str">
        <f t="shared" si="8"/>
        <v>c486_presona_01_Name</v>
      </c>
      <c r="E199" s="3">
        <v>10000486</v>
      </c>
      <c r="F199" s="3">
        <v>0</v>
      </c>
      <c r="G199" s="3" t="s">
        <v>335</v>
      </c>
      <c r="H199" s="2">
        <v>1</v>
      </c>
    </row>
    <row r="200" spans="1:8" x14ac:dyDescent="0.3">
      <c r="A200" s="3">
        <f t="shared" si="0"/>
        <v>148601</v>
      </c>
      <c r="B200" s="3" t="s">
        <v>72</v>
      </c>
      <c r="C200" s="3" t="s">
        <v>296</v>
      </c>
      <c r="D200" s="3" t="str">
        <f t="shared" si="8"/>
        <v>c486_presona_02_Name</v>
      </c>
      <c r="E200" s="3">
        <v>10000486</v>
      </c>
      <c r="F200" s="3">
        <v>1</v>
      </c>
      <c r="G200" s="3" t="s">
        <v>335</v>
      </c>
      <c r="H200" s="2">
        <v>1</v>
      </c>
    </row>
    <row r="201" spans="1:8" x14ac:dyDescent="0.3">
      <c r="A201" s="3">
        <f t="shared" si="0"/>
        <v>148602</v>
      </c>
      <c r="B201" s="3" t="s">
        <v>72</v>
      </c>
      <c r="C201" s="3" t="s">
        <v>296</v>
      </c>
      <c r="D201" s="3" t="str">
        <f t="shared" si="8"/>
        <v>c486_presona_03_Name</v>
      </c>
      <c r="E201" s="3">
        <v>10000486</v>
      </c>
      <c r="F201" s="3">
        <v>2</v>
      </c>
      <c r="G201" s="3" t="s">
        <v>335</v>
      </c>
      <c r="H201" s="2">
        <v>1</v>
      </c>
    </row>
    <row r="202" spans="1:8" x14ac:dyDescent="0.3">
      <c r="A202" s="3">
        <f t="shared" si="0"/>
        <v>148603</v>
      </c>
      <c r="B202" s="3" t="s">
        <v>72</v>
      </c>
      <c r="C202" s="3" t="s">
        <v>296</v>
      </c>
      <c r="D202" s="3" t="str">
        <f t="shared" si="8"/>
        <v>c486_presona_04_Name</v>
      </c>
      <c r="E202" s="3">
        <v>10000486</v>
      </c>
      <c r="F202" s="3">
        <v>3</v>
      </c>
      <c r="G202" s="3" t="s">
        <v>335</v>
      </c>
      <c r="H202" s="2">
        <v>1</v>
      </c>
    </row>
    <row r="203" spans="1:8" x14ac:dyDescent="0.3">
      <c r="A203" s="3">
        <f t="shared" si="0"/>
        <v>148604</v>
      </c>
      <c r="B203" s="3" t="s">
        <v>72</v>
      </c>
      <c r="C203" s="3" t="s">
        <v>296</v>
      </c>
      <c r="D203" s="3" t="str">
        <f t="shared" si="8"/>
        <v>c486_presona_05_Name</v>
      </c>
      <c r="E203" s="3">
        <v>10000486</v>
      </c>
      <c r="F203" s="3">
        <v>4</v>
      </c>
      <c r="G203" s="3" t="s">
        <v>335</v>
      </c>
      <c r="H203" s="2">
        <v>1</v>
      </c>
    </row>
    <row r="204" spans="1:8" x14ac:dyDescent="0.3">
      <c r="A204" s="3">
        <f t="shared" si="0"/>
        <v>148605</v>
      </c>
      <c r="B204" s="3" t="s">
        <v>72</v>
      </c>
      <c r="C204" s="3" t="s">
        <v>296</v>
      </c>
      <c r="D204" s="3" t="str">
        <f t="shared" si="8"/>
        <v>c486_presona_06_Name</v>
      </c>
      <c r="E204" s="3">
        <v>10000486</v>
      </c>
      <c r="F204" s="3">
        <v>5</v>
      </c>
      <c r="G204" s="3" t="s">
        <v>335</v>
      </c>
      <c r="H204" s="2">
        <v>1</v>
      </c>
    </row>
    <row r="205" spans="1:8" x14ac:dyDescent="0.3">
      <c r="A205" s="3">
        <f t="shared" si="0"/>
        <v>148606</v>
      </c>
      <c r="B205" s="3" t="s">
        <v>72</v>
      </c>
      <c r="C205" s="3" t="s">
        <v>296</v>
      </c>
      <c r="D205" s="3" t="str">
        <f t="shared" si="8"/>
        <v>c486_presona_07_Name</v>
      </c>
      <c r="E205" s="3">
        <v>10000486</v>
      </c>
      <c r="F205" s="3">
        <v>6</v>
      </c>
      <c r="G205" s="3" t="s">
        <v>335</v>
      </c>
      <c r="H205" s="2">
        <v>1</v>
      </c>
    </row>
    <row r="206" spans="1:8" x14ac:dyDescent="0.3">
      <c r="A206" s="3">
        <f t="shared" si="0"/>
        <v>148607</v>
      </c>
      <c r="B206" s="3" t="s">
        <v>72</v>
      </c>
      <c r="C206" s="3" t="s">
        <v>296</v>
      </c>
      <c r="D206" s="3" t="str">
        <f t="shared" si="8"/>
        <v>c486_presona_08_Name</v>
      </c>
      <c r="E206" s="3">
        <v>10000486</v>
      </c>
      <c r="F206" s="3">
        <v>7</v>
      </c>
      <c r="G206" s="3" t="s">
        <v>335</v>
      </c>
      <c r="H206" s="2">
        <v>1</v>
      </c>
    </row>
    <row r="207" spans="1:8" x14ac:dyDescent="0.3">
      <c r="A207" s="3">
        <f t="shared" si="0"/>
        <v>148608</v>
      </c>
      <c r="B207" s="3" t="s">
        <v>72</v>
      </c>
      <c r="C207" s="3" t="s">
        <v>296</v>
      </c>
      <c r="D207" s="3" t="str">
        <f t="shared" si="8"/>
        <v>c486_presona_09_Name</v>
      </c>
      <c r="E207" s="3">
        <v>10000486</v>
      </c>
      <c r="F207" s="3">
        <v>8</v>
      </c>
      <c r="G207" s="3" t="s">
        <v>335</v>
      </c>
      <c r="H207" s="2">
        <v>1</v>
      </c>
    </row>
    <row r="208" spans="1:8" x14ac:dyDescent="0.3">
      <c r="A208" s="3">
        <f t="shared" si="0"/>
        <v>148609</v>
      </c>
      <c r="B208" s="3" t="s">
        <v>72</v>
      </c>
      <c r="C208" s="3" t="s">
        <v>296</v>
      </c>
      <c r="D208" s="3" t="str">
        <f t="shared" si="8"/>
        <v>c486_presona_10_Name</v>
      </c>
      <c r="E208" s="3">
        <v>10000486</v>
      </c>
      <c r="F208" s="3">
        <v>9</v>
      </c>
      <c r="G208" s="3" t="s">
        <v>335</v>
      </c>
      <c r="H208" s="2">
        <v>1</v>
      </c>
    </row>
    <row r="209" spans="1:8" x14ac:dyDescent="0.3">
      <c r="A209" s="3">
        <f t="shared" si="0"/>
        <v>148610</v>
      </c>
      <c r="B209" s="3" t="s">
        <v>72</v>
      </c>
      <c r="C209" s="3" t="s">
        <v>296</v>
      </c>
      <c r="D209" s="3" t="str">
        <f t="shared" si="8"/>
        <v>c486_presona_11_Name</v>
      </c>
      <c r="E209" s="3">
        <v>10000486</v>
      </c>
      <c r="F209" s="3">
        <v>10</v>
      </c>
      <c r="G209" s="3" t="s">
        <v>335</v>
      </c>
      <c r="H209" s="2">
        <v>1</v>
      </c>
    </row>
    <row r="210" spans="1:8" x14ac:dyDescent="0.3">
      <c r="A210" s="3">
        <f t="shared" si="0"/>
        <v>148611</v>
      </c>
      <c r="B210" s="3" t="s">
        <v>72</v>
      </c>
      <c r="C210" s="3" t="s">
        <v>296</v>
      </c>
      <c r="D210" s="3" t="str">
        <f t="shared" si="8"/>
        <v>c486_presona_12_Name</v>
      </c>
      <c r="E210" s="3">
        <v>10000486</v>
      </c>
      <c r="F210" s="3">
        <v>11</v>
      </c>
      <c r="G210" s="3" t="s">
        <v>335</v>
      </c>
      <c r="H210" s="2">
        <v>1</v>
      </c>
    </row>
    <row r="211" spans="1:8" x14ac:dyDescent="0.3">
      <c r="A211" s="3">
        <f t="shared" si="0"/>
        <v>148612</v>
      </c>
      <c r="B211" s="3" t="s">
        <v>72</v>
      </c>
      <c r="C211" s="3" t="s">
        <v>296</v>
      </c>
      <c r="D211" s="3" t="str">
        <f t="shared" si="8"/>
        <v>c486_presona_13_Name</v>
      </c>
      <c r="E211" s="3">
        <v>10000486</v>
      </c>
      <c r="F211" s="3">
        <v>12</v>
      </c>
      <c r="G211" s="3" t="s">
        <v>335</v>
      </c>
      <c r="H211" s="2">
        <v>1</v>
      </c>
    </row>
    <row r="212" spans="1:8" x14ac:dyDescent="0.3">
      <c r="A212" s="3">
        <f t="shared" si="0"/>
        <v>148613</v>
      </c>
      <c r="B212" s="3" t="s">
        <v>72</v>
      </c>
      <c r="C212" s="3" t="s">
        <v>296</v>
      </c>
      <c r="D212" s="3" t="str">
        <f t="shared" ref="D212:D275" si="10">C212&amp;"_presona_"&amp;TEXT(F212+1, "00")&amp;"_Name"</f>
        <v>c486_presona_14_Name</v>
      </c>
      <c r="E212" s="3">
        <v>10000486</v>
      </c>
      <c r="F212" s="3">
        <v>13</v>
      </c>
      <c r="G212" s="3" t="s">
        <v>335</v>
      </c>
      <c r="H212" s="2">
        <v>1</v>
      </c>
    </row>
    <row r="213" spans="1:8" x14ac:dyDescent="0.3">
      <c r="A213" s="3">
        <f t="shared" si="0"/>
        <v>148614</v>
      </c>
      <c r="B213" s="3" t="s">
        <v>72</v>
      </c>
      <c r="C213" s="3" t="s">
        <v>296</v>
      </c>
      <c r="D213" s="3" t="str">
        <f t="shared" si="10"/>
        <v>c486_presona_15_Name</v>
      </c>
      <c r="E213" s="3">
        <v>10000486</v>
      </c>
      <c r="F213" s="3">
        <v>14</v>
      </c>
      <c r="G213" s="3" t="s">
        <v>335</v>
      </c>
      <c r="H213" s="2">
        <v>1</v>
      </c>
    </row>
    <row r="214" spans="1:8" x14ac:dyDescent="0.3">
      <c r="A214" s="3">
        <f t="shared" si="0"/>
        <v>129400</v>
      </c>
      <c r="B214" s="3" t="s">
        <v>169</v>
      </c>
      <c r="C214" s="3" t="s">
        <v>297</v>
      </c>
      <c r="D214" s="3" t="str">
        <f t="shared" si="10"/>
        <v>c294_presona_01_Name</v>
      </c>
      <c r="E214" s="3">
        <v>10000294</v>
      </c>
      <c r="F214" s="3">
        <v>0</v>
      </c>
      <c r="G214" s="3" t="str">
        <f t="shared" ref="G214:G228" si="11">C214&amp;"_persona_"&amp;TEXT(F214+1, "00")</f>
        <v>c294_persona_01</v>
      </c>
      <c r="H214" s="2">
        <v>1</v>
      </c>
    </row>
    <row r="215" spans="1:8" x14ac:dyDescent="0.3">
      <c r="A215" s="3">
        <f t="shared" si="0"/>
        <v>129401</v>
      </c>
      <c r="B215" s="3" t="s">
        <v>169</v>
      </c>
      <c r="C215" s="3" t="s">
        <v>297</v>
      </c>
      <c r="D215" s="3" t="str">
        <f t="shared" si="10"/>
        <v>c294_presona_02_Name</v>
      </c>
      <c r="E215" s="3">
        <v>10000294</v>
      </c>
      <c r="F215" s="3">
        <v>1</v>
      </c>
      <c r="G215" s="3" t="str">
        <f t="shared" si="11"/>
        <v>c294_persona_02</v>
      </c>
      <c r="H215" s="2">
        <v>1</v>
      </c>
    </row>
    <row r="216" spans="1:8" x14ac:dyDescent="0.3">
      <c r="A216" s="3">
        <f t="shared" ref="A216:A279" si="12">(MOD(E216, 1000)+1000)*100+F216</f>
        <v>129402</v>
      </c>
      <c r="B216" s="3" t="s">
        <v>169</v>
      </c>
      <c r="C216" s="3" t="s">
        <v>297</v>
      </c>
      <c r="D216" s="3" t="str">
        <f t="shared" si="10"/>
        <v>c294_presona_03_Name</v>
      </c>
      <c r="E216" s="3">
        <v>10000294</v>
      </c>
      <c r="F216" s="3">
        <v>2</v>
      </c>
      <c r="G216" s="3" t="str">
        <f t="shared" si="11"/>
        <v>c294_persona_03</v>
      </c>
      <c r="H216" s="2">
        <v>1</v>
      </c>
    </row>
    <row r="217" spans="1:8" x14ac:dyDescent="0.3">
      <c r="A217" s="3">
        <f t="shared" si="12"/>
        <v>129403</v>
      </c>
      <c r="B217" s="3" t="s">
        <v>169</v>
      </c>
      <c r="C217" s="3" t="s">
        <v>297</v>
      </c>
      <c r="D217" s="3" t="str">
        <f t="shared" si="10"/>
        <v>c294_presona_04_Name</v>
      </c>
      <c r="E217" s="3">
        <v>10000294</v>
      </c>
      <c r="F217" s="3">
        <v>3</v>
      </c>
      <c r="G217" s="3" t="str">
        <f t="shared" si="11"/>
        <v>c294_persona_04</v>
      </c>
      <c r="H217" s="2">
        <v>1</v>
      </c>
    </row>
    <row r="218" spans="1:8" x14ac:dyDescent="0.3">
      <c r="A218" s="3">
        <f t="shared" si="12"/>
        <v>129404</v>
      </c>
      <c r="B218" s="3" t="s">
        <v>169</v>
      </c>
      <c r="C218" s="3" t="s">
        <v>297</v>
      </c>
      <c r="D218" s="3" t="str">
        <f t="shared" si="10"/>
        <v>c294_presona_05_Name</v>
      </c>
      <c r="E218" s="3">
        <v>10000294</v>
      </c>
      <c r="F218" s="3">
        <v>4</v>
      </c>
      <c r="G218" s="3" t="str">
        <f t="shared" si="11"/>
        <v>c294_persona_05</v>
      </c>
      <c r="H218" s="2">
        <v>1</v>
      </c>
    </row>
    <row r="219" spans="1:8" x14ac:dyDescent="0.3">
      <c r="A219" s="3">
        <f t="shared" si="12"/>
        <v>129405</v>
      </c>
      <c r="B219" s="3" t="s">
        <v>169</v>
      </c>
      <c r="C219" s="3" t="s">
        <v>297</v>
      </c>
      <c r="D219" s="3" t="str">
        <f t="shared" si="10"/>
        <v>c294_presona_06_Name</v>
      </c>
      <c r="E219" s="3">
        <v>10000294</v>
      </c>
      <c r="F219" s="3">
        <v>5</v>
      </c>
      <c r="G219" s="3" t="str">
        <f t="shared" si="11"/>
        <v>c294_persona_06</v>
      </c>
      <c r="H219" s="2">
        <v>1</v>
      </c>
    </row>
    <row r="220" spans="1:8" x14ac:dyDescent="0.3">
      <c r="A220" s="3">
        <f t="shared" si="12"/>
        <v>129406</v>
      </c>
      <c r="B220" s="3" t="s">
        <v>169</v>
      </c>
      <c r="C220" s="3" t="s">
        <v>297</v>
      </c>
      <c r="D220" s="3" t="str">
        <f t="shared" si="10"/>
        <v>c294_presona_07_Name</v>
      </c>
      <c r="E220" s="3">
        <v>10000294</v>
      </c>
      <c r="F220" s="3">
        <v>6</v>
      </c>
      <c r="G220" s="3" t="str">
        <f t="shared" si="11"/>
        <v>c294_persona_07</v>
      </c>
      <c r="H220" s="2">
        <v>1</v>
      </c>
    </row>
    <row r="221" spans="1:8" x14ac:dyDescent="0.3">
      <c r="A221" s="3">
        <f t="shared" si="12"/>
        <v>129407</v>
      </c>
      <c r="B221" s="3" t="s">
        <v>169</v>
      </c>
      <c r="C221" s="3" t="s">
        <v>297</v>
      </c>
      <c r="D221" s="3" t="str">
        <f t="shared" si="10"/>
        <v>c294_presona_08_Name</v>
      </c>
      <c r="E221" s="3">
        <v>10000294</v>
      </c>
      <c r="F221" s="3">
        <v>7</v>
      </c>
      <c r="G221" s="3" t="str">
        <f t="shared" si="11"/>
        <v>c294_persona_08</v>
      </c>
      <c r="H221" s="2">
        <v>1</v>
      </c>
    </row>
    <row r="222" spans="1:8" x14ac:dyDescent="0.3">
      <c r="A222" s="3">
        <f t="shared" si="12"/>
        <v>129408</v>
      </c>
      <c r="B222" s="3" t="s">
        <v>169</v>
      </c>
      <c r="C222" s="3" t="s">
        <v>297</v>
      </c>
      <c r="D222" s="3" t="str">
        <f t="shared" si="10"/>
        <v>c294_presona_09_Name</v>
      </c>
      <c r="E222" s="3">
        <v>10000294</v>
      </c>
      <c r="F222" s="3">
        <v>8</v>
      </c>
      <c r="G222" s="3" t="str">
        <f t="shared" si="11"/>
        <v>c294_persona_09</v>
      </c>
      <c r="H222" s="2">
        <v>1</v>
      </c>
    </row>
    <row r="223" spans="1:8" x14ac:dyDescent="0.3">
      <c r="A223" s="3">
        <f t="shared" si="12"/>
        <v>129409</v>
      </c>
      <c r="B223" s="3" t="s">
        <v>169</v>
      </c>
      <c r="C223" s="3" t="s">
        <v>297</v>
      </c>
      <c r="D223" s="3" t="str">
        <f t="shared" si="10"/>
        <v>c294_presona_10_Name</v>
      </c>
      <c r="E223" s="3">
        <v>10000294</v>
      </c>
      <c r="F223" s="3">
        <v>9</v>
      </c>
      <c r="G223" s="3" t="str">
        <f t="shared" si="11"/>
        <v>c294_persona_10</v>
      </c>
      <c r="H223" s="2">
        <v>1</v>
      </c>
    </row>
    <row r="224" spans="1:8" x14ac:dyDescent="0.3">
      <c r="A224" s="3">
        <f t="shared" si="12"/>
        <v>129410</v>
      </c>
      <c r="B224" s="3" t="s">
        <v>169</v>
      </c>
      <c r="C224" s="3" t="s">
        <v>297</v>
      </c>
      <c r="D224" s="3" t="str">
        <f t="shared" si="10"/>
        <v>c294_presona_11_Name</v>
      </c>
      <c r="E224" s="3">
        <v>10000294</v>
      </c>
      <c r="F224" s="3">
        <v>10</v>
      </c>
      <c r="G224" s="3" t="str">
        <f t="shared" si="11"/>
        <v>c294_persona_11</v>
      </c>
      <c r="H224" s="2">
        <v>1</v>
      </c>
    </row>
    <row r="225" spans="1:8" x14ac:dyDescent="0.3">
      <c r="A225" s="3">
        <f t="shared" si="12"/>
        <v>129411</v>
      </c>
      <c r="B225" s="3" t="s">
        <v>169</v>
      </c>
      <c r="C225" s="3" t="s">
        <v>297</v>
      </c>
      <c r="D225" s="3" t="str">
        <f t="shared" si="10"/>
        <v>c294_presona_12_Name</v>
      </c>
      <c r="E225" s="3">
        <v>10000294</v>
      </c>
      <c r="F225" s="3">
        <v>11</v>
      </c>
      <c r="G225" s="3" t="str">
        <f t="shared" si="11"/>
        <v>c294_persona_12</v>
      </c>
      <c r="H225" s="2">
        <v>1</v>
      </c>
    </row>
    <row r="226" spans="1:8" x14ac:dyDescent="0.3">
      <c r="A226" s="3">
        <f t="shared" si="12"/>
        <v>129412</v>
      </c>
      <c r="B226" s="3" t="s">
        <v>169</v>
      </c>
      <c r="C226" s="3" t="s">
        <v>297</v>
      </c>
      <c r="D226" s="3" t="str">
        <f t="shared" si="10"/>
        <v>c294_presona_13_Name</v>
      </c>
      <c r="E226" s="3">
        <v>10000294</v>
      </c>
      <c r="F226" s="3">
        <v>12</v>
      </c>
      <c r="G226" s="3" t="str">
        <f t="shared" si="11"/>
        <v>c294_persona_13</v>
      </c>
      <c r="H226" s="2">
        <v>1</v>
      </c>
    </row>
    <row r="227" spans="1:8" x14ac:dyDescent="0.3">
      <c r="A227" s="3">
        <f t="shared" si="12"/>
        <v>129413</v>
      </c>
      <c r="B227" s="3" t="s">
        <v>169</v>
      </c>
      <c r="C227" s="3" t="s">
        <v>297</v>
      </c>
      <c r="D227" s="3" t="str">
        <f t="shared" si="10"/>
        <v>c294_presona_14_Name</v>
      </c>
      <c r="E227" s="3">
        <v>10000294</v>
      </c>
      <c r="F227" s="3">
        <v>13</v>
      </c>
      <c r="G227" s="3" t="str">
        <f t="shared" si="11"/>
        <v>c294_persona_14</v>
      </c>
      <c r="H227" s="2">
        <v>1</v>
      </c>
    </row>
    <row r="228" spans="1:8" x14ac:dyDescent="0.3">
      <c r="A228" s="3">
        <f t="shared" si="12"/>
        <v>129414</v>
      </c>
      <c r="B228" s="3" t="s">
        <v>169</v>
      </c>
      <c r="C228" s="3" t="s">
        <v>297</v>
      </c>
      <c r="D228" s="3" t="str">
        <f t="shared" si="10"/>
        <v>c294_presona_15_Name</v>
      </c>
      <c r="E228" s="3">
        <v>10000294</v>
      </c>
      <c r="F228" s="3">
        <v>14</v>
      </c>
      <c r="G228" s="3" t="str">
        <f t="shared" si="11"/>
        <v>c294_persona_15</v>
      </c>
      <c r="H228" s="2">
        <v>1</v>
      </c>
    </row>
    <row r="229" spans="1:8" x14ac:dyDescent="0.3">
      <c r="A229" s="3">
        <f t="shared" si="12"/>
        <v>150100</v>
      </c>
      <c r="B229" s="3" t="s">
        <v>197</v>
      </c>
      <c r="C229" s="3" t="s">
        <v>298</v>
      </c>
      <c r="D229" s="3" t="str">
        <f t="shared" si="10"/>
        <v>c501_presona_01_Name</v>
      </c>
      <c r="E229" s="3">
        <v>10000501</v>
      </c>
      <c r="F229" s="3">
        <v>0</v>
      </c>
      <c r="G229" s="3" t="s">
        <v>335</v>
      </c>
      <c r="H229" s="2">
        <v>1</v>
      </c>
    </row>
    <row r="230" spans="1:8" x14ac:dyDescent="0.3">
      <c r="A230" s="3">
        <f t="shared" si="12"/>
        <v>150101</v>
      </c>
      <c r="B230" s="3" t="s">
        <v>197</v>
      </c>
      <c r="C230" s="3" t="s">
        <v>298</v>
      </c>
      <c r="D230" s="3" t="str">
        <f t="shared" si="10"/>
        <v>c501_presona_02_Name</v>
      </c>
      <c r="E230" s="3">
        <v>10000501</v>
      </c>
      <c r="F230" s="3">
        <v>1</v>
      </c>
      <c r="G230" s="3" t="s">
        <v>335</v>
      </c>
      <c r="H230" s="2">
        <v>1</v>
      </c>
    </row>
    <row r="231" spans="1:8" x14ac:dyDescent="0.3">
      <c r="A231" s="3">
        <f t="shared" si="12"/>
        <v>150102</v>
      </c>
      <c r="B231" s="3" t="s">
        <v>197</v>
      </c>
      <c r="C231" s="3" t="s">
        <v>298</v>
      </c>
      <c r="D231" s="3" t="str">
        <f t="shared" si="10"/>
        <v>c501_presona_03_Name</v>
      </c>
      <c r="E231" s="3">
        <v>10000501</v>
      </c>
      <c r="F231" s="3">
        <v>2</v>
      </c>
      <c r="G231" s="3" t="s">
        <v>335</v>
      </c>
      <c r="H231" s="2">
        <v>1</v>
      </c>
    </row>
    <row r="232" spans="1:8" x14ac:dyDescent="0.3">
      <c r="A232" s="3">
        <f t="shared" si="12"/>
        <v>150103</v>
      </c>
      <c r="B232" s="3" t="s">
        <v>197</v>
      </c>
      <c r="C232" s="3" t="s">
        <v>298</v>
      </c>
      <c r="D232" s="3" t="str">
        <f t="shared" si="10"/>
        <v>c501_presona_04_Name</v>
      </c>
      <c r="E232" s="3">
        <v>10000501</v>
      </c>
      <c r="F232" s="3">
        <v>3</v>
      </c>
      <c r="G232" s="3" t="s">
        <v>335</v>
      </c>
      <c r="H232" s="2">
        <v>1</v>
      </c>
    </row>
    <row r="233" spans="1:8" x14ac:dyDescent="0.3">
      <c r="A233" s="3">
        <f t="shared" si="12"/>
        <v>150104</v>
      </c>
      <c r="B233" s="3" t="s">
        <v>197</v>
      </c>
      <c r="C233" s="3" t="s">
        <v>298</v>
      </c>
      <c r="D233" s="3" t="str">
        <f t="shared" si="10"/>
        <v>c501_presona_05_Name</v>
      </c>
      <c r="E233" s="3">
        <v>10000501</v>
      </c>
      <c r="F233" s="3">
        <v>4</v>
      </c>
      <c r="G233" s="3" t="s">
        <v>335</v>
      </c>
      <c r="H233" s="2">
        <v>1</v>
      </c>
    </row>
    <row r="234" spans="1:8" x14ac:dyDescent="0.3">
      <c r="A234" s="3">
        <f t="shared" si="12"/>
        <v>150105</v>
      </c>
      <c r="B234" s="3" t="s">
        <v>197</v>
      </c>
      <c r="C234" s="3" t="s">
        <v>298</v>
      </c>
      <c r="D234" s="3" t="str">
        <f t="shared" si="10"/>
        <v>c501_presona_06_Name</v>
      </c>
      <c r="E234" s="3">
        <v>10000501</v>
      </c>
      <c r="F234" s="3">
        <v>5</v>
      </c>
      <c r="G234" s="3" t="s">
        <v>335</v>
      </c>
      <c r="H234" s="2">
        <v>1</v>
      </c>
    </row>
    <row r="235" spans="1:8" x14ac:dyDescent="0.3">
      <c r="A235" s="3">
        <f t="shared" si="12"/>
        <v>150106</v>
      </c>
      <c r="B235" s="3" t="s">
        <v>197</v>
      </c>
      <c r="C235" s="3" t="s">
        <v>298</v>
      </c>
      <c r="D235" s="3" t="str">
        <f t="shared" si="10"/>
        <v>c501_presona_07_Name</v>
      </c>
      <c r="E235" s="3">
        <v>10000501</v>
      </c>
      <c r="F235" s="3">
        <v>6</v>
      </c>
      <c r="G235" s="3" t="s">
        <v>335</v>
      </c>
      <c r="H235" s="2">
        <v>1</v>
      </c>
    </row>
    <row r="236" spans="1:8" x14ac:dyDescent="0.3">
      <c r="A236" s="3">
        <f t="shared" si="12"/>
        <v>150107</v>
      </c>
      <c r="B236" s="3" t="s">
        <v>197</v>
      </c>
      <c r="C236" s="3" t="s">
        <v>298</v>
      </c>
      <c r="D236" s="3" t="str">
        <f t="shared" si="10"/>
        <v>c501_presona_08_Name</v>
      </c>
      <c r="E236" s="3">
        <v>10000501</v>
      </c>
      <c r="F236" s="3">
        <v>7</v>
      </c>
      <c r="G236" s="3" t="s">
        <v>335</v>
      </c>
      <c r="H236" s="2">
        <v>1</v>
      </c>
    </row>
    <row r="237" spans="1:8" x14ac:dyDescent="0.3">
      <c r="A237" s="3">
        <f t="shared" si="12"/>
        <v>150108</v>
      </c>
      <c r="B237" s="3" t="s">
        <v>197</v>
      </c>
      <c r="C237" s="3" t="s">
        <v>298</v>
      </c>
      <c r="D237" s="3" t="str">
        <f t="shared" si="10"/>
        <v>c501_presona_09_Name</v>
      </c>
      <c r="E237" s="3">
        <v>10000501</v>
      </c>
      <c r="F237" s="3">
        <v>8</v>
      </c>
      <c r="G237" s="3" t="s">
        <v>335</v>
      </c>
      <c r="H237" s="2">
        <v>1</v>
      </c>
    </row>
    <row r="238" spans="1:8" x14ac:dyDescent="0.3">
      <c r="A238" s="3">
        <f t="shared" si="12"/>
        <v>150109</v>
      </c>
      <c r="B238" s="3" t="s">
        <v>197</v>
      </c>
      <c r="C238" s="3" t="s">
        <v>298</v>
      </c>
      <c r="D238" s="3" t="str">
        <f t="shared" si="10"/>
        <v>c501_presona_10_Name</v>
      </c>
      <c r="E238" s="3">
        <v>10000501</v>
      </c>
      <c r="F238" s="3">
        <v>9</v>
      </c>
      <c r="G238" s="3" t="s">
        <v>335</v>
      </c>
      <c r="H238" s="2">
        <v>1</v>
      </c>
    </row>
    <row r="239" spans="1:8" x14ac:dyDescent="0.3">
      <c r="A239" s="3">
        <f t="shared" si="12"/>
        <v>150110</v>
      </c>
      <c r="B239" s="3" t="s">
        <v>197</v>
      </c>
      <c r="C239" s="3" t="s">
        <v>298</v>
      </c>
      <c r="D239" s="3" t="str">
        <f t="shared" si="10"/>
        <v>c501_presona_11_Name</v>
      </c>
      <c r="E239" s="3">
        <v>10000501</v>
      </c>
      <c r="F239" s="3">
        <v>10</v>
      </c>
      <c r="G239" s="3" t="s">
        <v>335</v>
      </c>
      <c r="H239" s="2">
        <v>1</v>
      </c>
    </row>
    <row r="240" spans="1:8" x14ac:dyDescent="0.3">
      <c r="A240" s="3">
        <f t="shared" si="12"/>
        <v>150111</v>
      </c>
      <c r="B240" s="3" t="s">
        <v>197</v>
      </c>
      <c r="C240" s="3" t="s">
        <v>298</v>
      </c>
      <c r="D240" s="3" t="str">
        <f t="shared" si="10"/>
        <v>c501_presona_12_Name</v>
      </c>
      <c r="E240" s="3">
        <v>10000501</v>
      </c>
      <c r="F240" s="3">
        <v>11</v>
      </c>
      <c r="G240" s="3" t="s">
        <v>335</v>
      </c>
      <c r="H240" s="2">
        <v>1</v>
      </c>
    </row>
    <row r="241" spans="1:8" x14ac:dyDescent="0.3">
      <c r="A241" s="3">
        <f t="shared" si="12"/>
        <v>150112</v>
      </c>
      <c r="B241" s="3" t="s">
        <v>197</v>
      </c>
      <c r="C241" s="3" t="s">
        <v>298</v>
      </c>
      <c r="D241" s="3" t="str">
        <f t="shared" si="10"/>
        <v>c501_presona_13_Name</v>
      </c>
      <c r="E241" s="3">
        <v>10000501</v>
      </c>
      <c r="F241" s="3">
        <v>12</v>
      </c>
      <c r="G241" s="3" t="s">
        <v>335</v>
      </c>
      <c r="H241" s="2">
        <v>1</v>
      </c>
    </row>
    <row r="242" spans="1:8" x14ac:dyDescent="0.3">
      <c r="A242" s="3">
        <f t="shared" si="12"/>
        <v>150113</v>
      </c>
      <c r="B242" s="3" t="s">
        <v>197</v>
      </c>
      <c r="C242" s="3" t="s">
        <v>298</v>
      </c>
      <c r="D242" s="3" t="str">
        <f t="shared" si="10"/>
        <v>c501_presona_14_Name</v>
      </c>
      <c r="E242" s="3">
        <v>10000501</v>
      </c>
      <c r="F242" s="3">
        <v>13</v>
      </c>
      <c r="G242" s="3" t="s">
        <v>335</v>
      </c>
      <c r="H242" s="2">
        <v>1</v>
      </c>
    </row>
    <row r="243" spans="1:8" x14ac:dyDescent="0.3">
      <c r="A243" s="3">
        <f t="shared" si="12"/>
        <v>150114</v>
      </c>
      <c r="B243" s="3" t="s">
        <v>197</v>
      </c>
      <c r="C243" s="3" t="s">
        <v>298</v>
      </c>
      <c r="D243" s="3" t="str">
        <f t="shared" si="10"/>
        <v>c501_presona_15_Name</v>
      </c>
      <c r="E243" s="3">
        <v>10000501</v>
      </c>
      <c r="F243" s="3">
        <v>14</v>
      </c>
      <c r="G243" s="3" t="s">
        <v>335</v>
      </c>
      <c r="H243" s="2">
        <v>1</v>
      </c>
    </row>
    <row r="244" spans="1:8" x14ac:dyDescent="0.3">
      <c r="A244" s="3">
        <f t="shared" si="12"/>
        <v>100100</v>
      </c>
      <c r="B244" s="3" t="s">
        <v>198</v>
      </c>
      <c r="C244" s="3" t="s">
        <v>299</v>
      </c>
      <c r="D244" s="3" t="str">
        <f t="shared" si="10"/>
        <v>c001_presona_01_Name</v>
      </c>
      <c r="E244" s="3">
        <v>10000001</v>
      </c>
      <c r="F244" s="3">
        <v>0</v>
      </c>
      <c r="G244" s="3" t="str">
        <f t="shared" ref="G244:G258" si="13">C244&amp;"_persona_"&amp;TEXT(F244+1, "00")</f>
        <v>c001_persona_01</v>
      </c>
      <c r="H244" s="2">
        <v>1</v>
      </c>
    </row>
    <row r="245" spans="1:8" x14ac:dyDescent="0.3">
      <c r="A245" s="3">
        <f t="shared" si="12"/>
        <v>100101</v>
      </c>
      <c r="B245" s="3" t="s">
        <v>198</v>
      </c>
      <c r="C245" s="3" t="s">
        <v>299</v>
      </c>
      <c r="D245" s="3" t="str">
        <f t="shared" si="10"/>
        <v>c001_presona_02_Name</v>
      </c>
      <c r="E245" s="3">
        <v>10000001</v>
      </c>
      <c r="F245" s="3">
        <v>1</v>
      </c>
      <c r="G245" s="3" t="str">
        <f t="shared" si="13"/>
        <v>c001_persona_02</v>
      </c>
      <c r="H245" s="2">
        <v>1</v>
      </c>
    </row>
    <row r="246" spans="1:8" x14ac:dyDescent="0.3">
      <c r="A246" s="3">
        <f t="shared" si="12"/>
        <v>100102</v>
      </c>
      <c r="B246" s="3" t="s">
        <v>198</v>
      </c>
      <c r="C246" s="3" t="s">
        <v>299</v>
      </c>
      <c r="D246" s="3" t="str">
        <f t="shared" si="10"/>
        <v>c001_presona_03_Name</v>
      </c>
      <c r="E246" s="3">
        <v>10000001</v>
      </c>
      <c r="F246" s="3">
        <v>2</v>
      </c>
      <c r="G246" s="3" t="str">
        <f t="shared" si="13"/>
        <v>c001_persona_03</v>
      </c>
      <c r="H246" s="2">
        <v>1</v>
      </c>
    </row>
    <row r="247" spans="1:8" x14ac:dyDescent="0.3">
      <c r="A247" s="3">
        <f t="shared" si="12"/>
        <v>100103</v>
      </c>
      <c r="B247" s="3" t="s">
        <v>198</v>
      </c>
      <c r="C247" s="3" t="s">
        <v>299</v>
      </c>
      <c r="D247" s="3" t="str">
        <f t="shared" si="10"/>
        <v>c001_presona_04_Name</v>
      </c>
      <c r="E247" s="3">
        <v>10000001</v>
      </c>
      <c r="F247" s="3">
        <v>3</v>
      </c>
      <c r="G247" s="3" t="str">
        <f t="shared" si="13"/>
        <v>c001_persona_04</v>
      </c>
      <c r="H247" s="2">
        <v>1</v>
      </c>
    </row>
    <row r="248" spans="1:8" x14ac:dyDescent="0.3">
      <c r="A248" s="3">
        <f t="shared" si="12"/>
        <v>100104</v>
      </c>
      <c r="B248" s="3" t="s">
        <v>198</v>
      </c>
      <c r="C248" s="3" t="s">
        <v>299</v>
      </c>
      <c r="D248" s="3" t="str">
        <f t="shared" si="10"/>
        <v>c001_presona_05_Name</v>
      </c>
      <c r="E248" s="3">
        <v>10000001</v>
      </c>
      <c r="F248" s="3">
        <v>4</v>
      </c>
      <c r="G248" s="3" t="str">
        <f t="shared" si="13"/>
        <v>c001_persona_05</v>
      </c>
      <c r="H248" s="2">
        <v>1</v>
      </c>
    </row>
    <row r="249" spans="1:8" x14ac:dyDescent="0.3">
      <c r="A249" s="3">
        <f t="shared" si="12"/>
        <v>100105</v>
      </c>
      <c r="B249" s="3" t="s">
        <v>198</v>
      </c>
      <c r="C249" s="3" t="s">
        <v>299</v>
      </c>
      <c r="D249" s="3" t="str">
        <f t="shared" si="10"/>
        <v>c001_presona_06_Name</v>
      </c>
      <c r="E249" s="3">
        <v>10000001</v>
      </c>
      <c r="F249" s="3">
        <v>5</v>
      </c>
      <c r="G249" s="3" t="str">
        <f t="shared" si="13"/>
        <v>c001_persona_06</v>
      </c>
      <c r="H249" s="2">
        <v>1</v>
      </c>
    </row>
    <row r="250" spans="1:8" x14ac:dyDescent="0.3">
      <c r="A250" s="3">
        <f t="shared" si="12"/>
        <v>100106</v>
      </c>
      <c r="B250" s="3" t="s">
        <v>198</v>
      </c>
      <c r="C250" s="3" t="s">
        <v>299</v>
      </c>
      <c r="D250" s="3" t="str">
        <f t="shared" si="10"/>
        <v>c001_presona_07_Name</v>
      </c>
      <c r="E250" s="3">
        <v>10000001</v>
      </c>
      <c r="F250" s="3">
        <v>6</v>
      </c>
      <c r="G250" s="3" t="str">
        <f t="shared" si="13"/>
        <v>c001_persona_07</v>
      </c>
      <c r="H250" s="2">
        <v>1</v>
      </c>
    </row>
    <row r="251" spans="1:8" x14ac:dyDescent="0.3">
      <c r="A251" s="3">
        <f t="shared" si="12"/>
        <v>100107</v>
      </c>
      <c r="B251" s="3" t="s">
        <v>198</v>
      </c>
      <c r="C251" s="3" t="s">
        <v>299</v>
      </c>
      <c r="D251" s="3" t="str">
        <f t="shared" si="10"/>
        <v>c001_presona_08_Name</v>
      </c>
      <c r="E251" s="3">
        <v>10000001</v>
      </c>
      <c r="F251" s="3">
        <v>7</v>
      </c>
      <c r="G251" s="3" t="str">
        <f t="shared" si="13"/>
        <v>c001_persona_08</v>
      </c>
      <c r="H251" s="2">
        <v>1</v>
      </c>
    </row>
    <row r="252" spans="1:8" x14ac:dyDescent="0.3">
      <c r="A252" s="3">
        <f t="shared" si="12"/>
        <v>100108</v>
      </c>
      <c r="B252" s="3" t="s">
        <v>198</v>
      </c>
      <c r="C252" s="3" t="s">
        <v>299</v>
      </c>
      <c r="D252" s="3" t="str">
        <f t="shared" si="10"/>
        <v>c001_presona_09_Name</v>
      </c>
      <c r="E252" s="3">
        <v>10000001</v>
      </c>
      <c r="F252" s="3">
        <v>8</v>
      </c>
      <c r="G252" s="3" t="str">
        <f t="shared" si="13"/>
        <v>c001_persona_09</v>
      </c>
      <c r="H252" s="2">
        <v>1</v>
      </c>
    </row>
    <row r="253" spans="1:8" x14ac:dyDescent="0.3">
      <c r="A253" s="3">
        <f t="shared" si="12"/>
        <v>100109</v>
      </c>
      <c r="B253" s="3" t="s">
        <v>198</v>
      </c>
      <c r="C253" s="3" t="s">
        <v>299</v>
      </c>
      <c r="D253" s="3" t="str">
        <f t="shared" si="10"/>
        <v>c001_presona_10_Name</v>
      </c>
      <c r="E253" s="3">
        <v>10000001</v>
      </c>
      <c r="F253" s="3">
        <v>9</v>
      </c>
      <c r="G253" s="3" t="str">
        <f t="shared" si="13"/>
        <v>c001_persona_10</v>
      </c>
      <c r="H253" s="2">
        <v>1</v>
      </c>
    </row>
    <row r="254" spans="1:8" x14ac:dyDescent="0.3">
      <c r="A254" s="3">
        <f t="shared" si="12"/>
        <v>100110</v>
      </c>
      <c r="B254" s="3" t="s">
        <v>198</v>
      </c>
      <c r="C254" s="3" t="s">
        <v>299</v>
      </c>
      <c r="D254" s="3" t="str">
        <f t="shared" si="10"/>
        <v>c001_presona_11_Name</v>
      </c>
      <c r="E254" s="3">
        <v>10000001</v>
      </c>
      <c r="F254" s="3">
        <v>10</v>
      </c>
      <c r="G254" s="3" t="str">
        <f t="shared" si="13"/>
        <v>c001_persona_11</v>
      </c>
      <c r="H254" s="2">
        <v>1</v>
      </c>
    </row>
    <row r="255" spans="1:8" x14ac:dyDescent="0.3">
      <c r="A255" s="3">
        <f t="shared" si="12"/>
        <v>100111</v>
      </c>
      <c r="B255" s="3" t="s">
        <v>198</v>
      </c>
      <c r="C255" s="3" t="s">
        <v>299</v>
      </c>
      <c r="D255" s="3" t="str">
        <f t="shared" si="10"/>
        <v>c001_presona_12_Name</v>
      </c>
      <c r="E255" s="3">
        <v>10000001</v>
      </c>
      <c r="F255" s="3">
        <v>11</v>
      </c>
      <c r="G255" s="3" t="str">
        <f t="shared" si="13"/>
        <v>c001_persona_12</v>
      </c>
      <c r="H255" s="2">
        <v>1</v>
      </c>
    </row>
    <row r="256" spans="1:8" x14ac:dyDescent="0.3">
      <c r="A256" s="3">
        <f t="shared" si="12"/>
        <v>100112</v>
      </c>
      <c r="B256" s="3" t="s">
        <v>198</v>
      </c>
      <c r="C256" s="3" t="s">
        <v>299</v>
      </c>
      <c r="D256" s="3" t="str">
        <f t="shared" si="10"/>
        <v>c001_presona_13_Name</v>
      </c>
      <c r="E256" s="3">
        <v>10000001</v>
      </c>
      <c r="F256" s="3">
        <v>12</v>
      </c>
      <c r="G256" s="3" t="str">
        <f t="shared" si="13"/>
        <v>c001_persona_13</v>
      </c>
      <c r="H256" s="2">
        <v>1</v>
      </c>
    </row>
    <row r="257" spans="1:8" x14ac:dyDescent="0.3">
      <c r="A257" s="3">
        <f t="shared" si="12"/>
        <v>100113</v>
      </c>
      <c r="B257" s="3" t="s">
        <v>198</v>
      </c>
      <c r="C257" s="3" t="s">
        <v>299</v>
      </c>
      <c r="D257" s="3" t="str">
        <f t="shared" si="10"/>
        <v>c001_presona_14_Name</v>
      </c>
      <c r="E257" s="3">
        <v>10000001</v>
      </c>
      <c r="F257" s="3">
        <v>13</v>
      </c>
      <c r="G257" s="3" t="str">
        <f t="shared" si="13"/>
        <v>c001_persona_14</v>
      </c>
      <c r="H257" s="2">
        <v>1</v>
      </c>
    </row>
    <row r="258" spans="1:8" x14ac:dyDescent="0.3">
      <c r="A258" s="3">
        <f t="shared" si="12"/>
        <v>100114</v>
      </c>
      <c r="B258" s="3" t="s">
        <v>198</v>
      </c>
      <c r="C258" s="3" t="s">
        <v>299</v>
      </c>
      <c r="D258" s="3" t="str">
        <f t="shared" si="10"/>
        <v>c001_presona_15_Name</v>
      </c>
      <c r="E258" s="3">
        <v>10000001</v>
      </c>
      <c r="F258" s="3">
        <v>14</v>
      </c>
      <c r="G258" s="3" t="str">
        <f t="shared" si="13"/>
        <v>c001_persona_15</v>
      </c>
      <c r="H258" s="2">
        <v>1</v>
      </c>
    </row>
    <row r="259" spans="1:8" x14ac:dyDescent="0.3">
      <c r="A259" s="3">
        <f t="shared" si="12"/>
        <v>150200</v>
      </c>
      <c r="B259" s="3" t="s">
        <v>199</v>
      </c>
      <c r="C259" s="3" t="s">
        <v>300</v>
      </c>
      <c r="D259" s="3" t="str">
        <f t="shared" si="10"/>
        <v>c502_presona_01_Name</v>
      </c>
      <c r="E259" s="3">
        <v>10000502</v>
      </c>
      <c r="F259" s="3">
        <v>0</v>
      </c>
      <c r="G259" s="3" t="str">
        <f t="shared" ref="G259:G273" si="14">C259&amp;"_persona_"&amp;TEXT(F259+1, "00")</f>
        <v>c502_persona_01</v>
      </c>
      <c r="H259" s="2">
        <v>1</v>
      </c>
    </row>
    <row r="260" spans="1:8" x14ac:dyDescent="0.3">
      <c r="A260" s="3">
        <f t="shared" si="12"/>
        <v>150201</v>
      </c>
      <c r="B260" s="3" t="s">
        <v>199</v>
      </c>
      <c r="C260" s="3" t="s">
        <v>300</v>
      </c>
      <c r="D260" s="3" t="str">
        <f t="shared" si="10"/>
        <v>c502_presona_02_Name</v>
      </c>
      <c r="E260" s="3">
        <v>10000502</v>
      </c>
      <c r="F260" s="3">
        <v>1</v>
      </c>
      <c r="G260" s="3" t="str">
        <f t="shared" si="14"/>
        <v>c502_persona_02</v>
      </c>
      <c r="H260" s="2">
        <v>1</v>
      </c>
    </row>
    <row r="261" spans="1:8" x14ac:dyDescent="0.3">
      <c r="A261" s="3">
        <f t="shared" si="12"/>
        <v>150202</v>
      </c>
      <c r="B261" s="3" t="s">
        <v>199</v>
      </c>
      <c r="C261" s="3" t="s">
        <v>300</v>
      </c>
      <c r="D261" s="3" t="str">
        <f t="shared" si="10"/>
        <v>c502_presona_03_Name</v>
      </c>
      <c r="E261" s="3">
        <v>10000502</v>
      </c>
      <c r="F261" s="3">
        <v>2</v>
      </c>
      <c r="G261" s="3" t="str">
        <f t="shared" si="14"/>
        <v>c502_persona_03</v>
      </c>
      <c r="H261" s="2">
        <v>1</v>
      </c>
    </row>
    <row r="262" spans="1:8" x14ac:dyDescent="0.3">
      <c r="A262" s="3">
        <f t="shared" si="12"/>
        <v>150203</v>
      </c>
      <c r="B262" s="3" t="s">
        <v>199</v>
      </c>
      <c r="C262" s="3" t="s">
        <v>300</v>
      </c>
      <c r="D262" s="3" t="str">
        <f t="shared" si="10"/>
        <v>c502_presona_04_Name</v>
      </c>
      <c r="E262" s="3">
        <v>10000502</v>
      </c>
      <c r="F262" s="3">
        <v>3</v>
      </c>
      <c r="G262" s="3" t="str">
        <f t="shared" si="14"/>
        <v>c502_persona_04</v>
      </c>
      <c r="H262" s="2">
        <v>1</v>
      </c>
    </row>
    <row r="263" spans="1:8" x14ac:dyDescent="0.3">
      <c r="A263" s="3">
        <f t="shared" si="12"/>
        <v>150204</v>
      </c>
      <c r="B263" s="3" t="s">
        <v>199</v>
      </c>
      <c r="C263" s="3" t="s">
        <v>300</v>
      </c>
      <c r="D263" s="3" t="str">
        <f t="shared" si="10"/>
        <v>c502_presona_05_Name</v>
      </c>
      <c r="E263" s="3">
        <v>10000502</v>
      </c>
      <c r="F263" s="3">
        <v>4</v>
      </c>
      <c r="G263" s="3" t="str">
        <f t="shared" si="14"/>
        <v>c502_persona_05</v>
      </c>
      <c r="H263" s="2">
        <v>1</v>
      </c>
    </row>
    <row r="264" spans="1:8" x14ac:dyDescent="0.3">
      <c r="A264" s="3">
        <f t="shared" si="12"/>
        <v>150205</v>
      </c>
      <c r="B264" s="3" t="s">
        <v>199</v>
      </c>
      <c r="C264" s="3" t="s">
        <v>300</v>
      </c>
      <c r="D264" s="3" t="str">
        <f t="shared" si="10"/>
        <v>c502_presona_06_Name</v>
      </c>
      <c r="E264" s="3">
        <v>10000502</v>
      </c>
      <c r="F264" s="3">
        <v>5</v>
      </c>
      <c r="G264" s="3" t="str">
        <f t="shared" si="14"/>
        <v>c502_persona_06</v>
      </c>
      <c r="H264" s="2">
        <v>1</v>
      </c>
    </row>
    <row r="265" spans="1:8" x14ac:dyDescent="0.3">
      <c r="A265" s="3">
        <f t="shared" si="12"/>
        <v>150206</v>
      </c>
      <c r="B265" s="3" t="s">
        <v>199</v>
      </c>
      <c r="C265" s="3" t="s">
        <v>300</v>
      </c>
      <c r="D265" s="3" t="str">
        <f t="shared" si="10"/>
        <v>c502_presona_07_Name</v>
      </c>
      <c r="E265" s="3">
        <v>10000502</v>
      </c>
      <c r="F265" s="3">
        <v>6</v>
      </c>
      <c r="G265" s="3" t="str">
        <f t="shared" si="14"/>
        <v>c502_persona_07</v>
      </c>
      <c r="H265" s="2">
        <v>1</v>
      </c>
    </row>
    <row r="266" spans="1:8" x14ac:dyDescent="0.3">
      <c r="A266" s="3">
        <f t="shared" si="12"/>
        <v>150207</v>
      </c>
      <c r="B266" s="3" t="s">
        <v>199</v>
      </c>
      <c r="C266" s="3" t="s">
        <v>300</v>
      </c>
      <c r="D266" s="3" t="str">
        <f t="shared" si="10"/>
        <v>c502_presona_08_Name</v>
      </c>
      <c r="E266" s="3">
        <v>10000502</v>
      </c>
      <c r="F266" s="3">
        <v>7</v>
      </c>
      <c r="G266" s="3" t="str">
        <f t="shared" si="14"/>
        <v>c502_persona_08</v>
      </c>
      <c r="H266" s="2">
        <v>1</v>
      </c>
    </row>
    <row r="267" spans="1:8" x14ac:dyDescent="0.3">
      <c r="A267" s="3">
        <f t="shared" si="12"/>
        <v>150208</v>
      </c>
      <c r="B267" s="3" t="s">
        <v>199</v>
      </c>
      <c r="C267" s="3" t="s">
        <v>300</v>
      </c>
      <c r="D267" s="3" t="str">
        <f t="shared" si="10"/>
        <v>c502_presona_09_Name</v>
      </c>
      <c r="E267" s="3">
        <v>10000502</v>
      </c>
      <c r="F267" s="3">
        <v>8</v>
      </c>
      <c r="G267" s="3" t="str">
        <f t="shared" si="14"/>
        <v>c502_persona_09</v>
      </c>
      <c r="H267" s="2">
        <v>1</v>
      </c>
    </row>
    <row r="268" spans="1:8" x14ac:dyDescent="0.3">
      <c r="A268" s="3">
        <f t="shared" si="12"/>
        <v>150209</v>
      </c>
      <c r="B268" s="3" t="s">
        <v>199</v>
      </c>
      <c r="C268" s="3" t="s">
        <v>300</v>
      </c>
      <c r="D268" s="3" t="str">
        <f t="shared" si="10"/>
        <v>c502_presona_10_Name</v>
      </c>
      <c r="E268" s="3">
        <v>10000502</v>
      </c>
      <c r="F268" s="3">
        <v>9</v>
      </c>
      <c r="G268" s="3" t="str">
        <f t="shared" si="14"/>
        <v>c502_persona_10</v>
      </c>
      <c r="H268" s="2">
        <v>1</v>
      </c>
    </row>
    <row r="269" spans="1:8" x14ac:dyDescent="0.3">
      <c r="A269" s="3">
        <f t="shared" si="12"/>
        <v>150210</v>
      </c>
      <c r="B269" s="3" t="s">
        <v>199</v>
      </c>
      <c r="C269" s="3" t="s">
        <v>300</v>
      </c>
      <c r="D269" s="3" t="str">
        <f t="shared" si="10"/>
        <v>c502_presona_11_Name</v>
      </c>
      <c r="E269" s="3">
        <v>10000502</v>
      </c>
      <c r="F269" s="3">
        <v>10</v>
      </c>
      <c r="G269" s="3" t="str">
        <f t="shared" si="14"/>
        <v>c502_persona_11</v>
      </c>
      <c r="H269" s="2">
        <v>1</v>
      </c>
    </row>
    <row r="270" spans="1:8" x14ac:dyDescent="0.3">
      <c r="A270" s="3">
        <f t="shared" si="12"/>
        <v>150211</v>
      </c>
      <c r="B270" s="3" t="s">
        <v>199</v>
      </c>
      <c r="C270" s="3" t="s">
        <v>300</v>
      </c>
      <c r="D270" s="3" t="str">
        <f t="shared" si="10"/>
        <v>c502_presona_12_Name</v>
      </c>
      <c r="E270" s="3">
        <v>10000502</v>
      </c>
      <c r="F270" s="3">
        <v>11</v>
      </c>
      <c r="G270" s="3" t="str">
        <f t="shared" si="14"/>
        <v>c502_persona_12</v>
      </c>
      <c r="H270" s="2">
        <v>1</v>
      </c>
    </row>
    <row r="271" spans="1:8" x14ac:dyDescent="0.3">
      <c r="A271" s="3">
        <f t="shared" si="12"/>
        <v>150212</v>
      </c>
      <c r="B271" s="3" t="s">
        <v>199</v>
      </c>
      <c r="C271" s="3" t="s">
        <v>300</v>
      </c>
      <c r="D271" s="3" t="str">
        <f t="shared" si="10"/>
        <v>c502_presona_13_Name</v>
      </c>
      <c r="E271" s="3">
        <v>10000502</v>
      </c>
      <c r="F271" s="3">
        <v>12</v>
      </c>
      <c r="G271" s="3" t="str">
        <f t="shared" si="14"/>
        <v>c502_persona_13</v>
      </c>
      <c r="H271" s="2">
        <v>1</v>
      </c>
    </row>
    <row r="272" spans="1:8" x14ac:dyDescent="0.3">
      <c r="A272" s="3">
        <f t="shared" si="12"/>
        <v>150213</v>
      </c>
      <c r="B272" s="3" t="s">
        <v>199</v>
      </c>
      <c r="C272" s="3" t="s">
        <v>300</v>
      </c>
      <c r="D272" s="3" t="str">
        <f t="shared" si="10"/>
        <v>c502_presona_14_Name</v>
      </c>
      <c r="E272" s="3">
        <v>10000502</v>
      </c>
      <c r="F272" s="3">
        <v>13</v>
      </c>
      <c r="G272" s="3" t="str">
        <f t="shared" si="14"/>
        <v>c502_persona_14</v>
      </c>
      <c r="H272" s="2">
        <v>1</v>
      </c>
    </row>
    <row r="273" spans="1:8" x14ac:dyDescent="0.3">
      <c r="A273" s="3">
        <f t="shared" si="12"/>
        <v>150214</v>
      </c>
      <c r="B273" s="3" t="s">
        <v>199</v>
      </c>
      <c r="C273" s="3" t="s">
        <v>300</v>
      </c>
      <c r="D273" s="3" t="str">
        <f t="shared" si="10"/>
        <v>c502_presona_15_Name</v>
      </c>
      <c r="E273" s="3">
        <v>10000502</v>
      </c>
      <c r="F273" s="3">
        <v>14</v>
      </c>
      <c r="G273" s="3" t="str">
        <f t="shared" si="14"/>
        <v>c502_persona_15</v>
      </c>
      <c r="H273" s="2">
        <v>1</v>
      </c>
    </row>
    <row r="274" spans="1:8" x14ac:dyDescent="0.3">
      <c r="A274" s="3">
        <f t="shared" si="12"/>
        <v>141200</v>
      </c>
      <c r="B274" s="3" t="s">
        <v>200</v>
      </c>
      <c r="C274" s="3" t="s">
        <v>301</v>
      </c>
      <c r="D274" s="3" t="str">
        <f t="shared" si="10"/>
        <v>c412_presona_01_Name</v>
      </c>
      <c r="E274" s="3">
        <v>10000412</v>
      </c>
      <c r="F274" s="3">
        <v>0</v>
      </c>
      <c r="G274" s="3" t="s">
        <v>335</v>
      </c>
      <c r="H274" s="2">
        <v>1</v>
      </c>
    </row>
    <row r="275" spans="1:8" x14ac:dyDescent="0.3">
      <c r="A275" s="3">
        <f t="shared" si="12"/>
        <v>141201</v>
      </c>
      <c r="B275" s="3" t="s">
        <v>200</v>
      </c>
      <c r="C275" s="3" t="s">
        <v>301</v>
      </c>
      <c r="D275" s="3" t="str">
        <f t="shared" si="10"/>
        <v>c412_presona_02_Name</v>
      </c>
      <c r="E275" s="3">
        <v>10000412</v>
      </c>
      <c r="F275" s="3">
        <v>1</v>
      </c>
      <c r="G275" s="3" t="s">
        <v>335</v>
      </c>
      <c r="H275" s="2">
        <v>1</v>
      </c>
    </row>
    <row r="276" spans="1:8" x14ac:dyDescent="0.3">
      <c r="A276" s="3">
        <f t="shared" si="12"/>
        <v>141202</v>
      </c>
      <c r="B276" s="3" t="s">
        <v>200</v>
      </c>
      <c r="C276" s="3" t="s">
        <v>301</v>
      </c>
      <c r="D276" s="3" t="str">
        <f t="shared" ref="D276:D339" si="15">C276&amp;"_presona_"&amp;TEXT(F276+1, "00")&amp;"_Name"</f>
        <v>c412_presona_03_Name</v>
      </c>
      <c r="E276" s="3">
        <v>10000412</v>
      </c>
      <c r="F276" s="3">
        <v>2</v>
      </c>
      <c r="G276" s="3" t="s">
        <v>335</v>
      </c>
      <c r="H276" s="2">
        <v>1</v>
      </c>
    </row>
    <row r="277" spans="1:8" x14ac:dyDescent="0.3">
      <c r="A277" s="3">
        <f t="shared" si="12"/>
        <v>141203</v>
      </c>
      <c r="B277" s="3" t="s">
        <v>200</v>
      </c>
      <c r="C277" s="3" t="s">
        <v>301</v>
      </c>
      <c r="D277" s="3" t="str">
        <f t="shared" si="15"/>
        <v>c412_presona_04_Name</v>
      </c>
      <c r="E277" s="3">
        <v>10000412</v>
      </c>
      <c r="F277" s="3">
        <v>3</v>
      </c>
      <c r="G277" s="3" t="s">
        <v>335</v>
      </c>
      <c r="H277" s="2">
        <v>1</v>
      </c>
    </row>
    <row r="278" spans="1:8" x14ac:dyDescent="0.3">
      <c r="A278" s="3">
        <f t="shared" si="12"/>
        <v>141204</v>
      </c>
      <c r="B278" s="3" t="s">
        <v>200</v>
      </c>
      <c r="C278" s="3" t="s">
        <v>301</v>
      </c>
      <c r="D278" s="3" t="str">
        <f t="shared" si="15"/>
        <v>c412_presona_05_Name</v>
      </c>
      <c r="E278" s="3">
        <v>10000412</v>
      </c>
      <c r="F278" s="3">
        <v>4</v>
      </c>
      <c r="G278" s="3" t="s">
        <v>335</v>
      </c>
      <c r="H278" s="2">
        <v>1</v>
      </c>
    </row>
    <row r="279" spans="1:8" x14ac:dyDescent="0.3">
      <c r="A279" s="3">
        <f t="shared" si="12"/>
        <v>141205</v>
      </c>
      <c r="B279" s="3" t="s">
        <v>200</v>
      </c>
      <c r="C279" s="3" t="s">
        <v>301</v>
      </c>
      <c r="D279" s="3" t="str">
        <f t="shared" si="15"/>
        <v>c412_presona_06_Name</v>
      </c>
      <c r="E279" s="3">
        <v>10000412</v>
      </c>
      <c r="F279" s="3">
        <v>5</v>
      </c>
      <c r="G279" s="3" t="s">
        <v>335</v>
      </c>
      <c r="H279" s="2">
        <v>1</v>
      </c>
    </row>
    <row r="280" spans="1:8" x14ac:dyDescent="0.3">
      <c r="A280" s="3">
        <f t="shared" ref="A280:A343" si="16">(MOD(E280, 1000)+1000)*100+F280</f>
        <v>141206</v>
      </c>
      <c r="B280" s="3" t="s">
        <v>200</v>
      </c>
      <c r="C280" s="3" t="s">
        <v>301</v>
      </c>
      <c r="D280" s="3" t="str">
        <f t="shared" si="15"/>
        <v>c412_presona_07_Name</v>
      </c>
      <c r="E280" s="3">
        <v>10000412</v>
      </c>
      <c r="F280" s="3">
        <v>6</v>
      </c>
      <c r="G280" s="3" t="s">
        <v>335</v>
      </c>
      <c r="H280" s="2">
        <v>1</v>
      </c>
    </row>
    <row r="281" spans="1:8" x14ac:dyDescent="0.3">
      <c r="A281" s="3">
        <f t="shared" si="16"/>
        <v>141207</v>
      </c>
      <c r="B281" s="3" t="s">
        <v>200</v>
      </c>
      <c r="C281" s="3" t="s">
        <v>301</v>
      </c>
      <c r="D281" s="3" t="str">
        <f t="shared" si="15"/>
        <v>c412_presona_08_Name</v>
      </c>
      <c r="E281" s="3">
        <v>10000412</v>
      </c>
      <c r="F281" s="3">
        <v>7</v>
      </c>
      <c r="G281" s="3" t="s">
        <v>335</v>
      </c>
      <c r="H281" s="2">
        <v>1</v>
      </c>
    </row>
    <row r="282" spans="1:8" x14ac:dyDescent="0.3">
      <c r="A282" s="3">
        <f t="shared" si="16"/>
        <v>141208</v>
      </c>
      <c r="B282" s="3" t="s">
        <v>200</v>
      </c>
      <c r="C282" s="3" t="s">
        <v>301</v>
      </c>
      <c r="D282" s="3" t="str">
        <f t="shared" si="15"/>
        <v>c412_presona_09_Name</v>
      </c>
      <c r="E282" s="3">
        <v>10000412</v>
      </c>
      <c r="F282" s="3">
        <v>8</v>
      </c>
      <c r="G282" s="3" t="s">
        <v>335</v>
      </c>
      <c r="H282" s="2">
        <v>1</v>
      </c>
    </row>
    <row r="283" spans="1:8" x14ac:dyDescent="0.3">
      <c r="A283" s="3">
        <f t="shared" si="16"/>
        <v>141209</v>
      </c>
      <c r="B283" s="3" t="s">
        <v>200</v>
      </c>
      <c r="C283" s="3" t="s">
        <v>301</v>
      </c>
      <c r="D283" s="3" t="str">
        <f t="shared" si="15"/>
        <v>c412_presona_10_Name</v>
      </c>
      <c r="E283" s="3">
        <v>10000412</v>
      </c>
      <c r="F283" s="3">
        <v>9</v>
      </c>
      <c r="G283" s="3" t="s">
        <v>335</v>
      </c>
      <c r="H283" s="2">
        <v>1</v>
      </c>
    </row>
    <row r="284" spans="1:8" x14ac:dyDescent="0.3">
      <c r="A284" s="3">
        <f t="shared" si="16"/>
        <v>141210</v>
      </c>
      <c r="B284" s="3" t="s">
        <v>200</v>
      </c>
      <c r="C284" s="3" t="s">
        <v>301</v>
      </c>
      <c r="D284" s="3" t="str">
        <f t="shared" si="15"/>
        <v>c412_presona_11_Name</v>
      </c>
      <c r="E284" s="3">
        <v>10000412</v>
      </c>
      <c r="F284" s="3">
        <v>10</v>
      </c>
      <c r="G284" s="3" t="s">
        <v>335</v>
      </c>
      <c r="H284" s="2">
        <v>1</v>
      </c>
    </row>
    <row r="285" spans="1:8" x14ac:dyDescent="0.3">
      <c r="A285" s="3">
        <f t="shared" si="16"/>
        <v>141211</v>
      </c>
      <c r="B285" s="3" t="s">
        <v>200</v>
      </c>
      <c r="C285" s="3" t="s">
        <v>301</v>
      </c>
      <c r="D285" s="3" t="str">
        <f t="shared" si="15"/>
        <v>c412_presona_12_Name</v>
      </c>
      <c r="E285" s="3">
        <v>10000412</v>
      </c>
      <c r="F285" s="3">
        <v>11</v>
      </c>
      <c r="G285" s="3" t="s">
        <v>335</v>
      </c>
      <c r="H285" s="2">
        <v>1</v>
      </c>
    </row>
    <row r="286" spans="1:8" x14ac:dyDescent="0.3">
      <c r="A286" s="3">
        <f t="shared" si="16"/>
        <v>141212</v>
      </c>
      <c r="B286" s="3" t="s">
        <v>200</v>
      </c>
      <c r="C286" s="3" t="s">
        <v>301</v>
      </c>
      <c r="D286" s="3" t="str">
        <f t="shared" si="15"/>
        <v>c412_presona_13_Name</v>
      </c>
      <c r="E286" s="3">
        <v>10000412</v>
      </c>
      <c r="F286" s="3">
        <v>12</v>
      </c>
      <c r="G286" s="3" t="s">
        <v>335</v>
      </c>
      <c r="H286" s="2">
        <v>1</v>
      </c>
    </row>
    <row r="287" spans="1:8" x14ac:dyDescent="0.3">
      <c r="A287" s="3">
        <f t="shared" si="16"/>
        <v>141213</v>
      </c>
      <c r="B287" s="3" t="s">
        <v>200</v>
      </c>
      <c r="C287" s="3" t="s">
        <v>301</v>
      </c>
      <c r="D287" s="3" t="str">
        <f t="shared" si="15"/>
        <v>c412_presona_14_Name</v>
      </c>
      <c r="E287" s="3">
        <v>10000412</v>
      </c>
      <c r="F287" s="3">
        <v>13</v>
      </c>
      <c r="G287" s="3" t="s">
        <v>335</v>
      </c>
      <c r="H287" s="2">
        <v>1</v>
      </c>
    </row>
    <row r="288" spans="1:8" x14ac:dyDescent="0.3">
      <c r="A288" s="3">
        <f t="shared" si="16"/>
        <v>141214</v>
      </c>
      <c r="B288" s="3" t="s">
        <v>200</v>
      </c>
      <c r="C288" s="3" t="s">
        <v>301</v>
      </c>
      <c r="D288" s="3" t="str">
        <f t="shared" si="15"/>
        <v>c412_presona_15_Name</v>
      </c>
      <c r="E288" s="3">
        <v>10000412</v>
      </c>
      <c r="F288" s="3">
        <v>14</v>
      </c>
      <c r="G288" s="3" t="s">
        <v>335</v>
      </c>
      <c r="H288" s="2">
        <v>1</v>
      </c>
    </row>
    <row r="289" spans="1:8" x14ac:dyDescent="0.3">
      <c r="A289" s="3">
        <f t="shared" si="16"/>
        <v>115600</v>
      </c>
      <c r="B289" s="3" t="s">
        <v>260</v>
      </c>
      <c r="C289" s="3" t="s">
        <v>302</v>
      </c>
      <c r="D289" s="3" t="str">
        <f t="shared" si="15"/>
        <v>c156_presona_01_Name</v>
      </c>
      <c r="E289" s="3">
        <v>10000156</v>
      </c>
      <c r="F289" s="3">
        <v>0</v>
      </c>
      <c r="G289" s="3" t="str">
        <f>C289&amp;"_persona_"&amp;TEXT(F289+1, "00")</f>
        <v>c156_persona_01</v>
      </c>
      <c r="H289" s="2">
        <v>1</v>
      </c>
    </row>
    <row r="290" spans="1:8" x14ac:dyDescent="0.3">
      <c r="A290" s="3">
        <f t="shared" si="16"/>
        <v>115601</v>
      </c>
      <c r="B290" s="3" t="s">
        <v>260</v>
      </c>
      <c r="C290" s="3" t="s">
        <v>302</v>
      </c>
      <c r="D290" s="3" t="str">
        <f t="shared" si="15"/>
        <v>c156_presona_02_Name</v>
      </c>
      <c r="E290" s="3">
        <v>10000156</v>
      </c>
      <c r="F290" s="3">
        <v>1</v>
      </c>
      <c r="G290" s="3" t="str">
        <f t="shared" ref="G290:G303" si="17">C290&amp;"_persona_"&amp;TEXT(F290+1, "00")</f>
        <v>c156_persona_02</v>
      </c>
      <c r="H290" s="2">
        <v>1</v>
      </c>
    </row>
    <row r="291" spans="1:8" x14ac:dyDescent="0.3">
      <c r="A291" s="3">
        <f t="shared" si="16"/>
        <v>115602</v>
      </c>
      <c r="B291" s="3" t="s">
        <v>260</v>
      </c>
      <c r="C291" s="3" t="s">
        <v>302</v>
      </c>
      <c r="D291" s="3" t="str">
        <f t="shared" si="15"/>
        <v>c156_presona_03_Name</v>
      </c>
      <c r="E291" s="3">
        <v>10000156</v>
      </c>
      <c r="F291" s="3">
        <v>2</v>
      </c>
      <c r="G291" s="3" t="str">
        <f t="shared" si="17"/>
        <v>c156_persona_03</v>
      </c>
      <c r="H291" s="2">
        <v>1</v>
      </c>
    </row>
    <row r="292" spans="1:8" x14ac:dyDescent="0.3">
      <c r="A292" s="3">
        <f t="shared" si="16"/>
        <v>115603</v>
      </c>
      <c r="B292" s="3" t="s">
        <v>260</v>
      </c>
      <c r="C292" s="3" t="s">
        <v>302</v>
      </c>
      <c r="D292" s="3" t="str">
        <f t="shared" si="15"/>
        <v>c156_presona_04_Name</v>
      </c>
      <c r="E292" s="3">
        <v>10000156</v>
      </c>
      <c r="F292" s="3">
        <v>3</v>
      </c>
      <c r="G292" s="3" t="str">
        <f t="shared" si="17"/>
        <v>c156_persona_04</v>
      </c>
      <c r="H292" s="2">
        <v>1</v>
      </c>
    </row>
    <row r="293" spans="1:8" x14ac:dyDescent="0.3">
      <c r="A293" s="3">
        <f t="shared" si="16"/>
        <v>115604</v>
      </c>
      <c r="B293" s="3" t="s">
        <v>260</v>
      </c>
      <c r="C293" s="3" t="s">
        <v>302</v>
      </c>
      <c r="D293" s="3" t="str">
        <f t="shared" si="15"/>
        <v>c156_presona_05_Name</v>
      </c>
      <c r="E293" s="3">
        <v>10000156</v>
      </c>
      <c r="F293" s="3">
        <v>4</v>
      </c>
      <c r="G293" s="3" t="str">
        <f t="shared" si="17"/>
        <v>c156_persona_05</v>
      </c>
      <c r="H293" s="2">
        <v>1</v>
      </c>
    </row>
    <row r="294" spans="1:8" x14ac:dyDescent="0.3">
      <c r="A294" s="3">
        <f t="shared" si="16"/>
        <v>115605</v>
      </c>
      <c r="B294" s="3" t="s">
        <v>260</v>
      </c>
      <c r="C294" s="3" t="s">
        <v>302</v>
      </c>
      <c r="D294" s="3" t="str">
        <f t="shared" si="15"/>
        <v>c156_presona_06_Name</v>
      </c>
      <c r="E294" s="3">
        <v>10000156</v>
      </c>
      <c r="F294" s="3">
        <v>5</v>
      </c>
      <c r="G294" s="3" t="str">
        <f t="shared" si="17"/>
        <v>c156_persona_06</v>
      </c>
      <c r="H294" s="2">
        <v>1</v>
      </c>
    </row>
    <row r="295" spans="1:8" x14ac:dyDescent="0.3">
      <c r="A295" s="3">
        <f t="shared" si="16"/>
        <v>115606</v>
      </c>
      <c r="B295" s="3" t="s">
        <v>260</v>
      </c>
      <c r="C295" s="3" t="s">
        <v>302</v>
      </c>
      <c r="D295" s="3" t="str">
        <f t="shared" si="15"/>
        <v>c156_presona_07_Name</v>
      </c>
      <c r="E295" s="3">
        <v>10000156</v>
      </c>
      <c r="F295" s="3">
        <v>6</v>
      </c>
      <c r="G295" s="3" t="str">
        <f t="shared" si="17"/>
        <v>c156_persona_07</v>
      </c>
      <c r="H295" s="2">
        <v>1</v>
      </c>
    </row>
    <row r="296" spans="1:8" x14ac:dyDescent="0.3">
      <c r="A296" s="3">
        <f t="shared" si="16"/>
        <v>115607</v>
      </c>
      <c r="B296" s="3" t="s">
        <v>260</v>
      </c>
      <c r="C296" s="3" t="s">
        <v>302</v>
      </c>
      <c r="D296" s="3" t="str">
        <f t="shared" si="15"/>
        <v>c156_presona_08_Name</v>
      </c>
      <c r="E296" s="3">
        <v>10000156</v>
      </c>
      <c r="F296" s="3">
        <v>7</v>
      </c>
      <c r="G296" s="3" t="str">
        <f t="shared" si="17"/>
        <v>c156_persona_08</v>
      </c>
      <c r="H296" s="2">
        <v>1</v>
      </c>
    </row>
    <row r="297" spans="1:8" x14ac:dyDescent="0.3">
      <c r="A297" s="3">
        <f t="shared" si="16"/>
        <v>115608</v>
      </c>
      <c r="B297" s="3" t="s">
        <v>260</v>
      </c>
      <c r="C297" s="3" t="s">
        <v>302</v>
      </c>
      <c r="D297" s="3" t="str">
        <f t="shared" si="15"/>
        <v>c156_presona_09_Name</v>
      </c>
      <c r="E297" s="3">
        <v>10000156</v>
      </c>
      <c r="F297" s="3">
        <v>8</v>
      </c>
      <c r="G297" s="3" t="str">
        <f t="shared" si="17"/>
        <v>c156_persona_09</v>
      </c>
      <c r="H297" s="2">
        <v>1</v>
      </c>
    </row>
    <row r="298" spans="1:8" x14ac:dyDescent="0.3">
      <c r="A298" s="3">
        <f t="shared" si="16"/>
        <v>115609</v>
      </c>
      <c r="B298" s="3" t="s">
        <v>260</v>
      </c>
      <c r="C298" s="3" t="s">
        <v>302</v>
      </c>
      <c r="D298" s="3" t="str">
        <f t="shared" si="15"/>
        <v>c156_presona_10_Name</v>
      </c>
      <c r="E298" s="3">
        <v>10000156</v>
      </c>
      <c r="F298" s="3">
        <v>9</v>
      </c>
      <c r="G298" s="3" t="str">
        <f t="shared" si="17"/>
        <v>c156_persona_10</v>
      </c>
      <c r="H298" s="2">
        <v>1</v>
      </c>
    </row>
    <row r="299" spans="1:8" x14ac:dyDescent="0.3">
      <c r="A299" s="3">
        <f t="shared" si="16"/>
        <v>115610</v>
      </c>
      <c r="B299" s="3" t="s">
        <v>260</v>
      </c>
      <c r="C299" s="3" t="s">
        <v>302</v>
      </c>
      <c r="D299" s="3" t="str">
        <f t="shared" si="15"/>
        <v>c156_presona_11_Name</v>
      </c>
      <c r="E299" s="3">
        <v>10000156</v>
      </c>
      <c r="F299" s="3">
        <v>10</v>
      </c>
      <c r="G299" s="3" t="str">
        <f t="shared" si="17"/>
        <v>c156_persona_11</v>
      </c>
      <c r="H299" s="2">
        <v>1</v>
      </c>
    </row>
    <row r="300" spans="1:8" x14ac:dyDescent="0.3">
      <c r="A300" s="3">
        <f t="shared" si="16"/>
        <v>115611</v>
      </c>
      <c r="B300" s="3" t="s">
        <v>260</v>
      </c>
      <c r="C300" s="3" t="s">
        <v>302</v>
      </c>
      <c r="D300" s="3" t="str">
        <f t="shared" si="15"/>
        <v>c156_presona_12_Name</v>
      </c>
      <c r="E300" s="3">
        <v>10000156</v>
      </c>
      <c r="F300" s="3">
        <v>11</v>
      </c>
      <c r="G300" s="3" t="str">
        <f t="shared" si="17"/>
        <v>c156_persona_12</v>
      </c>
      <c r="H300" s="2">
        <v>1</v>
      </c>
    </row>
    <row r="301" spans="1:8" x14ac:dyDescent="0.3">
      <c r="A301" s="3">
        <f t="shared" si="16"/>
        <v>115612</v>
      </c>
      <c r="B301" s="3" t="s">
        <v>260</v>
      </c>
      <c r="C301" s="3" t="s">
        <v>302</v>
      </c>
      <c r="D301" s="3" t="str">
        <f t="shared" si="15"/>
        <v>c156_presona_13_Name</v>
      </c>
      <c r="E301" s="3">
        <v>10000156</v>
      </c>
      <c r="F301" s="3">
        <v>12</v>
      </c>
      <c r="G301" s="3" t="str">
        <f t="shared" si="17"/>
        <v>c156_persona_13</v>
      </c>
      <c r="H301" s="2">
        <v>1</v>
      </c>
    </row>
    <row r="302" spans="1:8" x14ac:dyDescent="0.3">
      <c r="A302" s="3">
        <f t="shared" si="16"/>
        <v>115613</v>
      </c>
      <c r="B302" s="3" t="s">
        <v>260</v>
      </c>
      <c r="C302" s="3" t="s">
        <v>302</v>
      </c>
      <c r="D302" s="3" t="str">
        <f t="shared" si="15"/>
        <v>c156_presona_14_Name</v>
      </c>
      <c r="E302" s="3">
        <v>10000156</v>
      </c>
      <c r="F302" s="3">
        <v>13</v>
      </c>
      <c r="G302" s="3" t="str">
        <f t="shared" si="17"/>
        <v>c156_persona_14</v>
      </c>
      <c r="H302" s="2">
        <v>1</v>
      </c>
    </row>
    <row r="303" spans="1:8" x14ac:dyDescent="0.3">
      <c r="A303" s="3">
        <f t="shared" si="16"/>
        <v>115614</v>
      </c>
      <c r="B303" s="3" t="s">
        <v>260</v>
      </c>
      <c r="C303" s="3" t="s">
        <v>302</v>
      </c>
      <c r="D303" s="3" t="str">
        <f t="shared" si="15"/>
        <v>c156_presona_15_Name</v>
      </c>
      <c r="E303" s="3">
        <v>10000156</v>
      </c>
      <c r="F303" s="3">
        <v>14</v>
      </c>
      <c r="G303" s="3" t="str">
        <f t="shared" si="17"/>
        <v>c156_persona_15</v>
      </c>
      <c r="H303" s="2">
        <v>1</v>
      </c>
    </row>
    <row r="304" spans="1:8" x14ac:dyDescent="0.3">
      <c r="A304" s="3">
        <f t="shared" si="16"/>
        <v>131800</v>
      </c>
      <c r="B304" s="3" t="s">
        <v>235</v>
      </c>
      <c r="C304" s="3" t="s">
        <v>303</v>
      </c>
      <c r="D304" s="3" t="str">
        <f t="shared" si="15"/>
        <v>c318_presona_01_Name</v>
      </c>
      <c r="E304" s="3">
        <v>10000318</v>
      </c>
      <c r="F304" s="3">
        <v>0</v>
      </c>
      <c r="G304" s="3" t="s">
        <v>335</v>
      </c>
      <c r="H304" s="2">
        <v>1</v>
      </c>
    </row>
    <row r="305" spans="1:8" x14ac:dyDescent="0.3">
      <c r="A305" s="3">
        <f t="shared" si="16"/>
        <v>131801</v>
      </c>
      <c r="B305" s="3" t="s">
        <v>235</v>
      </c>
      <c r="C305" s="3" t="s">
        <v>303</v>
      </c>
      <c r="D305" s="3" t="str">
        <f t="shared" si="15"/>
        <v>c318_presona_02_Name</v>
      </c>
      <c r="E305" s="3">
        <v>10000318</v>
      </c>
      <c r="F305" s="3">
        <v>1</v>
      </c>
      <c r="G305" s="3" t="s">
        <v>335</v>
      </c>
      <c r="H305" s="2">
        <v>1</v>
      </c>
    </row>
    <row r="306" spans="1:8" x14ac:dyDescent="0.3">
      <c r="A306" s="3">
        <f t="shared" si="16"/>
        <v>131802</v>
      </c>
      <c r="B306" s="3" t="s">
        <v>235</v>
      </c>
      <c r="C306" s="3" t="s">
        <v>303</v>
      </c>
      <c r="D306" s="3" t="str">
        <f t="shared" si="15"/>
        <v>c318_presona_03_Name</v>
      </c>
      <c r="E306" s="3">
        <v>10000318</v>
      </c>
      <c r="F306" s="3">
        <v>2</v>
      </c>
      <c r="G306" s="3" t="s">
        <v>335</v>
      </c>
      <c r="H306" s="2">
        <v>1</v>
      </c>
    </row>
    <row r="307" spans="1:8" x14ac:dyDescent="0.3">
      <c r="A307" s="3">
        <f t="shared" si="16"/>
        <v>131803</v>
      </c>
      <c r="B307" s="3" t="s">
        <v>235</v>
      </c>
      <c r="C307" s="3" t="s">
        <v>303</v>
      </c>
      <c r="D307" s="3" t="str">
        <f t="shared" si="15"/>
        <v>c318_presona_04_Name</v>
      </c>
      <c r="E307" s="3">
        <v>10000318</v>
      </c>
      <c r="F307" s="3">
        <v>3</v>
      </c>
      <c r="G307" s="3" t="s">
        <v>335</v>
      </c>
      <c r="H307" s="2">
        <v>1</v>
      </c>
    </row>
    <row r="308" spans="1:8" x14ac:dyDescent="0.3">
      <c r="A308" s="3">
        <f t="shared" si="16"/>
        <v>131804</v>
      </c>
      <c r="B308" s="3" t="s">
        <v>235</v>
      </c>
      <c r="C308" s="3" t="s">
        <v>303</v>
      </c>
      <c r="D308" s="3" t="str">
        <f t="shared" si="15"/>
        <v>c318_presona_05_Name</v>
      </c>
      <c r="E308" s="3">
        <v>10000318</v>
      </c>
      <c r="F308" s="3">
        <v>4</v>
      </c>
      <c r="G308" s="3" t="s">
        <v>335</v>
      </c>
      <c r="H308" s="2">
        <v>1</v>
      </c>
    </row>
    <row r="309" spans="1:8" x14ac:dyDescent="0.3">
      <c r="A309" s="3">
        <f t="shared" si="16"/>
        <v>131805</v>
      </c>
      <c r="B309" s="3" t="s">
        <v>235</v>
      </c>
      <c r="C309" s="3" t="s">
        <v>303</v>
      </c>
      <c r="D309" s="3" t="str">
        <f t="shared" si="15"/>
        <v>c318_presona_06_Name</v>
      </c>
      <c r="E309" s="3">
        <v>10000318</v>
      </c>
      <c r="F309" s="3">
        <v>5</v>
      </c>
      <c r="G309" s="3" t="s">
        <v>335</v>
      </c>
      <c r="H309" s="2">
        <v>1</v>
      </c>
    </row>
    <row r="310" spans="1:8" x14ac:dyDescent="0.3">
      <c r="A310" s="3">
        <f t="shared" si="16"/>
        <v>131806</v>
      </c>
      <c r="B310" s="3" t="s">
        <v>235</v>
      </c>
      <c r="C310" s="3" t="s">
        <v>303</v>
      </c>
      <c r="D310" s="3" t="str">
        <f t="shared" si="15"/>
        <v>c318_presona_07_Name</v>
      </c>
      <c r="E310" s="3">
        <v>10000318</v>
      </c>
      <c r="F310" s="3">
        <v>6</v>
      </c>
      <c r="G310" s="3" t="s">
        <v>335</v>
      </c>
      <c r="H310" s="2">
        <v>1</v>
      </c>
    </row>
    <row r="311" spans="1:8" x14ac:dyDescent="0.3">
      <c r="A311" s="3">
        <f t="shared" si="16"/>
        <v>131807</v>
      </c>
      <c r="B311" s="3" t="s">
        <v>235</v>
      </c>
      <c r="C311" s="3" t="s">
        <v>303</v>
      </c>
      <c r="D311" s="3" t="str">
        <f t="shared" si="15"/>
        <v>c318_presona_08_Name</v>
      </c>
      <c r="E311" s="3">
        <v>10000318</v>
      </c>
      <c r="F311" s="3">
        <v>7</v>
      </c>
      <c r="G311" s="3" t="s">
        <v>335</v>
      </c>
      <c r="H311" s="2">
        <v>1</v>
      </c>
    </row>
    <row r="312" spans="1:8" x14ac:dyDescent="0.3">
      <c r="A312" s="3">
        <f t="shared" si="16"/>
        <v>131808</v>
      </c>
      <c r="B312" s="3" t="s">
        <v>235</v>
      </c>
      <c r="C312" s="3" t="s">
        <v>303</v>
      </c>
      <c r="D312" s="3" t="str">
        <f t="shared" si="15"/>
        <v>c318_presona_09_Name</v>
      </c>
      <c r="E312" s="3">
        <v>10000318</v>
      </c>
      <c r="F312" s="3">
        <v>8</v>
      </c>
      <c r="G312" s="3" t="s">
        <v>335</v>
      </c>
      <c r="H312" s="2">
        <v>1</v>
      </c>
    </row>
    <row r="313" spans="1:8" x14ac:dyDescent="0.3">
      <c r="A313" s="3">
        <f t="shared" si="16"/>
        <v>131809</v>
      </c>
      <c r="B313" s="3" t="s">
        <v>235</v>
      </c>
      <c r="C313" s="3" t="s">
        <v>303</v>
      </c>
      <c r="D313" s="3" t="str">
        <f t="shared" si="15"/>
        <v>c318_presona_10_Name</v>
      </c>
      <c r="E313" s="3">
        <v>10000318</v>
      </c>
      <c r="F313" s="3">
        <v>9</v>
      </c>
      <c r="G313" s="3" t="s">
        <v>335</v>
      </c>
      <c r="H313" s="2">
        <v>1</v>
      </c>
    </row>
    <row r="314" spans="1:8" x14ac:dyDescent="0.3">
      <c r="A314" s="3">
        <f t="shared" si="16"/>
        <v>131810</v>
      </c>
      <c r="B314" s="3" t="s">
        <v>235</v>
      </c>
      <c r="C314" s="3" t="s">
        <v>303</v>
      </c>
      <c r="D314" s="3" t="str">
        <f t="shared" si="15"/>
        <v>c318_presona_11_Name</v>
      </c>
      <c r="E314" s="3">
        <v>10000318</v>
      </c>
      <c r="F314" s="3">
        <v>10</v>
      </c>
      <c r="G314" s="3" t="s">
        <v>335</v>
      </c>
      <c r="H314" s="2">
        <v>1</v>
      </c>
    </row>
    <row r="315" spans="1:8" x14ac:dyDescent="0.3">
      <c r="A315" s="3">
        <f t="shared" si="16"/>
        <v>131811</v>
      </c>
      <c r="B315" s="3" t="s">
        <v>235</v>
      </c>
      <c r="C315" s="3" t="s">
        <v>303</v>
      </c>
      <c r="D315" s="3" t="str">
        <f t="shared" si="15"/>
        <v>c318_presona_12_Name</v>
      </c>
      <c r="E315" s="3">
        <v>10000318</v>
      </c>
      <c r="F315" s="3">
        <v>11</v>
      </c>
      <c r="G315" s="3" t="s">
        <v>335</v>
      </c>
      <c r="H315" s="2">
        <v>1</v>
      </c>
    </row>
    <row r="316" spans="1:8" x14ac:dyDescent="0.3">
      <c r="A316" s="3">
        <f t="shared" si="16"/>
        <v>131812</v>
      </c>
      <c r="B316" s="3" t="s">
        <v>235</v>
      </c>
      <c r="C316" s="3" t="s">
        <v>303</v>
      </c>
      <c r="D316" s="3" t="str">
        <f t="shared" si="15"/>
        <v>c318_presona_13_Name</v>
      </c>
      <c r="E316" s="3">
        <v>10000318</v>
      </c>
      <c r="F316" s="3">
        <v>12</v>
      </c>
      <c r="G316" s="3" t="s">
        <v>335</v>
      </c>
      <c r="H316" s="2">
        <v>1</v>
      </c>
    </row>
    <row r="317" spans="1:8" x14ac:dyDescent="0.3">
      <c r="A317" s="3">
        <f t="shared" si="16"/>
        <v>131813</v>
      </c>
      <c r="B317" s="3" t="s">
        <v>235</v>
      </c>
      <c r="C317" s="3" t="s">
        <v>303</v>
      </c>
      <c r="D317" s="3" t="str">
        <f t="shared" si="15"/>
        <v>c318_presona_14_Name</v>
      </c>
      <c r="E317" s="3">
        <v>10000318</v>
      </c>
      <c r="F317" s="3">
        <v>13</v>
      </c>
      <c r="G317" s="3" t="s">
        <v>335</v>
      </c>
      <c r="H317" s="2">
        <v>1</v>
      </c>
    </row>
    <row r="318" spans="1:8" x14ac:dyDescent="0.3">
      <c r="A318" s="3">
        <f t="shared" si="16"/>
        <v>131814</v>
      </c>
      <c r="B318" s="3" t="s">
        <v>235</v>
      </c>
      <c r="C318" s="3" t="s">
        <v>303</v>
      </c>
      <c r="D318" s="3" t="str">
        <f t="shared" si="15"/>
        <v>c318_presona_15_Name</v>
      </c>
      <c r="E318" s="3">
        <v>10000318</v>
      </c>
      <c r="F318" s="3">
        <v>14</v>
      </c>
      <c r="G318" s="3" t="s">
        <v>335</v>
      </c>
      <c r="H318" s="2">
        <v>1</v>
      </c>
    </row>
    <row r="319" spans="1:8" x14ac:dyDescent="0.3">
      <c r="A319" s="3">
        <f t="shared" si="16"/>
        <v>152500</v>
      </c>
      <c r="B319" s="3" t="s">
        <v>218</v>
      </c>
      <c r="C319" s="3" t="s">
        <v>304</v>
      </c>
      <c r="D319" s="3" t="str">
        <f t="shared" si="15"/>
        <v>c525_presona_01_Name</v>
      </c>
      <c r="E319" s="3">
        <v>10000525</v>
      </c>
      <c r="F319" s="3">
        <v>0</v>
      </c>
      <c r="G319" s="3" t="str">
        <f t="shared" ref="G319:G333" si="18">C319&amp;"_persona_"&amp;TEXT(F319+1, "00")</f>
        <v>c525_persona_01</v>
      </c>
      <c r="H319" s="2">
        <v>1</v>
      </c>
    </row>
    <row r="320" spans="1:8" x14ac:dyDescent="0.3">
      <c r="A320" s="3">
        <f t="shared" si="16"/>
        <v>152501</v>
      </c>
      <c r="B320" s="3" t="s">
        <v>218</v>
      </c>
      <c r="C320" s="3" t="s">
        <v>304</v>
      </c>
      <c r="D320" s="3" t="str">
        <f t="shared" si="15"/>
        <v>c525_presona_02_Name</v>
      </c>
      <c r="E320" s="3">
        <v>10000525</v>
      </c>
      <c r="F320" s="3">
        <v>1</v>
      </c>
      <c r="G320" s="3" t="str">
        <f t="shared" si="18"/>
        <v>c525_persona_02</v>
      </c>
      <c r="H320" s="2">
        <v>1</v>
      </c>
    </row>
    <row r="321" spans="1:8" x14ac:dyDescent="0.3">
      <c r="A321" s="3">
        <f t="shared" si="16"/>
        <v>152502</v>
      </c>
      <c r="B321" s="3" t="s">
        <v>218</v>
      </c>
      <c r="C321" s="3" t="s">
        <v>304</v>
      </c>
      <c r="D321" s="3" t="str">
        <f t="shared" si="15"/>
        <v>c525_presona_03_Name</v>
      </c>
      <c r="E321" s="3">
        <v>10000525</v>
      </c>
      <c r="F321" s="3">
        <v>2</v>
      </c>
      <c r="G321" s="3" t="str">
        <f t="shared" si="18"/>
        <v>c525_persona_03</v>
      </c>
      <c r="H321" s="2">
        <v>1</v>
      </c>
    </row>
    <row r="322" spans="1:8" x14ac:dyDescent="0.3">
      <c r="A322" s="3">
        <f t="shared" si="16"/>
        <v>152503</v>
      </c>
      <c r="B322" s="3" t="s">
        <v>218</v>
      </c>
      <c r="C322" s="3" t="s">
        <v>304</v>
      </c>
      <c r="D322" s="3" t="str">
        <f t="shared" si="15"/>
        <v>c525_presona_04_Name</v>
      </c>
      <c r="E322" s="3">
        <v>10000525</v>
      </c>
      <c r="F322" s="3">
        <v>3</v>
      </c>
      <c r="G322" s="3" t="str">
        <f t="shared" si="18"/>
        <v>c525_persona_04</v>
      </c>
      <c r="H322" s="2">
        <v>1</v>
      </c>
    </row>
    <row r="323" spans="1:8" x14ac:dyDescent="0.3">
      <c r="A323" s="3">
        <f t="shared" si="16"/>
        <v>152504</v>
      </c>
      <c r="B323" s="3" t="s">
        <v>218</v>
      </c>
      <c r="C323" s="3" t="s">
        <v>304</v>
      </c>
      <c r="D323" s="3" t="str">
        <f t="shared" si="15"/>
        <v>c525_presona_05_Name</v>
      </c>
      <c r="E323" s="3">
        <v>10000525</v>
      </c>
      <c r="F323" s="3">
        <v>4</v>
      </c>
      <c r="G323" s="3" t="str">
        <f t="shared" si="18"/>
        <v>c525_persona_05</v>
      </c>
      <c r="H323" s="2">
        <v>1</v>
      </c>
    </row>
    <row r="324" spans="1:8" x14ac:dyDescent="0.3">
      <c r="A324" s="3">
        <f t="shared" si="16"/>
        <v>152505</v>
      </c>
      <c r="B324" s="3" t="s">
        <v>218</v>
      </c>
      <c r="C324" s="3" t="s">
        <v>304</v>
      </c>
      <c r="D324" s="3" t="str">
        <f t="shared" si="15"/>
        <v>c525_presona_06_Name</v>
      </c>
      <c r="E324" s="3">
        <v>10000525</v>
      </c>
      <c r="F324" s="3">
        <v>5</v>
      </c>
      <c r="G324" s="3" t="str">
        <f t="shared" si="18"/>
        <v>c525_persona_06</v>
      </c>
      <c r="H324" s="2">
        <v>1</v>
      </c>
    </row>
    <row r="325" spans="1:8" x14ac:dyDescent="0.3">
      <c r="A325" s="3">
        <f t="shared" si="16"/>
        <v>152506</v>
      </c>
      <c r="B325" s="3" t="s">
        <v>218</v>
      </c>
      <c r="C325" s="3" t="s">
        <v>304</v>
      </c>
      <c r="D325" s="3" t="str">
        <f t="shared" si="15"/>
        <v>c525_presona_07_Name</v>
      </c>
      <c r="E325" s="3">
        <v>10000525</v>
      </c>
      <c r="F325" s="3">
        <v>6</v>
      </c>
      <c r="G325" s="3" t="str">
        <f t="shared" si="18"/>
        <v>c525_persona_07</v>
      </c>
      <c r="H325" s="2">
        <v>1</v>
      </c>
    </row>
    <row r="326" spans="1:8" x14ac:dyDescent="0.3">
      <c r="A326" s="3">
        <f t="shared" si="16"/>
        <v>152507</v>
      </c>
      <c r="B326" s="3" t="s">
        <v>218</v>
      </c>
      <c r="C326" s="3" t="s">
        <v>304</v>
      </c>
      <c r="D326" s="3" t="str">
        <f t="shared" si="15"/>
        <v>c525_presona_08_Name</v>
      </c>
      <c r="E326" s="3">
        <v>10000525</v>
      </c>
      <c r="F326" s="3">
        <v>7</v>
      </c>
      <c r="G326" s="3" t="str">
        <f t="shared" si="18"/>
        <v>c525_persona_08</v>
      </c>
      <c r="H326" s="2">
        <v>1</v>
      </c>
    </row>
    <row r="327" spans="1:8" x14ac:dyDescent="0.3">
      <c r="A327" s="3">
        <f t="shared" si="16"/>
        <v>152508</v>
      </c>
      <c r="B327" s="3" t="s">
        <v>218</v>
      </c>
      <c r="C327" s="3" t="s">
        <v>304</v>
      </c>
      <c r="D327" s="3" t="str">
        <f t="shared" si="15"/>
        <v>c525_presona_09_Name</v>
      </c>
      <c r="E327" s="3">
        <v>10000525</v>
      </c>
      <c r="F327" s="3">
        <v>8</v>
      </c>
      <c r="G327" s="3" t="str">
        <f t="shared" si="18"/>
        <v>c525_persona_09</v>
      </c>
      <c r="H327" s="2">
        <v>1</v>
      </c>
    </row>
    <row r="328" spans="1:8" x14ac:dyDescent="0.3">
      <c r="A328" s="3">
        <f t="shared" si="16"/>
        <v>152509</v>
      </c>
      <c r="B328" s="3" t="s">
        <v>218</v>
      </c>
      <c r="C328" s="3" t="s">
        <v>304</v>
      </c>
      <c r="D328" s="3" t="str">
        <f t="shared" si="15"/>
        <v>c525_presona_10_Name</v>
      </c>
      <c r="E328" s="3">
        <v>10000525</v>
      </c>
      <c r="F328" s="3">
        <v>9</v>
      </c>
      <c r="G328" s="3" t="str">
        <f t="shared" si="18"/>
        <v>c525_persona_10</v>
      </c>
      <c r="H328" s="2">
        <v>1</v>
      </c>
    </row>
    <row r="329" spans="1:8" x14ac:dyDescent="0.3">
      <c r="A329" s="3">
        <f t="shared" si="16"/>
        <v>152510</v>
      </c>
      <c r="B329" s="3" t="s">
        <v>218</v>
      </c>
      <c r="C329" s="3" t="s">
        <v>304</v>
      </c>
      <c r="D329" s="3" t="str">
        <f t="shared" si="15"/>
        <v>c525_presona_11_Name</v>
      </c>
      <c r="E329" s="3">
        <v>10000525</v>
      </c>
      <c r="F329" s="3">
        <v>10</v>
      </c>
      <c r="G329" s="3" t="str">
        <f t="shared" si="18"/>
        <v>c525_persona_11</v>
      </c>
      <c r="H329" s="2">
        <v>1</v>
      </c>
    </row>
    <row r="330" spans="1:8" x14ac:dyDescent="0.3">
      <c r="A330" s="3">
        <f t="shared" si="16"/>
        <v>152511</v>
      </c>
      <c r="B330" s="3" t="s">
        <v>218</v>
      </c>
      <c r="C330" s="3" t="s">
        <v>304</v>
      </c>
      <c r="D330" s="3" t="str">
        <f t="shared" si="15"/>
        <v>c525_presona_12_Name</v>
      </c>
      <c r="E330" s="3">
        <v>10000525</v>
      </c>
      <c r="F330" s="3">
        <v>11</v>
      </c>
      <c r="G330" s="3" t="str">
        <f t="shared" si="18"/>
        <v>c525_persona_12</v>
      </c>
      <c r="H330" s="2">
        <v>1</v>
      </c>
    </row>
    <row r="331" spans="1:8" x14ac:dyDescent="0.3">
      <c r="A331" s="3">
        <f t="shared" si="16"/>
        <v>152512</v>
      </c>
      <c r="B331" s="3" t="s">
        <v>218</v>
      </c>
      <c r="C331" s="3" t="s">
        <v>304</v>
      </c>
      <c r="D331" s="3" t="str">
        <f t="shared" si="15"/>
        <v>c525_presona_13_Name</v>
      </c>
      <c r="E331" s="3">
        <v>10000525</v>
      </c>
      <c r="F331" s="3">
        <v>12</v>
      </c>
      <c r="G331" s="3" t="str">
        <f t="shared" si="18"/>
        <v>c525_persona_13</v>
      </c>
      <c r="H331" s="2">
        <v>1</v>
      </c>
    </row>
    <row r="332" spans="1:8" x14ac:dyDescent="0.3">
      <c r="A332" s="3">
        <f t="shared" si="16"/>
        <v>152513</v>
      </c>
      <c r="B332" s="3" t="s">
        <v>218</v>
      </c>
      <c r="C332" s="3" t="s">
        <v>304</v>
      </c>
      <c r="D332" s="3" t="str">
        <f t="shared" si="15"/>
        <v>c525_presona_14_Name</v>
      </c>
      <c r="E332" s="3">
        <v>10000525</v>
      </c>
      <c r="F332" s="3">
        <v>13</v>
      </c>
      <c r="G332" s="3" t="str">
        <f t="shared" si="18"/>
        <v>c525_persona_14</v>
      </c>
      <c r="H332" s="2">
        <v>1</v>
      </c>
    </row>
    <row r="333" spans="1:8" x14ac:dyDescent="0.3">
      <c r="A333" s="3">
        <f t="shared" si="16"/>
        <v>152514</v>
      </c>
      <c r="B333" s="3" t="s">
        <v>218</v>
      </c>
      <c r="C333" s="3" t="s">
        <v>304</v>
      </c>
      <c r="D333" s="3" t="str">
        <f t="shared" si="15"/>
        <v>c525_presona_15_Name</v>
      </c>
      <c r="E333" s="3">
        <v>10000525</v>
      </c>
      <c r="F333" s="3">
        <v>14</v>
      </c>
      <c r="G333" s="3" t="str">
        <f t="shared" si="18"/>
        <v>c525_persona_15</v>
      </c>
      <c r="H333" s="2">
        <v>1</v>
      </c>
    </row>
    <row r="334" spans="1:8" x14ac:dyDescent="0.3">
      <c r="A334" s="3">
        <f t="shared" si="16"/>
        <v>144200</v>
      </c>
      <c r="B334" s="3" t="s">
        <v>219</v>
      </c>
      <c r="C334" s="3" t="s">
        <v>305</v>
      </c>
      <c r="D334" s="3" t="str">
        <f t="shared" si="15"/>
        <v>c442_presona_01_Name</v>
      </c>
      <c r="E334" s="3">
        <v>10000442</v>
      </c>
      <c r="F334" s="3">
        <v>0</v>
      </c>
      <c r="G334" s="3" t="s">
        <v>335</v>
      </c>
      <c r="H334" s="2">
        <v>1</v>
      </c>
    </row>
    <row r="335" spans="1:8" x14ac:dyDescent="0.3">
      <c r="A335" s="3">
        <f t="shared" si="16"/>
        <v>144201</v>
      </c>
      <c r="B335" s="3" t="s">
        <v>219</v>
      </c>
      <c r="C335" s="3" t="s">
        <v>305</v>
      </c>
      <c r="D335" s="3" t="str">
        <f t="shared" si="15"/>
        <v>c442_presona_02_Name</v>
      </c>
      <c r="E335" s="3">
        <v>10000442</v>
      </c>
      <c r="F335" s="3">
        <v>1</v>
      </c>
      <c r="G335" s="3" t="s">
        <v>335</v>
      </c>
      <c r="H335" s="2">
        <v>1</v>
      </c>
    </row>
    <row r="336" spans="1:8" x14ac:dyDescent="0.3">
      <c r="A336" s="3">
        <f t="shared" si="16"/>
        <v>144202</v>
      </c>
      <c r="B336" s="3" t="s">
        <v>219</v>
      </c>
      <c r="C336" s="3" t="s">
        <v>305</v>
      </c>
      <c r="D336" s="3" t="str">
        <f t="shared" si="15"/>
        <v>c442_presona_03_Name</v>
      </c>
      <c r="E336" s="3">
        <v>10000442</v>
      </c>
      <c r="F336" s="3">
        <v>2</v>
      </c>
      <c r="G336" s="3" t="s">
        <v>335</v>
      </c>
      <c r="H336" s="2">
        <v>1</v>
      </c>
    </row>
    <row r="337" spans="1:8" x14ac:dyDescent="0.3">
      <c r="A337" s="3">
        <f t="shared" si="16"/>
        <v>144203</v>
      </c>
      <c r="B337" s="3" t="s">
        <v>219</v>
      </c>
      <c r="C337" s="3" t="s">
        <v>305</v>
      </c>
      <c r="D337" s="3" t="str">
        <f t="shared" si="15"/>
        <v>c442_presona_04_Name</v>
      </c>
      <c r="E337" s="3">
        <v>10000442</v>
      </c>
      <c r="F337" s="3">
        <v>3</v>
      </c>
      <c r="G337" s="3" t="s">
        <v>335</v>
      </c>
      <c r="H337" s="2">
        <v>1</v>
      </c>
    </row>
    <row r="338" spans="1:8" x14ac:dyDescent="0.3">
      <c r="A338" s="3">
        <f t="shared" si="16"/>
        <v>144204</v>
      </c>
      <c r="B338" s="3" t="s">
        <v>219</v>
      </c>
      <c r="C338" s="3" t="s">
        <v>305</v>
      </c>
      <c r="D338" s="3" t="str">
        <f t="shared" si="15"/>
        <v>c442_presona_05_Name</v>
      </c>
      <c r="E338" s="3">
        <v>10000442</v>
      </c>
      <c r="F338" s="3">
        <v>4</v>
      </c>
      <c r="G338" s="3" t="s">
        <v>335</v>
      </c>
      <c r="H338" s="2">
        <v>1</v>
      </c>
    </row>
    <row r="339" spans="1:8" x14ac:dyDescent="0.3">
      <c r="A339" s="3">
        <f t="shared" si="16"/>
        <v>144205</v>
      </c>
      <c r="B339" s="3" t="s">
        <v>219</v>
      </c>
      <c r="C339" s="3" t="s">
        <v>305</v>
      </c>
      <c r="D339" s="3" t="str">
        <f t="shared" si="15"/>
        <v>c442_presona_06_Name</v>
      </c>
      <c r="E339" s="3">
        <v>10000442</v>
      </c>
      <c r="F339" s="3">
        <v>5</v>
      </c>
      <c r="G339" s="3" t="s">
        <v>335</v>
      </c>
      <c r="H339" s="2">
        <v>1</v>
      </c>
    </row>
    <row r="340" spans="1:8" x14ac:dyDescent="0.3">
      <c r="A340" s="3">
        <f t="shared" si="16"/>
        <v>144206</v>
      </c>
      <c r="B340" s="3" t="s">
        <v>219</v>
      </c>
      <c r="C340" s="3" t="s">
        <v>305</v>
      </c>
      <c r="D340" s="3" t="str">
        <f t="shared" ref="D340:D378" si="19">C340&amp;"_presona_"&amp;TEXT(F340+1, "00")&amp;"_Name"</f>
        <v>c442_presona_07_Name</v>
      </c>
      <c r="E340" s="3">
        <v>10000442</v>
      </c>
      <c r="F340" s="3">
        <v>6</v>
      </c>
      <c r="G340" s="3" t="s">
        <v>335</v>
      </c>
      <c r="H340" s="2">
        <v>1</v>
      </c>
    </row>
    <row r="341" spans="1:8" x14ac:dyDescent="0.3">
      <c r="A341" s="3">
        <f t="shared" si="16"/>
        <v>144207</v>
      </c>
      <c r="B341" s="3" t="s">
        <v>219</v>
      </c>
      <c r="C341" s="3" t="s">
        <v>305</v>
      </c>
      <c r="D341" s="3" t="str">
        <f t="shared" si="19"/>
        <v>c442_presona_08_Name</v>
      </c>
      <c r="E341" s="3">
        <v>10000442</v>
      </c>
      <c r="F341" s="3">
        <v>7</v>
      </c>
      <c r="G341" s="3" t="s">
        <v>335</v>
      </c>
      <c r="H341" s="2">
        <v>1</v>
      </c>
    </row>
    <row r="342" spans="1:8" x14ac:dyDescent="0.3">
      <c r="A342" s="3">
        <f t="shared" si="16"/>
        <v>144208</v>
      </c>
      <c r="B342" s="3" t="s">
        <v>219</v>
      </c>
      <c r="C342" s="3" t="s">
        <v>305</v>
      </c>
      <c r="D342" s="3" t="str">
        <f t="shared" si="19"/>
        <v>c442_presona_09_Name</v>
      </c>
      <c r="E342" s="3">
        <v>10000442</v>
      </c>
      <c r="F342" s="3">
        <v>8</v>
      </c>
      <c r="G342" s="3" t="s">
        <v>335</v>
      </c>
      <c r="H342" s="2">
        <v>1</v>
      </c>
    </row>
    <row r="343" spans="1:8" x14ac:dyDescent="0.3">
      <c r="A343" s="3">
        <f t="shared" si="16"/>
        <v>144209</v>
      </c>
      <c r="B343" s="3" t="s">
        <v>219</v>
      </c>
      <c r="C343" s="3" t="s">
        <v>305</v>
      </c>
      <c r="D343" s="3" t="str">
        <f t="shared" si="19"/>
        <v>c442_presona_10_Name</v>
      </c>
      <c r="E343" s="3">
        <v>10000442</v>
      </c>
      <c r="F343" s="3">
        <v>9</v>
      </c>
      <c r="G343" s="3" t="s">
        <v>335</v>
      </c>
      <c r="H343" s="2">
        <v>1</v>
      </c>
    </row>
    <row r="344" spans="1:8" x14ac:dyDescent="0.3">
      <c r="A344" s="3">
        <f t="shared" ref="A344:A378" si="20">(MOD(E344, 1000)+1000)*100+F344</f>
        <v>144210</v>
      </c>
      <c r="B344" s="3" t="s">
        <v>219</v>
      </c>
      <c r="C344" s="3" t="s">
        <v>305</v>
      </c>
      <c r="D344" s="3" t="str">
        <f t="shared" si="19"/>
        <v>c442_presona_11_Name</v>
      </c>
      <c r="E344" s="3">
        <v>10000442</v>
      </c>
      <c r="F344" s="3">
        <v>10</v>
      </c>
      <c r="G344" s="3" t="s">
        <v>335</v>
      </c>
      <c r="H344" s="2">
        <v>1</v>
      </c>
    </row>
    <row r="345" spans="1:8" x14ac:dyDescent="0.3">
      <c r="A345" s="3">
        <f t="shared" si="20"/>
        <v>144211</v>
      </c>
      <c r="B345" s="3" t="s">
        <v>219</v>
      </c>
      <c r="C345" s="3" t="s">
        <v>305</v>
      </c>
      <c r="D345" s="3" t="str">
        <f t="shared" si="19"/>
        <v>c442_presona_12_Name</v>
      </c>
      <c r="E345" s="3">
        <v>10000442</v>
      </c>
      <c r="F345" s="3">
        <v>11</v>
      </c>
      <c r="G345" s="3" t="s">
        <v>335</v>
      </c>
      <c r="H345" s="2">
        <v>1</v>
      </c>
    </row>
    <row r="346" spans="1:8" x14ac:dyDescent="0.3">
      <c r="A346" s="3">
        <f t="shared" si="20"/>
        <v>144212</v>
      </c>
      <c r="B346" s="3" t="s">
        <v>219</v>
      </c>
      <c r="C346" s="3" t="s">
        <v>305</v>
      </c>
      <c r="D346" s="3" t="str">
        <f t="shared" si="19"/>
        <v>c442_presona_13_Name</v>
      </c>
      <c r="E346" s="3">
        <v>10000442</v>
      </c>
      <c r="F346" s="3">
        <v>12</v>
      </c>
      <c r="G346" s="3" t="s">
        <v>335</v>
      </c>
      <c r="H346" s="2">
        <v>1</v>
      </c>
    </row>
    <row r="347" spans="1:8" x14ac:dyDescent="0.3">
      <c r="A347" s="3">
        <f t="shared" si="20"/>
        <v>144213</v>
      </c>
      <c r="B347" s="3" t="s">
        <v>219</v>
      </c>
      <c r="C347" s="3" t="s">
        <v>305</v>
      </c>
      <c r="D347" s="3" t="str">
        <f t="shared" si="19"/>
        <v>c442_presona_14_Name</v>
      </c>
      <c r="E347" s="3">
        <v>10000442</v>
      </c>
      <c r="F347" s="3">
        <v>13</v>
      </c>
      <c r="G347" s="3" t="s">
        <v>335</v>
      </c>
      <c r="H347" s="2">
        <v>1</v>
      </c>
    </row>
    <row r="348" spans="1:8" x14ac:dyDescent="0.3">
      <c r="A348" s="3">
        <f t="shared" si="20"/>
        <v>144214</v>
      </c>
      <c r="B348" s="3" t="s">
        <v>219</v>
      </c>
      <c r="C348" s="3" t="s">
        <v>305</v>
      </c>
      <c r="D348" s="3" t="str">
        <f t="shared" si="19"/>
        <v>c442_presona_15_Name</v>
      </c>
      <c r="E348" s="3">
        <v>10000442</v>
      </c>
      <c r="F348" s="3">
        <v>14</v>
      </c>
      <c r="G348" s="3" t="s">
        <v>335</v>
      </c>
      <c r="H348" s="2">
        <v>1</v>
      </c>
    </row>
    <row r="349" spans="1:8" x14ac:dyDescent="0.3">
      <c r="A349" s="3">
        <f t="shared" si="20"/>
        <v>119400</v>
      </c>
      <c r="B349" s="3" t="s">
        <v>261</v>
      </c>
      <c r="C349" s="3" t="s">
        <v>306</v>
      </c>
      <c r="D349" s="3" t="str">
        <f t="shared" si="19"/>
        <v>c194_presona_01_Name</v>
      </c>
      <c r="E349" s="3">
        <v>10000194</v>
      </c>
      <c r="F349" s="3">
        <v>0</v>
      </c>
      <c r="G349" s="3" t="str">
        <f t="shared" ref="G349:G363" si="21">C349&amp;"_persona_"&amp;TEXT(F349+1, "00")</f>
        <v>c194_persona_01</v>
      </c>
      <c r="H349" s="2">
        <v>1</v>
      </c>
    </row>
    <row r="350" spans="1:8" x14ac:dyDescent="0.3">
      <c r="A350" s="3">
        <f t="shared" si="20"/>
        <v>119401</v>
      </c>
      <c r="B350" s="3" t="s">
        <v>261</v>
      </c>
      <c r="C350" s="3" t="s">
        <v>306</v>
      </c>
      <c r="D350" s="3" t="str">
        <f t="shared" si="19"/>
        <v>c194_presona_02_Name</v>
      </c>
      <c r="E350" s="3">
        <v>10000194</v>
      </c>
      <c r="F350" s="3">
        <v>1</v>
      </c>
      <c r="G350" s="3" t="str">
        <f t="shared" si="21"/>
        <v>c194_persona_02</v>
      </c>
      <c r="H350" s="2">
        <v>1</v>
      </c>
    </row>
    <row r="351" spans="1:8" x14ac:dyDescent="0.3">
      <c r="A351" s="3">
        <f t="shared" si="20"/>
        <v>119402</v>
      </c>
      <c r="B351" s="3" t="s">
        <v>261</v>
      </c>
      <c r="C351" s="3" t="s">
        <v>306</v>
      </c>
      <c r="D351" s="3" t="str">
        <f t="shared" si="19"/>
        <v>c194_presona_03_Name</v>
      </c>
      <c r="E351" s="3">
        <v>10000194</v>
      </c>
      <c r="F351" s="3">
        <v>2</v>
      </c>
      <c r="G351" s="3" t="str">
        <f t="shared" si="21"/>
        <v>c194_persona_03</v>
      </c>
      <c r="H351" s="2">
        <v>1</v>
      </c>
    </row>
    <row r="352" spans="1:8" x14ac:dyDescent="0.3">
      <c r="A352" s="3">
        <f t="shared" si="20"/>
        <v>119403</v>
      </c>
      <c r="B352" s="3" t="s">
        <v>261</v>
      </c>
      <c r="C352" s="3" t="s">
        <v>306</v>
      </c>
      <c r="D352" s="3" t="str">
        <f t="shared" si="19"/>
        <v>c194_presona_04_Name</v>
      </c>
      <c r="E352" s="3">
        <v>10000194</v>
      </c>
      <c r="F352" s="3">
        <v>3</v>
      </c>
      <c r="G352" s="3" t="str">
        <f t="shared" si="21"/>
        <v>c194_persona_04</v>
      </c>
      <c r="H352" s="2">
        <v>1</v>
      </c>
    </row>
    <row r="353" spans="1:8" x14ac:dyDescent="0.3">
      <c r="A353" s="3">
        <f t="shared" si="20"/>
        <v>119404</v>
      </c>
      <c r="B353" s="3" t="s">
        <v>261</v>
      </c>
      <c r="C353" s="3" t="s">
        <v>306</v>
      </c>
      <c r="D353" s="3" t="str">
        <f t="shared" si="19"/>
        <v>c194_presona_05_Name</v>
      </c>
      <c r="E353" s="3">
        <v>10000194</v>
      </c>
      <c r="F353" s="3">
        <v>4</v>
      </c>
      <c r="G353" s="3" t="str">
        <f t="shared" si="21"/>
        <v>c194_persona_05</v>
      </c>
      <c r="H353" s="2">
        <v>1</v>
      </c>
    </row>
    <row r="354" spans="1:8" x14ac:dyDescent="0.3">
      <c r="A354" s="3">
        <f t="shared" si="20"/>
        <v>119405</v>
      </c>
      <c r="B354" s="3" t="s">
        <v>261</v>
      </c>
      <c r="C354" s="3" t="s">
        <v>306</v>
      </c>
      <c r="D354" s="3" t="str">
        <f t="shared" si="19"/>
        <v>c194_presona_06_Name</v>
      </c>
      <c r="E354" s="3">
        <v>10000194</v>
      </c>
      <c r="F354" s="3">
        <v>5</v>
      </c>
      <c r="G354" s="3" t="str">
        <f t="shared" si="21"/>
        <v>c194_persona_06</v>
      </c>
      <c r="H354" s="2">
        <v>1</v>
      </c>
    </row>
    <row r="355" spans="1:8" x14ac:dyDescent="0.3">
      <c r="A355" s="3">
        <f t="shared" si="20"/>
        <v>119406</v>
      </c>
      <c r="B355" s="3" t="s">
        <v>261</v>
      </c>
      <c r="C355" s="3" t="s">
        <v>306</v>
      </c>
      <c r="D355" s="3" t="str">
        <f t="shared" si="19"/>
        <v>c194_presona_07_Name</v>
      </c>
      <c r="E355" s="3">
        <v>10000194</v>
      </c>
      <c r="F355" s="3">
        <v>6</v>
      </c>
      <c r="G355" s="3" t="str">
        <f t="shared" si="21"/>
        <v>c194_persona_07</v>
      </c>
      <c r="H355" s="2">
        <v>1</v>
      </c>
    </row>
    <row r="356" spans="1:8" x14ac:dyDescent="0.3">
      <c r="A356" s="3">
        <f t="shared" si="20"/>
        <v>119407</v>
      </c>
      <c r="B356" s="3" t="s">
        <v>261</v>
      </c>
      <c r="C356" s="3" t="s">
        <v>306</v>
      </c>
      <c r="D356" s="3" t="str">
        <f t="shared" si="19"/>
        <v>c194_presona_08_Name</v>
      </c>
      <c r="E356" s="3">
        <v>10000194</v>
      </c>
      <c r="F356" s="3">
        <v>7</v>
      </c>
      <c r="G356" s="3" t="str">
        <f t="shared" si="21"/>
        <v>c194_persona_08</v>
      </c>
      <c r="H356" s="2">
        <v>1</v>
      </c>
    </row>
    <row r="357" spans="1:8" x14ac:dyDescent="0.3">
      <c r="A357" s="3">
        <f t="shared" si="20"/>
        <v>119408</v>
      </c>
      <c r="B357" s="3" t="s">
        <v>261</v>
      </c>
      <c r="C357" s="3" t="s">
        <v>306</v>
      </c>
      <c r="D357" s="3" t="str">
        <f t="shared" si="19"/>
        <v>c194_presona_09_Name</v>
      </c>
      <c r="E357" s="3">
        <v>10000194</v>
      </c>
      <c r="F357" s="3">
        <v>8</v>
      </c>
      <c r="G357" s="3" t="str">
        <f t="shared" si="21"/>
        <v>c194_persona_09</v>
      </c>
      <c r="H357" s="2">
        <v>1</v>
      </c>
    </row>
    <row r="358" spans="1:8" x14ac:dyDescent="0.3">
      <c r="A358" s="3">
        <f t="shared" si="20"/>
        <v>119409</v>
      </c>
      <c r="B358" s="3" t="s">
        <v>261</v>
      </c>
      <c r="C358" s="3" t="s">
        <v>306</v>
      </c>
      <c r="D358" s="3" t="str">
        <f t="shared" si="19"/>
        <v>c194_presona_10_Name</v>
      </c>
      <c r="E358" s="3">
        <v>10000194</v>
      </c>
      <c r="F358" s="3">
        <v>9</v>
      </c>
      <c r="G358" s="3" t="str">
        <f t="shared" si="21"/>
        <v>c194_persona_10</v>
      </c>
      <c r="H358" s="2">
        <v>1</v>
      </c>
    </row>
    <row r="359" spans="1:8" x14ac:dyDescent="0.3">
      <c r="A359" s="3">
        <f t="shared" si="20"/>
        <v>119410</v>
      </c>
      <c r="B359" s="3" t="s">
        <v>261</v>
      </c>
      <c r="C359" s="3" t="s">
        <v>306</v>
      </c>
      <c r="D359" s="3" t="str">
        <f t="shared" si="19"/>
        <v>c194_presona_11_Name</v>
      </c>
      <c r="E359" s="3">
        <v>10000194</v>
      </c>
      <c r="F359" s="3">
        <v>10</v>
      </c>
      <c r="G359" s="3" t="str">
        <f t="shared" si="21"/>
        <v>c194_persona_11</v>
      </c>
      <c r="H359" s="2">
        <v>1</v>
      </c>
    </row>
    <row r="360" spans="1:8" x14ac:dyDescent="0.3">
      <c r="A360" s="3">
        <f t="shared" si="20"/>
        <v>119411</v>
      </c>
      <c r="B360" s="3" t="s">
        <v>261</v>
      </c>
      <c r="C360" s="3" t="s">
        <v>306</v>
      </c>
      <c r="D360" s="3" t="str">
        <f t="shared" si="19"/>
        <v>c194_presona_12_Name</v>
      </c>
      <c r="E360" s="3">
        <v>10000194</v>
      </c>
      <c r="F360" s="3">
        <v>11</v>
      </c>
      <c r="G360" s="3" t="str">
        <f t="shared" si="21"/>
        <v>c194_persona_12</v>
      </c>
      <c r="H360" s="2">
        <v>1</v>
      </c>
    </row>
    <row r="361" spans="1:8" x14ac:dyDescent="0.3">
      <c r="A361" s="3">
        <f t="shared" si="20"/>
        <v>119412</v>
      </c>
      <c r="B361" s="3" t="s">
        <v>261</v>
      </c>
      <c r="C361" s="3" t="s">
        <v>306</v>
      </c>
      <c r="D361" s="3" t="str">
        <f t="shared" si="19"/>
        <v>c194_presona_13_Name</v>
      </c>
      <c r="E361" s="3">
        <v>10000194</v>
      </c>
      <c r="F361" s="3">
        <v>12</v>
      </c>
      <c r="G361" s="3" t="str">
        <f t="shared" si="21"/>
        <v>c194_persona_13</v>
      </c>
      <c r="H361" s="2">
        <v>1</v>
      </c>
    </row>
    <row r="362" spans="1:8" x14ac:dyDescent="0.3">
      <c r="A362" s="3">
        <f t="shared" si="20"/>
        <v>119413</v>
      </c>
      <c r="B362" s="3" t="s">
        <v>261</v>
      </c>
      <c r="C362" s="3" t="s">
        <v>306</v>
      </c>
      <c r="D362" s="3" t="str">
        <f t="shared" si="19"/>
        <v>c194_presona_14_Name</v>
      </c>
      <c r="E362" s="3">
        <v>10000194</v>
      </c>
      <c r="F362" s="3">
        <v>13</v>
      </c>
      <c r="G362" s="3" t="str">
        <f t="shared" si="21"/>
        <v>c194_persona_14</v>
      </c>
      <c r="H362" s="2">
        <v>1</v>
      </c>
    </row>
    <row r="363" spans="1:8" x14ac:dyDescent="0.3">
      <c r="A363" s="3">
        <f t="shared" si="20"/>
        <v>119414</v>
      </c>
      <c r="B363" s="3" t="s">
        <v>261</v>
      </c>
      <c r="C363" s="3" t="s">
        <v>306</v>
      </c>
      <c r="D363" s="3" t="str">
        <f t="shared" si="19"/>
        <v>c194_presona_15_Name</v>
      </c>
      <c r="E363" s="3">
        <v>10000194</v>
      </c>
      <c r="F363" s="3">
        <v>14</v>
      </c>
      <c r="G363" s="3" t="str">
        <f t="shared" si="21"/>
        <v>c194_persona_15</v>
      </c>
      <c r="H363" s="2">
        <v>1</v>
      </c>
    </row>
    <row r="364" spans="1:8" x14ac:dyDescent="0.3">
      <c r="A364" s="3">
        <f t="shared" si="20"/>
        <v>112400</v>
      </c>
      <c r="B364" s="3" t="s">
        <v>262</v>
      </c>
      <c r="C364" s="3" t="s">
        <v>307</v>
      </c>
      <c r="D364" s="3" t="str">
        <f t="shared" si="19"/>
        <v>c124_presona_01_Name</v>
      </c>
      <c r="E364" s="3">
        <v>10000124</v>
      </c>
      <c r="F364" s="3">
        <v>0</v>
      </c>
      <c r="G364" s="3" t="s">
        <v>335</v>
      </c>
      <c r="H364" s="2">
        <v>1</v>
      </c>
    </row>
    <row r="365" spans="1:8" x14ac:dyDescent="0.3">
      <c r="A365" s="3">
        <f t="shared" si="20"/>
        <v>112401</v>
      </c>
      <c r="B365" s="3" t="s">
        <v>262</v>
      </c>
      <c r="C365" s="3" t="s">
        <v>307</v>
      </c>
      <c r="D365" s="3" t="str">
        <f t="shared" si="19"/>
        <v>c124_presona_02_Name</v>
      </c>
      <c r="E365" s="3">
        <v>10000124</v>
      </c>
      <c r="F365" s="3">
        <v>1</v>
      </c>
      <c r="G365" s="3" t="s">
        <v>335</v>
      </c>
      <c r="H365" s="2">
        <v>1</v>
      </c>
    </row>
    <row r="366" spans="1:8" x14ac:dyDescent="0.3">
      <c r="A366" s="3">
        <f t="shared" si="20"/>
        <v>112402</v>
      </c>
      <c r="B366" s="3" t="s">
        <v>262</v>
      </c>
      <c r="C366" s="3" t="s">
        <v>307</v>
      </c>
      <c r="D366" s="3" t="str">
        <f t="shared" si="19"/>
        <v>c124_presona_03_Name</v>
      </c>
      <c r="E366" s="3">
        <v>10000124</v>
      </c>
      <c r="F366" s="3">
        <v>2</v>
      </c>
      <c r="G366" s="3" t="s">
        <v>335</v>
      </c>
      <c r="H366" s="2">
        <v>1</v>
      </c>
    </row>
    <row r="367" spans="1:8" x14ac:dyDescent="0.3">
      <c r="A367" s="3">
        <f t="shared" si="20"/>
        <v>112403</v>
      </c>
      <c r="B367" s="3" t="s">
        <v>262</v>
      </c>
      <c r="C367" s="3" t="s">
        <v>307</v>
      </c>
      <c r="D367" s="3" t="str">
        <f t="shared" si="19"/>
        <v>c124_presona_04_Name</v>
      </c>
      <c r="E367" s="3">
        <v>10000124</v>
      </c>
      <c r="F367" s="3">
        <v>3</v>
      </c>
      <c r="G367" s="3" t="s">
        <v>335</v>
      </c>
      <c r="H367" s="2">
        <v>1</v>
      </c>
    </row>
    <row r="368" spans="1:8" x14ac:dyDescent="0.3">
      <c r="A368" s="3">
        <f t="shared" si="20"/>
        <v>112404</v>
      </c>
      <c r="B368" s="3" t="s">
        <v>262</v>
      </c>
      <c r="C368" s="3" t="s">
        <v>307</v>
      </c>
      <c r="D368" s="3" t="str">
        <f t="shared" si="19"/>
        <v>c124_presona_05_Name</v>
      </c>
      <c r="E368" s="3">
        <v>10000124</v>
      </c>
      <c r="F368" s="3">
        <v>4</v>
      </c>
      <c r="G368" s="3" t="s">
        <v>335</v>
      </c>
      <c r="H368" s="2">
        <v>1</v>
      </c>
    </row>
    <row r="369" spans="1:8" x14ac:dyDescent="0.3">
      <c r="A369" s="3">
        <f t="shared" si="20"/>
        <v>112405</v>
      </c>
      <c r="B369" s="3" t="s">
        <v>262</v>
      </c>
      <c r="C369" s="3" t="s">
        <v>307</v>
      </c>
      <c r="D369" s="3" t="str">
        <f t="shared" si="19"/>
        <v>c124_presona_06_Name</v>
      </c>
      <c r="E369" s="3">
        <v>10000124</v>
      </c>
      <c r="F369" s="3">
        <v>5</v>
      </c>
      <c r="G369" s="3" t="s">
        <v>335</v>
      </c>
      <c r="H369" s="2">
        <v>1</v>
      </c>
    </row>
    <row r="370" spans="1:8" x14ac:dyDescent="0.3">
      <c r="A370" s="3">
        <f t="shared" si="20"/>
        <v>112406</v>
      </c>
      <c r="B370" s="3" t="s">
        <v>262</v>
      </c>
      <c r="C370" s="3" t="s">
        <v>307</v>
      </c>
      <c r="D370" s="3" t="str">
        <f t="shared" si="19"/>
        <v>c124_presona_07_Name</v>
      </c>
      <c r="E370" s="3">
        <v>10000124</v>
      </c>
      <c r="F370" s="3">
        <v>6</v>
      </c>
      <c r="G370" s="3" t="s">
        <v>335</v>
      </c>
      <c r="H370" s="2">
        <v>1</v>
      </c>
    </row>
    <row r="371" spans="1:8" x14ac:dyDescent="0.3">
      <c r="A371" s="3">
        <f t="shared" si="20"/>
        <v>112407</v>
      </c>
      <c r="B371" s="3" t="s">
        <v>262</v>
      </c>
      <c r="C371" s="3" t="s">
        <v>307</v>
      </c>
      <c r="D371" s="3" t="str">
        <f t="shared" si="19"/>
        <v>c124_presona_08_Name</v>
      </c>
      <c r="E371" s="3">
        <v>10000124</v>
      </c>
      <c r="F371" s="3">
        <v>7</v>
      </c>
      <c r="G371" s="3" t="s">
        <v>335</v>
      </c>
      <c r="H371" s="2">
        <v>1</v>
      </c>
    </row>
    <row r="372" spans="1:8" x14ac:dyDescent="0.3">
      <c r="A372" s="3">
        <f t="shared" si="20"/>
        <v>112408</v>
      </c>
      <c r="B372" s="3" t="s">
        <v>262</v>
      </c>
      <c r="C372" s="3" t="s">
        <v>307</v>
      </c>
      <c r="D372" s="3" t="str">
        <f t="shared" si="19"/>
        <v>c124_presona_09_Name</v>
      </c>
      <c r="E372" s="3">
        <v>10000124</v>
      </c>
      <c r="F372" s="3">
        <v>8</v>
      </c>
      <c r="G372" s="3" t="s">
        <v>335</v>
      </c>
      <c r="H372" s="2">
        <v>1</v>
      </c>
    </row>
    <row r="373" spans="1:8" x14ac:dyDescent="0.3">
      <c r="A373" s="3">
        <f t="shared" si="20"/>
        <v>112409</v>
      </c>
      <c r="B373" s="3" t="s">
        <v>262</v>
      </c>
      <c r="C373" s="3" t="s">
        <v>307</v>
      </c>
      <c r="D373" s="3" t="str">
        <f t="shared" si="19"/>
        <v>c124_presona_10_Name</v>
      </c>
      <c r="E373" s="3">
        <v>10000124</v>
      </c>
      <c r="F373" s="3">
        <v>9</v>
      </c>
      <c r="G373" s="3" t="s">
        <v>335</v>
      </c>
      <c r="H373" s="2">
        <v>1</v>
      </c>
    </row>
    <row r="374" spans="1:8" x14ac:dyDescent="0.3">
      <c r="A374" s="3">
        <f t="shared" si="20"/>
        <v>112410</v>
      </c>
      <c r="B374" s="3" t="s">
        <v>262</v>
      </c>
      <c r="C374" s="3" t="s">
        <v>307</v>
      </c>
      <c r="D374" s="3" t="str">
        <f t="shared" si="19"/>
        <v>c124_presona_11_Name</v>
      </c>
      <c r="E374" s="3">
        <v>10000124</v>
      </c>
      <c r="F374" s="3">
        <v>10</v>
      </c>
      <c r="G374" s="3" t="s">
        <v>335</v>
      </c>
      <c r="H374" s="2">
        <v>1</v>
      </c>
    </row>
    <row r="375" spans="1:8" x14ac:dyDescent="0.3">
      <c r="A375" s="3">
        <f t="shared" si="20"/>
        <v>112411</v>
      </c>
      <c r="B375" s="3" t="s">
        <v>262</v>
      </c>
      <c r="C375" s="3" t="s">
        <v>307</v>
      </c>
      <c r="D375" s="3" t="str">
        <f t="shared" si="19"/>
        <v>c124_presona_12_Name</v>
      </c>
      <c r="E375" s="3">
        <v>10000124</v>
      </c>
      <c r="F375" s="3">
        <v>11</v>
      </c>
      <c r="G375" s="3" t="s">
        <v>335</v>
      </c>
      <c r="H375" s="2">
        <v>1</v>
      </c>
    </row>
    <row r="376" spans="1:8" x14ac:dyDescent="0.3">
      <c r="A376" s="3">
        <f t="shared" si="20"/>
        <v>112412</v>
      </c>
      <c r="B376" s="3" t="s">
        <v>262</v>
      </c>
      <c r="C376" s="3" t="s">
        <v>307</v>
      </c>
      <c r="D376" s="3" t="str">
        <f t="shared" si="19"/>
        <v>c124_presona_13_Name</v>
      </c>
      <c r="E376" s="3">
        <v>10000124</v>
      </c>
      <c r="F376" s="3">
        <v>12</v>
      </c>
      <c r="G376" s="3" t="s">
        <v>335</v>
      </c>
      <c r="H376" s="2">
        <v>1</v>
      </c>
    </row>
    <row r="377" spans="1:8" x14ac:dyDescent="0.3">
      <c r="A377" s="3">
        <f t="shared" si="20"/>
        <v>112413</v>
      </c>
      <c r="B377" s="3" t="s">
        <v>262</v>
      </c>
      <c r="C377" s="3" t="s">
        <v>307</v>
      </c>
      <c r="D377" s="3" t="str">
        <f t="shared" si="19"/>
        <v>c124_presona_14_Name</v>
      </c>
      <c r="E377" s="3">
        <v>10000124</v>
      </c>
      <c r="F377" s="3">
        <v>13</v>
      </c>
      <c r="G377" s="3" t="s">
        <v>335</v>
      </c>
      <c r="H377" s="2">
        <v>1</v>
      </c>
    </row>
    <row r="378" spans="1:8" x14ac:dyDescent="0.3">
      <c r="A378" s="3">
        <f t="shared" si="20"/>
        <v>112414</v>
      </c>
      <c r="B378" s="3" t="s">
        <v>262</v>
      </c>
      <c r="C378" s="3" t="s">
        <v>307</v>
      </c>
      <c r="D378" s="3" t="str">
        <f t="shared" si="19"/>
        <v>c124_presona_15_Name</v>
      </c>
      <c r="E378" s="3">
        <v>10000124</v>
      </c>
      <c r="F378" s="3">
        <v>14</v>
      </c>
      <c r="G378" s="3" t="s">
        <v>335</v>
      </c>
      <c r="H378" s="2">
        <v>1</v>
      </c>
    </row>
    <row r="379" spans="1:8" x14ac:dyDescent="0.3">
      <c r="A379" s="3">
        <f t="shared" ref="A379:A393" si="22">(MOD(E379, 1000)+1000)*100+F379</f>
        <v>133600</v>
      </c>
      <c r="B379" s="3" t="s">
        <v>410</v>
      </c>
      <c r="C379" s="3" t="s">
        <v>409</v>
      </c>
      <c r="D379" s="3" t="str">
        <f t="shared" ref="D379:D393" si="23">C379&amp;"_presona_"&amp;TEXT(F379+1, "00")&amp;"_Name"</f>
        <v>c336_presona_01_Name</v>
      </c>
      <c r="E379" s="3">
        <v>10000336</v>
      </c>
      <c r="F379" s="3">
        <v>0</v>
      </c>
      <c r="G379" s="3" t="s">
        <v>335</v>
      </c>
      <c r="H379" s="2">
        <v>1</v>
      </c>
    </row>
    <row r="380" spans="1:8" x14ac:dyDescent="0.3">
      <c r="A380" s="3">
        <f t="shared" si="22"/>
        <v>133601</v>
      </c>
      <c r="B380" s="3" t="s">
        <v>410</v>
      </c>
      <c r="C380" s="3" t="s">
        <v>409</v>
      </c>
      <c r="D380" s="3" t="str">
        <f t="shared" si="23"/>
        <v>c336_presona_02_Name</v>
      </c>
      <c r="E380" s="3">
        <v>10000336</v>
      </c>
      <c r="F380" s="3">
        <v>1</v>
      </c>
      <c r="G380" s="3" t="s">
        <v>335</v>
      </c>
      <c r="H380" s="2">
        <v>1</v>
      </c>
    </row>
    <row r="381" spans="1:8" x14ac:dyDescent="0.3">
      <c r="A381" s="3">
        <f t="shared" si="22"/>
        <v>133602</v>
      </c>
      <c r="B381" s="3" t="s">
        <v>410</v>
      </c>
      <c r="C381" s="3" t="s">
        <v>409</v>
      </c>
      <c r="D381" s="3" t="str">
        <f t="shared" si="23"/>
        <v>c336_presona_03_Name</v>
      </c>
      <c r="E381" s="3">
        <v>10000336</v>
      </c>
      <c r="F381" s="3">
        <v>2</v>
      </c>
      <c r="G381" s="3" t="s">
        <v>335</v>
      </c>
      <c r="H381" s="2">
        <v>1</v>
      </c>
    </row>
    <row r="382" spans="1:8" x14ac:dyDescent="0.3">
      <c r="A382" s="3">
        <f t="shared" si="22"/>
        <v>133603</v>
      </c>
      <c r="B382" s="3" t="s">
        <v>410</v>
      </c>
      <c r="C382" s="3" t="s">
        <v>409</v>
      </c>
      <c r="D382" s="3" t="str">
        <f t="shared" si="23"/>
        <v>c336_presona_04_Name</v>
      </c>
      <c r="E382" s="3">
        <v>10000336</v>
      </c>
      <c r="F382" s="3">
        <v>3</v>
      </c>
      <c r="G382" s="3" t="s">
        <v>335</v>
      </c>
      <c r="H382" s="2">
        <v>1</v>
      </c>
    </row>
    <row r="383" spans="1:8" x14ac:dyDescent="0.3">
      <c r="A383" s="3">
        <f t="shared" si="22"/>
        <v>133604</v>
      </c>
      <c r="B383" s="3" t="s">
        <v>410</v>
      </c>
      <c r="C383" s="3" t="s">
        <v>409</v>
      </c>
      <c r="D383" s="3" t="str">
        <f t="shared" si="23"/>
        <v>c336_presona_05_Name</v>
      </c>
      <c r="E383" s="3">
        <v>10000336</v>
      </c>
      <c r="F383" s="3">
        <v>4</v>
      </c>
      <c r="G383" s="3" t="s">
        <v>335</v>
      </c>
      <c r="H383" s="2">
        <v>1</v>
      </c>
    </row>
    <row r="384" spans="1:8" x14ac:dyDescent="0.3">
      <c r="A384" s="3">
        <f t="shared" si="22"/>
        <v>133605</v>
      </c>
      <c r="B384" s="3" t="s">
        <v>410</v>
      </c>
      <c r="C384" s="3" t="s">
        <v>409</v>
      </c>
      <c r="D384" s="3" t="str">
        <f t="shared" si="23"/>
        <v>c336_presona_06_Name</v>
      </c>
      <c r="E384" s="3">
        <v>10000336</v>
      </c>
      <c r="F384" s="3">
        <v>5</v>
      </c>
      <c r="G384" s="3" t="s">
        <v>335</v>
      </c>
      <c r="H384" s="2">
        <v>1</v>
      </c>
    </row>
    <row r="385" spans="1:8" x14ac:dyDescent="0.3">
      <c r="A385" s="3">
        <f t="shared" si="22"/>
        <v>133606</v>
      </c>
      <c r="B385" s="3" t="s">
        <v>410</v>
      </c>
      <c r="C385" s="3" t="s">
        <v>409</v>
      </c>
      <c r="D385" s="3" t="str">
        <f t="shared" si="23"/>
        <v>c336_presona_07_Name</v>
      </c>
      <c r="E385" s="3">
        <v>10000336</v>
      </c>
      <c r="F385" s="3">
        <v>6</v>
      </c>
      <c r="G385" s="3" t="s">
        <v>335</v>
      </c>
      <c r="H385" s="2">
        <v>1</v>
      </c>
    </row>
    <row r="386" spans="1:8" x14ac:dyDescent="0.3">
      <c r="A386" s="3">
        <f t="shared" si="22"/>
        <v>133607</v>
      </c>
      <c r="B386" s="3" t="s">
        <v>410</v>
      </c>
      <c r="C386" s="3" t="s">
        <v>409</v>
      </c>
      <c r="D386" s="3" t="str">
        <f t="shared" si="23"/>
        <v>c336_presona_08_Name</v>
      </c>
      <c r="E386" s="3">
        <v>10000336</v>
      </c>
      <c r="F386" s="3">
        <v>7</v>
      </c>
      <c r="G386" s="3" t="s">
        <v>335</v>
      </c>
      <c r="H386" s="2">
        <v>1</v>
      </c>
    </row>
    <row r="387" spans="1:8" x14ac:dyDescent="0.3">
      <c r="A387" s="3">
        <f t="shared" si="22"/>
        <v>133608</v>
      </c>
      <c r="B387" s="3" t="s">
        <v>410</v>
      </c>
      <c r="C387" s="3" t="s">
        <v>409</v>
      </c>
      <c r="D387" s="3" t="str">
        <f t="shared" si="23"/>
        <v>c336_presona_09_Name</v>
      </c>
      <c r="E387" s="3">
        <v>10000336</v>
      </c>
      <c r="F387" s="3">
        <v>8</v>
      </c>
      <c r="G387" s="3" t="s">
        <v>335</v>
      </c>
      <c r="H387" s="2">
        <v>1</v>
      </c>
    </row>
    <row r="388" spans="1:8" x14ac:dyDescent="0.3">
      <c r="A388" s="3">
        <f t="shared" si="22"/>
        <v>133609</v>
      </c>
      <c r="B388" s="3" t="s">
        <v>410</v>
      </c>
      <c r="C388" s="3" t="s">
        <v>409</v>
      </c>
      <c r="D388" s="3" t="str">
        <f t="shared" si="23"/>
        <v>c336_presona_10_Name</v>
      </c>
      <c r="E388" s="3">
        <v>10000336</v>
      </c>
      <c r="F388" s="3">
        <v>9</v>
      </c>
      <c r="G388" s="3" t="s">
        <v>335</v>
      </c>
      <c r="H388" s="2">
        <v>1</v>
      </c>
    </row>
    <row r="389" spans="1:8" x14ac:dyDescent="0.3">
      <c r="A389" s="3">
        <f t="shared" si="22"/>
        <v>133610</v>
      </c>
      <c r="B389" s="3" t="s">
        <v>410</v>
      </c>
      <c r="C389" s="3" t="s">
        <v>409</v>
      </c>
      <c r="D389" s="3" t="str">
        <f t="shared" si="23"/>
        <v>c336_presona_11_Name</v>
      </c>
      <c r="E389" s="3">
        <v>10000336</v>
      </c>
      <c r="F389" s="3">
        <v>10</v>
      </c>
      <c r="G389" s="3" t="s">
        <v>335</v>
      </c>
      <c r="H389" s="2">
        <v>1</v>
      </c>
    </row>
    <row r="390" spans="1:8" x14ac:dyDescent="0.3">
      <c r="A390" s="3">
        <f t="shared" si="22"/>
        <v>133611</v>
      </c>
      <c r="B390" s="3" t="s">
        <v>410</v>
      </c>
      <c r="C390" s="3" t="s">
        <v>409</v>
      </c>
      <c r="D390" s="3" t="str">
        <f t="shared" si="23"/>
        <v>c336_presona_12_Name</v>
      </c>
      <c r="E390" s="3">
        <v>10000336</v>
      </c>
      <c r="F390" s="3">
        <v>11</v>
      </c>
      <c r="G390" s="3" t="s">
        <v>335</v>
      </c>
      <c r="H390" s="2">
        <v>1</v>
      </c>
    </row>
    <row r="391" spans="1:8" x14ac:dyDescent="0.3">
      <c r="A391" s="3">
        <f t="shared" si="22"/>
        <v>133612</v>
      </c>
      <c r="B391" s="3" t="s">
        <v>410</v>
      </c>
      <c r="C391" s="3" t="s">
        <v>409</v>
      </c>
      <c r="D391" s="3" t="str">
        <f t="shared" si="23"/>
        <v>c336_presona_13_Name</v>
      </c>
      <c r="E391" s="3">
        <v>10000336</v>
      </c>
      <c r="F391" s="3">
        <v>12</v>
      </c>
      <c r="G391" s="3" t="s">
        <v>335</v>
      </c>
      <c r="H391" s="2">
        <v>1</v>
      </c>
    </row>
    <row r="392" spans="1:8" x14ac:dyDescent="0.3">
      <c r="A392" s="3">
        <f t="shared" si="22"/>
        <v>133613</v>
      </c>
      <c r="B392" s="3" t="s">
        <v>410</v>
      </c>
      <c r="C392" s="3" t="s">
        <v>409</v>
      </c>
      <c r="D392" s="3" t="str">
        <f t="shared" si="23"/>
        <v>c336_presona_14_Name</v>
      </c>
      <c r="E392" s="3">
        <v>10000336</v>
      </c>
      <c r="F392" s="3">
        <v>13</v>
      </c>
      <c r="G392" s="3" t="s">
        <v>335</v>
      </c>
      <c r="H392" s="2">
        <v>1</v>
      </c>
    </row>
    <row r="393" spans="1:8" x14ac:dyDescent="0.3">
      <c r="A393" s="3">
        <f t="shared" si="22"/>
        <v>133614</v>
      </c>
      <c r="B393" s="3" t="s">
        <v>410</v>
      </c>
      <c r="C393" s="3" t="s">
        <v>409</v>
      </c>
      <c r="D393" s="3" t="str">
        <f t="shared" si="23"/>
        <v>c336_presona_15_Name</v>
      </c>
      <c r="E393" s="3">
        <v>10000336</v>
      </c>
      <c r="F393" s="3">
        <v>14</v>
      </c>
      <c r="G393" s="3" t="s">
        <v>335</v>
      </c>
      <c r="H393" s="2">
        <v>1</v>
      </c>
    </row>
    <row r="394" spans="1:8" x14ac:dyDescent="0.3">
      <c r="A394" s="3">
        <f t="shared" ref="A394:A408" si="24">(MOD(E394, 1000)+1000)*100+F394</f>
        <v>144500</v>
      </c>
      <c r="B394" s="3" t="s">
        <v>412</v>
      </c>
      <c r="C394" s="3" t="s">
        <v>415</v>
      </c>
      <c r="D394" s="3" t="str">
        <f t="shared" ref="D394:D408" si="25">C394&amp;"_presona_"&amp;TEXT(F394+1, "00")&amp;"_Name"</f>
        <v>c445_presona_01_Name</v>
      </c>
      <c r="E394" s="3">
        <v>10000445</v>
      </c>
      <c r="F394" s="3">
        <v>0</v>
      </c>
      <c r="G394" s="3" t="s">
        <v>335</v>
      </c>
      <c r="H394" s="2">
        <v>1</v>
      </c>
    </row>
    <row r="395" spans="1:8" x14ac:dyDescent="0.3">
      <c r="A395" s="3">
        <f t="shared" si="24"/>
        <v>144501</v>
      </c>
      <c r="B395" s="3" t="s">
        <v>411</v>
      </c>
      <c r="C395" s="3" t="s">
        <v>414</v>
      </c>
      <c r="D395" s="3" t="str">
        <f t="shared" si="25"/>
        <v>c445_presona_02_Name</v>
      </c>
      <c r="E395" s="3">
        <v>10000445</v>
      </c>
      <c r="F395" s="3">
        <v>1</v>
      </c>
      <c r="G395" s="3" t="s">
        <v>335</v>
      </c>
      <c r="H395" s="2">
        <v>1</v>
      </c>
    </row>
    <row r="396" spans="1:8" x14ac:dyDescent="0.3">
      <c r="A396" s="3">
        <f t="shared" si="24"/>
        <v>144502</v>
      </c>
      <c r="B396" s="3" t="s">
        <v>411</v>
      </c>
      <c r="C396" s="3" t="s">
        <v>414</v>
      </c>
      <c r="D396" s="3" t="str">
        <f t="shared" si="25"/>
        <v>c445_presona_03_Name</v>
      </c>
      <c r="E396" s="3">
        <v>10000445</v>
      </c>
      <c r="F396" s="3">
        <v>2</v>
      </c>
      <c r="G396" s="3" t="s">
        <v>335</v>
      </c>
      <c r="H396" s="2">
        <v>1</v>
      </c>
    </row>
    <row r="397" spans="1:8" x14ac:dyDescent="0.3">
      <c r="A397" s="3">
        <f t="shared" si="24"/>
        <v>144503</v>
      </c>
      <c r="B397" s="3" t="s">
        <v>411</v>
      </c>
      <c r="C397" s="3" t="s">
        <v>414</v>
      </c>
      <c r="D397" s="3" t="str">
        <f t="shared" si="25"/>
        <v>c445_presona_04_Name</v>
      </c>
      <c r="E397" s="3">
        <v>10000445</v>
      </c>
      <c r="F397" s="3">
        <v>3</v>
      </c>
      <c r="G397" s="3" t="s">
        <v>335</v>
      </c>
      <c r="H397" s="2">
        <v>1</v>
      </c>
    </row>
    <row r="398" spans="1:8" x14ac:dyDescent="0.3">
      <c r="A398" s="3">
        <f t="shared" si="24"/>
        <v>144504</v>
      </c>
      <c r="B398" s="3" t="s">
        <v>411</v>
      </c>
      <c r="C398" s="3" t="s">
        <v>414</v>
      </c>
      <c r="D398" s="3" t="str">
        <f t="shared" si="25"/>
        <v>c445_presona_05_Name</v>
      </c>
      <c r="E398" s="3">
        <v>10000445</v>
      </c>
      <c r="F398" s="3">
        <v>4</v>
      </c>
      <c r="G398" s="3" t="s">
        <v>335</v>
      </c>
      <c r="H398" s="2">
        <v>1</v>
      </c>
    </row>
    <row r="399" spans="1:8" x14ac:dyDescent="0.3">
      <c r="A399" s="3">
        <f t="shared" si="24"/>
        <v>144505</v>
      </c>
      <c r="B399" s="3" t="s">
        <v>411</v>
      </c>
      <c r="C399" s="3" t="s">
        <v>414</v>
      </c>
      <c r="D399" s="3" t="str">
        <f t="shared" si="25"/>
        <v>c445_presona_06_Name</v>
      </c>
      <c r="E399" s="3">
        <v>10000445</v>
      </c>
      <c r="F399" s="3">
        <v>5</v>
      </c>
      <c r="G399" s="3" t="s">
        <v>335</v>
      </c>
      <c r="H399" s="2">
        <v>1</v>
      </c>
    </row>
    <row r="400" spans="1:8" x14ac:dyDescent="0.3">
      <c r="A400" s="3">
        <f t="shared" si="24"/>
        <v>144506</v>
      </c>
      <c r="B400" s="3" t="s">
        <v>411</v>
      </c>
      <c r="C400" s="3" t="s">
        <v>414</v>
      </c>
      <c r="D400" s="3" t="str">
        <f t="shared" si="25"/>
        <v>c445_presona_07_Name</v>
      </c>
      <c r="E400" s="3">
        <v>10000445</v>
      </c>
      <c r="F400" s="3">
        <v>6</v>
      </c>
      <c r="G400" s="3" t="s">
        <v>335</v>
      </c>
      <c r="H400" s="2">
        <v>1</v>
      </c>
    </row>
    <row r="401" spans="1:8" x14ac:dyDescent="0.3">
      <c r="A401" s="3">
        <f t="shared" si="24"/>
        <v>144507</v>
      </c>
      <c r="B401" s="3" t="s">
        <v>411</v>
      </c>
      <c r="C401" s="3" t="s">
        <v>414</v>
      </c>
      <c r="D401" s="3" t="str">
        <f t="shared" si="25"/>
        <v>c445_presona_08_Name</v>
      </c>
      <c r="E401" s="3">
        <v>10000445</v>
      </c>
      <c r="F401" s="3">
        <v>7</v>
      </c>
      <c r="G401" s="3" t="s">
        <v>335</v>
      </c>
      <c r="H401" s="2">
        <v>1</v>
      </c>
    </row>
    <row r="402" spans="1:8" x14ac:dyDescent="0.3">
      <c r="A402" s="3">
        <f t="shared" si="24"/>
        <v>144508</v>
      </c>
      <c r="B402" s="3" t="s">
        <v>411</v>
      </c>
      <c r="C402" s="3" t="s">
        <v>414</v>
      </c>
      <c r="D402" s="3" t="str">
        <f t="shared" si="25"/>
        <v>c445_presona_09_Name</v>
      </c>
      <c r="E402" s="3">
        <v>10000445</v>
      </c>
      <c r="F402" s="3">
        <v>8</v>
      </c>
      <c r="G402" s="3" t="s">
        <v>335</v>
      </c>
      <c r="H402" s="2">
        <v>1</v>
      </c>
    </row>
    <row r="403" spans="1:8" x14ac:dyDescent="0.3">
      <c r="A403" s="3">
        <f t="shared" si="24"/>
        <v>144509</v>
      </c>
      <c r="B403" s="3" t="s">
        <v>411</v>
      </c>
      <c r="C403" s="3" t="s">
        <v>414</v>
      </c>
      <c r="D403" s="3" t="str">
        <f t="shared" si="25"/>
        <v>c445_presona_10_Name</v>
      </c>
      <c r="E403" s="3">
        <v>10000445</v>
      </c>
      <c r="F403" s="3">
        <v>9</v>
      </c>
      <c r="G403" s="3" t="s">
        <v>335</v>
      </c>
      <c r="H403" s="2">
        <v>1</v>
      </c>
    </row>
    <row r="404" spans="1:8" x14ac:dyDescent="0.3">
      <c r="A404" s="3">
        <f t="shared" si="24"/>
        <v>144510</v>
      </c>
      <c r="B404" s="3" t="s">
        <v>411</v>
      </c>
      <c r="C404" s="3" t="s">
        <v>414</v>
      </c>
      <c r="D404" s="3" t="str">
        <f t="shared" si="25"/>
        <v>c445_presona_11_Name</v>
      </c>
      <c r="E404" s="3">
        <v>10000445</v>
      </c>
      <c r="F404" s="3">
        <v>10</v>
      </c>
      <c r="G404" s="3" t="s">
        <v>335</v>
      </c>
      <c r="H404" s="2">
        <v>1</v>
      </c>
    </row>
    <row r="405" spans="1:8" x14ac:dyDescent="0.3">
      <c r="A405" s="3">
        <f t="shared" si="24"/>
        <v>144511</v>
      </c>
      <c r="B405" s="3" t="s">
        <v>411</v>
      </c>
      <c r="C405" s="3" t="s">
        <v>414</v>
      </c>
      <c r="D405" s="3" t="str">
        <f t="shared" si="25"/>
        <v>c445_presona_12_Name</v>
      </c>
      <c r="E405" s="3">
        <v>10000445</v>
      </c>
      <c r="F405" s="3">
        <v>11</v>
      </c>
      <c r="G405" s="3" t="s">
        <v>335</v>
      </c>
      <c r="H405" s="2">
        <v>1</v>
      </c>
    </row>
    <row r="406" spans="1:8" x14ac:dyDescent="0.3">
      <c r="A406" s="3">
        <f t="shared" si="24"/>
        <v>144512</v>
      </c>
      <c r="B406" s="3" t="s">
        <v>411</v>
      </c>
      <c r="C406" s="3" t="s">
        <v>414</v>
      </c>
      <c r="D406" s="3" t="str">
        <f t="shared" si="25"/>
        <v>c445_presona_13_Name</v>
      </c>
      <c r="E406" s="3">
        <v>10000445</v>
      </c>
      <c r="F406" s="3">
        <v>12</v>
      </c>
      <c r="G406" s="3" t="s">
        <v>335</v>
      </c>
      <c r="H406" s="2">
        <v>1</v>
      </c>
    </row>
    <row r="407" spans="1:8" x14ac:dyDescent="0.3">
      <c r="A407" s="3">
        <f t="shared" si="24"/>
        <v>144513</v>
      </c>
      <c r="B407" s="3" t="s">
        <v>411</v>
      </c>
      <c r="C407" s="3" t="s">
        <v>414</v>
      </c>
      <c r="D407" s="3" t="str">
        <f t="shared" si="25"/>
        <v>c445_presona_14_Name</v>
      </c>
      <c r="E407" s="3">
        <v>10000445</v>
      </c>
      <c r="F407" s="3">
        <v>13</v>
      </c>
      <c r="G407" s="3" t="s">
        <v>335</v>
      </c>
      <c r="H407" s="2">
        <v>1</v>
      </c>
    </row>
    <row r="408" spans="1:8" x14ac:dyDescent="0.3">
      <c r="A408" s="3">
        <f t="shared" si="24"/>
        <v>144514</v>
      </c>
      <c r="B408" s="3" t="s">
        <v>411</v>
      </c>
      <c r="C408" s="3" t="s">
        <v>414</v>
      </c>
      <c r="D408" s="3" t="str">
        <f t="shared" si="25"/>
        <v>c445_presona_15_Name</v>
      </c>
      <c r="E408" s="3">
        <v>10000445</v>
      </c>
      <c r="F408" s="3">
        <v>14</v>
      </c>
      <c r="G408" s="3" t="s">
        <v>335</v>
      </c>
      <c r="H408" s="2">
        <v>1</v>
      </c>
    </row>
    <row r="409" spans="1:8" x14ac:dyDescent="0.3">
      <c r="A409" s="3">
        <f t="shared" ref="A409:A423" si="26">(MOD(E409, 1000)+1000)*100+F409</f>
        <v>146100</v>
      </c>
      <c r="B409" s="3" t="s">
        <v>416</v>
      </c>
      <c r="C409" s="3" t="s">
        <v>417</v>
      </c>
      <c r="D409" s="3" t="str">
        <f t="shared" ref="D409:D423" si="27">C409&amp;"_presona_"&amp;TEXT(F409+1, "00")&amp;"_Name"</f>
        <v>c461_presona_01_Name</v>
      </c>
      <c r="E409" s="3">
        <v>10000461</v>
      </c>
      <c r="F409" s="3">
        <v>0</v>
      </c>
      <c r="G409" s="3" t="s">
        <v>335</v>
      </c>
      <c r="H409" s="2">
        <v>1</v>
      </c>
    </row>
    <row r="410" spans="1:8" x14ac:dyDescent="0.3">
      <c r="A410" s="3">
        <f t="shared" si="26"/>
        <v>146101</v>
      </c>
      <c r="B410" s="3" t="s">
        <v>416</v>
      </c>
      <c r="C410" s="3" t="s">
        <v>417</v>
      </c>
      <c r="D410" s="3" t="str">
        <f t="shared" si="27"/>
        <v>c461_presona_02_Name</v>
      </c>
      <c r="E410" s="3">
        <v>10000461</v>
      </c>
      <c r="F410" s="3">
        <v>1</v>
      </c>
      <c r="G410" s="3" t="s">
        <v>335</v>
      </c>
      <c r="H410" s="2">
        <v>1</v>
      </c>
    </row>
    <row r="411" spans="1:8" x14ac:dyDescent="0.3">
      <c r="A411" s="3">
        <f t="shared" si="26"/>
        <v>146102</v>
      </c>
      <c r="B411" s="3" t="s">
        <v>416</v>
      </c>
      <c r="C411" s="3" t="s">
        <v>417</v>
      </c>
      <c r="D411" s="3" t="str">
        <f t="shared" si="27"/>
        <v>c461_presona_03_Name</v>
      </c>
      <c r="E411" s="3">
        <v>10000461</v>
      </c>
      <c r="F411" s="3">
        <v>2</v>
      </c>
      <c r="G411" s="3" t="s">
        <v>335</v>
      </c>
      <c r="H411" s="2">
        <v>1</v>
      </c>
    </row>
    <row r="412" spans="1:8" x14ac:dyDescent="0.3">
      <c r="A412" s="3">
        <f t="shared" si="26"/>
        <v>146103</v>
      </c>
      <c r="B412" s="3" t="s">
        <v>416</v>
      </c>
      <c r="C412" s="3" t="s">
        <v>417</v>
      </c>
      <c r="D412" s="3" t="str">
        <f t="shared" si="27"/>
        <v>c461_presona_04_Name</v>
      </c>
      <c r="E412" s="3">
        <v>10000461</v>
      </c>
      <c r="F412" s="3">
        <v>3</v>
      </c>
      <c r="G412" s="3" t="s">
        <v>335</v>
      </c>
      <c r="H412" s="2">
        <v>1</v>
      </c>
    </row>
    <row r="413" spans="1:8" x14ac:dyDescent="0.3">
      <c r="A413" s="3">
        <f t="shared" si="26"/>
        <v>146104</v>
      </c>
      <c r="B413" s="3" t="s">
        <v>416</v>
      </c>
      <c r="C413" s="3" t="s">
        <v>417</v>
      </c>
      <c r="D413" s="3" t="str">
        <f t="shared" si="27"/>
        <v>c461_presona_05_Name</v>
      </c>
      <c r="E413" s="3">
        <v>10000461</v>
      </c>
      <c r="F413" s="3">
        <v>4</v>
      </c>
      <c r="G413" s="3" t="s">
        <v>335</v>
      </c>
      <c r="H413" s="2">
        <v>1</v>
      </c>
    </row>
    <row r="414" spans="1:8" x14ac:dyDescent="0.3">
      <c r="A414" s="3">
        <f t="shared" si="26"/>
        <v>146105</v>
      </c>
      <c r="B414" s="3" t="s">
        <v>416</v>
      </c>
      <c r="C414" s="3" t="s">
        <v>417</v>
      </c>
      <c r="D414" s="3" t="str">
        <f t="shared" si="27"/>
        <v>c461_presona_06_Name</v>
      </c>
      <c r="E414" s="3">
        <v>10000461</v>
      </c>
      <c r="F414" s="3">
        <v>5</v>
      </c>
      <c r="G414" s="3" t="s">
        <v>335</v>
      </c>
      <c r="H414" s="2">
        <v>1</v>
      </c>
    </row>
    <row r="415" spans="1:8" x14ac:dyDescent="0.3">
      <c r="A415" s="3">
        <f t="shared" si="26"/>
        <v>146106</v>
      </c>
      <c r="B415" s="3" t="s">
        <v>416</v>
      </c>
      <c r="C415" s="3" t="s">
        <v>417</v>
      </c>
      <c r="D415" s="3" t="str">
        <f t="shared" si="27"/>
        <v>c461_presona_07_Name</v>
      </c>
      <c r="E415" s="3">
        <v>10000461</v>
      </c>
      <c r="F415" s="3">
        <v>6</v>
      </c>
      <c r="G415" s="3" t="s">
        <v>335</v>
      </c>
      <c r="H415" s="2">
        <v>1</v>
      </c>
    </row>
    <row r="416" spans="1:8" x14ac:dyDescent="0.3">
      <c r="A416" s="3">
        <f t="shared" si="26"/>
        <v>146107</v>
      </c>
      <c r="B416" s="3" t="s">
        <v>416</v>
      </c>
      <c r="C416" s="3" t="s">
        <v>417</v>
      </c>
      <c r="D416" s="3" t="str">
        <f t="shared" si="27"/>
        <v>c461_presona_08_Name</v>
      </c>
      <c r="E416" s="3">
        <v>10000461</v>
      </c>
      <c r="F416" s="3">
        <v>7</v>
      </c>
      <c r="G416" s="3" t="s">
        <v>335</v>
      </c>
      <c r="H416" s="2">
        <v>1</v>
      </c>
    </row>
    <row r="417" spans="1:8" x14ac:dyDescent="0.3">
      <c r="A417" s="3">
        <f t="shared" si="26"/>
        <v>146108</v>
      </c>
      <c r="B417" s="3" t="s">
        <v>416</v>
      </c>
      <c r="C417" s="3" t="s">
        <v>417</v>
      </c>
      <c r="D417" s="3" t="str">
        <f t="shared" si="27"/>
        <v>c461_presona_09_Name</v>
      </c>
      <c r="E417" s="3">
        <v>10000461</v>
      </c>
      <c r="F417" s="3">
        <v>8</v>
      </c>
      <c r="G417" s="3" t="s">
        <v>335</v>
      </c>
      <c r="H417" s="2">
        <v>1</v>
      </c>
    </row>
    <row r="418" spans="1:8" x14ac:dyDescent="0.3">
      <c r="A418" s="3">
        <f t="shared" si="26"/>
        <v>146109</v>
      </c>
      <c r="B418" s="3" t="s">
        <v>416</v>
      </c>
      <c r="C418" s="3" t="s">
        <v>417</v>
      </c>
      <c r="D418" s="3" t="str">
        <f t="shared" si="27"/>
        <v>c461_presona_10_Name</v>
      </c>
      <c r="E418" s="3">
        <v>10000461</v>
      </c>
      <c r="F418" s="3">
        <v>9</v>
      </c>
      <c r="G418" s="3" t="s">
        <v>335</v>
      </c>
      <c r="H418" s="2">
        <v>1</v>
      </c>
    </row>
    <row r="419" spans="1:8" x14ac:dyDescent="0.3">
      <c r="A419" s="3">
        <f t="shared" si="26"/>
        <v>146110</v>
      </c>
      <c r="B419" s="3" t="s">
        <v>416</v>
      </c>
      <c r="C419" s="3" t="s">
        <v>417</v>
      </c>
      <c r="D419" s="3" t="str">
        <f t="shared" si="27"/>
        <v>c461_presona_11_Name</v>
      </c>
      <c r="E419" s="3">
        <v>10000461</v>
      </c>
      <c r="F419" s="3">
        <v>10</v>
      </c>
      <c r="G419" s="3" t="s">
        <v>335</v>
      </c>
      <c r="H419" s="2">
        <v>1</v>
      </c>
    </row>
    <row r="420" spans="1:8" x14ac:dyDescent="0.3">
      <c r="A420" s="3">
        <f t="shared" si="26"/>
        <v>146111</v>
      </c>
      <c r="B420" s="3" t="s">
        <v>416</v>
      </c>
      <c r="C420" s="3" t="s">
        <v>417</v>
      </c>
      <c r="D420" s="3" t="str">
        <f t="shared" si="27"/>
        <v>c461_presona_12_Name</v>
      </c>
      <c r="E420" s="3">
        <v>10000461</v>
      </c>
      <c r="F420" s="3">
        <v>11</v>
      </c>
      <c r="G420" s="3" t="s">
        <v>335</v>
      </c>
      <c r="H420" s="2">
        <v>1</v>
      </c>
    </row>
    <row r="421" spans="1:8" x14ac:dyDescent="0.3">
      <c r="A421" s="3">
        <f t="shared" si="26"/>
        <v>146112</v>
      </c>
      <c r="B421" s="3" t="s">
        <v>416</v>
      </c>
      <c r="C421" s="3" t="s">
        <v>417</v>
      </c>
      <c r="D421" s="3" t="str">
        <f t="shared" si="27"/>
        <v>c461_presona_13_Name</v>
      </c>
      <c r="E421" s="3">
        <v>10000461</v>
      </c>
      <c r="F421" s="3">
        <v>12</v>
      </c>
      <c r="G421" s="3" t="s">
        <v>335</v>
      </c>
      <c r="H421" s="2">
        <v>1</v>
      </c>
    </row>
    <row r="422" spans="1:8" x14ac:dyDescent="0.3">
      <c r="A422" s="3">
        <f t="shared" si="26"/>
        <v>146113</v>
      </c>
      <c r="B422" s="3" t="s">
        <v>416</v>
      </c>
      <c r="C422" s="3" t="s">
        <v>417</v>
      </c>
      <c r="D422" s="3" t="str">
        <f t="shared" si="27"/>
        <v>c461_presona_14_Name</v>
      </c>
      <c r="E422" s="3">
        <v>10000461</v>
      </c>
      <c r="F422" s="3">
        <v>13</v>
      </c>
      <c r="G422" s="3" t="s">
        <v>335</v>
      </c>
      <c r="H422" s="2">
        <v>1</v>
      </c>
    </row>
    <row r="423" spans="1:8" x14ac:dyDescent="0.3">
      <c r="A423" s="3">
        <f t="shared" si="26"/>
        <v>146114</v>
      </c>
      <c r="B423" s="3" t="s">
        <v>416</v>
      </c>
      <c r="C423" s="3" t="s">
        <v>417</v>
      </c>
      <c r="D423" s="3" t="str">
        <f t="shared" si="27"/>
        <v>c461_presona_15_Name</v>
      </c>
      <c r="E423" s="3">
        <v>10000461</v>
      </c>
      <c r="F423" s="3">
        <v>14</v>
      </c>
      <c r="G423" s="3" t="s">
        <v>335</v>
      </c>
      <c r="H423" s="2">
        <v>1</v>
      </c>
    </row>
    <row r="424" spans="1:8" x14ac:dyDescent="0.3">
      <c r="A424" s="3">
        <f t="shared" ref="A424:A438" si="28">(MOD(E424, 1000)+1000)*100+F424</f>
        <v>128300</v>
      </c>
      <c r="B424" s="3" t="str">
        <f>_xlfn.XLOOKUP(E424,'#캐릭터'!A:A,'#캐릭터'!B:B)</f>
        <v>모건</v>
      </c>
      <c r="C424" s="3" t="str">
        <f>_xlfn.XLOOKUP(E424,'#캐릭터'!A:A,'#캐릭터'!C:C)</f>
        <v>c283</v>
      </c>
      <c r="D424" s="3" t="str">
        <f t="shared" ref="D424:D438" si="29">C424&amp;"_presona_"&amp;TEXT(F424+1, "00")&amp;"_Name"</f>
        <v>c283_presona_01_Name</v>
      </c>
      <c r="E424" s="3">
        <v>10000283</v>
      </c>
      <c r="F424" s="3">
        <v>0</v>
      </c>
      <c r="G424" s="3" t="s">
        <v>335</v>
      </c>
      <c r="H424" s="2">
        <v>1</v>
      </c>
    </row>
    <row r="425" spans="1:8" x14ac:dyDescent="0.3">
      <c r="A425" s="3">
        <f t="shared" si="28"/>
        <v>128301</v>
      </c>
      <c r="B425" s="3" t="str">
        <f>_xlfn.XLOOKUP(E425,'#캐릭터'!A:A,'#캐릭터'!B:B)</f>
        <v>모건</v>
      </c>
      <c r="C425" s="3" t="str">
        <f>_xlfn.XLOOKUP(E425,'#캐릭터'!A:A,'#캐릭터'!C:C)</f>
        <v>c283</v>
      </c>
      <c r="D425" s="3" t="str">
        <f t="shared" si="29"/>
        <v>c283_presona_02_Name</v>
      </c>
      <c r="E425" s="3">
        <v>10000283</v>
      </c>
      <c r="F425" s="3">
        <v>1</v>
      </c>
      <c r="G425" s="3" t="s">
        <v>335</v>
      </c>
      <c r="H425" s="2">
        <v>1</v>
      </c>
    </row>
    <row r="426" spans="1:8" x14ac:dyDescent="0.3">
      <c r="A426" s="3">
        <f t="shared" si="28"/>
        <v>128302</v>
      </c>
      <c r="B426" s="3" t="str">
        <f>_xlfn.XLOOKUP(E426,'#캐릭터'!A:A,'#캐릭터'!B:B)</f>
        <v>모건</v>
      </c>
      <c r="C426" s="3" t="str">
        <f>_xlfn.XLOOKUP(E426,'#캐릭터'!A:A,'#캐릭터'!C:C)</f>
        <v>c283</v>
      </c>
      <c r="D426" s="3" t="str">
        <f t="shared" si="29"/>
        <v>c283_presona_03_Name</v>
      </c>
      <c r="E426" s="3">
        <v>10000283</v>
      </c>
      <c r="F426" s="3">
        <v>2</v>
      </c>
      <c r="G426" s="3" t="s">
        <v>335</v>
      </c>
      <c r="H426" s="2">
        <v>1</v>
      </c>
    </row>
    <row r="427" spans="1:8" x14ac:dyDescent="0.3">
      <c r="A427" s="3">
        <f t="shared" si="28"/>
        <v>128303</v>
      </c>
      <c r="B427" s="3" t="str">
        <f>_xlfn.XLOOKUP(E427,'#캐릭터'!A:A,'#캐릭터'!B:B)</f>
        <v>모건</v>
      </c>
      <c r="C427" s="3" t="str">
        <f>_xlfn.XLOOKUP(E427,'#캐릭터'!A:A,'#캐릭터'!C:C)</f>
        <v>c283</v>
      </c>
      <c r="D427" s="3" t="str">
        <f t="shared" si="29"/>
        <v>c283_presona_04_Name</v>
      </c>
      <c r="E427" s="3">
        <v>10000283</v>
      </c>
      <c r="F427" s="3">
        <v>3</v>
      </c>
      <c r="G427" s="3" t="s">
        <v>335</v>
      </c>
      <c r="H427" s="2">
        <v>1</v>
      </c>
    </row>
    <row r="428" spans="1:8" x14ac:dyDescent="0.3">
      <c r="A428" s="3">
        <f t="shared" si="28"/>
        <v>128304</v>
      </c>
      <c r="B428" s="3" t="str">
        <f>_xlfn.XLOOKUP(E428,'#캐릭터'!A:A,'#캐릭터'!B:B)</f>
        <v>모건</v>
      </c>
      <c r="C428" s="3" t="str">
        <f>_xlfn.XLOOKUP(E428,'#캐릭터'!A:A,'#캐릭터'!C:C)</f>
        <v>c283</v>
      </c>
      <c r="D428" s="3" t="str">
        <f t="shared" si="29"/>
        <v>c283_presona_05_Name</v>
      </c>
      <c r="E428" s="3">
        <v>10000283</v>
      </c>
      <c r="F428" s="3">
        <v>4</v>
      </c>
      <c r="G428" s="3" t="s">
        <v>335</v>
      </c>
      <c r="H428" s="2">
        <v>1</v>
      </c>
    </row>
    <row r="429" spans="1:8" x14ac:dyDescent="0.3">
      <c r="A429" s="3">
        <f t="shared" si="28"/>
        <v>128305</v>
      </c>
      <c r="B429" s="3" t="str">
        <f>_xlfn.XLOOKUP(E429,'#캐릭터'!A:A,'#캐릭터'!B:B)</f>
        <v>모건</v>
      </c>
      <c r="C429" s="3" t="str">
        <f>_xlfn.XLOOKUP(E429,'#캐릭터'!A:A,'#캐릭터'!C:C)</f>
        <v>c283</v>
      </c>
      <c r="D429" s="3" t="str">
        <f t="shared" si="29"/>
        <v>c283_presona_06_Name</v>
      </c>
      <c r="E429" s="3">
        <v>10000283</v>
      </c>
      <c r="F429" s="3">
        <v>5</v>
      </c>
      <c r="G429" s="3" t="s">
        <v>335</v>
      </c>
      <c r="H429" s="2">
        <v>1</v>
      </c>
    </row>
    <row r="430" spans="1:8" x14ac:dyDescent="0.3">
      <c r="A430" s="3">
        <f t="shared" si="28"/>
        <v>128306</v>
      </c>
      <c r="B430" s="3" t="str">
        <f>_xlfn.XLOOKUP(E430,'#캐릭터'!A:A,'#캐릭터'!B:B)</f>
        <v>모건</v>
      </c>
      <c r="C430" s="3" t="str">
        <f>_xlfn.XLOOKUP(E430,'#캐릭터'!A:A,'#캐릭터'!C:C)</f>
        <v>c283</v>
      </c>
      <c r="D430" s="3" t="str">
        <f t="shared" si="29"/>
        <v>c283_presona_07_Name</v>
      </c>
      <c r="E430" s="3">
        <v>10000283</v>
      </c>
      <c r="F430" s="3">
        <v>6</v>
      </c>
      <c r="G430" s="3" t="s">
        <v>335</v>
      </c>
      <c r="H430" s="2">
        <v>1</v>
      </c>
    </row>
    <row r="431" spans="1:8" x14ac:dyDescent="0.3">
      <c r="A431" s="3">
        <f t="shared" si="28"/>
        <v>128307</v>
      </c>
      <c r="B431" s="3" t="str">
        <f>_xlfn.XLOOKUP(E431,'#캐릭터'!A:A,'#캐릭터'!B:B)</f>
        <v>모건</v>
      </c>
      <c r="C431" s="3" t="str">
        <f>_xlfn.XLOOKUP(E431,'#캐릭터'!A:A,'#캐릭터'!C:C)</f>
        <v>c283</v>
      </c>
      <c r="D431" s="3" t="str">
        <f t="shared" si="29"/>
        <v>c283_presona_08_Name</v>
      </c>
      <c r="E431" s="3">
        <v>10000283</v>
      </c>
      <c r="F431" s="3">
        <v>7</v>
      </c>
      <c r="G431" s="3" t="s">
        <v>335</v>
      </c>
      <c r="H431" s="2">
        <v>1</v>
      </c>
    </row>
    <row r="432" spans="1:8" x14ac:dyDescent="0.3">
      <c r="A432" s="3">
        <f t="shared" si="28"/>
        <v>128308</v>
      </c>
      <c r="B432" s="3" t="str">
        <f>_xlfn.XLOOKUP(E432,'#캐릭터'!A:A,'#캐릭터'!B:B)</f>
        <v>모건</v>
      </c>
      <c r="C432" s="3" t="str">
        <f>_xlfn.XLOOKUP(E432,'#캐릭터'!A:A,'#캐릭터'!C:C)</f>
        <v>c283</v>
      </c>
      <c r="D432" s="3" t="str">
        <f t="shared" si="29"/>
        <v>c283_presona_09_Name</v>
      </c>
      <c r="E432" s="3">
        <v>10000283</v>
      </c>
      <c r="F432" s="3">
        <v>8</v>
      </c>
      <c r="G432" s="3" t="s">
        <v>335</v>
      </c>
      <c r="H432" s="2">
        <v>1</v>
      </c>
    </row>
    <row r="433" spans="1:8" x14ac:dyDescent="0.3">
      <c r="A433" s="3">
        <f t="shared" si="28"/>
        <v>128309</v>
      </c>
      <c r="B433" s="3" t="str">
        <f>_xlfn.XLOOKUP(E433,'#캐릭터'!A:A,'#캐릭터'!B:B)</f>
        <v>모건</v>
      </c>
      <c r="C433" s="3" t="str">
        <f>_xlfn.XLOOKUP(E433,'#캐릭터'!A:A,'#캐릭터'!C:C)</f>
        <v>c283</v>
      </c>
      <c r="D433" s="3" t="str">
        <f t="shared" si="29"/>
        <v>c283_presona_10_Name</v>
      </c>
      <c r="E433" s="3">
        <v>10000283</v>
      </c>
      <c r="F433" s="3">
        <v>9</v>
      </c>
      <c r="G433" s="3" t="s">
        <v>335</v>
      </c>
      <c r="H433" s="2">
        <v>1</v>
      </c>
    </row>
    <row r="434" spans="1:8" x14ac:dyDescent="0.3">
      <c r="A434" s="3">
        <f t="shared" si="28"/>
        <v>128310</v>
      </c>
      <c r="B434" s="3" t="str">
        <f>_xlfn.XLOOKUP(E434,'#캐릭터'!A:A,'#캐릭터'!B:B)</f>
        <v>모건</v>
      </c>
      <c r="C434" s="3" t="str">
        <f>_xlfn.XLOOKUP(E434,'#캐릭터'!A:A,'#캐릭터'!C:C)</f>
        <v>c283</v>
      </c>
      <c r="D434" s="3" t="str">
        <f t="shared" si="29"/>
        <v>c283_presona_11_Name</v>
      </c>
      <c r="E434" s="3">
        <v>10000283</v>
      </c>
      <c r="F434" s="3">
        <v>10</v>
      </c>
      <c r="G434" s="3" t="s">
        <v>335</v>
      </c>
      <c r="H434" s="2">
        <v>1</v>
      </c>
    </row>
    <row r="435" spans="1:8" x14ac:dyDescent="0.3">
      <c r="A435" s="3">
        <f t="shared" si="28"/>
        <v>128311</v>
      </c>
      <c r="B435" s="3" t="str">
        <f>_xlfn.XLOOKUP(E435,'#캐릭터'!A:A,'#캐릭터'!B:B)</f>
        <v>모건</v>
      </c>
      <c r="C435" s="3" t="str">
        <f>_xlfn.XLOOKUP(E435,'#캐릭터'!A:A,'#캐릭터'!C:C)</f>
        <v>c283</v>
      </c>
      <c r="D435" s="3" t="str">
        <f t="shared" si="29"/>
        <v>c283_presona_12_Name</v>
      </c>
      <c r="E435" s="3">
        <v>10000283</v>
      </c>
      <c r="F435" s="3">
        <v>11</v>
      </c>
      <c r="G435" s="3" t="s">
        <v>335</v>
      </c>
      <c r="H435" s="2">
        <v>1</v>
      </c>
    </row>
    <row r="436" spans="1:8" x14ac:dyDescent="0.3">
      <c r="A436" s="3">
        <f t="shared" si="28"/>
        <v>128312</v>
      </c>
      <c r="B436" s="3" t="str">
        <f>_xlfn.XLOOKUP(E436,'#캐릭터'!A:A,'#캐릭터'!B:B)</f>
        <v>모건</v>
      </c>
      <c r="C436" s="3" t="str">
        <f>_xlfn.XLOOKUP(E436,'#캐릭터'!A:A,'#캐릭터'!C:C)</f>
        <v>c283</v>
      </c>
      <c r="D436" s="3" t="str">
        <f t="shared" si="29"/>
        <v>c283_presona_13_Name</v>
      </c>
      <c r="E436" s="3">
        <v>10000283</v>
      </c>
      <c r="F436" s="3">
        <v>12</v>
      </c>
      <c r="G436" s="3" t="s">
        <v>335</v>
      </c>
      <c r="H436" s="2">
        <v>1</v>
      </c>
    </row>
    <row r="437" spans="1:8" x14ac:dyDescent="0.3">
      <c r="A437" s="3">
        <f t="shared" si="28"/>
        <v>128313</v>
      </c>
      <c r="B437" s="3" t="str">
        <f>_xlfn.XLOOKUP(E437,'#캐릭터'!A:A,'#캐릭터'!B:B)</f>
        <v>모건</v>
      </c>
      <c r="C437" s="3" t="str">
        <f>_xlfn.XLOOKUP(E437,'#캐릭터'!A:A,'#캐릭터'!C:C)</f>
        <v>c283</v>
      </c>
      <c r="D437" s="3" t="str">
        <f t="shared" si="29"/>
        <v>c283_presona_14_Name</v>
      </c>
      <c r="E437" s="3">
        <v>10000283</v>
      </c>
      <c r="F437" s="3">
        <v>13</v>
      </c>
      <c r="G437" s="3" t="s">
        <v>335</v>
      </c>
      <c r="H437" s="2">
        <v>1</v>
      </c>
    </row>
    <row r="438" spans="1:8" x14ac:dyDescent="0.3">
      <c r="A438" s="3">
        <f t="shared" si="28"/>
        <v>128314</v>
      </c>
      <c r="B438" s="3" t="str">
        <f>_xlfn.XLOOKUP(E438,'#캐릭터'!A:A,'#캐릭터'!B:B)</f>
        <v>모건</v>
      </c>
      <c r="C438" s="3" t="str">
        <f>_xlfn.XLOOKUP(E438,'#캐릭터'!A:A,'#캐릭터'!C:C)</f>
        <v>c283</v>
      </c>
      <c r="D438" s="3" t="str">
        <f t="shared" si="29"/>
        <v>c283_presona_15_Name</v>
      </c>
      <c r="E438" s="3">
        <v>10000283</v>
      </c>
      <c r="F438" s="3">
        <v>14</v>
      </c>
      <c r="G438" s="3" t="s">
        <v>335</v>
      </c>
      <c r="H438" s="2">
        <v>1</v>
      </c>
    </row>
    <row r="439" spans="1:8" x14ac:dyDescent="0.3">
      <c r="A439" s="3">
        <f t="shared" ref="A439:A468" si="30">(MOD(E439, 1000)+1000)*100+F439</f>
        <v>140000</v>
      </c>
      <c r="B439" s="3" t="str">
        <f>_xlfn.XLOOKUP(E439,'#캐릭터'!A:A,'#캐릭터'!B:B)</f>
        <v>반시</v>
      </c>
      <c r="C439" s="3" t="str">
        <f>_xlfn.XLOOKUP(E439,'#캐릭터'!A:A,'#캐릭터'!C:C)</f>
        <v>c400</v>
      </c>
      <c r="D439" s="3" t="str">
        <f t="shared" ref="D439:D468" si="31">C439&amp;"_presona_"&amp;TEXT(F439+1, "00")&amp;"_Name"</f>
        <v>c400_presona_01_Name</v>
      </c>
      <c r="E439" s="3">
        <v>10000400</v>
      </c>
      <c r="F439" s="3">
        <v>0</v>
      </c>
      <c r="G439" s="3" t="s">
        <v>335</v>
      </c>
      <c r="H439" s="2">
        <v>1</v>
      </c>
    </row>
    <row r="440" spans="1:8" x14ac:dyDescent="0.3">
      <c r="A440" s="3">
        <f t="shared" si="30"/>
        <v>140001</v>
      </c>
      <c r="B440" s="3" t="str">
        <f>_xlfn.XLOOKUP(E440,'#캐릭터'!A:A,'#캐릭터'!B:B)</f>
        <v>반시</v>
      </c>
      <c r="C440" s="3" t="str">
        <f>_xlfn.XLOOKUP(E440,'#캐릭터'!A:A,'#캐릭터'!C:C)</f>
        <v>c400</v>
      </c>
      <c r="D440" s="3" t="str">
        <f t="shared" si="31"/>
        <v>c400_presona_02_Name</v>
      </c>
      <c r="E440" s="3">
        <v>10000400</v>
      </c>
      <c r="F440" s="3">
        <v>1</v>
      </c>
      <c r="G440" s="3" t="s">
        <v>335</v>
      </c>
      <c r="H440" s="2">
        <v>1</v>
      </c>
    </row>
    <row r="441" spans="1:8" x14ac:dyDescent="0.3">
      <c r="A441" s="3">
        <f t="shared" si="30"/>
        <v>140002</v>
      </c>
      <c r="B441" s="3" t="str">
        <f>_xlfn.XLOOKUP(E441,'#캐릭터'!A:A,'#캐릭터'!B:B)</f>
        <v>반시</v>
      </c>
      <c r="C441" s="3" t="str">
        <f>_xlfn.XLOOKUP(E441,'#캐릭터'!A:A,'#캐릭터'!C:C)</f>
        <v>c400</v>
      </c>
      <c r="D441" s="3" t="str">
        <f t="shared" si="31"/>
        <v>c400_presona_03_Name</v>
      </c>
      <c r="E441" s="3">
        <v>10000400</v>
      </c>
      <c r="F441" s="3">
        <v>2</v>
      </c>
      <c r="G441" s="3" t="s">
        <v>335</v>
      </c>
      <c r="H441" s="2">
        <v>1</v>
      </c>
    </row>
    <row r="442" spans="1:8" x14ac:dyDescent="0.3">
      <c r="A442" s="3">
        <f t="shared" si="30"/>
        <v>140003</v>
      </c>
      <c r="B442" s="3" t="str">
        <f>_xlfn.XLOOKUP(E442,'#캐릭터'!A:A,'#캐릭터'!B:B)</f>
        <v>반시</v>
      </c>
      <c r="C442" s="3" t="str">
        <f>_xlfn.XLOOKUP(E442,'#캐릭터'!A:A,'#캐릭터'!C:C)</f>
        <v>c400</v>
      </c>
      <c r="D442" s="3" t="str">
        <f t="shared" si="31"/>
        <v>c400_presona_04_Name</v>
      </c>
      <c r="E442" s="3">
        <v>10000400</v>
      </c>
      <c r="F442" s="3">
        <v>3</v>
      </c>
      <c r="G442" s="3" t="s">
        <v>335</v>
      </c>
      <c r="H442" s="2">
        <v>1</v>
      </c>
    </row>
    <row r="443" spans="1:8" x14ac:dyDescent="0.3">
      <c r="A443" s="3">
        <f t="shared" si="30"/>
        <v>140004</v>
      </c>
      <c r="B443" s="3" t="str">
        <f>_xlfn.XLOOKUP(E443,'#캐릭터'!A:A,'#캐릭터'!B:B)</f>
        <v>반시</v>
      </c>
      <c r="C443" s="3" t="str">
        <f>_xlfn.XLOOKUP(E443,'#캐릭터'!A:A,'#캐릭터'!C:C)</f>
        <v>c400</v>
      </c>
      <c r="D443" s="3" t="str">
        <f t="shared" si="31"/>
        <v>c400_presona_05_Name</v>
      </c>
      <c r="E443" s="3">
        <v>10000400</v>
      </c>
      <c r="F443" s="3">
        <v>4</v>
      </c>
      <c r="G443" s="3" t="s">
        <v>335</v>
      </c>
      <c r="H443" s="2">
        <v>1</v>
      </c>
    </row>
    <row r="444" spans="1:8" x14ac:dyDescent="0.3">
      <c r="A444" s="3">
        <f t="shared" si="30"/>
        <v>140005</v>
      </c>
      <c r="B444" s="3" t="str">
        <f>_xlfn.XLOOKUP(E444,'#캐릭터'!A:A,'#캐릭터'!B:B)</f>
        <v>반시</v>
      </c>
      <c r="C444" s="3" t="str">
        <f>_xlfn.XLOOKUP(E444,'#캐릭터'!A:A,'#캐릭터'!C:C)</f>
        <v>c400</v>
      </c>
      <c r="D444" s="3" t="str">
        <f t="shared" si="31"/>
        <v>c400_presona_06_Name</v>
      </c>
      <c r="E444" s="3">
        <v>10000400</v>
      </c>
      <c r="F444" s="3">
        <v>5</v>
      </c>
      <c r="G444" s="3" t="s">
        <v>335</v>
      </c>
      <c r="H444" s="2">
        <v>1</v>
      </c>
    </row>
    <row r="445" spans="1:8" x14ac:dyDescent="0.3">
      <c r="A445" s="3">
        <f t="shared" si="30"/>
        <v>140006</v>
      </c>
      <c r="B445" s="3" t="str">
        <f>_xlfn.XLOOKUP(E445,'#캐릭터'!A:A,'#캐릭터'!B:B)</f>
        <v>반시</v>
      </c>
      <c r="C445" s="3" t="str">
        <f>_xlfn.XLOOKUP(E445,'#캐릭터'!A:A,'#캐릭터'!C:C)</f>
        <v>c400</v>
      </c>
      <c r="D445" s="3" t="str">
        <f t="shared" si="31"/>
        <v>c400_presona_07_Name</v>
      </c>
      <c r="E445" s="3">
        <v>10000400</v>
      </c>
      <c r="F445" s="3">
        <v>6</v>
      </c>
      <c r="G445" s="3" t="s">
        <v>335</v>
      </c>
      <c r="H445" s="2">
        <v>1</v>
      </c>
    </row>
    <row r="446" spans="1:8" x14ac:dyDescent="0.3">
      <c r="A446" s="3">
        <f t="shared" si="30"/>
        <v>140007</v>
      </c>
      <c r="B446" s="3" t="str">
        <f>_xlfn.XLOOKUP(E446,'#캐릭터'!A:A,'#캐릭터'!B:B)</f>
        <v>반시</v>
      </c>
      <c r="C446" s="3" t="str">
        <f>_xlfn.XLOOKUP(E446,'#캐릭터'!A:A,'#캐릭터'!C:C)</f>
        <v>c400</v>
      </c>
      <c r="D446" s="3" t="str">
        <f t="shared" si="31"/>
        <v>c400_presona_08_Name</v>
      </c>
      <c r="E446" s="3">
        <v>10000400</v>
      </c>
      <c r="F446" s="3">
        <v>7</v>
      </c>
      <c r="G446" s="3" t="s">
        <v>335</v>
      </c>
      <c r="H446" s="2">
        <v>1</v>
      </c>
    </row>
    <row r="447" spans="1:8" x14ac:dyDescent="0.3">
      <c r="A447" s="3">
        <f t="shared" si="30"/>
        <v>140008</v>
      </c>
      <c r="B447" s="3" t="str">
        <f>_xlfn.XLOOKUP(E447,'#캐릭터'!A:A,'#캐릭터'!B:B)</f>
        <v>반시</v>
      </c>
      <c r="C447" s="3" t="str">
        <f>_xlfn.XLOOKUP(E447,'#캐릭터'!A:A,'#캐릭터'!C:C)</f>
        <v>c400</v>
      </c>
      <c r="D447" s="3" t="str">
        <f t="shared" si="31"/>
        <v>c400_presona_09_Name</v>
      </c>
      <c r="E447" s="3">
        <v>10000400</v>
      </c>
      <c r="F447" s="3">
        <v>8</v>
      </c>
      <c r="G447" s="3" t="s">
        <v>335</v>
      </c>
      <c r="H447" s="2">
        <v>1</v>
      </c>
    </row>
    <row r="448" spans="1:8" x14ac:dyDescent="0.3">
      <c r="A448" s="3">
        <f t="shared" si="30"/>
        <v>140009</v>
      </c>
      <c r="B448" s="3" t="str">
        <f>_xlfn.XLOOKUP(E448,'#캐릭터'!A:A,'#캐릭터'!B:B)</f>
        <v>반시</v>
      </c>
      <c r="C448" s="3" t="str">
        <f>_xlfn.XLOOKUP(E448,'#캐릭터'!A:A,'#캐릭터'!C:C)</f>
        <v>c400</v>
      </c>
      <c r="D448" s="3" t="str">
        <f t="shared" si="31"/>
        <v>c400_presona_10_Name</v>
      </c>
      <c r="E448" s="3">
        <v>10000400</v>
      </c>
      <c r="F448" s="3">
        <v>9</v>
      </c>
      <c r="G448" s="3" t="s">
        <v>335</v>
      </c>
      <c r="H448" s="2">
        <v>1</v>
      </c>
    </row>
    <row r="449" spans="1:8" x14ac:dyDescent="0.3">
      <c r="A449" s="3">
        <f t="shared" si="30"/>
        <v>140010</v>
      </c>
      <c r="B449" s="3" t="str">
        <f>_xlfn.XLOOKUP(E449,'#캐릭터'!A:A,'#캐릭터'!B:B)</f>
        <v>반시</v>
      </c>
      <c r="C449" s="3" t="str">
        <f>_xlfn.XLOOKUP(E449,'#캐릭터'!A:A,'#캐릭터'!C:C)</f>
        <v>c400</v>
      </c>
      <c r="D449" s="3" t="str">
        <f t="shared" si="31"/>
        <v>c400_presona_11_Name</v>
      </c>
      <c r="E449" s="3">
        <v>10000400</v>
      </c>
      <c r="F449" s="3">
        <v>10</v>
      </c>
      <c r="G449" s="3" t="s">
        <v>335</v>
      </c>
      <c r="H449" s="2">
        <v>1</v>
      </c>
    </row>
    <row r="450" spans="1:8" x14ac:dyDescent="0.3">
      <c r="A450" s="3">
        <f t="shared" si="30"/>
        <v>140011</v>
      </c>
      <c r="B450" s="3" t="str">
        <f>_xlfn.XLOOKUP(E450,'#캐릭터'!A:A,'#캐릭터'!B:B)</f>
        <v>반시</v>
      </c>
      <c r="C450" s="3" t="str">
        <f>_xlfn.XLOOKUP(E450,'#캐릭터'!A:A,'#캐릭터'!C:C)</f>
        <v>c400</v>
      </c>
      <c r="D450" s="3" t="str">
        <f t="shared" si="31"/>
        <v>c400_presona_12_Name</v>
      </c>
      <c r="E450" s="3">
        <v>10000400</v>
      </c>
      <c r="F450" s="3">
        <v>11</v>
      </c>
      <c r="G450" s="3" t="s">
        <v>335</v>
      </c>
      <c r="H450" s="2">
        <v>1</v>
      </c>
    </row>
    <row r="451" spans="1:8" x14ac:dyDescent="0.3">
      <c r="A451" s="3">
        <f t="shared" si="30"/>
        <v>140012</v>
      </c>
      <c r="B451" s="3" t="str">
        <f>_xlfn.XLOOKUP(E451,'#캐릭터'!A:A,'#캐릭터'!B:B)</f>
        <v>반시</v>
      </c>
      <c r="C451" s="3" t="str">
        <f>_xlfn.XLOOKUP(E451,'#캐릭터'!A:A,'#캐릭터'!C:C)</f>
        <v>c400</v>
      </c>
      <c r="D451" s="3" t="str">
        <f t="shared" si="31"/>
        <v>c400_presona_13_Name</v>
      </c>
      <c r="E451" s="3">
        <v>10000400</v>
      </c>
      <c r="F451" s="3">
        <v>12</v>
      </c>
      <c r="G451" s="3" t="s">
        <v>335</v>
      </c>
      <c r="H451" s="2">
        <v>1</v>
      </c>
    </row>
    <row r="452" spans="1:8" x14ac:dyDescent="0.3">
      <c r="A452" s="3">
        <f t="shared" si="30"/>
        <v>140013</v>
      </c>
      <c r="B452" s="3" t="str">
        <f>_xlfn.XLOOKUP(E452,'#캐릭터'!A:A,'#캐릭터'!B:B)</f>
        <v>반시</v>
      </c>
      <c r="C452" s="3" t="str">
        <f>_xlfn.XLOOKUP(E452,'#캐릭터'!A:A,'#캐릭터'!C:C)</f>
        <v>c400</v>
      </c>
      <c r="D452" s="3" t="str">
        <f t="shared" si="31"/>
        <v>c400_presona_14_Name</v>
      </c>
      <c r="E452" s="3">
        <v>10000400</v>
      </c>
      <c r="F452" s="3">
        <v>13</v>
      </c>
      <c r="G452" s="3" t="s">
        <v>335</v>
      </c>
      <c r="H452" s="2">
        <v>1</v>
      </c>
    </row>
    <row r="453" spans="1:8" x14ac:dyDescent="0.3">
      <c r="A453" s="3">
        <f t="shared" si="30"/>
        <v>140014</v>
      </c>
      <c r="B453" s="3" t="str">
        <f>_xlfn.XLOOKUP(E453,'#캐릭터'!A:A,'#캐릭터'!B:B)</f>
        <v>반시</v>
      </c>
      <c r="C453" s="3" t="str">
        <f>_xlfn.XLOOKUP(E453,'#캐릭터'!A:A,'#캐릭터'!C:C)</f>
        <v>c400</v>
      </c>
      <c r="D453" s="3" t="str">
        <f t="shared" si="31"/>
        <v>c400_presona_15_Name</v>
      </c>
      <c r="E453" s="3">
        <v>10000400</v>
      </c>
      <c r="F453" s="3">
        <v>14</v>
      </c>
      <c r="G453" s="3" t="s">
        <v>335</v>
      </c>
      <c r="H453" s="2">
        <v>1</v>
      </c>
    </row>
    <row r="454" spans="1:8" x14ac:dyDescent="0.3">
      <c r="A454" s="3">
        <f t="shared" si="30"/>
        <v>144700</v>
      </c>
      <c r="B454" s="3" t="str">
        <f>_xlfn.XLOOKUP(E454,'#캐릭터'!A:A,'#캐릭터'!B:B)</f>
        <v>미리암</v>
      </c>
      <c r="C454" s="3" t="str">
        <f>_xlfn.XLOOKUP(E454,'#캐릭터'!A:A,'#캐릭터'!C:C)</f>
        <v>c447</v>
      </c>
      <c r="D454" s="3" t="str">
        <f t="shared" si="31"/>
        <v>c447_presona_01_Name</v>
      </c>
      <c r="E454" s="3">
        <v>10000447</v>
      </c>
      <c r="F454" s="3">
        <v>0</v>
      </c>
      <c r="G454" s="3" t="s">
        <v>335</v>
      </c>
      <c r="H454" s="2">
        <v>1</v>
      </c>
    </row>
    <row r="455" spans="1:8" x14ac:dyDescent="0.3">
      <c r="A455" s="3">
        <f t="shared" si="30"/>
        <v>144701</v>
      </c>
      <c r="B455" s="3" t="str">
        <f>_xlfn.XLOOKUP(E455,'#캐릭터'!A:A,'#캐릭터'!B:B)</f>
        <v>미리암</v>
      </c>
      <c r="C455" s="3" t="str">
        <f>_xlfn.XLOOKUP(E455,'#캐릭터'!A:A,'#캐릭터'!C:C)</f>
        <v>c447</v>
      </c>
      <c r="D455" s="3" t="str">
        <f t="shared" si="31"/>
        <v>c447_presona_02_Name</v>
      </c>
      <c r="E455" s="3">
        <v>10000447</v>
      </c>
      <c r="F455" s="3">
        <v>1</v>
      </c>
      <c r="G455" s="3" t="s">
        <v>335</v>
      </c>
      <c r="H455" s="2">
        <v>1</v>
      </c>
    </row>
    <row r="456" spans="1:8" x14ac:dyDescent="0.3">
      <c r="A456" s="3">
        <f t="shared" si="30"/>
        <v>144702</v>
      </c>
      <c r="B456" s="3" t="str">
        <f>_xlfn.XLOOKUP(E456,'#캐릭터'!A:A,'#캐릭터'!B:B)</f>
        <v>미리암</v>
      </c>
      <c r="C456" s="3" t="str">
        <f>_xlfn.XLOOKUP(E456,'#캐릭터'!A:A,'#캐릭터'!C:C)</f>
        <v>c447</v>
      </c>
      <c r="D456" s="3" t="str">
        <f t="shared" si="31"/>
        <v>c447_presona_03_Name</v>
      </c>
      <c r="E456" s="3">
        <v>10000447</v>
      </c>
      <c r="F456" s="3">
        <v>2</v>
      </c>
      <c r="G456" s="3" t="s">
        <v>335</v>
      </c>
      <c r="H456" s="2">
        <v>1</v>
      </c>
    </row>
    <row r="457" spans="1:8" x14ac:dyDescent="0.3">
      <c r="A457" s="3">
        <f t="shared" si="30"/>
        <v>144703</v>
      </c>
      <c r="B457" s="3" t="str">
        <f>_xlfn.XLOOKUP(E457,'#캐릭터'!A:A,'#캐릭터'!B:B)</f>
        <v>미리암</v>
      </c>
      <c r="C457" s="3" t="str">
        <f>_xlfn.XLOOKUP(E457,'#캐릭터'!A:A,'#캐릭터'!C:C)</f>
        <v>c447</v>
      </c>
      <c r="D457" s="3" t="str">
        <f t="shared" si="31"/>
        <v>c447_presona_04_Name</v>
      </c>
      <c r="E457" s="3">
        <v>10000447</v>
      </c>
      <c r="F457" s="3">
        <v>3</v>
      </c>
      <c r="G457" s="3" t="s">
        <v>335</v>
      </c>
      <c r="H457" s="2">
        <v>1</v>
      </c>
    </row>
    <row r="458" spans="1:8" x14ac:dyDescent="0.3">
      <c r="A458" s="3">
        <f t="shared" si="30"/>
        <v>144704</v>
      </c>
      <c r="B458" s="3" t="str">
        <f>_xlfn.XLOOKUP(E458,'#캐릭터'!A:A,'#캐릭터'!B:B)</f>
        <v>미리암</v>
      </c>
      <c r="C458" s="3" t="str">
        <f>_xlfn.XLOOKUP(E458,'#캐릭터'!A:A,'#캐릭터'!C:C)</f>
        <v>c447</v>
      </c>
      <c r="D458" s="3" t="str">
        <f t="shared" si="31"/>
        <v>c447_presona_05_Name</v>
      </c>
      <c r="E458" s="3">
        <v>10000447</v>
      </c>
      <c r="F458" s="3">
        <v>4</v>
      </c>
      <c r="G458" s="3" t="s">
        <v>335</v>
      </c>
      <c r="H458" s="2">
        <v>1</v>
      </c>
    </row>
    <row r="459" spans="1:8" x14ac:dyDescent="0.3">
      <c r="A459" s="3">
        <f t="shared" si="30"/>
        <v>144705</v>
      </c>
      <c r="B459" s="3" t="str">
        <f>_xlfn.XLOOKUP(E459,'#캐릭터'!A:A,'#캐릭터'!B:B)</f>
        <v>미리암</v>
      </c>
      <c r="C459" s="3" t="str">
        <f>_xlfn.XLOOKUP(E459,'#캐릭터'!A:A,'#캐릭터'!C:C)</f>
        <v>c447</v>
      </c>
      <c r="D459" s="3" t="str">
        <f t="shared" si="31"/>
        <v>c447_presona_06_Name</v>
      </c>
      <c r="E459" s="3">
        <v>10000447</v>
      </c>
      <c r="F459" s="3">
        <v>5</v>
      </c>
      <c r="G459" s="3" t="s">
        <v>335</v>
      </c>
      <c r="H459" s="2">
        <v>1</v>
      </c>
    </row>
    <row r="460" spans="1:8" x14ac:dyDescent="0.3">
      <c r="A460" s="3">
        <f t="shared" si="30"/>
        <v>144706</v>
      </c>
      <c r="B460" s="3" t="str">
        <f>_xlfn.XLOOKUP(E460,'#캐릭터'!A:A,'#캐릭터'!B:B)</f>
        <v>미리암</v>
      </c>
      <c r="C460" s="3" t="str">
        <f>_xlfn.XLOOKUP(E460,'#캐릭터'!A:A,'#캐릭터'!C:C)</f>
        <v>c447</v>
      </c>
      <c r="D460" s="3" t="str">
        <f t="shared" si="31"/>
        <v>c447_presona_07_Name</v>
      </c>
      <c r="E460" s="3">
        <v>10000447</v>
      </c>
      <c r="F460" s="3">
        <v>6</v>
      </c>
      <c r="G460" s="3" t="s">
        <v>335</v>
      </c>
      <c r="H460" s="2">
        <v>1</v>
      </c>
    </row>
    <row r="461" spans="1:8" x14ac:dyDescent="0.3">
      <c r="A461" s="3">
        <f t="shared" si="30"/>
        <v>144707</v>
      </c>
      <c r="B461" s="3" t="str">
        <f>_xlfn.XLOOKUP(E461,'#캐릭터'!A:A,'#캐릭터'!B:B)</f>
        <v>미리암</v>
      </c>
      <c r="C461" s="3" t="str">
        <f>_xlfn.XLOOKUP(E461,'#캐릭터'!A:A,'#캐릭터'!C:C)</f>
        <v>c447</v>
      </c>
      <c r="D461" s="3" t="str">
        <f t="shared" si="31"/>
        <v>c447_presona_08_Name</v>
      </c>
      <c r="E461" s="3">
        <v>10000447</v>
      </c>
      <c r="F461" s="3">
        <v>7</v>
      </c>
      <c r="G461" s="3" t="s">
        <v>335</v>
      </c>
      <c r="H461" s="2">
        <v>1</v>
      </c>
    </row>
    <row r="462" spans="1:8" x14ac:dyDescent="0.3">
      <c r="A462" s="3">
        <f t="shared" si="30"/>
        <v>144708</v>
      </c>
      <c r="B462" s="3" t="str">
        <f>_xlfn.XLOOKUP(E462,'#캐릭터'!A:A,'#캐릭터'!B:B)</f>
        <v>미리암</v>
      </c>
      <c r="C462" s="3" t="str">
        <f>_xlfn.XLOOKUP(E462,'#캐릭터'!A:A,'#캐릭터'!C:C)</f>
        <v>c447</v>
      </c>
      <c r="D462" s="3" t="str">
        <f t="shared" si="31"/>
        <v>c447_presona_09_Name</v>
      </c>
      <c r="E462" s="3">
        <v>10000447</v>
      </c>
      <c r="F462" s="3">
        <v>8</v>
      </c>
      <c r="G462" s="3" t="s">
        <v>335</v>
      </c>
      <c r="H462" s="2">
        <v>1</v>
      </c>
    </row>
    <row r="463" spans="1:8" x14ac:dyDescent="0.3">
      <c r="A463" s="3">
        <f t="shared" si="30"/>
        <v>144709</v>
      </c>
      <c r="B463" s="3" t="str">
        <f>_xlfn.XLOOKUP(E463,'#캐릭터'!A:A,'#캐릭터'!B:B)</f>
        <v>미리암</v>
      </c>
      <c r="C463" s="3" t="str">
        <f>_xlfn.XLOOKUP(E463,'#캐릭터'!A:A,'#캐릭터'!C:C)</f>
        <v>c447</v>
      </c>
      <c r="D463" s="3" t="str">
        <f t="shared" si="31"/>
        <v>c447_presona_10_Name</v>
      </c>
      <c r="E463" s="3">
        <v>10000447</v>
      </c>
      <c r="F463" s="3">
        <v>9</v>
      </c>
      <c r="G463" s="3" t="s">
        <v>335</v>
      </c>
      <c r="H463" s="2">
        <v>1</v>
      </c>
    </row>
    <row r="464" spans="1:8" x14ac:dyDescent="0.3">
      <c r="A464" s="3">
        <f t="shared" si="30"/>
        <v>144710</v>
      </c>
      <c r="B464" s="3" t="str">
        <f>_xlfn.XLOOKUP(E464,'#캐릭터'!A:A,'#캐릭터'!B:B)</f>
        <v>미리암</v>
      </c>
      <c r="C464" s="3" t="str">
        <f>_xlfn.XLOOKUP(E464,'#캐릭터'!A:A,'#캐릭터'!C:C)</f>
        <v>c447</v>
      </c>
      <c r="D464" s="3" t="str">
        <f t="shared" si="31"/>
        <v>c447_presona_11_Name</v>
      </c>
      <c r="E464" s="3">
        <v>10000447</v>
      </c>
      <c r="F464" s="3">
        <v>10</v>
      </c>
      <c r="G464" s="3" t="s">
        <v>335</v>
      </c>
      <c r="H464" s="2">
        <v>1</v>
      </c>
    </row>
    <row r="465" spans="1:8" x14ac:dyDescent="0.3">
      <c r="A465" s="3">
        <f t="shared" si="30"/>
        <v>144711</v>
      </c>
      <c r="B465" s="3" t="str">
        <f>_xlfn.XLOOKUP(E465,'#캐릭터'!A:A,'#캐릭터'!B:B)</f>
        <v>미리암</v>
      </c>
      <c r="C465" s="3" t="str">
        <f>_xlfn.XLOOKUP(E465,'#캐릭터'!A:A,'#캐릭터'!C:C)</f>
        <v>c447</v>
      </c>
      <c r="D465" s="3" t="str">
        <f t="shared" si="31"/>
        <v>c447_presona_12_Name</v>
      </c>
      <c r="E465" s="3">
        <v>10000447</v>
      </c>
      <c r="F465" s="3">
        <v>11</v>
      </c>
      <c r="G465" s="3" t="s">
        <v>335</v>
      </c>
      <c r="H465" s="2">
        <v>1</v>
      </c>
    </row>
    <row r="466" spans="1:8" x14ac:dyDescent="0.3">
      <c r="A466" s="3">
        <f t="shared" si="30"/>
        <v>144712</v>
      </c>
      <c r="B466" s="3" t="str">
        <f>_xlfn.XLOOKUP(E466,'#캐릭터'!A:A,'#캐릭터'!B:B)</f>
        <v>미리암</v>
      </c>
      <c r="C466" s="3" t="str">
        <f>_xlfn.XLOOKUP(E466,'#캐릭터'!A:A,'#캐릭터'!C:C)</f>
        <v>c447</v>
      </c>
      <c r="D466" s="3" t="str">
        <f t="shared" si="31"/>
        <v>c447_presona_13_Name</v>
      </c>
      <c r="E466" s="3">
        <v>10000447</v>
      </c>
      <c r="F466" s="3">
        <v>12</v>
      </c>
      <c r="G466" s="3" t="s">
        <v>335</v>
      </c>
      <c r="H466" s="2">
        <v>1</v>
      </c>
    </row>
    <row r="467" spans="1:8" x14ac:dyDescent="0.3">
      <c r="A467" s="3">
        <f t="shared" si="30"/>
        <v>144713</v>
      </c>
      <c r="B467" s="3" t="str">
        <f>_xlfn.XLOOKUP(E467,'#캐릭터'!A:A,'#캐릭터'!B:B)</f>
        <v>미리암</v>
      </c>
      <c r="C467" s="3" t="str">
        <f>_xlfn.XLOOKUP(E467,'#캐릭터'!A:A,'#캐릭터'!C:C)</f>
        <v>c447</v>
      </c>
      <c r="D467" s="3" t="str">
        <f t="shared" si="31"/>
        <v>c447_presona_14_Name</v>
      </c>
      <c r="E467" s="3">
        <v>10000447</v>
      </c>
      <c r="F467" s="3">
        <v>13</v>
      </c>
      <c r="G467" s="3" t="s">
        <v>335</v>
      </c>
      <c r="H467" s="2">
        <v>1</v>
      </c>
    </row>
    <row r="468" spans="1:8" x14ac:dyDescent="0.3">
      <c r="A468" s="3">
        <f t="shared" si="30"/>
        <v>144714</v>
      </c>
      <c r="B468" s="3" t="str">
        <f>_xlfn.XLOOKUP(E468,'#캐릭터'!A:A,'#캐릭터'!B:B)</f>
        <v>미리암</v>
      </c>
      <c r="C468" s="3" t="str">
        <f>_xlfn.XLOOKUP(E468,'#캐릭터'!A:A,'#캐릭터'!C:C)</f>
        <v>c447</v>
      </c>
      <c r="D468" s="3" t="str">
        <f t="shared" si="31"/>
        <v>c447_presona_15_Name</v>
      </c>
      <c r="E468" s="3">
        <v>10000447</v>
      </c>
      <c r="F468" s="3">
        <v>14</v>
      </c>
      <c r="G468" s="3" t="s">
        <v>335</v>
      </c>
      <c r="H468" s="2">
        <v>1</v>
      </c>
    </row>
    <row r="469" spans="1:8" x14ac:dyDescent="0.3">
      <c r="A469" s="3">
        <f t="shared" ref="A469:A483" si="32">(MOD(E469, 1000)+1000)*100+F469</f>
        <v>146200</v>
      </c>
      <c r="B469" s="3" t="str">
        <f>_xlfn.XLOOKUP(E469,'#캐릭터'!A:A,'#캐릭터'!B:B)</f>
        <v>데레사</v>
      </c>
      <c r="C469" s="3" t="str">
        <f>_xlfn.XLOOKUP(E469,'#캐릭터'!A:A,'#캐릭터'!C:C)</f>
        <v>c462</v>
      </c>
      <c r="D469" s="3" t="str">
        <f t="shared" ref="D469:D483" si="33">C469&amp;"_presona_"&amp;TEXT(F469+1, "00")&amp;"_Name"</f>
        <v>c462_presona_01_Name</v>
      </c>
      <c r="E469" s="3">
        <v>10000462</v>
      </c>
      <c r="F469" s="3">
        <v>0</v>
      </c>
      <c r="G469" s="3" t="s">
        <v>335</v>
      </c>
      <c r="H469" s="2">
        <v>1</v>
      </c>
    </row>
    <row r="470" spans="1:8" x14ac:dyDescent="0.3">
      <c r="A470" s="3">
        <f t="shared" si="32"/>
        <v>146201</v>
      </c>
      <c r="B470" s="3" t="str">
        <f>_xlfn.XLOOKUP(E470,'#캐릭터'!A:A,'#캐릭터'!B:B)</f>
        <v>데레사</v>
      </c>
      <c r="C470" s="3" t="str">
        <f>_xlfn.XLOOKUP(E470,'#캐릭터'!A:A,'#캐릭터'!C:C)</f>
        <v>c462</v>
      </c>
      <c r="D470" s="3" t="str">
        <f t="shared" si="33"/>
        <v>c462_presona_02_Name</v>
      </c>
      <c r="E470" s="3">
        <v>10000462</v>
      </c>
      <c r="F470" s="3">
        <v>1</v>
      </c>
      <c r="G470" s="3" t="s">
        <v>335</v>
      </c>
      <c r="H470" s="2">
        <v>1</v>
      </c>
    </row>
    <row r="471" spans="1:8" x14ac:dyDescent="0.3">
      <c r="A471" s="3">
        <f t="shared" si="32"/>
        <v>146202</v>
      </c>
      <c r="B471" s="3" t="str">
        <f>_xlfn.XLOOKUP(E471,'#캐릭터'!A:A,'#캐릭터'!B:B)</f>
        <v>데레사</v>
      </c>
      <c r="C471" s="3" t="str">
        <f>_xlfn.XLOOKUP(E471,'#캐릭터'!A:A,'#캐릭터'!C:C)</f>
        <v>c462</v>
      </c>
      <c r="D471" s="3" t="str">
        <f t="shared" si="33"/>
        <v>c462_presona_03_Name</v>
      </c>
      <c r="E471" s="3">
        <v>10000462</v>
      </c>
      <c r="F471" s="3">
        <v>2</v>
      </c>
      <c r="G471" s="3" t="s">
        <v>335</v>
      </c>
      <c r="H471" s="2">
        <v>1</v>
      </c>
    </row>
    <row r="472" spans="1:8" x14ac:dyDescent="0.3">
      <c r="A472" s="3">
        <f t="shared" si="32"/>
        <v>146203</v>
      </c>
      <c r="B472" s="3" t="str">
        <f>_xlfn.XLOOKUP(E472,'#캐릭터'!A:A,'#캐릭터'!B:B)</f>
        <v>데레사</v>
      </c>
      <c r="C472" s="3" t="str">
        <f>_xlfn.XLOOKUP(E472,'#캐릭터'!A:A,'#캐릭터'!C:C)</f>
        <v>c462</v>
      </c>
      <c r="D472" s="3" t="str">
        <f t="shared" si="33"/>
        <v>c462_presona_04_Name</v>
      </c>
      <c r="E472" s="3">
        <v>10000462</v>
      </c>
      <c r="F472" s="3">
        <v>3</v>
      </c>
      <c r="G472" s="3" t="s">
        <v>335</v>
      </c>
      <c r="H472" s="2">
        <v>1</v>
      </c>
    </row>
    <row r="473" spans="1:8" x14ac:dyDescent="0.3">
      <c r="A473" s="3">
        <f t="shared" si="32"/>
        <v>146204</v>
      </c>
      <c r="B473" s="3" t="str">
        <f>_xlfn.XLOOKUP(E473,'#캐릭터'!A:A,'#캐릭터'!B:B)</f>
        <v>데레사</v>
      </c>
      <c r="C473" s="3" t="str">
        <f>_xlfn.XLOOKUP(E473,'#캐릭터'!A:A,'#캐릭터'!C:C)</f>
        <v>c462</v>
      </c>
      <c r="D473" s="3" t="str">
        <f t="shared" si="33"/>
        <v>c462_presona_05_Name</v>
      </c>
      <c r="E473" s="3">
        <v>10000462</v>
      </c>
      <c r="F473" s="3">
        <v>4</v>
      </c>
      <c r="G473" s="3" t="s">
        <v>335</v>
      </c>
      <c r="H473" s="2">
        <v>1</v>
      </c>
    </row>
    <row r="474" spans="1:8" x14ac:dyDescent="0.3">
      <c r="A474" s="3">
        <f t="shared" si="32"/>
        <v>146205</v>
      </c>
      <c r="B474" s="3" t="str">
        <f>_xlfn.XLOOKUP(E474,'#캐릭터'!A:A,'#캐릭터'!B:B)</f>
        <v>데레사</v>
      </c>
      <c r="C474" s="3" t="str">
        <f>_xlfn.XLOOKUP(E474,'#캐릭터'!A:A,'#캐릭터'!C:C)</f>
        <v>c462</v>
      </c>
      <c r="D474" s="3" t="str">
        <f t="shared" si="33"/>
        <v>c462_presona_06_Name</v>
      </c>
      <c r="E474" s="3">
        <v>10000462</v>
      </c>
      <c r="F474" s="3">
        <v>5</v>
      </c>
      <c r="G474" s="3" t="s">
        <v>335</v>
      </c>
      <c r="H474" s="2">
        <v>1</v>
      </c>
    </row>
    <row r="475" spans="1:8" x14ac:dyDescent="0.3">
      <c r="A475" s="3">
        <f t="shared" si="32"/>
        <v>146206</v>
      </c>
      <c r="B475" s="3" t="str">
        <f>_xlfn.XLOOKUP(E475,'#캐릭터'!A:A,'#캐릭터'!B:B)</f>
        <v>데레사</v>
      </c>
      <c r="C475" s="3" t="str">
        <f>_xlfn.XLOOKUP(E475,'#캐릭터'!A:A,'#캐릭터'!C:C)</f>
        <v>c462</v>
      </c>
      <c r="D475" s="3" t="str">
        <f t="shared" si="33"/>
        <v>c462_presona_07_Name</v>
      </c>
      <c r="E475" s="3">
        <v>10000462</v>
      </c>
      <c r="F475" s="3">
        <v>6</v>
      </c>
      <c r="G475" s="3" t="s">
        <v>335</v>
      </c>
      <c r="H475" s="2">
        <v>1</v>
      </c>
    </row>
    <row r="476" spans="1:8" x14ac:dyDescent="0.3">
      <c r="A476" s="3">
        <f t="shared" si="32"/>
        <v>146207</v>
      </c>
      <c r="B476" s="3" t="str">
        <f>_xlfn.XLOOKUP(E476,'#캐릭터'!A:A,'#캐릭터'!B:B)</f>
        <v>데레사</v>
      </c>
      <c r="C476" s="3" t="str">
        <f>_xlfn.XLOOKUP(E476,'#캐릭터'!A:A,'#캐릭터'!C:C)</f>
        <v>c462</v>
      </c>
      <c r="D476" s="3" t="str">
        <f t="shared" si="33"/>
        <v>c462_presona_08_Name</v>
      </c>
      <c r="E476" s="3">
        <v>10000462</v>
      </c>
      <c r="F476" s="3">
        <v>7</v>
      </c>
      <c r="G476" s="3" t="s">
        <v>335</v>
      </c>
      <c r="H476" s="2">
        <v>1</v>
      </c>
    </row>
    <row r="477" spans="1:8" x14ac:dyDescent="0.3">
      <c r="A477" s="3">
        <f t="shared" si="32"/>
        <v>146208</v>
      </c>
      <c r="B477" s="3" t="str">
        <f>_xlfn.XLOOKUP(E477,'#캐릭터'!A:A,'#캐릭터'!B:B)</f>
        <v>데레사</v>
      </c>
      <c r="C477" s="3" t="str">
        <f>_xlfn.XLOOKUP(E477,'#캐릭터'!A:A,'#캐릭터'!C:C)</f>
        <v>c462</v>
      </c>
      <c r="D477" s="3" t="str">
        <f t="shared" si="33"/>
        <v>c462_presona_09_Name</v>
      </c>
      <c r="E477" s="3">
        <v>10000462</v>
      </c>
      <c r="F477" s="3">
        <v>8</v>
      </c>
      <c r="G477" s="3" t="s">
        <v>335</v>
      </c>
      <c r="H477" s="2">
        <v>1</v>
      </c>
    </row>
    <row r="478" spans="1:8" x14ac:dyDescent="0.3">
      <c r="A478" s="3">
        <f t="shared" si="32"/>
        <v>146209</v>
      </c>
      <c r="B478" s="3" t="str">
        <f>_xlfn.XLOOKUP(E478,'#캐릭터'!A:A,'#캐릭터'!B:B)</f>
        <v>데레사</v>
      </c>
      <c r="C478" s="3" t="str">
        <f>_xlfn.XLOOKUP(E478,'#캐릭터'!A:A,'#캐릭터'!C:C)</f>
        <v>c462</v>
      </c>
      <c r="D478" s="3" t="str">
        <f t="shared" si="33"/>
        <v>c462_presona_10_Name</v>
      </c>
      <c r="E478" s="3">
        <v>10000462</v>
      </c>
      <c r="F478" s="3">
        <v>9</v>
      </c>
      <c r="G478" s="3" t="s">
        <v>335</v>
      </c>
      <c r="H478" s="2">
        <v>1</v>
      </c>
    </row>
    <row r="479" spans="1:8" x14ac:dyDescent="0.3">
      <c r="A479" s="3">
        <f t="shared" si="32"/>
        <v>146210</v>
      </c>
      <c r="B479" s="3" t="str">
        <f>_xlfn.XLOOKUP(E479,'#캐릭터'!A:A,'#캐릭터'!B:B)</f>
        <v>데레사</v>
      </c>
      <c r="C479" s="3" t="str">
        <f>_xlfn.XLOOKUP(E479,'#캐릭터'!A:A,'#캐릭터'!C:C)</f>
        <v>c462</v>
      </c>
      <c r="D479" s="3" t="str">
        <f t="shared" si="33"/>
        <v>c462_presona_11_Name</v>
      </c>
      <c r="E479" s="3">
        <v>10000462</v>
      </c>
      <c r="F479" s="3">
        <v>10</v>
      </c>
      <c r="G479" s="3" t="s">
        <v>335</v>
      </c>
      <c r="H479" s="2">
        <v>1</v>
      </c>
    </row>
    <row r="480" spans="1:8" x14ac:dyDescent="0.3">
      <c r="A480" s="3">
        <f t="shared" si="32"/>
        <v>146211</v>
      </c>
      <c r="B480" s="3" t="str">
        <f>_xlfn.XLOOKUP(E480,'#캐릭터'!A:A,'#캐릭터'!B:B)</f>
        <v>데레사</v>
      </c>
      <c r="C480" s="3" t="str">
        <f>_xlfn.XLOOKUP(E480,'#캐릭터'!A:A,'#캐릭터'!C:C)</f>
        <v>c462</v>
      </c>
      <c r="D480" s="3" t="str">
        <f t="shared" si="33"/>
        <v>c462_presona_12_Name</v>
      </c>
      <c r="E480" s="3">
        <v>10000462</v>
      </c>
      <c r="F480" s="3">
        <v>11</v>
      </c>
      <c r="G480" s="3" t="s">
        <v>335</v>
      </c>
      <c r="H480" s="2">
        <v>1</v>
      </c>
    </row>
    <row r="481" spans="1:8" x14ac:dyDescent="0.3">
      <c r="A481" s="3">
        <f t="shared" si="32"/>
        <v>146212</v>
      </c>
      <c r="B481" s="3" t="str">
        <f>_xlfn.XLOOKUP(E481,'#캐릭터'!A:A,'#캐릭터'!B:B)</f>
        <v>데레사</v>
      </c>
      <c r="C481" s="3" t="str">
        <f>_xlfn.XLOOKUP(E481,'#캐릭터'!A:A,'#캐릭터'!C:C)</f>
        <v>c462</v>
      </c>
      <c r="D481" s="3" t="str">
        <f t="shared" si="33"/>
        <v>c462_presona_13_Name</v>
      </c>
      <c r="E481" s="3">
        <v>10000462</v>
      </c>
      <c r="F481" s="3">
        <v>12</v>
      </c>
      <c r="G481" s="3" t="s">
        <v>335</v>
      </c>
      <c r="H481" s="2">
        <v>1</v>
      </c>
    </row>
    <row r="482" spans="1:8" x14ac:dyDescent="0.3">
      <c r="A482" s="3">
        <f t="shared" si="32"/>
        <v>146213</v>
      </c>
      <c r="B482" s="3" t="str">
        <f>_xlfn.XLOOKUP(E482,'#캐릭터'!A:A,'#캐릭터'!B:B)</f>
        <v>데레사</v>
      </c>
      <c r="C482" s="3" t="str">
        <f>_xlfn.XLOOKUP(E482,'#캐릭터'!A:A,'#캐릭터'!C:C)</f>
        <v>c462</v>
      </c>
      <c r="D482" s="3" t="str">
        <f t="shared" si="33"/>
        <v>c462_presona_14_Name</v>
      </c>
      <c r="E482" s="3">
        <v>10000462</v>
      </c>
      <c r="F482" s="3">
        <v>13</v>
      </c>
      <c r="G482" s="3" t="s">
        <v>335</v>
      </c>
      <c r="H482" s="2">
        <v>1</v>
      </c>
    </row>
    <row r="483" spans="1:8" x14ac:dyDescent="0.3">
      <c r="A483" s="3">
        <f t="shared" si="32"/>
        <v>146214</v>
      </c>
      <c r="B483" s="3" t="str">
        <f>_xlfn.XLOOKUP(E483,'#캐릭터'!A:A,'#캐릭터'!B:B)</f>
        <v>데레사</v>
      </c>
      <c r="C483" s="3" t="str">
        <f>_xlfn.XLOOKUP(E483,'#캐릭터'!A:A,'#캐릭터'!C:C)</f>
        <v>c462</v>
      </c>
      <c r="D483" s="3" t="str">
        <f t="shared" si="33"/>
        <v>c462_presona_15_Name</v>
      </c>
      <c r="E483" s="3">
        <v>10000462</v>
      </c>
      <c r="F483" s="3">
        <v>14</v>
      </c>
      <c r="G483" s="3" t="s">
        <v>335</v>
      </c>
      <c r="H483" s="2">
        <v>1</v>
      </c>
    </row>
    <row r="484" spans="1:8" x14ac:dyDescent="0.3">
      <c r="A484" s="3">
        <f t="shared" ref="A484:A498" si="34">(MOD(E484, 1000)+1000)*100+F484</f>
        <v>128100</v>
      </c>
      <c r="B484" s="3" t="str">
        <f>_xlfn.XLOOKUP(E484,'#캐릭터'!A:A,'#캐릭터'!B:B)</f>
        <v>티스베</v>
      </c>
      <c r="C484" s="3" t="str">
        <f>_xlfn.XLOOKUP(E484,'#캐릭터'!A:A,'#캐릭터'!C:C)</f>
        <v>c281</v>
      </c>
      <c r="D484" s="3" t="str">
        <f t="shared" ref="D484:D498" si="35">C484&amp;"_presona_"&amp;TEXT(F484+1, "00")&amp;"_Name"</f>
        <v>c281_presona_01_Name</v>
      </c>
      <c r="E484" s="3">
        <v>10000281</v>
      </c>
      <c r="F484" s="3">
        <v>0</v>
      </c>
      <c r="G484" s="3" t="s">
        <v>335</v>
      </c>
      <c r="H484" s="2">
        <v>1</v>
      </c>
    </row>
    <row r="485" spans="1:8" x14ac:dyDescent="0.3">
      <c r="A485" s="3">
        <f t="shared" si="34"/>
        <v>128101</v>
      </c>
      <c r="B485" s="3" t="str">
        <f>_xlfn.XLOOKUP(E485,'#캐릭터'!A:A,'#캐릭터'!B:B)</f>
        <v>티스베</v>
      </c>
      <c r="C485" s="3" t="str">
        <f>_xlfn.XLOOKUP(E485,'#캐릭터'!A:A,'#캐릭터'!C:C)</f>
        <v>c281</v>
      </c>
      <c r="D485" s="3" t="str">
        <f t="shared" si="35"/>
        <v>c281_presona_02_Name</v>
      </c>
      <c r="E485" s="3">
        <v>10000281</v>
      </c>
      <c r="F485" s="3">
        <v>1</v>
      </c>
      <c r="G485" s="3" t="s">
        <v>335</v>
      </c>
      <c r="H485" s="2">
        <v>1</v>
      </c>
    </row>
    <row r="486" spans="1:8" x14ac:dyDescent="0.3">
      <c r="A486" s="3">
        <f t="shared" si="34"/>
        <v>128102</v>
      </c>
      <c r="B486" s="3" t="str">
        <f>_xlfn.XLOOKUP(E486,'#캐릭터'!A:A,'#캐릭터'!B:B)</f>
        <v>티스베</v>
      </c>
      <c r="C486" s="3" t="str">
        <f>_xlfn.XLOOKUP(E486,'#캐릭터'!A:A,'#캐릭터'!C:C)</f>
        <v>c281</v>
      </c>
      <c r="D486" s="3" t="str">
        <f t="shared" si="35"/>
        <v>c281_presona_03_Name</v>
      </c>
      <c r="E486" s="3">
        <v>10000281</v>
      </c>
      <c r="F486" s="3">
        <v>2</v>
      </c>
      <c r="G486" s="3" t="s">
        <v>335</v>
      </c>
      <c r="H486" s="2">
        <v>1</v>
      </c>
    </row>
    <row r="487" spans="1:8" x14ac:dyDescent="0.3">
      <c r="A487" s="3">
        <f t="shared" si="34"/>
        <v>128103</v>
      </c>
      <c r="B487" s="3" t="str">
        <f>_xlfn.XLOOKUP(E487,'#캐릭터'!A:A,'#캐릭터'!B:B)</f>
        <v>티스베</v>
      </c>
      <c r="C487" s="3" t="str">
        <f>_xlfn.XLOOKUP(E487,'#캐릭터'!A:A,'#캐릭터'!C:C)</f>
        <v>c281</v>
      </c>
      <c r="D487" s="3" t="str">
        <f t="shared" si="35"/>
        <v>c281_presona_04_Name</v>
      </c>
      <c r="E487" s="3">
        <v>10000281</v>
      </c>
      <c r="F487" s="3">
        <v>3</v>
      </c>
      <c r="G487" s="3" t="s">
        <v>335</v>
      </c>
      <c r="H487" s="2">
        <v>1</v>
      </c>
    </row>
    <row r="488" spans="1:8" x14ac:dyDescent="0.3">
      <c r="A488" s="3">
        <f t="shared" si="34"/>
        <v>128104</v>
      </c>
      <c r="B488" s="3" t="str">
        <f>_xlfn.XLOOKUP(E488,'#캐릭터'!A:A,'#캐릭터'!B:B)</f>
        <v>티스베</v>
      </c>
      <c r="C488" s="3" t="str">
        <f>_xlfn.XLOOKUP(E488,'#캐릭터'!A:A,'#캐릭터'!C:C)</f>
        <v>c281</v>
      </c>
      <c r="D488" s="3" t="str">
        <f t="shared" si="35"/>
        <v>c281_presona_05_Name</v>
      </c>
      <c r="E488" s="3">
        <v>10000281</v>
      </c>
      <c r="F488" s="3">
        <v>4</v>
      </c>
      <c r="G488" s="3" t="s">
        <v>335</v>
      </c>
      <c r="H488" s="2">
        <v>1</v>
      </c>
    </row>
    <row r="489" spans="1:8" x14ac:dyDescent="0.3">
      <c r="A489" s="3">
        <f t="shared" si="34"/>
        <v>128105</v>
      </c>
      <c r="B489" s="3" t="str">
        <f>_xlfn.XLOOKUP(E489,'#캐릭터'!A:A,'#캐릭터'!B:B)</f>
        <v>티스베</v>
      </c>
      <c r="C489" s="3" t="str">
        <f>_xlfn.XLOOKUP(E489,'#캐릭터'!A:A,'#캐릭터'!C:C)</f>
        <v>c281</v>
      </c>
      <c r="D489" s="3" t="str">
        <f t="shared" si="35"/>
        <v>c281_presona_06_Name</v>
      </c>
      <c r="E489" s="3">
        <v>10000281</v>
      </c>
      <c r="F489" s="3">
        <v>5</v>
      </c>
      <c r="G489" s="3" t="s">
        <v>335</v>
      </c>
      <c r="H489" s="2">
        <v>1</v>
      </c>
    </row>
    <row r="490" spans="1:8" x14ac:dyDescent="0.3">
      <c r="A490" s="3">
        <f t="shared" si="34"/>
        <v>128106</v>
      </c>
      <c r="B490" s="3" t="str">
        <f>_xlfn.XLOOKUP(E490,'#캐릭터'!A:A,'#캐릭터'!B:B)</f>
        <v>티스베</v>
      </c>
      <c r="C490" s="3" t="str">
        <f>_xlfn.XLOOKUP(E490,'#캐릭터'!A:A,'#캐릭터'!C:C)</f>
        <v>c281</v>
      </c>
      <c r="D490" s="3" t="str">
        <f t="shared" si="35"/>
        <v>c281_presona_07_Name</v>
      </c>
      <c r="E490" s="3">
        <v>10000281</v>
      </c>
      <c r="F490" s="3">
        <v>6</v>
      </c>
      <c r="G490" s="3" t="s">
        <v>335</v>
      </c>
      <c r="H490" s="2">
        <v>1</v>
      </c>
    </row>
    <row r="491" spans="1:8" x14ac:dyDescent="0.3">
      <c r="A491" s="3">
        <f t="shared" si="34"/>
        <v>128107</v>
      </c>
      <c r="B491" s="3" t="str">
        <f>_xlfn.XLOOKUP(E491,'#캐릭터'!A:A,'#캐릭터'!B:B)</f>
        <v>티스베</v>
      </c>
      <c r="C491" s="3" t="str">
        <f>_xlfn.XLOOKUP(E491,'#캐릭터'!A:A,'#캐릭터'!C:C)</f>
        <v>c281</v>
      </c>
      <c r="D491" s="3" t="str">
        <f t="shared" si="35"/>
        <v>c281_presona_08_Name</v>
      </c>
      <c r="E491" s="3">
        <v>10000281</v>
      </c>
      <c r="F491" s="3">
        <v>7</v>
      </c>
      <c r="G491" s="3" t="s">
        <v>335</v>
      </c>
      <c r="H491" s="2">
        <v>1</v>
      </c>
    </row>
    <row r="492" spans="1:8" x14ac:dyDescent="0.3">
      <c r="A492" s="3">
        <f t="shared" si="34"/>
        <v>128108</v>
      </c>
      <c r="B492" s="3" t="str">
        <f>_xlfn.XLOOKUP(E492,'#캐릭터'!A:A,'#캐릭터'!B:B)</f>
        <v>티스베</v>
      </c>
      <c r="C492" s="3" t="str">
        <f>_xlfn.XLOOKUP(E492,'#캐릭터'!A:A,'#캐릭터'!C:C)</f>
        <v>c281</v>
      </c>
      <c r="D492" s="3" t="str">
        <f t="shared" si="35"/>
        <v>c281_presona_09_Name</v>
      </c>
      <c r="E492" s="3">
        <v>10000281</v>
      </c>
      <c r="F492" s="3">
        <v>8</v>
      </c>
      <c r="G492" s="3" t="s">
        <v>335</v>
      </c>
      <c r="H492" s="2">
        <v>1</v>
      </c>
    </row>
    <row r="493" spans="1:8" x14ac:dyDescent="0.3">
      <c r="A493" s="3">
        <f t="shared" si="34"/>
        <v>128109</v>
      </c>
      <c r="B493" s="3" t="str">
        <f>_xlfn.XLOOKUP(E493,'#캐릭터'!A:A,'#캐릭터'!B:B)</f>
        <v>티스베</v>
      </c>
      <c r="C493" s="3" t="str">
        <f>_xlfn.XLOOKUP(E493,'#캐릭터'!A:A,'#캐릭터'!C:C)</f>
        <v>c281</v>
      </c>
      <c r="D493" s="3" t="str">
        <f t="shared" si="35"/>
        <v>c281_presona_10_Name</v>
      </c>
      <c r="E493" s="3">
        <v>10000281</v>
      </c>
      <c r="F493" s="3">
        <v>9</v>
      </c>
      <c r="G493" s="3" t="s">
        <v>335</v>
      </c>
      <c r="H493" s="2">
        <v>1</v>
      </c>
    </row>
    <row r="494" spans="1:8" x14ac:dyDescent="0.3">
      <c r="A494" s="3">
        <f t="shared" si="34"/>
        <v>128110</v>
      </c>
      <c r="B494" s="3" t="str">
        <f>_xlfn.XLOOKUP(E494,'#캐릭터'!A:A,'#캐릭터'!B:B)</f>
        <v>티스베</v>
      </c>
      <c r="C494" s="3" t="str">
        <f>_xlfn.XLOOKUP(E494,'#캐릭터'!A:A,'#캐릭터'!C:C)</f>
        <v>c281</v>
      </c>
      <c r="D494" s="3" t="str">
        <f t="shared" si="35"/>
        <v>c281_presona_11_Name</v>
      </c>
      <c r="E494" s="3">
        <v>10000281</v>
      </c>
      <c r="F494" s="3">
        <v>10</v>
      </c>
      <c r="G494" s="3" t="s">
        <v>335</v>
      </c>
      <c r="H494" s="2">
        <v>1</v>
      </c>
    </row>
    <row r="495" spans="1:8" x14ac:dyDescent="0.3">
      <c r="A495" s="3">
        <f t="shared" si="34"/>
        <v>128111</v>
      </c>
      <c r="B495" s="3" t="str">
        <f>_xlfn.XLOOKUP(E495,'#캐릭터'!A:A,'#캐릭터'!B:B)</f>
        <v>티스베</v>
      </c>
      <c r="C495" s="3" t="str">
        <f>_xlfn.XLOOKUP(E495,'#캐릭터'!A:A,'#캐릭터'!C:C)</f>
        <v>c281</v>
      </c>
      <c r="D495" s="3" t="str">
        <f t="shared" si="35"/>
        <v>c281_presona_12_Name</v>
      </c>
      <c r="E495" s="3">
        <v>10000281</v>
      </c>
      <c r="F495" s="3">
        <v>11</v>
      </c>
      <c r="G495" s="3" t="s">
        <v>335</v>
      </c>
      <c r="H495" s="2">
        <v>1</v>
      </c>
    </row>
    <row r="496" spans="1:8" x14ac:dyDescent="0.3">
      <c r="A496" s="3">
        <f t="shared" si="34"/>
        <v>128112</v>
      </c>
      <c r="B496" s="3" t="str">
        <f>_xlfn.XLOOKUP(E496,'#캐릭터'!A:A,'#캐릭터'!B:B)</f>
        <v>티스베</v>
      </c>
      <c r="C496" s="3" t="str">
        <f>_xlfn.XLOOKUP(E496,'#캐릭터'!A:A,'#캐릭터'!C:C)</f>
        <v>c281</v>
      </c>
      <c r="D496" s="3" t="str">
        <f t="shared" si="35"/>
        <v>c281_presona_13_Name</v>
      </c>
      <c r="E496" s="3">
        <v>10000281</v>
      </c>
      <c r="F496" s="3">
        <v>12</v>
      </c>
      <c r="G496" s="3" t="s">
        <v>335</v>
      </c>
      <c r="H496" s="2">
        <v>1</v>
      </c>
    </row>
    <row r="497" spans="1:8" x14ac:dyDescent="0.3">
      <c r="A497" s="3">
        <f t="shared" si="34"/>
        <v>128113</v>
      </c>
      <c r="B497" s="3" t="str">
        <f>_xlfn.XLOOKUP(E497,'#캐릭터'!A:A,'#캐릭터'!B:B)</f>
        <v>티스베</v>
      </c>
      <c r="C497" s="3" t="str">
        <f>_xlfn.XLOOKUP(E497,'#캐릭터'!A:A,'#캐릭터'!C:C)</f>
        <v>c281</v>
      </c>
      <c r="D497" s="3" t="str">
        <f t="shared" si="35"/>
        <v>c281_presona_14_Name</v>
      </c>
      <c r="E497" s="3">
        <v>10000281</v>
      </c>
      <c r="F497" s="3">
        <v>13</v>
      </c>
      <c r="G497" s="3" t="s">
        <v>335</v>
      </c>
      <c r="H497" s="2">
        <v>1</v>
      </c>
    </row>
    <row r="498" spans="1:8" x14ac:dyDescent="0.3">
      <c r="A498" s="3">
        <f t="shared" si="34"/>
        <v>128114</v>
      </c>
      <c r="B498" s="3" t="str">
        <f>_xlfn.XLOOKUP(E498,'#캐릭터'!A:A,'#캐릭터'!B:B)</f>
        <v>티스베</v>
      </c>
      <c r="C498" s="3" t="str">
        <f>_xlfn.XLOOKUP(E498,'#캐릭터'!A:A,'#캐릭터'!C:C)</f>
        <v>c281</v>
      </c>
      <c r="D498" s="3" t="str">
        <f t="shared" si="35"/>
        <v>c281_presona_15_Name</v>
      </c>
      <c r="E498" s="3">
        <v>10000281</v>
      </c>
      <c r="F498" s="3">
        <v>14</v>
      </c>
      <c r="G498" s="3" t="s">
        <v>335</v>
      </c>
      <c r="H498" s="2">
        <v>1</v>
      </c>
    </row>
    <row r="499" spans="1:8" x14ac:dyDescent="0.3">
      <c r="A499" s="3">
        <f t="shared" ref="A499:A513" si="36">(MOD(E499, 1000)+1000)*100+F499</f>
        <v>151400</v>
      </c>
      <c r="B499" s="3" t="str">
        <f>_xlfn.XLOOKUP(E499,'#캐릭터'!A:A,'#캐릭터'!B:B)</f>
        <v>두엣샤</v>
      </c>
      <c r="C499" s="3" t="str">
        <f>_xlfn.XLOOKUP(E499,'#캐릭터'!A:A,'#캐릭터'!C:C)</f>
        <v>c514</v>
      </c>
      <c r="D499" s="3" t="str">
        <f t="shared" ref="D499:D513" si="37">C499&amp;"_presona_"&amp;TEXT(F499+1, "00")&amp;"_Name"</f>
        <v>c514_presona_01_Name</v>
      </c>
      <c r="E499" s="3">
        <v>10000514</v>
      </c>
      <c r="F499" s="3">
        <v>0</v>
      </c>
      <c r="G499" s="3" t="s">
        <v>335</v>
      </c>
      <c r="H499" s="2">
        <v>1</v>
      </c>
    </row>
    <row r="500" spans="1:8" x14ac:dyDescent="0.3">
      <c r="A500" s="3">
        <f t="shared" si="36"/>
        <v>151401</v>
      </c>
      <c r="B500" s="3" t="str">
        <f>_xlfn.XLOOKUP(E500,'#캐릭터'!A:A,'#캐릭터'!B:B)</f>
        <v>두엣샤</v>
      </c>
      <c r="C500" s="3" t="str">
        <f>_xlfn.XLOOKUP(E500,'#캐릭터'!A:A,'#캐릭터'!C:C)</f>
        <v>c514</v>
      </c>
      <c r="D500" s="3" t="str">
        <f t="shared" si="37"/>
        <v>c514_presona_02_Name</v>
      </c>
      <c r="E500" s="3">
        <v>10000514</v>
      </c>
      <c r="F500" s="3">
        <v>1</v>
      </c>
      <c r="G500" s="3" t="s">
        <v>335</v>
      </c>
      <c r="H500" s="2">
        <v>1</v>
      </c>
    </row>
    <row r="501" spans="1:8" x14ac:dyDescent="0.3">
      <c r="A501" s="3">
        <f t="shared" si="36"/>
        <v>151402</v>
      </c>
      <c r="B501" s="3" t="str">
        <f>_xlfn.XLOOKUP(E501,'#캐릭터'!A:A,'#캐릭터'!B:B)</f>
        <v>두엣샤</v>
      </c>
      <c r="C501" s="3" t="str">
        <f>_xlfn.XLOOKUP(E501,'#캐릭터'!A:A,'#캐릭터'!C:C)</f>
        <v>c514</v>
      </c>
      <c r="D501" s="3" t="str">
        <f t="shared" si="37"/>
        <v>c514_presona_03_Name</v>
      </c>
      <c r="E501" s="3">
        <v>10000514</v>
      </c>
      <c r="F501" s="3">
        <v>2</v>
      </c>
      <c r="G501" s="3" t="s">
        <v>335</v>
      </c>
      <c r="H501" s="2">
        <v>1</v>
      </c>
    </row>
    <row r="502" spans="1:8" x14ac:dyDescent="0.3">
      <c r="A502" s="3">
        <f t="shared" si="36"/>
        <v>151403</v>
      </c>
      <c r="B502" s="3" t="str">
        <f>_xlfn.XLOOKUP(E502,'#캐릭터'!A:A,'#캐릭터'!B:B)</f>
        <v>두엣샤</v>
      </c>
      <c r="C502" s="3" t="str">
        <f>_xlfn.XLOOKUP(E502,'#캐릭터'!A:A,'#캐릭터'!C:C)</f>
        <v>c514</v>
      </c>
      <c r="D502" s="3" t="str">
        <f t="shared" si="37"/>
        <v>c514_presona_04_Name</v>
      </c>
      <c r="E502" s="3">
        <v>10000514</v>
      </c>
      <c r="F502" s="3">
        <v>3</v>
      </c>
      <c r="G502" s="3" t="s">
        <v>335</v>
      </c>
      <c r="H502" s="2">
        <v>1</v>
      </c>
    </row>
    <row r="503" spans="1:8" x14ac:dyDescent="0.3">
      <c r="A503" s="3">
        <f t="shared" si="36"/>
        <v>151404</v>
      </c>
      <c r="B503" s="3" t="str">
        <f>_xlfn.XLOOKUP(E503,'#캐릭터'!A:A,'#캐릭터'!B:B)</f>
        <v>두엣샤</v>
      </c>
      <c r="C503" s="3" t="str">
        <f>_xlfn.XLOOKUP(E503,'#캐릭터'!A:A,'#캐릭터'!C:C)</f>
        <v>c514</v>
      </c>
      <c r="D503" s="3" t="str">
        <f t="shared" si="37"/>
        <v>c514_presona_05_Name</v>
      </c>
      <c r="E503" s="3">
        <v>10000514</v>
      </c>
      <c r="F503" s="3">
        <v>4</v>
      </c>
      <c r="G503" s="3" t="s">
        <v>335</v>
      </c>
      <c r="H503" s="2">
        <v>1</v>
      </c>
    </row>
    <row r="504" spans="1:8" x14ac:dyDescent="0.3">
      <c r="A504" s="3">
        <f t="shared" si="36"/>
        <v>151405</v>
      </c>
      <c r="B504" s="3" t="str">
        <f>_xlfn.XLOOKUP(E504,'#캐릭터'!A:A,'#캐릭터'!B:B)</f>
        <v>두엣샤</v>
      </c>
      <c r="C504" s="3" t="str">
        <f>_xlfn.XLOOKUP(E504,'#캐릭터'!A:A,'#캐릭터'!C:C)</f>
        <v>c514</v>
      </c>
      <c r="D504" s="3" t="str">
        <f t="shared" si="37"/>
        <v>c514_presona_06_Name</v>
      </c>
      <c r="E504" s="3">
        <v>10000514</v>
      </c>
      <c r="F504" s="3">
        <v>5</v>
      </c>
      <c r="G504" s="3" t="s">
        <v>335</v>
      </c>
      <c r="H504" s="2">
        <v>1</v>
      </c>
    </row>
    <row r="505" spans="1:8" x14ac:dyDescent="0.3">
      <c r="A505" s="3">
        <f t="shared" si="36"/>
        <v>151406</v>
      </c>
      <c r="B505" s="3" t="str">
        <f>_xlfn.XLOOKUP(E505,'#캐릭터'!A:A,'#캐릭터'!B:B)</f>
        <v>두엣샤</v>
      </c>
      <c r="C505" s="3" t="str">
        <f>_xlfn.XLOOKUP(E505,'#캐릭터'!A:A,'#캐릭터'!C:C)</f>
        <v>c514</v>
      </c>
      <c r="D505" s="3" t="str">
        <f t="shared" si="37"/>
        <v>c514_presona_07_Name</v>
      </c>
      <c r="E505" s="3">
        <v>10000514</v>
      </c>
      <c r="F505" s="3">
        <v>6</v>
      </c>
      <c r="G505" s="3" t="s">
        <v>335</v>
      </c>
      <c r="H505" s="2">
        <v>1</v>
      </c>
    </row>
    <row r="506" spans="1:8" x14ac:dyDescent="0.3">
      <c r="A506" s="3">
        <f t="shared" si="36"/>
        <v>151407</v>
      </c>
      <c r="B506" s="3" t="str">
        <f>_xlfn.XLOOKUP(E506,'#캐릭터'!A:A,'#캐릭터'!B:B)</f>
        <v>두엣샤</v>
      </c>
      <c r="C506" s="3" t="str">
        <f>_xlfn.XLOOKUP(E506,'#캐릭터'!A:A,'#캐릭터'!C:C)</f>
        <v>c514</v>
      </c>
      <c r="D506" s="3" t="str">
        <f t="shared" si="37"/>
        <v>c514_presona_08_Name</v>
      </c>
      <c r="E506" s="3">
        <v>10000514</v>
      </c>
      <c r="F506" s="3">
        <v>7</v>
      </c>
      <c r="G506" s="3" t="s">
        <v>335</v>
      </c>
      <c r="H506" s="2">
        <v>1</v>
      </c>
    </row>
    <row r="507" spans="1:8" x14ac:dyDescent="0.3">
      <c r="A507" s="3">
        <f t="shared" si="36"/>
        <v>151408</v>
      </c>
      <c r="B507" s="3" t="str">
        <f>_xlfn.XLOOKUP(E507,'#캐릭터'!A:A,'#캐릭터'!B:B)</f>
        <v>두엣샤</v>
      </c>
      <c r="C507" s="3" t="str">
        <f>_xlfn.XLOOKUP(E507,'#캐릭터'!A:A,'#캐릭터'!C:C)</f>
        <v>c514</v>
      </c>
      <c r="D507" s="3" t="str">
        <f t="shared" si="37"/>
        <v>c514_presona_09_Name</v>
      </c>
      <c r="E507" s="3">
        <v>10000514</v>
      </c>
      <c r="F507" s="3">
        <v>8</v>
      </c>
      <c r="G507" s="3" t="s">
        <v>335</v>
      </c>
      <c r="H507" s="2">
        <v>1</v>
      </c>
    </row>
    <row r="508" spans="1:8" x14ac:dyDescent="0.3">
      <c r="A508" s="3">
        <f t="shared" si="36"/>
        <v>151409</v>
      </c>
      <c r="B508" s="3" t="str">
        <f>_xlfn.XLOOKUP(E508,'#캐릭터'!A:A,'#캐릭터'!B:B)</f>
        <v>두엣샤</v>
      </c>
      <c r="C508" s="3" t="str">
        <f>_xlfn.XLOOKUP(E508,'#캐릭터'!A:A,'#캐릭터'!C:C)</f>
        <v>c514</v>
      </c>
      <c r="D508" s="3" t="str">
        <f t="shared" si="37"/>
        <v>c514_presona_10_Name</v>
      </c>
      <c r="E508" s="3">
        <v>10000514</v>
      </c>
      <c r="F508" s="3">
        <v>9</v>
      </c>
      <c r="G508" s="3" t="s">
        <v>335</v>
      </c>
      <c r="H508" s="2">
        <v>1</v>
      </c>
    </row>
    <row r="509" spans="1:8" x14ac:dyDescent="0.3">
      <c r="A509" s="3">
        <f t="shared" si="36"/>
        <v>151410</v>
      </c>
      <c r="B509" s="3" t="str">
        <f>_xlfn.XLOOKUP(E509,'#캐릭터'!A:A,'#캐릭터'!B:B)</f>
        <v>두엣샤</v>
      </c>
      <c r="C509" s="3" t="str">
        <f>_xlfn.XLOOKUP(E509,'#캐릭터'!A:A,'#캐릭터'!C:C)</f>
        <v>c514</v>
      </c>
      <c r="D509" s="3" t="str">
        <f t="shared" si="37"/>
        <v>c514_presona_11_Name</v>
      </c>
      <c r="E509" s="3">
        <v>10000514</v>
      </c>
      <c r="F509" s="3">
        <v>10</v>
      </c>
      <c r="G509" s="3" t="s">
        <v>335</v>
      </c>
      <c r="H509" s="2">
        <v>1</v>
      </c>
    </row>
    <row r="510" spans="1:8" x14ac:dyDescent="0.3">
      <c r="A510" s="3">
        <f t="shared" si="36"/>
        <v>151411</v>
      </c>
      <c r="B510" s="3" t="str">
        <f>_xlfn.XLOOKUP(E510,'#캐릭터'!A:A,'#캐릭터'!B:B)</f>
        <v>두엣샤</v>
      </c>
      <c r="C510" s="3" t="str">
        <f>_xlfn.XLOOKUP(E510,'#캐릭터'!A:A,'#캐릭터'!C:C)</f>
        <v>c514</v>
      </c>
      <c r="D510" s="3" t="str">
        <f t="shared" si="37"/>
        <v>c514_presona_12_Name</v>
      </c>
      <c r="E510" s="3">
        <v>10000514</v>
      </c>
      <c r="F510" s="3">
        <v>11</v>
      </c>
      <c r="G510" s="3" t="s">
        <v>335</v>
      </c>
      <c r="H510" s="2">
        <v>1</v>
      </c>
    </row>
    <row r="511" spans="1:8" x14ac:dyDescent="0.3">
      <c r="A511" s="3">
        <f t="shared" si="36"/>
        <v>151412</v>
      </c>
      <c r="B511" s="3" t="str">
        <f>_xlfn.XLOOKUP(E511,'#캐릭터'!A:A,'#캐릭터'!B:B)</f>
        <v>두엣샤</v>
      </c>
      <c r="C511" s="3" t="str">
        <f>_xlfn.XLOOKUP(E511,'#캐릭터'!A:A,'#캐릭터'!C:C)</f>
        <v>c514</v>
      </c>
      <c r="D511" s="3" t="str">
        <f t="shared" si="37"/>
        <v>c514_presona_13_Name</v>
      </c>
      <c r="E511" s="3">
        <v>10000514</v>
      </c>
      <c r="F511" s="3">
        <v>12</v>
      </c>
      <c r="G511" s="3" t="s">
        <v>335</v>
      </c>
      <c r="H511" s="2">
        <v>1</v>
      </c>
    </row>
    <row r="512" spans="1:8" x14ac:dyDescent="0.3">
      <c r="A512" s="3">
        <f t="shared" si="36"/>
        <v>151413</v>
      </c>
      <c r="B512" s="3" t="str">
        <f>_xlfn.XLOOKUP(E512,'#캐릭터'!A:A,'#캐릭터'!B:B)</f>
        <v>두엣샤</v>
      </c>
      <c r="C512" s="3" t="str">
        <f>_xlfn.XLOOKUP(E512,'#캐릭터'!A:A,'#캐릭터'!C:C)</f>
        <v>c514</v>
      </c>
      <c r="D512" s="3" t="str">
        <f t="shared" si="37"/>
        <v>c514_presona_14_Name</v>
      </c>
      <c r="E512" s="3">
        <v>10000514</v>
      </c>
      <c r="F512" s="3">
        <v>13</v>
      </c>
      <c r="G512" s="3" t="s">
        <v>335</v>
      </c>
      <c r="H512" s="2">
        <v>1</v>
      </c>
    </row>
    <row r="513" spans="1:8" x14ac:dyDescent="0.3">
      <c r="A513" s="3">
        <f t="shared" si="36"/>
        <v>151414</v>
      </c>
      <c r="B513" s="3" t="str">
        <f>_xlfn.XLOOKUP(E513,'#캐릭터'!A:A,'#캐릭터'!B:B)</f>
        <v>두엣샤</v>
      </c>
      <c r="C513" s="3" t="str">
        <f>_xlfn.XLOOKUP(E513,'#캐릭터'!A:A,'#캐릭터'!C:C)</f>
        <v>c514</v>
      </c>
      <c r="D513" s="3" t="str">
        <f t="shared" si="37"/>
        <v>c514_presona_15_Name</v>
      </c>
      <c r="E513" s="3">
        <v>10000514</v>
      </c>
      <c r="F513" s="3">
        <v>14</v>
      </c>
      <c r="G513" s="3" t="s">
        <v>335</v>
      </c>
      <c r="H513" s="2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0815-32F1-40AD-BF69-61BD903FCA54}">
  <dimension ref="A1:M103"/>
  <sheetViews>
    <sheetView workbookViewId="0">
      <selection activeCell="F43" sqref="F43"/>
    </sheetView>
  </sheetViews>
  <sheetFormatPr defaultRowHeight="12" x14ac:dyDescent="0.2"/>
  <cols>
    <col min="1" max="4" width="9" style="3"/>
    <col min="5" max="5" width="16.25" style="3" bestFit="1" customWidth="1"/>
    <col min="6" max="6" width="7.75" style="3" bestFit="1" customWidth="1"/>
    <col min="7" max="7" width="10.25" style="3" bestFit="1" customWidth="1"/>
    <col min="8" max="16384" width="9" style="3"/>
  </cols>
  <sheetData>
    <row r="1" spans="1:13" x14ac:dyDescent="0.2">
      <c r="A1" s="3" t="s">
        <v>0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27</v>
      </c>
      <c r="G1" s="3" t="s">
        <v>42</v>
      </c>
      <c r="H1" s="3" t="s">
        <v>23</v>
      </c>
      <c r="I1" s="3" t="s">
        <v>43</v>
      </c>
      <c r="J1" s="3" t="s">
        <v>23</v>
      </c>
      <c r="K1" s="3" t="s">
        <v>43</v>
      </c>
      <c r="L1" s="3" t="s">
        <v>23</v>
      </c>
      <c r="M1" s="3" t="s">
        <v>43</v>
      </c>
    </row>
    <row r="4" spans="1:13" x14ac:dyDescent="0.2">
      <c r="A4" s="3">
        <f>INT("1"&amp;TEXT(C4,"00")&amp;TEXT(D4,"0000"))</f>
        <v>1010001</v>
      </c>
      <c r="B4" s="3" t="s">
        <v>44</v>
      </c>
      <c r="C4" s="3">
        <v>1</v>
      </c>
      <c r="D4" s="3">
        <v>1</v>
      </c>
      <c r="E4" s="3" t="s">
        <v>434</v>
      </c>
      <c r="F4" s="3">
        <v>2</v>
      </c>
      <c r="G4" s="3">
        <v>10</v>
      </c>
      <c r="H4" s="3" t="s">
        <v>68</v>
      </c>
      <c r="I4" s="3">
        <f>$D4*1000</f>
        <v>1000</v>
      </c>
      <c r="J4" s="3" t="s">
        <v>69</v>
      </c>
      <c r="K4" s="3">
        <f>$D4*1000</f>
        <v>1000</v>
      </c>
      <c r="L4" s="3" t="s">
        <v>70</v>
      </c>
      <c r="M4" s="3">
        <f>$D4*1000</f>
        <v>1000</v>
      </c>
    </row>
    <row r="5" spans="1:13" x14ac:dyDescent="0.2">
      <c r="A5" s="3">
        <f t="shared" ref="A5:A68" si="0">INT("1"&amp;TEXT(C5,"00")&amp;TEXT(D5,"0000"))</f>
        <v>1010002</v>
      </c>
      <c r="B5" s="3" t="s">
        <v>44</v>
      </c>
      <c r="C5" s="3">
        <v>1</v>
      </c>
      <c r="D5" s="3">
        <v>2</v>
      </c>
      <c r="E5" s="3" t="s">
        <v>434</v>
      </c>
      <c r="F5" s="3">
        <v>2</v>
      </c>
      <c r="G5" s="3">
        <v>10</v>
      </c>
      <c r="H5" s="3" t="s">
        <v>68</v>
      </c>
      <c r="I5" s="3">
        <f t="shared" ref="I5:M68" si="1">$D5*1000</f>
        <v>2000</v>
      </c>
      <c r="J5" s="3" t="s">
        <v>69</v>
      </c>
      <c r="K5" s="3">
        <f t="shared" si="1"/>
        <v>2000</v>
      </c>
      <c r="L5" s="3" t="s">
        <v>70</v>
      </c>
      <c r="M5" s="3">
        <f t="shared" si="1"/>
        <v>2000</v>
      </c>
    </row>
    <row r="6" spans="1:13" x14ac:dyDescent="0.2">
      <c r="A6" s="3">
        <f t="shared" si="0"/>
        <v>1010003</v>
      </c>
      <c r="B6" s="3" t="s">
        <v>44</v>
      </c>
      <c r="C6" s="3">
        <v>1</v>
      </c>
      <c r="D6" s="3">
        <v>3</v>
      </c>
      <c r="E6" s="3" t="s">
        <v>434</v>
      </c>
      <c r="F6" s="3">
        <v>2</v>
      </c>
      <c r="G6" s="3">
        <v>10</v>
      </c>
      <c r="H6" s="3" t="s">
        <v>68</v>
      </c>
      <c r="I6" s="3">
        <f t="shared" si="1"/>
        <v>3000</v>
      </c>
      <c r="J6" s="3" t="s">
        <v>69</v>
      </c>
      <c r="K6" s="3">
        <f t="shared" si="1"/>
        <v>3000</v>
      </c>
      <c r="L6" s="3" t="s">
        <v>70</v>
      </c>
      <c r="M6" s="3">
        <f t="shared" si="1"/>
        <v>3000</v>
      </c>
    </row>
    <row r="7" spans="1:13" x14ac:dyDescent="0.2">
      <c r="A7" s="3">
        <f t="shared" si="0"/>
        <v>1010004</v>
      </c>
      <c r="B7" s="3" t="s">
        <v>44</v>
      </c>
      <c r="C7" s="3">
        <v>1</v>
      </c>
      <c r="D7" s="3">
        <v>4</v>
      </c>
      <c r="E7" s="3" t="s">
        <v>434</v>
      </c>
      <c r="F7" s="3">
        <v>2</v>
      </c>
      <c r="G7" s="3">
        <v>10</v>
      </c>
      <c r="H7" s="3" t="s">
        <v>68</v>
      </c>
      <c r="I7" s="3">
        <f t="shared" si="1"/>
        <v>4000</v>
      </c>
      <c r="J7" s="3" t="s">
        <v>69</v>
      </c>
      <c r="K7" s="3">
        <f t="shared" si="1"/>
        <v>4000</v>
      </c>
      <c r="L7" s="3" t="s">
        <v>70</v>
      </c>
      <c r="M7" s="3">
        <f t="shared" si="1"/>
        <v>4000</v>
      </c>
    </row>
    <row r="8" spans="1:13" x14ac:dyDescent="0.2">
      <c r="A8" s="3">
        <f t="shared" si="0"/>
        <v>1010005</v>
      </c>
      <c r="B8" s="3" t="s">
        <v>44</v>
      </c>
      <c r="C8" s="3">
        <v>1</v>
      </c>
      <c r="D8" s="3">
        <v>5</v>
      </c>
      <c r="E8" s="3" t="s">
        <v>434</v>
      </c>
      <c r="F8" s="3">
        <v>2</v>
      </c>
      <c r="G8" s="3">
        <v>10</v>
      </c>
      <c r="H8" s="3" t="s">
        <v>68</v>
      </c>
      <c r="I8" s="3">
        <f t="shared" si="1"/>
        <v>5000</v>
      </c>
      <c r="J8" s="3" t="s">
        <v>69</v>
      </c>
      <c r="K8" s="3">
        <f t="shared" si="1"/>
        <v>5000</v>
      </c>
      <c r="L8" s="3" t="s">
        <v>70</v>
      </c>
      <c r="M8" s="3">
        <f t="shared" si="1"/>
        <v>5000</v>
      </c>
    </row>
    <row r="9" spans="1:13" x14ac:dyDescent="0.2">
      <c r="A9" s="3">
        <f t="shared" si="0"/>
        <v>1010006</v>
      </c>
      <c r="B9" s="3" t="s">
        <v>44</v>
      </c>
      <c r="C9" s="3">
        <v>1</v>
      </c>
      <c r="D9" s="3">
        <v>6</v>
      </c>
      <c r="E9" s="3" t="s">
        <v>434</v>
      </c>
      <c r="F9" s="3">
        <v>2</v>
      </c>
      <c r="G9" s="3">
        <v>10</v>
      </c>
      <c r="H9" s="3" t="s">
        <v>68</v>
      </c>
      <c r="I9" s="3">
        <f t="shared" si="1"/>
        <v>6000</v>
      </c>
      <c r="J9" s="3" t="s">
        <v>69</v>
      </c>
      <c r="K9" s="3">
        <f t="shared" si="1"/>
        <v>6000</v>
      </c>
      <c r="L9" s="3" t="s">
        <v>70</v>
      </c>
      <c r="M9" s="3">
        <f t="shared" si="1"/>
        <v>6000</v>
      </c>
    </row>
    <row r="10" spans="1:13" x14ac:dyDescent="0.2">
      <c r="A10" s="3">
        <f t="shared" si="0"/>
        <v>1010007</v>
      </c>
      <c r="B10" s="3" t="s">
        <v>44</v>
      </c>
      <c r="C10" s="3">
        <v>1</v>
      </c>
      <c r="D10" s="3">
        <v>7</v>
      </c>
      <c r="E10" s="3" t="s">
        <v>434</v>
      </c>
      <c r="F10" s="3">
        <v>2</v>
      </c>
      <c r="G10" s="3">
        <v>10</v>
      </c>
      <c r="H10" s="3" t="s">
        <v>68</v>
      </c>
      <c r="I10" s="3">
        <f t="shared" si="1"/>
        <v>7000</v>
      </c>
      <c r="J10" s="3" t="s">
        <v>69</v>
      </c>
      <c r="K10" s="3">
        <f t="shared" si="1"/>
        <v>7000</v>
      </c>
      <c r="L10" s="3" t="s">
        <v>70</v>
      </c>
      <c r="M10" s="3">
        <f t="shared" si="1"/>
        <v>7000</v>
      </c>
    </row>
    <row r="11" spans="1:13" x14ac:dyDescent="0.2">
      <c r="A11" s="3">
        <f t="shared" si="0"/>
        <v>1010008</v>
      </c>
      <c r="B11" s="3" t="s">
        <v>44</v>
      </c>
      <c r="C11" s="3">
        <v>1</v>
      </c>
      <c r="D11" s="3">
        <v>8</v>
      </c>
      <c r="E11" s="3" t="s">
        <v>434</v>
      </c>
      <c r="F11" s="3">
        <v>2</v>
      </c>
      <c r="G11" s="3">
        <v>10</v>
      </c>
      <c r="H11" s="3" t="s">
        <v>68</v>
      </c>
      <c r="I11" s="3">
        <f t="shared" si="1"/>
        <v>8000</v>
      </c>
      <c r="J11" s="3" t="s">
        <v>69</v>
      </c>
      <c r="K11" s="3">
        <f t="shared" si="1"/>
        <v>8000</v>
      </c>
      <c r="L11" s="3" t="s">
        <v>70</v>
      </c>
      <c r="M11" s="3">
        <f t="shared" si="1"/>
        <v>8000</v>
      </c>
    </row>
    <row r="12" spans="1:13" x14ac:dyDescent="0.2">
      <c r="A12" s="3">
        <f t="shared" si="0"/>
        <v>1010009</v>
      </c>
      <c r="B12" s="3" t="s">
        <v>44</v>
      </c>
      <c r="C12" s="3">
        <v>1</v>
      </c>
      <c r="D12" s="3">
        <v>9</v>
      </c>
      <c r="E12" s="3" t="s">
        <v>434</v>
      </c>
      <c r="F12" s="3">
        <v>2</v>
      </c>
      <c r="G12" s="3">
        <v>10</v>
      </c>
      <c r="H12" s="3" t="s">
        <v>68</v>
      </c>
      <c r="I12" s="3">
        <f t="shared" si="1"/>
        <v>9000</v>
      </c>
      <c r="J12" s="3" t="s">
        <v>69</v>
      </c>
      <c r="K12" s="3">
        <f t="shared" si="1"/>
        <v>9000</v>
      </c>
      <c r="L12" s="3" t="s">
        <v>70</v>
      </c>
      <c r="M12" s="3">
        <f t="shared" si="1"/>
        <v>9000</v>
      </c>
    </row>
    <row r="13" spans="1:13" x14ac:dyDescent="0.2">
      <c r="A13" s="3">
        <f t="shared" si="0"/>
        <v>1010010</v>
      </c>
      <c r="B13" s="3" t="s">
        <v>44</v>
      </c>
      <c r="C13" s="3">
        <v>1</v>
      </c>
      <c r="D13" s="3">
        <v>10</v>
      </c>
      <c r="E13" s="3" t="s">
        <v>434</v>
      </c>
      <c r="F13" s="3">
        <v>2</v>
      </c>
      <c r="G13" s="3">
        <v>10</v>
      </c>
      <c r="H13" s="3" t="s">
        <v>68</v>
      </c>
      <c r="I13" s="3">
        <f t="shared" si="1"/>
        <v>10000</v>
      </c>
      <c r="J13" s="3" t="s">
        <v>69</v>
      </c>
      <c r="K13" s="3">
        <f t="shared" si="1"/>
        <v>10000</v>
      </c>
      <c r="L13" s="3" t="s">
        <v>70</v>
      </c>
      <c r="M13" s="3">
        <f t="shared" si="1"/>
        <v>10000</v>
      </c>
    </row>
    <row r="14" spans="1:13" x14ac:dyDescent="0.2">
      <c r="A14" s="3">
        <f t="shared" si="0"/>
        <v>1020001</v>
      </c>
      <c r="B14" s="3" t="s">
        <v>45</v>
      </c>
      <c r="C14" s="3">
        <v>2</v>
      </c>
      <c r="D14" s="3">
        <v>1</v>
      </c>
      <c r="E14" s="3" t="s">
        <v>434</v>
      </c>
      <c r="F14" s="3">
        <v>2</v>
      </c>
      <c r="G14" s="3">
        <v>10</v>
      </c>
      <c r="H14" s="3" t="s">
        <v>68</v>
      </c>
      <c r="I14" s="3">
        <f t="shared" si="1"/>
        <v>1000</v>
      </c>
      <c r="J14" s="3" t="s">
        <v>69</v>
      </c>
      <c r="K14" s="3">
        <f t="shared" si="1"/>
        <v>1000</v>
      </c>
      <c r="L14" s="3" t="s">
        <v>70</v>
      </c>
      <c r="M14" s="3">
        <f t="shared" si="1"/>
        <v>1000</v>
      </c>
    </row>
    <row r="15" spans="1:13" x14ac:dyDescent="0.2">
      <c r="A15" s="3">
        <f t="shared" si="0"/>
        <v>1020002</v>
      </c>
      <c r="B15" s="3" t="s">
        <v>45</v>
      </c>
      <c r="C15" s="3">
        <v>2</v>
      </c>
      <c r="D15" s="3">
        <v>2</v>
      </c>
      <c r="E15" s="3" t="s">
        <v>434</v>
      </c>
      <c r="F15" s="3">
        <v>2</v>
      </c>
      <c r="G15" s="3">
        <v>10</v>
      </c>
      <c r="H15" s="3" t="s">
        <v>68</v>
      </c>
      <c r="I15" s="3">
        <f t="shared" si="1"/>
        <v>2000</v>
      </c>
      <c r="J15" s="3" t="s">
        <v>69</v>
      </c>
      <c r="K15" s="3">
        <f t="shared" si="1"/>
        <v>2000</v>
      </c>
      <c r="L15" s="3" t="s">
        <v>70</v>
      </c>
      <c r="M15" s="3">
        <f t="shared" si="1"/>
        <v>2000</v>
      </c>
    </row>
    <row r="16" spans="1:13" x14ac:dyDescent="0.2">
      <c r="A16" s="3">
        <f t="shared" si="0"/>
        <v>1020003</v>
      </c>
      <c r="B16" s="3" t="s">
        <v>45</v>
      </c>
      <c r="C16" s="3">
        <v>2</v>
      </c>
      <c r="D16" s="3">
        <v>3</v>
      </c>
      <c r="E16" s="3" t="s">
        <v>434</v>
      </c>
      <c r="F16" s="3">
        <v>2</v>
      </c>
      <c r="G16" s="3">
        <v>10</v>
      </c>
      <c r="H16" s="3" t="s">
        <v>68</v>
      </c>
      <c r="I16" s="3">
        <f t="shared" si="1"/>
        <v>3000</v>
      </c>
      <c r="J16" s="3" t="s">
        <v>69</v>
      </c>
      <c r="K16" s="3">
        <f t="shared" si="1"/>
        <v>3000</v>
      </c>
      <c r="L16" s="3" t="s">
        <v>70</v>
      </c>
      <c r="M16" s="3">
        <f t="shared" si="1"/>
        <v>3000</v>
      </c>
    </row>
    <row r="17" spans="1:13" x14ac:dyDescent="0.2">
      <c r="A17" s="3">
        <f t="shared" si="0"/>
        <v>1020004</v>
      </c>
      <c r="B17" s="3" t="s">
        <v>45</v>
      </c>
      <c r="C17" s="3">
        <v>2</v>
      </c>
      <c r="D17" s="3">
        <v>4</v>
      </c>
      <c r="E17" s="3" t="s">
        <v>434</v>
      </c>
      <c r="F17" s="3">
        <v>2</v>
      </c>
      <c r="G17" s="3">
        <v>10</v>
      </c>
      <c r="H17" s="3" t="s">
        <v>68</v>
      </c>
      <c r="I17" s="3">
        <f t="shared" si="1"/>
        <v>4000</v>
      </c>
      <c r="J17" s="3" t="s">
        <v>69</v>
      </c>
      <c r="K17" s="3">
        <f t="shared" si="1"/>
        <v>4000</v>
      </c>
      <c r="L17" s="3" t="s">
        <v>70</v>
      </c>
      <c r="M17" s="3">
        <f t="shared" si="1"/>
        <v>4000</v>
      </c>
    </row>
    <row r="18" spans="1:13" x14ac:dyDescent="0.2">
      <c r="A18" s="3">
        <f t="shared" si="0"/>
        <v>1020005</v>
      </c>
      <c r="B18" s="3" t="s">
        <v>45</v>
      </c>
      <c r="C18" s="3">
        <v>2</v>
      </c>
      <c r="D18" s="3">
        <v>5</v>
      </c>
      <c r="E18" s="3" t="s">
        <v>434</v>
      </c>
      <c r="F18" s="3">
        <v>2</v>
      </c>
      <c r="G18" s="3">
        <v>10</v>
      </c>
      <c r="H18" s="3" t="s">
        <v>68</v>
      </c>
      <c r="I18" s="3">
        <f t="shared" si="1"/>
        <v>5000</v>
      </c>
      <c r="J18" s="3" t="s">
        <v>69</v>
      </c>
      <c r="K18" s="3">
        <f t="shared" si="1"/>
        <v>5000</v>
      </c>
      <c r="L18" s="3" t="s">
        <v>70</v>
      </c>
      <c r="M18" s="3">
        <f t="shared" si="1"/>
        <v>5000</v>
      </c>
    </row>
    <row r="19" spans="1:13" x14ac:dyDescent="0.2">
      <c r="A19" s="3">
        <f t="shared" si="0"/>
        <v>1020006</v>
      </c>
      <c r="B19" s="3" t="s">
        <v>45</v>
      </c>
      <c r="C19" s="3">
        <v>2</v>
      </c>
      <c r="D19" s="3">
        <v>6</v>
      </c>
      <c r="E19" s="3" t="s">
        <v>434</v>
      </c>
      <c r="F19" s="3">
        <v>2</v>
      </c>
      <c r="G19" s="3">
        <v>10</v>
      </c>
      <c r="H19" s="3" t="s">
        <v>68</v>
      </c>
      <c r="I19" s="3">
        <f t="shared" si="1"/>
        <v>6000</v>
      </c>
      <c r="J19" s="3" t="s">
        <v>69</v>
      </c>
      <c r="K19" s="3">
        <f t="shared" si="1"/>
        <v>6000</v>
      </c>
      <c r="L19" s="3" t="s">
        <v>70</v>
      </c>
      <c r="M19" s="3">
        <f t="shared" si="1"/>
        <v>6000</v>
      </c>
    </row>
    <row r="20" spans="1:13" x14ac:dyDescent="0.2">
      <c r="A20" s="3">
        <f t="shared" si="0"/>
        <v>1020007</v>
      </c>
      <c r="B20" s="3" t="s">
        <v>45</v>
      </c>
      <c r="C20" s="3">
        <v>2</v>
      </c>
      <c r="D20" s="3">
        <v>7</v>
      </c>
      <c r="E20" s="3" t="s">
        <v>434</v>
      </c>
      <c r="F20" s="3">
        <v>2</v>
      </c>
      <c r="G20" s="3">
        <v>10</v>
      </c>
      <c r="H20" s="3" t="s">
        <v>68</v>
      </c>
      <c r="I20" s="3">
        <f t="shared" si="1"/>
        <v>7000</v>
      </c>
      <c r="J20" s="3" t="s">
        <v>69</v>
      </c>
      <c r="K20" s="3">
        <f t="shared" si="1"/>
        <v>7000</v>
      </c>
      <c r="L20" s="3" t="s">
        <v>70</v>
      </c>
      <c r="M20" s="3">
        <f t="shared" si="1"/>
        <v>7000</v>
      </c>
    </row>
    <row r="21" spans="1:13" x14ac:dyDescent="0.2">
      <c r="A21" s="3">
        <f t="shared" si="0"/>
        <v>1020008</v>
      </c>
      <c r="B21" s="3" t="s">
        <v>45</v>
      </c>
      <c r="C21" s="3">
        <v>2</v>
      </c>
      <c r="D21" s="3">
        <v>8</v>
      </c>
      <c r="E21" s="3" t="s">
        <v>434</v>
      </c>
      <c r="F21" s="3">
        <v>2</v>
      </c>
      <c r="G21" s="3">
        <v>10</v>
      </c>
      <c r="H21" s="3" t="s">
        <v>68</v>
      </c>
      <c r="I21" s="3">
        <f t="shared" si="1"/>
        <v>8000</v>
      </c>
      <c r="J21" s="3" t="s">
        <v>69</v>
      </c>
      <c r="K21" s="3">
        <f t="shared" si="1"/>
        <v>8000</v>
      </c>
      <c r="L21" s="3" t="s">
        <v>70</v>
      </c>
      <c r="M21" s="3">
        <f t="shared" si="1"/>
        <v>8000</v>
      </c>
    </row>
    <row r="22" spans="1:13" x14ac:dyDescent="0.2">
      <c r="A22" s="3">
        <f t="shared" si="0"/>
        <v>1020009</v>
      </c>
      <c r="B22" s="3" t="s">
        <v>45</v>
      </c>
      <c r="C22" s="3">
        <v>2</v>
      </c>
      <c r="D22" s="3">
        <v>9</v>
      </c>
      <c r="E22" s="3" t="s">
        <v>434</v>
      </c>
      <c r="F22" s="3">
        <v>2</v>
      </c>
      <c r="G22" s="3">
        <v>10</v>
      </c>
      <c r="H22" s="3" t="s">
        <v>68</v>
      </c>
      <c r="I22" s="3">
        <f t="shared" si="1"/>
        <v>9000</v>
      </c>
      <c r="J22" s="3" t="s">
        <v>69</v>
      </c>
      <c r="K22" s="3">
        <f t="shared" si="1"/>
        <v>9000</v>
      </c>
      <c r="L22" s="3" t="s">
        <v>70</v>
      </c>
      <c r="M22" s="3">
        <f t="shared" si="1"/>
        <v>9000</v>
      </c>
    </row>
    <row r="23" spans="1:13" x14ac:dyDescent="0.2">
      <c r="A23" s="3">
        <f t="shared" si="0"/>
        <v>1020010</v>
      </c>
      <c r="B23" s="3" t="s">
        <v>45</v>
      </c>
      <c r="C23" s="3">
        <v>2</v>
      </c>
      <c r="D23" s="3">
        <v>10</v>
      </c>
      <c r="E23" s="3" t="s">
        <v>434</v>
      </c>
      <c r="F23" s="3">
        <v>2</v>
      </c>
      <c r="G23" s="3">
        <v>10</v>
      </c>
      <c r="H23" s="3" t="s">
        <v>68</v>
      </c>
      <c r="I23" s="3">
        <f t="shared" si="1"/>
        <v>10000</v>
      </c>
      <c r="J23" s="3" t="s">
        <v>69</v>
      </c>
      <c r="K23" s="3">
        <f t="shared" si="1"/>
        <v>10000</v>
      </c>
      <c r="L23" s="3" t="s">
        <v>70</v>
      </c>
      <c r="M23" s="3">
        <f t="shared" si="1"/>
        <v>10000</v>
      </c>
    </row>
    <row r="24" spans="1:13" x14ac:dyDescent="0.2">
      <c r="A24" s="3">
        <f t="shared" si="0"/>
        <v>1030001</v>
      </c>
      <c r="B24" s="3" t="s">
        <v>46</v>
      </c>
      <c r="C24" s="3">
        <v>3</v>
      </c>
      <c r="D24" s="3">
        <v>1</v>
      </c>
      <c r="E24" s="3" t="s">
        <v>434</v>
      </c>
      <c r="F24" s="3">
        <v>2</v>
      </c>
      <c r="G24" s="3">
        <v>10</v>
      </c>
      <c r="H24" s="3" t="s">
        <v>68</v>
      </c>
      <c r="I24" s="3">
        <f t="shared" si="1"/>
        <v>1000</v>
      </c>
      <c r="J24" s="3" t="s">
        <v>69</v>
      </c>
      <c r="K24" s="3">
        <f t="shared" si="1"/>
        <v>1000</v>
      </c>
      <c r="L24" s="3" t="s">
        <v>70</v>
      </c>
      <c r="M24" s="3">
        <f t="shared" si="1"/>
        <v>1000</v>
      </c>
    </row>
    <row r="25" spans="1:13" x14ac:dyDescent="0.2">
      <c r="A25" s="3">
        <f t="shared" si="0"/>
        <v>1030002</v>
      </c>
      <c r="B25" s="3" t="s">
        <v>46</v>
      </c>
      <c r="C25" s="3">
        <v>3</v>
      </c>
      <c r="D25" s="3">
        <v>2</v>
      </c>
      <c r="E25" s="3" t="s">
        <v>434</v>
      </c>
      <c r="F25" s="3">
        <v>2</v>
      </c>
      <c r="G25" s="3">
        <v>10</v>
      </c>
      <c r="H25" s="3" t="s">
        <v>68</v>
      </c>
      <c r="I25" s="3">
        <f t="shared" si="1"/>
        <v>2000</v>
      </c>
      <c r="J25" s="3" t="s">
        <v>69</v>
      </c>
      <c r="K25" s="3">
        <f t="shared" si="1"/>
        <v>2000</v>
      </c>
      <c r="L25" s="3" t="s">
        <v>70</v>
      </c>
      <c r="M25" s="3">
        <f t="shared" si="1"/>
        <v>2000</v>
      </c>
    </row>
    <row r="26" spans="1:13" x14ac:dyDescent="0.2">
      <c r="A26" s="3">
        <f t="shared" si="0"/>
        <v>1030003</v>
      </c>
      <c r="B26" s="3" t="s">
        <v>46</v>
      </c>
      <c r="C26" s="3">
        <v>3</v>
      </c>
      <c r="D26" s="3">
        <v>3</v>
      </c>
      <c r="E26" s="3" t="s">
        <v>434</v>
      </c>
      <c r="F26" s="3">
        <v>2</v>
      </c>
      <c r="G26" s="3">
        <v>10</v>
      </c>
      <c r="H26" s="3" t="s">
        <v>68</v>
      </c>
      <c r="I26" s="3">
        <f t="shared" si="1"/>
        <v>3000</v>
      </c>
      <c r="J26" s="3" t="s">
        <v>69</v>
      </c>
      <c r="K26" s="3">
        <f t="shared" si="1"/>
        <v>3000</v>
      </c>
      <c r="L26" s="3" t="s">
        <v>70</v>
      </c>
      <c r="M26" s="3">
        <f t="shared" si="1"/>
        <v>3000</v>
      </c>
    </row>
    <row r="27" spans="1:13" x14ac:dyDescent="0.2">
      <c r="A27" s="3">
        <f t="shared" si="0"/>
        <v>1030004</v>
      </c>
      <c r="B27" s="3" t="s">
        <v>46</v>
      </c>
      <c r="C27" s="3">
        <v>3</v>
      </c>
      <c r="D27" s="3">
        <v>4</v>
      </c>
      <c r="E27" s="3" t="s">
        <v>434</v>
      </c>
      <c r="F27" s="3">
        <v>2</v>
      </c>
      <c r="G27" s="3">
        <v>10</v>
      </c>
      <c r="H27" s="3" t="s">
        <v>68</v>
      </c>
      <c r="I27" s="3">
        <f t="shared" si="1"/>
        <v>4000</v>
      </c>
      <c r="J27" s="3" t="s">
        <v>69</v>
      </c>
      <c r="K27" s="3">
        <f t="shared" si="1"/>
        <v>4000</v>
      </c>
      <c r="L27" s="3" t="s">
        <v>70</v>
      </c>
      <c r="M27" s="3">
        <f t="shared" si="1"/>
        <v>4000</v>
      </c>
    </row>
    <row r="28" spans="1:13" x14ac:dyDescent="0.2">
      <c r="A28" s="3">
        <f t="shared" si="0"/>
        <v>1030005</v>
      </c>
      <c r="B28" s="3" t="s">
        <v>46</v>
      </c>
      <c r="C28" s="3">
        <v>3</v>
      </c>
      <c r="D28" s="3">
        <v>5</v>
      </c>
      <c r="E28" s="3" t="s">
        <v>434</v>
      </c>
      <c r="F28" s="3">
        <v>2</v>
      </c>
      <c r="G28" s="3">
        <v>10</v>
      </c>
      <c r="H28" s="3" t="s">
        <v>68</v>
      </c>
      <c r="I28" s="3">
        <f t="shared" si="1"/>
        <v>5000</v>
      </c>
      <c r="J28" s="3" t="s">
        <v>69</v>
      </c>
      <c r="K28" s="3">
        <f t="shared" si="1"/>
        <v>5000</v>
      </c>
      <c r="L28" s="3" t="s">
        <v>70</v>
      </c>
      <c r="M28" s="3">
        <f t="shared" si="1"/>
        <v>5000</v>
      </c>
    </row>
    <row r="29" spans="1:13" x14ac:dyDescent="0.2">
      <c r="A29" s="3">
        <f t="shared" si="0"/>
        <v>1030006</v>
      </c>
      <c r="B29" s="3" t="s">
        <v>46</v>
      </c>
      <c r="C29" s="3">
        <v>3</v>
      </c>
      <c r="D29" s="3">
        <v>6</v>
      </c>
      <c r="E29" s="3" t="s">
        <v>434</v>
      </c>
      <c r="F29" s="3">
        <v>2</v>
      </c>
      <c r="G29" s="3">
        <v>10</v>
      </c>
      <c r="H29" s="3" t="s">
        <v>68</v>
      </c>
      <c r="I29" s="3">
        <f t="shared" si="1"/>
        <v>6000</v>
      </c>
      <c r="J29" s="3" t="s">
        <v>69</v>
      </c>
      <c r="K29" s="3">
        <f t="shared" si="1"/>
        <v>6000</v>
      </c>
      <c r="L29" s="3" t="s">
        <v>70</v>
      </c>
      <c r="M29" s="3">
        <f t="shared" si="1"/>
        <v>6000</v>
      </c>
    </row>
    <row r="30" spans="1:13" x14ac:dyDescent="0.2">
      <c r="A30" s="3">
        <f t="shared" si="0"/>
        <v>1030007</v>
      </c>
      <c r="B30" s="3" t="s">
        <v>46</v>
      </c>
      <c r="C30" s="3">
        <v>3</v>
      </c>
      <c r="D30" s="3">
        <v>7</v>
      </c>
      <c r="E30" s="3" t="s">
        <v>434</v>
      </c>
      <c r="F30" s="3">
        <v>2</v>
      </c>
      <c r="G30" s="3">
        <v>10</v>
      </c>
      <c r="H30" s="3" t="s">
        <v>68</v>
      </c>
      <c r="I30" s="3">
        <f t="shared" si="1"/>
        <v>7000</v>
      </c>
      <c r="J30" s="3" t="s">
        <v>69</v>
      </c>
      <c r="K30" s="3">
        <f t="shared" si="1"/>
        <v>7000</v>
      </c>
      <c r="L30" s="3" t="s">
        <v>70</v>
      </c>
      <c r="M30" s="3">
        <f t="shared" si="1"/>
        <v>7000</v>
      </c>
    </row>
    <row r="31" spans="1:13" x14ac:dyDescent="0.2">
      <c r="A31" s="3">
        <f t="shared" si="0"/>
        <v>1030008</v>
      </c>
      <c r="B31" s="3" t="s">
        <v>46</v>
      </c>
      <c r="C31" s="3">
        <v>3</v>
      </c>
      <c r="D31" s="3">
        <v>8</v>
      </c>
      <c r="E31" s="3" t="s">
        <v>434</v>
      </c>
      <c r="F31" s="3">
        <v>2</v>
      </c>
      <c r="G31" s="3">
        <v>10</v>
      </c>
      <c r="H31" s="3" t="s">
        <v>68</v>
      </c>
      <c r="I31" s="3">
        <f t="shared" si="1"/>
        <v>8000</v>
      </c>
      <c r="J31" s="3" t="s">
        <v>69</v>
      </c>
      <c r="K31" s="3">
        <f t="shared" si="1"/>
        <v>8000</v>
      </c>
      <c r="L31" s="3" t="s">
        <v>70</v>
      </c>
      <c r="M31" s="3">
        <f t="shared" si="1"/>
        <v>8000</v>
      </c>
    </row>
    <row r="32" spans="1:13" x14ac:dyDescent="0.2">
      <c r="A32" s="3">
        <f t="shared" si="0"/>
        <v>1030009</v>
      </c>
      <c r="B32" s="3" t="s">
        <v>46</v>
      </c>
      <c r="C32" s="3">
        <v>3</v>
      </c>
      <c r="D32" s="3">
        <v>9</v>
      </c>
      <c r="E32" s="3" t="s">
        <v>434</v>
      </c>
      <c r="F32" s="3">
        <v>2</v>
      </c>
      <c r="G32" s="3">
        <v>10</v>
      </c>
      <c r="H32" s="3" t="s">
        <v>68</v>
      </c>
      <c r="I32" s="3">
        <f t="shared" si="1"/>
        <v>9000</v>
      </c>
      <c r="J32" s="3" t="s">
        <v>69</v>
      </c>
      <c r="K32" s="3">
        <f t="shared" si="1"/>
        <v>9000</v>
      </c>
      <c r="L32" s="3" t="s">
        <v>70</v>
      </c>
      <c r="M32" s="3">
        <f t="shared" si="1"/>
        <v>9000</v>
      </c>
    </row>
    <row r="33" spans="1:13" x14ac:dyDescent="0.2">
      <c r="A33" s="3">
        <f t="shared" si="0"/>
        <v>1030010</v>
      </c>
      <c r="B33" s="3" t="s">
        <v>46</v>
      </c>
      <c r="C33" s="3">
        <v>3</v>
      </c>
      <c r="D33" s="3">
        <v>10</v>
      </c>
      <c r="E33" s="3" t="s">
        <v>434</v>
      </c>
      <c r="F33" s="3">
        <v>2</v>
      </c>
      <c r="G33" s="3">
        <v>10</v>
      </c>
      <c r="H33" s="3" t="s">
        <v>68</v>
      </c>
      <c r="I33" s="3">
        <f t="shared" si="1"/>
        <v>10000</v>
      </c>
      <c r="J33" s="3" t="s">
        <v>69</v>
      </c>
      <c r="K33" s="3">
        <f t="shared" si="1"/>
        <v>10000</v>
      </c>
      <c r="L33" s="3" t="s">
        <v>70</v>
      </c>
      <c r="M33" s="3">
        <f t="shared" si="1"/>
        <v>10000</v>
      </c>
    </row>
    <row r="34" spans="1:13" x14ac:dyDescent="0.2">
      <c r="A34" s="3">
        <f t="shared" si="0"/>
        <v>1040001</v>
      </c>
      <c r="B34" s="3" t="s">
        <v>47</v>
      </c>
      <c r="C34" s="3">
        <v>4</v>
      </c>
      <c r="D34" s="3">
        <v>1</v>
      </c>
      <c r="E34" s="3" t="s">
        <v>434</v>
      </c>
      <c r="F34" s="3">
        <v>2</v>
      </c>
      <c r="G34" s="3">
        <v>10</v>
      </c>
      <c r="H34" s="3" t="s">
        <v>68</v>
      </c>
      <c r="I34" s="3">
        <f t="shared" si="1"/>
        <v>1000</v>
      </c>
      <c r="J34" s="3" t="s">
        <v>69</v>
      </c>
      <c r="K34" s="3">
        <f t="shared" si="1"/>
        <v>1000</v>
      </c>
      <c r="L34" s="3" t="s">
        <v>70</v>
      </c>
      <c r="M34" s="3">
        <f t="shared" si="1"/>
        <v>1000</v>
      </c>
    </row>
    <row r="35" spans="1:13" x14ac:dyDescent="0.2">
      <c r="A35" s="3">
        <f t="shared" si="0"/>
        <v>1040002</v>
      </c>
      <c r="B35" s="3" t="s">
        <v>47</v>
      </c>
      <c r="C35" s="3">
        <v>4</v>
      </c>
      <c r="D35" s="3">
        <v>2</v>
      </c>
      <c r="E35" s="3" t="s">
        <v>434</v>
      </c>
      <c r="F35" s="3">
        <v>2</v>
      </c>
      <c r="G35" s="3">
        <v>10</v>
      </c>
      <c r="H35" s="3" t="s">
        <v>68</v>
      </c>
      <c r="I35" s="3">
        <f t="shared" si="1"/>
        <v>2000</v>
      </c>
      <c r="J35" s="3" t="s">
        <v>69</v>
      </c>
      <c r="K35" s="3">
        <f t="shared" si="1"/>
        <v>2000</v>
      </c>
      <c r="L35" s="3" t="s">
        <v>70</v>
      </c>
      <c r="M35" s="3">
        <f t="shared" si="1"/>
        <v>2000</v>
      </c>
    </row>
    <row r="36" spans="1:13" x14ac:dyDescent="0.2">
      <c r="A36" s="3">
        <f t="shared" si="0"/>
        <v>1040003</v>
      </c>
      <c r="B36" s="3" t="s">
        <v>47</v>
      </c>
      <c r="C36" s="3">
        <v>4</v>
      </c>
      <c r="D36" s="3">
        <v>3</v>
      </c>
      <c r="E36" s="3" t="s">
        <v>434</v>
      </c>
      <c r="F36" s="3">
        <v>2</v>
      </c>
      <c r="G36" s="3">
        <v>10</v>
      </c>
      <c r="H36" s="3" t="s">
        <v>68</v>
      </c>
      <c r="I36" s="3">
        <f t="shared" si="1"/>
        <v>3000</v>
      </c>
      <c r="J36" s="3" t="s">
        <v>69</v>
      </c>
      <c r="K36" s="3">
        <f t="shared" si="1"/>
        <v>3000</v>
      </c>
      <c r="L36" s="3" t="s">
        <v>70</v>
      </c>
      <c r="M36" s="3">
        <f t="shared" si="1"/>
        <v>3000</v>
      </c>
    </row>
    <row r="37" spans="1:13" x14ac:dyDescent="0.2">
      <c r="A37" s="3">
        <f t="shared" si="0"/>
        <v>1040004</v>
      </c>
      <c r="B37" s="3" t="s">
        <v>47</v>
      </c>
      <c r="C37" s="3">
        <v>4</v>
      </c>
      <c r="D37" s="3">
        <v>4</v>
      </c>
      <c r="E37" s="3" t="s">
        <v>434</v>
      </c>
      <c r="F37" s="3">
        <v>2</v>
      </c>
      <c r="G37" s="3">
        <v>10</v>
      </c>
      <c r="H37" s="3" t="s">
        <v>68</v>
      </c>
      <c r="I37" s="3">
        <f t="shared" si="1"/>
        <v>4000</v>
      </c>
      <c r="J37" s="3" t="s">
        <v>69</v>
      </c>
      <c r="K37" s="3">
        <f t="shared" si="1"/>
        <v>4000</v>
      </c>
      <c r="L37" s="3" t="s">
        <v>70</v>
      </c>
      <c r="M37" s="3">
        <f t="shared" si="1"/>
        <v>4000</v>
      </c>
    </row>
    <row r="38" spans="1:13" x14ac:dyDescent="0.2">
      <c r="A38" s="3">
        <f t="shared" si="0"/>
        <v>1040005</v>
      </c>
      <c r="B38" s="3" t="s">
        <v>47</v>
      </c>
      <c r="C38" s="3">
        <v>4</v>
      </c>
      <c r="D38" s="3">
        <v>5</v>
      </c>
      <c r="E38" s="3" t="s">
        <v>434</v>
      </c>
      <c r="F38" s="3">
        <v>2</v>
      </c>
      <c r="G38" s="3">
        <v>10</v>
      </c>
      <c r="H38" s="3" t="s">
        <v>68</v>
      </c>
      <c r="I38" s="3">
        <f t="shared" si="1"/>
        <v>5000</v>
      </c>
      <c r="J38" s="3" t="s">
        <v>69</v>
      </c>
      <c r="K38" s="3">
        <f t="shared" si="1"/>
        <v>5000</v>
      </c>
      <c r="L38" s="3" t="s">
        <v>70</v>
      </c>
      <c r="M38" s="3">
        <f t="shared" si="1"/>
        <v>5000</v>
      </c>
    </row>
    <row r="39" spans="1:13" x14ac:dyDescent="0.2">
      <c r="A39" s="3">
        <f t="shared" si="0"/>
        <v>1040006</v>
      </c>
      <c r="B39" s="3" t="s">
        <v>47</v>
      </c>
      <c r="C39" s="3">
        <v>4</v>
      </c>
      <c r="D39" s="3">
        <v>6</v>
      </c>
      <c r="E39" s="3" t="s">
        <v>434</v>
      </c>
      <c r="F39" s="3">
        <v>2</v>
      </c>
      <c r="G39" s="3">
        <v>10</v>
      </c>
      <c r="H39" s="3" t="s">
        <v>68</v>
      </c>
      <c r="I39" s="3">
        <f t="shared" si="1"/>
        <v>6000</v>
      </c>
      <c r="J39" s="3" t="s">
        <v>69</v>
      </c>
      <c r="K39" s="3">
        <f t="shared" si="1"/>
        <v>6000</v>
      </c>
      <c r="L39" s="3" t="s">
        <v>70</v>
      </c>
      <c r="M39" s="3">
        <f t="shared" si="1"/>
        <v>6000</v>
      </c>
    </row>
    <row r="40" spans="1:13" x14ac:dyDescent="0.2">
      <c r="A40" s="3">
        <f t="shared" si="0"/>
        <v>1040007</v>
      </c>
      <c r="B40" s="3" t="s">
        <v>47</v>
      </c>
      <c r="C40" s="3">
        <v>4</v>
      </c>
      <c r="D40" s="3">
        <v>7</v>
      </c>
      <c r="E40" s="3" t="s">
        <v>434</v>
      </c>
      <c r="F40" s="3">
        <v>2</v>
      </c>
      <c r="G40" s="3">
        <v>10</v>
      </c>
      <c r="H40" s="3" t="s">
        <v>68</v>
      </c>
      <c r="I40" s="3">
        <f t="shared" si="1"/>
        <v>7000</v>
      </c>
      <c r="J40" s="3" t="s">
        <v>69</v>
      </c>
      <c r="K40" s="3">
        <f t="shared" si="1"/>
        <v>7000</v>
      </c>
      <c r="L40" s="3" t="s">
        <v>70</v>
      </c>
      <c r="M40" s="3">
        <f t="shared" si="1"/>
        <v>7000</v>
      </c>
    </row>
    <row r="41" spans="1:13" x14ac:dyDescent="0.2">
      <c r="A41" s="3">
        <f t="shared" si="0"/>
        <v>1040008</v>
      </c>
      <c r="B41" s="3" t="s">
        <v>47</v>
      </c>
      <c r="C41" s="3">
        <v>4</v>
      </c>
      <c r="D41" s="3">
        <v>8</v>
      </c>
      <c r="E41" s="3" t="s">
        <v>434</v>
      </c>
      <c r="F41" s="3">
        <v>2</v>
      </c>
      <c r="G41" s="3">
        <v>10</v>
      </c>
      <c r="H41" s="3" t="s">
        <v>68</v>
      </c>
      <c r="I41" s="3">
        <f t="shared" si="1"/>
        <v>8000</v>
      </c>
      <c r="J41" s="3" t="s">
        <v>69</v>
      </c>
      <c r="K41" s="3">
        <f t="shared" si="1"/>
        <v>8000</v>
      </c>
      <c r="L41" s="3" t="s">
        <v>70</v>
      </c>
      <c r="M41" s="3">
        <f t="shared" si="1"/>
        <v>8000</v>
      </c>
    </row>
    <row r="42" spans="1:13" x14ac:dyDescent="0.2">
      <c r="A42" s="3">
        <f t="shared" si="0"/>
        <v>1040009</v>
      </c>
      <c r="B42" s="3" t="s">
        <v>47</v>
      </c>
      <c r="C42" s="3">
        <v>4</v>
      </c>
      <c r="D42" s="3">
        <v>9</v>
      </c>
      <c r="E42" s="3" t="s">
        <v>434</v>
      </c>
      <c r="F42" s="3">
        <v>2</v>
      </c>
      <c r="G42" s="3">
        <v>10</v>
      </c>
      <c r="H42" s="3" t="s">
        <v>68</v>
      </c>
      <c r="I42" s="3">
        <f t="shared" si="1"/>
        <v>9000</v>
      </c>
      <c r="J42" s="3" t="s">
        <v>69</v>
      </c>
      <c r="K42" s="3">
        <f t="shared" si="1"/>
        <v>9000</v>
      </c>
      <c r="L42" s="3" t="s">
        <v>70</v>
      </c>
      <c r="M42" s="3">
        <f t="shared" si="1"/>
        <v>9000</v>
      </c>
    </row>
    <row r="43" spans="1:13" x14ac:dyDescent="0.2">
      <c r="A43" s="3">
        <f t="shared" si="0"/>
        <v>1040010</v>
      </c>
      <c r="B43" s="3" t="s">
        <v>47</v>
      </c>
      <c r="C43" s="3">
        <v>4</v>
      </c>
      <c r="D43" s="3">
        <v>10</v>
      </c>
      <c r="E43" s="3" t="s">
        <v>434</v>
      </c>
      <c r="F43" s="3">
        <v>2</v>
      </c>
      <c r="G43" s="3">
        <v>10</v>
      </c>
      <c r="H43" s="3" t="s">
        <v>68</v>
      </c>
      <c r="I43" s="3">
        <f t="shared" si="1"/>
        <v>10000</v>
      </c>
      <c r="J43" s="3" t="s">
        <v>69</v>
      </c>
      <c r="K43" s="3">
        <f t="shared" si="1"/>
        <v>10000</v>
      </c>
      <c r="L43" s="3" t="s">
        <v>70</v>
      </c>
      <c r="M43" s="3">
        <f t="shared" si="1"/>
        <v>10000</v>
      </c>
    </row>
    <row r="44" spans="1:13" x14ac:dyDescent="0.2">
      <c r="A44" s="3">
        <f t="shared" si="0"/>
        <v>1050001</v>
      </c>
      <c r="B44" s="3" t="s">
        <v>48</v>
      </c>
      <c r="C44" s="3">
        <v>5</v>
      </c>
      <c r="D44" s="3">
        <v>1</v>
      </c>
      <c r="E44" s="3" t="s">
        <v>434</v>
      </c>
      <c r="F44" s="3">
        <v>2</v>
      </c>
      <c r="G44" s="3">
        <v>10</v>
      </c>
      <c r="H44" s="3" t="s">
        <v>68</v>
      </c>
      <c r="I44" s="3">
        <f t="shared" si="1"/>
        <v>1000</v>
      </c>
      <c r="J44" s="3" t="s">
        <v>69</v>
      </c>
      <c r="K44" s="3">
        <f t="shared" si="1"/>
        <v>1000</v>
      </c>
      <c r="L44" s="3" t="s">
        <v>70</v>
      </c>
      <c r="M44" s="3">
        <f t="shared" si="1"/>
        <v>1000</v>
      </c>
    </row>
    <row r="45" spans="1:13" x14ac:dyDescent="0.2">
      <c r="A45" s="3">
        <f t="shared" si="0"/>
        <v>1050002</v>
      </c>
      <c r="B45" s="3" t="s">
        <v>48</v>
      </c>
      <c r="C45" s="3">
        <v>5</v>
      </c>
      <c r="D45" s="3">
        <v>2</v>
      </c>
      <c r="E45" s="3" t="s">
        <v>434</v>
      </c>
      <c r="F45" s="3">
        <v>2</v>
      </c>
      <c r="G45" s="3">
        <v>10</v>
      </c>
      <c r="H45" s="3" t="s">
        <v>68</v>
      </c>
      <c r="I45" s="3">
        <f t="shared" si="1"/>
        <v>2000</v>
      </c>
      <c r="J45" s="3" t="s">
        <v>69</v>
      </c>
      <c r="K45" s="3">
        <f t="shared" si="1"/>
        <v>2000</v>
      </c>
      <c r="L45" s="3" t="s">
        <v>70</v>
      </c>
      <c r="M45" s="3">
        <f t="shared" si="1"/>
        <v>2000</v>
      </c>
    </row>
    <row r="46" spans="1:13" x14ac:dyDescent="0.2">
      <c r="A46" s="3">
        <f t="shared" si="0"/>
        <v>1050003</v>
      </c>
      <c r="B46" s="3" t="s">
        <v>48</v>
      </c>
      <c r="C46" s="3">
        <v>5</v>
      </c>
      <c r="D46" s="3">
        <v>3</v>
      </c>
      <c r="E46" s="3" t="s">
        <v>434</v>
      </c>
      <c r="F46" s="3">
        <v>2</v>
      </c>
      <c r="G46" s="3">
        <v>10</v>
      </c>
      <c r="H46" s="3" t="s">
        <v>68</v>
      </c>
      <c r="I46" s="3">
        <f t="shared" si="1"/>
        <v>3000</v>
      </c>
      <c r="J46" s="3" t="s">
        <v>69</v>
      </c>
      <c r="K46" s="3">
        <f t="shared" si="1"/>
        <v>3000</v>
      </c>
      <c r="L46" s="3" t="s">
        <v>70</v>
      </c>
      <c r="M46" s="3">
        <f t="shared" si="1"/>
        <v>3000</v>
      </c>
    </row>
    <row r="47" spans="1:13" x14ac:dyDescent="0.2">
      <c r="A47" s="3">
        <f t="shared" si="0"/>
        <v>1050004</v>
      </c>
      <c r="B47" s="3" t="s">
        <v>48</v>
      </c>
      <c r="C47" s="3">
        <v>5</v>
      </c>
      <c r="D47" s="3">
        <v>4</v>
      </c>
      <c r="E47" s="3" t="s">
        <v>434</v>
      </c>
      <c r="F47" s="3">
        <v>2</v>
      </c>
      <c r="G47" s="3">
        <v>10</v>
      </c>
      <c r="H47" s="3" t="s">
        <v>68</v>
      </c>
      <c r="I47" s="3">
        <f t="shared" si="1"/>
        <v>4000</v>
      </c>
      <c r="J47" s="3" t="s">
        <v>69</v>
      </c>
      <c r="K47" s="3">
        <f t="shared" si="1"/>
        <v>4000</v>
      </c>
      <c r="L47" s="3" t="s">
        <v>70</v>
      </c>
      <c r="M47" s="3">
        <f t="shared" si="1"/>
        <v>4000</v>
      </c>
    </row>
    <row r="48" spans="1:13" x14ac:dyDescent="0.2">
      <c r="A48" s="3">
        <f t="shared" si="0"/>
        <v>1050005</v>
      </c>
      <c r="B48" s="3" t="s">
        <v>48</v>
      </c>
      <c r="C48" s="3">
        <v>5</v>
      </c>
      <c r="D48" s="3">
        <v>5</v>
      </c>
      <c r="E48" s="3" t="s">
        <v>434</v>
      </c>
      <c r="F48" s="3">
        <v>2</v>
      </c>
      <c r="G48" s="3">
        <v>10</v>
      </c>
      <c r="H48" s="3" t="s">
        <v>68</v>
      </c>
      <c r="I48" s="3">
        <f t="shared" si="1"/>
        <v>5000</v>
      </c>
      <c r="J48" s="3" t="s">
        <v>69</v>
      </c>
      <c r="K48" s="3">
        <f t="shared" si="1"/>
        <v>5000</v>
      </c>
      <c r="L48" s="3" t="s">
        <v>70</v>
      </c>
      <c r="M48" s="3">
        <f t="shared" si="1"/>
        <v>5000</v>
      </c>
    </row>
    <row r="49" spans="1:13" x14ac:dyDescent="0.2">
      <c r="A49" s="3">
        <f t="shared" si="0"/>
        <v>1050006</v>
      </c>
      <c r="B49" s="3" t="s">
        <v>48</v>
      </c>
      <c r="C49" s="3">
        <v>5</v>
      </c>
      <c r="D49" s="3">
        <v>6</v>
      </c>
      <c r="E49" s="3" t="s">
        <v>434</v>
      </c>
      <c r="F49" s="3">
        <v>2</v>
      </c>
      <c r="G49" s="3">
        <v>10</v>
      </c>
      <c r="H49" s="3" t="s">
        <v>68</v>
      </c>
      <c r="I49" s="3">
        <f t="shared" si="1"/>
        <v>6000</v>
      </c>
      <c r="J49" s="3" t="s">
        <v>69</v>
      </c>
      <c r="K49" s="3">
        <f t="shared" si="1"/>
        <v>6000</v>
      </c>
      <c r="L49" s="3" t="s">
        <v>70</v>
      </c>
      <c r="M49" s="3">
        <f t="shared" si="1"/>
        <v>6000</v>
      </c>
    </row>
    <row r="50" spans="1:13" x14ac:dyDescent="0.2">
      <c r="A50" s="3">
        <f t="shared" si="0"/>
        <v>1050007</v>
      </c>
      <c r="B50" s="3" t="s">
        <v>48</v>
      </c>
      <c r="C50" s="3">
        <v>5</v>
      </c>
      <c r="D50" s="3">
        <v>7</v>
      </c>
      <c r="E50" s="3" t="s">
        <v>434</v>
      </c>
      <c r="F50" s="3">
        <v>2</v>
      </c>
      <c r="G50" s="3">
        <v>10</v>
      </c>
      <c r="H50" s="3" t="s">
        <v>68</v>
      </c>
      <c r="I50" s="3">
        <f t="shared" si="1"/>
        <v>7000</v>
      </c>
      <c r="J50" s="3" t="s">
        <v>69</v>
      </c>
      <c r="K50" s="3">
        <f t="shared" si="1"/>
        <v>7000</v>
      </c>
      <c r="L50" s="3" t="s">
        <v>70</v>
      </c>
      <c r="M50" s="3">
        <f t="shared" si="1"/>
        <v>7000</v>
      </c>
    </row>
    <row r="51" spans="1:13" x14ac:dyDescent="0.2">
      <c r="A51" s="3">
        <f t="shared" si="0"/>
        <v>1050008</v>
      </c>
      <c r="B51" s="3" t="s">
        <v>48</v>
      </c>
      <c r="C51" s="3">
        <v>5</v>
      </c>
      <c r="D51" s="3">
        <v>8</v>
      </c>
      <c r="E51" s="3" t="s">
        <v>434</v>
      </c>
      <c r="F51" s="3">
        <v>2</v>
      </c>
      <c r="G51" s="3">
        <v>10</v>
      </c>
      <c r="H51" s="3" t="s">
        <v>68</v>
      </c>
      <c r="I51" s="3">
        <f t="shared" si="1"/>
        <v>8000</v>
      </c>
      <c r="J51" s="3" t="s">
        <v>69</v>
      </c>
      <c r="K51" s="3">
        <f t="shared" si="1"/>
        <v>8000</v>
      </c>
      <c r="L51" s="3" t="s">
        <v>70</v>
      </c>
      <c r="M51" s="3">
        <f t="shared" si="1"/>
        <v>8000</v>
      </c>
    </row>
    <row r="52" spans="1:13" x14ac:dyDescent="0.2">
      <c r="A52" s="3">
        <f t="shared" si="0"/>
        <v>1050009</v>
      </c>
      <c r="B52" s="3" t="s">
        <v>48</v>
      </c>
      <c r="C52" s="3">
        <v>5</v>
      </c>
      <c r="D52" s="3">
        <v>9</v>
      </c>
      <c r="E52" s="3" t="s">
        <v>434</v>
      </c>
      <c r="F52" s="3">
        <v>2</v>
      </c>
      <c r="G52" s="3">
        <v>10</v>
      </c>
      <c r="H52" s="3" t="s">
        <v>68</v>
      </c>
      <c r="I52" s="3">
        <f t="shared" si="1"/>
        <v>9000</v>
      </c>
      <c r="J52" s="3" t="s">
        <v>69</v>
      </c>
      <c r="K52" s="3">
        <f t="shared" si="1"/>
        <v>9000</v>
      </c>
      <c r="L52" s="3" t="s">
        <v>70</v>
      </c>
      <c r="M52" s="3">
        <f t="shared" si="1"/>
        <v>9000</v>
      </c>
    </row>
    <row r="53" spans="1:13" x14ac:dyDescent="0.2">
      <c r="A53" s="3">
        <f t="shared" si="0"/>
        <v>1050010</v>
      </c>
      <c r="B53" s="3" t="s">
        <v>48</v>
      </c>
      <c r="C53" s="3">
        <v>5</v>
      </c>
      <c r="D53" s="3">
        <v>10</v>
      </c>
      <c r="E53" s="3" t="s">
        <v>434</v>
      </c>
      <c r="F53" s="3">
        <v>2</v>
      </c>
      <c r="G53" s="3">
        <v>10</v>
      </c>
      <c r="H53" s="3" t="s">
        <v>68</v>
      </c>
      <c r="I53" s="3">
        <f t="shared" si="1"/>
        <v>10000</v>
      </c>
      <c r="J53" s="3" t="s">
        <v>69</v>
      </c>
      <c r="K53" s="3">
        <f t="shared" si="1"/>
        <v>10000</v>
      </c>
      <c r="L53" s="3" t="s">
        <v>70</v>
      </c>
      <c r="M53" s="3">
        <f t="shared" si="1"/>
        <v>10000</v>
      </c>
    </row>
    <row r="54" spans="1:13" x14ac:dyDescent="0.2">
      <c r="A54" s="3">
        <f t="shared" si="0"/>
        <v>1060001</v>
      </c>
      <c r="B54" s="3" t="s">
        <v>49</v>
      </c>
      <c r="C54" s="3">
        <v>6</v>
      </c>
      <c r="D54" s="3">
        <v>1</v>
      </c>
      <c r="E54" s="3" t="s">
        <v>434</v>
      </c>
      <c r="F54" s="3">
        <v>2</v>
      </c>
      <c r="G54" s="3">
        <v>10</v>
      </c>
      <c r="H54" s="3" t="s">
        <v>68</v>
      </c>
      <c r="I54" s="3">
        <f t="shared" si="1"/>
        <v>1000</v>
      </c>
      <c r="J54" s="3" t="s">
        <v>69</v>
      </c>
      <c r="K54" s="3">
        <f t="shared" si="1"/>
        <v>1000</v>
      </c>
      <c r="L54" s="3" t="s">
        <v>70</v>
      </c>
      <c r="M54" s="3">
        <f t="shared" si="1"/>
        <v>1000</v>
      </c>
    </row>
    <row r="55" spans="1:13" x14ac:dyDescent="0.2">
      <c r="A55" s="3">
        <f t="shared" si="0"/>
        <v>1060002</v>
      </c>
      <c r="B55" s="3" t="s">
        <v>49</v>
      </c>
      <c r="C55" s="3">
        <v>6</v>
      </c>
      <c r="D55" s="3">
        <v>2</v>
      </c>
      <c r="E55" s="3" t="s">
        <v>434</v>
      </c>
      <c r="F55" s="3">
        <v>2</v>
      </c>
      <c r="G55" s="3">
        <v>10</v>
      </c>
      <c r="H55" s="3" t="s">
        <v>68</v>
      </c>
      <c r="I55" s="3">
        <f t="shared" si="1"/>
        <v>2000</v>
      </c>
      <c r="J55" s="3" t="s">
        <v>69</v>
      </c>
      <c r="K55" s="3">
        <f t="shared" si="1"/>
        <v>2000</v>
      </c>
      <c r="L55" s="3" t="s">
        <v>70</v>
      </c>
      <c r="M55" s="3">
        <f t="shared" si="1"/>
        <v>2000</v>
      </c>
    </row>
    <row r="56" spans="1:13" x14ac:dyDescent="0.2">
      <c r="A56" s="3">
        <f t="shared" si="0"/>
        <v>1060003</v>
      </c>
      <c r="B56" s="3" t="s">
        <v>49</v>
      </c>
      <c r="C56" s="3">
        <v>6</v>
      </c>
      <c r="D56" s="3">
        <v>3</v>
      </c>
      <c r="E56" s="3" t="s">
        <v>434</v>
      </c>
      <c r="F56" s="3">
        <v>2</v>
      </c>
      <c r="G56" s="3">
        <v>10</v>
      </c>
      <c r="H56" s="3" t="s">
        <v>68</v>
      </c>
      <c r="I56" s="3">
        <f t="shared" si="1"/>
        <v>3000</v>
      </c>
      <c r="J56" s="3" t="s">
        <v>69</v>
      </c>
      <c r="K56" s="3">
        <f t="shared" si="1"/>
        <v>3000</v>
      </c>
      <c r="L56" s="3" t="s">
        <v>70</v>
      </c>
      <c r="M56" s="3">
        <f t="shared" si="1"/>
        <v>3000</v>
      </c>
    </row>
    <row r="57" spans="1:13" x14ac:dyDescent="0.2">
      <c r="A57" s="3">
        <f t="shared" si="0"/>
        <v>1060004</v>
      </c>
      <c r="B57" s="3" t="s">
        <v>49</v>
      </c>
      <c r="C57" s="3">
        <v>6</v>
      </c>
      <c r="D57" s="3">
        <v>4</v>
      </c>
      <c r="E57" s="3" t="s">
        <v>434</v>
      </c>
      <c r="F57" s="3">
        <v>2</v>
      </c>
      <c r="G57" s="3">
        <v>10</v>
      </c>
      <c r="H57" s="3" t="s">
        <v>68</v>
      </c>
      <c r="I57" s="3">
        <f t="shared" si="1"/>
        <v>4000</v>
      </c>
      <c r="J57" s="3" t="s">
        <v>69</v>
      </c>
      <c r="K57" s="3">
        <f t="shared" si="1"/>
        <v>4000</v>
      </c>
      <c r="L57" s="3" t="s">
        <v>70</v>
      </c>
      <c r="M57" s="3">
        <f t="shared" si="1"/>
        <v>4000</v>
      </c>
    </row>
    <row r="58" spans="1:13" x14ac:dyDescent="0.2">
      <c r="A58" s="3">
        <f t="shared" si="0"/>
        <v>1060005</v>
      </c>
      <c r="B58" s="3" t="s">
        <v>49</v>
      </c>
      <c r="C58" s="3">
        <v>6</v>
      </c>
      <c r="D58" s="3">
        <v>5</v>
      </c>
      <c r="E58" s="3" t="s">
        <v>434</v>
      </c>
      <c r="F58" s="3">
        <v>2</v>
      </c>
      <c r="G58" s="3">
        <v>10</v>
      </c>
      <c r="H58" s="3" t="s">
        <v>68</v>
      </c>
      <c r="I58" s="3">
        <f t="shared" si="1"/>
        <v>5000</v>
      </c>
      <c r="J58" s="3" t="s">
        <v>69</v>
      </c>
      <c r="K58" s="3">
        <f t="shared" si="1"/>
        <v>5000</v>
      </c>
      <c r="L58" s="3" t="s">
        <v>70</v>
      </c>
      <c r="M58" s="3">
        <f t="shared" si="1"/>
        <v>5000</v>
      </c>
    </row>
    <row r="59" spans="1:13" x14ac:dyDescent="0.2">
      <c r="A59" s="3">
        <f t="shared" si="0"/>
        <v>1060006</v>
      </c>
      <c r="B59" s="3" t="s">
        <v>49</v>
      </c>
      <c r="C59" s="3">
        <v>6</v>
      </c>
      <c r="D59" s="3">
        <v>6</v>
      </c>
      <c r="E59" s="3" t="s">
        <v>434</v>
      </c>
      <c r="F59" s="3">
        <v>2</v>
      </c>
      <c r="G59" s="3">
        <v>10</v>
      </c>
      <c r="H59" s="3" t="s">
        <v>68</v>
      </c>
      <c r="I59" s="3">
        <f t="shared" si="1"/>
        <v>6000</v>
      </c>
      <c r="J59" s="3" t="s">
        <v>69</v>
      </c>
      <c r="K59" s="3">
        <f t="shared" si="1"/>
        <v>6000</v>
      </c>
      <c r="L59" s="3" t="s">
        <v>70</v>
      </c>
      <c r="M59" s="3">
        <f t="shared" si="1"/>
        <v>6000</v>
      </c>
    </row>
    <row r="60" spans="1:13" x14ac:dyDescent="0.2">
      <c r="A60" s="3">
        <f t="shared" si="0"/>
        <v>1060007</v>
      </c>
      <c r="B60" s="3" t="s">
        <v>49</v>
      </c>
      <c r="C60" s="3">
        <v>6</v>
      </c>
      <c r="D60" s="3">
        <v>7</v>
      </c>
      <c r="E60" s="3" t="s">
        <v>434</v>
      </c>
      <c r="F60" s="3">
        <v>2</v>
      </c>
      <c r="G60" s="3">
        <v>10</v>
      </c>
      <c r="H60" s="3" t="s">
        <v>68</v>
      </c>
      <c r="I60" s="3">
        <f t="shared" si="1"/>
        <v>7000</v>
      </c>
      <c r="J60" s="3" t="s">
        <v>69</v>
      </c>
      <c r="K60" s="3">
        <f t="shared" si="1"/>
        <v>7000</v>
      </c>
      <c r="L60" s="3" t="s">
        <v>70</v>
      </c>
      <c r="M60" s="3">
        <f t="shared" si="1"/>
        <v>7000</v>
      </c>
    </row>
    <row r="61" spans="1:13" x14ac:dyDescent="0.2">
      <c r="A61" s="3">
        <f t="shared" si="0"/>
        <v>1060008</v>
      </c>
      <c r="B61" s="3" t="s">
        <v>49</v>
      </c>
      <c r="C61" s="3">
        <v>6</v>
      </c>
      <c r="D61" s="3">
        <v>8</v>
      </c>
      <c r="E61" s="3" t="s">
        <v>434</v>
      </c>
      <c r="F61" s="3">
        <v>2</v>
      </c>
      <c r="G61" s="3">
        <v>10</v>
      </c>
      <c r="H61" s="3" t="s">
        <v>68</v>
      </c>
      <c r="I61" s="3">
        <f t="shared" si="1"/>
        <v>8000</v>
      </c>
      <c r="J61" s="3" t="s">
        <v>69</v>
      </c>
      <c r="K61" s="3">
        <f t="shared" si="1"/>
        <v>8000</v>
      </c>
      <c r="L61" s="3" t="s">
        <v>70</v>
      </c>
      <c r="M61" s="3">
        <f t="shared" si="1"/>
        <v>8000</v>
      </c>
    </row>
    <row r="62" spans="1:13" x14ac:dyDescent="0.2">
      <c r="A62" s="3">
        <f t="shared" si="0"/>
        <v>1060009</v>
      </c>
      <c r="B62" s="3" t="s">
        <v>49</v>
      </c>
      <c r="C62" s="3">
        <v>6</v>
      </c>
      <c r="D62" s="3">
        <v>9</v>
      </c>
      <c r="E62" s="3" t="s">
        <v>434</v>
      </c>
      <c r="F62" s="3">
        <v>2</v>
      </c>
      <c r="G62" s="3">
        <v>10</v>
      </c>
      <c r="H62" s="3" t="s">
        <v>68</v>
      </c>
      <c r="I62" s="3">
        <f t="shared" si="1"/>
        <v>9000</v>
      </c>
      <c r="J62" s="3" t="s">
        <v>69</v>
      </c>
      <c r="K62" s="3">
        <f t="shared" si="1"/>
        <v>9000</v>
      </c>
      <c r="L62" s="3" t="s">
        <v>70</v>
      </c>
      <c r="M62" s="3">
        <f t="shared" si="1"/>
        <v>9000</v>
      </c>
    </row>
    <row r="63" spans="1:13" x14ac:dyDescent="0.2">
      <c r="A63" s="3">
        <f t="shared" si="0"/>
        <v>1060010</v>
      </c>
      <c r="B63" s="3" t="s">
        <v>49</v>
      </c>
      <c r="C63" s="3">
        <v>6</v>
      </c>
      <c r="D63" s="3">
        <v>10</v>
      </c>
      <c r="E63" s="3" t="s">
        <v>434</v>
      </c>
      <c r="F63" s="3">
        <v>2</v>
      </c>
      <c r="G63" s="3">
        <v>10</v>
      </c>
      <c r="H63" s="3" t="s">
        <v>68</v>
      </c>
      <c r="I63" s="3">
        <f t="shared" si="1"/>
        <v>10000</v>
      </c>
      <c r="J63" s="3" t="s">
        <v>69</v>
      </c>
      <c r="K63" s="3">
        <f t="shared" si="1"/>
        <v>10000</v>
      </c>
      <c r="L63" s="3" t="s">
        <v>70</v>
      </c>
      <c r="M63" s="3">
        <f t="shared" si="1"/>
        <v>10000</v>
      </c>
    </row>
    <row r="64" spans="1:13" x14ac:dyDescent="0.2">
      <c r="A64" s="3">
        <f t="shared" si="0"/>
        <v>1070001</v>
      </c>
      <c r="B64" s="3" t="s">
        <v>50</v>
      </c>
      <c r="C64" s="3">
        <v>7</v>
      </c>
      <c r="D64" s="3">
        <v>1</v>
      </c>
      <c r="E64" s="3" t="s">
        <v>434</v>
      </c>
      <c r="F64" s="3">
        <v>2</v>
      </c>
      <c r="G64" s="3">
        <v>10</v>
      </c>
      <c r="H64" s="3" t="s">
        <v>68</v>
      </c>
      <c r="I64" s="3">
        <f t="shared" si="1"/>
        <v>1000</v>
      </c>
      <c r="J64" s="3" t="s">
        <v>69</v>
      </c>
      <c r="K64" s="3">
        <f t="shared" si="1"/>
        <v>1000</v>
      </c>
      <c r="L64" s="3" t="s">
        <v>70</v>
      </c>
      <c r="M64" s="3">
        <f t="shared" si="1"/>
        <v>1000</v>
      </c>
    </row>
    <row r="65" spans="1:13" x14ac:dyDescent="0.2">
      <c r="A65" s="3">
        <f t="shared" si="0"/>
        <v>1070002</v>
      </c>
      <c r="B65" s="3" t="s">
        <v>50</v>
      </c>
      <c r="C65" s="3">
        <v>7</v>
      </c>
      <c r="D65" s="3">
        <v>2</v>
      </c>
      <c r="E65" s="3" t="s">
        <v>434</v>
      </c>
      <c r="F65" s="3">
        <v>2</v>
      </c>
      <c r="G65" s="3">
        <v>10</v>
      </c>
      <c r="H65" s="3" t="s">
        <v>68</v>
      </c>
      <c r="I65" s="3">
        <f t="shared" si="1"/>
        <v>2000</v>
      </c>
      <c r="J65" s="3" t="s">
        <v>69</v>
      </c>
      <c r="K65" s="3">
        <f t="shared" si="1"/>
        <v>2000</v>
      </c>
      <c r="L65" s="3" t="s">
        <v>70</v>
      </c>
      <c r="M65" s="3">
        <f t="shared" si="1"/>
        <v>2000</v>
      </c>
    </row>
    <row r="66" spans="1:13" x14ac:dyDescent="0.2">
      <c r="A66" s="3">
        <f t="shared" si="0"/>
        <v>1070003</v>
      </c>
      <c r="B66" s="3" t="s">
        <v>50</v>
      </c>
      <c r="C66" s="3">
        <v>7</v>
      </c>
      <c r="D66" s="3">
        <v>3</v>
      </c>
      <c r="E66" s="3" t="s">
        <v>434</v>
      </c>
      <c r="F66" s="3">
        <v>2</v>
      </c>
      <c r="G66" s="3">
        <v>10</v>
      </c>
      <c r="H66" s="3" t="s">
        <v>68</v>
      </c>
      <c r="I66" s="3">
        <f t="shared" si="1"/>
        <v>3000</v>
      </c>
      <c r="J66" s="3" t="s">
        <v>69</v>
      </c>
      <c r="K66" s="3">
        <f t="shared" si="1"/>
        <v>3000</v>
      </c>
      <c r="L66" s="3" t="s">
        <v>70</v>
      </c>
      <c r="M66" s="3">
        <f t="shared" si="1"/>
        <v>3000</v>
      </c>
    </row>
    <row r="67" spans="1:13" x14ac:dyDescent="0.2">
      <c r="A67" s="3">
        <f t="shared" si="0"/>
        <v>1070004</v>
      </c>
      <c r="B67" s="3" t="s">
        <v>50</v>
      </c>
      <c r="C67" s="3">
        <v>7</v>
      </c>
      <c r="D67" s="3">
        <v>4</v>
      </c>
      <c r="E67" s="3" t="s">
        <v>434</v>
      </c>
      <c r="F67" s="3">
        <v>2</v>
      </c>
      <c r="G67" s="3">
        <v>10</v>
      </c>
      <c r="H67" s="3" t="s">
        <v>68</v>
      </c>
      <c r="I67" s="3">
        <f t="shared" si="1"/>
        <v>4000</v>
      </c>
      <c r="J67" s="3" t="s">
        <v>69</v>
      </c>
      <c r="K67" s="3">
        <f t="shared" si="1"/>
        <v>4000</v>
      </c>
      <c r="L67" s="3" t="s">
        <v>70</v>
      </c>
      <c r="M67" s="3">
        <f t="shared" si="1"/>
        <v>4000</v>
      </c>
    </row>
    <row r="68" spans="1:13" x14ac:dyDescent="0.2">
      <c r="A68" s="3">
        <f t="shared" si="0"/>
        <v>1070005</v>
      </c>
      <c r="B68" s="3" t="s">
        <v>50</v>
      </c>
      <c r="C68" s="3">
        <v>7</v>
      </c>
      <c r="D68" s="3">
        <v>5</v>
      </c>
      <c r="E68" s="3" t="s">
        <v>434</v>
      </c>
      <c r="F68" s="3">
        <v>2</v>
      </c>
      <c r="G68" s="3">
        <v>10</v>
      </c>
      <c r="H68" s="3" t="s">
        <v>68</v>
      </c>
      <c r="I68" s="3">
        <f t="shared" si="1"/>
        <v>5000</v>
      </c>
      <c r="J68" s="3" t="s">
        <v>69</v>
      </c>
      <c r="K68" s="3">
        <f t="shared" si="1"/>
        <v>5000</v>
      </c>
      <c r="L68" s="3" t="s">
        <v>70</v>
      </c>
      <c r="M68" s="3">
        <f t="shared" si="1"/>
        <v>5000</v>
      </c>
    </row>
    <row r="69" spans="1:13" x14ac:dyDescent="0.2">
      <c r="A69" s="3">
        <f t="shared" ref="A69:A103" si="2">INT("1"&amp;TEXT(C69,"00")&amp;TEXT(D69,"0000"))</f>
        <v>1070006</v>
      </c>
      <c r="B69" s="3" t="s">
        <v>50</v>
      </c>
      <c r="C69" s="3">
        <v>7</v>
      </c>
      <c r="D69" s="3">
        <v>6</v>
      </c>
      <c r="E69" s="3" t="s">
        <v>434</v>
      </c>
      <c r="F69" s="3">
        <v>2</v>
      </c>
      <c r="G69" s="3">
        <v>10</v>
      </c>
      <c r="H69" s="3" t="s">
        <v>68</v>
      </c>
      <c r="I69" s="3">
        <f t="shared" ref="I69:M103" si="3">$D69*1000</f>
        <v>6000</v>
      </c>
      <c r="J69" s="3" t="s">
        <v>69</v>
      </c>
      <c r="K69" s="3">
        <f t="shared" si="3"/>
        <v>6000</v>
      </c>
      <c r="L69" s="3" t="s">
        <v>70</v>
      </c>
      <c r="M69" s="3">
        <f t="shared" si="3"/>
        <v>6000</v>
      </c>
    </row>
    <row r="70" spans="1:13" x14ac:dyDescent="0.2">
      <c r="A70" s="3">
        <f t="shared" si="2"/>
        <v>1070007</v>
      </c>
      <c r="B70" s="3" t="s">
        <v>50</v>
      </c>
      <c r="C70" s="3">
        <v>7</v>
      </c>
      <c r="D70" s="3">
        <v>7</v>
      </c>
      <c r="E70" s="3" t="s">
        <v>434</v>
      </c>
      <c r="F70" s="3">
        <v>2</v>
      </c>
      <c r="G70" s="3">
        <v>10</v>
      </c>
      <c r="H70" s="3" t="s">
        <v>68</v>
      </c>
      <c r="I70" s="3">
        <f t="shared" si="3"/>
        <v>7000</v>
      </c>
      <c r="J70" s="3" t="s">
        <v>69</v>
      </c>
      <c r="K70" s="3">
        <f t="shared" si="3"/>
        <v>7000</v>
      </c>
      <c r="L70" s="3" t="s">
        <v>70</v>
      </c>
      <c r="M70" s="3">
        <f t="shared" si="3"/>
        <v>7000</v>
      </c>
    </row>
    <row r="71" spans="1:13" x14ac:dyDescent="0.2">
      <c r="A71" s="3">
        <f t="shared" si="2"/>
        <v>1070008</v>
      </c>
      <c r="B71" s="3" t="s">
        <v>50</v>
      </c>
      <c r="C71" s="3">
        <v>7</v>
      </c>
      <c r="D71" s="3">
        <v>8</v>
      </c>
      <c r="E71" s="3" t="s">
        <v>434</v>
      </c>
      <c r="F71" s="3">
        <v>2</v>
      </c>
      <c r="G71" s="3">
        <v>10</v>
      </c>
      <c r="H71" s="3" t="s">
        <v>68</v>
      </c>
      <c r="I71" s="3">
        <f t="shared" si="3"/>
        <v>8000</v>
      </c>
      <c r="J71" s="3" t="s">
        <v>69</v>
      </c>
      <c r="K71" s="3">
        <f t="shared" si="3"/>
        <v>8000</v>
      </c>
      <c r="L71" s="3" t="s">
        <v>70</v>
      </c>
      <c r="M71" s="3">
        <f t="shared" si="3"/>
        <v>8000</v>
      </c>
    </row>
    <row r="72" spans="1:13" x14ac:dyDescent="0.2">
      <c r="A72" s="3">
        <f t="shared" si="2"/>
        <v>1070009</v>
      </c>
      <c r="B72" s="3" t="s">
        <v>50</v>
      </c>
      <c r="C72" s="3">
        <v>7</v>
      </c>
      <c r="D72" s="3">
        <v>9</v>
      </c>
      <c r="E72" s="3" t="s">
        <v>434</v>
      </c>
      <c r="F72" s="3">
        <v>2</v>
      </c>
      <c r="G72" s="3">
        <v>10</v>
      </c>
      <c r="H72" s="3" t="s">
        <v>68</v>
      </c>
      <c r="I72" s="3">
        <f t="shared" si="3"/>
        <v>9000</v>
      </c>
      <c r="J72" s="3" t="s">
        <v>69</v>
      </c>
      <c r="K72" s="3">
        <f t="shared" si="3"/>
        <v>9000</v>
      </c>
      <c r="L72" s="3" t="s">
        <v>70</v>
      </c>
      <c r="M72" s="3">
        <f t="shared" si="3"/>
        <v>9000</v>
      </c>
    </row>
    <row r="73" spans="1:13" x14ac:dyDescent="0.2">
      <c r="A73" s="3">
        <f t="shared" si="2"/>
        <v>1070010</v>
      </c>
      <c r="B73" s="3" t="s">
        <v>50</v>
      </c>
      <c r="C73" s="3">
        <v>7</v>
      </c>
      <c r="D73" s="3">
        <v>10</v>
      </c>
      <c r="E73" s="3" t="s">
        <v>434</v>
      </c>
      <c r="F73" s="3">
        <v>2</v>
      </c>
      <c r="G73" s="3">
        <v>10</v>
      </c>
      <c r="H73" s="3" t="s">
        <v>68</v>
      </c>
      <c r="I73" s="3">
        <f t="shared" si="3"/>
        <v>10000</v>
      </c>
      <c r="J73" s="3" t="s">
        <v>69</v>
      </c>
      <c r="K73" s="3">
        <f t="shared" si="3"/>
        <v>10000</v>
      </c>
      <c r="L73" s="3" t="s">
        <v>70</v>
      </c>
      <c r="M73" s="3">
        <f t="shared" si="3"/>
        <v>10000</v>
      </c>
    </row>
    <row r="74" spans="1:13" x14ac:dyDescent="0.2">
      <c r="A74" s="3">
        <f t="shared" si="2"/>
        <v>1080001</v>
      </c>
      <c r="B74" s="3" t="s">
        <v>51</v>
      </c>
      <c r="C74" s="3">
        <v>8</v>
      </c>
      <c r="D74" s="3">
        <v>1</v>
      </c>
      <c r="E74" s="3" t="s">
        <v>434</v>
      </c>
      <c r="F74" s="3">
        <v>2</v>
      </c>
      <c r="G74" s="3">
        <v>10</v>
      </c>
      <c r="H74" s="3" t="s">
        <v>68</v>
      </c>
      <c r="I74" s="3">
        <f t="shared" si="3"/>
        <v>1000</v>
      </c>
      <c r="J74" s="3" t="s">
        <v>69</v>
      </c>
      <c r="K74" s="3">
        <f t="shared" si="3"/>
        <v>1000</v>
      </c>
      <c r="L74" s="3" t="s">
        <v>70</v>
      </c>
      <c r="M74" s="3">
        <f t="shared" si="3"/>
        <v>1000</v>
      </c>
    </row>
    <row r="75" spans="1:13" x14ac:dyDescent="0.2">
      <c r="A75" s="3">
        <f t="shared" si="2"/>
        <v>1080002</v>
      </c>
      <c r="B75" s="3" t="s">
        <v>51</v>
      </c>
      <c r="C75" s="3">
        <v>8</v>
      </c>
      <c r="D75" s="3">
        <v>2</v>
      </c>
      <c r="E75" s="3" t="s">
        <v>434</v>
      </c>
      <c r="F75" s="3">
        <v>2</v>
      </c>
      <c r="G75" s="3">
        <v>10</v>
      </c>
      <c r="H75" s="3" t="s">
        <v>68</v>
      </c>
      <c r="I75" s="3">
        <f t="shared" si="3"/>
        <v>2000</v>
      </c>
      <c r="J75" s="3" t="s">
        <v>69</v>
      </c>
      <c r="K75" s="3">
        <f t="shared" si="3"/>
        <v>2000</v>
      </c>
      <c r="L75" s="3" t="s">
        <v>70</v>
      </c>
      <c r="M75" s="3">
        <f t="shared" si="3"/>
        <v>2000</v>
      </c>
    </row>
    <row r="76" spans="1:13" x14ac:dyDescent="0.2">
      <c r="A76" s="3">
        <f t="shared" si="2"/>
        <v>1080003</v>
      </c>
      <c r="B76" s="3" t="s">
        <v>51</v>
      </c>
      <c r="C76" s="3">
        <v>8</v>
      </c>
      <c r="D76" s="3">
        <v>3</v>
      </c>
      <c r="E76" s="3" t="s">
        <v>434</v>
      </c>
      <c r="F76" s="3">
        <v>2</v>
      </c>
      <c r="G76" s="3">
        <v>10</v>
      </c>
      <c r="H76" s="3" t="s">
        <v>68</v>
      </c>
      <c r="I76" s="3">
        <f t="shared" si="3"/>
        <v>3000</v>
      </c>
      <c r="J76" s="3" t="s">
        <v>69</v>
      </c>
      <c r="K76" s="3">
        <f t="shared" si="3"/>
        <v>3000</v>
      </c>
      <c r="L76" s="3" t="s">
        <v>70</v>
      </c>
      <c r="M76" s="3">
        <f t="shared" si="3"/>
        <v>3000</v>
      </c>
    </row>
    <row r="77" spans="1:13" x14ac:dyDescent="0.2">
      <c r="A77" s="3">
        <f t="shared" si="2"/>
        <v>1080004</v>
      </c>
      <c r="B77" s="3" t="s">
        <v>51</v>
      </c>
      <c r="C77" s="3">
        <v>8</v>
      </c>
      <c r="D77" s="3">
        <v>4</v>
      </c>
      <c r="E77" s="3" t="s">
        <v>434</v>
      </c>
      <c r="F77" s="3">
        <v>2</v>
      </c>
      <c r="G77" s="3">
        <v>10</v>
      </c>
      <c r="H77" s="3" t="s">
        <v>68</v>
      </c>
      <c r="I77" s="3">
        <f t="shared" si="3"/>
        <v>4000</v>
      </c>
      <c r="J77" s="3" t="s">
        <v>69</v>
      </c>
      <c r="K77" s="3">
        <f t="shared" si="3"/>
        <v>4000</v>
      </c>
      <c r="L77" s="3" t="s">
        <v>70</v>
      </c>
      <c r="M77" s="3">
        <f t="shared" si="3"/>
        <v>4000</v>
      </c>
    </row>
    <row r="78" spans="1:13" x14ac:dyDescent="0.2">
      <c r="A78" s="3">
        <f t="shared" si="2"/>
        <v>1080005</v>
      </c>
      <c r="B78" s="3" t="s">
        <v>51</v>
      </c>
      <c r="C78" s="3">
        <v>8</v>
      </c>
      <c r="D78" s="3">
        <v>5</v>
      </c>
      <c r="E78" s="3" t="s">
        <v>434</v>
      </c>
      <c r="F78" s="3">
        <v>2</v>
      </c>
      <c r="G78" s="3">
        <v>10</v>
      </c>
      <c r="H78" s="3" t="s">
        <v>68</v>
      </c>
      <c r="I78" s="3">
        <f t="shared" si="3"/>
        <v>5000</v>
      </c>
      <c r="J78" s="3" t="s">
        <v>69</v>
      </c>
      <c r="K78" s="3">
        <f t="shared" si="3"/>
        <v>5000</v>
      </c>
      <c r="L78" s="3" t="s">
        <v>70</v>
      </c>
      <c r="M78" s="3">
        <f t="shared" si="3"/>
        <v>5000</v>
      </c>
    </row>
    <row r="79" spans="1:13" x14ac:dyDescent="0.2">
      <c r="A79" s="3">
        <f t="shared" si="2"/>
        <v>1080006</v>
      </c>
      <c r="B79" s="3" t="s">
        <v>51</v>
      </c>
      <c r="C79" s="3">
        <v>8</v>
      </c>
      <c r="D79" s="3">
        <v>6</v>
      </c>
      <c r="E79" s="3" t="s">
        <v>434</v>
      </c>
      <c r="F79" s="3">
        <v>2</v>
      </c>
      <c r="G79" s="3">
        <v>10</v>
      </c>
      <c r="H79" s="3" t="s">
        <v>68</v>
      </c>
      <c r="I79" s="3">
        <f t="shared" si="3"/>
        <v>6000</v>
      </c>
      <c r="J79" s="3" t="s">
        <v>69</v>
      </c>
      <c r="K79" s="3">
        <f t="shared" si="3"/>
        <v>6000</v>
      </c>
      <c r="L79" s="3" t="s">
        <v>70</v>
      </c>
      <c r="M79" s="3">
        <f t="shared" si="3"/>
        <v>6000</v>
      </c>
    </row>
    <row r="80" spans="1:13" x14ac:dyDescent="0.2">
      <c r="A80" s="3">
        <f t="shared" si="2"/>
        <v>1080007</v>
      </c>
      <c r="B80" s="3" t="s">
        <v>51</v>
      </c>
      <c r="C80" s="3">
        <v>8</v>
      </c>
      <c r="D80" s="3">
        <v>7</v>
      </c>
      <c r="E80" s="3" t="s">
        <v>434</v>
      </c>
      <c r="F80" s="3">
        <v>2</v>
      </c>
      <c r="G80" s="3">
        <v>10</v>
      </c>
      <c r="H80" s="3" t="s">
        <v>68</v>
      </c>
      <c r="I80" s="3">
        <f t="shared" si="3"/>
        <v>7000</v>
      </c>
      <c r="J80" s="3" t="s">
        <v>69</v>
      </c>
      <c r="K80" s="3">
        <f t="shared" si="3"/>
        <v>7000</v>
      </c>
      <c r="L80" s="3" t="s">
        <v>70</v>
      </c>
      <c r="M80" s="3">
        <f t="shared" si="3"/>
        <v>7000</v>
      </c>
    </row>
    <row r="81" spans="1:13" x14ac:dyDescent="0.2">
      <c r="A81" s="3">
        <f t="shared" si="2"/>
        <v>1080008</v>
      </c>
      <c r="B81" s="3" t="s">
        <v>51</v>
      </c>
      <c r="C81" s="3">
        <v>8</v>
      </c>
      <c r="D81" s="3">
        <v>8</v>
      </c>
      <c r="E81" s="3" t="s">
        <v>434</v>
      </c>
      <c r="F81" s="3">
        <v>2</v>
      </c>
      <c r="G81" s="3">
        <v>10</v>
      </c>
      <c r="H81" s="3" t="s">
        <v>68</v>
      </c>
      <c r="I81" s="3">
        <f t="shared" si="3"/>
        <v>8000</v>
      </c>
      <c r="J81" s="3" t="s">
        <v>69</v>
      </c>
      <c r="K81" s="3">
        <f t="shared" si="3"/>
        <v>8000</v>
      </c>
      <c r="L81" s="3" t="s">
        <v>70</v>
      </c>
      <c r="M81" s="3">
        <f t="shared" si="3"/>
        <v>8000</v>
      </c>
    </row>
    <row r="82" spans="1:13" x14ac:dyDescent="0.2">
      <c r="A82" s="3">
        <f t="shared" si="2"/>
        <v>1080009</v>
      </c>
      <c r="B82" s="3" t="s">
        <v>51</v>
      </c>
      <c r="C82" s="3">
        <v>8</v>
      </c>
      <c r="D82" s="3">
        <v>9</v>
      </c>
      <c r="E82" s="3" t="s">
        <v>434</v>
      </c>
      <c r="F82" s="3">
        <v>2</v>
      </c>
      <c r="G82" s="3">
        <v>10</v>
      </c>
      <c r="H82" s="3" t="s">
        <v>68</v>
      </c>
      <c r="I82" s="3">
        <f t="shared" si="3"/>
        <v>9000</v>
      </c>
      <c r="J82" s="3" t="s">
        <v>69</v>
      </c>
      <c r="K82" s="3">
        <f t="shared" si="3"/>
        <v>9000</v>
      </c>
      <c r="L82" s="3" t="s">
        <v>70</v>
      </c>
      <c r="M82" s="3">
        <f t="shared" si="3"/>
        <v>9000</v>
      </c>
    </row>
    <row r="83" spans="1:13" x14ac:dyDescent="0.2">
      <c r="A83" s="3">
        <f t="shared" si="2"/>
        <v>1080010</v>
      </c>
      <c r="B83" s="3" t="s">
        <v>51</v>
      </c>
      <c r="C83" s="3">
        <v>8</v>
      </c>
      <c r="D83" s="3">
        <v>10</v>
      </c>
      <c r="E83" s="3" t="s">
        <v>434</v>
      </c>
      <c r="F83" s="3">
        <v>2</v>
      </c>
      <c r="G83" s="3">
        <v>10</v>
      </c>
      <c r="H83" s="3" t="s">
        <v>68</v>
      </c>
      <c r="I83" s="3">
        <f t="shared" si="3"/>
        <v>10000</v>
      </c>
      <c r="J83" s="3" t="s">
        <v>69</v>
      </c>
      <c r="K83" s="3">
        <f t="shared" si="3"/>
        <v>10000</v>
      </c>
      <c r="L83" s="3" t="s">
        <v>70</v>
      </c>
      <c r="M83" s="3">
        <f t="shared" si="3"/>
        <v>10000</v>
      </c>
    </row>
    <row r="84" spans="1:13" x14ac:dyDescent="0.2">
      <c r="A84" s="3">
        <f t="shared" si="2"/>
        <v>1090001</v>
      </c>
      <c r="B84" s="3" t="s">
        <v>52</v>
      </c>
      <c r="C84" s="3">
        <v>9</v>
      </c>
      <c r="D84" s="3">
        <v>1</v>
      </c>
      <c r="E84" s="3" t="s">
        <v>434</v>
      </c>
      <c r="F84" s="3">
        <v>2</v>
      </c>
      <c r="G84" s="3">
        <v>10</v>
      </c>
      <c r="H84" s="3" t="s">
        <v>68</v>
      </c>
      <c r="I84" s="3">
        <f t="shared" si="3"/>
        <v>1000</v>
      </c>
      <c r="J84" s="3" t="s">
        <v>69</v>
      </c>
      <c r="K84" s="3">
        <f t="shared" si="3"/>
        <v>1000</v>
      </c>
      <c r="L84" s="3" t="s">
        <v>70</v>
      </c>
      <c r="M84" s="3">
        <f t="shared" si="3"/>
        <v>1000</v>
      </c>
    </row>
    <row r="85" spans="1:13" x14ac:dyDescent="0.2">
      <c r="A85" s="3">
        <f t="shared" si="2"/>
        <v>1090002</v>
      </c>
      <c r="B85" s="3" t="s">
        <v>52</v>
      </c>
      <c r="C85" s="3">
        <v>9</v>
      </c>
      <c r="D85" s="3">
        <v>2</v>
      </c>
      <c r="E85" s="3" t="s">
        <v>434</v>
      </c>
      <c r="F85" s="3">
        <v>2</v>
      </c>
      <c r="G85" s="3">
        <v>10</v>
      </c>
      <c r="H85" s="3" t="s">
        <v>68</v>
      </c>
      <c r="I85" s="3">
        <f t="shared" si="3"/>
        <v>2000</v>
      </c>
      <c r="J85" s="3" t="s">
        <v>69</v>
      </c>
      <c r="K85" s="3">
        <f t="shared" si="3"/>
        <v>2000</v>
      </c>
      <c r="L85" s="3" t="s">
        <v>70</v>
      </c>
      <c r="M85" s="3">
        <f t="shared" si="3"/>
        <v>2000</v>
      </c>
    </row>
    <row r="86" spans="1:13" x14ac:dyDescent="0.2">
      <c r="A86" s="3">
        <f t="shared" si="2"/>
        <v>1090003</v>
      </c>
      <c r="B86" s="3" t="s">
        <v>52</v>
      </c>
      <c r="C86" s="3">
        <v>9</v>
      </c>
      <c r="D86" s="3">
        <v>3</v>
      </c>
      <c r="E86" s="3" t="s">
        <v>434</v>
      </c>
      <c r="F86" s="3">
        <v>2</v>
      </c>
      <c r="G86" s="3">
        <v>10</v>
      </c>
      <c r="H86" s="3" t="s">
        <v>68</v>
      </c>
      <c r="I86" s="3">
        <f t="shared" si="3"/>
        <v>3000</v>
      </c>
      <c r="J86" s="3" t="s">
        <v>69</v>
      </c>
      <c r="K86" s="3">
        <f t="shared" si="3"/>
        <v>3000</v>
      </c>
      <c r="L86" s="3" t="s">
        <v>70</v>
      </c>
      <c r="M86" s="3">
        <f t="shared" si="3"/>
        <v>3000</v>
      </c>
    </row>
    <row r="87" spans="1:13" x14ac:dyDescent="0.2">
      <c r="A87" s="3">
        <f t="shared" si="2"/>
        <v>1090004</v>
      </c>
      <c r="B87" s="3" t="s">
        <v>52</v>
      </c>
      <c r="C87" s="3">
        <v>9</v>
      </c>
      <c r="D87" s="3">
        <v>4</v>
      </c>
      <c r="E87" s="3" t="s">
        <v>434</v>
      </c>
      <c r="F87" s="3">
        <v>2</v>
      </c>
      <c r="G87" s="3">
        <v>10</v>
      </c>
      <c r="H87" s="3" t="s">
        <v>68</v>
      </c>
      <c r="I87" s="3">
        <f t="shared" si="3"/>
        <v>4000</v>
      </c>
      <c r="J87" s="3" t="s">
        <v>69</v>
      </c>
      <c r="K87" s="3">
        <f t="shared" si="3"/>
        <v>4000</v>
      </c>
      <c r="L87" s="3" t="s">
        <v>70</v>
      </c>
      <c r="M87" s="3">
        <f t="shared" si="3"/>
        <v>4000</v>
      </c>
    </row>
    <row r="88" spans="1:13" x14ac:dyDescent="0.2">
      <c r="A88" s="3">
        <f t="shared" si="2"/>
        <v>1090005</v>
      </c>
      <c r="B88" s="3" t="s">
        <v>52</v>
      </c>
      <c r="C88" s="3">
        <v>9</v>
      </c>
      <c r="D88" s="3">
        <v>5</v>
      </c>
      <c r="E88" s="3" t="s">
        <v>434</v>
      </c>
      <c r="F88" s="3">
        <v>2</v>
      </c>
      <c r="G88" s="3">
        <v>10</v>
      </c>
      <c r="H88" s="3" t="s">
        <v>68</v>
      </c>
      <c r="I88" s="3">
        <f t="shared" si="3"/>
        <v>5000</v>
      </c>
      <c r="J88" s="3" t="s">
        <v>69</v>
      </c>
      <c r="K88" s="3">
        <f t="shared" si="3"/>
        <v>5000</v>
      </c>
      <c r="L88" s="3" t="s">
        <v>70</v>
      </c>
      <c r="M88" s="3">
        <f t="shared" si="3"/>
        <v>5000</v>
      </c>
    </row>
    <row r="89" spans="1:13" x14ac:dyDescent="0.2">
      <c r="A89" s="3">
        <f t="shared" si="2"/>
        <v>1090006</v>
      </c>
      <c r="B89" s="3" t="s">
        <v>52</v>
      </c>
      <c r="C89" s="3">
        <v>9</v>
      </c>
      <c r="D89" s="3">
        <v>6</v>
      </c>
      <c r="E89" s="3" t="s">
        <v>434</v>
      </c>
      <c r="F89" s="3">
        <v>2</v>
      </c>
      <c r="G89" s="3">
        <v>10</v>
      </c>
      <c r="H89" s="3" t="s">
        <v>68</v>
      </c>
      <c r="I89" s="3">
        <f t="shared" si="3"/>
        <v>6000</v>
      </c>
      <c r="J89" s="3" t="s">
        <v>69</v>
      </c>
      <c r="K89" s="3">
        <f t="shared" si="3"/>
        <v>6000</v>
      </c>
      <c r="L89" s="3" t="s">
        <v>70</v>
      </c>
      <c r="M89" s="3">
        <f t="shared" si="3"/>
        <v>6000</v>
      </c>
    </row>
    <row r="90" spans="1:13" x14ac:dyDescent="0.2">
      <c r="A90" s="3">
        <f t="shared" si="2"/>
        <v>1090007</v>
      </c>
      <c r="B90" s="3" t="s">
        <v>52</v>
      </c>
      <c r="C90" s="3">
        <v>9</v>
      </c>
      <c r="D90" s="3">
        <v>7</v>
      </c>
      <c r="E90" s="3" t="s">
        <v>434</v>
      </c>
      <c r="F90" s="3">
        <v>2</v>
      </c>
      <c r="G90" s="3">
        <v>10</v>
      </c>
      <c r="H90" s="3" t="s">
        <v>68</v>
      </c>
      <c r="I90" s="3">
        <f t="shared" si="3"/>
        <v>7000</v>
      </c>
      <c r="J90" s="3" t="s">
        <v>69</v>
      </c>
      <c r="K90" s="3">
        <f t="shared" si="3"/>
        <v>7000</v>
      </c>
      <c r="L90" s="3" t="s">
        <v>70</v>
      </c>
      <c r="M90" s="3">
        <f t="shared" si="3"/>
        <v>7000</v>
      </c>
    </row>
    <row r="91" spans="1:13" x14ac:dyDescent="0.2">
      <c r="A91" s="3">
        <f t="shared" si="2"/>
        <v>1090008</v>
      </c>
      <c r="B91" s="3" t="s">
        <v>52</v>
      </c>
      <c r="C91" s="3">
        <v>9</v>
      </c>
      <c r="D91" s="3">
        <v>8</v>
      </c>
      <c r="E91" s="3" t="s">
        <v>434</v>
      </c>
      <c r="F91" s="3">
        <v>2</v>
      </c>
      <c r="G91" s="3">
        <v>10</v>
      </c>
      <c r="H91" s="3" t="s">
        <v>68</v>
      </c>
      <c r="I91" s="3">
        <f t="shared" si="3"/>
        <v>8000</v>
      </c>
      <c r="J91" s="3" t="s">
        <v>69</v>
      </c>
      <c r="K91" s="3">
        <f t="shared" si="3"/>
        <v>8000</v>
      </c>
      <c r="L91" s="3" t="s">
        <v>70</v>
      </c>
      <c r="M91" s="3">
        <f t="shared" si="3"/>
        <v>8000</v>
      </c>
    </row>
    <row r="92" spans="1:13" x14ac:dyDescent="0.2">
      <c r="A92" s="3">
        <f t="shared" si="2"/>
        <v>1090009</v>
      </c>
      <c r="B92" s="3" t="s">
        <v>52</v>
      </c>
      <c r="C92" s="3">
        <v>9</v>
      </c>
      <c r="D92" s="3">
        <v>9</v>
      </c>
      <c r="E92" s="3" t="s">
        <v>434</v>
      </c>
      <c r="F92" s="3">
        <v>2</v>
      </c>
      <c r="G92" s="3">
        <v>10</v>
      </c>
      <c r="H92" s="3" t="s">
        <v>68</v>
      </c>
      <c r="I92" s="3">
        <f t="shared" si="3"/>
        <v>9000</v>
      </c>
      <c r="J92" s="3" t="s">
        <v>69</v>
      </c>
      <c r="K92" s="3">
        <f t="shared" si="3"/>
        <v>9000</v>
      </c>
      <c r="L92" s="3" t="s">
        <v>70</v>
      </c>
      <c r="M92" s="3">
        <f t="shared" si="3"/>
        <v>9000</v>
      </c>
    </row>
    <row r="93" spans="1:13" x14ac:dyDescent="0.2">
      <c r="A93" s="3">
        <f t="shared" si="2"/>
        <v>1090010</v>
      </c>
      <c r="B93" s="3" t="s">
        <v>52</v>
      </c>
      <c r="C93" s="3">
        <v>9</v>
      </c>
      <c r="D93" s="3">
        <v>10</v>
      </c>
      <c r="E93" s="3" t="s">
        <v>434</v>
      </c>
      <c r="F93" s="3">
        <v>2</v>
      </c>
      <c r="G93" s="3">
        <v>10</v>
      </c>
      <c r="H93" s="3" t="s">
        <v>68</v>
      </c>
      <c r="I93" s="3">
        <f t="shared" si="3"/>
        <v>10000</v>
      </c>
      <c r="J93" s="3" t="s">
        <v>69</v>
      </c>
      <c r="K93" s="3">
        <f t="shared" si="3"/>
        <v>10000</v>
      </c>
      <c r="L93" s="3" t="s">
        <v>70</v>
      </c>
      <c r="M93" s="3">
        <f t="shared" si="3"/>
        <v>10000</v>
      </c>
    </row>
    <row r="94" spans="1:13" x14ac:dyDescent="0.2">
      <c r="A94" s="3">
        <f t="shared" si="2"/>
        <v>1100001</v>
      </c>
      <c r="B94" s="3" t="s">
        <v>53</v>
      </c>
      <c r="C94" s="3">
        <v>10</v>
      </c>
      <c r="D94" s="3">
        <v>1</v>
      </c>
      <c r="E94" s="3" t="s">
        <v>434</v>
      </c>
      <c r="F94" s="3">
        <v>2</v>
      </c>
      <c r="G94" s="3">
        <v>10</v>
      </c>
      <c r="H94" s="3" t="s">
        <v>68</v>
      </c>
      <c r="I94" s="3">
        <f t="shared" si="3"/>
        <v>1000</v>
      </c>
      <c r="J94" s="3" t="s">
        <v>69</v>
      </c>
      <c r="K94" s="3">
        <f t="shared" si="3"/>
        <v>1000</v>
      </c>
      <c r="L94" s="3" t="s">
        <v>70</v>
      </c>
      <c r="M94" s="3">
        <f t="shared" si="3"/>
        <v>1000</v>
      </c>
    </row>
    <row r="95" spans="1:13" x14ac:dyDescent="0.2">
      <c r="A95" s="3">
        <f t="shared" si="2"/>
        <v>1100002</v>
      </c>
      <c r="B95" s="3" t="s">
        <v>53</v>
      </c>
      <c r="C95" s="3">
        <v>10</v>
      </c>
      <c r="D95" s="3">
        <v>2</v>
      </c>
      <c r="E95" s="3" t="s">
        <v>434</v>
      </c>
      <c r="F95" s="3">
        <v>2</v>
      </c>
      <c r="G95" s="3">
        <v>10</v>
      </c>
      <c r="H95" s="3" t="s">
        <v>68</v>
      </c>
      <c r="I95" s="3">
        <f t="shared" si="3"/>
        <v>2000</v>
      </c>
      <c r="J95" s="3" t="s">
        <v>69</v>
      </c>
      <c r="K95" s="3">
        <f t="shared" si="3"/>
        <v>2000</v>
      </c>
      <c r="L95" s="3" t="s">
        <v>70</v>
      </c>
      <c r="M95" s="3">
        <f t="shared" si="3"/>
        <v>2000</v>
      </c>
    </row>
    <row r="96" spans="1:13" x14ac:dyDescent="0.2">
      <c r="A96" s="3">
        <f t="shared" si="2"/>
        <v>1100003</v>
      </c>
      <c r="B96" s="3" t="s">
        <v>53</v>
      </c>
      <c r="C96" s="3">
        <v>10</v>
      </c>
      <c r="D96" s="3">
        <v>3</v>
      </c>
      <c r="E96" s="3" t="s">
        <v>434</v>
      </c>
      <c r="F96" s="3">
        <v>2</v>
      </c>
      <c r="G96" s="3">
        <v>10</v>
      </c>
      <c r="H96" s="3" t="s">
        <v>68</v>
      </c>
      <c r="I96" s="3">
        <f t="shared" si="3"/>
        <v>3000</v>
      </c>
      <c r="J96" s="3" t="s">
        <v>69</v>
      </c>
      <c r="K96" s="3">
        <f t="shared" si="3"/>
        <v>3000</v>
      </c>
      <c r="L96" s="3" t="s">
        <v>70</v>
      </c>
      <c r="M96" s="3">
        <f t="shared" si="3"/>
        <v>3000</v>
      </c>
    </row>
    <row r="97" spans="1:13" x14ac:dyDescent="0.2">
      <c r="A97" s="3">
        <f t="shared" si="2"/>
        <v>1100004</v>
      </c>
      <c r="B97" s="3" t="s">
        <v>53</v>
      </c>
      <c r="C97" s="3">
        <v>10</v>
      </c>
      <c r="D97" s="3">
        <v>4</v>
      </c>
      <c r="E97" s="3" t="s">
        <v>434</v>
      </c>
      <c r="F97" s="3">
        <v>2</v>
      </c>
      <c r="G97" s="3">
        <v>10</v>
      </c>
      <c r="H97" s="3" t="s">
        <v>68</v>
      </c>
      <c r="I97" s="3">
        <f t="shared" si="3"/>
        <v>4000</v>
      </c>
      <c r="J97" s="3" t="s">
        <v>69</v>
      </c>
      <c r="K97" s="3">
        <f t="shared" si="3"/>
        <v>4000</v>
      </c>
      <c r="L97" s="3" t="s">
        <v>70</v>
      </c>
      <c r="M97" s="3">
        <f t="shared" si="3"/>
        <v>4000</v>
      </c>
    </row>
    <row r="98" spans="1:13" x14ac:dyDescent="0.2">
      <c r="A98" s="3">
        <f t="shared" si="2"/>
        <v>1100005</v>
      </c>
      <c r="B98" s="3" t="s">
        <v>53</v>
      </c>
      <c r="C98" s="3">
        <v>10</v>
      </c>
      <c r="D98" s="3">
        <v>5</v>
      </c>
      <c r="E98" s="3" t="s">
        <v>434</v>
      </c>
      <c r="F98" s="3">
        <v>2</v>
      </c>
      <c r="G98" s="3">
        <v>10</v>
      </c>
      <c r="H98" s="3" t="s">
        <v>68</v>
      </c>
      <c r="I98" s="3">
        <f t="shared" si="3"/>
        <v>5000</v>
      </c>
      <c r="J98" s="3" t="s">
        <v>69</v>
      </c>
      <c r="K98" s="3">
        <f t="shared" si="3"/>
        <v>5000</v>
      </c>
      <c r="L98" s="3" t="s">
        <v>70</v>
      </c>
      <c r="M98" s="3">
        <f t="shared" si="3"/>
        <v>5000</v>
      </c>
    </row>
    <row r="99" spans="1:13" x14ac:dyDescent="0.2">
      <c r="A99" s="3">
        <f t="shared" si="2"/>
        <v>1100006</v>
      </c>
      <c r="B99" s="3" t="s">
        <v>53</v>
      </c>
      <c r="C99" s="3">
        <v>10</v>
      </c>
      <c r="D99" s="3">
        <v>6</v>
      </c>
      <c r="E99" s="3" t="s">
        <v>434</v>
      </c>
      <c r="F99" s="3">
        <v>2</v>
      </c>
      <c r="G99" s="3">
        <v>10</v>
      </c>
      <c r="H99" s="3" t="s">
        <v>68</v>
      </c>
      <c r="I99" s="3">
        <f t="shared" si="3"/>
        <v>6000</v>
      </c>
      <c r="J99" s="3" t="s">
        <v>69</v>
      </c>
      <c r="K99" s="3">
        <f t="shared" si="3"/>
        <v>6000</v>
      </c>
      <c r="L99" s="3" t="s">
        <v>70</v>
      </c>
      <c r="M99" s="3">
        <f t="shared" si="3"/>
        <v>6000</v>
      </c>
    </row>
    <row r="100" spans="1:13" x14ac:dyDescent="0.2">
      <c r="A100" s="3">
        <f t="shared" si="2"/>
        <v>1100007</v>
      </c>
      <c r="B100" s="3" t="s">
        <v>53</v>
      </c>
      <c r="C100" s="3">
        <v>10</v>
      </c>
      <c r="D100" s="3">
        <v>7</v>
      </c>
      <c r="E100" s="3" t="s">
        <v>434</v>
      </c>
      <c r="F100" s="3">
        <v>2</v>
      </c>
      <c r="G100" s="3">
        <v>10</v>
      </c>
      <c r="H100" s="3" t="s">
        <v>68</v>
      </c>
      <c r="I100" s="3">
        <f t="shared" si="3"/>
        <v>7000</v>
      </c>
      <c r="J100" s="3" t="s">
        <v>69</v>
      </c>
      <c r="K100" s="3">
        <f t="shared" si="3"/>
        <v>7000</v>
      </c>
      <c r="L100" s="3" t="s">
        <v>70</v>
      </c>
      <c r="M100" s="3">
        <f t="shared" si="3"/>
        <v>7000</v>
      </c>
    </row>
    <row r="101" spans="1:13" x14ac:dyDescent="0.2">
      <c r="A101" s="3">
        <f t="shared" si="2"/>
        <v>1100008</v>
      </c>
      <c r="B101" s="3" t="s">
        <v>53</v>
      </c>
      <c r="C101" s="3">
        <v>10</v>
      </c>
      <c r="D101" s="3">
        <v>8</v>
      </c>
      <c r="E101" s="3" t="s">
        <v>434</v>
      </c>
      <c r="F101" s="3">
        <v>2</v>
      </c>
      <c r="G101" s="3">
        <v>10</v>
      </c>
      <c r="H101" s="3" t="s">
        <v>68</v>
      </c>
      <c r="I101" s="3">
        <f t="shared" si="3"/>
        <v>8000</v>
      </c>
      <c r="J101" s="3" t="s">
        <v>69</v>
      </c>
      <c r="K101" s="3">
        <f t="shared" si="3"/>
        <v>8000</v>
      </c>
      <c r="L101" s="3" t="s">
        <v>70</v>
      </c>
      <c r="M101" s="3">
        <f t="shared" si="3"/>
        <v>8000</v>
      </c>
    </row>
    <row r="102" spans="1:13" x14ac:dyDescent="0.2">
      <c r="A102" s="3">
        <f t="shared" si="2"/>
        <v>1100009</v>
      </c>
      <c r="B102" s="3" t="s">
        <v>53</v>
      </c>
      <c r="C102" s="3">
        <v>10</v>
      </c>
      <c r="D102" s="3">
        <v>9</v>
      </c>
      <c r="E102" s="3" t="s">
        <v>434</v>
      </c>
      <c r="F102" s="3">
        <v>2</v>
      </c>
      <c r="G102" s="3">
        <v>10</v>
      </c>
      <c r="H102" s="3" t="s">
        <v>68</v>
      </c>
      <c r="I102" s="3">
        <f t="shared" si="3"/>
        <v>9000</v>
      </c>
      <c r="J102" s="3" t="s">
        <v>69</v>
      </c>
      <c r="K102" s="3">
        <f t="shared" si="3"/>
        <v>9000</v>
      </c>
      <c r="L102" s="3" t="s">
        <v>70</v>
      </c>
      <c r="M102" s="3">
        <f t="shared" si="3"/>
        <v>9000</v>
      </c>
    </row>
    <row r="103" spans="1:13" x14ac:dyDescent="0.2">
      <c r="A103" s="3">
        <f t="shared" si="2"/>
        <v>1100010</v>
      </c>
      <c r="B103" s="3" t="s">
        <v>53</v>
      </c>
      <c r="C103" s="3">
        <v>10</v>
      </c>
      <c r="D103" s="3">
        <v>10</v>
      </c>
      <c r="E103" s="3" t="s">
        <v>434</v>
      </c>
      <c r="F103" s="3">
        <v>2</v>
      </c>
      <c r="G103" s="3">
        <v>10</v>
      </c>
      <c r="H103" s="3" t="s">
        <v>68</v>
      </c>
      <c r="I103" s="3">
        <f t="shared" si="3"/>
        <v>10000</v>
      </c>
      <c r="J103" s="3" t="s">
        <v>69</v>
      </c>
      <c r="K103" s="3">
        <f t="shared" si="3"/>
        <v>10000</v>
      </c>
      <c r="L103" s="3" t="s">
        <v>70</v>
      </c>
      <c r="M103" s="3">
        <f t="shared" si="3"/>
        <v>10000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315D-D165-419E-A823-4987010B2659}">
  <dimension ref="A1:G60"/>
  <sheetViews>
    <sheetView workbookViewId="0">
      <selection activeCell="E4" sqref="E4:E60"/>
    </sheetView>
  </sheetViews>
  <sheetFormatPr defaultRowHeight="12" x14ac:dyDescent="0.2"/>
  <cols>
    <col min="1" max="3" width="9" style="3"/>
    <col min="4" max="5" width="12.75" style="3" bestFit="1" customWidth="1"/>
    <col min="6" max="6" width="7.75" style="3" bestFit="1" customWidth="1"/>
    <col min="7" max="16384" width="9" style="3"/>
  </cols>
  <sheetData>
    <row r="1" spans="1:7" x14ac:dyDescent="0.2">
      <c r="A1" s="3" t="s">
        <v>0</v>
      </c>
      <c r="B1" s="3" t="s">
        <v>1</v>
      </c>
      <c r="C1" s="3" t="s">
        <v>30</v>
      </c>
      <c r="D1" s="3" t="s">
        <v>29</v>
      </c>
      <c r="E1" s="2" t="s">
        <v>26</v>
      </c>
      <c r="F1" s="2" t="s">
        <v>27</v>
      </c>
      <c r="G1" s="2" t="s">
        <v>28</v>
      </c>
    </row>
    <row r="2" spans="1:7" x14ac:dyDescent="0.2">
      <c r="E2" s="2"/>
      <c r="F2" s="2"/>
      <c r="G2" s="2"/>
    </row>
    <row r="3" spans="1:7" x14ac:dyDescent="0.2">
      <c r="E3" s="2"/>
      <c r="F3" s="2"/>
      <c r="G3" s="2"/>
    </row>
    <row r="4" spans="1:7" x14ac:dyDescent="0.2">
      <c r="A4" s="3">
        <f>INT(B4&amp;TEXT(C4,"00"))</f>
        <v>100</v>
      </c>
      <c r="B4" s="3">
        <v>1</v>
      </c>
      <c r="C4" s="3">
        <v>0</v>
      </c>
      <c r="D4" s="3" t="s">
        <v>31</v>
      </c>
      <c r="E4" s="3" t="s">
        <v>434</v>
      </c>
      <c r="F4" s="3">
        <v>2</v>
      </c>
      <c r="G4" s="3">
        <v>1000</v>
      </c>
    </row>
    <row r="5" spans="1:7" x14ac:dyDescent="0.2">
      <c r="A5" s="3">
        <f t="shared" ref="A5:A60" si="0">INT(B5&amp;TEXT(C5,"00"))</f>
        <v>101</v>
      </c>
      <c r="B5" s="3">
        <v>1</v>
      </c>
      <c r="C5" s="3">
        <v>1</v>
      </c>
      <c r="D5" s="3" t="s">
        <v>5</v>
      </c>
      <c r="E5" s="3" t="s">
        <v>434</v>
      </c>
      <c r="F5" s="3">
        <v>2</v>
      </c>
      <c r="G5" s="3">
        <f>G4+100</f>
        <v>1100</v>
      </c>
    </row>
    <row r="6" spans="1:7" x14ac:dyDescent="0.2">
      <c r="A6" s="3">
        <f t="shared" si="0"/>
        <v>102</v>
      </c>
      <c r="B6" s="3">
        <v>1</v>
      </c>
      <c r="C6" s="3">
        <v>2</v>
      </c>
      <c r="D6" s="3" t="s">
        <v>6</v>
      </c>
      <c r="E6" s="3" t="s">
        <v>434</v>
      </c>
      <c r="F6" s="3">
        <v>2</v>
      </c>
      <c r="G6" s="3">
        <f t="shared" ref="G6:G22" si="1">G5+100</f>
        <v>1200</v>
      </c>
    </row>
    <row r="7" spans="1:7" x14ac:dyDescent="0.2">
      <c r="A7" s="3">
        <f t="shared" si="0"/>
        <v>103</v>
      </c>
      <c r="B7" s="3">
        <v>1</v>
      </c>
      <c r="C7" s="3">
        <v>3</v>
      </c>
      <c r="D7" s="3" t="s">
        <v>7</v>
      </c>
      <c r="E7" s="3" t="s">
        <v>434</v>
      </c>
      <c r="F7" s="3">
        <v>2</v>
      </c>
      <c r="G7" s="3">
        <f t="shared" si="1"/>
        <v>1300</v>
      </c>
    </row>
    <row r="8" spans="1:7" x14ac:dyDescent="0.2">
      <c r="A8" s="3">
        <f t="shared" si="0"/>
        <v>104</v>
      </c>
      <c r="B8" s="3">
        <v>1</v>
      </c>
      <c r="C8" s="3">
        <v>4</v>
      </c>
      <c r="D8" s="3" t="s">
        <v>8</v>
      </c>
      <c r="E8" s="3" t="s">
        <v>434</v>
      </c>
      <c r="F8" s="3">
        <v>2</v>
      </c>
      <c r="G8" s="3">
        <f t="shared" si="1"/>
        <v>1400</v>
      </c>
    </row>
    <row r="9" spans="1:7" x14ac:dyDescent="0.2">
      <c r="A9" s="3">
        <f t="shared" si="0"/>
        <v>105</v>
      </c>
      <c r="B9" s="3">
        <v>1</v>
      </c>
      <c r="C9" s="3">
        <v>5</v>
      </c>
      <c r="D9" s="3" t="s">
        <v>9</v>
      </c>
      <c r="E9" s="3" t="s">
        <v>434</v>
      </c>
      <c r="F9" s="3">
        <v>2</v>
      </c>
      <c r="G9" s="3">
        <f t="shared" si="1"/>
        <v>1500</v>
      </c>
    </row>
    <row r="10" spans="1:7" x14ac:dyDescent="0.2">
      <c r="A10" s="3">
        <f t="shared" si="0"/>
        <v>106</v>
      </c>
      <c r="B10" s="3">
        <v>1</v>
      </c>
      <c r="C10" s="3">
        <v>6</v>
      </c>
      <c r="D10" s="3" t="s">
        <v>10</v>
      </c>
      <c r="E10" s="3" t="s">
        <v>434</v>
      </c>
      <c r="F10" s="3">
        <v>2</v>
      </c>
      <c r="G10" s="3">
        <f t="shared" si="1"/>
        <v>1600</v>
      </c>
    </row>
    <row r="11" spans="1:7" x14ac:dyDescent="0.2">
      <c r="A11" s="3">
        <f t="shared" si="0"/>
        <v>107</v>
      </c>
      <c r="B11" s="3">
        <v>1</v>
      </c>
      <c r="C11" s="3">
        <v>7</v>
      </c>
      <c r="D11" s="3" t="s">
        <v>11</v>
      </c>
      <c r="E11" s="3" t="s">
        <v>434</v>
      </c>
      <c r="F11" s="3">
        <v>2</v>
      </c>
      <c r="G11" s="3">
        <f t="shared" si="1"/>
        <v>1700</v>
      </c>
    </row>
    <row r="12" spans="1:7" x14ac:dyDescent="0.2">
      <c r="A12" s="3">
        <f t="shared" si="0"/>
        <v>108</v>
      </c>
      <c r="B12" s="3">
        <v>1</v>
      </c>
      <c r="C12" s="3">
        <v>8</v>
      </c>
      <c r="D12" s="3" t="s">
        <v>12</v>
      </c>
      <c r="E12" s="3" t="s">
        <v>434</v>
      </c>
      <c r="F12" s="3">
        <v>2</v>
      </c>
      <c r="G12" s="3">
        <f t="shared" si="1"/>
        <v>1800</v>
      </c>
    </row>
    <row r="13" spans="1:7" x14ac:dyDescent="0.2">
      <c r="A13" s="3">
        <f t="shared" si="0"/>
        <v>109</v>
      </c>
      <c r="B13" s="3">
        <v>1</v>
      </c>
      <c r="C13" s="3">
        <v>9</v>
      </c>
      <c r="D13" s="3" t="s">
        <v>13</v>
      </c>
      <c r="E13" s="3" t="s">
        <v>434</v>
      </c>
      <c r="F13" s="3">
        <v>2</v>
      </c>
      <c r="G13" s="3">
        <f t="shared" si="1"/>
        <v>1900</v>
      </c>
    </row>
    <row r="14" spans="1:7" x14ac:dyDescent="0.2">
      <c r="A14" s="3">
        <f t="shared" si="0"/>
        <v>110</v>
      </c>
      <c r="B14" s="3">
        <v>1</v>
      </c>
      <c r="C14" s="3">
        <v>10</v>
      </c>
      <c r="D14" s="3" t="s">
        <v>14</v>
      </c>
      <c r="E14" s="3" t="s">
        <v>434</v>
      </c>
      <c r="F14" s="3">
        <v>2</v>
      </c>
      <c r="G14" s="3">
        <f t="shared" si="1"/>
        <v>2000</v>
      </c>
    </row>
    <row r="15" spans="1:7" x14ac:dyDescent="0.2">
      <c r="A15" s="3">
        <f t="shared" si="0"/>
        <v>111</v>
      </c>
      <c r="B15" s="3">
        <v>1</v>
      </c>
      <c r="C15" s="3">
        <v>11</v>
      </c>
      <c r="D15" s="3" t="s">
        <v>15</v>
      </c>
      <c r="E15" s="3" t="s">
        <v>434</v>
      </c>
      <c r="F15" s="3">
        <v>2</v>
      </c>
      <c r="G15" s="3">
        <f t="shared" si="1"/>
        <v>2100</v>
      </c>
    </row>
    <row r="16" spans="1:7" x14ac:dyDescent="0.2">
      <c r="A16" s="3">
        <f t="shared" si="0"/>
        <v>112</v>
      </c>
      <c r="B16" s="3">
        <v>1</v>
      </c>
      <c r="C16" s="3">
        <v>12</v>
      </c>
      <c r="D16" s="3" t="s">
        <v>16</v>
      </c>
      <c r="E16" s="3" t="s">
        <v>434</v>
      </c>
      <c r="F16" s="3">
        <v>2</v>
      </c>
      <c r="G16" s="3">
        <f t="shared" si="1"/>
        <v>2200</v>
      </c>
    </row>
    <row r="17" spans="1:7" x14ac:dyDescent="0.2">
      <c r="A17" s="3">
        <f t="shared" si="0"/>
        <v>113</v>
      </c>
      <c r="B17" s="3">
        <v>1</v>
      </c>
      <c r="C17" s="3">
        <v>13</v>
      </c>
      <c r="D17" s="3" t="s">
        <v>17</v>
      </c>
      <c r="E17" s="3" t="s">
        <v>434</v>
      </c>
      <c r="F17" s="3">
        <v>2</v>
      </c>
      <c r="G17" s="3">
        <f t="shared" si="1"/>
        <v>2300</v>
      </c>
    </row>
    <row r="18" spans="1:7" x14ac:dyDescent="0.2">
      <c r="A18" s="3">
        <f t="shared" si="0"/>
        <v>114</v>
      </c>
      <c r="B18" s="3">
        <v>1</v>
      </c>
      <c r="C18" s="3">
        <v>14</v>
      </c>
      <c r="D18" s="3" t="s">
        <v>18</v>
      </c>
      <c r="E18" s="3" t="s">
        <v>434</v>
      </c>
      <c r="F18" s="3">
        <v>2</v>
      </c>
      <c r="G18" s="3">
        <f t="shared" si="1"/>
        <v>2400</v>
      </c>
    </row>
    <row r="19" spans="1:7" x14ac:dyDescent="0.2">
      <c r="A19" s="3">
        <f t="shared" si="0"/>
        <v>115</v>
      </c>
      <c r="B19" s="3">
        <v>1</v>
      </c>
      <c r="C19" s="3">
        <v>15</v>
      </c>
      <c r="D19" s="3" t="s">
        <v>19</v>
      </c>
      <c r="E19" s="3" t="s">
        <v>434</v>
      </c>
      <c r="F19" s="3">
        <v>2</v>
      </c>
      <c r="G19" s="3">
        <f t="shared" si="1"/>
        <v>2500</v>
      </c>
    </row>
    <row r="20" spans="1:7" x14ac:dyDescent="0.2">
      <c r="A20" s="3">
        <f t="shared" si="0"/>
        <v>116</v>
      </c>
      <c r="B20" s="3">
        <v>1</v>
      </c>
      <c r="C20" s="3">
        <v>16</v>
      </c>
      <c r="D20" s="3" t="s">
        <v>20</v>
      </c>
      <c r="E20" s="3" t="s">
        <v>434</v>
      </c>
      <c r="F20" s="3">
        <v>2</v>
      </c>
      <c r="G20" s="3">
        <f t="shared" si="1"/>
        <v>2600</v>
      </c>
    </row>
    <row r="21" spans="1:7" x14ac:dyDescent="0.2">
      <c r="A21" s="3">
        <f t="shared" si="0"/>
        <v>117</v>
      </c>
      <c r="B21" s="3">
        <v>1</v>
      </c>
      <c r="C21" s="3">
        <v>17</v>
      </c>
      <c r="D21" s="3" t="s">
        <v>21</v>
      </c>
      <c r="E21" s="3" t="s">
        <v>434</v>
      </c>
      <c r="F21" s="3">
        <v>2</v>
      </c>
      <c r="G21" s="3">
        <f t="shared" si="1"/>
        <v>2700</v>
      </c>
    </row>
    <row r="22" spans="1:7" x14ac:dyDescent="0.2">
      <c r="A22" s="3">
        <f t="shared" si="0"/>
        <v>118</v>
      </c>
      <c r="B22" s="3">
        <v>1</v>
      </c>
      <c r="C22" s="3">
        <v>18</v>
      </c>
      <c r="D22" s="3" t="s">
        <v>22</v>
      </c>
      <c r="E22" s="3" t="s">
        <v>434</v>
      </c>
      <c r="F22" s="3">
        <v>2</v>
      </c>
      <c r="G22" s="3">
        <f t="shared" si="1"/>
        <v>2800</v>
      </c>
    </row>
    <row r="23" spans="1:7" x14ac:dyDescent="0.2">
      <c r="A23" s="3">
        <f t="shared" si="0"/>
        <v>200</v>
      </c>
      <c r="B23" s="3">
        <v>2</v>
      </c>
      <c r="C23" s="3">
        <v>0</v>
      </c>
      <c r="D23" s="3" t="s">
        <v>31</v>
      </c>
      <c r="E23" s="3" t="s">
        <v>434</v>
      </c>
      <c r="F23" s="3">
        <v>2</v>
      </c>
      <c r="G23" s="3">
        <v>2000</v>
      </c>
    </row>
    <row r="24" spans="1:7" x14ac:dyDescent="0.2">
      <c r="A24" s="3">
        <f t="shared" si="0"/>
        <v>201</v>
      </c>
      <c r="B24" s="3">
        <v>2</v>
      </c>
      <c r="C24" s="3">
        <v>1</v>
      </c>
      <c r="D24" s="3" t="s">
        <v>5</v>
      </c>
      <c r="E24" s="3" t="s">
        <v>434</v>
      </c>
      <c r="F24" s="3">
        <v>2</v>
      </c>
      <c r="G24" s="3">
        <f>G23+200</f>
        <v>2200</v>
      </c>
    </row>
    <row r="25" spans="1:7" x14ac:dyDescent="0.2">
      <c r="A25" s="3">
        <f t="shared" si="0"/>
        <v>202</v>
      </c>
      <c r="B25" s="3">
        <v>2</v>
      </c>
      <c r="C25" s="3">
        <v>2</v>
      </c>
      <c r="D25" s="3" t="s">
        <v>6</v>
      </c>
      <c r="E25" s="3" t="s">
        <v>434</v>
      </c>
      <c r="F25" s="3">
        <v>2</v>
      </c>
      <c r="G25" s="3">
        <f t="shared" ref="G25:G41" si="2">G24+200</f>
        <v>2400</v>
      </c>
    </row>
    <row r="26" spans="1:7" x14ac:dyDescent="0.2">
      <c r="A26" s="3">
        <f t="shared" si="0"/>
        <v>203</v>
      </c>
      <c r="B26" s="3">
        <v>2</v>
      </c>
      <c r="C26" s="3">
        <v>3</v>
      </c>
      <c r="D26" s="3" t="s">
        <v>7</v>
      </c>
      <c r="E26" s="3" t="s">
        <v>434</v>
      </c>
      <c r="F26" s="3">
        <v>2</v>
      </c>
      <c r="G26" s="3">
        <f t="shared" si="2"/>
        <v>2600</v>
      </c>
    </row>
    <row r="27" spans="1:7" x14ac:dyDescent="0.2">
      <c r="A27" s="3">
        <f t="shared" si="0"/>
        <v>204</v>
      </c>
      <c r="B27" s="3">
        <v>2</v>
      </c>
      <c r="C27" s="3">
        <v>4</v>
      </c>
      <c r="D27" s="3" t="s">
        <v>8</v>
      </c>
      <c r="E27" s="3" t="s">
        <v>434</v>
      </c>
      <c r="F27" s="3">
        <v>2</v>
      </c>
      <c r="G27" s="3">
        <f t="shared" si="2"/>
        <v>2800</v>
      </c>
    </row>
    <row r="28" spans="1:7" x14ac:dyDescent="0.2">
      <c r="A28" s="3">
        <f t="shared" si="0"/>
        <v>205</v>
      </c>
      <c r="B28" s="3">
        <v>2</v>
      </c>
      <c r="C28" s="3">
        <v>5</v>
      </c>
      <c r="D28" s="3" t="s">
        <v>9</v>
      </c>
      <c r="E28" s="3" t="s">
        <v>434</v>
      </c>
      <c r="F28" s="3">
        <v>2</v>
      </c>
      <c r="G28" s="3">
        <f t="shared" si="2"/>
        <v>3000</v>
      </c>
    </row>
    <row r="29" spans="1:7" x14ac:dyDescent="0.2">
      <c r="A29" s="3">
        <f t="shared" si="0"/>
        <v>206</v>
      </c>
      <c r="B29" s="3">
        <v>2</v>
      </c>
      <c r="C29" s="3">
        <v>6</v>
      </c>
      <c r="D29" s="3" t="s">
        <v>10</v>
      </c>
      <c r="E29" s="3" t="s">
        <v>434</v>
      </c>
      <c r="F29" s="3">
        <v>2</v>
      </c>
      <c r="G29" s="3">
        <f t="shared" si="2"/>
        <v>3200</v>
      </c>
    </row>
    <row r="30" spans="1:7" x14ac:dyDescent="0.2">
      <c r="A30" s="3">
        <f t="shared" si="0"/>
        <v>207</v>
      </c>
      <c r="B30" s="3">
        <v>2</v>
      </c>
      <c r="C30" s="3">
        <v>7</v>
      </c>
      <c r="D30" s="3" t="s">
        <v>11</v>
      </c>
      <c r="E30" s="3" t="s">
        <v>434</v>
      </c>
      <c r="F30" s="3">
        <v>2</v>
      </c>
      <c r="G30" s="3">
        <f t="shared" si="2"/>
        <v>3400</v>
      </c>
    </row>
    <row r="31" spans="1:7" x14ac:dyDescent="0.2">
      <c r="A31" s="3">
        <f t="shared" si="0"/>
        <v>208</v>
      </c>
      <c r="B31" s="3">
        <v>2</v>
      </c>
      <c r="C31" s="3">
        <v>8</v>
      </c>
      <c r="D31" s="3" t="s">
        <v>12</v>
      </c>
      <c r="E31" s="3" t="s">
        <v>434</v>
      </c>
      <c r="F31" s="3">
        <v>2</v>
      </c>
      <c r="G31" s="3">
        <f t="shared" si="2"/>
        <v>3600</v>
      </c>
    </row>
    <row r="32" spans="1:7" x14ac:dyDescent="0.2">
      <c r="A32" s="3">
        <f t="shared" si="0"/>
        <v>209</v>
      </c>
      <c r="B32" s="3">
        <v>2</v>
      </c>
      <c r="C32" s="3">
        <v>9</v>
      </c>
      <c r="D32" s="3" t="s">
        <v>13</v>
      </c>
      <c r="E32" s="3" t="s">
        <v>434</v>
      </c>
      <c r="F32" s="3">
        <v>2</v>
      </c>
      <c r="G32" s="3">
        <f t="shared" si="2"/>
        <v>3800</v>
      </c>
    </row>
    <row r="33" spans="1:7" x14ac:dyDescent="0.2">
      <c r="A33" s="3">
        <f t="shared" si="0"/>
        <v>210</v>
      </c>
      <c r="B33" s="3">
        <v>2</v>
      </c>
      <c r="C33" s="3">
        <v>10</v>
      </c>
      <c r="D33" s="3" t="s">
        <v>14</v>
      </c>
      <c r="E33" s="3" t="s">
        <v>434</v>
      </c>
      <c r="F33" s="3">
        <v>2</v>
      </c>
      <c r="G33" s="3">
        <f t="shared" si="2"/>
        <v>4000</v>
      </c>
    </row>
    <row r="34" spans="1:7" x14ac:dyDescent="0.2">
      <c r="A34" s="3">
        <f t="shared" si="0"/>
        <v>211</v>
      </c>
      <c r="B34" s="3">
        <v>2</v>
      </c>
      <c r="C34" s="3">
        <v>11</v>
      </c>
      <c r="D34" s="3" t="s">
        <v>15</v>
      </c>
      <c r="E34" s="3" t="s">
        <v>434</v>
      </c>
      <c r="F34" s="3">
        <v>2</v>
      </c>
      <c r="G34" s="3">
        <f t="shared" si="2"/>
        <v>4200</v>
      </c>
    </row>
    <row r="35" spans="1:7" x14ac:dyDescent="0.2">
      <c r="A35" s="3">
        <f t="shared" si="0"/>
        <v>212</v>
      </c>
      <c r="B35" s="3">
        <v>2</v>
      </c>
      <c r="C35" s="3">
        <v>12</v>
      </c>
      <c r="D35" s="3" t="s">
        <v>16</v>
      </c>
      <c r="E35" s="3" t="s">
        <v>434</v>
      </c>
      <c r="F35" s="3">
        <v>2</v>
      </c>
      <c r="G35" s="3">
        <f t="shared" si="2"/>
        <v>4400</v>
      </c>
    </row>
    <row r="36" spans="1:7" x14ac:dyDescent="0.2">
      <c r="A36" s="3">
        <f t="shared" si="0"/>
        <v>213</v>
      </c>
      <c r="B36" s="3">
        <v>2</v>
      </c>
      <c r="C36" s="3">
        <v>13</v>
      </c>
      <c r="D36" s="3" t="s">
        <v>17</v>
      </c>
      <c r="E36" s="3" t="s">
        <v>434</v>
      </c>
      <c r="F36" s="3">
        <v>2</v>
      </c>
      <c r="G36" s="3">
        <f t="shared" si="2"/>
        <v>4600</v>
      </c>
    </row>
    <row r="37" spans="1:7" x14ac:dyDescent="0.2">
      <c r="A37" s="3">
        <f t="shared" si="0"/>
        <v>214</v>
      </c>
      <c r="B37" s="3">
        <v>2</v>
      </c>
      <c r="C37" s="3">
        <v>14</v>
      </c>
      <c r="D37" s="3" t="s">
        <v>18</v>
      </c>
      <c r="E37" s="3" t="s">
        <v>434</v>
      </c>
      <c r="F37" s="3">
        <v>2</v>
      </c>
      <c r="G37" s="3">
        <f t="shared" si="2"/>
        <v>4800</v>
      </c>
    </row>
    <row r="38" spans="1:7" x14ac:dyDescent="0.2">
      <c r="A38" s="3">
        <f t="shared" si="0"/>
        <v>215</v>
      </c>
      <c r="B38" s="3">
        <v>2</v>
      </c>
      <c r="C38" s="3">
        <v>15</v>
      </c>
      <c r="D38" s="3" t="s">
        <v>19</v>
      </c>
      <c r="E38" s="3" t="s">
        <v>434</v>
      </c>
      <c r="F38" s="3">
        <v>2</v>
      </c>
      <c r="G38" s="3">
        <f t="shared" si="2"/>
        <v>5000</v>
      </c>
    </row>
    <row r="39" spans="1:7" x14ac:dyDescent="0.2">
      <c r="A39" s="3">
        <f t="shared" si="0"/>
        <v>216</v>
      </c>
      <c r="B39" s="3">
        <v>2</v>
      </c>
      <c r="C39" s="3">
        <v>16</v>
      </c>
      <c r="D39" s="3" t="s">
        <v>20</v>
      </c>
      <c r="E39" s="3" t="s">
        <v>434</v>
      </c>
      <c r="F39" s="3">
        <v>2</v>
      </c>
      <c r="G39" s="3">
        <f t="shared" si="2"/>
        <v>5200</v>
      </c>
    </row>
    <row r="40" spans="1:7" x14ac:dyDescent="0.2">
      <c r="A40" s="3">
        <f t="shared" si="0"/>
        <v>217</v>
      </c>
      <c r="B40" s="3">
        <v>2</v>
      </c>
      <c r="C40" s="3">
        <v>17</v>
      </c>
      <c r="D40" s="3" t="s">
        <v>21</v>
      </c>
      <c r="E40" s="3" t="s">
        <v>434</v>
      </c>
      <c r="F40" s="3">
        <v>2</v>
      </c>
      <c r="G40" s="3">
        <f t="shared" si="2"/>
        <v>5400</v>
      </c>
    </row>
    <row r="41" spans="1:7" x14ac:dyDescent="0.2">
      <c r="A41" s="3">
        <f t="shared" si="0"/>
        <v>218</v>
      </c>
      <c r="B41" s="3">
        <v>2</v>
      </c>
      <c r="C41" s="3">
        <v>18</v>
      </c>
      <c r="D41" s="3" t="s">
        <v>22</v>
      </c>
      <c r="E41" s="3" t="s">
        <v>434</v>
      </c>
      <c r="F41" s="3">
        <v>2</v>
      </c>
      <c r="G41" s="3">
        <f t="shared" si="2"/>
        <v>5600</v>
      </c>
    </row>
    <row r="42" spans="1:7" x14ac:dyDescent="0.2">
      <c r="A42" s="3">
        <f t="shared" si="0"/>
        <v>300</v>
      </c>
      <c r="B42" s="3">
        <v>3</v>
      </c>
      <c r="C42" s="3">
        <v>0</v>
      </c>
      <c r="D42" s="3" t="s">
        <v>31</v>
      </c>
      <c r="E42" s="3" t="s">
        <v>434</v>
      </c>
      <c r="F42" s="3">
        <v>2</v>
      </c>
      <c r="G42" s="3">
        <v>3000</v>
      </c>
    </row>
    <row r="43" spans="1:7" x14ac:dyDescent="0.2">
      <c r="A43" s="3">
        <f t="shared" si="0"/>
        <v>301</v>
      </c>
      <c r="B43" s="3">
        <v>3</v>
      </c>
      <c r="C43" s="3">
        <v>1</v>
      </c>
      <c r="D43" s="3" t="s">
        <v>5</v>
      </c>
      <c r="E43" s="3" t="s">
        <v>434</v>
      </c>
      <c r="F43" s="3">
        <v>2</v>
      </c>
      <c r="G43" s="3">
        <f>G42+300</f>
        <v>3300</v>
      </c>
    </row>
    <row r="44" spans="1:7" x14ac:dyDescent="0.2">
      <c r="A44" s="3">
        <f t="shared" si="0"/>
        <v>302</v>
      </c>
      <c r="B44" s="3">
        <v>3</v>
      </c>
      <c r="C44" s="3">
        <v>2</v>
      </c>
      <c r="D44" s="3" t="s">
        <v>6</v>
      </c>
      <c r="E44" s="3" t="s">
        <v>434</v>
      </c>
      <c r="F44" s="3">
        <v>2</v>
      </c>
      <c r="G44" s="3">
        <f t="shared" ref="G44:G60" si="3">G43+300</f>
        <v>3600</v>
      </c>
    </row>
    <row r="45" spans="1:7" x14ac:dyDescent="0.2">
      <c r="A45" s="3">
        <f t="shared" si="0"/>
        <v>303</v>
      </c>
      <c r="B45" s="3">
        <v>3</v>
      </c>
      <c r="C45" s="3">
        <v>3</v>
      </c>
      <c r="D45" s="3" t="s">
        <v>7</v>
      </c>
      <c r="E45" s="3" t="s">
        <v>434</v>
      </c>
      <c r="F45" s="3">
        <v>2</v>
      </c>
      <c r="G45" s="3">
        <f t="shared" si="3"/>
        <v>3900</v>
      </c>
    </row>
    <row r="46" spans="1:7" x14ac:dyDescent="0.2">
      <c r="A46" s="3">
        <f t="shared" si="0"/>
        <v>304</v>
      </c>
      <c r="B46" s="3">
        <v>3</v>
      </c>
      <c r="C46" s="3">
        <v>4</v>
      </c>
      <c r="D46" s="3" t="s">
        <v>8</v>
      </c>
      <c r="E46" s="3" t="s">
        <v>434</v>
      </c>
      <c r="F46" s="3">
        <v>2</v>
      </c>
      <c r="G46" s="3">
        <f t="shared" si="3"/>
        <v>4200</v>
      </c>
    </row>
    <row r="47" spans="1:7" x14ac:dyDescent="0.2">
      <c r="A47" s="3">
        <f t="shared" si="0"/>
        <v>305</v>
      </c>
      <c r="B47" s="3">
        <v>3</v>
      </c>
      <c r="C47" s="3">
        <v>5</v>
      </c>
      <c r="D47" s="3" t="s">
        <v>9</v>
      </c>
      <c r="E47" s="3" t="s">
        <v>434</v>
      </c>
      <c r="F47" s="3">
        <v>2</v>
      </c>
      <c r="G47" s="3">
        <f t="shared" si="3"/>
        <v>4500</v>
      </c>
    </row>
    <row r="48" spans="1:7" x14ac:dyDescent="0.2">
      <c r="A48" s="3">
        <f t="shared" si="0"/>
        <v>306</v>
      </c>
      <c r="B48" s="3">
        <v>3</v>
      </c>
      <c r="C48" s="3">
        <v>6</v>
      </c>
      <c r="D48" s="3" t="s">
        <v>10</v>
      </c>
      <c r="E48" s="3" t="s">
        <v>434</v>
      </c>
      <c r="F48" s="3">
        <v>2</v>
      </c>
      <c r="G48" s="3">
        <f t="shared" si="3"/>
        <v>4800</v>
      </c>
    </row>
    <row r="49" spans="1:7" x14ac:dyDescent="0.2">
      <c r="A49" s="3">
        <f t="shared" si="0"/>
        <v>307</v>
      </c>
      <c r="B49" s="3">
        <v>3</v>
      </c>
      <c r="C49" s="3">
        <v>7</v>
      </c>
      <c r="D49" s="3" t="s">
        <v>11</v>
      </c>
      <c r="E49" s="3" t="s">
        <v>434</v>
      </c>
      <c r="F49" s="3">
        <v>2</v>
      </c>
      <c r="G49" s="3">
        <f t="shared" si="3"/>
        <v>5100</v>
      </c>
    </row>
    <row r="50" spans="1:7" x14ac:dyDescent="0.2">
      <c r="A50" s="3">
        <f t="shared" si="0"/>
        <v>308</v>
      </c>
      <c r="B50" s="3">
        <v>3</v>
      </c>
      <c r="C50" s="3">
        <v>8</v>
      </c>
      <c r="D50" s="3" t="s">
        <v>12</v>
      </c>
      <c r="E50" s="3" t="s">
        <v>434</v>
      </c>
      <c r="F50" s="3">
        <v>2</v>
      </c>
      <c r="G50" s="3">
        <f t="shared" si="3"/>
        <v>5400</v>
      </c>
    </row>
    <row r="51" spans="1:7" x14ac:dyDescent="0.2">
      <c r="A51" s="3">
        <f t="shared" si="0"/>
        <v>309</v>
      </c>
      <c r="B51" s="3">
        <v>3</v>
      </c>
      <c r="C51" s="3">
        <v>9</v>
      </c>
      <c r="D51" s="3" t="s">
        <v>13</v>
      </c>
      <c r="E51" s="3" t="s">
        <v>434</v>
      </c>
      <c r="F51" s="3">
        <v>2</v>
      </c>
      <c r="G51" s="3">
        <f t="shared" si="3"/>
        <v>5700</v>
      </c>
    </row>
    <row r="52" spans="1:7" x14ac:dyDescent="0.2">
      <c r="A52" s="3">
        <f t="shared" si="0"/>
        <v>310</v>
      </c>
      <c r="B52" s="3">
        <v>3</v>
      </c>
      <c r="C52" s="3">
        <v>10</v>
      </c>
      <c r="D52" s="3" t="s">
        <v>14</v>
      </c>
      <c r="E52" s="3" t="s">
        <v>434</v>
      </c>
      <c r="F52" s="3">
        <v>2</v>
      </c>
      <c r="G52" s="3">
        <f t="shared" si="3"/>
        <v>6000</v>
      </c>
    </row>
    <row r="53" spans="1:7" x14ac:dyDescent="0.2">
      <c r="A53" s="3">
        <f t="shared" si="0"/>
        <v>311</v>
      </c>
      <c r="B53" s="3">
        <v>3</v>
      </c>
      <c r="C53" s="3">
        <v>11</v>
      </c>
      <c r="D53" s="3" t="s">
        <v>15</v>
      </c>
      <c r="E53" s="3" t="s">
        <v>434</v>
      </c>
      <c r="F53" s="3">
        <v>2</v>
      </c>
      <c r="G53" s="3">
        <f t="shared" si="3"/>
        <v>6300</v>
      </c>
    </row>
    <row r="54" spans="1:7" x14ac:dyDescent="0.2">
      <c r="A54" s="3">
        <f t="shared" si="0"/>
        <v>312</v>
      </c>
      <c r="B54" s="3">
        <v>3</v>
      </c>
      <c r="C54" s="3">
        <v>12</v>
      </c>
      <c r="D54" s="3" t="s">
        <v>16</v>
      </c>
      <c r="E54" s="3" t="s">
        <v>434</v>
      </c>
      <c r="F54" s="3">
        <v>2</v>
      </c>
      <c r="G54" s="3">
        <f t="shared" si="3"/>
        <v>6600</v>
      </c>
    </row>
    <row r="55" spans="1:7" x14ac:dyDescent="0.2">
      <c r="A55" s="3">
        <f t="shared" si="0"/>
        <v>313</v>
      </c>
      <c r="B55" s="3">
        <v>3</v>
      </c>
      <c r="C55" s="3">
        <v>13</v>
      </c>
      <c r="D55" s="3" t="s">
        <v>17</v>
      </c>
      <c r="E55" s="3" t="s">
        <v>434</v>
      </c>
      <c r="F55" s="3">
        <v>2</v>
      </c>
      <c r="G55" s="3">
        <f t="shared" si="3"/>
        <v>6900</v>
      </c>
    </row>
    <row r="56" spans="1:7" x14ac:dyDescent="0.2">
      <c r="A56" s="3">
        <f t="shared" si="0"/>
        <v>314</v>
      </c>
      <c r="B56" s="3">
        <v>3</v>
      </c>
      <c r="C56" s="3">
        <v>14</v>
      </c>
      <c r="D56" s="3" t="s">
        <v>18</v>
      </c>
      <c r="E56" s="3" t="s">
        <v>434</v>
      </c>
      <c r="F56" s="3">
        <v>2</v>
      </c>
      <c r="G56" s="3">
        <f t="shared" si="3"/>
        <v>7200</v>
      </c>
    </row>
    <row r="57" spans="1:7" x14ac:dyDescent="0.2">
      <c r="A57" s="3">
        <f t="shared" si="0"/>
        <v>315</v>
      </c>
      <c r="B57" s="3">
        <v>3</v>
      </c>
      <c r="C57" s="3">
        <v>15</v>
      </c>
      <c r="D57" s="3" t="s">
        <v>19</v>
      </c>
      <c r="E57" s="3" t="s">
        <v>434</v>
      </c>
      <c r="F57" s="3">
        <v>2</v>
      </c>
      <c r="G57" s="3">
        <f t="shared" si="3"/>
        <v>7500</v>
      </c>
    </row>
    <row r="58" spans="1:7" x14ac:dyDescent="0.2">
      <c r="A58" s="3">
        <f t="shared" si="0"/>
        <v>316</v>
      </c>
      <c r="B58" s="3">
        <v>3</v>
      </c>
      <c r="C58" s="3">
        <v>16</v>
      </c>
      <c r="D58" s="3" t="s">
        <v>20</v>
      </c>
      <c r="E58" s="3" t="s">
        <v>434</v>
      </c>
      <c r="F58" s="3">
        <v>2</v>
      </c>
      <c r="G58" s="3">
        <f t="shared" si="3"/>
        <v>7800</v>
      </c>
    </row>
    <row r="59" spans="1:7" x14ac:dyDescent="0.2">
      <c r="A59" s="3">
        <f t="shared" si="0"/>
        <v>317</v>
      </c>
      <c r="B59" s="3">
        <v>3</v>
      </c>
      <c r="C59" s="3">
        <v>17</v>
      </c>
      <c r="D59" s="3" t="s">
        <v>21</v>
      </c>
      <c r="E59" s="3" t="s">
        <v>434</v>
      </c>
      <c r="F59" s="3">
        <v>2</v>
      </c>
      <c r="G59" s="3">
        <f t="shared" si="3"/>
        <v>8100</v>
      </c>
    </row>
    <row r="60" spans="1:7" x14ac:dyDescent="0.2">
      <c r="A60" s="3">
        <f t="shared" si="0"/>
        <v>318</v>
      </c>
      <c r="B60" s="3">
        <v>3</v>
      </c>
      <c r="C60" s="3">
        <v>18</v>
      </c>
      <c r="D60" s="3" t="s">
        <v>22</v>
      </c>
      <c r="E60" s="3" t="s">
        <v>434</v>
      </c>
      <c r="F60" s="3">
        <v>2</v>
      </c>
      <c r="G60" s="3">
        <f t="shared" si="3"/>
        <v>8400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F41A-0851-492B-8293-49CE2BCDC6E2}">
  <dimension ref="A1:V81"/>
  <sheetViews>
    <sheetView topLeftCell="H1" workbookViewId="0">
      <selection activeCell="H34" sqref="H34"/>
    </sheetView>
  </sheetViews>
  <sheetFormatPr defaultRowHeight="16.5" x14ac:dyDescent="0.3"/>
  <cols>
    <col min="2" max="2" width="17.75" bestFit="1" customWidth="1"/>
    <col min="13" max="13" width="9.5" bestFit="1" customWidth="1"/>
    <col min="21" max="21" width="13" bestFit="1" customWidth="1"/>
  </cols>
  <sheetData>
    <row r="1" spans="1:22" x14ac:dyDescent="0.3">
      <c r="T1">
        <v>1</v>
      </c>
      <c r="U1" t="s">
        <v>76</v>
      </c>
      <c r="V1">
        <v>7000101</v>
      </c>
    </row>
    <row r="2" spans="1:22" x14ac:dyDescent="0.3">
      <c r="I2">
        <v>0</v>
      </c>
      <c r="J2" t="s">
        <v>59</v>
      </c>
      <c r="M2">
        <v>10000001</v>
      </c>
      <c r="N2" t="s">
        <v>179</v>
      </c>
      <c r="P2" t="s">
        <v>225</v>
      </c>
      <c r="Q2">
        <v>1</v>
      </c>
      <c r="R2" t="s">
        <v>226</v>
      </c>
      <c r="S2">
        <v>1</v>
      </c>
      <c r="T2">
        <v>2</v>
      </c>
      <c r="U2" t="s">
        <v>77</v>
      </c>
      <c r="V2">
        <v>7000102</v>
      </c>
    </row>
    <row r="3" spans="1:22" x14ac:dyDescent="0.3">
      <c r="I3">
        <v>1</v>
      </c>
      <c r="J3" t="s">
        <v>60</v>
      </c>
      <c r="M3">
        <v>10000002</v>
      </c>
      <c r="N3" t="s">
        <v>180</v>
      </c>
      <c r="P3" t="s">
        <v>227</v>
      </c>
      <c r="Q3">
        <v>2</v>
      </c>
      <c r="R3" t="s">
        <v>228</v>
      </c>
      <c r="S3">
        <v>2</v>
      </c>
      <c r="T3">
        <v>3</v>
      </c>
      <c r="U3" t="s">
        <v>78</v>
      </c>
      <c r="V3">
        <v>7000103</v>
      </c>
    </row>
    <row r="4" spans="1:22" x14ac:dyDescent="0.3">
      <c r="A4">
        <v>1</v>
      </c>
      <c r="B4" t="s">
        <v>208</v>
      </c>
      <c r="C4">
        <v>50</v>
      </c>
      <c r="D4" s="5">
        <f>C4/SUM($C$4:$C$13)</f>
        <v>0.25641025641025639</v>
      </c>
      <c r="I4">
        <v>2</v>
      </c>
      <c r="J4" t="s">
        <v>61</v>
      </c>
      <c r="M4">
        <v>10000003</v>
      </c>
      <c r="N4" t="s">
        <v>181</v>
      </c>
      <c r="P4" t="s">
        <v>229</v>
      </c>
      <c r="Q4">
        <v>3</v>
      </c>
      <c r="R4" t="s">
        <v>51</v>
      </c>
      <c r="S4">
        <v>3</v>
      </c>
      <c r="T4">
        <v>4</v>
      </c>
      <c r="U4" t="s">
        <v>79</v>
      </c>
      <c r="V4">
        <v>7000104</v>
      </c>
    </row>
    <row r="5" spans="1:22" x14ac:dyDescent="0.3">
      <c r="A5">
        <v>2</v>
      </c>
      <c r="B5" t="s">
        <v>209</v>
      </c>
      <c r="C5">
        <v>45</v>
      </c>
      <c r="D5" s="5">
        <f t="shared" ref="D5:D9" si="0">C5/SUM($C$4:$C$13)</f>
        <v>0.23076923076923078</v>
      </c>
      <c r="I5">
        <v>3</v>
      </c>
      <c r="J5" t="s">
        <v>62</v>
      </c>
      <c r="M5">
        <v>10000004</v>
      </c>
      <c r="N5" t="s">
        <v>182</v>
      </c>
      <c r="P5" t="s">
        <v>230</v>
      </c>
      <c r="Q5">
        <v>4</v>
      </c>
      <c r="R5" t="s">
        <v>52</v>
      </c>
      <c r="S5">
        <v>4</v>
      </c>
      <c r="T5">
        <v>5</v>
      </c>
      <c r="U5" t="s">
        <v>80</v>
      </c>
      <c r="V5">
        <v>7000105</v>
      </c>
    </row>
    <row r="6" spans="1:22" x14ac:dyDescent="0.3">
      <c r="A6">
        <v>3</v>
      </c>
      <c r="B6" t="s">
        <v>210</v>
      </c>
      <c r="C6">
        <v>40</v>
      </c>
      <c r="D6" s="5">
        <f t="shared" si="0"/>
        <v>0.20512820512820512</v>
      </c>
      <c r="I6">
        <v>4</v>
      </c>
      <c r="J6" t="s">
        <v>63</v>
      </c>
      <c r="M6">
        <v>10000005</v>
      </c>
      <c r="N6" t="s">
        <v>183</v>
      </c>
      <c r="P6" t="s">
        <v>231</v>
      </c>
      <c r="Q6">
        <v>5</v>
      </c>
      <c r="R6" t="s">
        <v>232</v>
      </c>
      <c r="S6">
        <v>5</v>
      </c>
      <c r="T6">
        <v>6</v>
      </c>
      <c r="U6" t="s">
        <v>81</v>
      </c>
      <c r="V6">
        <v>7000106</v>
      </c>
    </row>
    <row r="7" spans="1:22" x14ac:dyDescent="0.3">
      <c r="A7">
        <v>4</v>
      </c>
      <c r="B7" t="s">
        <v>211</v>
      </c>
      <c r="C7">
        <v>30</v>
      </c>
      <c r="D7" s="5">
        <f t="shared" si="0"/>
        <v>0.15384615384615385</v>
      </c>
      <c r="I7">
        <v>5</v>
      </c>
      <c r="J7" t="s">
        <v>64</v>
      </c>
      <c r="M7">
        <v>10000006</v>
      </c>
      <c r="N7" t="s">
        <v>184</v>
      </c>
      <c r="T7">
        <v>7</v>
      </c>
      <c r="U7" t="s">
        <v>82</v>
      </c>
      <c r="V7">
        <v>7000107</v>
      </c>
    </row>
    <row r="8" spans="1:22" x14ac:dyDescent="0.3">
      <c r="A8">
        <v>5</v>
      </c>
      <c r="B8" t="s">
        <v>212</v>
      </c>
      <c r="C8">
        <v>20</v>
      </c>
      <c r="D8" s="5">
        <f t="shared" si="0"/>
        <v>0.10256410256410256</v>
      </c>
      <c r="I8">
        <v>6</v>
      </c>
      <c r="J8" t="s">
        <v>65</v>
      </c>
      <c r="M8">
        <v>10000007</v>
      </c>
      <c r="N8" t="s">
        <v>185</v>
      </c>
      <c r="T8">
        <v>8</v>
      </c>
      <c r="U8" t="s">
        <v>83</v>
      </c>
      <c r="V8">
        <v>7000108</v>
      </c>
    </row>
    <row r="9" spans="1:22" x14ac:dyDescent="0.3">
      <c r="A9">
        <v>6</v>
      </c>
      <c r="B9" t="s">
        <v>213</v>
      </c>
      <c r="C9">
        <v>10</v>
      </c>
      <c r="D9" s="5">
        <f t="shared" si="0"/>
        <v>5.128205128205128E-2</v>
      </c>
      <c r="M9">
        <v>10000008</v>
      </c>
      <c r="N9" t="s">
        <v>186</v>
      </c>
      <c r="T9">
        <v>9</v>
      </c>
      <c r="U9" t="s">
        <v>84</v>
      </c>
      <c r="V9">
        <v>7000109</v>
      </c>
    </row>
    <row r="10" spans="1:22" x14ac:dyDescent="0.3">
      <c r="A10">
        <v>7</v>
      </c>
      <c r="B10" t="s">
        <v>214</v>
      </c>
      <c r="M10">
        <v>10000009</v>
      </c>
      <c r="N10" t="s">
        <v>187</v>
      </c>
      <c r="T10">
        <v>10</v>
      </c>
      <c r="U10" t="s">
        <v>85</v>
      </c>
      <c r="V10">
        <v>7000110</v>
      </c>
    </row>
    <row r="11" spans="1:22" x14ac:dyDescent="0.3">
      <c r="A11">
        <v>8</v>
      </c>
      <c r="B11" t="s">
        <v>215</v>
      </c>
      <c r="M11">
        <v>10000010</v>
      </c>
      <c r="N11" t="s">
        <v>188</v>
      </c>
      <c r="T11">
        <v>11</v>
      </c>
      <c r="U11" t="s">
        <v>86</v>
      </c>
      <c r="V11">
        <v>7000111</v>
      </c>
    </row>
    <row r="12" spans="1:22" x14ac:dyDescent="0.3">
      <c r="A12">
        <v>9</v>
      </c>
      <c r="B12" t="s">
        <v>216</v>
      </c>
      <c r="M12">
        <v>10000011</v>
      </c>
      <c r="N12" t="s">
        <v>189</v>
      </c>
      <c r="T12">
        <v>12</v>
      </c>
      <c r="U12" t="s">
        <v>87</v>
      </c>
      <c r="V12">
        <v>7000112</v>
      </c>
    </row>
    <row r="13" spans="1:22" x14ac:dyDescent="0.3">
      <c r="A13">
        <v>10</v>
      </c>
      <c r="B13" t="s">
        <v>217</v>
      </c>
      <c r="M13">
        <v>10000012</v>
      </c>
      <c r="N13" t="s">
        <v>190</v>
      </c>
      <c r="T13">
        <v>13</v>
      </c>
      <c r="U13" t="s">
        <v>88</v>
      </c>
      <c r="V13">
        <v>7000113</v>
      </c>
    </row>
    <row r="14" spans="1:22" x14ac:dyDescent="0.3">
      <c r="M14">
        <f>M13+1</f>
        <v>10000013</v>
      </c>
      <c r="N14" t="s">
        <v>191</v>
      </c>
      <c r="T14">
        <v>14</v>
      </c>
      <c r="U14" t="s">
        <v>89</v>
      </c>
      <c r="V14">
        <v>7000114</v>
      </c>
    </row>
    <row r="15" spans="1:22" x14ac:dyDescent="0.3">
      <c r="M15">
        <f t="shared" ref="M15:M16" si="1">M14+1</f>
        <v>10000014</v>
      </c>
      <c r="N15" t="s">
        <v>192</v>
      </c>
      <c r="T15">
        <v>15</v>
      </c>
      <c r="U15" t="s">
        <v>90</v>
      </c>
      <c r="V15">
        <v>7000115</v>
      </c>
    </row>
    <row r="16" spans="1:22" x14ac:dyDescent="0.3">
      <c r="M16">
        <f t="shared" si="1"/>
        <v>10000015</v>
      </c>
      <c r="N16" t="s">
        <v>193</v>
      </c>
      <c r="T16">
        <v>16</v>
      </c>
      <c r="U16" t="s">
        <v>91</v>
      </c>
      <c r="V16">
        <v>7000116</v>
      </c>
    </row>
    <row r="17" spans="20:22" x14ac:dyDescent="0.3">
      <c r="T17">
        <v>17</v>
      </c>
      <c r="U17" t="s">
        <v>92</v>
      </c>
      <c r="V17">
        <v>7000117</v>
      </c>
    </row>
    <row r="18" spans="20:22" x14ac:dyDescent="0.3">
      <c r="T18">
        <v>18</v>
      </c>
      <c r="U18" t="s">
        <v>93</v>
      </c>
      <c r="V18">
        <v>7000118</v>
      </c>
    </row>
    <row r="19" spans="20:22" x14ac:dyDescent="0.3">
      <c r="T19">
        <v>19</v>
      </c>
      <c r="U19" t="s">
        <v>94</v>
      </c>
      <c r="V19">
        <v>7000201</v>
      </c>
    </row>
    <row r="20" spans="20:22" x14ac:dyDescent="0.3">
      <c r="T20">
        <v>20</v>
      </c>
      <c r="U20" t="s">
        <v>95</v>
      </c>
      <c r="V20">
        <v>7000202</v>
      </c>
    </row>
    <row r="21" spans="20:22" x14ac:dyDescent="0.3">
      <c r="T21">
        <v>21</v>
      </c>
      <c r="U21" t="s">
        <v>96</v>
      </c>
      <c r="V21">
        <v>7000203</v>
      </c>
    </row>
    <row r="22" spans="20:22" x14ac:dyDescent="0.3">
      <c r="T22">
        <v>22</v>
      </c>
      <c r="U22" t="s">
        <v>97</v>
      </c>
      <c r="V22">
        <v>7000204</v>
      </c>
    </row>
    <row r="23" spans="20:22" x14ac:dyDescent="0.3">
      <c r="T23">
        <v>23</v>
      </c>
      <c r="U23" t="s">
        <v>98</v>
      </c>
      <c r="V23">
        <v>7000205</v>
      </c>
    </row>
    <row r="24" spans="20:22" x14ac:dyDescent="0.3">
      <c r="T24">
        <v>24</v>
      </c>
      <c r="U24" t="s">
        <v>99</v>
      </c>
      <c r="V24">
        <v>7000206</v>
      </c>
    </row>
    <row r="25" spans="20:22" x14ac:dyDescent="0.3">
      <c r="T25">
        <v>25</v>
      </c>
      <c r="U25" t="s">
        <v>100</v>
      </c>
      <c r="V25">
        <v>7000207</v>
      </c>
    </row>
    <row r="26" spans="20:22" x14ac:dyDescent="0.3">
      <c r="T26">
        <v>26</v>
      </c>
      <c r="U26" t="s">
        <v>101</v>
      </c>
      <c r="V26">
        <v>7000208</v>
      </c>
    </row>
    <row r="27" spans="20:22" x14ac:dyDescent="0.3">
      <c r="T27">
        <v>27</v>
      </c>
      <c r="U27" t="s">
        <v>102</v>
      </c>
      <c r="V27">
        <v>7000209</v>
      </c>
    </row>
    <row r="28" spans="20:22" x14ac:dyDescent="0.3">
      <c r="T28">
        <v>28</v>
      </c>
      <c r="U28" t="s">
        <v>103</v>
      </c>
      <c r="V28">
        <v>7000210</v>
      </c>
    </row>
    <row r="29" spans="20:22" x14ac:dyDescent="0.3">
      <c r="T29">
        <v>29</v>
      </c>
      <c r="U29" t="s">
        <v>104</v>
      </c>
      <c r="V29">
        <v>7000211</v>
      </c>
    </row>
    <row r="30" spans="20:22" x14ac:dyDescent="0.3">
      <c r="T30">
        <v>30</v>
      </c>
      <c r="U30" t="s">
        <v>105</v>
      </c>
      <c r="V30">
        <v>7000212</v>
      </c>
    </row>
    <row r="31" spans="20:22" x14ac:dyDescent="0.3">
      <c r="T31">
        <v>31</v>
      </c>
      <c r="U31" t="s">
        <v>106</v>
      </c>
      <c r="V31">
        <v>7000213</v>
      </c>
    </row>
    <row r="32" spans="20:22" x14ac:dyDescent="0.3">
      <c r="T32">
        <v>32</v>
      </c>
      <c r="U32" t="s">
        <v>107</v>
      </c>
      <c r="V32">
        <v>7000214</v>
      </c>
    </row>
    <row r="33" spans="20:22" x14ac:dyDescent="0.3">
      <c r="T33">
        <v>33</v>
      </c>
      <c r="U33" t="s">
        <v>108</v>
      </c>
      <c r="V33">
        <v>7000215</v>
      </c>
    </row>
    <row r="34" spans="20:22" x14ac:dyDescent="0.3">
      <c r="T34">
        <v>34</v>
      </c>
      <c r="U34" t="s">
        <v>109</v>
      </c>
      <c r="V34">
        <v>7000216</v>
      </c>
    </row>
    <row r="35" spans="20:22" x14ac:dyDescent="0.3">
      <c r="T35">
        <v>35</v>
      </c>
      <c r="U35" t="s">
        <v>110</v>
      </c>
      <c r="V35">
        <v>7000217</v>
      </c>
    </row>
    <row r="36" spans="20:22" x14ac:dyDescent="0.3">
      <c r="T36">
        <v>36</v>
      </c>
      <c r="U36" t="s">
        <v>111</v>
      </c>
      <c r="V36">
        <v>7000218</v>
      </c>
    </row>
    <row r="37" spans="20:22" x14ac:dyDescent="0.3">
      <c r="T37">
        <v>37</v>
      </c>
      <c r="U37" t="s">
        <v>112</v>
      </c>
      <c r="V37">
        <v>7000219</v>
      </c>
    </row>
    <row r="38" spans="20:22" x14ac:dyDescent="0.3">
      <c r="T38">
        <v>38</v>
      </c>
      <c r="U38" t="s">
        <v>113</v>
      </c>
      <c r="V38">
        <v>7000220</v>
      </c>
    </row>
    <row r="39" spans="20:22" x14ac:dyDescent="0.3">
      <c r="T39">
        <v>39</v>
      </c>
      <c r="U39" t="s">
        <v>114</v>
      </c>
      <c r="V39">
        <v>7000301</v>
      </c>
    </row>
    <row r="40" spans="20:22" x14ac:dyDescent="0.3">
      <c r="T40">
        <v>40</v>
      </c>
      <c r="U40" t="s">
        <v>115</v>
      </c>
      <c r="V40">
        <v>7000302</v>
      </c>
    </row>
    <row r="41" spans="20:22" x14ac:dyDescent="0.3">
      <c r="T41">
        <v>41</v>
      </c>
      <c r="U41" t="s">
        <v>82</v>
      </c>
      <c r="V41">
        <v>7000303</v>
      </c>
    </row>
    <row r="42" spans="20:22" x14ac:dyDescent="0.3">
      <c r="T42">
        <v>42</v>
      </c>
      <c r="U42" t="s">
        <v>95</v>
      </c>
      <c r="V42">
        <v>7000304</v>
      </c>
    </row>
    <row r="43" spans="20:22" x14ac:dyDescent="0.3">
      <c r="T43">
        <v>43</v>
      </c>
      <c r="U43" t="s">
        <v>96</v>
      </c>
      <c r="V43">
        <v>7000305</v>
      </c>
    </row>
    <row r="44" spans="20:22" x14ac:dyDescent="0.3">
      <c r="T44">
        <v>44</v>
      </c>
      <c r="U44" t="s">
        <v>116</v>
      </c>
      <c r="V44">
        <v>7000306</v>
      </c>
    </row>
    <row r="45" spans="20:22" x14ac:dyDescent="0.3">
      <c r="T45">
        <v>45</v>
      </c>
      <c r="U45" t="s">
        <v>117</v>
      </c>
      <c r="V45">
        <v>7000307</v>
      </c>
    </row>
    <row r="46" spans="20:22" x14ac:dyDescent="0.3">
      <c r="T46">
        <v>46</v>
      </c>
      <c r="U46" t="s">
        <v>118</v>
      </c>
      <c r="V46">
        <v>7000308</v>
      </c>
    </row>
    <row r="47" spans="20:22" x14ac:dyDescent="0.3">
      <c r="T47">
        <v>47</v>
      </c>
      <c r="U47" t="s">
        <v>119</v>
      </c>
      <c r="V47">
        <v>7000309</v>
      </c>
    </row>
    <row r="48" spans="20:22" x14ac:dyDescent="0.3">
      <c r="T48">
        <v>48</v>
      </c>
      <c r="U48" t="s">
        <v>120</v>
      </c>
      <c r="V48">
        <v>7000401</v>
      </c>
    </row>
    <row r="49" spans="20:22" x14ac:dyDescent="0.3">
      <c r="T49">
        <v>49</v>
      </c>
      <c r="U49" t="s">
        <v>121</v>
      </c>
      <c r="V49">
        <v>7000402</v>
      </c>
    </row>
    <row r="50" spans="20:22" x14ac:dyDescent="0.3">
      <c r="T50">
        <v>50</v>
      </c>
      <c r="U50" t="s">
        <v>122</v>
      </c>
      <c r="V50">
        <v>7000403</v>
      </c>
    </row>
    <row r="51" spans="20:22" x14ac:dyDescent="0.3">
      <c r="T51">
        <v>51</v>
      </c>
      <c r="U51" t="s">
        <v>123</v>
      </c>
      <c r="V51">
        <v>7000404</v>
      </c>
    </row>
    <row r="52" spans="20:22" x14ac:dyDescent="0.3">
      <c r="T52">
        <v>52</v>
      </c>
      <c r="U52" t="s">
        <v>124</v>
      </c>
      <c r="V52">
        <v>7000405</v>
      </c>
    </row>
    <row r="53" spans="20:22" x14ac:dyDescent="0.3">
      <c r="T53">
        <v>53</v>
      </c>
      <c r="U53" t="s">
        <v>125</v>
      </c>
      <c r="V53">
        <v>7000501</v>
      </c>
    </row>
    <row r="54" spans="20:22" x14ac:dyDescent="0.3">
      <c r="T54">
        <v>54</v>
      </c>
      <c r="U54" t="s">
        <v>126</v>
      </c>
      <c r="V54">
        <v>7000502</v>
      </c>
    </row>
    <row r="55" spans="20:22" x14ac:dyDescent="0.3">
      <c r="T55">
        <v>55</v>
      </c>
      <c r="U55" t="s">
        <v>127</v>
      </c>
      <c r="V55">
        <v>7000503</v>
      </c>
    </row>
    <row r="56" spans="20:22" x14ac:dyDescent="0.3">
      <c r="T56">
        <v>56</v>
      </c>
      <c r="U56" t="s">
        <v>128</v>
      </c>
      <c r="V56">
        <v>7000504</v>
      </c>
    </row>
    <row r="57" spans="20:22" x14ac:dyDescent="0.3">
      <c r="T57">
        <v>57</v>
      </c>
      <c r="U57" t="s">
        <v>129</v>
      </c>
      <c r="V57">
        <v>7000505</v>
      </c>
    </row>
    <row r="58" spans="20:22" x14ac:dyDescent="0.3">
      <c r="T58">
        <v>58</v>
      </c>
      <c r="U58" t="s">
        <v>130</v>
      </c>
      <c r="V58">
        <v>7000506</v>
      </c>
    </row>
    <row r="59" spans="20:22" x14ac:dyDescent="0.3">
      <c r="T59">
        <v>59</v>
      </c>
      <c r="U59" t="s">
        <v>131</v>
      </c>
      <c r="V59">
        <v>7000507</v>
      </c>
    </row>
    <row r="60" spans="20:22" x14ac:dyDescent="0.3">
      <c r="T60">
        <v>60</v>
      </c>
      <c r="U60" t="s">
        <v>132</v>
      </c>
      <c r="V60">
        <v>7000508</v>
      </c>
    </row>
    <row r="61" spans="20:22" x14ac:dyDescent="0.3">
      <c r="T61">
        <v>61</v>
      </c>
      <c r="U61" t="s">
        <v>133</v>
      </c>
      <c r="V61">
        <v>7000509</v>
      </c>
    </row>
    <row r="62" spans="20:22" x14ac:dyDescent="0.3">
      <c r="T62">
        <v>62</v>
      </c>
      <c r="U62" t="s">
        <v>134</v>
      </c>
      <c r="V62">
        <v>7000510</v>
      </c>
    </row>
    <row r="63" spans="20:22" x14ac:dyDescent="0.3">
      <c r="T63">
        <v>63</v>
      </c>
      <c r="U63" t="s">
        <v>135</v>
      </c>
      <c r="V63">
        <v>7000511</v>
      </c>
    </row>
    <row r="64" spans="20:22" x14ac:dyDescent="0.3">
      <c r="T64">
        <v>64</v>
      </c>
      <c r="U64" t="s">
        <v>136</v>
      </c>
      <c r="V64">
        <v>7000512</v>
      </c>
    </row>
    <row r="65" spans="20:22" x14ac:dyDescent="0.3">
      <c r="T65">
        <v>65</v>
      </c>
      <c r="U65" t="s">
        <v>137</v>
      </c>
      <c r="V65">
        <v>7000513</v>
      </c>
    </row>
    <row r="66" spans="20:22" x14ac:dyDescent="0.3">
      <c r="T66">
        <v>66</v>
      </c>
      <c r="U66" t="s">
        <v>138</v>
      </c>
      <c r="V66">
        <v>7000514</v>
      </c>
    </row>
    <row r="67" spans="20:22" x14ac:dyDescent="0.3">
      <c r="T67">
        <v>67</v>
      </c>
      <c r="U67" t="s">
        <v>139</v>
      </c>
      <c r="V67">
        <v>7000601</v>
      </c>
    </row>
    <row r="68" spans="20:22" x14ac:dyDescent="0.3">
      <c r="T68">
        <v>68</v>
      </c>
      <c r="U68" t="s">
        <v>140</v>
      </c>
      <c r="V68">
        <v>7000602</v>
      </c>
    </row>
    <row r="69" spans="20:22" x14ac:dyDescent="0.3">
      <c r="T69">
        <v>69</v>
      </c>
      <c r="U69" t="s">
        <v>141</v>
      </c>
      <c r="V69">
        <v>7000603</v>
      </c>
    </row>
    <row r="70" spans="20:22" x14ac:dyDescent="0.3">
      <c r="T70">
        <v>70</v>
      </c>
      <c r="U70" t="s">
        <v>142</v>
      </c>
      <c r="V70">
        <v>7000604</v>
      </c>
    </row>
    <row r="71" spans="20:22" x14ac:dyDescent="0.3">
      <c r="T71">
        <v>71</v>
      </c>
      <c r="U71" t="s">
        <v>143</v>
      </c>
      <c r="V71">
        <v>7000605</v>
      </c>
    </row>
    <row r="72" spans="20:22" x14ac:dyDescent="0.3">
      <c r="T72">
        <v>72</v>
      </c>
      <c r="U72" t="s">
        <v>144</v>
      </c>
      <c r="V72">
        <v>7000606</v>
      </c>
    </row>
    <row r="73" spans="20:22" x14ac:dyDescent="0.3">
      <c r="T73">
        <v>73</v>
      </c>
      <c r="U73" t="s">
        <v>145</v>
      </c>
      <c r="V73">
        <v>7000607</v>
      </c>
    </row>
    <row r="74" spans="20:22" x14ac:dyDescent="0.3">
      <c r="T74">
        <v>74</v>
      </c>
      <c r="U74" t="s">
        <v>146</v>
      </c>
      <c r="V74">
        <v>7000701</v>
      </c>
    </row>
    <row r="75" spans="20:22" x14ac:dyDescent="0.3">
      <c r="T75">
        <v>75</v>
      </c>
      <c r="U75" t="s">
        <v>147</v>
      </c>
      <c r="V75">
        <v>7000702</v>
      </c>
    </row>
    <row r="76" spans="20:22" x14ac:dyDescent="0.3">
      <c r="T76">
        <v>76</v>
      </c>
      <c r="U76" t="s">
        <v>148</v>
      </c>
      <c r="V76">
        <v>7000703</v>
      </c>
    </row>
    <row r="77" spans="20:22" x14ac:dyDescent="0.3">
      <c r="T77">
        <v>77</v>
      </c>
      <c r="U77" t="s">
        <v>149</v>
      </c>
      <c r="V77">
        <v>7000704</v>
      </c>
    </row>
    <row r="78" spans="20:22" x14ac:dyDescent="0.3">
      <c r="T78">
        <v>78</v>
      </c>
      <c r="U78" t="s">
        <v>150</v>
      </c>
      <c r="V78">
        <v>7000705</v>
      </c>
    </row>
    <row r="79" spans="20:22" x14ac:dyDescent="0.3">
      <c r="T79">
        <v>79</v>
      </c>
      <c r="U79" t="s">
        <v>87</v>
      </c>
      <c r="V79">
        <v>7000706</v>
      </c>
    </row>
    <row r="80" spans="20:22" x14ac:dyDescent="0.3">
      <c r="T80">
        <v>80</v>
      </c>
      <c r="U80" t="s">
        <v>151</v>
      </c>
      <c r="V80">
        <v>7000707</v>
      </c>
    </row>
    <row r="81" spans="20:22" x14ac:dyDescent="0.3">
      <c r="T81">
        <v>81</v>
      </c>
      <c r="U81" t="s">
        <v>152</v>
      </c>
      <c r="V81">
        <v>7000708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EF8C-2ECA-4869-8637-E537CA26B67E}">
  <dimension ref="A1:C34"/>
  <sheetViews>
    <sheetView workbookViewId="0">
      <selection activeCell="F16" sqref="E16:F16"/>
    </sheetView>
  </sheetViews>
  <sheetFormatPr defaultRowHeight="16.5" x14ac:dyDescent="0.3"/>
  <sheetData>
    <row r="1" spans="1:3" x14ac:dyDescent="0.3">
      <c r="A1" s="20">
        <v>10000354</v>
      </c>
      <c r="B1" s="20" t="s">
        <v>310</v>
      </c>
      <c r="C1" t="s">
        <v>283</v>
      </c>
    </row>
    <row r="2" spans="1:3" x14ac:dyDescent="0.3">
      <c r="A2" s="20">
        <v>10000296</v>
      </c>
      <c r="B2" s="20" t="s">
        <v>311</v>
      </c>
      <c r="C2" t="s">
        <v>284</v>
      </c>
    </row>
    <row r="3" spans="1:3" x14ac:dyDescent="0.3">
      <c r="A3" s="20">
        <v>10000003</v>
      </c>
      <c r="B3" s="20" t="s">
        <v>312</v>
      </c>
      <c r="C3" t="s">
        <v>285</v>
      </c>
    </row>
    <row r="4" spans="1:3" x14ac:dyDescent="0.3">
      <c r="A4" s="20">
        <v>10000464</v>
      </c>
      <c r="B4" s="20" t="s">
        <v>313</v>
      </c>
      <c r="C4" t="s">
        <v>286</v>
      </c>
    </row>
    <row r="5" spans="1:3" x14ac:dyDescent="0.3">
      <c r="A5" s="20">
        <v>10000353</v>
      </c>
      <c r="B5" s="20" t="s">
        <v>314</v>
      </c>
      <c r="C5" t="s">
        <v>287</v>
      </c>
    </row>
    <row r="6" spans="1:3" x14ac:dyDescent="0.3">
      <c r="A6" s="20">
        <v>10000229</v>
      </c>
      <c r="B6" s="20" t="s">
        <v>315</v>
      </c>
      <c r="C6" t="s">
        <v>288</v>
      </c>
    </row>
    <row r="7" spans="1:3" x14ac:dyDescent="0.3">
      <c r="A7" s="20">
        <v>10000180</v>
      </c>
      <c r="B7" s="20" t="s">
        <v>316</v>
      </c>
      <c r="C7" t="s">
        <v>289</v>
      </c>
    </row>
    <row r="8" spans="1:3" x14ac:dyDescent="0.3">
      <c r="A8" s="20">
        <v>10000183</v>
      </c>
      <c r="B8" s="20" t="s">
        <v>317</v>
      </c>
      <c r="C8" t="s">
        <v>290</v>
      </c>
    </row>
    <row r="9" spans="1:3" x14ac:dyDescent="0.3">
      <c r="A9" s="20">
        <v>10000051</v>
      </c>
      <c r="B9" s="20" t="s">
        <v>318</v>
      </c>
      <c r="C9" t="s">
        <v>291</v>
      </c>
    </row>
    <row r="10" spans="1:3" x14ac:dyDescent="0.3">
      <c r="A10" s="20">
        <v>10000364</v>
      </c>
      <c r="B10" s="20" t="s">
        <v>319</v>
      </c>
      <c r="C10" t="s">
        <v>292</v>
      </c>
    </row>
    <row r="11" spans="1:3" x14ac:dyDescent="0.3">
      <c r="A11" s="20">
        <v>10000002</v>
      </c>
      <c r="B11" s="20" t="s">
        <v>320</v>
      </c>
      <c r="C11" t="s">
        <v>293</v>
      </c>
    </row>
    <row r="12" spans="1:3" x14ac:dyDescent="0.3">
      <c r="A12" s="20">
        <v>10000417</v>
      </c>
      <c r="B12" s="20" t="s">
        <v>321</v>
      </c>
      <c r="C12" t="s">
        <v>294</v>
      </c>
    </row>
    <row r="13" spans="1:3" x14ac:dyDescent="0.3">
      <c r="A13" s="20">
        <v>10000432</v>
      </c>
      <c r="B13" s="20" t="s">
        <v>322</v>
      </c>
      <c r="C13" t="s">
        <v>295</v>
      </c>
    </row>
    <row r="14" spans="1:3" x14ac:dyDescent="0.3">
      <c r="A14" s="20">
        <v>10000486</v>
      </c>
      <c r="B14" s="20" t="s">
        <v>323</v>
      </c>
      <c r="C14" t="s">
        <v>296</v>
      </c>
    </row>
    <row r="15" spans="1:3" x14ac:dyDescent="0.3">
      <c r="A15" s="20">
        <v>10000294</v>
      </c>
      <c r="B15" s="20" t="s">
        <v>324</v>
      </c>
      <c r="C15" t="s">
        <v>297</v>
      </c>
    </row>
    <row r="16" spans="1:3" x14ac:dyDescent="0.3">
      <c r="A16" s="20">
        <v>10000501</v>
      </c>
      <c r="B16" s="20" t="s">
        <v>325</v>
      </c>
      <c r="C16" t="s">
        <v>298</v>
      </c>
    </row>
    <row r="17" spans="1:3" x14ac:dyDescent="0.3">
      <c r="A17" s="20">
        <v>10000001</v>
      </c>
      <c r="B17" s="20" t="s">
        <v>326</v>
      </c>
      <c r="C17" t="s">
        <v>299</v>
      </c>
    </row>
    <row r="18" spans="1:3" x14ac:dyDescent="0.3">
      <c r="A18" s="20">
        <v>10000502</v>
      </c>
      <c r="B18" s="20" t="s">
        <v>327</v>
      </c>
      <c r="C18" t="s">
        <v>300</v>
      </c>
    </row>
    <row r="19" spans="1:3" x14ac:dyDescent="0.3">
      <c r="A19" s="20">
        <v>10000412</v>
      </c>
      <c r="B19" s="20" t="s">
        <v>328</v>
      </c>
      <c r="C19" t="s">
        <v>301</v>
      </c>
    </row>
    <row r="20" spans="1:3" x14ac:dyDescent="0.3">
      <c r="A20" s="20">
        <v>10000156</v>
      </c>
      <c r="B20" s="20" t="s">
        <v>329</v>
      </c>
      <c r="C20" t="s">
        <v>302</v>
      </c>
    </row>
    <row r="21" spans="1:3" x14ac:dyDescent="0.3">
      <c r="A21" s="20">
        <v>10000318</v>
      </c>
      <c r="B21" s="20" t="s">
        <v>330</v>
      </c>
      <c r="C21" t="s">
        <v>303</v>
      </c>
    </row>
    <row r="22" spans="1:3" x14ac:dyDescent="0.3">
      <c r="A22" s="20">
        <v>10000525</v>
      </c>
      <c r="B22" s="20" t="s">
        <v>331</v>
      </c>
      <c r="C22" t="s">
        <v>304</v>
      </c>
    </row>
    <row r="23" spans="1:3" x14ac:dyDescent="0.3">
      <c r="A23" s="20">
        <v>10000442</v>
      </c>
      <c r="B23" s="20" t="s">
        <v>332</v>
      </c>
      <c r="C23" t="s">
        <v>305</v>
      </c>
    </row>
    <row r="24" spans="1:3" x14ac:dyDescent="0.3">
      <c r="A24" s="20">
        <v>10000194</v>
      </c>
      <c r="B24" s="20" t="s">
        <v>333</v>
      </c>
      <c r="C24" t="s">
        <v>306</v>
      </c>
    </row>
    <row r="25" spans="1:3" x14ac:dyDescent="0.3">
      <c r="A25" s="20">
        <v>10000124</v>
      </c>
      <c r="B25" s="20" t="s">
        <v>334</v>
      </c>
      <c r="C25" t="s">
        <v>307</v>
      </c>
    </row>
    <row r="26" spans="1:3" x14ac:dyDescent="0.3">
      <c r="A26" s="20">
        <v>10000336</v>
      </c>
      <c r="B26" s="20" t="s">
        <v>408</v>
      </c>
      <c r="C26" t="s">
        <v>409</v>
      </c>
    </row>
    <row r="27" spans="1:3" x14ac:dyDescent="0.3">
      <c r="A27" s="20">
        <v>10000445</v>
      </c>
      <c r="B27" s="20" t="s">
        <v>413</v>
      </c>
      <c r="C27" t="s">
        <v>415</v>
      </c>
    </row>
    <row r="28" spans="1:3" x14ac:dyDescent="0.3">
      <c r="A28" s="20">
        <v>10000461</v>
      </c>
      <c r="B28" s="20" t="s">
        <v>418</v>
      </c>
      <c r="C28" t="s">
        <v>417</v>
      </c>
    </row>
    <row r="29" spans="1:3" x14ac:dyDescent="0.3">
      <c r="A29" s="20">
        <v>10000283</v>
      </c>
      <c r="B29" s="20" t="s">
        <v>419</v>
      </c>
      <c r="C29" t="s">
        <v>420</v>
      </c>
    </row>
    <row r="30" spans="1:3" x14ac:dyDescent="0.3">
      <c r="A30" s="20">
        <v>10000400</v>
      </c>
      <c r="B30" s="20" t="s">
        <v>423</v>
      </c>
      <c r="C30" t="s">
        <v>421</v>
      </c>
    </row>
    <row r="31" spans="1:3" x14ac:dyDescent="0.3">
      <c r="A31" s="20">
        <v>10000447</v>
      </c>
      <c r="B31" s="20" t="s">
        <v>424</v>
      </c>
      <c r="C31" t="s">
        <v>422</v>
      </c>
    </row>
    <row r="32" spans="1:3" x14ac:dyDescent="0.3">
      <c r="A32" s="20">
        <v>10000462</v>
      </c>
      <c r="B32" s="20" t="s">
        <v>425</v>
      </c>
      <c r="C32" t="s">
        <v>426</v>
      </c>
    </row>
    <row r="33" spans="1:3" x14ac:dyDescent="0.3">
      <c r="A33" s="20">
        <v>10000281</v>
      </c>
      <c r="B33" s="20" t="s">
        <v>428</v>
      </c>
      <c r="C33" t="s">
        <v>427</v>
      </c>
    </row>
    <row r="34" spans="1:3" x14ac:dyDescent="0.3">
      <c r="A34" s="20">
        <v>10000514</v>
      </c>
      <c r="B34" s="20" t="s">
        <v>430</v>
      </c>
      <c r="C34" t="s">
        <v>429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Base</vt:lpstr>
      <vt:lpstr>Desire</vt:lpstr>
      <vt:lpstr>Talent</vt:lpstr>
      <vt:lpstr>Dialogue</vt:lpstr>
      <vt:lpstr>#Enhance</vt:lpstr>
      <vt:lpstr>#Decompose</vt:lpstr>
      <vt:lpstr>#참조</vt:lpstr>
      <vt:lpstr>#캐릭터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pc007</dc:creator>
  <cp:lastModifiedBy>Oh Young Jin</cp:lastModifiedBy>
  <dcterms:created xsi:type="dcterms:W3CDTF">2015-06-05T18:19:34Z</dcterms:created>
  <dcterms:modified xsi:type="dcterms:W3CDTF">2026-02-23T07:04:11Z</dcterms:modified>
</cp:coreProperties>
</file>