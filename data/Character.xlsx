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Ai\BattleAgent\data\"/>
    </mc:Choice>
  </mc:AlternateContent>
  <xr:revisionPtr revIDLastSave="0" documentId="13_ncr:1_{6E2EFBA5-86CD-43A2-82DC-1FDDDD10228B}" xr6:coauthVersionLast="47" xr6:coauthVersionMax="47" xr10:uidLastSave="{00000000-0000-0000-0000-000000000000}"/>
  <bookViews>
    <workbookView xWindow="-38520" yWindow="-45" windowWidth="38640" windowHeight="21120" activeTab="1" xr2:uid="{00000000-000D-0000-FFFF-FFFF00000000}"/>
  </bookViews>
  <sheets>
    <sheet name="#summury" sheetId="1" r:id="rId1"/>
    <sheet name="Detail&lt;Child&gt;" sheetId="2" r:id="rId2"/>
    <sheet name="Detail&lt;Monster&gt;" sheetId="3" r:id="rId3"/>
    <sheet name="Skin" sheetId="4" r:id="rId4"/>
    <sheet name="Timeline" sheetId="5" r:id="rId5"/>
    <sheet name="Level" sheetId="6" r:id="rId6"/>
    <sheet name="LevelUp" sheetId="7" r:id="rId7"/>
    <sheet name="GradeUp" sheetId="8" r:id="rId8"/>
    <sheet name="Info" sheetId="9" r:id="rId9"/>
    <sheet name="#Base" sheetId="10" r:id="rId10"/>
    <sheet name="#Skin" sheetId="11" r:id="rId11"/>
    <sheet name="#등급업 재료 개수" sheetId="12" r:id="rId12"/>
    <sheet name="#Level 계산" sheetId="13" r:id="rId13"/>
  </sheets>
  <definedNames>
    <definedName name="_xlnm._FilterDatabase" localSheetId="9" hidden="1">'#Base'!$A$3:$F$3</definedName>
    <definedName name="_xlnm._FilterDatabase" localSheetId="10" hidden="1">'#Skin'!$A$3:$N$3</definedName>
    <definedName name="_xlnm._FilterDatabase" localSheetId="1" hidden="1">'Detail&lt;Child&gt;'!$A$3:$AT$37</definedName>
    <definedName name="_xlnm._FilterDatabase" localSheetId="2" hidden="1">'Detail&lt;Monster&gt;'!$A$3:$AV$157</definedName>
    <definedName name="_xlnm._FilterDatabase" localSheetId="7" hidden="1">GradeUp!$A$3:$R$253</definedName>
    <definedName name="_xlnm._FilterDatabase" localSheetId="3" hidden="1">Skin!$A$3:$V$3</definedName>
    <definedName name="_xlnm._FilterDatabase" localSheetId="4" hidden="1">Timeline!$A$3:$G$3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73" i="2" l="1"/>
  <c r="AQ73" i="2"/>
  <c r="AO73" i="2"/>
  <c r="AS65" i="2"/>
  <c r="AQ65" i="2"/>
  <c r="AO65" i="2"/>
  <c r="AS67" i="2"/>
  <c r="AQ67" i="2"/>
  <c r="AO67" i="2"/>
  <c r="AS63" i="2"/>
  <c r="AQ63" i="2"/>
  <c r="AO63" i="2"/>
  <c r="AS70" i="2"/>
  <c r="AQ70" i="2"/>
  <c r="AO70" i="2"/>
  <c r="AS72" i="2"/>
  <c r="AQ72" i="2"/>
  <c r="AO72" i="2"/>
  <c r="AS62" i="2"/>
  <c r="AQ62" i="2"/>
  <c r="AO62" i="2"/>
  <c r="AS69" i="2"/>
  <c r="AQ69" i="2"/>
  <c r="AO69" i="2"/>
  <c r="AS51" i="2"/>
  <c r="AQ51" i="2"/>
  <c r="AO51" i="2"/>
  <c r="AS56" i="2"/>
  <c r="AQ56" i="2"/>
  <c r="AO56" i="2"/>
  <c r="AS50" i="2"/>
  <c r="AQ50" i="2"/>
  <c r="AO50" i="2"/>
  <c r="AS59" i="2"/>
  <c r="AQ59" i="2"/>
  <c r="AO59" i="2"/>
  <c r="AS53" i="2"/>
  <c r="AQ53" i="2"/>
  <c r="AO53" i="2"/>
  <c r="AS55" i="2"/>
  <c r="AQ55" i="2"/>
  <c r="AO55" i="2"/>
  <c r="AS58" i="2"/>
  <c r="AQ58" i="2"/>
  <c r="AO58" i="2"/>
  <c r="AS48" i="2"/>
  <c r="AQ48" i="2"/>
  <c r="AO48" i="2"/>
  <c r="AS37" i="2"/>
  <c r="AQ37" i="2"/>
  <c r="AO37" i="2"/>
  <c r="AS35" i="2"/>
  <c r="AQ35" i="2"/>
  <c r="AO35" i="2"/>
  <c r="AS42" i="2"/>
  <c r="AQ42" i="2"/>
  <c r="AO42" i="2"/>
  <c r="AS34" i="2"/>
  <c r="AQ34" i="2"/>
  <c r="AO34" i="2"/>
  <c r="AS45" i="2"/>
  <c r="AQ45" i="2"/>
  <c r="AO45" i="2"/>
  <c r="AS41" i="2"/>
  <c r="AQ41" i="2"/>
  <c r="AO41" i="2"/>
  <c r="AS44" i="2"/>
  <c r="AQ44" i="2"/>
  <c r="AO44" i="2"/>
  <c r="AS39" i="2"/>
  <c r="AQ39" i="2"/>
  <c r="AO39" i="2"/>
  <c r="AS29" i="2"/>
  <c r="AQ29" i="2"/>
  <c r="AO29" i="2"/>
  <c r="AS31" i="2"/>
  <c r="AQ31" i="2"/>
  <c r="AO31" i="2"/>
  <c r="AS25" i="2"/>
  <c r="AQ25" i="2"/>
  <c r="AO25" i="2"/>
  <c r="AS23" i="2"/>
  <c r="AQ23" i="2"/>
  <c r="AO23" i="2"/>
  <c r="AS28" i="2"/>
  <c r="AQ28" i="2"/>
  <c r="AO28" i="2"/>
  <c r="AS21" i="2"/>
  <c r="AQ21" i="2"/>
  <c r="AO21" i="2"/>
  <c r="AS20" i="2"/>
  <c r="AQ20" i="2"/>
  <c r="AO20" i="2"/>
  <c r="AS27" i="2"/>
  <c r="AQ27" i="2"/>
  <c r="AO27" i="2"/>
  <c r="AS17" i="2"/>
  <c r="AQ17" i="2"/>
  <c r="AO17" i="2"/>
  <c r="AS11" i="2"/>
  <c r="AQ11" i="2"/>
  <c r="AO11" i="2"/>
  <c r="AS7" i="2"/>
  <c r="AQ7" i="2"/>
  <c r="AO7" i="2"/>
  <c r="AS14" i="2"/>
  <c r="AQ14" i="2"/>
  <c r="AO14" i="2"/>
  <c r="AS6" i="2"/>
  <c r="AQ6" i="2"/>
  <c r="AO6" i="2"/>
  <c r="AS9" i="2"/>
  <c r="AQ9" i="2"/>
  <c r="AO9" i="2"/>
  <c r="AS16" i="2"/>
  <c r="AQ16" i="2"/>
  <c r="AO16" i="2"/>
  <c r="AS13" i="2"/>
  <c r="AQ13" i="2"/>
  <c r="AO13" i="2"/>
  <c r="AS66" i="2"/>
  <c r="AQ66" i="2"/>
  <c r="AO66" i="2"/>
  <c r="AS61" i="2"/>
  <c r="AQ61" i="2"/>
  <c r="AO61" i="2"/>
  <c r="AS60" i="2"/>
  <c r="AQ60" i="2"/>
  <c r="AO60" i="2"/>
  <c r="AS52" i="2"/>
  <c r="AQ52" i="2"/>
  <c r="AO52" i="2"/>
  <c r="AS47" i="2"/>
  <c r="AQ47" i="2"/>
  <c r="AO47" i="2"/>
  <c r="AS54" i="2"/>
  <c r="AQ54" i="2"/>
  <c r="AO54" i="2"/>
  <c r="AS43" i="2"/>
  <c r="AQ43" i="2"/>
  <c r="AO43" i="2"/>
  <c r="AS33" i="2"/>
  <c r="AQ33" i="2"/>
  <c r="AO33" i="2"/>
  <c r="AS36" i="2"/>
  <c r="AQ36" i="2"/>
  <c r="AO36" i="2"/>
  <c r="AS19" i="2"/>
  <c r="AQ19" i="2"/>
  <c r="AO19" i="2"/>
  <c r="AS26" i="2"/>
  <c r="AQ26" i="2"/>
  <c r="AO26" i="2"/>
  <c r="AS30" i="2"/>
  <c r="AQ30" i="2"/>
  <c r="AO30" i="2"/>
  <c r="AS5" i="2"/>
  <c r="AQ5" i="2"/>
  <c r="AO5" i="2"/>
  <c r="AS12" i="2"/>
  <c r="AQ12" i="2"/>
  <c r="AO12" i="2"/>
  <c r="AS8" i="2"/>
  <c r="AQ8" i="2"/>
  <c r="AO8" i="2"/>
  <c r="AS64" i="2"/>
  <c r="AQ64" i="2"/>
  <c r="AO64" i="2"/>
  <c r="AS71" i="2"/>
  <c r="AQ71" i="2"/>
  <c r="AO71" i="2"/>
  <c r="AS68" i="2"/>
  <c r="AQ68" i="2"/>
  <c r="AO68" i="2"/>
  <c r="AS49" i="2"/>
  <c r="AQ49" i="2"/>
  <c r="AO49" i="2"/>
  <c r="AS46" i="2"/>
  <c r="AQ46" i="2"/>
  <c r="AO46" i="2"/>
  <c r="AS57" i="2"/>
  <c r="AQ57" i="2"/>
  <c r="AO57" i="2"/>
  <c r="AS32" i="2"/>
  <c r="AQ32" i="2"/>
  <c r="AO32" i="2"/>
  <c r="AS40" i="2"/>
  <c r="AQ40" i="2"/>
  <c r="AO40" i="2"/>
  <c r="AS38" i="2"/>
  <c r="AQ38" i="2"/>
  <c r="AO38" i="2"/>
  <c r="AS24" i="2"/>
  <c r="AQ24" i="2"/>
  <c r="AO24" i="2"/>
  <c r="AS18" i="2"/>
  <c r="AQ18" i="2"/>
  <c r="AO18" i="2"/>
  <c r="AS22" i="2"/>
  <c r="AQ22" i="2"/>
  <c r="AO22" i="2"/>
  <c r="AS4" i="2"/>
  <c r="AQ4" i="2"/>
  <c r="AO4" i="2"/>
  <c r="AS10" i="2"/>
  <c r="AQ10" i="2"/>
  <c r="AO10" i="2"/>
  <c r="AS15" i="2"/>
  <c r="AQ15" i="2"/>
  <c r="AO15" i="2"/>
  <c r="AM15" i="2"/>
  <c r="AM73" i="2"/>
  <c r="AM65" i="2"/>
  <c r="AM67" i="2"/>
  <c r="AM63" i="2"/>
  <c r="AM70" i="2"/>
  <c r="AM72" i="2"/>
  <c r="AM62" i="2"/>
  <c r="AM69" i="2"/>
  <c r="AM51" i="2"/>
  <c r="AM56" i="2"/>
  <c r="AM50" i="2"/>
  <c r="AM59" i="2"/>
  <c r="AM53" i="2"/>
  <c r="AM55" i="2"/>
  <c r="AM58" i="2"/>
  <c r="AM48" i="2"/>
  <c r="AM37" i="2"/>
  <c r="AM35" i="2"/>
  <c r="AM42" i="2"/>
  <c r="AM34" i="2"/>
  <c r="AM45" i="2"/>
  <c r="AM41" i="2"/>
  <c r="AM44" i="2"/>
  <c r="AM39" i="2"/>
  <c r="AM29" i="2"/>
  <c r="AM31" i="2"/>
  <c r="AM25" i="2"/>
  <c r="AM23" i="2"/>
  <c r="AM28" i="2"/>
  <c r="AM21" i="2"/>
  <c r="AM20" i="2"/>
  <c r="AM27" i="2"/>
  <c r="AM17" i="2"/>
  <c r="AM11" i="2"/>
  <c r="AM7" i="2"/>
  <c r="AM14" i="2"/>
  <c r="AM6" i="2"/>
  <c r="AM9" i="2"/>
  <c r="AM16" i="2"/>
  <c r="AM13" i="2"/>
  <c r="AM66" i="2"/>
  <c r="AM61" i="2"/>
  <c r="AM60" i="2"/>
  <c r="AM52" i="2"/>
  <c r="AM47" i="2"/>
  <c r="AM54" i="2"/>
  <c r="AM43" i="2"/>
  <c r="AM33" i="2"/>
  <c r="AM36" i="2"/>
  <c r="AM19" i="2"/>
  <c r="AM26" i="2"/>
  <c r="AM30" i="2"/>
  <c r="AM5" i="2"/>
  <c r="AM12" i="2"/>
  <c r="AM8" i="2"/>
  <c r="AM64" i="2"/>
  <c r="AM71" i="2"/>
  <c r="AM68" i="2"/>
  <c r="AM49" i="2"/>
  <c r="AM46" i="2"/>
  <c r="AM57" i="2"/>
  <c r="AM32" i="2"/>
  <c r="AM40" i="2"/>
  <c r="AM38" i="2"/>
  <c r="AM24" i="2"/>
  <c r="AM18" i="2"/>
  <c r="AM22" i="2"/>
  <c r="AM4" i="2"/>
  <c r="AM10" i="2"/>
  <c r="D19" i="13" l="1"/>
  <c r="D20" i="13" s="1"/>
  <c r="D21" i="13" s="1"/>
  <c r="D22" i="13" s="1"/>
  <c r="D23" i="13" s="1"/>
  <c r="D24" i="13" s="1"/>
  <c r="D25" i="13" s="1"/>
  <c r="D26" i="13" s="1"/>
  <c r="D27" i="13" s="1"/>
  <c r="D28" i="13" s="1"/>
  <c r="D29" i="13" s="1"/>
  <c r="D30" i="13" s="1"/>
  <c r="D31" i="13" s="1"/>
  <c r="D32" i="13" s="1"/>
  <c r="D33" i="13" s="1"/>
  <c r="D34" i="13" s="1"/>
  <c r="D35" i="13" s="1"/>
  <c r="D36" i="13" s="1"/>
  <c r="D37" i="13" s="1"/>
  <c r="D38" i="13" s="1"/>
  <c r="D39" i="13" s="1"/>
  <c r="D40" i="13" s="1"/>
  <c r="D41" i="13" s="1"/>
  <c r="D42" i="13" s="1"/>
  <c r="D43" i="13" s="1"/>
  <c r="D44" i="13" s="1"/>
  <c r="D45" i="13" s="1"/>
  <c r="D46" i="13" s="1"/>
  <c r="D47" i="13" s="1"/>
  <c r="D48" i="13" s="1"/>
  <c r="D49" i="13" s="1"/>
  <c r="D50" i="13" s="1"/>
  <c r="D51" i="13" s="1"/>
  <c r="D52" i="13" s="1"/>
  <c r="D53" i="13" s="1"/>
  <c r="D54" i="13" s="1"/>
  <c r="D55" i="13" s="1"/>
  <c r="D56" i="13" s="1"/>
  <c r="D57" i="13" s="1"/>
  <c r="D58" i="13" s="1"/>
  <c r="D59" i="13" s="1"/>
  <c r="D60" i="13" s="1"/>
  <c r="D61" i="13" s="1"/>
  <c r="D62" i="13" s="1"/>
  <c r="D63" i="13" s="1"/>
  <c r="D64" i="13" s="1"/>
  <c r="D65" i="13" s="1"/>
  <c r="D66" i="13" s="1"/>
  <c r="D67" i="13" s="1"/>
  <c r="D68" i="13" s="1"/>
  <c r="D69" i="13" s="1"/>
  <c r="D70" i="13" s="1"/>
  <c r="D71" i="13" s="1"/>
  <c r="D72" i="13" s="1"/>
  <c r="D73" i="13" s="1"/>
  <c r="D74" i="13" s="1"/>
  <c r="D75" i="13" s="1"/>
  <c r="D76" i="13" s="1"/>
  <c r="D77" i="13" s="1"/>
  <c r="D78" i="13" s="1"/>
  <c r="D79" i="13" s="1"/>
  <c r="D80" i="13" s="1"/>
  <c r="D81" i="13" s="1"/>
  <c r="D82" i="13" s="1"/>
  <c r="D83" i="13" s="1"/>
  <c r="D84" i="13" s="1"/>
  <c r="D85" i="13" s="1"/>
  <c r="D86" i="13" s="1"/>
  <c r="D87" i="13" s="1"/>
  <c r="D88" i="13" s="1"/>
  <c r="D89" i="13" s="1"/>
  <c r="D90" i="13" s="1"/>
  <c r="D91" i="13" s="1"/>
  <c r="D92" i="13" s="1"/>
  <c r="D93" i="13" s="1"/>
  <c r="D94" i="13" s="1"/>
  <c r="D95" i="13" s="1"/>
  <c r="D96" i="13" s="1"/>
  <c r="D97" i="13" s="1"/>
  <c r="D98" i="13" s="1"/>
  <c r="D99" i="13" s="1"/>
  <c r="D100" i="13" s="1"/>
  <c r="D101" i="13" s="1"/>
  <c r="D102" i="13" s="1"/>
  <c r="D103" i="13" s="1"/>
  <c r="D104" i="13" s="1"/>
  <c r="D105" i="13" s="1"/>
  <c r="D106" i="13" s="1"/>
  <c r="D107" i="13" s="1"/>
  <c r="D108" i="13" s="1"/>
  <c r="D109" i="13" s="1"/>
  <c r="D110" i="13" s="1"/>
  <c r="D111" i="13" s="1"/>
  <c r="D112" i="13" s="1"/>
  <c r="D113" i="13" s="1"/>
  <c r="D114" i="13" s="1"/>
  <c r="D115" i="13" s="1"/>
  <c r="D116" i="13" s="1"/>
  <c r="D117" i="13" s="1"/>
  <c r="D118" i="13" s="1"/>
  <c r="D119" i="13" s="1"/>
  <c r="D120" i="13" s="1"/>
  <c r="D121" i="13" s="1"/>
  <c r="D122" i="13" s="1"/>
  <c r="D123" i="13" s="1"/>
  <c r="D124" i="13" s="1"/>
  <c r="D125" i="13" s="1"/>
  <c r="D126" i="13" s="1"/>
  <c r="D127" i="13" s="1"/>
  <c r="D128" i="13" s="1"/>
  <c r="D129" i="13" s="1"/>
  <c r="D130" i="13" s="1"/>
  <c r="D131" i="13" s="1"/>
  <c r="D132" i="13" s="1"/>
  <c r="D133" i="13" s="1"/>
  <c r="D134" i="13" s="1"/>
  <c r="D135" i="13" s="1"/>
  <c r="D136" i="13" s="1"/>
  <c r="D137" i="13" s="1"/>
  <c r="D138" i="13" s="1"/>
  <c r="D139" i="13" s="1"/>
  <c r="D140" i="13" s="1"/>
  <c r="D141" i="13" s="1"/>
  <c r="D142" i="13" s="1"/>
  <c r="D143" i="13" s="1"/>
  <c r="D144" i="13" s="1"/>
  <c r="D145" i="13" s="1"/>
  <c r="D146" i="13" s="1"/>
  <c r="D147" i="13" s="1"/>
  <c r="D148" i="13" s="1"/>
  <c r="D149" i="13" s="1"/>
  <c r="D150" i="13" s="1"/>
  <c r="D151" i="13" s="1"/>
  <c r="D152" i="13" s="1"/>
  <c r="D153" i="13" s="1"/>
  <c r="D154" i="13" s="1"/>
  <c r="D155" i="13" s="1"/>
  <c r="D156" i="13" s="1"/>
  <c r="D157" i="13" s="1"/>
  <c r="D158" i="13" s="1"/>
  <c r="D159" i="13" s="1"/>
  <c r="D160" i="13" s="1"/>
  <c r="D161" i="13" s="1"/>
  <c r="D162" i="13" s="1"/>
  <c r="D163" i="13" s="1"/>
  <c r="D164" i="13" s="1"/>
  <c r="D165" i="13" s="1"/>
  <c r="D166" i="13" s="1"/>
  <c r="D167" i="13" s="1"/>
  <c r="D168" i="13" s="1"/>
  <c r="D169" i="13" s="1"/>
  <c r="D170" i="13" s="1"/>
  <c r="D171" i="13" s="1"/>
  <c r="D172" i="13" s="1"/>
  <c r="D173" i="13" s="1"/>
  <c r="D174" i="13" s="1"/>
  <c r="D175" i="13" s="1"/>
  <c r="D176" i="13" s="1"/>
  <c r="D177" i="13" s="1"/>
  <c r="D178" i="13" s="1"/>
  <c r="D179" i="13" s="1"/>
  <c r="D180" i="13" s="1"/>
  <c r="D181" i="13" s="1"/>
  <c r="D182" i="13" s="1"/>
  <c r="D183" i="13" s="1"/>
  <c r="D184" i="13" s="1"/>
  <c r="D185" i="13" s="1"/>
  <c r="D186" i="13" s="1"/>
  <c r="D187" i="13" s="1"/>
  <c r="D188" i="13" s="1"/>
  <c r="D189" i="13" s="1"/>
  <c r="D190" i="13" s="1"/>
  <c r="D191" i="13" s="1"/>
  <c r="D192" i="13" s="1"/>
  <c r="D193" i="13" s="1"/>
  <c r="D194" i="13" s="1"/>
  <c r="D195" i="13" s="1"/>
  <c r="D196" i="13" s="1"/>
  <c r="D197" i="13" s="1"/>
  <c r="D198" i="13" s="1"/>
  <c r="D199" i="13" s="1"/>
  <c r="D200" i="13" s="1"/>
  <c r="D201" i="13" s="1"/>
  <c r="D202" i="13" s="1"/>
  <c r="D203" i="13" s="1"/>
  <c r="D204" i="13" s="1"/>
  <c r="D205" i="13" s="1"/>
  <c r="D206" i="13" s="1"/>
  <c r="D207" i="13" s="1"/>
  <c r="D208" i="13" s="1"/>
  <c r="D209" i="13" s="1"/>
  <c r="D210" i="13" s="1"/>
  <c r="D211" i="13" s="1"/>
  <c r="D212" i="13" s="1"/>
  <c r="D213" i="13" s="1"/>
  <c r="D214" i="13" s="1"/>
  <c r="D215" i="13" s="1"/>
  <c r="D216" i="13" s="1"/>
  <c r="D217" i="13" s="1"/>
  <c r="D218" i="13" s="1"/>
  <c r="D219" i="13" s="1"/>
  <c r="D220" i="13" s="1"/>
  <c r="D221" i="13" s="1"/>
  <c r="D222" i="13" s="1"/>
  <c r="D223" i="13" s="1"/>
  <c r="D224" i="13" s="1"/>
  <c r="D225" i="13" s="1"/>
  <c r="D226" i="13" s="1"/>
  <c r="D227" i="13" s="1"/>
  <c r="D228" i="13" s="1"/>
  <c r="D229" i="13" s="1"/>
  <c r="D230" i="13" s="1"/>
  <c r="D231" i="13" s="1"/>
  <c r="D232" i="13" s="1"/>
  <c r="D233" i="13" s="1"/>
  <c r="D234" i="13" s="1"/>
  <c r="D235" i="13" s="1"/>
  <c r="D236" i="13" s="1"/>
  <c r="D237" i="13" s="1"/>
  <c r="D238" i="13" s="1"/>
  <c r="D239" i="13" s="1"/>
  <c r="D240" i="13" s="1"/>
  <c r="D241" i="13" s="1"/>
  <c r="D242" i="13" s="1"/>
  <c r="D243" i="13" s="1"/>
  <c r="D244" i="13" s="1"/>
  <c r="D245" i="13" s="1"/>
  <c r="D246" i="13" s="1"/>
  <c r="D247" i="13" s="1"/>
  <c r="D248" i="13" s="1"/>
  <c r="D249" i="13" s="1"/>
  <c r="D250" i="13" s="1"/>
  <c r="D251" i="13" s="1"/>
  <c r="D252" i="13" s="1"/>
  <c r="D253" i="13" s="1"/>
  <c r="D254" i="13" s="1"/>
  <c r="D255" i="13" s="1"/>
  <c r="D256" i="13" s="1"/>
  <c r="D257" i="13" s="1"/>
  <c r="D258" i="13" s="1"/>
  <c r="D259" i="13" s="1"/>
  <c r="D260" i="13" s="1"/>
  <c r="D261" i="13" s="1"/>
  <c r="D262" i="13" s="1"/>
  <c r="D263" i="13" s="1"/>
  <c r="D264" i="13" s="1"/>
  <c r="D265" i="13" s="1"/>
  <c r="D266" i="13" s="1"/>
  <c r="D267" i="13" s="1"/>
  <c r="D268" i="13" s="1"/>
  <c r="D269" i="13" s="1"/>
  <c r="D270" i="13" s="1"/>
  <c r="D271" i="13" s="1"/>
  <c r="D272" i="13" s="1"/>
  <c r="D273" i="13" s="1"/>
  <c r="D274" i="13" s="1"/>
  <c r="D275" i="13" s="1"/>
  <c r="D276" i="13" s="1"/>
  <c r="D277" i="13" s="1"/>
  <c r="D278" i="13" s="1"/>
  <c r="D279" i="13" s="1"/>
  <c r="D280" i="13" s="1"/>
  <c r="D281" i="13" s="1"/>
  <c r="D282" i="13" s="1"/>
  <c r="D283" i="13" s="1"/>
  <c r="D284" i="13" s="1"/>
  <c r="D285" i="13" s="1"/>
  <c r="D286" i="13" s="1"/>
  <c r="D287" i="13" s="1"/>
  <c r="D288" i="13" s="1"/>
  <c r="D289" i="13" s="1"/>
  <c r="D290" i="13" s="1"/>
  <c r="D291" i="13" s="1"/>
  <c r="D292" i="13" s="1"/>
  <c r="D293" i="13" s="1"/>
  <c r="D294" i="13" s="1"/>
  <c r="D295" i="13" s="1"/>
  <c r="D296" i="13" s="1"/>
  <c r="D297" i="13" s="1"/>
  <c r="D298" i="13" s="1"/>
  <c r="D299" i="13" s="1"/>
  <c r="D300" i="13" s="1"/>
  <c r="D301" i="13" s="1"/>
  <c r="D302" i="13" s="1"/>
  <c r="D303" i="13" s="1"/>
  <c r="D304" i="13" s="1"/>
  <c r="D13" i="13"/>
  <c r="D14" i="13" s="1"/>
  <c r="D15" i="13" s="1"/>
  <c r="D16" i="13" s="1"/>
  <c r="D17" i="13" s="1"/>
  <c r="D18" i="13" s="1"/>
  <c r="P11" i="13"/>
  <c r="P12" i="13" s="1"/>
  <c r="P13" i="13" s="1"/>
  <c r="P14" i="13" s="1"/>
  <c r="P15" i="13" s="1"/>
  <c r="P16" i="13" s="1"/>
  <c r="P17" i="13" s="1"/>
  <c r="P18" i="13" s="1"/>
  <c r="P19" i="13" s="1"/>
  <c r="P20" i="13" s="1"/>
  <c r="P21" i="13" s="1"/>
  <c r="P22" i="13" s="1"/>
  <c r="P23" i="13" s="1"/>
  <c r="P24" i="13" s="1"/>
  <c r="P25" i="13" s="1"/>
  <c r="P26" i="13" s="1"/>
  <c r="P27" i="13" s="1"/>
  <c r="P28" i="13" s="1"/>
  <c r="P29" i="13" s="1"/>
  <c r="P30" i="13" s="1"/>
  <c r="P31" i="13" s="1"/>
  <c r="P32" i="13" s="1"/>
  <c r="P33" i="13" s="1"/>
  <c r="P34" i="13" s="1"/>
  <c r="P35" i="13" s="1"/>
  <c r="P36" i="13" s="1"/>
  <c r="P37" i="13" s="1"/>
  <c r="P38" i="13" s="1"/>
  <c r="P39" i="13" s="1"/>
  <c r="P40" i="13" s="1"/>
  <c r="P41" i="13" s="1"/>
  <c r="P42" i="13" s="1"/>
  <c r="P43" i="13" s="1"/>
  <c r="P44" i="13" s="1"/>
  <c r="P45" i="13" s="1"/>
  <c r="P46" i="13" s="1"/>
  <c r="P47" i="13" s="1"/>
  <c r="P48" i="13" s="1"/>
  <c r="P49" i="13" s="1"/>
  <c r="P50" i="13" s="1"/>
  <c r="P51" i="13" s="1"/>
  <c r="P52" i="13" s="1"/>
  <c r="P53" i="13" s="1"/>
  <c r="P54" i="13" s="1"/>
  <c r="P55" i="13" s="1"/>
  <c r="P56" i="13" s="1"/>
  <c r="P57" i="13" s="1"/>
  <c r="P58" i="13" s="1"/>
  <c r="P59" i="13" s="1"/>
  <c r="P60" i="13" s="1"/>
  <c r="P61" i="13" s="1"/>
  <c r="P62" i="13" s="1"/>
  <c r="P63" i="13" s="1"/>
  <c r="P64" i="13" s="1"/>
  <c r="P65" i="13" s="1"/>
  <c r="P66" i="13" s="1"/>
  <c r="P67" i="13" s="1"/>
  <c r="P68" i="13" s="1"/>
  <c r="P69" i="13" s="1"/>
  <c r="P70" i="13" s="1"/>
  <c r="P71" i="13" s="1"/>
  <c r="P72" i="13" s="1"/>
  <c r="P73" i="13" s="1"/>
  <c r="P74" i="13" s="1"/>
  <c r="P75" i="13" s="1"/>
  <c r="P76" i="13" s="1"/>
  <c r="P77" i="13" s="1"/>
  <c r="P78" i="13" s="1"/>
  <c r="P79" i="13" s="1"/>
  <c r="P80" i="13" s="1"/>
  <c r="P81" i="13" s="1"/>
  <c r="P82" i="13" s="1"/>
  <c r="P83" i="13" s="1"/>
  <c r="P84" i="13" s="1"/>
  <c r="P85" i="13" s="1"/>
  <c r="P86" i="13" s="1"/>
  <c r="P87" i="13" s="1"/>
  <c r="P88" i="13" s="1"/>
  <c r="P89" i="13" s="1"/>
  <c r="P90" i="13" s="1"/>
  <c r="P91" i="13" s="1"/>
  <c r="P92" i="13" s="1"/>
  <c r="P93" i="13" s="1"/>
  <c r="P94" i="13" s="1"/>
  <c r="P95" i="13" s="1"/>
  <c r="P96" i="13" s="1"/>
  <c r="P97" i="13" s="1"/>
  <c r="P98" i="13" s="1"/>
  <c r="P99" i="13" s="1"/>
  <c r="P100" i="13" s="1"/>
  <c r="P101" i="13" s="1"/>
  <c r="P102" i="13" s="1"/>
  <c r="P103" i="13" s="1"/>
  <c r="P104" i="13" s="1"/>
  <c r="P105" i="13" s="1"/>
  <c r="P106" i="13" s="1"/>
  <c r="P107" i="13" s="1"/>
  <c r="P108" i="13" s="1"/>
  <c r="P109" i="13" s="1"/>
  <c r="P110" i="13" s="1"/>
  <c r="P111" i="13" s="1"/>
  <c r="P112" i="13" s="1"/>
  <c r="P113" i="13" s="1"/>
  <c r="P114" i="13" s="1"/>
  <c r="P115" i="13" s="1"/>
  <c r="P116" i="13" s="1"/>
  <c r="P117" i="13" s="1"/>
  <c r="P118" i="13" s="1"/>
  <c r="P119" i="13" s="1"/>
  <c r="P120" i="13" s="1"/>
  <c r="P121" i="13" s="1"/>
  <c r="P122" i="13" s="1"/>
  <c r="P123" i="13" s="1"/>
  <c r="P124" i="13" s="1"/>
  <c r="P125" i="13" s="1"/>
  <c r="P126" i="13" s="1"/>
  <c r="P127" i="13" s="1"/>
  <c r="P128" i="13" s="1"/>
  <c r="P129" i="13" s="1"/>
  <c r="P130" i="13" s="1"/>
  <c r="P131" i="13" s="1"/>
  <c r="P132" i="13" s="1"/>
  <c r="P133" i="13" s="1"/>
  <c r="P134" i="13" s="1"/>
  <c r="P135" i="13" s="1"/>
  <c r="P136" i="13" s="1"/>
  <c r="P137" i="13" s="1"/>
  <c r="P138" i="13" s="1"/>
  <c r="P139" i="13" s="1"/>
  <c r="P140" i="13" s="1"/>
  <c r="P141" i="13" s="1"/>
  <c r="P142" i="13" s="1"/>
  <c r="P143" i="13" s="1"/>
  <c r="P144" i="13" s="1"/>
  <c r="P145" i="13" s="1"/>
  <c r="P146" i="13" s="1"/>
  <c r="P147" i="13" s="1"/>
  <c r="P148" i="13" s="1"/>
  <c r="P149" i="13" s="1"/>
  <c r="P150" i="13" s="1"/>
  <c r="P151" i="13" s="1"/>
  <c r="P152" i="13" s="1"/>
  <c r="P153" i="13" s="1"/>
  <c r="P154" i="13" s="1"/>
  <c r="P155" i="13" s="1"/>
  <c r="P156" i="13" s="1"/>
  <c r="P157" i="13" s="1"/>
  <c r="P158" i="13" s="1"/>
  <c r="P159" i="13" s="1"/>
  <c r="P160" i="13" s="1"/>
  <c r="P161" i="13" s="1"/>
  <c r="P162" i="13" s="1"/>
  <c r="P163" i="13" s="1"/>
  <c r="P164" i="13" s="1"/>
  <c r="P165" i="13" s="1"/>
  <c r="P166" i="13" s="1"/>
  <c r="P167" i="13" s="1"/>
  <c r="P168" i="13" s="1"/>
  <c r="P169" i="13" s="1"/>
  <c r="P170" i="13" s="1"/>
  <c r="P171" i="13" s="1"/>
  <c r="P172" i="13" s="1"/>
  <c r="P173" i="13" s="1"/>
  <c r="P174" i="13" s="1"/>
  <c r="P175" i="13" s="1"/>
  <c r="P176" i="13" s="1"/>
  <c r="P177" i="13" s="1"/>
  <c r="P178" i="13" s="1"/>
  <c r="P179" i="13" s="1"/>
  <c r="P180" i="13" s="1"/>
  <c r="P181" i="13" s="1"/>
  <c r="P182" i="13" s="1"/>
  <c r="P183" i="13" s="1"/>
  <c r="P184" i="13" s="1"/>
  <c r="P185" i="13" s="1"/>
  <c r="P186" i="13" s="1"/>
  <c r="P187" i="13" s="1"/>
  <c r="P188" i="13" s="1"/>
  <c r="P189" i="13" s="1"/>
  <c r="P190" i="13" s="1"/>
  <c r="P191" i="13" s="1"/>
  <c r="P192" i="13" s="1"/>
  <c r="P193" i="13" s="1"/>
  <c r="P194" i="13" s="1"/>
  <c r="P195" i="13" s="1"/>
  <c r="P196" i="13" s="1"/>
  <c r="P197" i="13" s="1"/>
  <c r="P198" i="13" s="1"/>
  <c r="P199" i="13" s="1"/>
  <c r="P200" i="13" s="1"/>
  <c r="P201" i="13" s="1"/>
  <c r="P202" i="13" s="1"/>
  <c r="P203" i="13" s="1"/>
  <c r="P204" i="13" s="1"/>
  <c r="P205" i="13" s="1"/>
  <c r="P206" i="13" s="1"/>
  <c r="P207" i="13" s="1"/>
  <c r="P208" i="13" s="1"/>
  <c r="P209" i="13" s="1"/>
  <c r="P210" i="13" s="1"/>
  <c r="P211" i="13" s="1"/>
  <c r="P212" i="13" s="1"/>
  <c r="P213" i="13" s="1"/>
  <c r="P214" i="13" s="1"/>
  <c r="P215" i="13" s="1"/>
  <c r="P216" i="13" s="1"/>
  <c r="P217" i="13" s="1"/>
  <c r="P218" i="13" s="1"/>
  <c r="P219" i="13" s="1"/>
  <c r="P220" i="13" s="1"/>
  <c r="P221" i="13" s="1"/>
  <c r="P222" i="13" s="1"/>
  <c r="P223" i="13" s="1"/>
  <c r="P224" i="13" s="1"/>
  <c r="P225" i="13" s="1"/>
  <c r="P226" i="13" s="1"/>
  <c r="P227" i="13" s="1"/>
  <c r="P228" i="13" s="1"/>
  <c r="P229" i="13" s="1"/>
  <c r="P230" i="13" s="1"/>
  <c r="P231" i="13" s="1"/>
  <c r="P232" i="13" s="1"/>
  <c r="P233" i="13" s="1"/>
  <c r="P234" i="13" s="1"/>
  <c r="P235" i="13" s="1"/>
  <c r="P236" i="13" s="1"/>
  <c r="P237" i="13" s="1"/>
  <c r="P238" i="13" s="1"/>
  <c r="P239" i="13" s="1"/>
  <c r="P240" i="13" s="1"/>
  <c r="P241" i="13" s="1"/>
  <c r="P242" i="13" s="1"/>
  <c r="P243" i="13" s="1"/>
  <c r="P244" i="13" s="1"/>
  <c r="P245" i="13" s="1"/>
  <c r="P246" i="13" s="1"/>
  <c r="P247" i="13" s="1"/>
  <c r="P248" i="13" s="1"/>
  <c r="P249" i="13" s="1"/>
  <c r="P250" i="13" s="1"/>
  <c r="P251" i="13" s="1"/>
  <c r="P252" i="13" s="1"/>
  <c r="P253" i="13" s="1"/>
  <c r="P254" i="13" s="1"/>
  <c r="P255" i="13" s="1"/>
  <c r="P256" i="13" s="1"/>
  <c r="P257" i="13" s="1"/>
  <c r="P258" i="13" s="1"/>
  <c r="P259" i="13" s="1"/>
  <c r="P260" i="13" s="1"/>
  <c r="P261" i="13" s="1"/>
  <c r="P262" i="13" s="1"/>
  <c r="P263" i="13" s="1"/>
  <c r="P264" i="13" s="1"/>
  <c r="P265" i="13" s="1"/>
  <c r="P266" i="13" s="1"/>
  <c r="P267" i="13" s="1"/>
  <c r="P268" i="13" s="1"/>
  <c r="P269" i="13" s="1"/>
  <c r="P270" i="13" s="1"/>
  <c r="P271" i="13" s="1"/>
  <c r="P272" i="13" s="1"/>
  <c r="P273" i="13" s="1"/>
  <c r="P274" i="13" s="1"/>
  <c r="P275" i="13" s="1"/>
  <c r="P276" i="13" s="1"/>
  <c r="P277" i="13" s="1"/>
  <c r="P278" i="13" s="1"/>
  <c r="P279" i="13" s="1"/>
  <c r="P280" i="13" s="1"/>
  <c r="P281" i="13" s="1"/>
  <c r="P282" i="13" s="1"/>
  <c r="P283" i="13" s="1"/>
  <c r="P284" i="13" s="1"/>
  <c r="P285" i="13" s="1"/>
  <c r="P286" i="13" s="1"/>
  <c r="P287" i="13" s="1"/>
  <c r="P288" i="13" s="1"/>
  <c r="P289" i="13" s="1"/>
  <c r="P290" i="13" s="1"/>
  <c r="P291" i="13" s="1"/>
  <c r="P292" i="13" s="1"/>
  <c r="P293" i="13" s="1"/>
  <c r="P294" i="13" s="1"/>
  <c r="P295" i="13" s="1"/>
  <c r="P296" i="13" s="1"/>
  <c r="P297" i="13" s="1"/>
  <c r="P298" i="13" s="1"/>
  <c r="P299" i="13" s="1"/>
  <c r="P300" i="13" s="1"/>
  <c r="P301" i="13" s="1"/>
  <c r="P302" i="13" s="1"/>
  <c r="P303" i="13" s="1"/>
  <c r="P304" i="13" s="1"/>
  <c r="D8" i="13"/>
  <c r="D9" i="13" s="1"/>
  <c r="D10" i="13" s="1"/>
  <c r="D11" i="13" s="1"/>
  <c r="D12" i="13" s="1"/>
  <c r="C8" i="13"/>
  <c r="F8" i="13" s="1"/>
  <c r="L7" i="13"/>
  <c r="I7" i="13"/>
  <c r="I8" i="13" s="1"/>
  <c r="E7" i="13"/>
  <c r="E8" i="13" s="1"/>
  <c r="E9" i="13" s="1"/>
  <c r="E10" i="13" s="1"/>
  <c r="E11" i="13" s="1"/>
  <c r="E12" i="13" s="1"/>
  <c r="E13" i="13" s="1"/>
  <c r="E14" i="13" s="1"/>
  <c r="E15" i="13" s="1"/>
  <c r="E16" i="13" s="1"/>
  <c r="E17" i="13" s="1"/>
  <c r="E18" i="13" s="1"/>
  <c r="E19" i="13" s="1"/>
  <c r="E20" i="13" s="1"/>
  <c r="E21" i="13" s="1"/>
  <c r="E22" i="13" s="1"/>
  <c r="E23" i="13" s="1"/>
  <c r="E24" i="13" s="1"/>
  <c r="E25" i="13" s="1"/>
  <c r="E26" i="13" s="1"/>
  <c r="E27" i="13" s="1"/>
  <c r="E28" i="13" s="1"/>
  <c r="E29" i="13" s="1"/>
  <c r="E30" i="13" s="1"/>
  <c r="E31" i="13" s="1"/>
  <c r="E32" i="13" s="1"/>
  <c r="E33" i="13" s="1"/>
  <c r="E34" i="13" s="1"/>
  <c r="E35" i="13" s="1"/>
  <c r="E36" i="13" s="1"/>
  <c r="E37" i="13" s="1"/>
  <c r="E38" i="13" s="1"/>
  <c r="E39" i="13" s="1"/>
  <c r="E40" i="13" s="1"/>
  <c r="E41" i="13" s="1"/>
  <c r="E42" i="13" s="1"/>
  <c r="E43" i="13" s="1"/>
  <c r="E44" i="13" s="1"/>
  <c r="E45" i="13" s="1"/>
  <c r="E46" i="13" s="1"/>
  <c r="E47" i="13" s="1"/>
  <c r="E48" i="13" s="1"/>
  <c r="E49" i="13" s="1"/>
  <c r="E50" i="13" s="1"/>
  <c r="E51" i="13" s="1"/>
  <c r="E52" i="13" s="1"/>
  <c r="E53" i="13" s="1"/>
  <c r="E54" i="13" s="1"/>
  <c r="E55" i="13" s="1"/>
  <c r="E56" i="13" s="1"/>
  <c r="E57" i="13" s="1"/>
  <c r="E58" i="13" s="1"/>
  <c r="E59" i="13" s="1"/>
  <c r="E60" i="13" s="1"/>
  <c r="E61" i="13" s="1"/>
  <c r="E62" i="13" s="1"/>
  <c r="E63" i="13" s="1"/>
  <c r="E64" i="13" s="1"/>
  <c r="E65" i="13" s="1"/>
  <c r="E66" i="13" s="1"/>
  <c r="E67" i="13" s="1"/>
  <c r="E68" i="13" s="1"/>
  <c r="E69" i="13" s="1"/>
  <c r="E70" i="13" s="1"/>
  <c r="E71" i="13" s="1"/>
  <c r="E72" i="13" s="1"/>
  <c r="E73" i="13" s="1"/>
  <c r="E74" i="13" s="1"/>
  <c r="E75" i="13" s="1"/>
  <c r="E76" i="13" s="1"/>
  <c r="E77" i="13" s="1"/>
  <c r="E78" i="13" s="1"/>
  <c r="E79" i="13" s="1"/>
  <c r="E80" i="13" s="1"/>
  <c r="E81" i="13" s="1"/>
  <c r="E82" i="13" s="1"/>
  <c r="E83" i="13" s="1"/>
  <c r="E84" i="13" s="1"/>
  <c r="E85" i="13" s="1"/>
  <c r="E86" i="13" s="1"/>
  <c r="E87" i="13" s="1"/>
  <c r="E88" i="13" s="1"/>
  <c r="E89" i="13" s="1"/>
  <c r="E90" i="13" s="1"/>
  <c r="E91" i="13" s="1"/>
  <c r="E92" i="13" s="1"/>
  <c r="E93" i="13" s="1"/>
  <c r="E94" i="13" s="1"/>
  <c r="E95" i="13" s="1"/>
  <c r="E96" i="13" s="1"/>
  <c r="E97" i="13" s="1"/>
  <c r="E98" i="13" s="1"/>
  <c r="E99" i="13" s="1"/>
  <c r="E100" i="13" s="1"/>
  <c r="E101" i="13" s="1"/>
  <c r="E102" i="13" s="1"/>
  <c r="E103" i="13" s="1"/>
  <c r="E104" i="13" s="1"/>
  <c r="E105" i="13" s="1"/>
  <c r="E106" i="13" s="1"/>
  <c r="E107" i="13" s="1"/>
  <c r="E108" i="13" s="1"/>
  <c r="E109" i="13" s="1"/>
  <c r="E110" i="13" s="1"/>
  <c r="E111" i="13" s="1"/>
  <c r="E112" i="13" s="1"/>
  <c r="E113" i="13" s="1"/>
  <c r="E114" i="13" s="1"/>
  <c r="E115" i="13" s="1"/>
  <c r="E116" i="13" s="1"/>
  <c r="E117" i="13" s="1"/>
  <c r="E118" i="13" s="1"/>
  <c r="E119" i="13" s="1"/>
  <c r="E120" i="13" s="1"/>
  <c r="E121" i="13" s="1"/>
  <c r="E122" i="13" s="1"/>
  <c r="E123" i="13" s="1"/>
  <c r="E124" i="13" s="1"/>
  <c r="E125" i="13" s="1"/>
  <c r="E126" i="13" s="1"/>
  <c r="E127" i="13" s="1"/>
  <c r="E128" i="13" s="1"/>
  <c r="E129" i="13" s="1"/>
  <c r="E130" i="13" s="1"/>
  <c r="E131" i="13" s="1"/>
  <c r="E132" i="13" s="1"/>
  <c r="E133" i="13" s="1"/>
  <c r="E134" i="13" s="1"/>
  <c r="E135" i="13" s="1"/>
  <c r="E136" i="13" s="1"/>
  <c r="E137" i="13" s="1"/>
  <c r="E138" i="13" s="1"/>
  <c r="E139" i="13" s="1"/>
  <c r="E140" i="13" s="1"/>
  <c r="E141" i="13" s="1"/>
  <c r="E142" i="13" s="1"/>
  <c r="E143" i="13" s="1"/>
  <c r="E144" i="13" s="1"/>
  <c r="E145" i="13" s="1"/>
  <c r="E146" i="13" s="1"/>
  <c r="E147" i="13" s="1"/>
  <c r="E148" i="13" s="1"/>
  <c r="E149" i="13" s="1"/>
  <c r="E150" i="13" s="1"/>
  <c r="E151" i="13" s="1"/>
  <c r="E152" i="13" s="1"/>
  <c r="E153" i="13" s="1"/>
  <c r="E154" i="13" s="1"/>
  <c r="E155" i="13" s="1"/>
  <c r="E156" i="13" s="1"/>
  <c r="E157" i="13" s="1"/>
  <c r="E158" i="13" s="1"/>
  <c r="E159" i="13" s="1"/>
  <c r="E160" i="13" s="1"/>
  <c r="E161" i="13" s="1"/>
  <c r="E162" i="13" s="1"/>
  <c r="E163" i="13" s="1"/>
  <c r="E164" i="13" s="1"/>
  <c r="E165" i="13" s="1"/>
  <c r="E166" i="13" s="1"/>
  <c r="E167" i="13" s="1"/>
  <c r="E168" i="13" s="1"/>
  <c r="E169" i="13" s="1"/>
  <c r="E170" i="13" s="1"/>
  <c r="E171" i="13" s="1"/>
  <c r="E172" i="13" s="1"/>
  <c r="E173" i="13" s="1"/>
  <c r="E174" i="13" s="1"/>
  <c r="E175" i="13" s="1"/>
  <c r="E176" i="13" s="1"/>
  <c r="E177" i="13" s="1"/>
  <c r="E178" i="13" s="1"/>
  <c r="E179" i="13" s="1"/>
  <c r="E180" i="13" s="1"/>
  <c r="E181" i="13" s="1"/>
  <c r="E182" i="13" s="1"/>
  <c r="E183" i="13" s="1"/>
  <c r="E184" i="13" s="1"/>
  <c r="E185" i="13" s="1"/>
  <c r="E186" i="13" s="1"/>
  <c r="E187" i="13" s="1"/>
  <c r="E188" i="13" s="1"/>
  <c r="E189" i="13" s="1"/>
  <c r="E190" i="13" s="1"/>
  <c r="E191" i="13" s="1"/>
  <c r="E192" i="13" s="1"/>
  <c r="E193" i="13" s="1"/>
  <c r="E194" i="13" s="1"/>
  <c r="E195" i="13" s="1"/>
  <c r="E196" i="13" s="1"/>
  <c r="E197" i="13" s="1"/>
  <c r="E198" i="13" s="1"/>
  <c r="E199" i="13" s="1"/>
  <c r="E200" i="13" s="1"/>
  <c r="E201" i="13" s="1"/>
  <c r="E202" i="13" s="1"/>
  <c r="E203" i="13" s="1"/>
  <c r="E204" i="13" s="1"/>
  <c r="E205" i="13" s="1"/>
  <c r="E206" i="13" s="1"/>
  <c r="E207" i="13" s="1"/>
  <c r="E208" i="13" s="1"/>
  <c r="E209" i="13" s="1"/>
  <c r="E210" i="13" s="1"/>
  <c r="E211" i="13" s="1"/>
  <c r="E212" i="13" s="1"/>
  <c r="E213" i="13" s="1"/>
  <c r="E214" i="13" s="1"/>
  <c r="E215" i="13" s="1"/>
  <c r="E216" i="13" s="1"/>
  <c r="E217" i="13" s="1"/>
  <c r="E218" i="13" s="1"/>
  <c r="E219" i="13" s="1"/>
  <c r="E220" i="13" s="1"/>
  <c r="E221" i="13" s="1"/>
  <c r="E222" i="13" s="1"/>
  <c r="E223" i="13" s="1"/>
  <c r="E224" i="13" s="1"/>
  <c r="E225" i="13" s="1"/>
  <c r="E226" i="13" s="1"/>
  <c r="E227" i="13" s="1"/>
  <c r="E228" i="13" s="1"/>
  <c r="E229" i="13" s="1"/>
  <c r="E230" i="13" s="1"/>
  <c r="E231" i="13" s="1"/>
  <c r="E232" i="13" s="1"/>
  <c r="E233" i="13" s="1"/>
  <c r="E234" i="13" s="1"/>
  <c r="E235" i="13" s="1"/>
  <c r="E236" i="13" s="1"/>
  <c r="E237" i="13" s="1"/>
  <c r="E238" i="13" s="1"/>
  <c r="E239" i="13" s="1"/>
  <c r="E240" i="13" s="1"/>
  <c r="E241" i="13" s="1"/>
  <c r="E242" i="13" s="1"/>
  <c r="E243" i="13" s="1"/>
  <c r="E244" i="13" s="1"/>
  <c r="E245" i="13" s="1"/>
  <c r="E246" i="13" s="1"/>
  <c r="E247" i="13" s="1"/>
  <c r="E248" i="13" s="1"/>
  <c r="E249" i="13" s="1"/>
  <c r="E250" i="13" s="1"/>
  <c r="E251" i="13" s="1"/>
  <c r="E252" i="13" s="1"/>
  <c r="E253" i="13" s="1"/>
  <c r="E254" i="13" s="1"/>
  <c r="E255" i="13" s="1"/>
  <c r="E256" i="13" s="1"/>
  <c r="E257" i="13" s="1"/>
  <c r="E258" i="13" s="1"/>
  <c r="E259" i="13" s="1"/>
  <c r="E260" i="13" s="1"/>
  <c r="E261" i="13" s="1"/>
  <c r="E262" i="13" s="1"/>
  <c r="E263" i="13" s="1"/>
  <c r="E264" i="13" s="1"/>
  <c r="E265" i="13" s="1"/>
  <c r="E266" i="13" s="1"/>
  <c r="E267" i="13" s="1"/>
  <c r="E268" i="13" s="1"/>
  <c r="E269" i="13" s="1"/>
  <c r="E270" i="13" s="1"/>
  <c r="E271" i="13" s="1"/>
  <c r="E272" i="13" s="1"/>
  <c r="E273" i="13" s="1"/>
  <c r="E274" i="13" s="1"/>
  <c r="E275" i="13" s="1"/>
  <c r="E276" i="13" s="1"/>
  <c r="E277" i="13" s="1"/>
  <c r="E278" i="13" s="1"/>
  <c r="E279" i="13" s="1"/>
  <c r="E280" i="13" s="1"/>
  <c r="E281" i="13" s="1"/>
  <c r="E282" i="13" s="1"/>
  <c r="E283" i="13" s="1"/>
  <c r="E284" i="13" s="1"/>
  <c r="E285" i="13" s="1"/>
  <c r="E286" i="13" s="1"/>
  <c r="E287" i="13" s="1"/>
  <c r="E288" i="13" s="1"/>
  <c r="E289" i="13" s="1"/>
  <c r="E290" i="13" s="1"/>
  <c r="E291" i="13" s="1"/>
  <c r="E292" i="13" s="1"/>
  <c r="E293" i="13" s="1"/>
  <c r="E294" i="13" s="1"/>
  <c r="E295" i="13" s="1"/>
  <c r="E296" i="13" s="1"/>
  <c r="E297" i="13" s="1"/>
  <c r="E298" i="13" s="1"/>
  <c r="E299" i="13" s="1"/>
  <c r="E300" i="13" s="1"/>
  <c r="E301" i="13" s="1"/>
  <c r="E302" i="13" s="1"/>
  <c r="E303" i="13" s="1"/>
  <c r="E304" i="13" s="1"/>
  <c r="D7" i="13"/>
  <c r="C7" i="13"/>
  <c r="F7" i="13" s="1"/>
  <c r="J6" i="13"/>
  <c r="J7" i="13" s="1"/>
  <c r="J8" i="13" s="1"/>
  <c r="J9" i="13" s="1"/>
  <c r="J10" i="13" s="1"/>
  <c r="J11" i="13" s="1"/>
  <c r="J12" i="13" s="1"/>
  <c r="J13" i="13" s="1"/>
  <c r="J14" i="13" s="1"/>
  <c r="J15" i="13" s="1"/>
  <c r="J16" i="13" s="1"/>
  <c r="J17" i="13" s="1"/>
  <c r="J18" i="13" s="1"/>
  <c r="J19" i="13" s="1"/>
  <c r="J20" i="13" s="1"/>
  <c r="J21" i="13" s="1"/>
  <c r="J22" i="13" s="1"/>
  <c r="J23" i="13" s="1"/>
  <c r="J24" i="13" s="1"/>
  <c r="J25" i="13" s="1"/>
  <c r="J26" i="13" s="1"/>
  <c r="J27" i="13" s="1"/>
  <c r="J28" i="13" s="1"/>
  <c r="J29" i="13" s="1"/>
  <c r="J30" i="13" s="1"/>
  <c r="J31" i="13" s="1"/>
  <c r="J32" i="13" s="1"/>
  <c r="J33" i="13" s="1"/>
  <c r="J34" i="13" s="1"/>
  <c r="J35" i="13" s="1"/>
  <c r="J36" i="13" s="1"/>
  <c r="J37" i="13" s="1"/>
  <c r="J38" i="13" s="1"/>
  <c r="J39" i="13" s="1"/>
  <c r="J40" i="13" s="1"/>
  <c r="J41" i="13" s="1"/>
  <c r="J42" i="13" s="1"/>
  <c r="J43" i="13" s="1"/>
  <c r="J44" i="13" s="1"/>
  <c r="J45" i="13" s="1"/>
  <c r="J46" i="13" s="1"/>
  <c r="J47" i="13" s="1"/>
  <c r="J48" i="13" s="1"/>
  <c r="J49" i="13" s="1"/>
  <c r="J50" i="13" s="1"/>
  <c r="J51" i="13" s="1"/>
  <c r="J52" i="13" s="1"/>
  <c r="J53" i="13" s="1"/>
  <c r="J54" i="13" s="1"/>
  <c r="J55" i="13" s="1"/>
  <c r="J56" i="13" s="1"/>
  <c r="J57" i="13" s="1"/>
  <c r="J58" i="13" s="1"/>
  <c r="J59" i="13" s="1"/>
  <c r="J60" i="13" s="1"/>
  <c r="J61" i="13" s="1"/>
  <c r="J62" i="13" s="1"/>
  <c r="J63" i="13" s="1"/>
  <c r="J64" i="13" s="1"/>
  <c r="J65" i="13" s="1"/>
  <c r="J66" i="13" s="1"/>
  <c r="J67" i="13" s="1"/>
  <c r="J68" i="13" s="1"/>
  <c r="J69" i="13" s="1"/>
  <c r="J70" i="13" s="1"/>
  <c r="J71" i="13" s="1"/>
  <c r="J72" i="13" s="1"/>
  <c r="J73" i="13" s="1"/>
  <c r="J74" i="13" s="1"/>
  <c r="J75" i="13" s="1"/>
  <c r="J76" i="13" s="1"/>
  <c r="J77" i="13" s="1"/>
  <c r="J78" i="13" s="1"/>
  <c r="J79" i="13" s="1"/>
  <c r="J80" i="13" s="1"/>
  <c r="J81" i="13" s="1"/>
  <c r="J82" i="13" s="1"/>
  <c r="J83" i="13" s="1"/>
  <c r="J84" i="13" s="1"/>
  <c r="J85" i="13" s="1"/>
  <c r="J86" i="13" s="1"/>
  <c r="J87" i="13" s="1"/>
  <c r="J88" i="13" s="1"/>
  <c r="J89" i="13" s="1"/>
  <c r="J90" i="13" s="1"/>
  <c r="J91" i="13" s="1"/>
  <c r="J92" i="13" s="1"/>
  <c r="J93" i="13" s="1"/>
  <c r="J94" i="13" s="1"/>
  <c r="J95" i="13" s="1"/>
  <c r="J96" i="13" s="1"/>
  <c r="J97" i="13" s="1"/>
  <c r="J98" i="13" s="1"/>
  <c r="J99" i="13" s="1"/>
  <c r="J100" i="13" s="1"/>
  <c r="J101" i="13" s="1"/>
  <c r="J102" i="13" s="1"/>
  <c r="J103" i="13" s="1"/>
  <c r="J104" i="13" s="1"/>
  <c r="J105" i="13" s="1"/>
  <c r="J106" i="13" s="1"/>
  <c r="J107" i="13" s="1"/>
  <c r="J108" i="13" s="1"/>
  <c r="J109" i="13" s="1"/>
  <c r="J110" i="13" s="1"/>
  <c r="J111" i="13" s="1"/>
  <c r="J112" i="13" s="1"/>
  <c r="J113" i="13" s="1"/>
  <c r="J114" i="13" s="1"/>
  <c r="J115" i="13" s="1"/>
  <c r="J116" i="13" s="1"/>
  <c r="J117" i="13" s="1"/>
  <c r="J118" i="13" s="1"/>
  <c r="J119" i="13" s="1"/>
  <c r="J120" i="13" s="1"/>
  <c r="J121" i="13" s="1"/>
  <c r="J122" i="13" s="1"/>
  <c r="J123" i="13" s="1"/>
  <c r="J124" i="13" s="1"/>
  <c r="J125" i="13" s="1"/>
  <c r="J126" i="13" s="1"/>
  <c r="J127" i="13" s="1"/>
  <c r="J128" i="13" s="1"/>
  <c r="J129" i="13" s="1"/>
  <c r="J130" i="13" s="1"/>
  <c r="J131" i="13" s="1"/>
  <c r="J132" i="13" s="1"/>
  <c r="J133" i="13" s="1"/>
  <c r="J134" i="13" s="1"/>
  <c r="J135" i="13" s="1"/>
  <c r="J136" i="13" s="1"/>
  <c r="J137" i="13" s="1"/>
  <c r="J138" i="13" s="1"/>
  <c r="J139" i="13" s="1"/>
  <c r="J140" i="13" s="1"/>
  <c r="J141" i="13" s="1"/>
  <c r="J142" i="13" s="1"/>
  <c r="J143" i="13" s="1"/>
  <c r="J144" i="13" s="1"/>
  <c r="J145" i="13" s="1"/>
  <c r="J146" i="13" s="1"/>
  <c r="J147" i="13" s="1"/>
  <c r="J148" i="13" s="1"/>
  <c r="J149" i="13" s="1"/>
  <c r="J150" i="13" s="1"/>
  <c r="J151" i="13" s="1"/>
  <c r="J152" i="13" s="1"/>
  <c r="J153" i="13" s="1"/>
  <c r="J154" i="13" s="1"/>
  <c r="J155" i="13" s="1"/>
  <c r="J156" i="13" s="1"/>
  <c r="J157" i="13" s="1"/>
  <c r="J158" i="13" s="1"/>
  <c r="J159" i="13" s="1"/>
  <c r="J160" i="13" s="1"/>
  <c r="J161" i="13" s="1"/>
  <c r="J162" i="13" s="1"/>
  <c r="J163" i="13" s="1"/>
  <c r="J164" i="13" s="1"/>
  <c r="J165" i="13" s="1"/>
  <c r="J166" i="13" s="1"/>
  <c r="J167" i="13" s="1"/>
  <c r="J168" i="13" s="1"/>
  <c r="J169" i="13" s="1"/>
  <c r="J170" i="13" s="1"/>
  <c r="J171" i="13" s="1"/>
  <c r="J172" i="13" s="1"/>
  <c r="J173" i="13" s="1"/>
  <c r="J174" i="13" s="1"/>
  <c r="J175" i="13" s="1"/>
  <c r="J176" i="13" s="1"/>
  <c r="J177" i="13" s="1"/>
  <c r="J178" i="13" s="1"/>
  <c r="J179" i="13" s="1"/>
  <c r="J180" i="13" s="1"/>
  <c r="J181" i="13" s="1"/>
  <c r="J182" i="13" s="1"/>
  <c r="J183" i="13" s="1"/>
  <c r="J184" i="13" s="1"/>
  <c r="J185" i="13" s="1"/>
  <c r="J186" i="13" s="1"/>
  <c r="J187" i="13" s="1"/>
  <c r="J188" i="13" s="1"/>
  <c r="J189" i="13" s="1"/>
  <c r="J190" i="13" s="1"/>
  <c r="J191" i="13" s="1"/>
  <c r="J192" i="13" s="1"/>
  <c r="J193" i="13" s="1"/>
  <c r="J194" i="13" s="1"/>
  <c r="J195" i="13" s="1"/>
  <c r="J196" i="13" s="1"/>
  <c r="J197" i="13" s="1"/>
  <c r="J198" i="13" s="1"/>
  <c r="J199" i="13" s="1"/>
  <c r="J200" i="13" s="1"/>
  <c r="J201" i="13" s="1"/>
  <c r="J202" i="13" s="1"/>
  <c r="J203" i="13" s="1"/>
  <c r="J204" i="13" s="1"/>
  <c r="J205" i="13" s="1"/>
  <c r="J206" i="13" s="1"/>
  <c r="J207" i="13" s="1"/>
  <c r="J208" i="13" s="1"/>
  <c r="J209" i="13" s="1"/>
  <c r="J210" i="13" s="1"/>
  <c r="J211" i="13" s="1"/>
  <c r="J212" i="13" s="1"/>
  <c r="J213" i="13" s="1"/>
  <c r="J214" i="13" s="1"/>
  <c r="J215" i="13" s="1"/>
  <c r="J216" i="13" s="1"/>
  <c r="J217" i="13" s="1"/>
  <c r="J218" i="13" s="1"/>
  <c r="J219" i="13" s="1"/>
  <c r="J220" i="13" s="1"/>
  <c r="J221" i="13" s="1"/>
  <c r="J222" i="13" s="1"/>
  <c r="J223" i="13" s="1"/>
  <c r="J224" i="13" s="1"/>
  <c r="J225" i="13" s="1"/>
  <c r="J226" i="13" s="1"/>
  <c r="J227" i="13" s="1"/>
  <c r="J228" i="13" s="1"/>
  <c r="J229" i="13" s="1"/>
  <c r="J230" i="13" s="1"/>
  <c r="J231" i="13" s="1"/>
  <c r="J232" i="13" s="1"/>
  <c r="J233" i="13" s="1"/>
  <c r="J234" i="13" s="1"/>
  <c r="J235" i="13" s="1"/>
  <c r="J236" i="13" s="1"/>
  <c r="J237" i="13" s="1"/>
  <c r="J238" i="13" s="1"/>
  <c r="J239" i="13" s="1"/>
  <c r="J240" i="13" s="1"/>
  <c r="J241" i="13" s="1"/>
  <c r="J242" i="13" s="1"/>
  <c r="J243" i="13" s="1"/>
  <c r="J244" i="13" s="1"/>
  <c r="J245" i="13" s="1"/>
  <c r="J246" i="13" s="1"/>
  <c r="J247" i="13" s="1"/>
  <c r="J248" i="13" s="1"/>
  <c r="J249" i="13" s="1"/>
  <c r="J250" i="13" s="1"/>
  <c r="J251" i="13" s="1"/>
  <c r="J252" i="13" s="1"/>
  <c r="J253" i="13" s="1"/>
  <c r="J254" i="13" s="1"/>
  <c r="J255" i="13" s="1"/>
  <c r="J256" i="13" s="1"/>
  <c r="J257" i="13" s="1"/>
  <c r="J258" i="13" s="1"/>
  <c r="J259" i="13" s="1"/>
  <c r="J260" i="13" s="1"/>
  <c r="J261" i="13" s="1"/>
  <c r="J262" i="13" s="1"/>
  <c r="J263" i="13" s="1"/>
  <c r="J264" i="13" s="1"/>
  <c r="J265" i="13" s="1"/>
  <c r="J266" i="13" s="1"/>
  <c r="J267" i="13" s="1"/>
  <c r="J268" i="13" s="1"/>
  <c r="J269" i="13" s="1"/>
  <c r="J270" i="13" s="1"/>
  <c r="J271" i="13" s="1"/>
  <c r="J272" i="13" s="1"/>
  <c r="J273" i="13" s="1"/>
  <c r="J274" i="13" s="1"/>
  <c r="J275" i="13" s="1"/>
  <c r="J276" i="13" s="1"/>
  <c r="J277" i="13" s="1"/>
  <c r="J278" i="13" s="1"/>
  <c r="J279" i="13" s="1"/>
  <c r="J280" i="13" s="1"/>
  <c r="J281" i="13" s="1"/>
  <c r="J282" i="13" s="1"/>
  <c r="J283" i="13" s="1"/>
  <c r="J284" i="13" s="1"/>
  <c r="J285" i="13" s="1"/>
  <c r="J286" i="13" s="1"/>
  <c r="J287" i="13" s="1"/>
  <c r="J288" i="13" s="1"/>
  <c r="J289" i="13" s="1"/>
  <c r="J290" i="13" s="1"/>
  <c r="J291" i="13" s="1"/>
  <c r="J292" i="13" s="1"/>
  <c r="J293" i="13" s="1"/>
  <c r="J294" i="13" s="1"/>
  <c r="J295" i="13" s="1"/>
  <c r="J296" i="13" s="1"/>
  <c r="J297" i="13" s="1"/>
  <c r="J298" i="13" s="1"/>
  <c r="J299" i="13" s="1"/>
  <c r="J300" i="13" s="1"/>
  <c r="J301" i="13" s="1"/>
  <c r="J302" i="13" s="1"/>
  <c r="J303" i="13" s="1"/>
  <c r="J304" i="13" s="1"/>
  <c r="I6" i="13"/>
  <c r="L6" i="13" s="1"/>
  <c r="F6" i="13"/>
  <c r="E6" i="13"/>
  <c r="D6" i="13"/>
  <c r="C6" i="13"/>
  <c r="K5" i="13"/>
  <c r="J5" i="13"/>
  <c r="P5" i="13" s="1"/>
  <c r="P6" i="13" s="1"/>
  <c r="P7" i="13" s="1"/>
  <c r="P8" i="13" s="1"/>
  <c r="P9" i="13" s="1"/>
  <c r="P10" i="13" s="1"/>
  <c r="I5" i="13"/>
  <c r="O5" i="13" s="1"/>
  <c r="G5" i="12"/>
  <c r="H5" i="12" s="1"/>
  <c r="F5" i="12"/>
  <c r="D4" i="12"/>
  <c r="C3" i="12"/>
  <c r="H22" i="11"/>
  <c r="G22" i="11"/>
  <c r="F22" i="11"/>
  <c r="A22" i="11"/>
  <c r="I21" i="11"/>
  <c r="H21" i="11"/>
  <c r="G21" i="11"/>
  <c r="F21" i="11"/>
  <c r="A21" i="11"/>
  <c r="K21" i="11" s="1"/>
  <c r="H20" i="11"/>
  <c r="G20" i="11"/>
  <c r="F20" i="11"/>
  <c r="A20" i="11"/>
  <c r="H19" i="11"/>
  <c r="G19" i="11"/>
  <c r="F19" i="11"/>
  <c r="A19" i="11"/>
  <c r="K19" i="11" s="1"/>
  <c r="H18" i="11"/>
  <c r="G18" i="11"/>
  <c r="F18" i="11"/>
  <c r="A18" i="11"/>
  <c r="H17" i="11"/>
  <c r="G17" i="11"/>
  <c r="F17" i="11"/>
  <c r="A17" i="11"/>
  <c r="G16" i="11"/>
  <c r="H16" i="11" s="1"/>
  <c r="F16" i="11"/>
  <c r="A16" i="11"/>
  <c r="I16" i="11" s="1"/>
  <c r="I15" i="11"/>
  <c r="G15" i="11"/>
  <c r="H15" i="11" s="1"/>
  <c r="F15" i="11"/>
  <c r="A15" i="11"/>
  <c r="H14" i="11"/>
  <c r="G14" i="11"/>
  <c r="F14" i="11"/>
  <c r="A14" i="11"/>
  <c r="I14" i="11" s="1"/>
  <c r="I13" i="11"/>
  <c r="G13" i="11"/>
  <c r="H13" i="11" s="1"/>
  <c r="F13" i="11"/>
  <c r="A13" i="11"/>
  <c r="I12" i="11"/>
  <c r="G12" i="11"/>
  <c r="H12" i="11" s="1"/>
  <c r="F12" i="11"/>
  <c r="A12" i="11"/>
  <c r="M11" i="11"/>
  <c r="L11" i="11"/>
  <c r="H11" i="11"/>
  <c r="G11" i="11"/>
  <c r="F11" i="11"/>
  <c r="A11" i="11"/>
  <c r="K10" i="11"/>
  <c r="J10" i="11"/>
  <c r="I10" i="11"/>
  <c r="H10" i="11"/>
  <c r="G10" i="11"/>
  <c r="F10" i="11"/>
  <c r="A10" i="11"/>
  <c r="N10" i="11" s="1"/>
  <c r="N9" i="11"/>
  <c r="M9" i="11"/>
  <c r="L9" i="11"/>
  <c r="K9" i="11"/>
  <c r="I9" i="11"/>
  <c r="H9" i="11"/>
  <c r="G9" i="11"/>
  <c r="F9" i="11"/>
  <c r="A9" i="11"/>
  <c r="J9" i="11" s="1"/>
  <c r="N8" i="11"/>
  <c r="L8" i="11"/>
  <c r="K8" i="11"/>
  <c r="G8" i="11"/>
  <c r="H8" i="11" s="1"/>
  <c r="F8" i="11"/>
  <c r="A8" i="11"/>
  <c r="M8" i="11" s="1"/>
  <c r="G7" i="11"/>
  <c r="H7" i="11" s="1"/>
  <c r="F7" i="11"/>
  <c r="A7" i="11"/>
  <c r="N6" i="11"/>
  <c r="M6" i="11"/>
  <c r="L6" i="11"/>
  <c r="J6" i="11"/>
  <c r="G6" i="11"/>
  <c r="H6" i="11" s="1"/>
  <c r="F6" i="11"/>
  <c r="A6" i="11"/>
  <c r="K6" i="11" s="1"/>
  <c r="L5" i="11"/>
  <c r="H5" i="11"/>
  <c r="G5" i="11"/>
  <c r="F5" i="11"/>
  <c r="A5" i="11"/>
  <c r="G4" i="11"/>
  <c r="H4" i="11" s="1"/>
  <c r="A4" i="11"/>
  <c r="U28" i="9"/>
  <c r="S28" i="9"/>
  <c r="Q28" i="9"/>
  <c r="O28" i="9"/>
  <c r="M28" i="9"/>
  <c r="K28" i="9"/>
  <c r="I28" i="9"/>
  <c r="G28" i="9"/>
  <c r="E28" i="9"/>
  <c r="C28" i="9"/>
  <c r="U27" i="9"/>
  <c r="S27" i="9"/>
  <c r="Q27" i="9"/>
  <c r="O27" i="9"/>
  <c r="M27" i="9"/>
  <c r="K27" i="9"/>
  <c r="I27" i="9"/>
  <c r="G27" i="9"/>
  <c r="E27" i="9"/>
  <c r="C27" i="9"/>
  <c r="U26" i="9"/>
  <c r="S26" i="9"/>
  <c r="Q26" i="9"/>
  <c r="O26" i="9"/>
  <c r="M26" i="9"/>
  <c r="K26" i="9"/>
  <c r="I26" i="9"/>
  <c r="G26" i="9"/>
  <c r="E26" i="9"/>
  <c r="C26" i="9"/>
  <c r="U25" i="9"/>
  <c r="S25" i="9"/>
  <c r="Q25" i="9"/>
  <c r="O25" i="9"/>
  <c r="M25" i="9"/>
  <c r="K25" i="9"/>
  <c r="I25" i="9"/>
  <c r="G25" i="9"/>
  <c r="E25" i="9"/>
  <c r="C25" i="9"/>
  <c r="U24" i="9"/>
  <c r="S24" i="9"/>
  <c r="Q24" i="9"/>
  <c r="O24" i="9"/>
  <c r="M24" i="9"/>
  <c r="K24" i="9"/>
  <c r="I24" i="9"/>
  <c r="G24" i="9"/>
  <c r="E24" i="9"/>
  <c r="C24" i="9"/>
  <c r="U23" i="9"/>
  <c r="S23" i="9"/>
  <c r="Q23" i="9"/>
  <c r="O23" i="9"/>
  <c r="M23" i="9"/>
  <c r="K23" i="9"/>
  <c r="I23" i="9"/>
  <c r="G23" i="9"/>
  <c r="E23" i="9"/>
  <c r="C23" i="9"/>
  <c r="U22" i="9"/>
  <c r="S22" i="9"/>
  <c r="Q22" i="9"/>
  <c r="O22" i="9"/>
  <c r="M22" i="9"/>
  <c r="K22" i="9"/>
  <c r="I22" i="9"/>
  <c r="G22" i="9"/>
  <c r="E22" i="9"/>
  <c r="C22" i="9"/>
  <c r="U21" i="9"/>
  <c r="S21" i="9"/>
  <c r="Q21" i="9"/>
  <c r="O21" i="9"/>
  <c r="M21" i="9"/>
  <c r="K21" i="9"/>
  <c r="I21" i="9"/>
  <c r="G21" i="9"/>
  <c r="E21" i="9"/>
  <c r="C21" i="9"/>
  <c r="U20" i="9"/>
  <c r="S20" i="9"/>
  <c r="Q20" i="9"/>
  <c r="O20" i="9"/>
  <c r="M20" i="9"/>
  <c r="K20" i="9"/>
  <c r="I20" i="9"/>
  <c r="G20" i="9"/>
  <c r="E20" i="9"/>
  <c r="C20" i="9"/>
  <c r="U19" i="9"/>
  <c r="S19" i="9"/>
  <c r="Q19" i="9"/>
  <c r="O19" i="9"/>
  <c r="M19" i="9"/>
  <c r="K19" i="9"/>
  <c r="I19" i="9"/>
  <c r="G19" i="9"/>
  <c r="E19" i="9"/>
  <c r="C19" i="9"/>
  <c r="U18" i="9"/>
  <c r="S18" i="9"/>
  <c r="Q18" i="9"/>
  <c r="O18" i="9"/>
  <c r="M18" i="9"/>
  <c r="K18" i="9"/>
  <c r="I18" i="9"/>
  <c r="G18" i="9"/>
  <c r="E18" i="9"/>
  <c r="C18" i="9"/>
  <c r="U17" i="9"/>
  <c r="S17" i="9"/>
  <c r="Q17" i="9"/>
  <c r="O17" i="9"/>
  <c r="M17" i="9"/>
  <c r="K17" i="9"/>
  <c r="I17" i="9"/>
  <c r="G17" i="9"/>
  <c r="E17" i="9"/>
  <c r="C17" i="9"/>
  <c r="U16" i="9"/>
  <c r="S16" i="9"/>
  <c r="Q16" i="9"/>
  <c r="O16" i="9"/>
  <c r="M16" i="9"/>
  <c r="K16" i="9"/>
  <c r="I16" i="9"/>
  <c r="G16" i="9"/>
  <c r="E16" i="9"/>
  <c r="C16" i="9"/>
  <c r="U15" i="9"/>
  <c r="S15" i="9"/>
  <c r="Q15" i="9"/>
  <c r="O15" i="9"/>
  <c r="M15" i="9"/>
  <c r="K15" i="9"/>
  <c r="I15" i="9"/>
  <c r="G15" i="9"/>
  <c r="E15" i="9"/>
  <c r="C15" i="9"/>
  <c r="U14" i="9"/>
  <c r="S14" i="9"/>
  <c r="Q14" i="9"/>
  <c r="O14" i="9"/>
  <c r="M14" i="9"/>
  <c r="K14" i="9"/>
  <c r="I14" i="9"/>
  <c r="G14" i="9"/>
  <c r="E14" i="9"/>
  <c r="C14" i="9"/>
  <c r="U13" i="9"/>
  <c r="S13" i="9"/>
  <c r="Q13" i="9"/>
  <c r="O13" i="9"/>
  <c r="M13" i="9"/>
  <c r="K13" i="9"/>
  <c r="I13" i="9"/>
  <c r="G13" i="9"/>
  <c r="E13" i="9"/>
  <c r="C13" i="9"/>
  <c r="U12" i="9"/>
  <c r="S12" i="9"/>
  <c r="Q12" i="9"/>
  <c r="O12" i="9"/>
  <c r="M12" i="9"/>
  <c r="K12" i="9"/>
  <c r="I12" i="9"/>
  <c r="G12" i="9"/>
  <c r="E12" i="9"/>
  <c r="C12" i="9"/>
  <c r="U11" i="9"/>
  <c r="S11" i="9"/>
  <c r="Q11" i="9"/>
  <c r="O11" i="9"/>
  <c r="M11" i="9"/>
  <c r="K11" i="9"/>
  <c r="I11" i="9"/>
  <c r="G11" i="9"/>
  <c r="E11" i="9"/>
  <c r="C11" i="9"/>
  <c r="U10" i="9"/>
  <c r="S10" i="9"/>
  <c r="Q10" i="9"/>
  <c r="O10" i="9"/>
  <c r="M10" i="9"/>
  <c r="K10" i="9"/>
  <c r="I10" i="9"/>
  <c r="G10" i="9"/>
  <c r="E10" i="9"/>
  <c r="C10" i="9"/>
  <c r="U9" i="9"/>
  <c r="S9" i="9"/>
  <c r="Q9" i="9"/>
  <c r="O9" i="9"/>
  <c r="M9" i="9"/>
  <c r="K9" i="9"/>
  <c r="I9" i="9"/>
  <c r="G9" i="9"/>
  <c r="E9" i="9"/>
  <c r="C9" i="9"/>
  <c r="U8" i="9"/>
  <c r="S8" i="9"/>
  <c r="Q8" i="9"/>
  <c r="O8" i="9"/>
  <c r="M8" i="9"/>
  <c r="K8" i="9"/>
  <c r="I8" i="9"/>
  <c r="G8" i="9"/>
  <c r="E8" i="9"/>
  <c r="C8" i="9"/>
  <c r="U7" i="9"/>
  <c r="S7" i="9"/>
  <c r="Q7" i="9"/>
  <c r="O7" i="9"/>
  <c r="M7" i="9"/>
  <c r="K7" i="9"/>
  <c r="I7" i="9"/>
  <c r="G7" i="9"/>
  <c r="E7" i="9"/>
  <c r="C7" i="9"/>
  <c r="U6" i="9"/>
  <c r="S6" i="9"/>
  <c r="Q6" i="9"/>
  <c r="O6" i="9"/>
  <c r="M6" i="9"/>
  <c r="K6" i="9"/>
  <c r="I6" i="9"/>
  <c r="G6" i="9"/>
  <c r="E6" i="9"/>
  <c r="C6" i="9"/>
  <c r="U5" i="9"/>
  <c r="S5" i="9"/>
  <c r="Q5" i="9"/>
  <c r="O5" i="9"/>
  <c r="M5" i="9"/>
  <c r="K5" i="9"/>
  <c r="I5" i="9"/>
  <c r="G5" i="9"/>
  <c r="E5" i="9"/>
  <c r="C5" i="9"/>
  <c r="U4" i="9"/>
  <c r="S4" i="9"/>
  <c r="Q4" i="9"/>
  <c r="O4" i="9"/>
  <c r="M4" i="9"/>
  <c r="K4" i="9"/>
  <c r="I4" i="9"/>
  <c r="G4" i="9"/>
  <c r="E4" i="9"/>
  <c r="C4" i="9"/>
  <c r="R343" i="8"/>
  <c r="G343" i="8" s="1"/>
  <c r="F343" i="8"/>
  <c r="D343" i="8"/>
  <c r="C343" i="8"/>
  <c r="A343" i="8"/>
  <c r="R342" i="8"/>
  <c r="G342" i="8" s="1"/>
  <c r="K342" i="8"/>
  <c r="F342" i="8"/>
  <c r="D342" i="8"/>
  <c r="C342" i="8"/>
  <c r="A342" i="8"/>
  <c r="R341" i="8"/>
  <c r="G341" i="8" s="1"/>
  <c r="F341" i="8"/>
  <c r="D341" i="8"/>
  <c r="C341" i="8"/>
  <c r="A341" i="8"/>
  <c r="R340" i="8"/>
  <c r="G340" i="8" s="1"/>
  <c r="K340" i="8"/>
  <c r="F340" i="8"/>
  <c r="D340" i="8"/>
  <c r="C340" i="8"/>
  <c r="A340" i="8"/>
  <c r="R339" i="8"/>
  <c r="G339" i="8" s="1"/>
  <c r="F339" i="8"/>
  <c r="D339" i="8"/>
  <c r="C339" i="8"/>
  <c r="A339" i="8"/>
  <c r="R338" i="8"/>
  <c r="G338" i="8" s="1"/>
  <c r="O338" i="8"/>
  <c r="O339" i="8" s="1"/>
  <c r="O340" i="8" s="1"/>
  <c r="O341" i="8" s="1"/>
  <c r="O342" i="8" s="1"/>
  <c r="O343" i="8" s="1"/>
  <c r="M338" i="8"/>
  <c r="M339" i="8" s="1"/>
  <c r="M340" i="8" s="1"/>
  <c r="M341" i="8" s="1"/>
  <c r="M342" i="8" s="1"/>
  <c r="M343" i="8" s="1"/>
  <c r="K338" i="8"/>
  <c r="F338" i="8"/>
  <c r="D338" i="8"/>
  <c r="C338" i="8"/>
  <c r="A338" i="8"/>
  <c r="R337" i="8"/>
  <c r="G337" i="8" s="1"/>
  <c r="Q337" i="8"/>
  <c r="Q338" i="8" s="1"/>
  <c r="Q339" i="8" s="1"/>
  <c r="Q340" i="8" s="1"/>
  <c r="Q341" i="8" s="1"/>
  <c r="Q342" i="8" s="1"/>
  <c r="Q343" i="8" s="1"/>
  <c r="O337" i="8"/>
  <c r="M337" i="8"/>
  <c r="K337" i="8"/>
  <c r="F337" i="8"/>
  <c r="D337" i="8"/>
  <c r="C337" i="8"/>
  <c r="A337" i="8"/>
  <c r="R336" i="8"/>
  <c r="G336" i="8" s="1"/>
  <c r="F336" i="8"/>
  <c r="D336" i="8"/>
  <c r="C336" i="8"/>
  <c r="A336" i="8"/>
  <c r="R335" i="8"/>
  <c r="G335" i="8" s="1"/>
  <c r="K335" i="8"/>
  <c r="F335" i="8"/>
  <c r="D335" i="8"/>
  <c r="C335" i="8"/>
  <c r="A335" i="8"/>
  <c r="R334" i="8"/>
  <c r="G334" i="8" s="1"/>
  <c r="F334" i="8"/>
  <c r="D334" i="8"/>
  <c r="C334" i="8"/>
  <c r="A334" i="8"/>
  <c r="R333" i="8"/>
  <c r="G333" i="8" s="1"/>
  <c r="F333" i="8"/>
  <c r="D333" i="8"/>
  <c r="C333" i="8"/>
  <c r="A333" i="8"/>
  <c r="R332" i="8"/>
  <c r="M332" i="8"/>
  <c r="M333" i="8" s="1"/>
  <c r="K332" i="8"/>
  <c r="F332" i="8"/>
  <c r="D332" i="8"/>
  <c r="C332" i="8"/>
  <c r="A332" i="8"/>
  <c r="R331" i="8"/>
  <c r="Q331" i="8"/>
  <c r="Q332" i="8" s="1"/>
  <c r="Q333" i="8" s="1"/>
  <c r="F331" i="8"/>
  <c r="D331" i="8"/>
  <c r="C331" i="8"/>
  <c r="A331" i="8"/>
  <c r="R330" i="8"/>
  <c r="M330" i="8"/>
  <c r="M331" i="8" s="1"/>
  <c r="K330" i="8"/>
  <c r="F330" i="8"/>
  <c r="D330" i="8"/>
  <c r="C330" i="8"/>
  <c r="A330" i="8"/>
  <c r="R329" i="8"/>
  <c r="G329" i="8" s="1"/>
  <c r="F329" i="8"/>
  <c r="D329" i="8"/>
  <c r="C329" i="8"/>
  <c r="A329" i="8"/>
  <c r="R328" i="8"/>
  <c r="G328" i="8" s="1"/>
  <c r="Q328" i="8"/>
  <c r="Q329" i="8" s="1"/>
  <c r="Q330" i="8" s="1"/>
  <c r="O328" i="8"/>
  <c r="O329" i="8" s="1"/>
  <c r="O330" i="8" s="1"/>
  <c r="O331" i="8" s="1"/>
  <c r="O332" i="8" s="1"/>
  <c r="O333" i="8" s="1"/>
  <c r="K328" i="8"/>
  <c r="F328" i="8"/>
  <c r="D328" i="8"/>
  <c r="C328" i="8"/>
  <c r="A328" i="8"/>
  <c r="R327" i="8"/>
  <c r="G327" i="8" s="1"/>
  <c r="Q327" i="8"/>
  <c r="O327" i="8"/>
  <c r="M327" i="8"/>
  <c r="M328" i="8" s="1"/>
  <c r="M329" i="8" s="1"/>
  <c r="K327" i="8"/>
  <c r="F327" i="8"/>
  <c r="D327" i="8"/>
  <c r="C327" i="8"/>
  <c r="A327" i="8"/>
  <c r="R326" i="8"/>
  <c r="G326" i="8" s="1"/>
  <c r="F326" i="8"/>
  <c r="D326" i="8"/>
  <c r="C326" i="8"/>
  <c r="A326" i="8"/>
  <c r="R325" i="8"/>
  <c r="G325" i="8" s="1"/>
  <c r="K325" i="8"/>
  <c r="F325" i="8"/>
  <c r="D325" i="8"/>
  <c r="C325" i="8"/>
  <c r="A325" i="8"/>
  <c r="R324" i="8"/>
  <c r="G324" i="8" s="1"/>
  <c r="F324" i="8"/>
  <c r="D324" i="8"/>
  <c r="C324" i="8"/>
  <c r="A324" i="8"/>
  <c r="R323" i="8"/>
  <c r="G323" i="8" s="1"/>
  <c r="F323" i="8"/>
  <c r="D323" i="8"/>
  <c r="C323" i="8"/>
  <c r="A323" i="8"/>
  <c r="R322" i="8"/>
  <c r="O322" i="8"/>
  <c r="O323" i="8" s="1"/>
  <c r="K322" i="8"/>
  <c r="F322" i="8"/>
  <c r="D322" i="8"/>
  <c r="C322" i="8"/>
  <c r="A322" i="8"/>
  <c r="R321" i="8"/>
  <c r="F321" i="8"/>
  <c r="D321" i="8"/>
  <c r="C321" i="8"/>
  <c r="A321" i="8"/>
  <c r="R320" i="8"/>
  <c r="G320" i="8" s="1"/>
  <c r="Q320" i="8"/>
  <c r="Q321" i="8" s="1"/>
  <c r="Q322" i="8" s="1"/>
  <c r="Q323" i="8" s="1"/>
  <c r="K320" i="8"/>
  <c r="F320" i="8"/>
  <c r="D320" i="8"/>
  <c r="C320" i="8"/>
  <c r="A320" i="8"/>
  <c r="R319" i="8"/>
  <c r="G319" i="8" s="1"/>
  <c r="F319" i="8"/>
  <c r="D319" i="8"/>
  <c r="C319" i="8"/>
  <c r="A319" i="8"/>
  <c r="R318" i="8"/>
  <c r="G318" i="8" s="1"/>
  <c r="K318" i="8"/>
  <c r="F318" i="8"/>
  <c r="D318" i="8"/>
  <c r="C318" i="8"/>
  <c r="A318" i="8"/>
  <c r="R317" i="8"/>
  <c r="G317" i="8" s="1"/>
  <c r="Q317" i="8"/>
  <c r="Q318" i="8" s="1"/>
  <c r="Q319" i="8" s="1"/>
  <c r="O317" i="8"/>
  <c r="O318" i="8" s="1"/>
  <c r="O319" i="8" s="1"/>
  <c r="O320" i="8" s="1"/>
  <c r="O321" i="8" s="1"/>
  <c r="M317" i="8"/>
  <c r="M318" i="8" s="1"/>
  <c r="M319" i="8" s="1"/>
  <c r="M320" i="8" s="1"/>
  <c r="M321" i="8" s="1"/>
  <c r="M322" i="8" s="1"/>
  <c r="M323" i="8" s="1"/>
  <c r="K317" i="8"/>
  <c r="F317" i="8"/>
  <c r="D317" i="8"/>
  <c r="C317" i="8"/>
  <c r="A317" i="8"/>
  <c r="R316" i="8"/>
  <c r="G316" i="8" s="1"/>
  <c r="F316" i="8"/>
  <c r="D316" i="8"/>
  <c r="C316" i="8"/>
  <c r="A316" i="8"/>
  <c r="R315" i="8"/>
  <c r="G315" i="8" s="1"/>
  <c r="K315" i="8"/>
  <c r="F315" i="8"/>
  <c r="D315" i="8"/>
  <c r="C315" i="8"/>
  <c r="A315" i="8"/>
  <c r="R314" i="8"/>
  <c r="G314" i="8" s="1"/>
  <c r="F314" i="8"/>
  <c r="D314" i="8"/>
  <c r="C314" i="8"/>
  <c r="A314" i="8"/>
  <c r="R313" i="8"/>
  <c r="G313" i="8" s="1"/>
  <c r="M313" i="8"/>
  <c r="F313" i="8"/>
  <c r="D313" i="8"/>
  <c r="C313" i="8"/>
  <c r="A313" i="8"/>
  <c r="R312" i="8"/>
  <c r="K312" i="8"/>
  <c r="F312" i="8"/>
  <c r="D312" i="8"/>
  <c r="C312" i="8"/>
  <c r="A312" i="8"/>
  <c r="R311" i="8"/>
  <c r="F311" i="8"/>
  <c r="D311" i="8"/>
  <c r="C311" i="8"/>
  <c r="A311" i="8"/>
  <c r="R310" i="8"/>
  <c r="G310" i="8" s="1"/>
  <c r="K310" i="8"/>
  <c r="F310" i="8"/>
  <c r="D310" i="8"/>
  <c r="C310" i="8"/>
  <c r="A310" i="8"/>
  <c r="R309" i="8"/>
  <c r="G309" i="8" s="1"/>
  <c r="F309" i="8"/>
  <c r="D309" i="8"/>
  <c r="C309" i="8"/>
  <c r="A309" i="8"/>
  <c r="R308" i="8"/>
  <c r="G308" i="8" s="1"/>
  <c r="M308" i="8"/>
  <c r="M309" i="8" s="1"/>
  <c r="M310" i="8" s="1"/>
  <c r="M311" i="8" s="1"/>
  <c r="M312" i="8" s="1"/>
  <c r="K308" i="8"/>
  <c r="F308" i="8"/>
  <c r="D308" i="8"/>
  <c r="C308" i="8"/>
  <c r="A308" i="8"/>
  <c r="R307" i="8"/>
  <c r="G307" i="8" s="1"/>
  <c r="Q307" i="8"/>
  <c r="Q308" i="8" s="1"/>
  <c r="Q309" i="8" s="1"/>
  <c r="Q310" i="8" s="1"/>
  <c r="Q311" i="8" s="1"/>
  <c r="Q312" i="8" s="1"/>
  <c r="Q313" i="8" s="1"/>
  <c r="O307" i="8"/>
  <c r="O308" i="8" s="1"/>
  <c r="O309" i="8" s="1"/>
  <c r="O310" i="8" s="1"/>
  <c r="O311" i="8" s="1"/>
  <c r="O312" i="8" s="1"/>
  <c r="O313" i="8" s="1"/>
  <c r="M307" i="8"/>
  <c r="K307" i="8"/>
  <c r="F307" i="8"/>
  <c r="D307" i="8"/>
  <c r="C307" i="8"/>
  <c r="A307" i="8"/>
  <c r="R306" i="8"/>
  <c r="G306" i="8" s="1"/>
  <c r="F306" i="8"/>
  <c r="D306" i="8"/>
  <c r="C306" i="8"/>
  <c r="A306" i="8"/>
  <c r="R305" i="8"/>
  <c r="G305" i="8" s="1"/>
  <c r="K305" i="8"/>
  <c r="F305" i="8"/>
  <c r="D305" i="8"/>
  <c r="C305" i="8"/>
  <c r="A305" i="8"/>
  <c r="R304" i="8"/>
  <c r="G304" i="8" s="1"/>
  <c r="F304" i="8"/>
  <c r="D304" i="8"/>
  <c r="C304" i="8"/>
  <c r="A304" i="8"/>
  <c r="R303" i="8"/>
  <c r="G303" i="8" s="1"/>
  <c r="O303" i="8"/>
  <c r="F303" i="8"/>
  <c r="D303" i="8"/>
  <c r="C303" i="8"/>
  <c r="A303" i="8"/>
  <c r="R302" i="8"/>
  <c r="K302" i="8"/>
  <c r="F302" i="8"/>
  <c r="D302" i="8"/>
  <c r="C302" i="8"/>
  <c r="A302" i="8"/>
  <c r="R301" i="8"/>
  <c r="F301" i="8"/>
  <c r="D301" i="8"/>
  <c r="C301" i="8"/>
  <c r="A301" i="8"/>
  <c r="R300" i="8"/>
  <c r="O300" i="8"/>
  <c r="O301" i="8" s="1"/>
  <c r="O302" i="8" s="1"/>
  <c r="M300" i="8"/>
  <c r="M301" i="8" s="1"/>
  <c r="M302" i="8" s="1"/>
  <c r="M303" i="8" s="1"/>
  <c r="K300" i="8"/>
  <c r="F300" i="8"/>
  <c r="D300" i="8"/>
  <c r="C300" i="8"/>
  <c r="A300" i="8"/>
  <c r="R299" i="8"/>
  <c r="G299" i="8" s="1"/>
  <c r="F299" i="8"/>
  <c r="D299" i="8"/>
  <c r="C299" i="8"/>
  <c r="A299" i="8"/>
  <c r="R298" i="8"/>
  <c r="G298" i="8" s="1"/>
  <c r="Q298" i="8"/>
  <c r="Q299" i="8" s="1"/>
  <c r="Q300" i="8" s="1"/>
  <c r="Q301" i="8" s="1"/>
  <c r="Q302" i="8" s="1"/>
  <c r="Q303" i="8" s="1"/>
  <c r="O298" i="8"/>
  <c r="O299" i="8" s="1"/>
  <c r="M298" i="8"/>
  <c r="M299" i="8" s="1"/>
  <c r="K298" i="8"/>
  <c r="F298" i="8"/>
  <c r="D298" i="8"/>
  <c r="C298" i="8"/>
  <c r="A298" i="8"/>
  <c r="R297" i="8"/>
  <c r="G297" i="8" s="1"/>
  <c r="Q297" i="8"/>
  <c r="O297" i="8"/>
  <c r="M297" i="8"/>
  <c r="K297" i="8"/>
  <c r="F297" i="8"/>
  <c r="D297" i="8"/>
  <c r="C297" i="8"/>
  <c r="A297" i="8"/>
  <c r="R296" i="8"/>
  <c r="G296" i="8" s="1"/>
  <c r="F296" i="8"/>
  <c r="D296" i="8"/>
  <c r="C296" i="8"/>
  <c r="A296" i="8"/>
  <c r="R295" i="8"/>
  <c r="G295" i="8" s="1"/>
  <c r="K295" i="8"/>
  <c r="F295" i="8"/>
  <c r="D295" i="8"/>
  <c r="C295" i="8"/>
  <c r="A295" i="8"/>
  <c r="R294" i="8"/>
  <c r="G294" i="8" s="1"/>
  <c r="F294" i="8"/>
  <c r="D294" i="8"/>
  <c r="C294" i="8"/>
  <c r="A294" i="8"/>
  <c r="R293" i="8"/>
  <c r="G293" i="8" s="1"/>
  <c r="F293" i="8"/>
  <c r="D293" i="8"/>
  <c r="C293" i="8"/>
  <c r="A293" i="8"/>
  <c r="R292" i="8"/>
  <c r="K292" i="8"/>
  <c r="F292" i="8"/>
  <c r="D292" i="8"/>
  <c r="C292" i="8"/>
  <c r="A292" i="8"/>
  <c r="R291" i="8"/>
  <c r="F291" i="8"/>
  <c r="D291" i="8"/>
  <c r="C291" i="8"/>
  <c r="A291" i="8"/>
  <c r="R290" i="8"/>
  <c r="K290" i="8"/>
  <c r="F290" i="8"/>
  <c r="D290" i="8"/>
  <c r="C290" i="8"/>
  <c r="A290" i="8"/>
  <c r="R289" i="8"/>
  <c r="G289" i="8" s="1"/>
  <c r="O289" i="8"/>
  <c r="O290" i="8" s="1"/>
  <c r="O291" i="8" s="1"/>
  <c r="O292" i="8" s="1"/>
  <c r="O293" i="8" s="1"/>
  <c r="M289" i="8"/>
  <c r="M290" i="8" s="1"/>
  <c r="M291" i="8" s="1"/>
  <c r="M292" i="8" s="1"/>
  <c r="M293" i="8" s="1"/>
  <c r="F289" i="8"/>
  <c r="D289" i="8"/>
  <c r="C289" i="8"/>
  <c r="A289" i="8"/>
  <c r="R288" i="8"/>
  <c r="G288" i="8" s="1"/>
  <c r="Q288" i="8"/>
  <c r="Q289" i="8" s="1"/>
  <c r="Q290" i="8" s="1"/>
  <c r="Q291" i="8" s="1"/>
  <c r="Q292" i="8" s="1"/>
  <c r="Q293" i="8" s="1"/>
  <c r="K288" i="8"/>
  <c r="F288" i="8"/>
  <c r="D288" i="8"/>
  <c r="C288" i="8"/>
  <c r="A288" i="8"/>
  <c r="R287" i="8"/>
  <c r="G287" i="8" s="1"/>
  <c r="Q287" i="8"/>
  <c r="O287" i="8"/>
  <c r="O288" i="8" s="1"/>
  <c r="M287" i="8"/>
  <c r="M288" i="8" s="1"/>
  <c r="K287" i="8"/>
  <c r="F287" i="8"/>
  <c r="D287" i="8"/>
  <c r="C287" i="8"/>
  <c r="A287" i="8"/>
  <c r="R286" i="8"/>
  <c r="G286" i="8" s="1"/>
  <c r="F286" i="8"/>
  <c r="D286" i="8"/>
  <c r="C286" i="8"/>
  <c r="A286" i="8"/>
  <c r="R285" i="8"/>
  <c r="G285" i="8" s="1"/>
  <c r="K285" i="8"/>
  <c r="F285" i="8"/>
  <c r="D285" i="8"/>
  <c r="C285" i="8"/>
  <c r="A285" i="8"/>
  <c r="R284" i="8"/>
  <c r="G284" i="8" s="1"/>
  <c r="F284" i="8"/>
  <c r="D284" i="8"/>
  <c r="C284" i="8"/>
  <c r="A284" i="8"/>
  <c r="R283" i="8"/>
  <c r="G283" i="8" s="1"/>
  <c r="F283" i="8"/>
  <c r="D283" i="8"/>
  <c r="C283" i="8"/>
  <c r="A283" i="8"/>
  <c r="R282" i="8"/>
  <c r="Q282" i="8"/>
  <c r="Q283" i="8" s="1"/>
  <c r="K282" i="8"/>
  <c r="F282" i="8"/>
  <c r="D282" i="8"/>
  <c r="C282" i="8"/>
  <c r="A282" i="8"/>
  <c r="R281" i="8"/>
  <c r="O281" i="8"/>
  <c r="O282" i="8" s="1"/>
  <c r="O283" i="8" s="1"/>
  <c r="F281" i="8"/>
  <c r="D281" i="8"/>
  <c r="C281" i="8"/>
  <c r="A281" i="8"/>
  <c r="R280" i="8"/>
  <c r="K280" i="8"/>
  <c r="F280" i="8"/>
  <c r="D280" i="8"/>
  <c r="C280" i="8"/>
  <c r="A280" i="8"/>
  <c r="R279" i="8"/>
  <c r="G279" i="8" s="1"/>
  <c r="F279" i="8"/>
  <c r="D279" i="8"/>
  <c r="C279" i="8"/>
  <c r="A279" i="8"/>
  <c r="R278" i="8"/>
  <c r="G278" i="8" s="1"/>
  <c r="O278" i="8"/>
  <c r="O279" i="8" s="1"/>
  <c r="O280" i="8" s="1"/>
  <c r="M278" i="8"/>
  <c r="M279" i="8" s="1"/>
  <c r="M280" i="8" s="1"/>
  <c r="M281" i="8" s="1"/>
  <c r="M282" i="8" s="1"/>
  <c r="M283" i="8" s="1"/>
  <c r="K278" i="8"/>
  <c r="F278" i="8"/>
  <c r="D278" i="8"/>
  <c r="C278" i="8"/>
  <c r="A278" i="8"/>
  <c r="R277" i="8"/>
  <c r="G277" i="8" s="1"/>
  <c r="Q277" i="8"/>
  <c r="Q278" i="8" s="1"/>
  <c r="Q279" i="8" s="1"/>
  <c r="Q280" i="8" s="1"/>
  <c r="Q281" i="8" s="1"/>
  <c r="O277" i="8"/>
  <c r="M277" i="8"/>
  <c r="K277" i="8"/>
  <c r="F277" i="8"/>
  <c r="D277" i="8"/>
  <c r="C277" i="8"/>
  <c r="A277" i="8"/>
  <c r="R276" i="8"/>
  <c r="G276" i="8" s="1"/>
  <c r="F276" i="8"/>
  <c r="D276" i="8"/>
  <c r="C276" i="8"/>
  <c r="A276" i="8"/>
  <c r="R275" i="8"/>
  <c r="G275" i="8" s="1"/>
  <c r="K275" i="8"/>
  <c r="F275" i="8"/>
  <c r="D275" i="8"/>
  <c r="C275" i="8"/>
  <c r="A275" i="8"/>
  <c r="R274" i="8"/>
  <c r="G274" i="8" s="1"/>
  <c r="F274" i="8"/>
  <c r="D274" i="8"/>
  <c r="C274" i="8"/>
  <c r="A274" i="8"/>
  <c r="R273" i="8"/>
  <c r="G273" i="8" s="1"/>
  <c r="F273" i="8"/>
  <c r="D273" i="8"/>
  <c r="C273" i="8"/>
  <c r="A273" i="8"/>
  <c r="R272" i="8"/>
  <c r="K272" i="8"/>
  <c r="F272" i="8"/>
  <c r="D272" i="8"/>
  <c r="C272" i="8"/>
  <c r="A272" i="8"/>
  <c r="R271" i="8"/>
  <c r="F271" i="8"/>
  <c r="D271" i="8"/>
  <c r="C271" i="8"/>
  <c r="A271" i="8"/>
  <c r="R270" i="8"/>
  <c r="M270" i="8"/>
  <c r="M271" i="8" s="1"/>
  <c r="M272" i="8" s="1"/>
  <c r="M273" i="8" s="1"/>
  <c r="K270" i="8"/>
  <c r="F270" i="8"/>
  <c r="D270" i="8"/>
  <c r="C270" i="8"/>
  <c r="A270" i="8"/>
  <c r="R269" i="8"/>
  <c r="G269" i="8" s="1"/>
  <c r="F269" i="8"/>
  <c r="D269" i="8"/>
  <c r="C269" i="8"/>
  <c r="A269" i="8"/>
  <c r="R268" i="8"/>
  <c r="G268" i="8" s="1"/>
  <c r="Q268" i="8"/>
  <c r="Q269" i="8" s="1"/>
  <c r="Q270" i="8" s="1"/>
  <c r="Q271" i="8" s="1"/>
  <c r="Q272" i="8" s="1"/>
  <c r="Q273" i="8" s="1"/>
  <c r="O268" i="8"/>
  <c r="O269" i="8" s="1"/>
  <c r="O270" i="8" s="1"/>
  <c r="O271" i="8" s="1"/>
  <c r="O272" i="8" s="1"/>
  <c r="O273" i="8" s="1"/>
  <c r="K268" i="8"/>
  <c r="F268" i="8"/>
  <c r="D268" i="8"/>
  <c r="C268" i="8"/>
  <c r="A268" i="8"/>
  <c r="R267" i="8"/>
  <c r="G267" i="8" s="1"/>
  <c r="Q267" i="8"/>
  <c r="O267" i="8"/>
  <c r="M267" i="8"/>
  <c r="M268" i="8" s="1"/>
  <c r="M269" i="8" s="1"/>
  <c r="K267" i="8"/>
  <c r="F267" i="8"/>
  <c r="D267" i="8"/>
  <c r="C267" i="8"/>
  <c r="A267" i="8"/>
  <c r="R266" i="8"/>
  <c r="G266" i="8" s="1"/>
  <c r="F266" i="8"/>
  <c r="D266" i="8"/>
  <c r="C266" i="8"/>
  <c r="A266" i="8"/>
  <c r="R265" i="8"/>
  <c r="G265" i="8" s="1"/>
  <c r="K265" i="8"/>
  <c r="F265" i="8"/>
  <c r="D265" i="8"/>
  <c r="C265" i="8"/>
  <c r="A265" i="8"/>
  <c r="R264" i="8"/>
  <c r="G264" i="8" s="1"/>
  <c r="F264" i="8"/>
  <c r="D264" i="8"/>
  <c r="C264" i="8"/>
  <c r="A264" i="8"/>
  <c r="R263" i="8"/>
  <c r="G263" i="8" s="1"/>
  <c r="F263" i="8"/>
  <c r="D263" i="8"/>
  <c r="C263" i="8"/>
  <c r="A263" i="8"/>
  <c r="R262" i="8"/>
  <c r="K262" i="8"/>
  <c r="F262" i="8"/>
  <c r="D262" i="8"/>
  <c r="C262" i="8"/>
  <c r="A262" i="8"/>
  <c r="R261" i="8"/>
  <c r="M261" i="8"/>
  <c r="M262" i="8" s="1"/>
  <c r="M263" i="8" s="1"/>
  <c r="F261" i="8"/>
  <c r="D261" i="8"/>
  <c r="C261" i="8"/>
  <c r="A261" i="8"/>
  <c r="R260" i="8"/>
  <c r="Q260" i="8"/>
  <c r="Q261" i="8" s="1"/>
  <c r="Q262" i="8" s="1"/>
  <c r="Q263" i="8" s="1"/>
  <c r="O260" i="8"/>
  <c r="O261" i="8" s="1"/>
  <c r="O262" i="8" s="1"/>
  <c r="O263" i="8" s="1"/>
  <c r="K260" i="8"/>
  <c r="F260" i="8"/>
  <c r="D260" i="8"/>
  <c r="C260" i="8"/>
  <c r="A260" i="8"/>
  <c r="R259" i="8"/>
  <c r="G259" i="8" s="1"/>
  <c r="M259" i="8"/>
  <c r="M260" i="8" s="1"/>
  <c r="F259" i="8"/>
  <c r="D259" i="8"/>
  <c r="C259" i="8"/>
  <c r="A259" i="8"/>
  <c r="R258" i="8"/>
  <c r="G258" i="8" s="1"/>
  <c r="K258" i="8"/>
  <c r="F258" i="8"/>
  <c r="D258" i="8"/>
  <c r="C258" i="8"/>
  <c r="A258" i="8"/>
  <c r="R257" i="8"/>
  <c r="G257" i="8" s="1"/>
  <c r="Q257" i="8"/>
  <c r="Q258" i="8" s="1"/>
  <c r="Q259" i="8" s="1"/>
  <c r="O257" i="8"/>
  <c r="O258" i="8" s="1"/>
  <c r="O259" i="8" s="1"/>
  <c r="M257" i="8"/>
  <c r="M258" i="8" s="1"/>
  <c r="K257" i="8"/>
  <c r="F257" i="8"/>
  <c r="D257" i="8"/>
  <c r="C257" i="8"/>
  <c r="A257" i="8"/>
  <c r="R256" i="8"/>
  <c r="G256" i="8" s="1"/>
  <c r="F256" i="8"/>
  <c r="D256" i="8"/>
  <c r="C256" i="8"/>
  <c r="A256" i="8"/>
  <c r="R255" i="8"/>
  <c r="G255" i="8" s="1"/>
  <c r="K255" i="8"/>
  <c r="F255" i="8"/>
  <c r="D255" i="8"/>
  <c r="C255" i="8"/>
  <c r="A255" i="8"/>
  <c r="R254" i="8"/>
  <c r="G254" i="8" s="1"/>
  <c r="F254" i="8"/>
  <c r="D254" i="8"/>
  <c r="C254" i="8"/>
  <c r="A254" i="8"/>
  <c r="R253" i="8"/>
  <c r="G253" i="8" s="1"/>
  <c r="F253" i="8"/>
  <c r="D253" i="8"/>
  <c r="C253" i="8"/>
  <c r="A253" i="8"/>
  <c r="R252" i="8"/>
  <c r="K252" i="8"/>
  <c r="F252" i="8"/>
  <c r="D252" i="8"/>
  <c r="C252" i="8"/>
  <c r="A252" i="8"/>
  <c r="R251" i="8"/>
  <c r="F251" i="8"/>
  <c r="D251" i="8"/>
  <c r="C251" i="8"/>
  <c r="A251" i="8"/>
  <c r="R250" i="8"/>
  <c r="G250" i="8" s="1"/>
  <c r="K250" i="8"/>
  <c r="F250" i="8"/>
  <c r="D250" i="8"/>
  <c r="C250" i="8"/>
  <c r="A250" i="8"/>
  <c r="R249" i="8"/>
  <c r="G249" i="8" s="1"/>
  <c r="F249" i="8"/>
  <c r="D249" i="8"/>
  <c r="C249" i="8"/>
  <c r="A249" i="8"/>
  <c r="R248" i="8"/>
  <c r="G248" i="8" s="1"/>
  <c r="M248" i="8"/>
  <c r="M249" i="8" s="1"/>
  <c r="M250" i="8" s="1"/>
  <c r="M251" i="8" s="1"/>
  <c r="M252" i="8" s="1"/>
  <c r="M253" i="8" s="1"/>
  <c r="K248" i="8"/>
  <c r="F248" i="8"/>
  <c r="D248" i="8"/>
  <c r="C248" i="8"/>
  <c r="A248" i="8"/>
  <c r="R247" i="8"/>
  <c r="G247" i="8" s="1"/>
  <c r="Q247" i="8"/>
  <c r="Q248" i="8" s="1"/>
  <c r="Q249" i="8" s="1"/>
  <c r="Q250" i="8" s="1"/>
  <c r="Q251" i="8" s="1"/>
  <c r="Q252" i="8" s="1"/>
  <c r="Q253" i="8" s="1"/>
  <c r="O247" i="8"/>
  <c r="O248" i="8" s="1"/>
  <c r="O249" i="8" s="1"/>
  <c r="O250" i="8" s="1"/>
  <c r="O251" i="8" s="1"/>
  <c r="O252" i="8" s="1"/>
  <c r="O253" i="8" s="1"/>
  <c r="M247" i="8"/>
  <c r="K247" i="8"/>
  <c r="F247" i="8"/>
  <c r="D247" i="8"/>
  <c r="C247" i="8"/>
  <c r="A247" i="8"/>
  <c r="R246" i="8"/>
  <c r="G246" i="8" s="1"/>
  <c r="F246" i="8"/>
  <c r="D246" i="8"/>
  <c r="C246" i="8"/>
  <c r="A246" i="8"/>
  <c r="R245" i="8"/>
  <c r="G245" i="8" s="1"/>
  <c r="K245" i="8"/>
  <c r="F245" i="8"/>
  <c r="D245" i="8"/>
  <c r="C245" i="8"/>
  <c r="A245" i="8"/>
  <c r="R244" i="8"/>
  <c r="G244" i="8" s="1"/>
  <c r="F244" i="8"/>
  <c r="D244" i="8"/>
  <c r="C244" i="8"/>
  <c r="A244" i="8"/>
  <c r="R243" i="8"/>
  <c r="G243" i="8" s="1"/>
  <c r="F243" i="8"/>
  <c r="D243" i="8"/>
  <c r="C243" i="8"/>
  <c r="A243" i="8"/>
  <c r="R242" i="8"/>
  <c r="K242" i="8"/>
  <c r="F242" i="8"/>
  <c r="D242" i="8"/>
  <c r="C242" i="8"/>
  <c r="A242" i="8"/>
  <c r="R241" i="8"/>
  <c r="F241" i="8"/>
  <c r="D241" i="8"/>
  <c r="C241" i="8"/>
  <c r="A241" i="8"/>
  <c r="R240" i="8"/>
  <c r="O240" i="8"/>
  <c r="O241" i="8" s="1"/>
  <c r="O242" i="8" s="1"/>
  <c r="O243" i="8" s="1"/>
  <c r="M240" i="8"/>
  <c r="M241" i="8" s="1"/>
  <c r="M242" i="8" s="1"/>
  <c r="M243" i="8" s="1"/>
  <c r="K240" i="8"/>
  <c r="F240" i="8"/>
  <c r="D240" i="8"/>
  <c r="C240" i="8"/>
  <c r="A240" i="8"/>
  <c r="R239" i="8"/>
  <c r="G239" i="8" s="1"/>
  <c r="F239" i="8"/>
  <c r="D239" i="8"/>
  <c r="C239" i="8"/>
  <c r="A239" i="8"/>
  <c r="R238" i="8"/>
  <c r="G238" i="8" s="1"/>
  <c r="O238" i="8"/>
  <c r="O239" i="8" s="1"/>
  <c r="M238" i="8"/>
  <c r="M239" i="8" s="1"/>
  <c r="K238" i="8"/>
  <c r="F238" i="8"/>
  <c r="D238" i="8"/>
  <c r="C238" i="8"/>
  <c r="A238" i="8"/>
  <c r="R237" i="8"/>
  <c r="G237" i="8" s="1"/>
  <c r="M237" i="8"/>
  <c r="K237" i="8"/>
  <c r="F237" i="8"/>
  <c r="D237" i="8"/>
  <c r="C237" i="8"/>
  <c r="A237" i="8"/>
  <c r="R236" i="8"/>
  <c r="G236" i="8" s="1"/>
  <c r="Q236" i="8"/>
  <c r="Q237" i="8" s="1"/>
  <c r="Q238" i="8" s="1"/>
  <c r="Q239" i="8" s="1"/>
  <c r="Q240" i="8" s="1"/>
  <c r="Q241" i="8" s="1"/>
  <c r="Q242" i="8" s="1"/>
  <c r="Q243" i="8" s="1"/>
  <c r="O236" i="8"/>
  <c r="O237" i="8" s="1"/>
  <c r="M236" i="8"/>
  <c r="F236" i="8"/>
  <c r="D236" i="8"/>
  <c r="C236" i="8"/>
  <c r="A236" i="8"/>
  <c r="R235" i="8"/>
  <c r="G235" i="8" s="1"/>
  <c r="K235" i="8"/>
  <c r="F235" i="8"/>
  <c r="D235" i="8"/>
  <c r="C235" i="8"/>
  <c r="A235" i="8"/>
  <c r="R234" i="8"/>
  <c r="G234" i="8" s="1"/>
  <c r="F234" i="8"/>
  <c r="D234" i="8"/>
  <c r="C234" i="8"/>
  <c r="A234" i="8"/>
  <c r="R233" i="8"/>
  <c r="G233" i="8" s="1"/>
  <c r="F233" i="8"/>
  <c r="D233" i="8"/>
  <c r="C233" i="8"/>
  <c r="A233" i="8"/>
  <c r="R232" i="8"/>
  <c r="K232" i="8"/>
  <c r="F232" i="8"/>
  <c r="D232" i="8"/>
  <c r="C232" i="8"/>
  <c r="A232" i="8"/>
  <c r="R231" i="8"/>
  <c r="F231" i="8"/>
  <c r="D231" i="8"/>
  <c r="C231" i="8"/>
  <c r="A231" i="8"/>
  <c r="R230" i="8"/>
  <c r="G230" i="8" s="1"/>
  <c r="K230" i="8"/>
  <c r="F230" i="8"/>
  <c r="D230" i="8"/>
  <c r="C230" i="8"/>
  <c r="A230" i="8"/>
  <c r="R229" i="8"/>
  <c r="G229" i="8" s="1"/>
  <c r="F229" i="8"/>
  <c r="D229" i="8"/>
  <c r="C229" i="8"/>
  <c r="A229" i="8"/>
  <c r="R228" i="8"/>
  <c r="G228" i="8" s="1"/>
  <c r="Q228" i="8"/>
  <c r="Q229" i="8" s="1"/>
  <c r="Q230" i="8" s="1"/>
  <c r="Q231" i="8" s="1"/>
  <c r="Q232" i="8" s="1"/>
  <c r="Q233" i="8" s="1"/>
  <c r="O228" i="8"/>
  <c r="O229" i="8" s="1"/>
  <c r="O230" i="8" s="1"/>
  <c r="O231" i="8" s="1"/>
  <c r="O232" i="8" s="1"/>
  <c r="O233" i="8" s="1"/>
  <c r="M228" i="8"/>
  <c r="M229" i="8" s="1"/>
  <c r="M230" i="8" s="1"/>
  <c r="M231" i="8" s="1"/>
  <c r="M232" i="8" s="1"/>
  <c r="M233" i="8" s="1"/>
  <c r="K228" i="8"/>
  <c r="F228" i="8"/>
  <c r="D228" i="8"/>
  <c r="C228" i="8"/>
  <c r="A228" i="8"/>
  <c r="R227" i="8"/>
  <c r="G227" i="8" s="1"/>
  <c r="K227" i="8"/>
  <c r="F227" i="8"/>
  <c r="D227" i="8"/>
  <c r="C227" i="8"/>
  <c r="A227" i="8"/>
  <c r="R226" i="8"/>
  <c r="G226" i="8" s="1"/>
  <c r="F226" i="8"/>
  <c r="D226" i="8"/>
  <c r="C226" i="8"/>
  <c r="A226" i="8"/>
  <c r="R225" i="8"/>
  <c r="G225" i="8" s="1"/>
  <c r="K225" i="8"/>
  <c r="F225" i="8"/>
  <c r="D225" i="8"/>
  <c r="C225" i="8"/>
  <c r="A225" i="8"/>
  <c r="R224" i="8"/>
  <c r="G224" i="8" s="1"/>
  <c r="F224" i="8"/>
  <c r="D224" i="8"/>
  <c r="C224" i="8"/>
  <c r="A224" i="8"/>
  <c r="R223" i="8"/>
  <c r="G223" i="8" s="1"/>
  <c r="F223" i="8"/>
  <c r="D223" i="8"/>
  <c r="C223" i="8"/>
  <c r="A223" i="8"/>
  <c r="R222" i="8"/>
  <c r="K222" i="8"/>
  <c r="F222" i="8"/>
  <c r="D222" i="8"/>
  <c r="C222" i="8"/>
  <c r="A222" i="8"/>
  <c r="R221" i="8"/>
  <c r="M221" i="8"/>
  <c r="M222" i="8" s="1"/>
  <c r="M223" i="8" s="1"/>
  <c r="F221" i="8"/>
  <c r="D221" i="8"/>
  <c r="C221" i="8"/>
  <c r="A221" i="8"/>
  <c r="R220" i="8"/>
  <c r="G220" i="8" s="1"/>
  <c r="K220" i="8"/>
  <c r="F220" i="8"/>
  <c r="D220" i="8"/>
  <c r="C220" i="8"/>
  <c r="A220" i="8"/>
  <c r="R219" i="8"/>
  <c r="G219" i="8" s="1"/>
  <c r="F219" i="8"/>
  <c r="D219" i="8"/>
  <c r="C219" i="8"/>
  <c r="A219" i="8"/>
  <c r="R218" i="8"/>
  <c r="G218" i="8" s="1"/>
  <c r="O218" i="8"/>
  <c r="O219" i="8" s="1"/>
  <c r="O220" i="8" s="1"/>
  <c r="O221" i="8" s="1"/>
  <c r="O222" i="8" s="1"/>
  <c r="O223" i="8" s="1"/>
  <c r="M218" i="8"/>
  <c r="M219" i="8" s="1"/>
  <c r="M220" i="8" s="1"/>
  <c r="K218" i="8"/>
  <c r="F218" i="8"/>
  <c r="D218" i="8"/>
  <c r="C218" i="8"/>
  <c r="A218" i="8"/>
  <c r="R217" i="8"/>
  <c r="G217" i="8" s="1"/>
  <c r="Q217" i="8"/>
  <c r="Q218" i="8" s="1"/>
  <c r="Q219" i="8" s="1"/>
  <c r="Q220" i="8" s="1"/>
  <c r="Q221" i="8" s="1"/>
  <c r="Q222" i="8" s="1"/>
  <c r="Q223" i="8" s="1"/>
  <c r="O217" i="8"/>
  <c r="M217" i="8"/>
  <c r="K217" i="8"/>
  <c r="F217" i="8"/>
  <c r="D217" i="8"/>
  <c r="C217" i="8"/>
  <c r="A217" i="8"/>
  <c r="R216" i="8"/>
  <c r="G216" i="8" s="1"/>
  <c r="F216" i="8"/>
  <c r="D216" i="8"/>
  <c r="C216" i="8"/>
  <c r="A216" i="8"/>
  <c r="R215" i="8"/>
  <c r="G215" i="8" s="1"/>
  <c r="K215" i="8"/>
  <c r="F215" i="8"/>
  <c r="D215" i="8"/>
  <c r="C215" i="8"/>
  <c r="A215" i="8"/>
  <c r="R214" i="8"/>
  <c r="G214" i="8" s="1"/>
  <c r="F214" i="8"/>
  <c r="D214" i="8"/>
  <c r="C214" i="8"/>
  <c r="A214" i="8"/>
  <c r="R213" i="8"/>
  <c r="G213" i="8" s="1"/>
  <c r="Q213" i="8"/>
  <c r="F213" i="8"/>
  <c r="D213" i="8"/>
  <c r="C213" i="8"/>
  <c r="A213" i="8"/>
  <c r="R212" i="8"/>
  <c r="K212" i="8"/>
  <c r="F212" i="8"/>
  <c r="D212" i="8"/>
  <c r="C212" i="8"/>
  <c r="A212" i="8"/>
  <c r="R211" i="8"/>
  <c r="F211" i="8"/>
  <c r="D211" i="8"/>
  <c r="C211" i="8"/>
  <c r="A211" i="8"/>
  <c r="R210" i="8"/>
  <c r="M210" i="8"/>
  <c r="M211" i="8" s="1"/>
  <c r="M212" i="8" s="1"/>
  <c r="M213" i="8" s="1"/>
  <c r="K210" i="8"/>
  <c r="F210" i="8"/>
  <c r="D210" i="8"/>
  <c r="C210" i="8"/>
  <c r="A210" i="8"/>
  <c r="R209" i="8"/>
  <c r="G209" i="8" s="1"/>
  <c r="M209" i="8"/>
  <c r="F209" i="8"/>
  <c r="D209" i="8"/>
  <c r="C209" i="8"/>
  <c r="A209" i="8"/>
  <c r="R208" i="8"/>
  <c r="G208" i="8" s="1"/>
  <c r="Q208" i="8"/>
  <c r="Q209" i="8" s="1"/>
  <c r="Q210" i="8" s="1"/>
  <c r="Q211" i="8" s="1"/>
  <c r="Q212" i="8" s="1"/>
  <c r="O208" i="8"/>
  <c r="O209" i="8" s="1"/>
  <c r="O210" i="8" s="1"/>
  <c r="O211" i="8" s="1"/>
  <c r="O212" i="8" s="1"/>
  <c r="O213" i="8" s="1"/>
  <c r="M208" i="8"/>
  <c r="K208" i="8"/>
  <c r="F208" i="8"/>
  <c r="D208" i="8"/>
  <c r="C208" i="8"/>
  <c r="A208" i="8"/>
  <c r="R207" i="8"/>
  <c r="G207" i="8" s="1"/>
  <c r="K207" i="8"/>
  <c r="F207" i="8"/>
  <c r="D207" i="8"/>
  <c r="C207" i="8"/>
  <c r="A207" i="8"/>
  <c r="R206" i="8"/>
  <c r="G206" i="8" s="1"/>
  <c r="F206" i="8"/>
  <c r="D206" i="8"/>
  <c r="C206" i="8"/>
  <c r="A206" i="8"/>
  <c r="R205" i="8"/>
  <c r="G205" i="8" s="1"/>
  <c r="K205" i="8"/>
  <c r="F205" i="8"/>
  <c r="D205" i="8"/>
  <c r="C205" i="8"/>
  <c r="A205" i="8"/>
  <c r="R204" i="8"/>
  <c r="G204" i="8" s="1"/>
  <c r="F204" i="8"/>
  <c r="D204" i="8"/>
  <c r="C204" i="8"/>
  <c r="A204" i="8"/>
  <c r="R203" i="8"/>
  <c r="G203" i="8" s="1"/>
  <c r="F203" i="8"/>
  <c r="D203" i="8"/>
  <c r="C203" i="8"/>
  <c r="A203" i="8"/>
  <c r="R202" i="8"/>
  <c r="G202" i="8" s="1"/>
  <c r="K202" i="8"/>
  <c r="F202" i="8"/>
  <c r="D202" i="8"/>
  <c r="C202" i="8"/>
  <c r="A202" i="8"/>
  <c r="R201" i="8"/>
  <c r="G201" i="8" s="1"/>
  <c r="O201" i="8"/>
  <c r="O202" i="8" s="1"/>
  <c r="O203" i="8" s="1"/>
  <c r="F201" i="8"/>
  <c r="D201" i="8"/>
  <c r="C201" i="8"/>
  <c r="A201" i="8"/>
  <c r="R200" i="8"/>
  <c r="G200" i="8" s="1"/>
  <c r="K200" i="8"/>
  <c r="F200" i="8"/>
  <c r="D200" i="8"/>
  <c r="C200" i="8"/>
  <c r="A200" i="8"/>
  <c r="R199" i="8"/>
  <c r="G199" i="8" s="1"/>
  <c r="F199" i="8"/>
  <c r="D199" i="8"/>
  <c r="C199" i="8"/>
  <c r="A199" i="8"/>
  <c r="R198" i="8"/>
  <c r="G198" i="8" s="1"/>
  <c r="Q198" i="8"/>
  <c r="Q199" i="8" s="1"/>
  <c r="Q200" i="8" s="1"/>
  <c r="Q201" i="8" s="1"/>
  <c r="Q202" i="8" s="1"/>
  <c r="Q203" i="8" s="1"/>
  <c r="O198" i="8"/>
  <c r="O199" i="8" s="1"/>
  <c r="O200" i="8" s="1"/>
  <c r="M198" i="8"/>
  <c r="M199" i="8" s="1"/>
  <c r="M200" i="8" s="1"/>
  <c r="M201" i="8" s="1"/>
  <c r="M202" i="8" s="1"/>
  <c r="M203" i="8" s="1"/>
  <c r="K198" i="8"/>
  <c r="F198" i="8"/>
  <c r="D198" i="8"/>
  <c r="C198" i="8"/>
  <c r="A198" i="8"/>
  <c r="R197" i="8"/>
  <c r="G197" i="8" s="1"/>
  <c r="K197" i="8"/>
  <c r="F197" i="8"/>
  <c r="D197" i="8"/>
  <c r="C197" i="8"/>
  <c r="A197" i="8"/>
  <c r="R196" i="8"/>
  <c r="G196" i="8" s="1"/>
  <c r="F196" i="8"/>
  <c r="D196" i="8"/>
  <c r="C196" i="8"/>
  <c r="A196" i="8"/>
  <c r="R195" i="8"/>
  <c r="G195" i="8" s="1"/>
  <c r="K195" i="8"/>
  <c r="F195" i="8"/>
  <c r="D195" i="8"/>
  <c r="C195" i="8"/>
  <c r="A195" i="8"/>
  <c r="R194" i="8"/>
  <c r="G194" i="8" s="1"/>
  <c r="F194" i="8"/>
  <c r="D194" i="8"/>
  <c r="C194" i="8"/>
  <c r="A194" i="8"/>
  <c r="R193" i="8"/>
  <c r="G193" i="8" s="1"/>
  <c r="O193" i="8"/>
  <c r="M193" i="8"/>
  <c r="F193" i="8"/>
  <c r="D193" i="8"/>
  <c r="C193" i="8"/>
  <c r="A193" i="8"/>
  <c r="R192" i="8"/>
  <c r="G192" i="8" s="1"/>
  <c r="K192" i="8"/>
  <c r="F192" i="8"/>
  <c r="D192" i="8"/>
  <c r="C192" i="8"/>
  <c r="A192" i="8"/>
  <c r="R191" i="8"/>
  <c r="G191" i="8" s="1"/>
  <c r="F191" i="8"/>
  <c r="D191" i="8"/>
  <c r="C191" i="8"/>
  <c r="A191" i="8"/>
  <c r="R190" i="8"/>
  <c r="G190" i="8" s="1"/>
  <c r="K190" i="8"/>
  <c r="F190" i="8"/>
  <c r="D190" i="8"/>
  <c r="C190" i="8"/>
  <c r="A190" i="8"/>
  <c r="R189" i="8"/>
  <c r="G189" i="8" s="1"/>
  <c r="F189" i="8"/>
  <c r="D189" i="8"/>
  <c r="C189" i="8"/>
  <c r="A189" i="8"/>
  <c r="R188" i="8"/>
  <c r="G188" i="8" s="1"/>
  <c r="M188" i="8"/>
  <c r="M189" i="8" s="1"/>
  <c r="M190" i="8" s="1"/>
  <c r="M191" i="8" s="1"/>
  <c r="M192" i="8" s="1"/>
  <c r="K188" i="8"/>
  <c r="F188" i="8"/>
  <c r="D188" i="8"/>
  <c r="C188" i="8"/>
  <c r="A188" i="8"/>
  <c r="R187" i="8"/>
  <c r="G187" i="8" s="1"/>
  <c r="Q187" i="8"/>
  <c r="Q188" i="8" s="1"/>
  <c r="Q189" i="8" s="1"/>
  <c r="Q190" i="8" s="1"/>
  <c r="Q191" i="8" s="1"/>
  <c r="Q192" i="8" s="1"/>
  <c r="Q193" i="8" s="1"/>
  <c r="K187" i="8"/>
  <c r="F187" i="8"/>
  <c r="D187" i="8"/>
  <c r="C187" i="8"/>
  <c r="A187" i="8"/>
  <c r="R186" i="8"/>
  <c r="G186" i="8" s="1"/>
  <c r="Q186" i="8"/>
  <c r="O186" i="8"/>
  <c r="O187" i="8" s="1"/>
  <c r="O188" i="8" s="1"/>
  <c r="O189" i="8" s="1"/>
  <c r="O190" i="8" s="1"/>
  <c r="O191" i="8" s="1"/>
  <c r="O192" i="8" s="1"/>
  <c r="M186" i="8"/>
  <c r="M187" i="8" s="1"/>
  <c r="F186" i="8"/>
  <c r="D186" i="8"/>
  <c r="C186" i="8"/>
  <c r="A186" i="8"/>
  <c r="R185" i="8"/>
  <c r="G185" i="8" s="1"/>
  <c r="K185" i="8"/>
  <c r="F185" i="8"/>
  <c r="D185" i="8"/>
  <c r="C185" i="8"/>
  <c r="A185" i="8"/>
  <c r="R184" i="8"/>
  <c r="G184" i="8" s="1"/>
  <c r="F184" i="8"/>
  <c r="D184" i="8"/>
  <c r="C184" i="8"/>
  <c r="A184" i="8"/>
  <c r="R183" i="8"/>
  <c r="G183" i="8" s="1"/>
  <c r="F183" i="8"/>
  <c r="D183" i="8"/>
  <c r="C183" i="8"/>
  <c r="A183" i="8"/>
  <c r="R182" i="8"/>
  <c r="K182" i="8"/>
  <c r="F182" i="8"/>
  <c r="D182" i="8"/>
  <c r="C182" i="8"/>
  <c r="A182" i="8"/>
  <c r="R181" i="8"/>
  <c r="F181" i="8"/>
  <c r="D181" i="8"/>
  <c r="C181" i="8"/>
  <c r="A181" i="8"/>
  <c r="R180" i="8"/>
  <c r="K180" i="8"/>
  <c r="F180" i="8"/>
  <c r="D180" i="8"/>
  <c r="C180" i="8"/>
  <c r="A180" i="8"/>
  <c r="R179" i="8"/>
  <c r="G179" i="8" s="1"/>
  <c r="O179" i="8"/>
  <c r="O180" i="8" s="1"/>
  <c r="O181" i="8" s="1"/>
  <c r="O182" i="8" s="1"/>
  <c r="O183" i="8" s="1"/>
  <c r="F179" i="8"/>
  <c r="D179" i="8"/>
  <c r="C179" i="8"/>
  <c r="A179" i="8"/>
  <c r="R178" i="8"/>
  <c r="G178" i="8" s="1"/>
  <c r="K178" i="8"/>
  <c r="F178" i="8"/>
  <c r="D178" i="8"/>
  <c r="C178" i="8"/>
  <c r="A178" i="8"/>
  <c r="R177" i="8"/>
  <c r="G177" i="8" s="1"/>
  <c r="Q177" i="8"/>
  <c r="Q178" i="8" s="1"/>
  <c r="Q179" i="8" s="1"/>
  <c r="Q180" i="8" s="1"/>
  <c r="Q181" i="8" s="1"/>
  <c r="Q182" i="8" s="1"/>
  <c r="Q183" i="8" s="1"/>
  <c r="O177" i="8"/>
  <c r="O178" i="8" s="1"/>
  <c r="M177" i="8"/>
  <c r="M178" i="8" s="1"/>
  <c r="M179" i="8" s="1"/>
  <c r="M180" i="8" s="1"/>
  <c r="M181" i="8" s="1"/>
  <c r="M182" i="8" s="1"/>
  <c r="M183" i="8" s="1"/>
  <c r="K177" i="8"/>
  <c r="F177" i="8"/>
  <c r="D177" i="8"/>
  <c r="C177" i="8"/>
  <c r="A177" i="8"/>
  <c r="R176" i="8"/>
  <c r="G176" i="8" s="1"/>
  <c r="F176" i="8"/>
  <c r="D176" i="8"/>
  <c r="C176" i="8"/>
  <c r="A176" i="8"/>
  <c r="R175" i="8"/>
  <c r="G175" i="8" s="1"/>
  <c r="K175" i="8"/>
  <c r="F175" i="8"/>
  <c r="D175" i="8"/>
  <c r="C175" i="8"/>
  <c r="A175" i="8"/>
  <c r="R174" i="8"/>
  <c r="G174" i="8" s="1"/>
  <c r="F174" i="8"/>
  <c r="D174" i="8"/>
  <c r="C174" i="8"/>
  <c r="A174" i="8"/>
  <c r="R173" i="8"/>
  <c r="G173" i="8" s="1"/>
  <c r="F173" i="8"/>
  <c r="D173" i="8"/>
  <c r="C173" i="8"/>
  <c r="A173" i="8"/>
  <c r="R172" i="8"/>
  <c r="G172" i="8" s="1"/>
  <c r="K172" i="8"/>
  <c r="F172" i="8"/>
  <c r="D172" i="8"/>
  <c r="C172" i="8"/>
  <c r="A172" i="8"/>
  <c r="R171" i="8"/>
  <c r="G171" i="8" s="1"/>
  <c r="Q171" i="8"/>
  <c r="Q172" i="8" s="1"/>
  <c r="Q173" i="8" s="1"/>
  <c r="F171" i="8"/>
  <c r="D171" i="8"/>
  <c r="C171" i="8"/>
  <c r="A171" i="8"/>
  <c r="R170" i="8"/>
  <c r="G170" i="8" s="1"/>
  <c r="K170" i="8"/>
  <c r="F170" i="8"/>
  <c r="D170" i="8"/>
  <c r="C170" i="8"/>
  <c r="A170" i="8"/>
  <c r="R169" i="8"/>
  <c r="G169" i="8" s="1"/>
  <c r="Q169" i="8"/>
  <c r="Q170" i="8" s="1"/>
  <c r="F169" i="8"/>
  <c r="D169" i="8"/>
  <c r="C169" i="8"/>
  <c r="A169" i="8"/>
  <c r="R168" i="8"/>
  <c r="G168" i="8" s="1"/>
  <c r="K168" i="8"/>
  <c r="F168" i="8"/>
  <c r="D168" i="8"/>
  <c r="C168" i="8"/>
  <c r="A168" i="8"/>
  <c r="R167" i="8"/>
  <c r="G167" i="8" s="1"/>
  <c r="K167" i="8"/>
  <c r="F167" i="8"/>
  <c r="D167" i="8"/>
  <c r="C167" i="8"/>
  <c r="A167" i="8"/>
  <c r="R166" i="8"/>
  <c r="G166" i="8" s="1"/>
  <c r="Q166" i="8"/>
  <c r="Q167" i="8" s="1"/>
  <c r="Q168" i="8" s="1"/>
  <c r="O166" i="8"/>
  <c r="O167" i="8" s="1"/>
  <c r="O168" i="8" s="1"/>
  <c r="O169" i="8" s="1"/>
  <c r="O170" i="8" s="1"/>
  <c r="O171" i="8" s="1"/>
  <c r="O172" i="8" s="1"/>
  <c r="O173" i="8" s="1"/>
  <c r="M166" i="8"/>
  <c r="M167" i="8" s="1"/>
  <c r="M168" i="8" s="1"/>
  <c r="M169" i="8" s="1"/>
  <c r="M170" i="8" s="1"/>
  <c r="M171" i="8" s="1"/>
  <c r="M172" i="8" s="1"/>
  <c r="M173" i="8" s="1"/>
  <c r="F166" i="8"/>
  <c r="D166" i="8"/>
  <c r="C166" i="8"/>
  <c r="A166" i="8"/>
  <c r="R165" i="8"/>
  <c r="G165" i="8" s="1"/>
  <c r="K165" i="8"/>
  <c r="F165" i="8"/>
  <c r="D165" i="8"/>
  <c r="C165" i="8"/>
  <c r="A165" i="8"/>
  <c r="R164" i="8"/>
  <c r="G164" i="8" s="1"/>
  <c r="F164" i="8"/>
  <c r="D164" i="8"/>
  <c r="C164" i="8"/>
  <c r="A164" i="8"/>
  <c r="R163" i="8"/>
  <c r="G163" i="8" s="1"/>
  <c r="F163" i="8"/>
  <c r="D163" i="8"/>
  <c r="C163" i="8"/>
  <c r="A163" i="8"/>
  <c r="R162" i="8"/>
  <c r="K162" i="8"/>
  <c r="F162" i="8"/>
  <c r="D162" i="8"/>
  <c r="C162" i="8"/>
  <c r="A162" i="8"/>
  <c r="R161" i="8"/>
  <c r="M161" i="8"/>
  <c r="M162" i="8" s="1"/>
  <c r="M163" i="8" s="1"/>
  <c r="F161" i="8"/>
  <c r="D161" i="8"/>
  <c r="C161" i="8"/>
  <c r="A161" i="8"/>
  <c r="R160" i="8"/>
  <c r="K160" i="8"/>
  <c r="F160" i="8"/>
  <c r="D160" i="8"/>
  <c r="C160" i="8"/>
  <c r="A160" i="8"/>
  <c r="R159" i="8"/>
  <c r="G159" i="8" s="1"/>
  <c r="Q159" i="8"/>
  <c r="Q160" i="8" s="1"/>
  <c r="Q161" i="8" s="1"/>
  <c r="Q162" i="8" s="1"/>
  <c r="Q163" i="8" s="1"/>
  <c r="F159" i="8"/>
  <c r="D159" i="8"/>
  <c r="C159" i="8"/>
  <c r="A159" i="8"/>
  <c r="R158" i="8"/>
  <c r="G158" i="8" s="1"/>
  <c r="Q158" i="8"/>
  <c r="O158" i="8"/>
  <c r="O159" i="8" s="1"/>
  <c r="O160" i="8" s="1"/>
  <c r="O161" i="8" s="1"/>
  <c r="O162" i="8" s="1"/>
  <c r="O163" i="8" s="1"/>
  <c r="M158" i="8"/>
  <c r="M159" i="8" s="1"/>
  <c r="M160" i="8" s="1"/>
  <c r="K158" i="8"/>
  <c r="F158" i="8"/>
  <c r="D158" i="8"/>
  <c r="C158" i="8"/>
  <c r="A158" i="8"/>
  <c r="R157" i="8"/>
  <c r="G157" i="8" s="1"/>
  <c r="K157" i="8"/>
  <c r="F157" i="8"/>
  <c r="D157" i="8"/>
  <c r="C157" i="8"/>
  <c r="A157" i="8"/>
  <c r="R156" i="8"/>
  <c r="G156" i="8"/>
  <c r="F156" i="8"/>
  <c r="D156" i="8"/>
  <c r="C156" i="8"/>
  <c r="A156" i="8"/>
  <c r="R155" i="8"/>
  <c r="G155" i="8" s="1"/>
  <c r="K155" i="8"/>
  <c r="F155" i="8"/>
  <c r="D155" i="8"/>
  <c r="C155" i="8"/>
  <c r="A155" i="8"/>
  <c r="R154" i="8"/>
  <c r="G154" i="8" s="1"/>
  <c r="F154" i="8"/>
  <c r="D154" i="8"/>
  <c r="C154" i="8"/>
  <c r="A154" i="8"/>
  <c r="R153" i="8"/>
  <c r="G153" i="8" s="1"/>
  <c r="F153" i="8"/>
  <c r="D153" i="8"/>
  <c r="C153" i="8"/>
  <c r="A153" i="8"/>
  <c r="R152" i="8"/>
  <c r="K152" i="8"/>
  <c r="F152" i="8"/>
  <c r="D152" i="8"/>
  <c r="C152" i="8"/>
  <c r="A152" i="8"/>
  <c r="R151" i="8"/>
  <c r="F151" i="8"/>
  <c r="D151" i="8"/>
  <c r="C151" i="8"/>
  <c r="A151" i="8"/>
  <c r="R150" i="8"/>
  <c r="O150" i="8"/>
  <c r="O151" i="8" s="1"/>
  <c r="O152" i="8" s="1"/>
  <c r="O153" i="8" s="1"/>
  <c r="K150" i="8"/>
  <c r="F150" i="8"/>
  <c r="D150" i="8"/>
  <c r="C150" i="8"/>
  <c r="A150" i="8"/>
  <c r="R149" i="8"/>
  <c r="G149" i="8" s="1"/>
  <c r="F149" i="8"/>
  <c r="D149" i="8"/>
  <c r="C149" i="8"/>
  <c r="A149" i="8"/>
  <c r="R148" i="8"/>
  <c r="G148" i="8" s="1"/>
  <c r="M148" i="8"/>
  <c r="M149" i="8" s="1"/>
  <c r="M150" i="8" s="1"/>
  <c r="M151" i="8" s="1"/>
  <c r="M152" i="8" s="1"/>
  <c r="M153" i="8" s="1"/>
  <c r="K148" i="8"/>
  <c r="F148" i="8"/>
  <c r="D148" i="8"/>
  <c r="C148" i="8"/>
  <c r="A148" i="8"/>
  <c r="R147" i="8"/>
  <c r="G147" i="8" s="1"/>
  <c r="Q147" i="8"/>
  <c r="Q148" i="8" s="1"/>
  <c r="Q149" i="8" s="1"/>
  <c r="Q150" i="8" s="1"/>
  <c r="Q151" i="8" s="1"/>
  <c r="Q152" i="8" s="1"/>
  <c r="Q153" i="8" s="1"/>
  <c r="O147" i="8"/>
  <c r="O148" i="8" s="1"/>
  <c r="O149" i="8" s="1"/>
  <c r="M147" i="8"/>
  <c r="K147" i="8"/>
  <c r="F147" i="8"/>
  <c r="D147" i="8"/>
  <c r="C147" i="8"/>
  <c r="A147" i="8"/>
  <c r="R146" i="8"/>
  <c r="G146" i="8" s="1"/>
  <c r="F146" i="8"/>
  <c r="D146" i="8"/>
  <c r="C146" i="8"/>
  <c r="A146" i="8"/>
  <c r="R145" i="8"/>
  <c r="G145" i="8" s="1"/>
  <c r="K145" i="8"/>
  <c r="F145" i="8"/>
  <c r="D145" i="8"/>
  <c r="C145" i="8"/>
  <c r="A145" i="8"/>
  <c r="R144" i="8"/>
  <c r="G144" i="8" s="1"/>
  <c r="F144" i="8"/>
  <c r="D144" i="8"/>
  <c r="C144" i="8"/>
  <c r="A144" i="8"/>
  <c r="R143" i="8"/>
  <c r="G143" i="8" s="1"/>
  <c r="O143" i="8"/>
  <c r="F143" i="8"/>
  <c r="D143" i="8"/>
  <c r="C143" i="8"/>
  <c r="A143" i="8"/>
  <c r="R142" i="8"/>
  <c r="K142" i="8"/>
  <c r="F142" i="8"/>
  <c r="D142" i="8"/>
  <c r="C142" i="8"/>
  <c r="A142" i="8"/>
  <c r="R141" i="8"/>
  <c r="Q141" i="8"/>
  <c r="Q142" i="8" s="1"/>
  <c r="Q143" i="8" s="1"/>
  <c r="F141" i="8"/>
  <c r="D141" i="8"/>
  <c r="C141" i="8"/>
  <c r="A141" i="8"/>
  <c r="R140" i="8"/>
  <c r="G140" i="8" s="1"/>
  <c r="K140" i="8"/>
  <c r="F140" i="8"/>
  <c r="D140" i="8"/>
  <c r="C140" i="8"/>
  <c r="A140" i="8"/>
  <c r="R139" i="8"/>
  <c r="G139" i="8" s="1"/>
  <c r="F139" i="8"/>
  <c r="D139" i="8"/>
  <c r="C139" i="8"/>
  <c r="A139" i="8"/>
  <c r="R138" i="8"/>
  <c r="G138" i="8" s="1"/>
  <c r="Q138" i="8"/>
  <c r="Q139" i="8" s="1"/>
  <c r="Q140" i="8" s="1"/>
  <c r="O138" i="8"/>
  <c r="O139" i="8" s="1"/>
  <c r="O140" i="8" s="1"/>
  <c r="O141" i="8" s="1"/>
  <c r="O142" i="8" s="1"/>
  <c r="M138" i="8"/>
  <c r="M139" i="8" s="1"/>
  <c r="M140" i="8" s="1"/>
  <c r="M141" i="8" s="1"/>
  <c r="M142" i="8" s="1"/>
  <c r="M143" i="8" s="1"/>
  <c r="K138" i="8"/>
  <c r="F138" i="8"/>
  <c r="D138" i="8"/>
  <c r="C138" i="8"/>
  <c r="A138" i="8"/>
  <c r="R137" i="8"/>
  <c r="G137" i="8" s="1"/>
  <c r="K137" i="8"/>
  <c r="F137" i="8"/>
  <c r="D137" i="8"/>
  <c r="C137" i="8"/>
  <c r="A137" i="8"/>
  <c r="R136" i="8"/>
  <c r="G136" i="8" s="1"/>
  <c r="F136" i="8"/>
  <c r="D136" i="8"/>
  <c r="C136" i="8"/>
  <c r="A136" i="8"/>
  <c r="R135" i="8"/>
  <c r="G135" i="8" s="1"/>
  <c r="K135" i="8"/>
  <c r="F135" i="8"/>
  <c r="D135" i="8"/>
  <c r="C135" i="8"/>
  <c r="A135" i="8"/>
  <c r="R134" i="8"/>
  <c r="G134" i="8" s="1"/>
  <c r="F134" i="8"/>
  <c r="D134" i="8"/>
  <c r="C134" i="8"/>
  <c r="A134" i="8"/>
  <c r="R133" i="8"/>
  <c r="G133" i="8" s="1"/>
  <c r="F133" i="8"/>
  <c r="D133" i="8"/>
  <c r="C133" i="8"/>
  <c r="A133" i="8"/>
  <c r="R132" i="8"/>
  <c r="K132" i="8"/>
  <c r="F132" i="8"/>
  <c r="D132" i="8"/>
  <c r="C132" i="8"/>
  <c r="A132" i="8"/>
  <c r="R131" i="8"/>
  <c r="F131" i="8"/>
  <c r="D131" i="8"/>
  <c r="C131" i="8"/>
  <c r="A131" i="8"/>
  <c r="R130" i="8"/>
  <c r="K130" i="8"/>
  <c r="F130" i="8"/>
  <c r="D130" i="8"/>
  <c r="C130" i="8"/>
  <c r="A130" i="8"/>
  <c r="R129" i="8"/>
  <c r="G129" i="8" s="1"/>
  <c r="Q129" i="8"/>
  <c r="Q130" i="8" s="1"/>
  <c r="Q131" i="8" s="1"/>
  <c r="Q132" i="8" s="1"/>
  <c r="Q133" i="8" s="1"/>
  <c r="F129" i="8"/>
  <c r="D129" i="8"/>
  <c r="C129" i="8"/>
  <c r="A129" i="8"/>
  <c r="R128" i="8"/>
  <c r="G128" i="8" s="1"/>
  <c r="O128" i="8"/>
  <c r="O129" i="8" s="1"/>
  <c r="O130" i="8" s="1"/>
  <c r="O131" i="8" s="1"/>
  <c r="O132" i="8" s="1"/>
  <c r="O133" i="8" s="1"/>
  <c r="M128" i="8"/>
  <c r="M129" i="8" s="1"/>
  <c r="M130" i="8" s="1"/>
  <c r="M131" i="8" s="1"/>
  <c r="M132" i="8" s="1"/>
  <c r="M133" i="8" s="1"/>
  <c r="K128" i="8"/>
  <c r="F128" i="8"/>
  <c r="D128" i="8"/>
  <c r="C128" i="8"/>
  <c r="A128" i="8"/>
  <c r="R127" i="8"/>
  <c r="G127" i="8" s="1"/>
  <c r="Q127" i="8"/>
  <c r="Q128" i="8" s="1"/>
  <c r="O127" i="8"/>
  <c r="M127" i="8"/>
  <c r="K127" i="8"/>
  <c r="F127" i="8"/>
  <c r="D127" i="8"/>
  <c r="C127" i="8"/>
  <c r="A127" i="8"/>
  <c r="R126" i="8"/>
  <c r="G126" i="8" s="1"/>
  <c r="F126" i="8"/>
  <c r="D126" i="8"/>
  <c r="C126" i="8"/>
  <c r="A126" i="8"/>
  <c r="R125" i="8"/>
  <c r="G125" i="8" s="1"/>
  <c r="K125" i="8"/>
  <c r="F125" i="8"/>
  <c r="D125" i="8"/>
  <c r="C125" i="8"/>
  <c r="A125" i="8"/>
  <c r="R124" i="8"/>
  <c r="G124" i="8" s="1"/>
  <c r="F124" i="8"/>
  <c r="D124" i="8"/>
  <c r="C124" i="8"/>
  <c r="A124" i="8"/>
  <c r="R123" i="8"/>
  <c r="G123" i="8" s="1"/>
  <c r="F123" i="8"/>
  <c r="D123" i="8"/>
  <c r="C123" i="8"/>
  <c r="A123" i="8"/>
  <c r="R122" i="8"/>
  <c r="M122" i="8"/>
  <c r="M123" i="8" s="1"/>
  <c r="K122" i="8"/>
  <c r="F122" i="8"/>
  <c r="D122" i="8"/>
  <c r="C122" i="8"/>
  <c r="A122" i="8"/>
  <c r="R121" i="8"/>
  <c r="F121" i="8"/>
  <c r="D121" i="8"/>
  <c r="C121" i="8"/>
  <c r="A121" i="8"/>
  <c r="R120" i="8"/>
  <c r="M120" i="8"/>
  <c r="M121" i="8" s="1"/>
  <c r="K120" i="8"/>
  <c r="F120" i="8"/>
  <c r="D120" i="8"/>
  <c r="C120" i="8"/>
  <c r="A120" i="8"/>
  <c r="R119" i="8"/>
  <c r="G119" i="8" s="1"/>
  <c r="Q119" i="8"/>
  <c r="Q120" i="8" s="1"/>
  <c r="Q121" i="8" s="1"/>
  <c r="Q122" i="8" s="1"/>
  <c r="Q123" i="8" s="1"/>
  <c r="M119" i="8"/>
  <c r="F119" i="8"/>
  <c r="D119" i="8"/>
  <c r="C119" i="8"/>
  <c r="A119" i="8"/>
  <c r="R118" i="8"/>
  <c r="G118" i="8" s="1"/>
  <c r="Q118" i="8"/>
  <c r="O118" i="8"/>
  <c r="O119" i="8" s="1"/>
  <c r="O120" i="8" s="1"/>
  <c r="O121" i="8" s="1"/>
  <c r="O122" i="8" s="1"/>
  <c r="O123" i="8" s="1"/>
  <c r="M118" i="8"/>
  <c r="K118" i="8"/>
  <c r="F118" i="8"/>
  <c r="D118" i="8"/>
  <c r="C118" i="8"/>
  <c r="A118" i="8"/>
  <c r="R117" i="8"/>
  <c r="G117" i="8" s="1"/>
  <c r="K117" i="8"/>
  <c r="F117" i="8"/>
  <c r="D117" i="8"/>
  <c r="C117" i="8"/>
  <c r="A117" i="8"/>
  <c r="R116" i="8"/>
  <c r="G116" i="8" s="1"/>
  <c r="F116" i="8"/>
  <c r="D116" i="8"/>
  <c r="C116" i="8"/>
  <c r="A116" i="8"/>
  <c r="R115" i="8"/>
  <c r="G115" i="8" s="1"/>
  <c r="K115" i="8"/>
  <c r="F115" i="8"/>
  <c r="D115" i="8"/>
  <c r="C115" i="8"/>
  <c r="A115" i="8"/>
  <c r="R114" i="8"/>
  <c r="G114" i="8" s="1"/>
  <c r="F114" i="8"/>
  <c r="D114" i="8"/>
  <c r="C114" i="8"/>
  <c r="A114" i="8"/>
  <c r="R113" i="8"/>
  <c r="G113" i="8" s="1"/>
  <c r="F113" i="8"/>
  <c r="D113" i="8"/>
  <c r="C113" i="8"/>
  <c r="A113" i="8"/>
  <c r="R112" i="8"/>
  <c r="G112" i="8" s="1"/>
  <c r="K112" i="8"/>
  <c r="F112" i="8"/>
  <c r="D112" i="8"/>
  <c r="C112" i="8"/>
  <c r="A112" i="8"/>
  <c r="R111" i="8"/>
  <c r="G111" i="8" s="1"/>
  <c r="Q111" i="8"/>
  <c r="Q112" i="8" s="1"/>
  <c r="Q113" i="8" s="1"/>
  <c r="F111" i="8"/>
  <c r="D111" i="8"/>
  <c r="C111" i="8"/>
  <c r="A111" i="8"/>
  <c r="R110" i="8"/>
  <c r="G110" i="8" s="1"/>
  <c r="K110" i="8"/>
  <c r="F110" i="8"/>
  <c r="D110" i="8"/>
  <c r="C110" i="8"/>
  <c r="A110" i="8"/>
  <c r="R109" i="8"/>
  <c r="G109" i="8" s="1"/>
  <c r="F109" i="8"/>
  <c r="D109" i="8"/>
  <c r="C109" i="8"/>
  <c r="A109" i="8"/>
  <c r="R108" i="8"/>
  <c r="G108" i="8" s="1"/>
  <c r="M108" i="8"/>
  <c r="M109" i="8" s="1"/>
  <c r="M110" i="8" s="1"/>
  <c r="M111" i="8" s="1"/>
  <c r="M112" i="8" s="1"/>
  <c r="M113" i="8" s="1"/>
  <c r="K108" i="8"/>
  <c r="F108" i="8"/>
  <c r="D108" i="8"/>
  <c r="C108" i="8"/>
  <c r="A108" i="8"/>
  <c r="R107" i="8"/>
  <c r="G107" i="8" s="1"/>
  <c r="M107" i="8"/>
  <c r="K107" i="8"/>
  <c r="F107" i="8"/>
  <c r="D107" i="8"/>
  <c r="C107" i="8"/>
  <c r="A107" i="8"/>
  <c r="R106" i="8"/>
  <c r="G106" i="8" s="1"/>
  <c r="Q106" i="8"/>
  <c r="Q107" i="8" s="1"/>
  <c r="Q108" i="8" s="1"/>
  <c r="Q109" i="8" s="1"/>
  <c r="Q110" i="8" s="1"/>
  <c r="O106" i="8"/>
  <c r="O107" i="8" s="1"/>
  <c r="O108" i="8" s="1"/>
  <c r="O109" i="8" s="1"/>
  <c r="O110" i="8" s="1"/>
  <c r="O111" i="8" s="1"/>
  <c r="O112" i="8" s="1"/>
  <c r="O113" i="8" s="1"/>
  <c r="M106" i="8"/>
  <c r="F106" i="8"/>
  <c r="D106" i="8"/>
  <c r="C106" i="8"/>
  <c r="A106" i="8"/>
  <c r="R105" i="8"/>
  <c r="G105" i="8" s="1"/>
  <c r="K105" i="8"/>
  <c r="F105" i="8"/>
  <c r="D105" i="8"/>
  <c r="C105" i="8"/>
  <c r="A105" i="8"/>
  <c r="R104" i="8"/>
  <c r="G104" i="8" s="1"/>
  <c r="F104" i="8"/>
  <c r="D104" i="8"/>
  <c r="C104" i="8"/>
  <c r="A104" i="8"/>
  <c r="R103" i="8"/>
  <c r="G103" i="8" s="1"/>
  <c r="M103" i="8"/>
  <c r="F103" i="8"/>
  <c r="D103" i="8"/>
  <c r="C103" i="8"/>
  <c r="A103" i="8"/>
  <c r="R102" i="8"/>
  <c r="O102" i="8"/>
  <c r="O103" i="8" s="1"/>
  <c r="K102" i="8"/>
  <c r="F102" i="8"/>
  <c r="D102" i="8"/>
  <c r="C102" i="8"/>
  <c r="A102" i="8"/>
  <c r="R101" i="8"/>
  <c r="O101" i="8"/>
  <c r="F101" i="8"/>
  <c r="D101" i="8"/>
  <c r="C101" i="8"/>
  <c r="A101" i="8"/>
  <c r="R100" i="8"/>
  <c r="G100" i="8" s="1"/>
  <c r="K100" i="8"/>
  <c r="F100" i="8"/>
  <c r="D100" i="8"/>
  <c r="C100" i="8"/>
  <c r="A100" i="8"/>
  <c r="R99" i="8"/>
  <c r="G99" i="8" s="1"/>
  <c r="Q99" i="8"/>
  <c r="Q100" i="8" s="1"/>
  <c r="Q101" i="8" s="1"/>
  <c r="Q102" i="8" s="1"/>
  <c r="Q103" i="8" s="1"/>
  <c r="O99" i="8"/>
  <c r="O100" i="8" s="1"/>
  <c r="F99" i="8"/>
  <c r="D99" i="8"/>
  <c r="C99" i="8"/>
  <c r="A99" i="8"/>
  <c r="R98" i="8"/>
  <c r="G98" i="8" s="1"/>
  <c r="Q98" i="8"/>
  <c r="O98" i="8"/>
  <c r="M98" i="8"/>
  <c r="M99" i="8" s="1"/>
  <c r="M100" i="8" s="1"/>
  <c r="M101" i="8" s="1"/>
  <c r="M102" i="8" s="1"/>
  <c r="K98" i="8"/>
  <c r="F98" i="8"/>
  <c r="D98" i="8"/>
  <c r="C98" i="8"/>
  <c r="A98" i="8"/>
  <c r="R97" i="8"/>
  <c r="G97" i="8" s="1"/>
  <c r="K97" i="8"/>
  <c r="F97" i="8"/>
  <c r="D97" i="8"/>
  <c r="C97" i="8"/>
  <c r="A97" i="8"/>
  <c r="R96" i="8"/>
  <c r="G96" i="8" s="1"/>
  <c r="F96" i="8"/>
  <c r="D96" i="8"/>
  <c r="C96" i="8"/>
  <c r="A96" i="8"/>
  <c r="R95" i="8"/>
  <c r="G95" i="8" s="1"/>
  <c r="K95" i="8"/>
  <c r="F95" i="8"/>
  <c r="D95" i="8"/>
  <c r="C95" i="8"/>
  <c r="A95" i="8"/>
  <c r="R94" i="8"/>
  <c r="G94" i="8" s="1"/>
  <c r="F94" i="8"/>
  <c r="D94" i="8"/>
  <c r="C94" i="8"/>
  <c r="A94" i="8"/>
  <c r="R93" i="8"/>
  <c r="G93" i="8" s="1"/>
  <c r="F93" i="8"/>
  <c r="D93" i="8"/>
  <c r="C93" i="8"/>
  <c r="A93" i="8"/>
  <c r="R92" i="8"/>
  <c r="K92" i="8"/>
  <c r="F92" i="8"/>
  <c r="D92" i="8"/>
  <c r="C92" i="8"/>
  <c r="A92" i="8"/>
  <c r="R91" i="8"/>
  <c r="M91" i="8"/>
  <c r="M92" i="8" s="1"/>
  <c r="M93" i="8" s="1"/>
  <c r="F91" i="8"/>
  <c r="D91" i="8"/>
  <c r="C91" i="8"/>
  <c r="A91" i="8"/>
  <c r="R90" i="8"/>
  <c r="G90" i="8" s="1"/>
  <c r="Q90" i="8"/>
  <c r="Q91" i="8" s="1"/>
  <c r="Q92" i="8" s="1"/>
  <c r="Q93" i="8" s="1"/>
  <c r="K90" i="8"/>
  <c r="F90" i="8"/>
  <c r="D90" i="8"/>
  <c r="C90" i="8"/>
  <c r="A90" i="8"/>
  <c r="R89" i="8"/>
  <c r="G89" i="8" s="1"/>
  <c r="O89" i="8"/>
  <c r="O90" i="8" s="1"/>
  <c r="O91" i="8" s="1"/>
  <c r="O92" i="8" s="1"/>
  <c r="O93" i="8" s="1"/>
  <c r="M89" i="8"/>
  <c r="M90" i="8" s="1"/>
  <c r="F89" i="8"/>
  <c r="D89" i="8"/>
  <c r="C89" i="8"/>
  <c r="A89" i="8"/>
  <c r="R88" i="8"/>
  <c r="G88" i="8" s="1"/>
  <c r="Q88" i="8"/>
  <c r="Q89" i="8" s="1"/>
  <c r="O88" i="8"/>
  <c r="M88" i="8"/>
  <c r="K88" i="8"/>
  <c r="F88" i="8"/>
  <c r="D88" i="8"/>
  <c r="C88" i="8"/>
  <c r="A88" i="8"/>
  <c r="R87" i="8"/>
  <c r="G87" i="8" s="1"/>
  <c r="K87" i="8"/>
  <c r="F87" i="8"/>
  <c r="D87" i="8"/>
  <c r="C87" i="8"/>
  <c r="A87" i="8"/>
  <c r="R86" i="8"/>
  <c r="G86" i="8" s="1"/>
  <c r="F86" i="8"/>
  <c r="D86" i="8"/>
  <c r="C86" i="8"/>
  <c r="A86" i="8"/>
  <c r="R85" i="8"/>
  <c r="G85" i="8" s="1"/>
  <c r="K85" i="8"/>
  <c r="F85" i="8"/>
  <c r="D85" i="8"/>
  <c r="C85" i="8"/>
  <c r="A85" i="8"/>
  <c r="R84" i="8"/>
  <c r="G84" i="8" s="1"/>
  <c r="F84" i="8"/>
  <c r="D84" i="8"/>
  <c r="C84" i="8"/>
  <c r="A84" i="8"/>
  <c r="R83" i="8"/>
  <c r="G83" i="8" s="1"/>
  <c r="F83" i="8"/>
  <c r="D83" i="8"/>
  <c r="C83" i="8"/>
  <c r="A83" i="8"/>
  <c r="R82" i="8"/>
  <c r="G82" i="8" s="1"/>
  <c r="O82" i="8"/>
  <c r="O83" i="8" s="1"/>
  <c r="K82" i="8"/>
  <c r="F82" i="8"/>
  <c r="D82" i="8"/>
  <c r="C82" i="8"/>
  <c r="A82" i="8"/>
  <c r="R81" i="8"/>
  <c r="G81" i="8" s="1"/>
  <c r="F81" i="8"/>
  <c r="D81" i="8"/>
  <c r="C81" i="8"/>
  <c r="A81" i="8"/>
  <c r="R80" i="8"/>
  <c r="G80" i="8" s="1"/>
  <c r="Q80" i="8"/>
  <c r="Q81" i="8" s="1"/>
  <c r="Q82" i="8" s="1"/>
  <c r="Q83" i="8" s="1"/>
  <c r="O80" i="8"/>
  <c r="O81" i="8" s="1"/>
  <c r="K80" i="8"/>
  <c r="F80" i="8"/>
  <c r="D80" i="8"/>
  <c r="C80" i="8"/>
  <c r="A80" i="8"/>
  <c r="R79" i="8"/>
  <c r="G79" i="8" s="1"/>
  <c r="Q79" i="8"/>
  <c r="M79" i="8"/>
  <c r="M80" i="8" s="1"/>
  <c r="M81" i="8" s="1"/>
  <c r="M82" i="8" s="1"/>
  <c r="M83" i="8" s="1"/>
  <c r="F79" i="8"/>
  <c r="D79" i="8"/>
  <c r="C79" i="8"/>
  <c r="A79" i="8"/>
  <c r="R78" i="8"/>
  <c r="G78" i="8" s="1"/>
  <c r="Q78" i="8"/>
  <c r="O78" i="8"/>
  <c r="O79" i="8" s="1"/>
  <c r="M78" i="8"/>
  <c r="K78" i="8"/>
  <c r="F78" i="8"/>
  <c r="D78" i="8"/>
  <c r="C78" i="8"/>
  <c r="A78" i="8"/>
  <c r="R77" i="8"/>
  <c r="G77" i="8" s="1"/>
  <c r="K77" i="8"/>
  <c r="F77" i="8"/>
  <c r="D77" i="8"/>
  <c r="C77" i="8"/>
  <c r="A77" i="8"/>
  <c r="R76" i="8"/>
  <c r="G76" i="8" s="1"/>
  <c r="F76" i="8"/>
  <c r="D76" i="8"/>
  <c r="C76" i="8"/>
  <c r="A76" i="8"/>
  <c r="R75" i="8"/>
  <c r="G75" i="8" s="1"/>
  <c r="K75" i="8"/>
  <c r="F75" i="8"/>
  <c r="D75" i="8"/>
  <c r="C75" i="8"/>
  <c r="A75" i="8"/>
  <c r="R74" i="8"/>
  <c r="G74" i="8" s="1"/>
  <c r="F74" i="8"/>
  <c r="D74" i="8"/>
  <c r="C74" i="8"/>
  <c r="A74" i="8"/>
  <c r="R73" i="8"/>
  <c r="G73" i="8" s="1"/>
  <c r="F73" i="8"/>
  <c r="D73" i="8"/>
  <c r="C73" i="8"/>
  <c r="A73" i="8"/>
  <c r="R72" i="8"/>
  <c r="G72" i="8" s="1"/>
  <c r="M72" i="8"/>
  <c r="M73" i="8" s="1"/>
  <c r="K72" i="8"/>
  <c r="F72" i="8"/>
  <c r="D72" i="8"/>
  <c r="C72" i="8"/>
  <c r="A72" i="8"/>
  <c r="R71" i="8"/>
  <c r="G71" i="8" s="1"/>
  <c r="F71" i="8"/>
  <c r="D71" i="8"/>
  <c r="C71" i="8"/>
  <c r="A71" i="8"/>
  <c r="R70" i="8"/>
  <c r="G70" i="8" s="1"/>
  <c r="Q70" i="8"/>
  <c r="Q71" i="8" s="1"/>
  <c r="Q72" i="8" s="1"/>
  <c r="Q73" i="8" s="1"/>
  <c r="K70" i="8"/>
  <c r="F70" i="8"/>
  <c r="D70" i="8"/>
  <c r="C70" i="8"/>
  <c r="A70" i="8"/>
  <c r="R69" i="8"/>
  <c r="O69" i="8"/>
  <c r="O70" i="8" s="1"/>
  <c r="O71" i="8" s="1"/>
  <c r="O72" i="8" s="1"/>
  <c r="O73" i="8" s="1"/>
  <c r="M69" i="8"/>
  <c r="M70" i="8" s="1"/>
  <c r="M71" i="8" s="1"/>
  <c r="G69" i="8"/>
  <c r="F69" i="8"/>
  <c r="D69" i="8"/>
  <c r="C69" i="8"/>
  <c r="A69" i="8"/>
  <c r="R68" i="8"/>
  <c r="G68" i="8" s="1"/>
  <c r="Q68" i="8"/>
  <c r="Q69" i="8" s="1"/>
  <c r="M68" i="8"/>
  <c r="K68" i="8"/>
  <c r="F68" i="8"/>
  <c r="D68" i="8"/>
  <c r="C68" i="8"/>
  <c r="A68" i="8"/>
  <c r="R67" i="8"/>
  <c r="G67" i="8" s="1"/>
  <c r="Q67" i="8"/>
  <c r="O67" i="8"/>
  <c r="O68" i="8" s="1"/>
  <c r="M67" i="8"/>
  <c r="K67" i="8"/>
  <c r="F67" i="8"/>
  <c r="D67" i="8"/>
  <c r="C67" i="8"/>
  <c r="A67" i="8"/>
  <c r="R66" i="8"/>
  <c r="G66" i="8" s="1"/>
  <c r="Q66" i="8"/>
  <c r="O66" i="8"/>
  <c r="M66" i="8"/>
  <c r="F66" i="8"/>
  <c r="D66" i="8"/>
  <c r="C66" i="8"/>
  <c r="A66" i="8"/>
  <c r="R65" i="8"/>
  <c r="G65" i="8" s="1"/>
  <c r="K65" i="8"/>
  <c r="F65" i="8"/>
  <c r="D65" i="8"/>
  <c r="C65" i="8"/>
  <c r="A65" i="8"/>
  <c r="R64" i="8"/>
  <c r="G64" i="8" s="1"/>
  <c r="F64" i="8"/>
  <c r="D64" i="8"/>
  <c r="C64" i="8"/>
  <c r="A64" i="8"/>
  <c r="R63" i="8"/>
  <c r="G63" i="8" s="1"/>
  <c r="F63" i="8"/>
  <c r="D63" i="8"/>
  <c r="C63" i="8"/>
  <c r="A63" i="8"/>
  <c r="R62" i="8"/>
  <c r="K62" i="8"/>
  <c r="F62" i="8"/>
  <c r="D62" i="8"/>
  <c r="C62" i="8"/>
  <c r="A62" i="8"/>
  <c r="R61" i="8"/>
  <c r="F61" i="8"/>
  <c r="D61" i="8"/>
  <c r="C61" i="8"/>
  <c r="A61" i="8"/>
  <c r="R60" i="8"/>
  <c r="M60" i="8"/>
  <c r="M61" i="8" s="1"/>
  <c r="M62" i="8" s="1"/>
  <c r="M63" i="8" s="1"/>
  <c r="K60" i="8"/>
  <c r="G60" i="8"/>
  <c r="F60" i="8"/>
  <c r="D60" i="8"/>
  <c r="C60" i="8"/>
  <c r="A60" i="8"/>
  <c r="R59" i="8"/>
  <c r="G59" i="8" s="1"/>
  <c r="F59" i="8"/>
  <c r="D59" i="8"/>
  <c r="C59" i="8"/>
  <c r="A59" i="8"/>
  <c r="R58" i="8"/>
  <c r="G58" i="8" s="1"/>
  <c r="Q58" i="8"/>
  <c r="Q59" i="8" s="1"/>
  <c r="Q60" i="8" s="1"/>
  <c r="Q61" i="8" s="1"/>
  <c r="Q62" i="8" s="1"/>
  <c r="Q63" i="8" s="1"/>
  <c r="K58" i="8"/>
  <c r="F58" i="8"/>
  <c r="D58" i="8"/>
  <c r="C58" i="8"/>
  <c r="A58" i="8"/>
  <c r="R57" i="8"/>
  <c r="G57" i="8" s="1"/>
  <c r="Q57" i="8"/>
  <c r="O57" i="8"/>
  <c r="O58" i="8" s="1"/>
  <c r="O59" i="8" s="1"/>
  <c r="O60" i="8" s="1"/>
  <c r="O61" i="8" s="1"/>
  <c r="O62" i="8" s="1"/>
  <c r="O63" i="8" s="1"/>
  <c r="M57" i="8"/>
  <c r="M58" i="8" s="1"/>
  <c r="M59" i="8" s="1"/>
  <c r="K57" i="8"/>
  <c r="F57" i="8"/>
  <c r="D57" i="8"/>
  <c r="C57" i="8"/>
  <c r="A57" i="8"/>
  <c r="R56" i="8"/>
  <c r="G56" i="8" s="1"/>
  <c r="F56" i="8"/>
  <c r="D56" i="8"/>
  <c r="C56" i="8"/>
  <c r="A56" i="8"/>
  <c r="R55" i="8"/>
  <c r="G55" i="8" s="1"/>
  <c r="K55" i="8"/>
  <c r="F55" i="8"/>
  <c r="D55" i="8"/>
  <c r="C55" i="8"/>
  <c r="A55" i="8"/>
  <c r="R54" i="8"/>
  <c r="G54" i="8" s="1"/>
  <c r="F54" i="8"/>
  <c r="D54" i="8"/>
  <c r="C54" i="8"/>
  <c r="A54" i="8"/>
  <c r="R53" i="8"/>
  <c r="G53" i="8" s="1"/>
  <c r="F53" i="8"/>
  <c r="D53" i="8"/>
  <c r="C53" i="8"/>
  <c r="A53" i="8"/>
  <c r="R52" i="8"/>
  <c r="G52" i="8" s="1"/>
  <c r="K52" i="8"/>
  <c r="F52" i="8"/>
  <c r="D52" i="8"/>
  <c r="C52" i="8"/>
  <c r="A52" i="8"/>
  <c r="R51" i="8"/>
  <c r="G51" i="8" s="1"/>
  <c r="F51" i="8"/>
  <c r="D51" i="8"/>
  <c r="C51" i="8"/>
  <c r="A51" i="8"/>
  <c r="R50" i="8"/>
  <c r="G50" i="8" s="1"/>
  <c r="M50" i="8"/>
  <c r="M51" i="8" s="1"/>
  <c r="M52" i="8" s="1"/>
  <c r="M53" i="8" s="1"/>
  <c r="K50" i="8"/>
  <c r="F50" i="8"/>
  <c r="D50" i="8"/>
  <c r="C50" i="8"/>
  <c r="A50" i="8"/>
  <c r="R49" i="8"/>
  <c r="G49" i="8" s="1"/>
  <c r="M49" i="8"/>
  <c r="F49" i="8"/>
  <c r="D49" i="8"/>
  <c r="C49" i="8"/>
  <c r="A49" i="8"/>
  <c r="R48" i="8"/>
  <c r="G48" i="8" s="1"/>
  <c r="K48" i="8"/>
  <c r="F48" i="8"/>
  <c r="D48" i="8"/>
  <c r="C48" i="8"/>
  <c r="A48" i="8"/>
  <c r="R47" i="8"/>
  <c r="G47" i="8" s="1"/>
  <c r="Q47" i="8"/>
  <c r="Q48" i="8" s="1"/>
  <c r="Q49" i="8" s="1"/>
  <c r="Q50" i="8" s="1"/>
  <c r="Q51" i="8" s="1"/>
  <c r="Q52" i="8" s="1"/>
  <c r="Q53" i="8" s="1"/>
  <c r="O47" i="8"/>
  <c r="O48" i="8" s="1"/>
  <c r="O49" i="8" s="1"/>
  <c r="O50" i="8" s="1"/>
  <c r="O51" i="8" s="1"/>
  <c r="O52" i="8" s="1"/>
  <c r="O53" i="8" s="1"/>
  <c r="M47" i="8"/>
  <c r="M48" i="8" s="1"/>
  <c r="K47" i="8"/>
  <c r="F47" i="8"/>
  <c r="D47" i="8"/>
  <c r="C47" i="8"/>
  <c r="A47" i="8"/>
  <c r="R46" i="8"/>
  <c r="G46" i="8" s="1"/>
  <c r="F46" i="8"/>
  <c r="D46" i="8"/>
  <c r="C46" i="8"/>
  <c r="A46" i="8"/>
  <c r="R45" i="8"/>
  <c r="G45" i="8" s="1"/>
  <c r="K45" i="8"/>
  <c r="F45" i="8"/>
  <c r="D45" i="8"/>
  <c r="C45" i="8"/>
  <c r="A45" i="8"/>
  <c r="R44" i="8"/>
  <c r="G44" i="8" s="1"/>
  <c r="F44" i="8"/>
  <c r="D44" i="8"/>
  <c r="C44" i="8"/>
  <c r="A44" i="8"/>
  <c r="R43" i="8"/>
  <c r="G43" i="8" s="1"/>
  <c r="F43" i="8"/>
  <c r="D43" i="8"/>
  <c r="C43" i="8"/>
  <c r="A43" i="8"/>
  <c r="R42" i="8"/>
  <c r="K42" i="8"/>
  <c r="F42" i="8"/>
  <c r="D42" i="8"/>
  <c r="C42" i="8"/>
  <c r="A42" i="8"/>
  <c r="R41" i="8"/>
  <c r="F41" i="8"/>
  <c r="D41" i="8"/>
  <c r="C41" i="8"/>
  <c r="A41" i="8"/>
  <c r="R40" i="8"/>
  <c r="K40" i="8"/>
  <c r="F40" i="8"/>
  <c r="D40" i="8"/>
  <c r="C40" i="8"/>
  <c r="A40" i="8"/>
  <c r="R39" i="8"/>
  <c r="G39" i="8" s="1"/>
  <c r="Q39" i="8"/>
  <c r="Q40" i="8" s="1"/>
  <c r="Q41" i="8" s="1"/>
  <c r="Q42" i="8" s="1"/>
  <c r="Q43" i="8" s="1"/>
  <c r="F39" i="8"/>
  <c r="D39" i="8"/>
  <c r="C39" i="8"/>
  <c r="A39" i="8"/>
  <c r="R38" i="8"/>
  <c r="G38" i="8" s="1"/>
  <c r="Q38" i="8"/>
  <c r="O38" i="8"/>
  <c r="O39" i="8" s="1"/>
  <c r="O40" i="8" s="1"/>
  <c r="O41" i="8" s="1"/>
  <c r="O42" i="8" s="1"/>
  <c r="O43" i="8" s="1"/>
  <c r="M38" i="8"/>
  <c r="M39" i="8" s="1"/>
  <c r="M40" i="8" s="1"/>
  <c r="M41" i="8" s="1"/>
  <c r="M42" i="8" s="1"/>
  <c r="M43" i="8" s="1"/>
  <c r="K38" i="8"/>
  <c r="F38" i="8"/>
  <c r="D38" i="8"/>
  <c r="C38" i="8"/>
  <c r="A38" i="8"/>
  <c r="R37" i="8"/>
  <c r="G37" i="8" s="1"/>
  <c r="K37" i="8"/>
  <c r="F37" i="8"/>
  <c r="D37" i="8"/>
  <c r="C37" i="8"/>
  <c r="A37" i="8"/>
  <c r="R36" i="8"/>
  <c r="G36" i="8" s="1"/>
  <c r="F36" i="8"/>
  <c r="D36" i="8"/>
  <c r="C36" i="8"/>
  <c r="A36" i="8"/>
  <c r="R35" i="8"/>
  <c r="G35" i="8" s="1"/>
  <c r="K35" i="8"/>
  <c r="F35" i="8"/>
  <c r="D35" i="8"/>
  <c r="C35" i="8"/>
  <c r="A35" i="8"/>
  <c r="R34" i="8"/>
  <c r="G34" i="8" s="1"/>
  <c r="F34" i="8"/>
  <c r="D34" i="8"/>
  <c r="C34" i="8"/>
  <c r="A34" i="8"/>
  <c r="R33" i="8"/>
  <c r="G33" i="8" s="1"/>
  <c r="F33" i="8"/>
  <c r="D33" i="8"/>
  <c r="C33" i="8"/>
  <c r="A33" i="8"/>
  <c r="R32" i="8"/>
  <c r="G32" i="8" s="1"/>
  <c r="K32" i="8"/>
  <c r="F32" i="8"/>
  <c r="D32" i="8"/>
  <c r="C32" i="8"/>
  <c r="A32" i="8"/>
  <c r="R31" i="8"/>
  <c r="G31" i="8" s="1"/>
  <c r="M31" i="8"/>
  <c r="M32" i="8" s="1"/>
  <c r="M33" i="8" s="1"/>
  <c r="F31" i="8"/>
  <c r="D31" i="8"/>
  <c r="C31" i="8"/>
  <c r="A31" i="8"/>
  <c r="R30" i="8"/>
  <c r="G30" i="8" s="1"/>
  <c r="K30" i="8"/>
  <c r="F30" i="8"/>
  <c r="D30" i="8"/>
  <c r="C30" i="8"/>
  <c r="A30" i="8"/>
  <c r="R29" i="8"/>
  <c r="G29" i="8" s="1"/>
  <c r="Q29" i="8"/>
  <c r="Q30" i="8" s="1"/>
  <c r="Q31" i="8" s="1"/>
  <c r="Q32" i="8" s="1"/>
  <c r="Q33" i="8" s="1"/>
  <c r="F29" i="8"/>
  <c r="D29" i="8"/>
  <c r="C29" i="8"/>
  <c r="A29" i="8"/>
  <c r="R28" i="8"/>
  <c r="G28" i="8" s="1"/>
  <c r="K28" i="8"/>
  <c r="F28" i="8"/>
  <c r="D28" i="8"/>
  <c r="C28" i="8"/>
  <c r="A28" i="8"/>
  <c r="R27" i="8"/>
  <c r="G27" i="8" s="1"/>
  <c r="K27" i="8"/>
  <c r="F27" i="8"/>
  <c r="D27" i="8"/>
  <c r="C27" i="8"/>
  <c r="A27" i="8"/>
  <c r="R26" i="8"/>
  <c r="G26" i="8" s="1"/>
  <c r="Q26" i="8"/>
  <c r="Q27" i="8" s="1"/>
  <c r="Q28" i="8" s="1"/>
  <c r="O26" i="8"/>
  <c r="O27" i="8" s="1"/>
  <c r="O28" i="8" s="1"/>
  <c r="O29" i="8" s="1"/>
  <c r="O30" i="8" s="1"/>
  <c r="O31" i="8" s="1"/>
  <c r="O32" i="8" s="1"/>
  <c r="O33" i="8" s="1"/>
  <c r="M26" i="8"/>
  <c r="M27" i="8" s="1"/>
  <c r="M28" i="8" s="1"/>
  <c r="M29" i="8" s="1"/>
  <c r="M30" i="8" s="1"/>
  <c r="F26" i="8"/>
  <c r="D26" i="8"/>
  <c r="C26" i="8"/>
  <c r="A26" i="8"/>
  <c r="R25" i="8"/>
  <c r="G25" i="8" s="1"/>
  <c r="K25" i="8"/>
  <c r="F25" i="8"/>
  <c r="D25" i="8"/>
  <c r="C25" i="8"/>
  <c r="A25" i="8"/>
  <c r="R24" i="8"/>
  <c r="G24" i="8" s="1"/>
  <c r="F24" i="8"/>
  <c r="D24" i="8"/>
  <c r="C24" i="8"/>
  <c r="A24" i="8"/>
  <c r="R23" i="8"/>
  <c r="G23" i="8" s="1"/>
  <c r="F23" i="8"/>
  <c r="D23" i="8"/>
  <c r="C23" i="8"/>
  <c r="A23" i="8"/>
  <c r="R22" i="8"/>
  <c r="G22" i="8" s="1"/>
  <c r="K22" i="8"/>
  <c r="F22" i="8"/>
  <c r="D22" i="8"/>
  <c r="C22" i="8"/>
  <c r="A22" i="8"/>
  <c r="R21" i="8"/>
  <c r="G21" i="8" s="1"/>
  <c r="F21" i="8"/>
  <c r="D21" i="8"/>
  <c r="C21" i="8"/>
  <c r="A21" i="8"/>
  <c r="R20" i="8"/>
  <c r="G20" i="8" s="1"/>
  <c r="Q20" i="8"/>
  <c r="Q21" i="8" s="1"/>
  <c r="Q22" i="8" s="1"/>
  <c r="Q23" i="8" s="1"/>
  <c r="O20" i="8"/>
  <c r="O21" i="8" s="1"/>
  <c r="O22" i="8" s="1"/>
  <c r="O23" i="8" s="1"/>
  <c r="K20" i="8"/>
  <c r="F20" i="8"/>
  <c r="D20" i="8"/>
  <c r="C20" i="8"/>
  <c r="A20" i="8"/>
  <c r="R19" i="8"/>
  <c r="G19" i="8" s="1"/>
  <c r="Q19" i="8"/>
  <c r="O19" i="8"/>
  <c r="M19" i="8"/>
  <c r="M20" i="8" s="1"/>
  <c r="M21" i="8" s="1"/>
  <c r="M22" i="8" s="1"/>
  <c r="M23" i="8" s="1"/>
  <c r="F19" i="8"/>
  <c r="D19" i="8"/>
  <c r="C19" i="8"/>
  <c r="A19" i="8"/>
  <c r="R18" i="8"/>
  <c r="G18" i="8" s="1"/>
  <c r="Q18" i="8"/>
  <c r="O18" i="8"/>
  <c r="M18" i="8"/>
  <c r="K18" i="8"/>
  <c r="F18" i="8"/>
  <c r="D18" i="8"/>
  <c r="C18" i="8"/>
  <c r="A18" i="8"/>
  <c r="R17" i="8"/>
  <c r="G17" i="8" s="1"/>
  <c r="K17" i="8"/>
  <c r="F17" i="8"/>
  <c r="D17" i="8"/>
  <c r="C17" i="8"/>
  <c r="A17" i="8"/>
  <c r="R16" i="8"/>
  <c r="G16" i="8" s="1"/>
  <c r="F16" i="8"/>
  <c r="D16" i="8"/>
  <c r="C16" i="8"/>
  <c r="A16" i="8"/>
  <c r="R15" i="8"/>
  <c r="G15" i="8" s="1"/>
  <c r="K15" i="8"/>
  <c r="F15" i="8"/>
  <c r="D15" i="8"/>
  <c r="C15" i="8"/>
  <c r="A15" i="8"/>
  <c r="R14" i="8"/>
  <c r="G14" i="8" s="1"/>
  <c r="F14" i="8"/>
  <c r="D14" i="8"/>
  <c r="C14" i="8"/>
  <c r="A14" i="8"/>
  <c r="R13" i="8"/>
  <c r="G13" i="8" s="1"/>
  <c r="F13" i="8"/>
  <c r="D13" i="8"/>
  <c r="C13" i="8"/>
  <c r="A13" i="8"/>
  <c r="R12" i="8"/>
  <c r="G12" i="8" s="1"/>
  <c r="K12" i="8"/>
  <c r="F12" i="8"/>
  <c r="D12" i="8"/>
  <c r="C12" i="8"/>
  <c r="A12" i="8"/>
  <c r="R11" i="8"/>
  <c r="G11" i="8" s="1"/>
  <c r="F11" i="8"/>
  <c r="D11" i="8"/>
  <c r="C11" i="8"/>
  <c r="A11" i="8"/>
  <c r="R10" i="8"/>
  <c r="G10" i="8" s="1"/>
  <c r="Q10" i="8"/>
  <c r="Q11" i="8" s="1"/>
  <c r="Q12" i="8" s="1"/>
  <c r="Q13" i="8" s="1"/>
  <c r="K10" i="8"/>
  <c r="F10" i="8"/>
  <c r="D10" i="8"/>
  <c r="C10" i="8"/>
  <c r="A10" i="8"/>
  <c r="R9" i="8"/>
  <c r="G9" i="8" s="1"/>
  <c r="O9" i="8"/>
  <c r="O10" i="8" s="1"/>
  <c r="O11" i="8" s="1"/>
  <c r="O12" i="8" s="1"/>
  <c r="O13" i="8" s="1"/>
  <c r="M9" i="8"/>
  <c r="M10" i="8" s="1"/>
  <c r="M11" i="8" s="1"/>
  <c r="M12" i="8" s="1"/>
  <c r="M13" i="8" s="1"/>
  <c r="F9" i="8"/>
  <c r="D9" i="8"/>
  <c r="C9" i="8"/>
  <c r="A9" i="8"/>
  <c r="R8" i="8"/>
  <c r="G8" i="8" s="1"/>
  <c r="Q8" i="8"/>
  <c r="Q9" i="8" s="1"/>
  <c r="M8" i="8"/>
  <c r="K8" i="8"/>
  <c r="F8" i="8"/>
  <c r="D8" i="8"/>
  <c r="C8" i="8"/>
  <c r="A8" i="8"/>
  <c r="R7" i="8"/>
  <c r="G7" i="8" s="1"/>
  <c r="Q7" i="8"/>
  <c r="O7" i="8"/>
  <c r="O8" i="8" s="1"/>
  <c r="M7" i="8"/>
  <c r="K7" i="8"/>
  <c r="F7" i="8"/>
  <c r="D7" i="8"/>
  <c r="C7" i="8"/>
  <c r="A7" i="8"/>
  <c r="R6" i="8"/>
  <c r="G6" i="8" s="1"/>
  <c r="Q6" i="8"/>
  <c r="O6" i="8"/>
  <c r="M6" i="8"/>
  <c r="F6" i="8"/>
  <c r="D6" i="8"/>
  <c r="C6" i="8"/>
  <c r="A6" i="8"/>
  <c r="R5" i="8"/>
  <c r="G5" i="8" s="1"/>
  <c r="K5" i="8"/>
  <c r="F5" i="8"/>
  <c r="D5" i="8"/>
  <c r="C5" i="8"/>
  <c r="A5" i="8"/>
  <c r="R4" i="8"/>
  <c r="G4" i="8" s="1"/>
  <c r="F4" i="8"/>
  <c r="D4" i="8"/>
  <c r="C4" i="8"/>
  <c r="A4" i="8"/>
  <c r="A2903" i="6"/>
  <c r="A2902" i="6"/>
  <c r="A2901" i="6"/>
  <c r="A2900" i="6"/>
  <c r="A2899" i="6"/>
  <c r="A2898" i="6"/>
  <c r="A2897" i="6"/>
  <c r="A2896" i="6"/>
  <c r="A2895" i="6"/>
  <c r="A2894" i="6"/>
  <c r="A2893" i="6"/>
  <c r="A2892" i="6"/>
  <c r="A2891" i="6"/>
  <c r="A2890" i="6"/>
  <c r="A2889" i="6"/>
  <c r="A2888" i="6"/>
  <c r="A2887" i="6"/>
  <c r="A2886" i="6"/>
  <c r="A2885" i="6"/>
  <c r="A2884" i="6"/>
  <c r="A2883" i="6"/>
  <c r="A2882" i="6"/>
  <c r="A2881" i="6"/>
  <c r="A2880" i="6"/>
  <c r="A2879" i="6"/>
  <c r="A2878" i="6"/>
  <c r="A2877" i="6"/>
  <c r="A2876" i="6"/>
  <c r="A2875" i="6"/>
  <c r="A2874" i="6"/>
  <c r="A2873" i="6"/>
  <c r="A2872" i="6"/>
  <c r="A2871" i="6"/>
  <c r="A2870" i="6"/>
  <c r="A2869" i="6"/>
  <c r="A2868" i="6"/>
  <c r="A2867" i="6"/>
  <c r="A2866" i="6"/>
  <c r="A2865" i="6"/>
  <c r="A2864" i="6"/>
  <c r="A2863" i="6"/>
  <c r="A2862" i="6"/>
  <c r="A2861" i="6"/>
  <c r="A2860" i="6"/>
  <c r="A2859" i="6"/>
  <c r="A2858" i="6"/>
  <c r="A2857" i="6"/>
  <c r="A2856" i="6"/>
  <c r="A2855" i="6"/>
  <c r="A2854" i="6"/>
  <c r="A2853" i="6"/>
  <c r="A2852" i="6"/>
  <c r="A2851" i="6"/>
  <c r="A2850" i="6"/>
  <c r="A2849" i="6"/>
  <c r="A2848" i="6"/>
  <c r="A2847" i="6"/>
  <c r="A2846" i="6"/>
  <c r="A2845" i="6"/>
  <c r="A2844" i="6"/>
  <c r="A2843" i="6"/>
  <c r="A2842" i="6"/>
  <c r="A2841" i="6"/>
  <c r="A2840" i="6"/>
  <c r="A2839" i="6"/>
  <c r="A2838" i="6"/>
  <c r="A2837" i="6"/>
  <c r="A2836" i="6"/>
  <c r="A2835" i="6"/>
  <c r="A2834" i="6"/>
  <c r="A2833" i="6"/>
  <c r="A2832" i="6"/>
  <c r="A2831" i="6"/>
  <c r="A2830" i="6"/>
  <c r="A2829" i="6"/>
  <c r="A2828" i="6"/>
  <c r="A2827" i="6"/>
  <c r="A2826" i="6"/>
  <c r="A2825" i="6"/>
  <c r="A2824" i="6"/>
  <c r="A2823" i="6"/>
  <c r="A2822" i="6"/>
  <c r="A2821" i="6"/>
  <c r="A2820" i="6"/>
  <c r="A2819" i="6"/>
  <c r="A2818" i="6"/>
  <c r="A2817" i="6"/>
  <c r="A2816" i="6"/>
  <c r="A2815" i="6"/>
  <c r="A2814" i="6"/>
  <c r="A2813" i="6"/>
  <c r="A2812" i="6"/>
  <c r="A2811" i="6"/>
  <c r="A2810" i="6"/>
  <c r="A2809" i="6"/>
  <c r="A2808" i="6"/>
  <c r="A2807" i="6"/>
  <c r="A2806" i="6"/>
  <c r="A2805" i="6"/>
  <c r="A2804" i="6"/>
  <c r="A2803" i="6"/>
  <c r="A2802" i="6"/>
  <c r="A2801" i="6"/>
  <c r="A2800" i="6"/>
  <c r="A2799" i="6"/>
  <c r="A2798" i="6"/>
  <c r="A2797" i="6"/>
  <c r="A2796" i="6"/>
  <c r="A2795" i="6"/>
  <c r="A2794" i="6"/>
  <c r="A2793" i="6"/>
  <c r="A2792" i="6"/>
  <c r="A2791" i="6"/>
  <c r="A2790" i="6"/>
  <c r="A2789" i="6"/>
  <c r="A2788" i="6"/>
  <c r="A2787" i="6"/>
  <c r="A2786" i="6"/>
  <c r="A2785" i="6"/>
  <c r="A2784" i="6"/>
  <c r="A2783" i="6"/>
  <c r="A2782" i="6"/>
  <c r="A2781" i="6"/>
  <c r="A2780" i="6"/>
  <c r="A2779" i="6"/>
  <c r="A2778" i="6"/>
  <c r="A2777" i="6"/>
  <c r="A2776" i="6"/>
  <c r="A2775" i="6"/>
  <c r="A2774" i="6"/>
  <c r="A2773" i="6"/>
  <c r="A2772" i="6"/>
  <c r="A2771" i="6"/>
  <c r="A2770" i="6"/>
  <c r="A2769" i="6"/>
  <c r="A2768" i="6"/>
  <c r="A2767" i="6"/>
  <c r="A2766" i="6"/>
  <c r="A2765" i="6"/>
  <c r="A2764" i="6"/>
  <c r="A2763" i="6"/>
  <c r="A2762" i="6"/>
  <c r="A2761" i="6"/>
  <c r="A2760" i="6"/>
  <c r="A2759" i="6"/>
  <c r="A2758" i="6"/>
  <c r="A2757" i="6"/>
  <c r="A2756" i="6"/>
  <c r="A2755" i="6"/>
  <c r="A2754" i="6"/>
  <c r="A2753" i="6"/>
  <c r="A2752" i="6"/>
  <c r="A2751" i="6"/>
  <c r="A2750" i="6"/>
  <c r="A2749" i="6"/>
  <c r="A2748" i="6"/>
  <c r="A2747" i="6"/>
  <c r="A2746" i="6"/>
  <c r="A2745" i="6"/>
  <c r="A2744" i="6"/>
  <c r="A2743" i="6"/>
  <c r="A2742" i="6"/>
  <c r="A2741" i="6"/>
  <c r="A2740" i="6"/>
  <c r="A2739" i="6"/>
  <c r="A2738" i="6"/>
  <c r="A2737" i="6"/>
  <c r="A2736" i="6"/>
  <c r="A2735" i="6"/>
  <c r="A2734" i="6"/>
  <c r="A2733" i="6"/>
  <c r="A2732" i="6"/>
  <c r="A2731" i="6"/>
  <c r="A2730" i="6"/>
  <c r="A2729" i="6"/>
  <c r="A2728" i="6"/>
  <c r="A2727" i="6"/>
  <c r="A2726" i="6"/>
  <c r="A2725" i="6"/>
  <c r="A2724" i="6"/>
  <c r="A2723" i="6"/>
  <c r="A2722" i="6"/>
  <c r="A2721" i="6"/>
  <c r="A2720" i="6"/>
  <c r="A2719" i="6"/>
  <c r="A2718" i="6"/>
  <c r="A2717" i="6"/>
  <c r="A2716" i="6"/>
  <c r="A2715" i="6"/>
  <c r="A2714" i="6"/>
  <c r="A2713" i="6"/>
  <c r="A2712" i="6"/>
  <c r="A2711" i="6"/>
  <c r="A2710" i="6"/>
  <c r="A2709" i="6"/>
  <c r="A2708" i="6"/>
  <c r="A2707" i="6"/>
  <c r="A2706" i="6"/>
  <c r="A2705" i="6"/>
  <c r="A2704" i="6"/>
  <c r="A2703" i="6"/>
  <c r="A2702" i="6"/>
  <c r="A2701" i="6"/>
  <c r="A2700" i="6"/>
  <c r="A2699" i="6"/>
  <c r="A2698" i="6"/>
  <c r="A2697" i="6"/>
  <c r="A2696" i="6"/>
  <c r="A2695" i="6"/>
  <c r="A2694" i="6"/>
  <c r="A2693" i="6"/>
  <c r="A2692" i="6"/>
  <c r="A2691" i="6"/>
  <c r="A2690" i="6"/>
  <c r="A2689" i="6"/>
  <c r="A2688" i="6"/>
  <c r="A2687" i="6"/>
  <c r="A2686" i="6"/>
  <c r="A2685" i="6"/>
  <c r="A2684" i="6"/>
  <c r="A2683" i="6"/>
  <c r="A2682" i="6"/>
  <c r="A2681" i="6"/>
  <c r="A2680" i="6"/>
  <c r="A2679" i="6"/>
  <c r="A2678" i="6"/>
  <c r="A2677" i="6"/>
  <c r="A2676" i="6"/>
  <c r="A2675" i="6"/>
  <c r="A2674" i="6"/>
  <c r="A2673" i="6"/>
  <c r="A2672" i="6"/>
  <c r="A2671" i="6"/>
  <c r="A2670" i="6"/>
  <c r="A2669" i="6"/>
  <c r="A2668" i="6"/>
  <c r="A2667" i="6"/>
  <c r="A2666" i="6"/>
  <c r="A2665" i="6"/>
  <c r="A2664" i="6"/>
  <c r="A2663" i="6"/>
  <c r="A2662" i="6"/>
  <c r="A2661" i="6"/>
  <c r="A2660" i="6"/>
  <c r="A2659" i="6"/>
  <c r="A2658" i="6"/>
  <c r="A2657" i="6"/>
  <c r="A2656" i="6"/>
  <c r="A2655" i="6"/>
  <c r="A2654" i="6"/>
  <c r="A2653" i="6"/>
  <c r="A2652" i="6"/>
  <c r="A2651" i="6"/>
  <c r="A2650" i="6"/>
  <c r="A2649" i="6"/>
  <c r="A2648" i="6"/>
  <c r="A2647" i="6"/>
  <c r="A2646" i="6"/>
  <c r="A2645" i="6"/>
  <c r="A2644" i="6"/>
  <c r="A2643" i="6"/>
  <c r="A2642" i="6"/>
  <c r="A2641" i="6"/>
  <c r="A2640" i="6"/>
  <c r="A2639" i="6"/>
  <c r="A2638" i="6"/>
  <c r="A2637" i="6"/>
  <c r="A2636" i="6"/>
  <c r="A2635" i="6"/>
  <c r="A2634" i="6"/>
  <c r="A2633" i="6"/>
  <c r="A2632" i="6"/>
  <c r="A2631" i="6"/>
  <c r="A2630" i="6"/>
  <c r="A2629" i="6"/>
  <c r="A2628" i="6"/>
  <c r="A2627" i="6"/>
  <c r="A2626" i="6"/>
  <c r="A2625" i="6"/>
  <c r="A2624" i="6"/>
  <c r="A2623" i="6"/>
  <c r="A2622" i="6"/>
  <c r="A2621" i="6"/>
  <c r="A2620" i="6"/>
  <c r="A2619" i="6"/>
  <c r="A2618" i="6"/>
  <c r="A2617" i="6"/>
  <c r="A2616" i="6"/>
  <c r="A2615" i="6"/>
  <c r="A2614" i="6"/>
  <c r="A2613" i="6"/>
  <c r="A2612" i="6"/>
  <c r="A2611" i="6"/>
  <c r="A2610" i="6"/>
  <c r="A2609" i="6"/>
  <c r="A2608" i="6"/>
  <c r="A2607" i="6"/>
  <c r="A2606" i="6"/>
  <c r="A2605" i="6"/>
  <c r="A2604" i="6"/>
  <c r="A2603" i="6"/>
  <c r="A2602" i="6"/>
  <c r="A2601" i="6"/>
  <c r="A2600" i="6"/>
  <c r="A2599" i="6"/>
  <c r="A2598" i="6"/>
  <c r="A2597" i="6"/>
  <c r="A2596" i="6"/>
  <c r="A2595" i="6"/>
  <c r="A2594" i="6"/>
  <c r="A2593" i="6"/>
  <c r="A2592" i="6"/>
  <c r="A2591" i="6"/>
  <c r="A2590" i="6"/>
  <c r="A2589" i="6"/>
  <c r="A2588" i="6"/>
  <c r="A2587" i="6"/>
  <c r="A2586" i="6"/>
  <c r="A2585" i="6"/>
  <c r="A2584" i="6"/>
  <c r="A2583" i="6"/>
  <c r="A2582" i="6"/>
  <c r="A2581" i="6"/>
  <c r="A2580" i="6"/>
  <c r="A2579" i="6"/>
  <c r="A2578" i="6"/>
  <c r="A2577" i="6"/>
  <c r="A2576" i="6"/>
  <c r="A2575" i="6"/>
  <c r="A2574" i="6"/>
  <c r="A2573" i="6"/>
  <c r="A2572" i="6"/>
  <c r="A2571" i="6"/>
  <c r="A2570" i="6"/>
  <c r="A2569" i="6"/>
  <c r="A2568" i="6"/>
  <c r="A2567" i="6"/>
  <c r="A2566" i="6"/>
  <c r="A2565" i="6"/>
  <c r="A2564" i="6"/>
  <c r="A2563" i="6"/>
  <c r="A2562" i="6"/>
  <c r="A2561" i="6"/>
  <c r="A2560" i="6"/>
  <c r="A2559" i="6"/>
  <c r="A2558" i="6"/>
  <c r="A2557" i="6"/>
  <c r="A2556" i="6"/>
  <c r="A2555" i="6"/>
  <c r="A2554" i="6"/>
  <c r="A2553" i="6"/>
  <c r="A2552" i="6"/>
  <c r="A2551" i="6"/>
  <c r="A2550" i="6"/>
  <c r="A2549" i="6"/>
  <c r="A2548" i="6"/>
  <c r="A2547" i="6"/>
  <c r="A2546" i="6"/>
  <c r="A2545" i="6"/>
  <c r="A2544" i="6"/>
  <c r="A2543" i="6"/>
  <c r="A2542" i="6"/>
  <c r="A2541" i="6"/>
  <c r="A2540" i="6"/>
  <c r="A2539" i="6"/>
  <c r="A2538" i="6"/>
  <c r="A2537" i="6"/>
  <c r="A2536" i="6"/>
  <c r="A2535" i="6"/>
  <c r="A2534" i="6"/>
  <c r="A2533" i="6"/>
  <c r="A2532" i="6"/>
  <c r="A2531" i="6"/>
  <c r="A2530" i="6"/>
  <c r="A2529" i="6"/>
  <c r="A2528" i="6"/>
  <c r="A2527" i="6"/>
  <c r="A2526" i="6"/>
  <c r="A2525" i="6"/>
  <c r="A2524" i="6"/>
  <c r="A2523" i="6"/>
  <c r="A2522" i="6"/>
  <c r="A2521" i="6"/>
  <c r="A2520" i="6"/>
  <c r="A2519" i="6"/>
  <c r="A2518" i="6"/>
  <c r="A2517" i="6"/>
  <c r="A2516" i="6"/>
  <c r="A2515" i="6"/>
  <c r="A2514" i="6"/>
  <c r="A2513" i="6"/>
  <c r="A2512" i="6"/>
  <c r="A2511" i="6"/>
  <c r="A2510" i="6"/>
  <c r="A2509" i="6"/>
  <c r="A2508" i="6"/>
  <c r="A2507" i="6"/>
  <c r="A2506" i="6"/>
  <c r="A2505" i="6"/>
  <c r="A2504" i="6"/>
  <c r="A2503" i="6"/>
  <c r="A2502" i="6"/>
  <c r="A2501" i="6"/>
  <c r="A2500" i="6"/>
  <c r="A2499" i="6"/>
  <c r="A2498" i="6"/>
  <c r="A2497" i="6"/>
  <c r="A2496" i="6"/>
  <c r="A2495" i="6"/>
  <c r="A2494" i="6"/>
  <c r="A2493" i="6"/>
  <c r="A2492" i="6"/>
  <c r="A2491" i="6"/>
  <c r="A2490" i="6"/>
  <c r="A2489" i="6"/>
  <c r="A2488" i="6"/>
  <c r="A2487" i="6"/>
  <c r="A2486" i="6"/>
  <c r="A2485" i="6"/>
  <c r="A2484" i="6"/>
  <c r="A2483" i="6"/>
  <c r="A2482" i="6"/>
  <c r="A2481" i="6"/>
  <c r="A2480" i="6"/>
  <c r="A2479" i="6"/>
  <c r="A2478" i="6"/>
  <c r="A2477" i="6"/>
  <c r="A2476" i="6"/>
  <c r="A2475" i="6"/>
  <c r="A2474" i="6"/>
  <c r="A2473" i="6"/>
  <c r="A2472" i="6"/>
  <c r="A2471" i="6"/>
  <c r="A2470" i="6"/>
  <c r="A2469" i="6"/>
  <c r="A2468" i="6"/>
  <c r="A2467" i="6"/>
  <c r="A2466" i="6"/>
  <c r="A2465" i="6"/>
  <c r="A2464" i="6"/>
  <c r="A2463" i="6"/>
  <c r="A2462" i="6"/>
  <c r="A2461" i="6"/>
  <c r="A2460" i="6"/>
  <c r="A2459" i="6"/>
  <c r="A2458" i="6"/>
  <c r="A2457" i="6"/>
  <c r="A2456" i="6"/>
  <c r="A2455" i="6"/>
  <c r="A2454" i="6"/>
  <c r="A2453" i="6"/>
  <c r="A2452" i="6"/>
  <c r="A2451" i="6"/>
  <c r="A2450" i="6"/>
  <c r="A2449" i="6"/>
  <c r="A2448" i="6"/>
  <c r="A2447" i="6"/>
  <c r="A2446" i="6"/>
  <c r="A2445" i="6"/>
  <c r="A2444" i="6"/>
  <c r="A2443" i="6"/>
  <c r="A2442" i="6"/>
  <c r="A2441" i="6"/>
  <c r="A2440" i="6"/>
  <c r="A2439" i="6"/>
  <c r="A2438" i="6"/>
  <c r="A2437" i="6"/>
  <c r="A2436" i="6"/>
  <c r="A2435" i="6"/>
  <c r="A2434" i="6"/>
  <c r="A2433" i="6"/>
  <c r="A2432" i="6"/>
  <c r="A2431" i="6"/>
  <c r="A2430" i="6"/>
  <c r="A2429" i="6"/>
  <c r="A2428" i="6"/>
  <c r="A2427" i="6"/>
  <c r="A2426" i="6"/>
  <c r="A2425" i="6"/>
  <c r="A2424" i="6"/>
  <c r="A2423" i="6"/>
  <c r="A2422" i="6"/>
  <c r="A2421" i="6"/>
  <c r="A2420" i="6"/>
  <c r="A2419" i="6"/>
  <c r="A2418" i="6"/>
  <c r="A2417" i="6"/>
  <c r="A2416" i="6"/>
  <c r="A2415" i="6"/>
  <c r="A2414" i="6"/>
  <c r="A2413" i="6"/>
  <c r="A2412" i="6"/>
  <c r="A2411" i="6"/>
  <c r="A2410" i="6"/>
  <c r="A2409" i="6"/>
  <c r="A2408" i="6"/>
  <c r="A2407" i="6"/>
  <c r="A2406" i="6"/>
  <c r="A2405" i="6"/>
  <c r="A2404" i="6"/>
  <c r="A2403" i="6"/>
  <c r="A2402" i="6"/>
  <c r="A2401" i="6"/>
  <c r="A2400" i="6"/>
  <c r="A2399" i="6"/>
  <c r="A2398" i="6"/>
  <c r="A2397" i="6"/>
  <c r="A2396" i="6"/>
  <c r="A2395" i="6"/>
  <c r="A2394" i="6"/>
  <c r="A2393" i="6"/>
  <c r="A2392" i="6"/>
  <c r="A2391" i="6"/>
  <c r="A2390" i="6"/>
  <c r="A2389" i="6"/>
  <c r="A2388" i="6"/>
  <c r="A2387" i="6"/>
  <c r="A2386" i="6"/>
  <c r="A2385" i="6"/>
  <c r="A2384" i="6"/>
  <c r="A2383" i="6"/>
  <c r="A2382" i="6"/>
  <c r="A2381" i="6"/>
  <c r="A2380" i="6"/>
  <c r="A2379" i="6"/>
  <c r="A2378" i="6"/>
  <c r="A2377" i="6"/>
  <c r="A2376" i="6"/>
  <c r="A2375" i="6"/>
  <c r="A2374" i="6"/>
  <c r="A2373" i="6"/>
  <c r="A2372" i="6"/>
  <c r="A2371" i="6"/>
  <c r="A2370" i="6"/>
  <c r="A2369" i="6"/>
  <c r="A2368" i="6"/>
  <c r="A2367" i="6"/>
  <c r="A2366" i="6"/>
  <c r="A2365" i="6"/>
  <c r="A2364" i="6"/>
  <c r="A2363" i="6"/>
  <c r="A2362" i="6"/>
  <c r="A2361" i="6"/>
  <c r="A2360" i="6"/>
  <c r="A2359" i="6"/>
  <c r="A2358" i="6"/>
  <c r="A2357" i="6"/>
  <c r="A2356" i="6"/>
  <c r="A2355" i="6"/>
  <c r="A2354" i="6"/>
  <c r="A2353" i="6"/>
  <c r="A2352" i="6"/>
  <c r="A2351" i="6"/>
  <c r="A2350" i="6"/>
  <c r="A2349" i="6"/>
  <c r="A2348" i="6"/>
  <c r="A2347" i="6"/>
  <c r="A2346" i="6"/>
  <c r="A2345" i="6"/>
  <c r="A2344" i="6"/>
  <c r="A2343" i="6"/>
  <c r="A2342" i="6"/>
  <c r="A2341" i="6"/>
  <c r="A2340" i="6"/>
  <c r="A2339" i="6"/>
  <c r="A2338" i="6"/>
  <c r="A2337" i="6"/>
  <c r="A2336" i="6"/>
  <c r="A2335" i="6"/>
  <c r="A2334" i="6"/>
  <c r="A2333" i="6"/>
  <c r="A2332" i="6"/>
  <c r="A2331" i="6"/>
  <c r="A2330" i="6"/>
  <c r="A2329" i="6"/>
  <c r="A2328" i="6"/>
  <c r="A2327" i="6"/>
  <c r="A2326" i="6"/>
  <c r="A2325" i="6"/>
  <c r="A2324" i="6"/>
  <c r="A2323" i="6"/>
  <c r="A2322" i="6"/>
  <c r="A2321" i="6"/>
  <c r="A2320" i="6"/>
  <c r="A2319" i="6"/>
  <c r="A2318" i="6"/>
  <c r="A2317" i="6"/>
  <c r="A2316" i="6"/>
  <c r="A2315" i="6"/>
  <c r="A2314" i="6"/>
  <c r="A2313" i="6"/>
  <c r="A2312" i="6"/>
  <c r="A2311" i="6"/>
  <c r="A2310" i="6"/>
  <c r="A2309" i="6"/>
  <c r="A2308" i="6"/>
  <c r="A2307" i="6"/>
  <c r="A2306" i="6"/>
  <c r="A2305" i="6"/>
  <c r="A2304" i="6"/>
  <c r="A2303" i="6"/>
  <c r="A2302" i="6"/>
  <c r="A2301" i="6"/>
  <c r="A2300" i="6"/>
  <c r="A2299" i="6"/>
  <c r="A2298" i="6"/>
  <c r="A2297" i="6"/>
  <c r="A2296" i="6"/>
  <c r="A2295" i="6"/>
  <c r="A2294" i="6"/>
  <c r="A2293" i="6"/>
  <c r="A2292" i="6"/>
  <c r="A2291" i="6"/>
  <c r="A2290" i="6"/>
  <c r="A2289" i="6"/>
  <c r="A2288" i="6"/>
  <c r="A2287" i="6"/>
  <c r="A2286" i="6"/>
  <c r="A2285" i="6"/>
  <c r="A2284" i="6"/>
  <c r="A2283" i="6"/>
  <c r="A2282" i="6"/>
  <c r="A2281" i="6"/>
  <c r="A2280" i="6"/>
  <c r="A2279" i="6"/>
  <c r="A2278" i="6"/>
  <c r="A2277" i="6"/>
  <c r="A2276" i="6"/>
  <c r="A2275" i="6"/>
  <c r="A2274" i="6"/>
  <c r="A2273" i="6"/>
  <c r="A2272" i="6"/>
  <c r="A2271" i="6"/>
  <c r="A2270" i="6"/>
  <c r="A2269" i="6"/>
  <c r="A2268" i="6"/>
  <c r="A2267" i="6"/>
  <c r="A2266" i="6"/>
  <c r="A2265" i="6"/>
  <c r="A2264" i="6"/>
  <c r="A2263" i="6"/>
  <c r="A2262" i="6"/>
  <c r="A2261" i="6"/>
  <c r="A2260" i="6"/>
  <c r="A2259" i="6"/>
  <c r="A2258" i="6"/>
  <c r="A2257" i="6"/>
  <c r="A2256" i="6"/>
  <c r="A2255" i="6"/>
  <c r="A2254" i="6"/>
  <c r="A2253" i="6"/>
  <c r="A2252" i="6"/>
  <c r="A2251" i="6"/>
  <c r="A2250" i="6"/>
  <c r="A2249" i="6"/>
  <c r="A2248" i="6"/>
  <c r="A2247" i="6"/>
  <c r="A2246" i="6"/>
  <c r="A2245" i="6"/>
  <c r="A2244" i="6"/>
  <c r="A2243" i="6"/>
  <c r="A2242" i="6"/>
  <c r="A2241" i="6"/>
  <c r="A2240" i="6"/>
  <c r="A2239" i="6"/>
  <c r="A2238" i="6"/>
  <c r="A2237" i="6"/>
  <c r="A2236" i="6"/>
  <c r="A2235" i="6"/>
  <c r="A2234" i="6"/>
  <c r="A2233" i="6"/>
  <c r="A2232" i="6"/>
  <c r="A2231" i="6"/>
  <c r="A2230" i="6"/>
  <c r="A2229" i="6"/>
  <c r="A2228" i="6"/>
  <c r="A2227" i="6"/>
  <c r="A2226" i="6"/>
  <c r="A2225" i="6"/>
  <c r="A2224" i="6"/>
  <c r="A2223" i="6"/>
  <c r="A2222" i="6"/>
  <c r="A2221" i="6"/>
  <c r="A2220" i="6"/>
  <c r="A2219" i="6"/>
  <c r="A2218" i="6"/>
  <c r="A2217" i="6"/>
  <c r="A2216" i="6"/>
  <c r="A2215" i="6"/>
  <c r="A2214" i="6"/>
  <c r="A2213" i="6"/>
  <c r="A2212" i="6"/>
  <c r="A2211" i="6"/>
  <c r="A2210" i="6"/>
  <c r="A2209" i="6"/>
  <c r="A2208" i="6"/>
  <c r="A2207" i="6"/>
  <c r="A2206" i="6"/>
  <c r="A2205" i="6"/>
  <c r="G2204" i="6"/>
  <c r="A2204" i="6"/>
  <c r="I2203" i="6"/>
  <c r="A2203" i="6"/>
  <c r="I2202" i="6"/>
  <c r="A2202" i="6"/>
  <c r="I2201" i="6"/>
  <c r="A2201" i="6"/>
  <c r="I2200" i="6"/>
  <c r="A2200" i="6"/>
  <c r="I2199" i="6"/>
  <c r="A2199" i="6"/>
  <c r="I2198" i="6"/>
  <c r="A2198" i="6"/>
  <c r="I2197" i="6"/>
  <c r="A2197" i="6"/>
  <c r="I2196" i="6"/>
  <c r="A2196" i="6"/>
  <c r="I2195" i="6"/>
  <c r="A2195" i="6"/>
  <c r="I2194" i="6"/>
  <c r="A2194" i="6"/>
  <c r="I2193" i="6"/>
  <c r="A2193" i="6"/>
  <c r="I2192" i="6"/>
  <c r="A2192" i="6"/>
  <c r="I2191" i="6"/>
  <c r="A2191" i="6"/>
  <c r="I2190" i="6"/>
  <c r="A2190" i="6"/>
  <c r="I2189" i="6"/>
  <c r="A2189" i="6"/>
  <c r="I2188" i="6"/>
  <c r="A2188" i="6"/>
  <c r="I2187" i="6"/>
  <c r="A2187" i="6"/>
  <c r="I2186" i="6"/>
  <c r="A2186" i="6"/>
  <c r="I2185" i="6"/>
  <c r="A2185" i="6"/>
  <c r="I2184" i="6"/>
  <c r="A2184" i="6"/>
  <c r="I2183" i="6"/>
  <c r="A2183" i="6"/>
  <c r="I2182" i="6"/>
  <c r="A2182" i="6"/>
  <c r="I2181" i="6"/>
  <c r="A2181" i="6"/>
  <c r="I2180" i="6"/>
  <c r="A2180" i="6"/>
  <c r="I2179" i="6"/>
  <c r="A2179" i="6"/>
  <c r="I2178" i="6"/>
  <c r="A2178" i="6"/>
  <c r="I2177" i="6"/>
  <c r="A2177" i="6"/>
  <c r="I2176" i="6"/>
  <c r="A2176" i="6"/>
  <c r="I2175" i="6"/>
  <c r="A2175" i="6"/>
  <c r="I2174" i="6"/>
  <c r="A2174" i="6"/>
  <c r="I2173" i="6"/>
  <c r="A2173" i="6"/>
  <c r="I2172" i="6"/>
  <c r="A2172" i="6"/>
  <c r="I2171" i="6"/>
  <c r="A2171" i="6"/>
  <c r="I2170" i="6"/>
  <c r="A2170" i="6"/>
  <c r="I2169" i="6"/>
  <c r="A2169" i="6"/>
  <c r="I2168" i="6"/>
  <c r="A2168" i="6"/>
  <c r="I2167" i="6"/>
  <c r="A2167" i="6"/>
  <c r="I2166" i="6"/>
  <c r="A2166" i="6"/>
  <c r="I2165" i="6"/>
  <c r="A2165" i="6"/>
  <c r="I2164" i="6"/>
  <c r="A2164" i="6"/>
  <c r="I2163" i="6"/>
  <c r="A2163" i="6"/>
  <c r="I2162" i="6"/>
  <c r="A2162" i="6"/>
  <c r="I2161" i="6"/>
  <c r="A2161" i="6"/>
  <c r="I2160" i="6"/>
  <c r="A2160" i="6"/>
  <c r="I2159" i="6"/>
  <c r="A2159" i="6"/>
  <c r="I2158" i="6"/>
  <c r="A2158" i="6"/>
  <c r="I2157" i="6"/>
  <c r="A2157" i="6"/>
  <c r="I2156" i="6"/>
  <c r="A2156" i="6"/>
  <c r="I2155" i="6"/>
  <c r="A2155" i="6"/>
  <c r="I2154" i="6"/>
  <c r="A2154" i="6"/>
  <c r="I2153" i="6"/>
  <c r="A2153" i="6"/>
  <c r="I2152" i="6"/>
  <c r="A2152" i="6"/>
  <c r="I2151" i="6"/>
  <c r="A2151" i="6"/>
  <c r="I2150" i="6"/>
  <c r="A2150" i="6"/>
  <c r="I2149" i="6"/>
  <c r="A2149" i="6"/>
  <c r="I2148" i="6"/>
  <c r="A2148" i="6"/>
  <c r="I2147" i="6"/>
  <c r="A2147" i="6"/>
  <c r="I2146" i="6"/>
  <c r="A2146" i="6"/>
  <c r="I2145" i="6"/>
  <c r="A2145" i="6"/>
  <c r="I2144" i="6"/>
  <c r="A2144" i="6"/>
  <c r="I2143" i="6"/>
  <c r="A2143" i="6"/>
  <c r="I2142" i="6"/>
  <c r="A2142" i="6"/>
  <c r="I2141" i="6"/>
  <c r="A2141" i="6"/>
  <c r="I2140" i="6"/>
  <c r="A2140" i="6"/>
  <c r="I2139" i="6"/>
  <c r="A2139" i="6"/>
  <c r="I2138" i="6"/>
  <c r="A2138" i="6"/>
  <c r="I2137" i="6"/>
  <c r="A2137" i="6"/>
  <c r="I2136" i="6"/>
  <c r="A2136" i="6"/>
  <c r="I2135" i="6"/>
  <c r="A2135" i="6"/>
  <c r="I2134" i="6"/>
  <c r="A2134" i="6"/>
  <c r="I2133" i="6"/>
  <c r="A2133" i="6"/>
  <c r="I2132" i="6"/>
  <c r="A2132" i="6"/>
  <c r="I2131" i="6"/>
  <c r="A2131" i="6"/>
  <c r="I2130" i="6"/>
  <c r="A2130" i="6"/>
  <c r="I2129" i="6"/>
  <c r="A2129" i="6"/>
  <c r="I2128" i="6"/>
  <c r="A2128" i="6"/>
  <c r="I2127" i="6"/>
  <c r="A2127" i="6"/>
  <c r="I2126" i="6"/>
  <c r="A2126" i="6"/>
  <c r="I2125" i="6"/>
  <c r="A2125" i="6"/>
  <c r="I2124" i="6"/>
  <c r="A2124" i="6"/>
  <c r="I2123" i="6"/>
  <c r="A2123" i="6"/>
  <c r="I2122" i="6"/>
  <c r="A2122" i="6"/>
  <c r="I2121" i="6"/>
  <c r="A2121" i="6"/>
  <c r="I2120" i="6"/>
  <c r="A2120" i="6"/>
  <c r="I2119" i="6"/>
  <c r="A2119" i="6"/>
  <c r="I2118" i="6"/>
  <c r="A2118" i="6"/>
  <c r="I2117" i="6"/>
  <c r="A2117" i="6"/>
  <c r="I2116" i="6"/>
  <c r="A2116" i="6"/>
  <c r="I2115" i="6"/>
  <c r="A2115" i="6"/>
  <c r="I2114" i="6"/>
  <c r="A2114" i="6"/>
  <c r="I2113" i="6"/>
  <c r="A2113" i="6"/>
  <c r="I2112" i="6"/>
  <c r="A2112" i="6"/>
  <c r="I2111" i="6"/>
  <c r="A2111" i="6"/>
  <c r="I2110" i="6"/>
  <c r="A2110" i="6"/>
  <c r="I2109" i="6"/>
  <c r="A2109" i="6"/>
  <c r="I2108" i="6"/>
  <c r="A2108" i="6"/>
  <c r="I2107" i="6"/>
  <c r="A2107" i="6"/>
  <c r="I2106" i="6"/>
  <c r="A2106" i="6"/>
  <c r="I2105" i="6"/>
  <c r="A2105" i="6"/>
  <c r="I2104" i="6"/>
  <c r="A2104" i="6"/>
  <c r="I2103" i="6"/>
  <c r="A2103" i="6"/>
  <c r="I2102" i="6"/>
  <c r="A2102" i="6"/>
  <c r="I2101" i="6"/>
  <c r="A2101" i="6"/>
  <c r="I2100" i="6"/>
  <c r="A2100" i="6"/>
  <c r="I2099" i="6"/>
  <c r="A2099" i="6"/>
  <c r="I2098" i="6"/>
  <c r="A2098" i="6"/>
  <c r="I2097" i="6"/>
  <c r="A2097" i="6"/>
  <c r="I2096" i="6"/>
  <c r="A2096" i="6"/>
  <c r="I2095" i="6"/>
  <c r="A2095" i="6"/>
  <c r="I2094" i="6"/>
  <c r="A2094" i="6"/>
  <c r="I2093" i="6"/>
  <c r="A2093" i="6"/>
  <c r="I2092" i="6"/>
  <c r="A2092" i="6"/>
  <c r="I2091" i="6"/>
  <c r="A2091" i="6"/>
  <c r="I2090" i="6"/>
  <c r="A2090" i="6"/>
  <c r="I2089" i="6"/>
  <c r="A2089" i="6"/>
  <c r="I2088" i="6"/>
  <c r="A2088" i="6"/>
  <c r="I2087" i="6"/>
  <c r="A2087" i="6"/>
  <c r="I2086" i="6"/>
  <c r="A2086" i="6"/>
  <c r="I2085" i="6"/>
  <c r="A2085" i="6"/>
  <c r="I2084" i="6"/>
  <c r="A2084" i="6"/>
  <c r="I2083" i="6"/>
  <c r="A2083" i="6"/>
  <c r="I2082" i="6"/>
  <c r="A2082" i="6"/>
  <c r="I2081" i="6"/>
  <c r="A2081" i="6"/>
  <c r="I2080" i="6"/>
  <c r="A2080" i="6"/>
  <c r="I2079" i="6"/>
  <c r="A2079" i="6"/>
  <c r="I2078" i="6"/>
  <c r="A2078" i="6"/>
  <c r="I2077" i="6"/>
  <c r="A2077" i="6"/>
  <c r="I2076" i="6"/>
  <c r="A2076" i="6"/>
  <c r="I2075" i="6"/>
  <c r="A2075" i="6"/>
  <c r="I2074" i="6"/>
  <c r="A2074" i="6"/>
  <c r="I2073" i="6"/>
  <c r="A2073" i="6"/>
  <c r="I2072" i="6"/>
  <c r="A2072" i="6"/>
  <c r="I2071" i="6"/>
  <c r="A2071" i="6"/>
  <c r="I2070" i="6"/>
  <c r="A2070" i="6"/>
  <c r="I2069" i="6"/>
  <c r="A2069" i="6"/>
  <c r="I2068" i="6"/>
  <c r="A2068" i="6"/>
  <c r="I2067" i="6"/>
  <c r="A2067" i="6"/>
  <c r="I2066" i="6"/>
  <c r="A2066" i="6"/>
  <c r="I2065" i="6"/>
  <c r="A2065" i="6"/>
  <c r="I2064" i="6"/>
  <c r="A2064" i="6"/>
  <c r="I2063" i="6"/>
  <c r="A2063" i="6"/>
  <c r="I2062" i="6"/>
  <c r="A2062" i="6"/>
  <c r="I2061" i="6"/>
  <c r="A2061" i="6"/>
  <c r="I2060" i="6"/>
  <c r="A2060" i="6"/>
  <c r="I2059" i="6"/>
  <c r="A2059" i="6"/>
  <c r="I2058" i="6"/>
  <c r="A2058" i="6"/>
  <c r="I2057" i="6"/>
  <c r="A2057" i="6"/>
  <c r="I2056" i="6"/>
  <c r="A2056" i="6"/>
  <c r="I2055" i="6"/>
  <c r="A2055" i="6"/>
  <c r="I2054" i="6"/>
  <c r="A2054" i="6"/>
  <c r="I2053" i="6"/>
  <c r="A2053" i="6"/>
  <c r="I2052" i="6"/>
  <c r="A2052" i="6"/>
  <c r="I2051" i="6"/>
  <c r="A2051" i="6"/>
  <c r="I2050" i="6"/>
  <c r="A2050" i="6"/>
  <c r="I2049" i="6"/>
  <c r="A2049" i="6"/>
  <c r="I2048" i="6"/>
  <c r="A2048" i="6"/>
  <c r="I2047" i="6"/>
  <c r="A2047" i="6"/>
  <c r="I2046" i="6"/>
  <c r="A2046" i="6"/>
  <c r="I2045" i="6"/>
  <c r="A2045" i="6"/>
  <c r="I2044" i="6"/>
  <c r="A2044" i="6"/>
  <c r="I2043" i="6"/>
  <c r="A2043" i="6"/>
  <c r="I2042" i="6"/>
  <c r="A2042" i="6"/>
  <c r="I2041" i="6"/>
  <c r="A2041" i="6"/>
  <c r="I2040" i="6"/>
  <c r="A2040" i="6"/>
  <c r="I2039" i="6"/>
  <c r="A2039" i="6"/>
  <c r="I2038" i="6"/>
  <c r="A2038" i="6"/>
  <c r="I2037" i="6"/>
  <c r="A2037" i="6"/>
  <c r="I2036" i="6"/>
  <c r="A2036" i="6"/>
  <c r="I2035" i="6"/>
  <c r="A2035" i="6"/>
  <c r="I2034" i="6"/>
  <c r="A2034" i="6"/>
  <c r="I2033" i="6"/>
  <c r="A2033" i="6"/>
  <c r="I2032" i="6"/>
  <c r="A2032" i="6"/>
  <c r="I2031" i="6"/>
  <c r="A2031" i="6"/>
  <c r="I2030" i="6"/>
  <c r="A2030" i="6"/>
  <c r="I2029" i="6"/>
  <c r="A2029" i="6"/>
  <c r="I2028" i="6"/>
  <c r="A2028" i="6"/>
  <c r="I2027" i="6"/>
  <c r="A2027" i="6"/>
  <c r="I2026" i="6"/>
  <c r="A2026" i="6"/>
  <c r="I2025" i="6"/>
  <c r="A2025" i="6"/>
  <c r="I2024" i="6"/>
  <c r="A2024" i="6"/>
  <c r="I2023" i="6"/>
  <c r="A2023" i="6"/>
  <c r="I2022" i="6"/>
  <c r="A2022" i="6"/>
  <c r="I2021" i="6"/>
  <c r="A2021" i="6"/>
  <c r="I2020" i="6"/>
  <c r="A2020" i="6"/>
  <c r="I2019" i="6"/>
  <c r="A2019" i="6"/>
  <c r="I2018" i="6"/>
  <c r="A2018" i="6"/>
  <c r="I2017" i="6"/>
  <c r="A2017" i="6"/>
  <c r="I2016" i="6"/>
  <c r="A2016" i="6"/>
  <c r="I2015" i="6"/>
  <c r="A2015" i="6"/>
  <c r="I2014" i="6"/>
  <c r="A2014" i="6"/>
  <c r="I2013" i="6"/>
  <c r="A2013" i="6"/>
  <c r="I2012" i="6"/>
  <c r="A2012" i="6"/>
  <c r="I2011" i="6"/>
  <c r="A2011" i="6"/>
  <c r="I2010" i="6"/>
  <c r="A2010" i="6"/>
  <c r="I2009" i="6"/>
  <c r="A2009" i="6"/>
  <c r="I2008" i="6"/>
  <c r="A2008" i="6"/>
  <c r="I2007" i="6"/>
  <c r="A2007" i="6"/>
  <c r="I2006" i="6"/>
  <c r="A2006" i="6"/>
  <c r="I2005" i="6"/>
  <c r="A2005" i="6"/>
  <c r="I2004" i="6"/>
  <c r="A2004" i="6"/>
  <c r="I2003" i="6"/>
  <c r="A2003" i="6"/>
  <c r="I2002" i="6"/>
  <c r="A2002" i="6"/>
  <c r="I2001" i="6"/>
  <c r="A2001" i="6"/>
  <c r="I2000" i="6"/>
  <c r="A2000" i="6"/>
  <c r="I1999" i="6"/>
  <c r="A1999" i="6"/>
  <c r="I1998" i="6"/>
  <c r="A1998" i="6"/>
  <c r="I1997" i="6"/>
  <c r="A1997" i="6"/>
  <c r="I1996" i="6"/>
  <c r="A1996" i="6"/>
  <c r="I1995" i="6"/>
  <c r="A1995" i="6"/>
  <c r="I1994" i="6"/>
  <c r="A1994" i="6"/>
  <c r="I1993" i="6"/>
  <c r="A1993" i="6"/>
  <c r="I1992" i="6"/>
  <c r="A1992" i="6"/>
  <c r="I1991" i="6"/>
  <c r="A1991" i="6"/>
  <c r="I1990" i="6"/>
  <c r="A1990" i="6"/>
  <c r="I1989" i="6"/>
  <c r="A1989" i="6"/>
  <c r="I1988" i="6"/>
  <c r="A1988" i="6"/>
  <c r="I1987" i="6"/>
  <c r="A1987" i="6"/>
  <c r="I1986" i="6"/>
  <c r="A1986" i="6"/>
  <c r="I1985" i="6"/>
  <c r="A1985" i="6"/>
  <c r="I1984" i="6"/>
  <c r="A1984" i="6"/>
  <c r="I1983" i="6"/>
  <c r="A1983" i="6"/>
  <c r="I1982" i="6"/>
  <c r="A1982" i="6"/>
  <c r="I1981" i="6"/>
  <c r="A1981" i="6"/>
  <c r="I1980" i="6"/>
  <c r="A1980" i="6"/>
  <c r="I1979" i="6"/>
  <c r="A1979" i="6"/>
  <c r="I1978" i="6"/>
  <c r="A1978" i="6"/>
  <c r="I1977" i="6"/>
  <c r="A1977" i="6"/>
  <c r="I1976" i="6"/>
  <c r="A1976" i="6"/>
  <c r="I1975" i="6"/>
  <c r="A1975" i="6"/>
  <c r="I1974" i="6"/>
  <c r="A1974" i="6"/>
  <c r="I1973" i="6"/>
  <c r="A1973" i="6"/>
  <c r="I1972" i="6"/>
  <c r="A1972" i="6"/>
  <c r="I1971" i="6"/>
  <c r="A1971" i="6"/>
  <c r="I1970" i="6"/>
  <c r="A1970" i="6"/>
  <c r="I1969" i="6"/>
  <c r="A1969" i="6"/>
  <c r="I1968" i="6"/>
  <c r="A1968" i="6"/>
  <c r="I1967" i="6"/>
  <c r="A1967" i="6"/>
  <c r="I1966" i="6"/>
  <c r="A1966" i="6"/>
  <c r="I1965" i="6"/>
  <c r="A1965" i="6"/>
  <c r="I1964" i="6"/>
  <c r="A1964" i="6"/>
  <c r="I1963" i="6"/>
  <c r="A1963" i="6"/>
  <c r="I1962" i="6"/>
  <c r="A1962" i="6"/>
  <c r="I1961" i="6"/>
  <c r="A1961" i="6"/>
  <c r="I1960" i="6"/>
  <c r="A1960" i="6"/>
  <c r="I1959" i="6"/>
  <c r="A1959" i="6"/>
  <c r="I1958" i="6"/>
  <c r="A1958" i="6"/>
  <c r="I1957" i="6"/>
  <c r="A1957" i="6"/>
  <c r="I1956" i="6"/>
  <c r="A1956" i="6"/>
  <c r="I1955" i="6"/>
  <c r="A1955" i="6"/>
  <c r="I1954" i="6"/>
  <c r="A1954" i="6"/>
  <c r="I1953" i="6"/>
  <c r="A1953" i="6"/>
  <c r="I1952" i="6"/>
  <c r="A1952" i="6"/>
  <c r="I1951" i="6"/>
  <c r="A1951" i="6"/>
  <c r="I1950" i="6"/>
  <c r="A1950" i="6"/>
  <c r="I1949" i="6"/>
  <c r="A1949" i="6"/>
  <c r="I1948" i="6"/>
  <c r="A1948" i="6"/>
  <c r="I1947" i="6"/>
  <c r="A1947" i="6"/>
  <c r="I1946" i="6"/>
  <c r="A1946" i="6"/>
  <c r="I1945" i="6"/>
  <c r="A1945" i="6"/>
  <c r="I1944" i="6"/>
  <c r="A1944" i="6"/>
  <c r="I1943" i="6"/>
  <c r="A1943" i="6"/>
  <c r="I1942" i="6"/>
  <c r="A1942" i="6"/>
  <c r="I1941" i="6"/>
  <c r="A1941" i="6"/>
  <c r="I1940" i="6"/>
  <c r="A1940" i="6"/>
  <c r="I1939" i="6"/>
  <c r="A1939" i="6"/>
  <c r="I1938" i="6"/>
  <c r="A1938" i="6"/>
  <c r="I1937" i="6"/>
  <c r="A1937" i="6"/>
  <c r="I1936" i="6"/>
  <c r="A1936" i="6"/>
  <c r="I1935" i="6"/>
  <c r="A1935" i="6"/>
  <c r="I1934" i="6"/>
  <c r="A1934" i="6"/>
  <c r="I1933" i="6"/>
  <c r="A1933" i="6"/>
  <c r="I1932" i="6"/>
  <c r="A1932" i="6"/>
  <c r="I1931" i="6"/>
  <c r="A1931" i="6"/>
  <c r="I1930" i="6"/>
  <c r="A1930" i="6"/>
  <c r="I1929" i="6"/>
  <c r="A1929" i="6"/>
  <c r="I1928" i="6"/>
  <c r="A1928" i="6"/>
  <c r="I1927" i="6"/>
  <c r="A1927" i="6"/>
  <c r="I1926" i="6"/>
  <c r="A1926" i="6"/>
  <c r="I1925" i="6"/>
  <c r="A1925" i="6"/>
  <c r="I1924" i="6"/>
  <c r="A1924" i="6"/>
  <c r="I1923" i="6"/>
  <c r="A1923" i="6"/>
  <c r="I1922" i="6"/>
  <c r="A1922" i="6"/>
  <c r="I1921" i="6"/>
  <c r="A1921" i="6"/>
  <c r="I1920" i="6"/>
  <c r="A1920" i="6"/>
  <c r="I1919" i="6"/>
  <c r="A1919" i="6"/>
  <c r="I1918" i="6"/>
  <c r="A1918" i="6"/>
  <c r="I1917" i="6"/>
  <c r="A1917" i="6"/>
  <c r="I1916" i="6"/>
  <c r="A1916" i="6"/>
  <c r="I1915" i="6"/>
  <c r="A1915" i="6"/>
  <c r="I1914" i="6"/>
  <c r="A1914" i="6"/>
  <c r="I1913" i="6"/>
  <c r="A1913" i="6"/>
  <c r="I1912" i="6"/>
  <c r="A1912" i="6"/>
  <c r="I1911" i="6"/>
  <c r="A1911" i="6"/>
  <c r="I1910" i="6"/>
  <c r="A1910" i="6"/>
  <c r="I1909" i="6"/>
  <c r="A1909" i="6"/>
  <c r="I1908" i="6"/>
  <c r="A1908" i="6"/>
  <c r="I1907" i="6"/>
  <c r="A1907" i="6"/>
  <c r="I1906" i="6"/>
  <c r="A1906" i="6"/>
  <c r="I1905" i="6"/>
  <c r="A1905" i="6"/>
  <c r="A1904" i="6"/>
  <c r="A1903" i="6"/>
  <c r="A1902" i="6"/>
  <c r="A1901" i="6"/>
  <c r="A1900" i="6"/>
  <c r="A1899" i="6"/>
  <c r="A1898" i="6"/>
  <c r="A1897" i="6"/>
  <c r="A1896" i="6"/>
  <c r="A1895" i="6"/>
  <c r="A1894" i="6"/>
  <c r="A1893" i="6"/>
  <c r="A1892" i="6"/>
  <c r="A1891" i="6"/>
  <c r="A1890" i="6"/>
  <c r="A1889" i="6"/>
  <c r="A1888" i="6"/>
  <c r="A1887" i="6"/>
  <c r="A1886" i="6"/>
  <c r="A1885" i="6"/>
  <c r="A1884" i="6"/>
  <c r="A1883" i="6"/>
  <c r="A1882" i="6"/>
  <c r="A1881" i="6"/>
  <c r="A1880" i="6"/>
  <c r="A1879" i="6"/>
  <c r="A1878" i="6"/>
  <c r="A1877" i="6"/>
  <c r="A1876" i="6"/>
  <c r="A1875" i="6"/>
  <c r="A1874" i="6"/>
  <c r="A1873" i="6"/>
  <c r="A1872" i="6"/>
  <c r="A1871" i="6"/>
  <c r="A1870" i="6"/>
  <c r="A1869" i="6"/>
  <c r="A1868" i="6"/>
  <c r="A1867" i="6"/>
  <c r="A1866" i="6"/>
  <c r="A1865" i="6"/>
  <c r="A1864" i="6"/>
  <c r="A1863" i="6"/>
  <c r="A1862" i="6"/>
  <c r="A1861" i="6"/>
  <c r="A1860" i="6"/>
  <c r="A1859" i="6"/>
  <c r="A1858" i="6"/>
  <c r="A1857" i="6"/>
  <c r="A1856" i="6"/>
  <c r="A1855" i="6"/>
  <c r="A1854" i="6"/>
  <c r="A1853" i="6"/>
  <c r="A1852" i="6"/>
  <c r="A1851" i="6"/>
  <c r="A1850" i="6"/>
  <c r="A1849" i="6"/>
  <c r="A1848" i="6"/>
  <c r="A1847" i="6"/>
  <c r="A1846" i="6"/>
  <c r="A1845" i="6"/>
  <c r="A1844" i="6"/>
  <c r="A1843" i="6"/>
  <c r="A1842" i="6"/>
  <c r="A1841" i="6"/>
  <c r="A1840" i="6"/>
  <c r="A1839" i="6"/>
  <c r="A1838" i="6"/>
  <c r="A1837" i="6"/>
  <c r="A1836" i="6"/>
  <c r="A1835" i="6"/>
  <c r="A1834" i="6"/>
  <c r="A1833" i="6"/>
  <c r="A1832" i="6"/>
  <c r="A1831" i="6"/>
  <c r="A1830" i="6"/>
  <c r="A1829" i="6"/>
  <c r="A1828" i="6"/>
  <c r="A1827" i="6"/>
  <c r="A1826" i="6"/>
  <c r="A1825" i="6"/>
  <c r="A1824" i="6"/>
  <c r="A1823" i="6"/>
  <c r="A1822" i="6"/>
  <c r="A1821" i="6"/>
  <c r="A1820" i="6"/>
  <c r="A1819" i="6"/>
  <c r="A1818" i="6"/>
  <c r="A1817" i="6"/>
  <c r="A1816" i="6"/>
  <c r="A1815" i="6"/>
  <c r="A1814" i="6"/>
  <c r="A1813" i="6"/>
  <c r="A1812" i="6"/>
  <c r="A1811" i="6"/>
  <c r="A1810" i="6"/>
  <c r="A1809" i="6"/>
  <c r="A1808" i="6"/>
  <c r="A1807" i="6"/>
  <c r="A1806" i="6"/>
  <c r="A1805" i="6"/>
  <c r="A1804" i="6"/>
  <c r="A1803" i="6"/>
  <c r="A1802" i="6"/>
  <c r="A1801" i="6"/>
  <c r="A1800" i="6"/>
  <c r="A1799" i="6"/>
  <c r="A1798" i="6"/>
  <c r="A1797" i="6"/>
  <c r="A1796" i="6"/>
  <c r="A1795" i="6"/>
  <c r="A1794" i="6"/>
  <c r="A1793" i="6"/>
  <c r="A1792" i="6"/>
  <c r="A1791" i="6"/>
  <c r="A1790" i="6"/>
  <c r="A1789" i="6"/>
  <c r="A1788" i="6"/>
  <c r="A1787" i="6"/>
  <c r="A1786" i="6"/>
  <c r="A1785" i="6"/>
  <c r="A1784" i="6"/>
  <c r="A1783" i="6"/>
  <c r="A1782" i="6"/>
  <c r="A1781" i="6"/>
  <c r="A1780" i="6"/>
  <c r="A1779" i="6"/>
  <c r="A1778" i="6"/>
  <c r="A1777" i="6"/>
  <c r="A1776" i="6"/>
  <c r="A1775" i="6"/>
  <c r="A1774" i="6"/>
  <c r="A1773" i="6"/>
  <c r="A1772" i="6"/>
  <c r="A1771" i="6"/>
  <c r="A1770" i="6"/>
  <c r="A1769" i="6"/>
  <c r="A1768" i="6"/>
  <c r="A1767" i="6"/>
  <c r="A1766" i="6"/>
  <c r="A1765" i="6"/>
  <c r="A1764" i="6"/>
  <c r="A1763" i="6"/>
  <c r="A1762" i="6"/>
  <c r="A1761" i="6"/>
  <c r="A1760" i="6"/>
  <c r="A1759" i="6"/>
  <c r="A1758" i="6"/>
  <c r="A1757" i="6"/>
  <c r="A1756" i="6"/>
  <c r="A1755" i="6"/>
  <c r="A1754" i="6"/>
  <c r="A1753" i="6"/>
  <c r="A1752" i="6"/>
  <c r="A1751" i="6"/>
  <c r="A1750" i="6"/>
  <c r="A1749" i="6"/>
  <c r="A1748" i="6"/>
  <c r="A1747" i="6"/>
  <c r="A1746" i="6"/>
  <c r="A1745" i="6"/>
  <c r="A1744" i="6"/>
  <c r="A1743" i="6"/>
  <c r="A1742" i="6"/>
  <c r="A1741" i="6"/>
  <c r="A1740" i="6"/>
  <c r="A1739" i="6"/>
  <c r="A1738" i="6"/>
  <c r="A1737" i="6"/>
  <c r="A1736" i="6"/>
  <c r="A1735" i="6"/>
  <c r="A1734" i="6"/>
  <c r="A1733" i="6"/>
  <c r="A1732" i="6"/>
  <c r="A1731" i="6"/>
  <c r="A1730" i="6"/>
  <c r="A1729" i="6"/>
  <c r="A1728" i="6"/>
  <c r="A1727" i="6"/>
  <c r="A1726" i="6"/>
  <c r="A1725" i="6"/>
  <c r="A1724" i="6"/>
  <c r="A1723" i="6"/>
  <c r="A1722" i="6"/>
  <c r="A1721" i="6"/>
  <c r="A1720" i="6"/>
  <c r="A1719" i="6"/>
  <c r="A1718" i="6"/>
  <c r="A1717" i="6"/>
  <c r="A1716" i="6"/>
  <c r="A1715" i="6"/>
  <c r="A1714" i="6"/>
  <c r="A1713" i="6"/>
  <c r="A1712" i="6"/>
  <c r="A1711" i="6"/>
  <c r="A1710" i="6"/>
  <c r="A1709" i="6"/>
  <c r="A1708" i="6"/>
  <c r="A1707" i="6"/>
  <c r="A1706" i="6"/>
  <c r="A1705" i="6"/>
  <c r="A1704" i="6"/>
  <c r="A1703" i="6"/>
  <c r="A1702" i="6"/>
  <c r="A1701" i="6"/>
  <c r="A1700" i="6"/>
  <c r="A1699" i="6"/>
  <c r="A1698" i="6"/>
  <c r="A1697" i="6"/>
  <c r="A1696" i="6"/>
  <c r="A1695" i="6"/>
  <c r="A1694" i="6"/>
  <c r="A1693" i="6"/>
  <c r="A1692" i="6"/>
  <c r="A1691" i="6"/>
  <c r="A1690" i="6"/>
  <c r="A1689" i="6"/>
  <c r="A1688" i="6"/>
  <c r="A1687" i="6"/>
  <c r="A1686" i="6"/>
  <c r="A1685" i="6"/>
  <c r="A1684" i="6"/>
  <c r="A1683" i="6"/>
  <c r="A1682" i="6"/>
  <c r="A1681" i="6"/>
  <c r="A1680" i="6"/>
  <c r="A1679" i="6"/>
  <c r="A1678" i="6"/>
  <c r="A1677" i="6"/>
  <c r="A1676" i="6"/>
  <c r="A1675" i="6"/>
  <c r="A1674" i="6"/>
  <c r="A1673" i="6"/>
  <c r="A1672" i="6"/>
  <c r="A1671" i="6"/>
  <c r="A1670" i="6"/>
  <c r="A1669" i="6"/>
  <c r="A1668" i="6"/>
  <c r="A1667" i="6"/>
  <c r="A1666" i="6"/>
  <c r="A1665" i="6"/>
  <c r="A1664" i="6"/>
  <c r="A1663" i="6"/>
  <c r="A1662" i="6"/>
  <c r="A1661" i="6"/>
  <c r="A1660" i="6"/>
  <c r="A1659" i="6"/>
  <c r="A1658" i="6"/>
  <c r="A1657" i="6"/>
  <c r="A1656" i="6"/>
  <c r="A1655" i="6"/>
  <c r="A1654" i="6"/>
  <c r="A1653" i="6"/>
  <c r="A1652" i="6"/>
  <c r="A1651" i="6"/>
  <c r="A1650" i="6"/>
  <c r="A1649" i="6"/>
  <c r="A1648" i="6"/>
  <c r="A1647" i="6"/>
  <c r="A1646" i="6"/>
  <c r="A1645" i="6"/>
  <c r="A1644" i="6"/>
  <c r="A1643" i="6"/>
  <c r="A1642" i="6"/>
  <c r="A1641" i="6"/>
  <c r="A1640" i="6"/>
  <c r="A1639" i="6"/>
  <c r="A1638" i="6"/>
  <c r="A1637" i="6"/>
  <c r="A1636" i="6"/>
  <c r="A1635" i="6"/>
  <c r="A1634" i="6"/>
  <c r="A1633" i="6"/>
  <c r="A1632" i="6"/>
  <c r="A1631" i="6"/>
  <c r="A1630" i="6"/>
  <c r="A1629" i="6"/>
  <c r="A1628" i="6"/>
  <c r="A1627" i="6"/>
  <c r="A1626" i="6"/>
  <c r="A1625" i="6"/>
  <c r="A1624" i="6"/>
  <c r="A1623" i="6"/>
  <c r="A1622" i="6"/>
  <c r="A1621" i="6"/>
  <c r="A1620" i="6"/>
  <c r="A1619" i="6"/>
  <c r="A1618" i="6"/>
  <c r="A1617" i="6"/>
  <c r="A1616" i="6"/>
  <c r="A1615" i="6"/>
  <c r="A1614" i="6"/>
  <c r="A1613" i="6"/>
  <c r="A1612" i="6"/>
  <c r="A1611" i="6"/>
  <c r="A1610" i="6"/>
  <c r="A1609" i="6"/>
  <c r="A1608" i="6"/>
  <c r="A1607" i="6"/>
  <c r="A1606" i="6"/>
  <c r="A1605" i="6"/>
  <c r="A1604" i="6"/>
  <c r="A1603" i="6"/>
  <c r="A1602" i="6"/>
  <c r="A1601" i="6"/>
  <c r="A1600" i="6"/>
  <c r="A1599" i="6"/>
  <c r="A1598" i="6"/>
  <c r="A1597" i="6"/>
  <c r="A1596" i="6"/>
  <c r="A1595" i="6"/>
  <c r="A1594" i="6"/>
  <c r="A1593" i="6"/>
  <c r="A1592" i="6"/>
  <c r="A1591" i="6"/>
  <c r="A1590" i="6"/>
  <c r="A1589" i="6"/>
  <c r="A1588" i="6"/>
  <c r="A1587" i="6"/>
  <c r="A1586" i="6"/>
  <c r="A1585" i="6"/>
  <c r="A1584" i="6"/>
  <c r="A1583" i="6"/>
  <c r="A1582" i="6"/>
  <c r="A1581" i="6"/>
  <c r="A1580" i="6"/>
  <c r="A1579" i="6"/>
  <c r="A1578" i="6"/>
  <c r="A1577" i="6"/>
  <c r="A1576" i="6"/>
  <c r="A1575" i="6"/>
  <c r="A1574" i="6"/>
  <c r="A1573" i="6"/>
  <c r="A1572" i="6"/>
  <c r="A1571" i="6"/>
  <c r="A1570" i="6"/>
  <c r="A1569" i="6"/>
  <c r="A1568" i="6"/>
  <c r="A1567" i="6"/>
  <c r="A1566" i="6"/>
  <c r="A1565" i="6"/>
  <c r="A1564" i="6"/>
  <c r="A1563" i="6"/>
  <c r="A1562" i="6"/>
  <c r="A1561" i="6"/>
  <c r="A1560" i="6"/>
  <c r="A1559" i="6"/>
  <c r="A1558" i="6"/>
  <c r="A1557" i="6"/>
  <c r="A1556" i="6"/>
  <c r="A1555" i="6"/>
  <c r="A1554" i="6"/>
  <c r="A1553" i="6"/>
  <c r="A1552" i="6"/>
  <c r="A1551" i="6"/>
  <c r="A1550" i="6"/>
  <c r="A1549" i="6"/>
  <c r="A1548" i="6"/>
  <c r="A1547" i="6"/>
  <c r="A1546" i="6"/>
  <c r="A1545" i="6"/>
  <c r="A1544" i="6"/>
  <c r="A1543" i="6"/>
  <c r="A1542" i="6"/>
  <c r="A1541" i="6"/>
  <c r="A1540" i="6"/>
  <c r="A1539" i="6"/>
  <c r="A1538" i="6"/>
  <c r="A1537" i="6"/>
  <c r="A1536" i="6"/>
  <c r="A1535" i="6"/>
  <c r="A1534" i="6"/>
  <c r="A1533" i="6"/>
  <c r="A1532" i="6"/>
  <c r="A1531" i="6"/>
  <c r="A1530" i="6"/>
  <c r="A1529" i="6"/>
  <c r="A1528" i="6"/>
  <c r="A1527" i="6"/>
  <c r="A1526" i="6"/>
  <c r="A1525" i="6"/>
  <c r="A1524" i="6"/>
  <c r="A1523" i="6"/>
  <c r="A1522" i="6"/>
  <c r="A1521" i="6"/>
  <c r="A1520" i="6"/>
  <c r="A1519" i="6"/>
  <c r="A1518" i="6"/>
  <c r="A1517" i="6"/>
  <c r="A1516" i="6"/>
  <c r="A1515" i="6"/>
  <c r="A1514" i="6"/>
  <c r="A1513" i="6"/>
  <c r="A1512" i="6"/>
  <c r="A1511" i="6"/>
  <c r="A1510" i="6"/>
  <c r="A1509" i="6"/>
  <c r="A1508" i="6"/>
  <c r="A1507" i="6"/>
  <c r="A1506" i="6"/>
  <c r="A1505" i="6"/>
  <c r="A1504" i="6"/>
  <c r="A1503" i="6"/>
  <c r="A1502" i="6"/>
  <c r="A1501" i="6"/>
  <c r="A1500" i="6"/>
  <c r="A1499" i="6"/>
  <c r="A1498" i="6"/>
  <c r="A1497" i="6"/>
  <c r="A1496" i="6"/>
  <c r="A1495" i="6"/>
  <c r="A1494" i="6"/>
  <c r="A1493" i="6"/>
  <c r="A1492" i="6"/>
  <c r="A1491" i="6"/>
  <c r="A1490" i="6"/>
  <c r="A1489" i="6"/>
  <c r="A1488" i="6"/>
  <c r="A1487" i="6"/>
  <c r="A1486" i="6"/>
  <c r="A1485" i="6"/>
  <c r="A1484" i="6"/>
  <c r="A1483" i="6"/>
  <c r="A1482" i="6"/>
  <c r="A1481" i="6"/>
  <c r="A1480" i="6"/>
  <c r="A1479" i="6"/>
  <c r="A1478" i="6"/>
  <c r="A1477" i="6"/>
  <c r="A1476" i="6"/>
  <c r="A1475" i="6"/>
  <c r="A1474" i="6"/>
  <c r="A1473" i="6"/>
  <c r="A1472" i="6"/>
  <c r="A1471" i="6"/>
  <c r="A1470" i="6"/>
  <c r="A1469" i="6"/>
  <c r="A1468" i="6"/>
  <c r="A1467" i="6"/>
  <c r="A1466" i="6"/>
  <c r="A1465" i="6"/>
  <c r="A1464" i="6"/>
  <c r="A1463" i="6"/>
  <c r="A1462" i="6"/>
  <c r="A1461" i="6"/>
  <c r="A1460" i="6"/>
  <c r="A1459" i="6"/>
  <c r="A1458" i="6"/>
  <c r="A1457" i="6"/>
  <c r="A1456" i="6"/>
  <c r="A1455" i="6"/>
  <c r="A1454" i="6"/>
  <c r="A1453" i="6"/>
  <c r="A1452" i="6"/>
  <c r="A1451" i="6"/>
  <c r="A1450" i="6"/>
  <c r="A1449" i="6"/>
  <c r="A1448" i="6"/>
  <c r="A1447" i="6"/>
  <c r="A1446" i="6"/>
  <c r="A1445" i="6"/>
  <c r="A1444" i="6"/>
  <c r="A1443" i="6"/>
  <c r="A1442" i="6"/>
  <c r="A1441" i="6"/>
  <c r="A1440" i="6"/>
  <c r="A1439" i="6"/>
  <c r="A1438" i="6"/>
  <c r="A1437" i="6"/>
  <c r="A1436" i="6"/>
  <c r="A1435" i="6"/>
  <c r="A1434" i="6"/>
  <c r="A1433" i="6"/>
  <c r="A1432" i="6"/>
  <c r="A1431" i="6"/>
  <c r="A1430" i="6"/>
  <c r="A1429" i="6"/>
  <c r="A1428" i="6"/>
  <c r="A1427" i="6"/>
  <c r="A1426" i="6"/>
  <c r="A1425" i="6"/>
  <c r="A1424" i="6"/>
  <c r="A1423" i="6"/>
  <c r="A1422" i="6"/>
  <c r="A1421" i="6"/>
  <c r="A1420" i="6"/>
  <c r="A1419" i="6"/>
  <c r="A1418" i="6"/>
  <c r="A1417" i="6"/>
  <c r="A1416" i="6"/>
  <c r="A1415" i="6"/>
  <c r="A1414" i="6"/>
  <c r="A1413" i="6"/>
  <c r="A1412" i="6"/>
  <c r="A1411" i="6"/>
  <c r="A1410" i="6"/>
  <c r="A1409" i="6"/>
  <c r="A1408" i="6"/>
  <c r="A1407" i="6"/>
  <c r="A1406" i="6"/>
  <c r="A1405" i="6"/>
  <c r="A1404" i="6"/>
  <c r="A1403" i="6"/>
  <c r="A1402" i="6"/>
  <c r="A1401" i="6"/>
  <c r="A1400" i="6"/>
  <c r="A1399" i="6"/>
  <c r="A1398" i="6"/>
  <c r="A1397" i="6"/>
  <c r="A1396" i="6"/>
  <c r="A1395" i="6"/>
  <c r="A1394" i="6"/>
  <c r="A1393" i="6"/>
  <c r="A1392" i="6"/>
  <c r="A1391" i="6"/>
  <c r="A1390" i="6"/>
  <c r="A1389" i="6"/>
  <c r="A1388" i="6"/>
  <c r="A1387" i="6"/>
  <c r="A1386" i="6"/>
  <c r="A1385" i="6"/>
  <c r="A1384" i="6"/>
  <c r="A1383" i="6"/>
  <c r="A1382" i="6"/>
  <c r="A1381" i="6"/>
  <c r="A1380" i="6"/>
  <c r="A1379" i="6"/>
  <c r="A1378" i="6"/>
  <c r="A1377" i="6"/>
  <c r="A1376" i="6"/>
  <c r="A1375" i="6"/>
  <c r="A1374" i="6"/>
  <c r="A1373" i="6"/>
  <c r="A1372" i="6"/>
  <c r="A1371" i="6"/>
  <c r="A1370" i="6"/>
  <c r="A1369" i="6"/>
  <c r="A1368" i="6"/>
  <c r="A1367" i="6"/>
  <c r="A1366" i="6"/>
  <c r="A1365" i="6"/>
  <c r="A1364" i="6"/>
  <c r="A1363" i="6"/>
  <c r="A1362" i="6"/>
  <c r="A1361" i="6"/>
  <c r="A1360" i="6"/>
  <c r="A1359" i="6"/>
  <c r="A1358" i="6"/>
  <c r="A1357" i="6"/>
  <c r="A1356" i="6"/>
  <c r="A1355" i="6"/>
  <c r="A1354" i="6"/>
  <c r="A1353" i="6"/>
  <c r="A1352" i="6"/>
  <c r="A1351" i="6"/>
  <c r="A1350" i="6"/>
  <c r="A1349" i="6"/>
  <c r="A1348" i="6"/>
  <c r="A1347" i="6"/>
  <c r="A1346" i="6"/>
  <c r="A1345" i="6"/>
  <c r="A1344" i="6"/>
  <c r="A1343" i="6"/>
  <c r="A1342" i="6"/>
  <c r="A1341" i="6"/>
  <c r="A1340" i="6"/>
  <c r="A1339" i="6"/>
  <c r="A1338" i="6"/>
  <c r="A1337" i="6"/>
  <c r="A1336" i="6"/>
  <c r="A1335" i="6"/>
  <c r="A1334" i="6"/>
  <c r="A1333" i="6"/>
  <c r="A1332" i="6"/>
  <c r="A1331" i="6"/>
  <c r="A1330" i="6"/>
  <c r="A1329" i="6"/>
  <c r="A1328" i="6"/>
  <c r="A1327" i="6"/>
  <c r="A1326" i="6"/>
  <c r="A1325" i="6"/>
  <c r="A1324" i="6"/>
  <c r="A1323" i="6"/>
  <c r="A1322" i="6"/>
  <c r="A1321" i="6"/>
  <c r="A1320" i="6"/>
  <c r="A1319" i="6"/>
  <c r="A1318" i="6"/>
  <c r="A1317" i="6"/>
  <c r="A1316" i="6"/>
  <c r="A1315" i="6"/>
  <c r="A1314" i="6"/>
  <c r="A1313" i="6"/>
  <c r="A1312" i="6"/>
  <c r="A1311" i="6"/>
  <c r="A1310" i="6"/>
  <c r="A1309" i="6"/>
  <c r="A1308" i="6"/>
  <c r="A1307" i="6"/>
  <c r="A1306" i="6"/>
  <c r="A1305" i="6"/>
  <c r="A1304" i="6"/>
  <c r="A1303" i="6"/>
  <c r="A1302" i="6"/>
  <c r="A1301" i="6"/>
  <c r="A1300" i="6"/>
  <c r="A1299" i="6"/>
  <c r="A1298" i="6"/>
  <c r="A1297" i="6"/>
  <c r="A1296" i="6"/>
  <c r="A1295" i="6"/>
  <c r="A1294" i="6"/>
  <c r="A1293" i="6"/>
  <c r="A1292" i="6"/>
  <c r="A1291" i="6"/>
  <c r="A1290" i="6"/>
  <c r="A1289" i="6"/>
  <c r="A1288" i="6"/>
  <c r="A1287" i="6"/>
  <c r="A1286" i="6"/>
  <c r="A1285" i="6"/>
  <c r="A1284" i="6"/>
  <c r="A1283" i="6"/>
  <c r="A1282" i="6"/>
  <c r="A1281" i="6"/>
  <c r="A1280" i="6"/>
  <c r="A1279" i="6"/>
  <c r="A1278" i="6"/>
  <c r="A1277" i="6"/>
  <c r="A1276" i="6"/>
  <c r="A1275" i="6"/>
  <c r="A1274" i="6"/>
  <c r="A1273" i="6"/>
  <c r="A1272" i="6"/>
  <c r="A1271" i="6"/>
  <c r="A1270" i="6"/>
  <c r="A1269" i="6"/>
  <c r="A1268" i="6"/>
  <c r="A1267" i="6"/>
  <c r="A1266" i="6"/>
  <c r="A1265" i="6"/>
  <c r="A1264" i="6"/>
  <c r="A1263" i="6"/>
  <c r="A1262" i="6"/>
  <c r="A1261" i="6"/>
  <c r="A1260" i="6"/>
  <c r="A1259" i="6"/>
  <c r="A1258" i="6"/>
  <c r="A1257" i="6"/>
  <c r="A1256" i="6"/>
  <c r="A1255" i="6"/>
  <c r="A1254" i="6"/>
  <c r="A1253" i="6"/>
  <c r="A1252" i="6"/>
  <c r="A1251" i="6"/>
  <c r="A1250" i="6"/>
  <c r="A1249" i="6"/>
  <c r="A1248" i="6"/>
  <c r="A1247" i="6"/>
  <c r="A1246" i="6"/>
  <c r="A1245" i="6"/>
  <c r="A1244" i="6"/>
  <c r="A1243" i="6"/>
  <c r="A1242" i="6"/>
  <c r="A1241" i="6"/>
  <c r="A1240" i="6"/>
  <c r="A1239" i="6"/>
  <c r="A1238" i="6"/>
  <c r="A1237" i="6"/>
  <c r="A1236" i="6"/>
  <c r="A1235" i="6"/>
  <c r="A1234" i="6"/>
  <c r="A1233" i="6"/>
  <c r="A1232" i="6"/>
  <c r="A1231" i="6"/>
  <c r="A1230" i="6"/>
  <c r="A1229" i="6"/>
  <c r="A1228" i="6"/>
  <c r="A1227" i="6"/>
  <c r="A1226" i="6"/>
  <c r="A1225" i="6"/>
  <c r="A1224" i="6"/>
  <c r="A1223" i="6"/>
  <c r="A1222" i="6"/>
  <c r="A1221" i="6"/>
  <c r="A1220" i="6"/>
  <c r="A1219" i="6"/>
  <c r="A1218" i="6"/>
  <c r="A1217" i="6"/>
  <c r="A1216" i="6"/>
  <c r="A1215" i="6"/>
  <c r="A1214" i="6"/>
  <c r="A1213" i="6"/>
  <c r="A1212" i="6"/>
  <c r="A1211" i="6"/>
  <c r="A1210" i="6"/>
  <c r="A1209" i="6"/>
  <c r="A1208" i="6"/>
  <c r="E1207" i="6"/>
  <c r="E1208" i="6" s="1"/>
  <c r="E1209" i="6" s="1"/>
  <c r="E1210" i="6" s="1"/>
  <c r="E1211" i="6" s="1"/>
  <c r="E1212" i="6" s="1"/>
  <c r="E1213" i="6" s="1"/>
  <c r="E1214" i="6" s="1"/>
  <c r="E1215" i="6" s="1"/>
  <c r="E1216" i="6" s="1"/>
  <c r="E1217" i="6" s="1"/>
  <c r="E1218" i="6" s="1"/>
  <c r="E1219" i="6" s="1"/>
  <c r="E1220" i="6" s="1"/>
  <c r="E1221" i="6" s="1"/>
  <c r="E1222" i="6" s="1"/>
  <c r="E1223" i="6" s="1"/>
  <c r="E1224" i="6" s="1"/>
  <c r="E1225" i="6" s="1"/>
  <c r="E1226" i="6" s="1"/>
  <c r="E1227" i="6" s="1"/>
  <c r="E1228" i="6" s="1"/>
  <c r="E1229" i="6" s="1"/>
  <c r="E1230" i="6" s="1"/>
  <c r="E1231" i="6" s="1"/>
  <c r="E1232" i="6" s="1"/>
  <c r="E1233" i="6" s="1"/>
  <c r="E1234" i="6" s="1"/>
  <c r="E1235" i="6" s="1"/>
  <c r="E1236" i="6" s="1"/>
  <c r="E1237" i="6" s="1"/>
  <c r="E1238" i="6" s="1"/>
  <c r="E1239" i="6" s="1"/>
  <c r="E1240" i="6" s="1"/>
  <c r="E1241" i="6" s="1"/>
  <c r="E1242" i="6" s="1"/>
  <c r="E1243" i="6" s="1"/>
  <c r="E1244" i="6" s="1"/>
  <c r="E1245" i="6" s="1"/>
  <c r="E1246" i="6" s="1"/>
  <c r="E1247" i="6" s="1"/>
  <c r="E1248" i="6" s="1"/>
  <c r="E1249" i="6" s="1"/>
  <c r="E1250" i="6" s="1"/>
  <c r="E1251" i="6" s="1"/>
  <c r="E1252" i="6" s="1"/>
  <c r="E1253" i="6" s="1"/>
  <c r="E1254" i="6" s="1"/>
  <c r="E1255" i="6" s="1"/>
  <c r="E1256" i="6" s="1"/>
  <c r="E1257" i="6" s="1"/>
  <c r="E1258" i="6" s="1"/>
  <c r="E1259" i="6" s="1"/>
  <c r="E1260" i="6" s="1"/>
  <c r="E1261" i="6" s="1"/>
  <c r="E1262" i="6" s="1"/>
  <c r="E1263" i="6" s="1"/>
  <c r="E1264" i="6" s="1"/>
  <c r="E1265" i="6" s="1"/>
  <c r="E1266" i="6" s="1"/>
  <c r="E1267" i="6" s="1"/>
  <c r="E1268" i="6" s="1"/>
  <c r="E1269" i="6" s="1"/>
  <c r="E1270" i="6" s="1"/>
  <c r="E1271" i="6" s="1"/>
  <c r="E1272" i="6" s="1"/>
  <c r="E1273" i="6" s="1"/>
  <c r="E1274" i="6" s="1"/>
  <c r="E1275" i="6" s="1"/>
  <c r="E1276" i="6" s="1"/>
  <c r="E1277" i="6" s="1"/>
  <c r="E1278" i="6" s="1"/>
  <c r="E1279" i="6" s="1"/>
  <c r="E1280" i="6" s="1"/>
  <c r="E1281" i="6" s="1"/>
  <c r="E1282" i="6" s="1"/>
  <c r="E1283" i="6" s="1"/>
  <c r="E1284" i="6" s="1"/>
  <c r="E1285" i="6" s="1"/>
  <c r="E1286" i="6" s="1"/>
  <c r="E1287" i="6" s="1"/>
  <c r="E1288" i="6" s="1"/>
  <c r="E1289" i="6" s="1"/>
  <c r="E1290" i="6" s="1"/>
  <c r="E1291" i="6" s="1"/>
  <c r="E1292" i="6" s="1"/>
  <c r="E1293" i="6" s="1"/>
  <c r="E1294" i="6" s="1"/>
  <c r="E1295" i="6" s="1"/>
  <c r="E1296" i="6" s="1"/>
  <c r="E1297" i="6" s="1"/>
  <c r="E1298" i="6" s="1"/>
  <c r="E1299" i="6" s="1"/>
  <c r="E1300" i="6" s="1"/>
  <c r="E1301" i="6" s="1"/>
  <c r="E1302" i="6" s="1"/>
  <c r="E1303" i="6" s="1"/>
  <c r="E1304" i="6" s="1"/>
  <c r="E1305" i="6" s="1"/>
  <c r="E1306" i="6" s="1"/>
  <c r="E1307" i="6" s="1"/>
  <c r="E1308" i="6" s="1"/>
  <c r="E1309" i="6" s="1"/>
  <c r="E1310" i="6" s="1"/>
  <c r="E1311" i="6" s="1"/>
  <c r="E1312" i="6" s="1"/>
  <c r="E1313" i="6" s="1"/>
  <c r="E1314" i="6" s="1"/>
  <c r="E1315" i="6" s="1"/>
  <c r="E1316" i="6" s="1"/>
  <c r="E1317" i="6" s="1"/>
  <c r="E1318" i="6" s="1"/>
  <c r="E1319" i="6" s="1"/>
  <c r="E1320" i="6" s="1"/>
  <c r="E1321" i="6" s="1"/>
  <c r="E1322" i="6" s="1"/>
  <c r="E1323" i="6" s="1"/>
  <c r="E1324" i="6" s="1"/>
  <c r="E1325" i="6" s="1"/>
  <c r="E1326" i="6" s="1"/>
  <c r="E1327" i="6" s="1"/>
  <c r="E1328" i="6" s="1"/>
  <c r="E1329" i="6" s="1"/>
  <c r="E1330" i="6" s="1"/>
  <c r="E1331" i="6" s="1"/>
  <c r="E1332" i="6" s="1"/>
  <c r="E1333" i="6" s="1"/>
  <c r="E1334" i="6" s="1"/>
  <c r="E1335" i="6" s="1"/>
  <c r="E1336" i="6" s="1"/>
  <c r="E1337" i="6" s="1"/>
  <c r="E1338" i="6" s="1"/>
  <c r="E1339" i="6" s="1"/>
  <c r="E1340" i="6" s="1"/>
  <c r="E1341" i="6" s="1"/>
  <c r="E1342" i="6" s="1"/>
  <c r="E1343" i="6" s="1"/>
  <c r="E1344" i="6" s="1"/>
  <c r="E1345" i="6" s="1"/>
  <c r="E1346" i="6" s="1"/>
  <c r="E1347" i="6" s="1"/>
  <c r="E1348" i="6" s="1"/>
  <c r="E1349" i="6" s="1"/>
  <c r="E1350" i="6" s="1"/>
  <c r="E1351" i="6" s="1"/>
  <c r="E1352" i="6" s="1"/>
  <c r="E1353" i="6" s="1"/>
  <c r="E1354" i="6" s="1"/>
  <c r="E1355" i="6" s="1"/>
  <c r="E1356" i="6" s="1"/>
  <c r="E1357" i="6" s="1"/>
  <c r="E1358" i="6" s="1"/>
  <c r="E1359" i="6" s="1"/>
  <c r="E1360" i="6" s="1"/>
  <c r="E1361" i="6" s="1"/>
  <c r="E1362" i="6" s="1"/>
  <c r="E1363" i="6" s="1"/>
  <c r="E1364" i="6" s="1"/>
  <c r="E1365" i="6" s="1"/>
  <c r="E1366" i="6" s="1"/>
  <c r="E1367" i="6" s="1"/>
  <c r="E1368" i="6" s="1"/>
  <c r="E1369" i="6" s="1"/>
  <c r="E1370" i="6" s="1"/>
  <c r="E1371" i="6" s="1"/>
  <c r="E1372" i="6" s="1"/>
  <c r="E1373" i="6" s="1"/>
  <c r="E1374" i="6" s="1"/>
  <c r="E1375" i="6" s="1"/>
  <c r="E1376" i="6" s="1"/>
  <c r="E1377" i="6" s="1"/>
  <c r="E1378" i="6" s="1"/>
  <c r="E1379" i="6" s="1"/>
  <c r="E1380" i="6" s="1"/>
  <c r="E1381" i="6" s="1"/>
  <c r="E1382" i="6" s="1"/>
  <c r="E1383" i="6" s="1"/>
  <c r="E1384" i="6" s="1"/>
  <c r="E1385" i="6" s="1"/>
  <c r="E1386" i="6" s="1"/>
  <c r="E1387" i="6" s="1"/>
  <c r="E1388" i="6" s="1"/>
  <c r="E1389" i="6" s="1"/>
  <c r="E1390" i="6" s="1"/>
  <c r="E1391" i="6" s="1"/>
  <c r="E1392" i="6" s="1"/>
  <c r="E1393" i="6" s="1"/>
  <c r="E1394" i="6" s="1"/>
  <c r="E1395" i="6" s="1"/>
  <c r="E1396" i="6" s="1"/>
  <c r="E1397" i="6" s="1"/>
  <c r="E1398" i="6" s="1"/>
  <c r="E1399" i="6" s="1"/>
  <c r="E1400" i="6" s="1"/>
  <c r="E1401" i="6" s="1"/>
  <c r="E1402" i="6" s="1"/>
  <c r="E1403" i="6" s="1"/>
  <c r="E1404" i="6" s="1"/>
  <c r="E1405" i="6" s="1"/>
  <c r="E1406" i="6" s="1"/>
  <c r="E1407" i="6" s="1"/>
  <c r="E1408" i="6" s="1"/>
  <c r="E1409" i="6" s="1"/>
  <c r="E1410" i="6" s="1"/>
  <c r="E1411" i="6" s="1"/>
  <c r="E1412" i="6" s="1"/>
  <c r="E1413" i="6" s="1"/>
  <c r="E1414" i="6" s="1"/>
  <c r="E1415" i="6" s="1"/>
  <c r="E1416" i="6" s="1"/>
  <c r="E1417" i="6" s="1"/>
  <c r="E1418" i="6" s="1"/>
  <c r="E1419" i="6" s="1"/>
  <c r="E1420" i="6" s="1"/>
  <c r="E1421" i="6" s="1"/>
  <c r="E1422" i="6" s="1"/>
  <c r="E1423" i="6" s="1"/>
  <c r="E1424" i="6" s="1"/>
  <c r="E1425" i="6" s="1"/>
  <c r="E1426" i="6" s="1"/>
  <c r="E1427" i="6" s="1"/>
  <c r="E1428" i="6" s="1"/>
  <c r="E1429" i="6" s="1"/>
  <c r="E1430" i="6" s="1"/>
  <c r="E1431" i="6" s="1"/>
  <c r="E1432" i="6" s="1"/>
  <c r="E1433" i="6" s="1"/>
  <c r="E1434" i="6" s="1"/>
  <c r="E1435" i="6" s="1"/>
  <c r="E1436" i="6" s="1"/>
  <c r="E1437" i="6" s="1"/>
  <c r="E1438" i="6" s="1"/>
  <c r="E1439" i="6" s="1"/>
  <c r="E1440" i="6" s="1"/>
  <c r="E1441" i="6" s="1"/>
  <c r="E1442" i="6" s="1"/>
  <c r="E1443" i="6" s="1"/>
  <c r="E1444" i="6" s="1"/>
  <c r="E1445" i="6" s="1"/>
  <c r="E1446" i="6" s="1"/>
  <c r="E1447" i="6" s="1"/>
  <c r="E1448" i="6" s="1"/>
  <c r="E1449" i="6" s="1"/>
  <c r="E1450" i="6" s="1"/>
  <c r="E1451" i="6" s="1"/>
  <c r="E1452" i="6" s="1"/>
  <c r="E1453" i="6" s="1"/>
  <c r="E1454" i="6" s="1"/>
  <c r="E1455" i="6" s="1"/>
  <c r="E1456" i="6" s="1"/>
  <c r="E1457" i="6" s="1"/>
  <c r="E1458" i="6" s="1"/>
  <c r="E1459" i="6" s="1"/>
  <c r="E1460" i="6" s="1"/>
  <c r="E1461" i="6" s="1"/>
  <c r="E1462" i="6" s="1"/>
  <c r="E1463" i="6" s="1"/>
  <c r="E1464" i="6" s="1"/>
  <c r="E1465" i="6" s="1"/>
  <c r="E1466" i="6" s="1"/>
  <c r="E1467" i="6" s="1"/>
  <c r="E1468" i="6" s="1"/>
  <c r="E1469" i="6" s="1"/>
  <c r="E1470" i="6" s="1"/>
  <c r="E1471" i="6" s="1"/>
  <c r="E1472" i="6" s="1"/>
  <c r="E1473" i="6" s="1"/>
  <c r="E1474" i="6" s="1"/>
  <c r="E1475" i="6" s="1"/>
  <c r="E1476" i="6" s="1"/>
  <c r="E1477" i="6" s="1"/>
  <c r="E1478" i="6" s="1"/>
  <c r="E1479" i="6" s="1"/>
  <c r="E1480" i="6" s="1"/>
  <c r="E1481" i="6" s="1"/>
  <c r="E1482" i="6" s="1"/>
  <c r="E1483" i="6" s="1"/>
  <c r="E1484" i="6" s="1"/>
  <c r="E1485" i="6" s="1"/>
  <c r="E1486" i="6" s="1"/>
  <c r="E1487" i="6" s="1"/>
  <c r="E1488" i="6" s="1"/>
  <c r="E1489" i="6" s="1"/>
  <c r="E1490" i="6" s="1"/>
  <c r="E1491" i="6" s="1"/>
  <c r="E1492" i="6" s="1"/>
  <c r="E1493" i="6" s="1"/>
  <c r="E1494" i="6" s="1"/>
  <c r="E1495" i="6" s="1"/>
  <c r="E1496" i="6" s="1"/>
  <c r="E1497" i="6" s="1"/>
  <c r="E1498" i="6" s="1"/>
  <c r="E1499" i="6" s="1"/>
  <c r="E1500" i="6" s="1"/>
  <c r="E1501" i="6" s="1"/>
  <c r="E1502" i="6" s="1"/>
  <c r="E1503" i="6" s="1"/>
  <c r="E1504" i="6" s="1"/>
  <c r="E1505" i="6" s="1"/>
  <c r="E1506" i="6" s="1"/>
  <c r="E1507" i="6" s="1"/>
  <c r="E1508" i="6" s="1"/>
  <c r="E1509" i="6" s="1"/>
  <c r="E1510" i="6" s="1"/>
  <c r="E1511" i="6" s="1"/>
  <c r="E1512" i="6" s="1"/>
  <c r="E1513" i="6" s="1"/>
  <c r="E1514" i="6" s="1"/>
  <c r="E1515" i="6" s="1"/>
  <c r="E1516" i="6" s="1"/>
  <c r="E1517" i="6" s="1"/>
  <c r="E1518" i="6" s="1"/>
  <c r="E1519" i="6" s="1"/>
  <c r="E1520" i="6" s="1"/>
  <c r="E1521" i="6" s="1"/>
  <c r="E1522" i="6" s="1"/>
  <c r="E1523" i="6" s="1"/>
  <c r="E1524" i="6" s="1"/>
  <c r="E1525" i="6" s="1"/>
  <c r="E1526" i="6" s="1"/>
  <c r="E1527" i="6" s="1"/>
  <c r="E1528" i="6" s="1"/>
  <c r="E1529" i="6" s="1"/>
  <c r="E1530" i="6" s="1"/>
  <c r="E1531" i="6" s="1"/>
  <c r="E1532" i="6" s="1"/>
  <c r="E1533" i="6" s="1"/>
  <c r="E1534" i="6" s="1"/>
  <c r="E1535" i="6" s="1"/>
  <c r="E1536" i="6" s="1"/>
  <c r="E1537" i="6" s="1"/>
  <c r="E1538" i="6" s="1"/>
  <c r="E1539" i="6" s="1"/>
  <c r="E1540" i="6" s="1"/>
  <c r="E1541" i="6" s="1"/>
  <c r="E1542" i="6" s="1"/>
  <c r="E1543" i="6" s="1"/>
  <c r="E1544" i="6" s="1"/>
  <c r="E1545" i="6" s="1"/>
  <c r="E1546" i="6" s="1"/>
  <c r="E1547" i="6" s="1"/>
  <c r="E1548" i="6" s="1"/>
  <c r="E1549" i="6" s="1"/>
  <c r="E1550" i="6" s="1"/>
  <c r="E1551" i="6" s="1"/>
  <c r="E1552" i="6" s="1"/>
  <c r="E1553" i="6" s="1"/>
  <c r="E1554" i="6" s="1"/>
  <c r="E1555" i="6" s="1"/>
  <c r="E1556" i="6" s="1"/>
  <c r="E1557" i="6" s="1"/>
  <c r="E1558" i="6" s="1"/>
  <c r="E1559" i="6" s="1"/>
  <c r="E1560" i="6" s="1"/>
  <c r="E1561" i="6" s="1"/>
  <c r="E1562" i="6" s="1"/>
  <c r="E1563" i="6" s="1"/>
  <c r="E1564" i="6" s="1"/>
  <c r="E1565" i="6" s="1"/>
  <c r="E1566" i="6" s="1"/>
  <c r="E1567" i="6" s="1"/>
  <c r="E1568" i="6" s="1"/>
  <c r="E1569" i="6" s="1"/>
  <c r="E1570" i="6" s="1"/>
  <c r="E1571" i="6" s="1"/>
  <c r="E1572" i="6" s="1"/>
  <c r="E1573" i="6" s="1"/>
  <c r="E1574" i="6" s="1"/>
  <c r="E1575" i="6" s="1"/>
  <c r="E1576" i="6" s="1"/>
  <c r="E1577" i="6" s="1"/>
  <c r="E1578" i="6" s="1"/>
  <c r="E1579" i="6" s="1"/>
  <c r="E1580" i="6" s="1"/>
  <c r="E1581" i="6" s="1"/>
  <c r="E1582" i="6" s="1"/>
  <c r="E1583" i="6" s="1"/>
  <c r="E1584" i="6" s="1"/>
  <c r="E1585" i="6" s="1"/>
  <c r="E1586" i="6" s="1"/>
  <c r="E1587" i="6" s="1"/>
  <c r="E1588" i="6" s="1"/>
  <c r="E1589" i="6" s="1"/>
  <c r="E1590" i="6" s="1"/>
  <c r="E1591" i="6" s="1"/>
  <c r="E1592" i="6" s="1"/>
  <c r="E1593" i="6" s="1"/>
  <c r="E1594" i="6" s="1"/>
  <c r="E1595" i="6" s="1"/>
  <c r="E1596" i="6" s="1"/>
  <c r="E1597" i="6" s="1"/>
  <c r="E1598" i="6" s="1"/>
  <c r="E1599" i="6" s="1"/>
  <c r="E1600" i="6" s="1"/>
  <c r="E1601" i="6" s="1"/>
  <c r="E1602" i="6" s="1"/>
  <c r="E1603" i="6" s="1"/>
  <c r="E1604" i="6" s="1"/>
  <c r="E1605" i="6" s="1"/>
  <c r="E1606" i="6" s="1"/>
  <c r="E1607" i="6" s="1"/>
  <c r="E1608" i="6" s="1"/>
  <c r="E1609" i="6" s="1"/>
  <c r="E1610" i="6" s="1"/>
  <c r="E1611" i="6" s="1"/>
  <c r="E1612" i="6" s="1"/>
  <c r="E1613" i="6" s="1"/>
  <c r="E1614" i="6" s="1"/>
  <c r="E1615" i="6" s="1"/>
  <c r="E1616" i="6" s="1"/>
  <c r="E1617" i="6" s="1"/>
  <c r="E1618" i="6" s="1"/>
  <c r="E1619" i="6" s="1"/>
  <c r="E1620" i="6" s="1"/>
  <c r="E1621" i="6" s="1"/>
  <c r="E1622" i="6" s="1"/>
  <c r="E1623" i="6" s="1"/>
  <c r="E1624" i="6" s="1"/>
  <c r="E1625" i="6" s="1"/>
  <c r="E1626" i="6" s="1"/>
  <c r="E1627" i="6" s="1"/>
  <c r="E1628" i="6" s="1"/>
  <c r="E1629" i="6" s="1"/>
  <c r="E1630" i="6" s="1"/>
  <c r="E1631" i="6" s="1"/>
  <c r="E1632" i="6" s="1"/>
  <c r="E1633" i="6" s="1"/>
  <c r="E1634" i="6" s="1"/>
  <c r="E1635" i="6" s="1"/>
  <c r="E1636" i="6" s="1"/>
  <c r="E1637" i="6" s="1"/>
  <c r="E1638" i="6" s="1"/>
  <c r="E1639" i="6" s="1"/>
  <c r="E1640" i="6" s="1"/>
  <c r="E1641" i="6" s="1"/>
  <c r="E1642" i="6" s="1"/>
  <c r="E1643" i="6" s="1"/>
  <c r="E1644" i="6" s="1"/>
  <c r="E1645" i="6" s="1"/>
  <c r="E1646" i="6" s="1"/>
  <c r="E1647" i="6" s="1"/>
  <c r="E1648" i="6" s="1"/>
  <c r="E1649" i="6" s="1"/>
  <c r="E1650" i="6" s="1"/>
  <c r="E1651" i="6" s="1"/>
  <c r="E1652" i="6" s="1"/>
  <c r="E1653" i="6" s="1"/>
  <c r="E1654" i="6" s="1"/>
  <c r="E1655" i="6" s="1"/>
  <c r="E1656" i="6" s="1"/>
  <c r="E1657" i="6" s="1"/>
  <c r="E1658" i="6" s="1"/>
  <c r="E1659" i="6" s="1"/>
  <c r="E1660" i="6" s="1"/>
  <c r="E1661" i="6" s="1"/>
  <c r="E1662" i="6" s="1"/>
  <c r="E1663" i="6" s="1"/>
  <c r="E1664" i="6" s="1"/>
  <c r="E1665" i="6" s="1"/>
  <c r="E1666" i="6" s="1"/>
  <c r="E1667" i="6" s="1"/>
  <c r="E1668" i="6" s="1"/>
  <c r="E1669" i="6" s="1"/>
  <c r="E1670" i="6" s="1"/>
  <c r="E1671" i="6" s="1"/>
  <c r="E1672" i="6" s="1"/>
  <c r="E1673" i="6" s="1"/>
  <c r="E1674" i="6" s="1"/>
  <c r="E1675" i="6" s="1"/>
  <c r="E1676" i="6" s="1"/>
  <c r="E1677" i="6" s="1"/>
  <c r="E1678" i="6" s="1"/>
  <c r="E1679" i="6" s="1"/>
  <c r="E1680" i="6" s="1"/>
  <c r="E1681" i="6" s="1"/>
  <c r="E1682" i="6" s="1"/>
  <c r="E1683" i="6" s="1"/>
  <c r="E1684" i="6" s="1"/>
  <c r="E1685" i="6" s="1"/>
  <c r="E1686" i="6" s="1"/>
  <c r="E1687" i="6" s="1"/>
  <c r="E1688" i="6" s="1"/>
  <c r="E1689" i="6" s="1"/>
  <c r="E1690" i="6" s="1"/>
  <c r="E1691" i="6" s="1"/>
  <c r="E1692" i="6" s="1"/>
  <c r="E1693" i="6" s="1"/>
  <c r="E1694" i="6" s="1"/>
  <c r="E1695" i="6" s="1"/>
  <c r="E1696" i="6" s="1"/>
  <c r="E1697" i="6" s="1"/>
  <c r="E1698" i="6" s="1"/>
  <c r="E1699" i="6" s="1"/>
  <c r="E1700" i="6" s="1"/>
  <c r="E1701" i="6" s="1"/>
  <c r="E1702" i="6" s="1"/>
  <c r="E1703" i="6" s="1"/>
  <c r="E1704" i="6" s="1"/>
  <c r="E1705" i="6" s="1"/>
  <c r="E1706" i="6" s="1"/>
  <c r="E1707" i="6" s="1"/>
  <c r="E1708" i="6" s="1"/>
  <c r="E1709" i="6" s="1"/>
  <c r="E1710" i="6" s="1"/>
  <c r="E1711" i="6" s="1"/>
  <c r="E1712" i="6" s="1"/>
  <c r="E1713" i="6" s="1"/>
  <c r="E1714" i="6" s="1"/>
  <c r="E1715" i="6" s="1"/>
  <c r="E1716" i="6" s="1"/>
  <c r="E1717" i="6" s="1"/>
  <c r="E1718" i="6" s="1"/>
  <c r="E1719" i="6" s="1"/>
  <c r="E1720" i="6" s="1"/>
  <c r="E1721" i="6" s="1"/>
  <c r="E1722" i="6" s="1"/>
  <c r="E1723" i="6" s="1"/>
  <c r="E1724" i="6" s="1"/>
  <c r="E1725" i="6" s="1"/>
  <c r="E1726" i="6" s="1"/>
  <c r="E1727" i="6" s="1"/>
  <c r="E1728" i="6" s="1"/>
  <c r="E1729" i="6" s="1"/>
  <c r="E1730" i="6" s="1"/>
  <c r="E1731" i="6" s="1"/>
  <c r="E1732" i="6" s="1"/>
  <c r="E1733" i="6" s="1"/>
  <c r="E1734" i="6" s="1"/>
  <c r="E1735" i="6" s="1"/>
  <c r="E1736" i="6" s="1"/>
  <c r="E1737" i="6" s="1"/>
  <c r="E1738" i="6" s="1"/>
  <c r="E1739" i="6" s="1"/>
  <c r="E1740" i="6" s="1"/>
  <c r="E1741" i="6" s="1"/>
  <c r="E1742" i="6" s="1"/>
  <c r="E1743" i="6" s="1"/>
  <c r="E1744" i="6" s="1"/>
  <c r="E1745" i="6" s="1"/>
  <c r="E1746" i="6" s="1"/>
  <c r="E1747" i="6" s="1"/>
  <c r="E1748" i="6" s="1"/>
  <c r="E1749" i="6" s="1"/>
  <c r="E1750" i="6" s="1"/>
  <c r="E1751" i="6" s="1"/>
  <c r="E1752" i="6" s="1"/>
  <c r="E1753" i="6" s="1"/>
  <c r="E1754" i="6" s="1"/>
  <c r="E1755" i="6" s="1"/>
  <c r="E1756" i="6" s="1"/>
  <c r="E1757" i="6" s="1"/>
  <c r="E1758" i="6" s="1"/>
  <c r="E1759" i="6" s="1"/>
  <c r="E1760" i="6" s="1"/>
  <c r="E1761" i="6" s="1"/>
  <c r="E1762" i="6" s="1"/>
  <c r="E1763" i="6" s="1"/>
  <c r="E1764" i="6" s="1"/>
  <c r="E1765" i="6" s="1"/>
  <c r="E1766" i="6" s="1"/>
  <c r="E1767" i="6" s="1"/>
  <c r="E1768" i="6" s="1"/>
  <c r="E1769" i="6" s="1"/>
  <c r="E1770" i="6" s="1"/>
  <c r="E1771" i="6" s="1"/>
  <c r="E1772" i="6" s="1"/>
  <c r="E1773" i="6" s="1"/>
  <c r="E1774" i="6" s="1"/>
  <c r="E1775" i="6" s="1"/>
  <c r="E1776" i="6" s="1"/>
  <c r="E1777" i="6" s="1"/>
  <c r="E1778" i="6" s="1"/>
  <c r="E1779" i="6" s="1"/>
  <c r="E1780" i="6" s="1"/>
  <c r="E1781" i="6" s="1"/>
  <c r="E1782" i="6" s="1"/>
  <c r="E1783" i="6" s="1"/>
  <c r="E1784" i="6" s="1"/>
  <c r="E1785" i="6" s="1"/>
  <c r="E1786" i="6" s="1"/>
  <c r="E1787" i="6" s="1"/>
  <c r="E1788" i="6" s="1"/>
  <c r="E1789" i="6" s="1"/>
  <c r="E1790" i="6" s="1"/>
  <c r="E1791" i="6" s="1"/>
  <c r="E1792" i="6" s="1"/>
  <c r="E1793" i="6" s="1"/>
  <c r="E1794" i="6" s="1"/>
  <c r="E1795" i="6" s="1"/>
  <c r="E1796" i="6" s="1"/>
  <c r="E1797" i="6" s="1"/>
  <c r="E1798" i="6" s="1"/>
  <c r="E1799" i="6" s="1"/>
  <c r="E1800" i="6" s="1"/>
  <c r="E1801" i="6" s="1"/>
  <c r="E1802" i="6" s="1"/>
  <c r="E1803" i="6" s="1"/>
  <c r="E1804" i="6" s="1"/>
  <c r="E1805" i="6" s="1"/>
  <c r="E1806" i="6" s="1"/>
  <c r="E1807" i="6" s="1"/>
  <c r="E1808" i="6" s="1"/>
  <c r="E1809" i="6" s="1"/>
  <c r="E1810" i="6" s="1"/>
  <c r="E1811" i="6" s="1"/>
  <c r="E1812" i="6" s="1"/>
  <c r="E1813" i="6" s="1"/>
  <c r="E1814" i="6" s="1"/>
  <c r="E1815" i="6" s="1"/>
  <c r="E1816" i="6" s="1"/>
  <c r="E1817" i="6" s="1"/>
  <c r="E1818" i="6" s="1"/>
  <c r="E1819" i="6" s="1"/>
  <c r="E1820" i="6" s="1"/>
  <c r="E1821" i="6" s="1"/>
  <c r="E1822" i="6" s="1"/>
  <c r="E1823" i="6" s="1"/>
  <c r="E1824" i="6" s="1"/>
  <c r="E1825" i="6" s="1"/>
  <c r="E1826" i="6" s="1"/>
  <c r="E1827" i="6" s="1"/>
  <c r="E1828" i="6" s="1"/>
  <c r="E1829" i="6" s="1"/>
  <c r="E1830" i="6" s="1"/>
  <c r="E1831" i="6" s="1"/>
  <c r="E1832" i="6" s="1"/>
  <c r="E1833" i="6" s="1"/>
  <c r="E1834" i="6" s="1"/>
  <c r="E1835" i="6" s="1"/>
  <c r="E1836" i="6" s="1"/>
  <c r="E1837" i="6" s="1"/>
  <c r="E1838" i="6" s="1"/>
  <c r="E1839" i="6" s="1"/>
  <c r="E1840" i="6" s="1"/>
  <c r="E1841" i="6" s="1"/>
  <c r="E1842" i="6" s="1"/>
  <c r="E1843" i="6" s="1"/>
  <c r="E1844" i="6" s="1"/>
  <c r="E1845" i="6" s="1"/>
  <c r="E1846" i="6" s="1"/>
  <c r="E1847" i="6" s="1"/>
  <c r="E1848" i="6" s="1"/>
  <c r="E1849" i="6" s="1"/>
  <c r="E1850" i="6" s="1"/>
  <c r="E1851" i="6" s="1"/>
  <c r="E1852" i="6" s="1"/>
  <c r="E1853" i="6" s="1"/>
  <c r="E1854" i="6" s="1"/>
  <c r="E1855" i="6" s="1"/>
  <c r="E1856" i="6" s="1"/>
  <c r="E1857" i="6" s="1"/>
  <c r="E1858" i="6" s="1"/>
  <c r="E1859" i="6" s="1"/>
  <c r="E1860" i="6" s="1"/>
  <c r="E1861" i="6" s="1"/>
  <c r="E1862" i="6" s="1"/>
  <c r="E1863" i="6" s="1"/>
  <c r="E1864" i="6" s="1"/>
  <c r="E1865" i="6" s="1"/>
  <c r="E1866" i="6" s="1"/>
  <c r="E1867" i="6" s="1"/>
  <c r="E1868" i="6" s="1"/>
  <c r="E1869" i="6" s="1"/>
  <c r="E1870" i="6" s="1"/>
  <c r="E1871" i="6" s="1"/>
  <c r="E1872" i="6" s="1"/>
  <c r="E1873" i="6" s="1"/>
  <c r="E1874" i="6" s="1"/>
  <c r="E1875" i="6" s="1"/>
  <c r="E1876" i="6" s="1"/>
  <c r="E1877" i="6" s="1"/>
  <c r="E1878" i="6" s="1"/>
  <c r="E1879" i="6" s="1"/>
  <c r="E1880" i="6" s="1"/>
  <c r="E1881" i="6" s="1"/>
  <c r="E1882" i="6" s="1"/>
  <c r="E1883" i="6" s="1"/>
  <c r="E1884" i="6" s="1"/>
  <c r="E1885" i="6" s="1"/>
  <c r="E1886" i="6" s="1"/>
  <c r="E1887" i="6" s="1"/>
  <c r="E1888" i="6" s="1"/>
  <c r="E1889" i="6" s="1"/>
  <c r="E1890" i="6" s="1"/>
  <c r="E1891" i="6" s="1"/>
  <c r="E1892" i="6" s="1"/>
  <c r="E1893" i="6" s="1"/>
  <c r="E1894" i="6" s="1"/>
  <c r="E1895" i="6" s="1"/>
  <c r="E1896" i="6" s="1"/>
  <c r="E1897" i="6" s="1"/>
  <c r="E1898" i="6" s="1"/>
  <c r="E1899" i="6" s="1"/>
  <c r="E1900" i="6" s="1"/>
  <c r="E1901" i="6" s="1"/>
  <c r="E1902" i="6" s="1"/>
  <c r="E1903" i="6" s="1"/>
  <c r="A1207" i="6"/>
  <c r="A1206" i="6"/>
  <c r="I1205" i="6"/>
  <c r="G1205" i="6"/>
  <c r="G1206" i="6" s="1"/>
  <c r="A1205" i="6"/>
  <c r="G1204" i="6"/>
  <c r="I1204" i="6" s="1"/>
  <c r="E1204" i="6"/>
  <c r="E1205" i="6" s="1"/>
  <c r="E1206" i="6" s="1"/>
  <c r="A1204" i="6"/>
  <c r="I1203" i="6"/>
  <c r="A1203" i="6"/>
  <c r="I1202" i="6"/>
  <c r="A1202" i="6"/>
  <c r="I1201" i="6"/>
  <c r="A1201" i="6"/>
  <c r="I1200" i="6"/>
  <c r="A1200" i="6"/>
  <c r="I1199" i="6"/>
  <c r="A1199" i="6"/>
  <c r="I1198" i="6"/>
  <c r="A1198" i="6"/>
  <c r="I1197" i="6"/>
  <c r="A1197" i="6"/>
  <c r="I1196" i="6"/>
  <c r="A1196" i="6"/>
  <c r="I1195" i="6"/>
  <c r="A1195" i="6"/>
  <c r="I1194" i="6"/>
  <c r="A1194" i="6"/>
  <c r="I1193" i="6"/>
  <c r="A1193" i="6"/>
  <c r="I1192" i="6"/>
  <c r="A1192" i="6"/>
  <c r="I1191" i="6"/>
  <c r="A1191" i="6"/>
  <c r="I1190" i="6"/>
  <c r="A1190" i="6"/>
  <c r="I1189" i="6"/>
  <c r="A1189" i="6"/>
  <c r="I1188" i="6"/>
  <c r="A1188" i="6"/>
  <c r="I1187" i="6"/>
  <c r="A1187" i="6"/>
  <c r="I1186" i="6"/>
  <c r="A1186" i="6"/>
  <c r="I1185" i="6"/>
  <c r="A1185" i="6"/>
  <c r="I1184" i="6"/>
  <c r="A1184" i="6"/>
  <c r="I1183" i="6"/>
  <c r="A1183" i="6"/>
  <c r="I1182" i="6"/>
  <c r="A1182" i="6"/>
  <c r="I1181" i="6"/>
  <c r="A1181" i="6"/>
  <c r="I1180" i="6"/>
  <c r="A1180" i="6"/>
  <c r="I1179" i="6"/>
  <c r="A1179" i="6"/>
  <c r="I1178" i="6"/>
  <c r="A1178" i="6"/>
  <c r="I1177" i="6"/>
  <c r="A1177" i="6"/>
  <c r="I1176" i="6"/>
  <c r="A1176" i="6"/>
  <c r="I1175" i="6"/>
  <c r="A1175" i="6"/>
  <c r="I1174" i="6"/>
  <c r="A1174" i="6"/>
  <c r="I1173" i="6"/>
  <c r="A1173" i="6"/>
  <c r="I1172" i="6"/>
  <c r="A1172" i="6"/>
  <c r="I1171" i="6"/>
  <c r="A1171" i="6"/>
  <c r="I1170" i="6"/>
  <c r="A1170" i="6"/>
  <c r="I1169" i="6"/>
  <c r="A1169" i="6"/>
  <c r="I1168" i="6"/>
  <c r="A1168" i="6"/>
  <c r="I1167" i="6"/>
  <c r="A1167" i="6"/>
  <c r="I1166" i="6"/>
  <c r="A1166" i="6"/>
  <c r="I1165" i="6"/>
  <c r="A1165" i="6"/>
  <c r="I1164" i="6"/>
  <c r="A1164" i="6"/>
  <c r="I1163" i="6"/>
  <c r="A1163" i="6"/>
  <c r="I1162" i="6"/>
  <c r="A1162" i="6"/>
  <c r="I1161" i="6"/>
  <c r="A1161" i="6"/>
  <c r="I1160" i="6"/>
  <c r="A1160" i="6"/>
  <c r="I1159" i="6"/>
  <c r="A1159" i="6"/>
  <c r="I1158" i="6"/>
  <c r="A1158" i="6"/>
  <c r="I1157" i="6"/>
  <c r="A1157" i="6"/>
  <c r="I1156" i="6"/>
  <c r="A1156" i="6"/>
  <c r="I1155" i="6"/>
  <c r="A1155" i="6"/>
  <c r="I1154" i="6"/>
  <c r="A1154" i="6"/>
  <c r="I1153" i="6"/>
  <c r="A1153" i="6"/>
  <c r="I1152" i="6"/>
  <c r="A1152" i="6"/>
  <c r="I1151" i="6"/>
  <c r="A1151" i="6"/>
  <c r="I1150" i="6"/>
  <c r="A1150" i="6"/>
  <c r="I1149" i="6"/>
  <c r="A1149" i="6"/>
  <c r="I1148" i="6"/>
  <c r="A1148" i="6"/>
  <c r="I1147" i="6"/>
  <c r="A1147" i="6"/>
  <c r="I1146" i="6"/>
  <c r="A1146" i="6"/>
  <c r="I1145" i="6"/>
  <c r="A1145" i="6"/>
  <c r="I1144" i="6"/>
  <c r="A1144" i="6"/>
  <c r="I1143" i="6"/>
  <c r="A1143" i="6"/>
  <c r="I1142" i="6"/>
  <c r="A1142" i="6"/>
  <c r="I1141" i="6"/>
  <c r="A1141" i="6"/>
  <c r="I1140" i="6"/>
  <c r="A1140" i="6"/>
  <c r="I1139" i="6"/>
  <c r="A1139" i="6"/>
  <c r="I1138" i="6"/>
  <c r="A1138" i="6"/>
  <c r="I1137" i="6"/>
  <c r="A1137" i="6"/>
  <c r="I1136" i="6"/>
  <c r="A1136" i="6"/>
  <c r="I1135" i="6"/>
  <c r="A1135" i="6"/>
  <c r="I1134" i="6"/>
  <c r="A1134" i="6"/>
  <c r="I1133" i="6"/>
  <c r="A1133" i="6"/>
  <c r="I1132" i="6"/>
  <c r="A1132" i="6"/>
  <c r="I1131" i="6"/>
  <c r="A1131" i="6"/>
  <c r="I1130" i="6"/>
  <c r="A1130" i="6"/>
  <c r="I1129" i="6"/>
  <c r="A1129" i="6"/>
  <c r="I1128" i="6"/>
  <c r="A1128" i="6"/>
  <c r="I1127" i="6"/>
  <c r="A1127" i="6"/>
  <c r="I1126" i="6"/>
  <c r="A1126" i="6"/>
  <c r="I1125" i="6"/>
  <c r="A1125" i="6"/>
  <c r="I1124" i="6"/>
  <c r="A1124" i="6"/>
  <c r="I1123" i="6"/>
  <c r="A1123" i="6"/>
  <c r="I1122" i="6"/>
  <c r="A1122" i="6"/>
  <c r="I1121" i="6"/>
  <c r="A1121" i="6"/>
  <c r="I1120" i="6"/>
  <c r="A1120" i="6"/>
  <c r="I1119" i="6"/>
  <c r="A1119" i="6"/>
  <c r="I1118" i="6"/>
  <c r="A1118" i="6"/>
  <c r="I1117" i="6"/>
  <c r="A1117" i="6"/>
  <c r="I1116" i="6"/>
  <c r="A1116" i="6"/>
  <c r="I1115" i="6"/>
  <c r="A1115" i="6"/>
  <c r="I1114" i="6"/>
  <c r="A1114" i="6"/>
  <c r="I1113" i="6"/>
  <c r="A1113" i="6"/>
  <c r="I1112" i="6"/>
  <c r="A1112" i="6"/>
  <c r="I1111" i="6"/>
  <c r="A1111" i="6"/>
  <c r="I1110" i="6"/>
  <c r="A1110" i="6"/>
  <c r="I1109" i="6"/>
  <c r="A1109" i="6"/>
  <c r="I1108" i="6"/>
  <c r="A1108" i="6"/>
  <c r="I1107" i="6"/>
  <c r="A1107" i="6"/>
  <c r="I1106" i="6"/>
  <c r="A1106" i="6"/>
  <c r="I1105" i="6"/>
  <c r="A1105" i="6"/>
  <c r="I1104" i="6"/>
  <c r="A1104" i="6"/>
  <c r="I1103" i="6"/>
  <c r="A1103" i="6"/>
  <c r="I1102" i="6"/>
  <c r="A1102" i="6"/>
  <c r="I1101" i="6"/>
  <c r="A1101" i="6"/>
  <c r="I1100" i="6"/>
  <c r="A1100" i="6"/>
  <c r="I1099" i="6"/>
  <c r="A1099" i="6"/>
  <c r="I1098" i="6"/>
  <c r="A1098" i="6"/>
  <c r="I1097" i="6"/>
  <c r="A1097" i="6"/>
  <c r="I1096" i="6"/>
  <c r="A1096" i="6"/>
  <c r="I1095" i="6"/>
  <c r="A1095" i="6"/>
  <c r="I1094" i="6"/>
  <c r="A1094" i="6"/>
  <c r="I1093" i="6"/>
  <c r="A1093" i="6"/>
  <c r="I1092" i="6"/>
  <c r="A1092" i="6"/>
  <c r="I1091" i="6"/>
  <c r="A1091" i="6"/>
  <c r="I1090" i="6"/>
  <c r="A1090" i="6"/>
  <c r="I1089" i="6"/>
  <c r="A1089" i="6"/>
  <c r="I1088" i="6"/>
  <c r="A1088" i="6"/>
  <c r="I1087" i="6"/>
  <c r="A1087" i="6"/>
  <c r="I1086" i="6"/>
  <c r="A1086" i="6"/>
  <c r="I1085" i="6"/>
  <c r="A1085" i="6"/>
  <c r="I1084" i="6"/>
  <c r="A1084" i="6"/>
  <c r="I1083" i="6"/>
  <c r="A1083" i="6"/>
  <c r="I1082" i="6"/>
  <c r="A1082" i="6"/>
  <c r="I1081" i="6"/>
  <c r="A1081" i="6"/>
  <c r="I1080" i="6"/>
  <c r="A1080" i="6"/>
  <c r="I1079" i="6"/>
  <c r="A1079" i="6"/>
  <c r="I1078" i="6"/>
  <c r="A1078" i="6"/>
  <c r="I1077" i="6"/>
  <c r="A1077" i="6"/>
  <c r="I1076" i="6"/>
  <c r="A1076" i="6"/>
  <c r="I1075" i="6"/>
  <c r="A1075" i="6"/>
  <c r="I1074" i="6"/>
  <c r="A1074" i="6"/>
  <c r="I1073" i="6"/>
  <c r="A1073" i="6"/>
  <c r="I1072" i="6"/>
  <c r="A1072" i="6"/>
  <c r="I1071" i="6"/>
  <c r="A1071" i="6"/>
  <c r="I1070" i="6"/>
  <c r="A1070" i="6"/>
  <c r="I1069" i="6"/>
  <c r="A1069" i="6"/>
  <c r="I1068" i="6"/>
  <c r="A1068" i="6"/>
  <c r="I1067" i="6"/>
  <c r="A1067" i="6"/>
  <c r="I1066" i="6"/>
  <c r="A1066" i="6"/>
  <c r="I1065" i="6"/>
  <c r="A1065" i="6"/>
  <c r="I1064" i="6"/>
  <c r="A1064" i="6"/>
  <c r="I1063" i="6"/>
  <c r="A1063" i="6"/>
  <c r="I1062" i="6"/>
  <c r="A1062" i="6"/>
  <c r="I1061" i="6"/>
  <c r="A1061" i="6"/>
  <c r="I1060" i="6"/>
  <c r="A1060" i="6"/>
  <c r="I1059" i="6"/>
  <c r="A1059" i="6"/>
  <c r="I1058" i="6"/>
  <c r="A1058" i="6"/>
  <c r="I1057" i="6"/>
  <c r="A1057" i="6"/>
  <c r="I1056" i="6"/>
  <c r="A1056" i="6"/>
  <c r="I1055" i="6"/>
  <c r="A1055" i="6"/>
  <c r="I1054" i="6"/>
  <c r="A1054" i="6"/>
  <c r="I1053" i="6"/>
  <c r="A1053" i="6"/>
  <c r="I1052" i="6"/>
  <c r="A1052" i="6"/>
  <c r="I1051" i="6"/>
  <c r="A1051" i="6"/>
  <c r="I1050" i="6"/>
  <c r="A1050" i="6"/>
  <c r="I1049" i="6"/>
  <c r="A1049" i="6"/>
  <c r="I1048" i="6"/>
  <c r="A1048" i="6"/>
  <c r="I1047" i="6"/>
  <c r="A1047" i="6"/>
  <c r="I1046" i="6"/>
  <c r="A1046" i="6"/>
  <c r="I1045" i="6"/>
  <c r="A1045" i="6"/>
  <c r="I1044" i="6"/>
  <c r="A1044" i="6"/>
  <c r="I1043" i="6"/>
  <c r="A1043" i="6"/>
  <c r="I1042" i="6"/>
  <c r="A1042" i="6"/>
  <c r="I1041" i="6"/>
  <c r="A1041" i="6"/>
  <c r="I1040" i="6"/>
  <c r="A1040" i="6"/>
  <c r="I1039" i="6"/>
  <c r="A1039" i="6"/>
  <c r="I1038" i="6"/>
  <c r="A1038" i="6"/>
  <c r="I1037" i="6"/>
  <c r="A1037" i="6"/>
  <c r="I1036" i="6"/>
  <c r="A1036" i="6"/>
  <c r="I1035" i="6"/>
  <c r="A1035" i="6"/>
  <c r="I1034" i="6"/>
  <c r="A1034" i="6"/>
  <c r="I1033" i="6"/>
  <c r="A1033" i="6"/>
  <c r="I1032" i="6"/>
  <c r="A1032" i="6"/>
  <c r="I1031" i="6"/>
  <c r="A1031" i="6"/>
  <c r="I1030" i="6"/>
  <c r="A1030" i="6"/>
  <c r="I1029" i="6"/>
  <c r="A1029" i="6"/>
  <c r="I1028" i="6"/>
  <c r="A1028" i="6"/>
  <c r="I1027" i="6"/>
  <c r="A1027" i="6"/>
  <c r="I1026" i="6"/>
  <c r="A1026" i="6"/>
  <c r="I1025" i="6"/>
  <c r="A1025" i="6"/>
  <c r="I1024" i="6"/>
  <c r="A1024" i="6"/>
  <c r="I1023" i="6"/>
  <c r="A1023" i="6"/>
  <c r="I1022" i="6"/>
  <c r="A1022" i="6"/>
  <c r="I1021" i="6"/>
  <c r="A1021" i="6"/>
  <c r="I1020" i="6"/>
  <c r="A1020" i="6"/>
  <c r="I1019" i="6"/>
  <c r="A1019" i="6"/>
  <c r="I1018" i="6"/>
  <c r="A1018" i="6"/>
  <c r="I1017" i="6"/>
  <c r="A1017" i="6"/>
  <c r="I1016" i="6"/>
  <c r="A1016" i="6"/>
  <c r="I1015" i="6"/>
  <c r="A1015" i="6"/>
  <c r="I1014" i="6"/>
  <c r="A1014" i="6"/>
  <c r="I1013" i="6"/>
  <c r="A1013" i="6"/>
  <c r="I1012" i="6"/>
  <c r="A1012" i="6"/>
  <c r="I1011" i="6"/>
  <c r="A1011" i="6"/>
  <c r="I1010" i="6"/>
  <c r="A1010" i="6"/>
  <c r="I1009" i="6"/>
  <c r="A1009" i="6"/>
  <c r="I1008" i="6"/>
  <c r="A1008" i="6"/>
  <c r="I1007" i="6"/>
  <c r="A1007" i="6"/>
  <c r="I1006" i="6"/>
  <c r="A1006" i="6"/>
  <c r="I1005" i="6"/>
  <c r="A1005" i="6"/>
  <c r="I1004" i="6"/>
  <c r="A1004" i="6"/>
  <c r="I1003" i="6"/>
  <c r="A1003" i="6"/>
  <c r="I1002" i="6"/>
  <c r="A1002" i="6"/>
  <c r="I1001" i="6"/>
  <c r="A1001" i="6"/>
  <c r="I1000" i="6"/>
  <c r="A1000" i="6"/>
  <c r="I999" i="6"/>
  <c r="A999" i="6"/>
  <c r="I998" i="6"/>
  <c r="A998" i="6"/>
  <c r="I997" i="6"/>
  <c r="A997" i="6"/>
  <c r="I996" i="6"/>
  <c r="A996" i="6"/>
  <c r="I995" i="6"/>
  <c r="A995" i="6"/>
  <c r="I994" i="6"/>
  <c r="A994" i="6"/>
  <c r="I993" i="6"/>
  <c r="A993" i="6"/>
  <c r="I992" i="6"/>
  <c r="A992" i="6"/>
  <c r="I991" i="6"/>
  <c r="A991" i="6"/>
  <c r="I990" i="6"/>
  <c r="A990" i="6"/>
  <c r="I989" i="6"/>
  <c r="A989" i="6"/>
  <c r="I988" i="6"/>
  <c r="A988" i="6"/>
  <c r="I987" i="6"/>
  <c r="A987" i="6"/>
  <c r="I986" i="6"/>
  <c r="A986" i="6"/>
  <c r="I985" i="6"/>
  <c r="A985" i="6"/>
  <c r="I984" i="6"/>
  <c r="A984" i="6"/>
  <c r="I983" i="6"/>
  <c r="A983" i="6"/>
  <c r="I982" i="6"/>
  <c r="A982" i="6"/>
  <c r="I981" i="6"/>
  <c r="A981" i="6"/>
  <c r="I980" i="6"/>
  <c r="A980" i="6"/>
  <c r="I979" i="6"/>
  <c r="A979" i="6"/>
  <c r="I978" i="6"/>
  <c r="A978" i="6"/>
  <c r="I977" i="6"/>
  <c r="A977" i="6"/>
  <c r="I976" i="6"/>
  <c r="A976" i="6"/>
  <c r="I975" i="6"/>
  <c r="A975" i="6"/>
  <c r="I974" i="6"/>
  <c r="A974" i="6"/>
  <c r="I973" i="6"/>
  <c r="A973" i="6"/>
  <c r="I972" i="6"/>
  <c r="A972" i="6"/>
  <c r="I971" i="6"/>
  <c r="A971" i="6"/>
  <c r="I970" i="6"/>
  <c r="A970" i="6"/>
  <c r="I969" i="6"/>
  <c r="A969" i="6"/>
  <c r="I968" i="6"/>
  <c r="A968" i="6"/>
  <c r="I967" i="6"/>
  <c r="A967" i="6"/>
  <c r="I966" i="6"/>
  <c r="A966" i="6"/>
  <c r="I965" i="6"/>
  <c r="A965" i="6"/>
  <c r="I964" i="6"/>
  <c r="A964" i="6"/>
  <c r="I963" i="6"/>
  <c r="A963" i="6"/>
  <c r="I962" i="6"/>
  <c r="A962" i="6"/>
  <c r="I961" i="6"/>
  <c r="A961" i="6"/>
  <c r="I960" i="6"/>
  <c r="A960" i="6"/>
  <c r="I959" i="6"/>
  <c r="A959" i="6"/>
  <c r="I958" i="6"/>
  <c r="A958" i="6"/>
  <c r="I957" i="6"/>
  <c r="A957" i="6"/>
  <c r="I956" i="6"/>
  <c r="A956" i="6"/>
  <c r="I955" i="6"/>
  <c r="A955" i="6"/>
  <c r="I954" i="6"/>
  <c r="A954" i="6"/>
  <c r="I953" i="6"/>
  <c r="A953" i="6"/>
  <c r="I952" i="6"/>
  <c r="A952" i="6"/>
  <c r="I951" i="6"/>
  <c r="A951" i="6"/>
  <c r="I950" i="6"/>
  <c r="A950" i="6"/>
  <c r="I949" i="6"/>
  <c r="A949" i="6"/>
  <c r="I948" i="6"/>
  <c r="A948" i="6"/>
  <c r="I947" i="6"/>
  <c r="A947" i="6"/>
  <c r="I946" i="6"/>
  <c r="A946" i="6"/>
  <c r="I945" i="6"/>
  <c r="A945" i="6"/>
  <c r="I944" i="6"/>
  <c r="A944" i="6"/>
  <c r="I943" i="6"/>
  <c r="A943" i="6"/>
  <c r="I942" i="6"/>
  <c r="A942" i="6"/>
  <c r="I941" i="6"/>
  <c r="A941" i="6"/>
  <c r="I940" i="6"/>
  <c r="A940" i="6"/>
  <c r="I939" i="6"/>
  <c r="A939" i="6"/>
  <c r="I938" i="6"/>
  <c r="A938" i="6"/>
  <c r="I937" i="6"/>
  <c r="A937" i="6"/>
  <c r="I936" i="6"/>
  <c r="A936" i="6"/>
  <c r="I935" i="6"/>
  <c r="A935" i="6"/>
  <c r="I934" i="6"/>
  <c r="A934" i="6"/>
  <c r="I933" i="6"/>
  <c r="A933" i="6"/>
  <c r="I932" i="6"/>
  <c r="A932" i="6"/>
  <c r="I931" i="6"/>
  <c r="A931" i="6"/>
  <c r="I930" i="6"/>
  <c r="A930" i="6"/>
  <c r="I929" i="6"/>
  <c r="A929" i="6"/>
  <c r="I928" i="6"/>
  <c r="A928" i="6"/>
  <c r="I927" i="6"/>
  <c r="A927" i="6"/>
  <c r="I926" i="6"/>
  <c r="A926" i="6"/>
  <c r="I925" i="6"/>
  <c r="A925" i="6"/>
  <c r="I924" i="6"/>
  <c r="A924" i="6"/>
  <c r="I923" i="6"/>
  <c r="A923" i="6"/>
  <c r="I922" i="6"/>
  <c r="A922" i="6"/>
  <c r="I921" i="6"/>
  <c r="A921" i="6"/>
  <c r="I920" i="6"/>
  <c r="A920" i="6"/>
  <c r="I919" i="6"/>
  <c r="A919" i="6"/>
  <c r="I918" i="6"/>
  <c r="A918" i="6"/>
  <c r="I917" i="6"/>
  <c r="A917" i="6"/>
  <c r="I916" i="6"/>
  <c r="A916" i="6"/>
  <c r="I915" i="6"/>
  <c r="A915" i="6"/>
  <c r="I914" i="6"/>
  <c r="A914" i="6"/>
  <c r="I913" i="6"/>
  <c r="A913" i="6"/>
  <c r="I912" i="6"/>
  <c r="A912" i="6"/>
  <c r="I911" i="6"/>
  <c r="A911" i="6"/>
  <c r="I910" i="6"/>
  <c r="A910" i="6"/>
  <c r="I909" i="6"/>
  <c r="A909" i="6"/>
  <c r="I908" i="6"/>
  <c r="A908" i="6"/>
  <c r="I907" i="6"/>
  <c r="A907" i="6"/>
  <c r="I906" i="6"/>
  <c r="A906" i="6"/>
  <c r="I905" i="6"/>
  <c r="A905" i="6"/>
  <c r="A904" i="6"/>
  <c r="A903" i="6"/>
  <c r="A902" i="6"/>
  <c r="A901" i="6"/>
  <c r="A900" i="6"/>
  <c r="A899" i="6"/>
  <c r="A898" i="6"/>
  <c r="A897" i="6"/>
  <c r="A896" i="6"/>
  <c r="A895" i="6"/>
  <c r="A894" i="6"/>
  <c r="A893" i="6"/>
  <c r="A892" i="6"/>
  <c r="A891" i="6"/>
  <c r="A890" i="6"/>
  <c r="A889" i="6"/>
  <c r="A888" i="6"/>
  <c r="A887" i="6"/>
  <c r="A886" i="6"/>
  <c r="A885" i="6"/>
  <c r="A884" i="6"/>
  <c r="A883" i="6"/>
  <c r="A882" i="6"/>
  <c r="A881" i="6"/>
  <c r="A880" i="6"/>
  <c r="A879" i="6"/>
  <c r="A878" i="6"/>
  <c r="A877" i="6"/>
  <c r="A876" i="6"/>
  <c r="A875" i="6"/>
  <c r="A874" i="6"/>
  <c r="A873" i="6"/>
  <c r="A872" i="6"/>
  <c r="A871" i="6"/>
  <c r="A870" i="6"/>
  <c r="A869" i="6"/>
  <c r="A868" i="6"/>
  <c r="A867" i="6"/>
  <c r="A866" i="6"/>
  <c r="A865" i="6"/>
  <c r="A864" i="6"/>
  <c r="A863" i="6"/>
  <c r="A862" i="6"/>
  <c r="A861" i="6"/>
  <c r="A860" i="6"/>
  <c r="A859" i="6"/>
  <c r="A858" i="6"/>
  <c r="A857" i="6"/>
  <c r="A856" i="6"/>
  <c r="A855" i="6"/>
  <c r="A854" i="6"/>
  <c r="A853" i="6"/>
  <c r="A852" i="6"/>
  <c r="A851" i="6"/>
  <c r="A850" i="6"/>
  <c r="A849" i="6"/>
  <c r="A848" i="6"/>
  <c r="A847" i="6"/>
  <c r="A846" i="6"/>
  <c r="A845" i="6"/>
  <c r="A844" i="6"/>
  <c r="A843" i="6"/>
  <c r="A842" i="6"/>
  <c r="A841" i="6"/>
  <c r="A840" i="6"/>
  <c r="A839" i="6"/>
  <c r="A838" i="6"/>
  <c r="A837" i="6"/>
  <c r="A836" i="6"/>
  <c r="A835" i="6"/>
  <c r="A834" i="6"/>
  <c r="A833" i="6"/>
  <c r="A832" i="6"/>
  <c r="A831" i="6"/>
  <c r="A830" i="6"/>
  <c r="A829" i="6"/>
  <c r="A828" i="6"/>
  <c r="A827" i="6"/>
  <c r="A826" i="6"/>
  <c r="A825" i="6"/>
  <c r="A824" i="6"/>
  <c r="A823" i="6"/>
  <c r="A822" i="6"/>
  <c r="A821" i="6"/>
  <c r="A820" i="6"/>
  <c r="A819" i="6"/>
  <c r="A818" i="6"/>
  <c r="A817" i="6"/>
  <c r="A816" i="6"/>
  <c r="A815" i="6"/>
  <c r="A814" i="6"/>
  <c r="A813" i="6"/>
  <c r="A812" i="6"/>
  <c r="A811" i="6"/>
  <c r="A810" i="6"/>
  <c r="A809" i="6"/>
  <c r="A808" i="6"/>
  <c r="A807" i="6"/>
  <c r="A806" i="6"/>
  <c r="A805" i="6"/>
  <c r="A804" i="6"/>
  <c r="A803" i="6"/>
  <c r="A802" i="6"/>
  <c r="A801" i="6"/>
  <c r="A800" i="6"/>
  <c r="A799" i="6"/>
  <c r="A798" i="6"/>
  <c r="A797" i="6"/>
  <c r="A796" i="6"/>
  <c r="A795" i="6"/>
  <c r="A794" i="6"/>
  <c r="A793" i="6"/>
  <c r="A792" i="6"/>
  <c r="A791" i="6"/>
  <c r="A790" i="6"/>
  <c r="A789" i="6"/>
  <c r="A788" i="6"/>
  <c r="A787" i="6"/>
  <c r="A786" i="6"/>
  <c r="A785" i="6"/>
  <c r="A784" i="6"/>
  <c r="A783" i="6"/>
  <c r="A782" i="6"/>
  <c r="A781" i="6"/>
  <c r="A780" i="6"/>
  <c r="A779" i="6"/>
  <c r="A778" i="6"/>
  <c r="A777" i="6"/>
  <c r="A776" i="6"/>
  <c r="A775" i="6"/>
  <c r="A774" i="6"/>
  <c r="A773" i="6"/>
  <c r="A772" i="6"/>
  <c r="A771" i="6"/>
  <c r="A770" i="6"/>
  <c r="A769" i="6"/>
  <c r="A768" i="6"/>
  <c r="A767" i="6"/>
  <c r="A766" i="6"/>
  <c r="A765" i="6"/>
  <c r="A764" i="6"/>
  <c r="A763" i="6"/>
  <c r="A762" i="6"/>
  <c r="A761" i="6"/>
  <c r="A760" i="6"/>
  <c r="A759" i="6"/>
  <c r="A758" i="6"/>
  <c r="A757" i="6"/>
  <c r="A756" i="6"/>
  <c r="A755" i="6"/>
  <c r="A754" i="6"/>
  <c r="A753" i="6"/>
  <c r="A752" i="6"/>
  <c r="A751" i="6"/>
  <c r="A750" i="6"/>
  <c r="A749" i="6"/>
  <c r="A748" i="6"/>
  <c r="A747" i="6"/>
  <c r="A746" i="6"/>
  <c r="A745" i="6"/>
  <c r="A744" i="6"/>
  <c r="A743" i="6"/>
  <c r="A742" i="6"/>
  <c r="A741" i="6"/>
  <c r="A740" i="6"/>
  <c r="A739" i="6"/>
  <c r="A738" i="6"/>
  <c r="A737" i="6"/>
  <c r="A736" i="6"/>
  <c r="A735" i="6"/>
  <c r="A734" i="6"/>
  <c r="A733" i="6"/>
  <c r="A732" i="6"/>
  <c r="A731" i="6"/>
  <c r="A730" i="6"/>
  <c r="A729" i="6"/>
  <c r="A728" i="6"/>
  <c r="A727" i="6"/>
  <c r="A726" i="6"/>
  <c r="A725" i="6"/>
  <c r="A724" i="6"/>
  <c r="A723" i="6"/>
  <c r="A722" i="6"/>
  <c r="A721" i="6"/>
  <c r="A720" i="6"/>
  <c r="A719" i="6"/>
  <c r="A718" i="6"/>
  <c r="A717" i="6"/>
  <c r="A716" i="6"/>
  <c r="A715" i="6"/>
  <c r="A714" i="6"/>
  <c r="A713" i="6"/>
  <c r="A712" i="6"/>
  <c r="A711" i="6"/>
  <c r="A710" i="6"/>
  <c r="A709" i="6"/>
  <c r="A708" i="6"/>
  <c r="A707" i="6"/>
  <c r="A706" i="6"/>
  <c r="A705" i="6"/>
  <c r="A704" i="6"/>
  <c r="A703" i="6"/>
  <c r="A702" i="6"/>
  <c r="A701" i="6"/>
  <c r="A700" i="6"/>
  <c r="A699" i="6"/>
  <c r="A698" i="6"/>
  <c r="A697" i="6"/>
  <c r="A696" i="6"/>
  <c r="A695" i="6"/>
  <c r="A694" i="6"/>
  <c r="A693" i="6"/>
  <c r="A692" i="6"/>
  <c r="A691" i="6"/>
  <c r="A690" i="6"/>
  <c r="A689" i="6"/>
  <c r="A688" i="6"/>
  <c r="A687" i="6"/>
  <c r="A686" i="6"/>
  <c r="A685" i="6"/>
  <c r="A684" i="6"/>
  <c r="A683" i="6"/>
  <c r="A682" i="6"/>
  <c r="A681" i="6"/>
  <c r="A680" i="6"/>
  <c r="A679" i="6"/>
  <c r="A678" i="6"/>
  <c r="A677" i="6"/>
  <c r="A676" i="6"/>
  <c r="A675" i="6"/>
  <c r="A674" i="6"/>
  <c r="A673" i="6"/>
  <c r="A672" i="6"/>
  <c r="A671" i="6"/>
  <c r="A670" i="6"/>
  <c r="A669" i="6"/>
  <c r="A668" i="6"/>
  <c r="A667" i="6"/>
  <c r="A666" i="6"/>
  <c r="A665" i="6"/>
  <c r="A664" i="6"/>
  <c r="A663" i="6"/>
  <c r="A662" i="6"/>
  <c r="A661" i="6"/>
  <c r="A660" i="6"/>
  <c r="A659" i="6"/>
  <c r="A658" i="6"/>
  <c r="A657" i="6"/>
  <c r="A656" i="6"/>
  <c r="A655" i="6"/>
  <c r="A654" i="6"/>
  <c r="A653" i="6"/>
  <c r="A652" i="6"/>
  <c r="A651" i="6"/>
  <c r="A650" i="6"/>
  <c r="A649" i="6"/>
  <c r="A648" i="6"/>
  <c r="A647" i="6"/>
  <c r="A646" i="6"/>
  <c r="A645" i="6"/>
  <c r="A644" i="6"/>
  <c r="A643" i="6"/>
  <c r="A642" i="6"/>
  <c r="A641" i="6"/>
  <c r="A640" i="6"/>
  <c r="A639" i="6"/>
  <c r="A638" i="6"/>
  <c r="A637" i="6"/>
  <c r="A636" i="6"/>
  <c r="A635" i="6"/>
  <c r="A634" i="6"/>
  <c r="A633" i="6"/>
  <c r="A632" i="6"/>
  <c r="A631" i="6"/>
  <c r="A630" i="6"/>
  <c r="A629" i="6"/>
  <c r="A628" i="6"/>
  <c r="A627" i="6"/>
  <c r="A626" i="6"/>
  <c r="A625" i="6"/>
  <c r="A624" i="6"/>
  <c r="A623" i="6"/>
  <c r="A622" i="6"/>
  <c r="A621" i="6"/>
  <c r="A620" i="6"/>
  <c r="A619" i="6"/>
  <c r="A618" i="6"/>
  <c r="A617" i="6"/>
  <c r="A616" i="6"/>
  <c r="A615" i="6"/>
  <c r="A614" i="6"/>
  <c r="A613" i="6"/>
  <c r="A612" i="6"/>
  <c r="A611" i="6"/>
  <c r="A610" i="6"/>
  <c r="A609" i="6"/>
  <c r="A608" i="6"/>
  <c r="A607" i="6"/>
  <c r="A606" i="6"/>
  <c r="A605" i="6"/>
  <c r="A604" i="6"/>
  <c r="A603" i="6"/>
  <c r="A602" i="6"/>
  <c r="A601" i="6"/>
  <c r="A600" i="6"/>
  <c r="A599" i="6"/>
  <c r="A598" i="6"/>
  <c r="A597" i="6"/>
  <c r="A596" i="6"/>
  <c r="A595" i="6"/>
  <c r="A594" i="6"/>
  <c r="A593" i="6"/>
  <c r="A592" i="6"/>
  <c r="A591" i="6"/>
  <c r="A590" i="6"/>
  <c r="A589" i="6"/>
  <c r="A588" i="6"/>
  <c r="A587" i="6"/>
  <c r="A586" i="6"/>
  <c r="A585" i="6"/>
  <c r="A584" i="6"/>
  <c r="A583" i="6"/>
  <c r="A582" i="6"/>
  <c r="A581" i="6"/>
  <c r="A580" i="6"/>
  <c r="A579" i="6"/>
  <c r="A578" i="6"/>
  <c r="A577" i="6"/>
  <c r="A576" i="6"/>
  <c r="A575" i="6"/>
  <c r="A574" i="6"/>
  <c r="A573" i="6"/>
  <c r="A572" i="6"/>
  <c r="A571" i="6"/>
  <c r="A570" i="6"/>
  <c r="A569" i="6"/>
  <c r="A568" i="6"/>
  <c r="A567" i="6"/>
  <c r="A566" i="6"/>
  <c r="A565" i="6"/>
  <c r="A564" i="6"/>
  <c r="A563" i="6"/>
  <c r="A562" i="6"/>
  <c r="A561" i="6"/>
  <c r="A560" i="6"/>
  <c r="A559" i="6"/>
  <c r="A558" i="6"/>
  <c r="A557" i="6"/>
  <c r="A556" i="6"/>
  <c r="A555" i="6"/>
  <c r="A554" i="6"/>
  <c r="A553" i="6"/>
  <c r="A552" i="6"/>
  <c r="A551" i="6"/>
  <c r="A550" i="6"/>
  <c r="A549" i="6"/>
  <c r="A548" i="6"/>
  <c r="A547" i="6"/>
  <c r="A546" i="6"/>
  <c r="A545" i="6"/>
  <c r="A544" i="6"/>
  <c r="A543" i="6"/>
  <c r="A542" i="6"/>
  <c r="A541" i="6"/>
  <c r="A540" i="6"/>
  <c r="A539" i="6"/>
  <c r="A538" i="6"/>
  <c r="A537" i="6"/>
  <c r="A536" i="6"/>
  <c r="A535" i="6"/>
  <c r="A534" i="6"/>
  <c r="A533" i="6"/>
  <c r="A532" i="6"/>
  <c r="A531" i="6"/>
  <c r="A530" i="6"/>
  <c r="A529" i="6"/>
  <c r="A528" i="6"/>
  <c r="A527" i="6"/>
  <c r="A526" i="6"/>
  <c r="A525" i="6"/>
  <c r="A524" i="6"/>
  <c r="A523" i="6"/>
  <c r="A522" i="6"/>
  <c r="A521" i="6"/>
  <c r="A520" i="6"/>
  <c r="A519" i="6"/>
  <c r="A518" i="6"/>
  <c r="A517" i="6"/>
  <c r="A516" i="6"/>
  <c r="A515" i="6"/>
  <c r="A514" i="6"/>
  <c r="A513" i="6"/>
  <c r="A512" i="6"/>
  <c r="A511" i="6"/>
  <c r="A510" i="6"/>
  <c r="A509" i="6"/>
  <c r="A508" i="6"/>
  <c r="A507" i="6"/>
  <c r="A506" i="6"/>
  <c r="A505" i="6"/>
  <c r="A504" i="6"/>
  <c r="A503" i="6"/>
  <c r="A502" i="6"/>
  <c r="A501" i="6"/>
  <c r="A500" i="6"/>
  <c r="A499" i="6"/>
  <c r="A498" i="6"/>
  <c r="A497" i="6"/>
  <c r="A496" i="6"/>
  <c r="A495" i="6"/>
  <c r="A494" i="6"/>
  <c r="A493" i="6"/>
  <c r="A492" i="6"/>
  <c r="A491" i="6"/>
  <c r="A490" i="6"/>
  <c r="A489" i="6"/>
  <c r="A488" i="6"/>
  <c r="A487" i="6"/>
  <c r="A486" i="6"/>
  <c r="A485" i="6"/>
  <c r="A484" i="6"/>
  <c r="A483" i="6"/>
  <c r="A482" i="6"/>
  <c r="A481" i="6"/>
  <c r="A480" i="6"/>
  <c r="A479" i="6"/>
  <c r="A478" i="6"/>
  <c r="A477" i="6"/>
  <c r="A476" i="6"/>
  <c r="A475" i="6"/>
  <c r="A474" i="6"/>
  <c r="A473" i="6"/>
  <c r="A472" i="6"/>
  <c r="A471" i="6"/>
  <c r="A470" i="6"/>
  <c r="A469" i="6"/>
  <c r="A468" i="6"/>
  <c r="A467" i="6"/>
  <c r="A466" i="6"/>
  <c r="A465" i="6"/>
  <c r="A464" i="6"/>
  <c r="A463" i="6"/>
  <c r="A462" i="6"/>
  <c r="A461" i="6"/>
  <c r="A460" i="6"/>
  <c r="A459" i="6"/>
  <c r="A458" i="6"/>
  <c r="A457" i="6"/>
  <c r="A456" i="6"/>
  <c r="A455" i="6"/>
  <c r="A454" i="6"/>
  <c r="A453" i="6"/>
  <c r="A452" i="6"/>
  <c r="A451" i="6"/>
  <c r="A450" i="6"/>
  <c r="A449" i="6"/>
  <c r="A448" i="6"/>
  <c r="A447" i="6"/>
  <c r="A446" i="6"/>
  <c r="A445" i="6"/>
  <c r="A444" i="6"/>
  <c r="A443" i="6"/>
  <c r="A442" i="6"/>
  <c r="A441" i="6"/>
  <c r="A440" i="6"/>
  <c r="A439" i="6"/>
  <c r="A438" i="6"/>
  <c r="A437" i="6"/>
  <c r="A436" i="6"/>
  <c r="A435" i="6"/>
  <c r="A434" i="6"/>
  <c r="A433" i="6"/>
  <c r="A432" i="6"/>
  <c r="A431" i="6"/>
  <c r="A430" i="6"/>
  <c r="A429" i="6"/>
  <c r="A428" i="6"/>
  <c r="A427" i="6"/>
  <c r="A426" i="6"/>
  <c r="A425" i="6"/>
  <c r="A424" i="6"/>
  <c r="A423" i="6"/>
  <c r="A422" i="6"/>
  <c r="A421" i="6"/>
  <c r="A420" i="6"/>
  <c r="A419" i="6"/>
  <c r="A418" i="6"/>
  <c r="A417" i="6"/>
  <c r="A416" i="6"/>
  <c r="A415" i="6"/>
  <c r="A414" i="6"/>
  <c r="A413" i="6"/>
  <c r="A412" i="6"/>
  <c r="A411" i="6"/>
  <c r="A410" i="6"/>
  <c r="A409" i="6"/>
  <c r="A408" i="6"/>
  <c r="A407" i="6"/>
  <c r="A406" i="6"/>
  <c r="A405" i="6"/>
  <c r="A404" i="6"/>
  <c r="A403" i="6"/>
  <c r="A402" i="6"/>
  <c r="A401" i="6"/>
  <c r="A400" i="6"/>
  <c r="A399" i="6"/>
  <c r="A398" i="6"/>
  <c r="A397" i="6"/>
  <c r="A396" i="6"/>
  <c r="A395" i="6"/>
  <c r="A394" i="6"/>
  <c r="A393" i="6"/>
  <c r="A392" i="6"/>
  <c r="A391" i="6"/>
  <c r="A390" i="6"/>
  <c r="A389" i="6"/>
  <c r="A388" i="6"/>
  <c r="A387" i="6"/>
  <c r="A386" i="6"/>
  <c r="A385" i="6"/>
  <c r="A384" i="6"/>
  <c r="A383" i="6"/>
  <c r="A382" i="6"/>
  <c r="A381" i="6"/>
  <c r="A380" i="6"/>
  <c r="A379" i="6"/>
  <c r="A378" i="6"/>
  <c r="A377" i="6"/>
  <c r="A376" i="6"/>
  <c r="A375" i="6"/>
  <c r="A374" i="6"/>
  <c r="A373" i="6"/>
  <c r="A372" i="6"/>
  <c r="A371" i="6"/>
  <c r="A370" i="6"/>
  <c r="A369" i="6"/>
  <c r="A368" i="6"/>
  <c r="A367" i="6"/>
  <c r="A366" i="6"/>
  <c r="A365" i="6"/>
  <c r="A364" i="6"/>
  <c r="A363" i="6"/>
  <c r="A362" i="6"/>
  <c r="A361" i="6"/>
  <c r="A360" i="6"/>
  <c r="A359" i="6"/>
  <c r="A358" i="6"/>
  <c r="A357" i="6"/>
  <c r="A356" i="6"/>
  <c r="A355" i="6"/>
  <c r="A354" i="6"/>
  <c r="A353" i="6"/>
  <c r="A352" i="6"/>
  <c r="A351" i="6"/>
  <c r="A350" i="6"/>
  <c r="A349" i="6"/>
  <c r="A348" i="6"/>
  <c r="A347" i="6"/>
  <c r="A346" i="6"/>
  <c r="A345" i="6"/>
  <c r="A344" i="6"/>
  <c r="A343" i="6"/>
  <c r="A342" i="6"/>
  <c r="A341" i="6"/>
  <c r="A340" i="6"/>
  <c r="A339" i="6"/>
  <c r="A338" i="6"/>
  <c r="A337" i="6"/>
  <c r="A336" i="6"/>
  <c r="A335" i="6"/>
  <c r="A334" i="6"/>
  <c r="A333" i="6"/>
  <c r="A332" i="6"/>
  <c r="A331" i="6"/>
  <c r="A330" i="6"/>
  <c r="A329" i="6"/>
  <c r="A328" i="6"/>
  <c r="A327" i="6"/>
  <c r="A326" i="6"/>
  <c r="A325" i="6"/>
  <c r="A324" i="6"/>
  <c r="A323" i="6"/>
  <c r="A322" i="6"/>
  <c r="A321" i="6"/>
  <c r="A320" i="6"/>
  <c r="A319" i="6"/>
  <c r="A318" i="6"/>
  <c r="A317" i="6"/>
  <c r="A316" i="6"/>
  <c r="A315" i="6"/>
  <c r="A314" i="6"/>
  <c r="A313" i="6"/>
  <c r="A312" i="6"/>
  <c r="A311" i="6"/>
  <c r="A310" i="6"/>
  <c r="A309" i="6"/>
  <c r="A308" i="6"/>
  <c r="A307" i="6"/>
  <c r="A306" i="6"/>
  <c r="A305" i="6"/>
  <c r="A304" i="6"/>
  <c r="I303" i="6"/>
  <c r="G303" i="6"/>
  <c r="E303" i="6"/>
  <c r="A303" i="6"/>
  <c r="I302" i="6"/>
  <c r="G302" i="6"/>
  <c r="E302" i="6"/>
  <c r="A302" i="6"/>
  <c r="I301" i="6"/>
  <c r="G301" i="6"/>
  <c r="E301" i="6"/>
  <c r="A301" i="6"/>
  <c r="I300" i="6"/>
  <c r="G300" i="6"/>
  <c r="E300" i="6"/>
  <c r="A300" i="6"/>
  <c r="I299" i="6"/>
  <c r="G299" i="6"/>
  <c r="E299" i="6"/>
  <c r="A299" i="6"/>
  <c r="I298" i="6"/>
  <c r="G298" i="6"/>
  <c r="E298" i="6"/>
  <c r="A298" i="6"/>
  <c r="I297" i="6"/>
  <c r="G297" i="6"/>
  <c r="E297" i="6"/>
  <c r="A297" i="6"/>
  <c r="I296" i="6"/>
  <c r="G296" i="6"/>
  <c r="E296" i="6"/>
  <c r="A296" i="6"/>
  <c r="I295" i="6"/>
  <c r="G295" i="6"/>
  <c r="E295" i="6"/>
  <c r="A295" i="6"/>
  <c r="I294" i="6"/>
  <c r="G294" i="6"/>
  <c r="E294" i="6"/>
  <c r="A294" i="6"/>
  <c r="I293" i="6"/>
  <c r="G293" i="6"/>
  <c r="E293" i="6"/>
  <c r="A293" i="6"/>
  <c r="I292" i="6"/>
  <c r="G292" i="6"/>
  <c r="E292" i="6"/>
  <c r="A292" i="6"/>
  <c r="I291" i="6"/>
  <c r="G291" i="6"/>
  <c r="E291" i="6"/>
  <c r="A291" i="6"/>
  <c r="I290" i="6"/>
  <c r="G290" i="6"/>
  <c r="E290" i="6"/>
  <c r="A290" i="6"/>
  <c r="I289" i="6"/>
  <c r="G289" i="6"/>
  <c r="E289" i="6"/>
  <c r="A289" i="6"/>
  <c r="I288" i="6"/>
  <c r="G288" i="6"/>
  <c r="E288" i="6"/>
  <c r="A288" i="6"/>
  <c r="I287" i="6"/>
  <c r="G287" i="6"/>
  <c r="E287" i="6"/>
  <c r="A287" i="6"/>
  <c r="I286" i="6"/>
  <c r="G286" i="6"/>
  <c r="E286" i="6"/>
  <c r="A286" i="6"/>
  <c r="I285" i="6"/>
  <c r="G285" i="6"/>
  <c r="E285" i="6"/>
  <c r="A285" i="6"/>
  <c r="I284" i="6"/>
  <c r="G284" i="6"/>
  <c r="E284" i="6"/>
  <c r="A284" i="6"/>
  <c r="I283" i="6"/>
  <c r="G283" i="6"/>
  <c r="E283" i="6"/>
  <c r="A283" i="6"/>
  <c r="I282" i="6"/>
  <c r="G282" i="6"/>
  <c r="E282" i="6"/>
  <c r="A282" i="6"/>
  <c r="I281" i="6"/>
  <c r="G281" i="6"/>
  <c r="E281" i="6"/>
  <c r="A281" i="6"/>
  <c r="I280" i="6"/>
  <c r="G280" i="6"/>
  <c r="E280" i="6"/>
  <c r="A280" i="6"/>
  <c r="I279" i="6"/>
  <c r="G279" i="6"/>
  <c r="E279" i="6"/>
  <c r="A279" i="6"/>
  <c r="I278" i="6"/>
  <c r="G278" i="6"/>
  <c r="E278" i="6"/>
  <c r="A278" i="6"/>
  <c r="I277" i="6"/>
  <c r="G277" i="6"/>
  <c r="E277" i="6"/>
  <c r="A277" i="6"/>
  <c r="I276" i="6"/>
  <c r="G276" i="6"/>
  <c r="E276" i="6"/>
  <c r="A276" i="6"/>
  <c r="I275" i="6"/>
  <c r="G275" i="6"/>
  <c r="E275" i="6"/>
  <c r="A275" i="6"/>
  <c r="I274" i="6"/>
  <c r="G274" i="6"/>
  <c r="E274" i="6"/>
  <c r="A274" i="6"/>
  <c r="I273" i="6"/>
  <c r="G273" i="6"/>
  <c r="E273" i="6"/>
  <c r="A273" i="6"/>
  <c r="I272" i="6"/>
  <c r="G272" i="6"/>
  <c r="E272" i="6"/>
  <c r="A272" i="6"/>
  <c r="I271" i="6"/>
  <c r="G271" i="6"/>
  <c r="E271" i="6"/>
  <c r="A271" i="6"/>
  <c r="I270" i="6"/>
  <c r="G270" i="6"/>
  <c r="E270" i="6"/>
  <c r="A270" i="6"/>
  <c r="I269" i="6"/>
  <c r="G269" i="6"/>
  <c r="E269" i="6"/>
  <c r="A269" i="6"/>
  <c r="I268" i="6"/>
  <c r="G268" i="6"/>
  <c r="E268" i="6"/>
  <c r="A268" i="6"/>
  <c r="I267" i="6"/>
  <c r="G267" i="6"/>
  <c r="E267" i="6"/>
  <c r="A267" i="6"/>
  <c r="I266" i="6"/>
  <c r="G266" i="6"/>
  <c r="E266" i="6"/>
  <c r="A266" i="6"/>
  <c r="I265" i="6"/>
  <c r="G265" i="6"/>
  <c r="E265" i="6"/>
  <c r="A265" i="6"/>
  <c r="I264" i="6"/>
  <c r="G264" i="6"/>
  <c r="E264" i="6"/>
  <c r="A264" i="6"/>
  <c r="I263" i="6"/>
  <c r="G263" i="6"/>
  <c r="E263" i="6"/>
  <c r="A263" i="6"/>
  <c r="I262" i="6"/>
  <c r="G262" i="6"/>
  <c r="E262" i="6"/>
  <c r="A262" i="6"/>
  <c r="I261" i="6"/>
  <c r="G261" i="6"/>
  <c r="E261" i="6"/>
  <c r="A261" i="6"/>
  <c r="I260" i="6"/>
  <c r="G260" i="6"/>
  <c r="E260" i="6"/>
  <c r="A260" i="6"/>
  <c r="I259" i="6"/>
  <c r="G259" i="6"/>
  <c r="E259" i="6"/>
  <c r="A259" i="6"/>
  <c r="I258" i="6"/>
  <c r="G258" i="6"/>
  <c r="E258" i="6"/>
  <c r="A258" i="6"/>
  <c r="I257" i="6"/>
  <c r="G257" i="6"/>
  <c r="E257" i="6"/>
  <c r="A257" i="6"/>
  <c r="I256" i="6"/>
  <c r="G256" i="6"/>
  <c r="E256" i="6"/>
  <c r="A256" i="6"/>
  <c r="I255" i="6"/>
  <c r="G255" i="6"/>
  <c r="E255" i="6"/>
  <c r="A255" i="6"/>
  <c r="I254" i="6"/>
  <c r="G254" i="6"/>
  <c r="E254" i="6"/>
  <c r="A254" i="6"/>
  <c r="I253" i="6"/>
  <c r="G253" i="6"/>
  <c r="E253" i="6"/>
  <c r="A253" i="6"/>
  <c r="I252" i="6"/>
  <c r="G252" i="6"/>
  <c r="E252" i="6"/>
  <c r="A252" i="6"/>
  <c r="I251" i="6"/>
  <c r="G251" i="6"/>
  <c r="E251" i="6"/>
  <c r="A251" i="6"/>
  <c r="I250" i="6"/>
  <c r="G250" i="6"/>
  <c r="E250" i="6"/>
  <c r="A250" i="6"/>
  <c r="I249" i="6"/>
  <c r="G249" i="6"/>
  <c r="E249" i="6"/>
  <c r="A249" i="6"/>
  <c r="I248" i="6"/>
  <c r="G248" i="6"/>
  <c r="E248" i="6"/>
  <c r="A248" i="6"/>
  <c r="I247" i="6"/>
  <c r="G247" i="6"/>
  <c r="E247" i="6"/>
  <c r="A247" i="6"/>
  <c r="I246" i="6"/>
  <c r="G246" i="6"/>
  <c r="E246" i="6"/>
  <c r="A246" i="6"/>
  <c r="I245" i="6"/>
  <c r="G245" i="6"/>
  <c r="E245" i="6"/>
  <c r="A245" i="6"/>
  <c r="I244" i="6"/>
  <c r="G244" i="6"/>
  <c r="E244" i="6"/>
  <c r="A244" i="6"/>
  <c r="I243" i="6"/>
  <c r="G243" i="6"/>
  <c r="E243" i="6"/>
  <c r="A243" i="6"/>
  <c r="I242" i="6"/>
  <c r="G242" i="6"/>
  <c r="E242" i="6"/>
  <c r="A242" i="6"/>
  <c r="I241" i="6"/>
  <c r="G241" i="6"/>
  <c r="E241" i="6"/>
  <c r="A241" i="6"/>
  <c r="I240" i="6"/>
  <c r="G240" i="6"/>
  <c r="E240" i="6"/>
  <c r="A240" i="6"/>
  <c r="I239" i="6"/>
  <c r="G239" i="6"/>
  <c r="E239" i="6"/>
  <c r="A239" i="6"/>
  <c r="I238" i="6"/>
  <c r="G238" i="6"/>
  <c r="E238" i="6"/>
  <c r="A238" i="6"/>
  <c r="I237" i="6"/>
  <c r="G237" i="6"/>
  <c r="E237" i="6"/>
  <c r="A237" i="6"/>
  <c r="I236" i="6"/>
  <c r="G236" i="6"/>
  <c r="E236" i="6"/>
  <c r="A236" i="6"/>
  <c r="I235" i="6"/>
  <c r="G235" i="6"/>
  <c r="E235" i="6"/>
  <c r="A235" i="6"/>
  <c r="I234" i="6"/>
  <c r="G234" i="6"/>
  <c r="E234" i="6"/>
  <c r="A234" i="6"/>
  <c r="I233" i="6"/>
  <c r="G233" i="6"/>
  <c r="E233" i="6"/>
  <c r="A233" i="6"/>
  <c r="I232" i="6"/>
  <c r="G232" i="6"/>
  <c r="E232" i="6"/>
  <c r="A232" i="6"/>
  <c r="I231" i="6"/>
  <c r="G231" i="6"/>
  <c r="E231" i="6"/>
  <c r="A231" i="6"/>
  <c r="I230" i="6"/>
  <c r="G230" i="6"/>
  <c r="E230" i="6"/>
  <c r="A230" i="6"/>
  <c r="I229" i="6"/>
  <c r="G229" i="6"/>
  <c r="E229" i="6"/>
  <c r="A229" i="6"/>
  <c r="I228" i="6"/>
  <c r="G228" i="6"/>
  <c r="E228" i="6"/>
  <c r="A228" i="6"/>
  <c r="I227" i="6"/>
  <c r="G227" i="6"/>
  <c r="E227" i="6"/>
  <c r="A227" i="6"/>
  <c r="I226" i="6"/>
  <c r="G226" i="6"/>
  <c r="E226" i="6"/>
  <c r="A226" i="6"/>
  <c r="I225" i="6"/>
  <c r="G225" i="6"/>
  <c r="E225" i="6"/>
  <c r="A225" i="6"/>
  <c r="I224" i="6"/>
  <c r="G224" i="6"/>
  <c r="E224" i="6"/>
  <c r="A224" i="6"/>
  <c r="I223" i="6"/>
  <c r="G223" i="6"/>
  <c r="E223" i="6"/>
  <c r="A223" i="6"/>
  <c r="I222" i="6"/>
  <c r="G222" i="6"/>
  <c r="E222" i="6"/>
  <c r="A222" i="6"/>
  <c r="I221" i="6"/>
  <c r="G221" i="6"/>
  <c r="E221" i="6"/>
  <c r="A221" i="6"/>
  <c r="I220" i="6"/>
  <c r="G220" i="6"/>
  <c r="E220" i="6"/>
  <c r="A220" i="6"/>
  <c r="I219" i="6"/>
  <c r="G219" i="6"/>
  <c r="E219" i="6"/>
  <c r="A219" i="6"/>
  <c r="I218" i="6"/>
  <c r="G218" i="6"/>
  <c r="E218" i="6"/>
  <c r="A218" i="6"/>
  <c r="I217" i="6"/>
  <c r="G217" i="6"/>
  <c r="E217" i="6"/>
  <c r="A217" i="6"/>
  <c r="I216" i="6"/>
  <c r="G216" i="6"/>
  <c r="E216" i="6"/>
  <c r="A216" i="6"/>
  <c r="I215" i="6"/>
  <c r="G215" i="6"/>
  <c r="E215" i="6"/>
  <c r="A215" i="6"/>
  <c r="I214" i="6"/>
  <c r="G214" i="6"/>
  <c r="E214" i="6"/>
  <c r="A214" i="6"/>
  <c r="I213" i="6"/>
  <c r="G213" i="6"/>
  <c r="E213" i="6"/>
  <c r="A213" i="6"/>
  <c r="I212" i="6"/>
  <c r="G212" i="6"/>
  <c r="E212" i="6"/>
  <c r="A212" i="6"/>
  <c r="I211" i="6"/>
  <c r="G211" i="6"/>
  <c r="E211" i="6"/>
  <c r="A211" i="6"/>
  <c r="I210" i="6"/>
  <c r="G210" i="6"/>
  <c r="E210" i="6"/>
  <c r="A210" i="6"/>
  <c r="I209" i="6"/>
  <c r="G209" i="6"/>
  <c r="E209" i="6"/>
  <c r="A209" i="6"/>
  <c r="I208" i="6"/>
  <c r="G208" i="6"/>
  <c r="E208" i="6"/>
  <c r="A208" i="6"/>
  <c r="I207" i="6"/>
  <c r="G207" i="6"/>
  <c r="E207" i="6"/>
  <c r="A207" i="6"/>
  <c r="I206" i="6"/>
  <c r="G206" i="6"/>
  <c r="E206" i="6"/>
  <c r="A206" i="6"/>
  <c r="I205" i="6"/>
  <c r="G205" i="6"/>
  <c r="E205" i="6"/>
  <c r="A205" i="6"/>
  <c r="I204" i="6"/>
  <c r="G204" i="6"/>
  <c r="E204" i="6"/>
  <c r="A204" i="6"/>
  <c r="I203" i="6"/>
  <c r="G203" i="6"/>
  <c r="E203" i="6"/>
  <c r="A203" i="6"/>
  <c r="I202" i="6"/>
  <c r="G202" i="6"/>
  <c r="E202" i="6"/>
  <c r="A202" i="6"/>
  <c r="I201" i="6"/>
  <c r="G201" i="6"/>
  <c r="E201" i="6"/>
  <c r="A201" i="6"/>
  <c r="I200" i="6"/>
  <c r="G200" i="6"/>
  <c r="E200" i="6"/>
  <c r="A200" i="6"/>
  <c r="I199" i="6"/>
  <c r="G199" i="6"/>
  <c r="E199" i="6"/>
  <c r="A199" i="6"/>
  <c r="I198" i="6"/>
  <c r="G198" i="6"/>
  <c r="E198" i="6"/>
  <c r="A198" i="6"/>
  <c r="I197" i="6"/>
  <c r="G197" i="6"/>
  <c r="E197" i="6"/>
  <c r="A197" i="6"/>
  <c r="I196" i="6"/>
  <c r="G196" i="6"/>
  <c r="E196" i="6"/>
  <c r="A196" i="6"/>
  <c r="I195" i="6"/>
  <c r="G195" i="6"/>
  <c r="E195" i="6"/>
  <c r="A195" i="6"/>
  <c r="I194" i="6"/>
  <c r="G194" i="6"/>
  <c r="E194" i="6"/>
  <c r="A194" i="6"/>
  <c r="I193" i="6"/>
  <c r="G193" i="6"/>
  <c r="E193" i="6"/>
  <c r="A193" i="6"/>
  <c r="I192" i="6"/>
  <c r="G192" i="6"/>
  <c r="E192" i="6"/>
  <c r="A192" i="6"/>
  <c r="I191" i="6"/>
  <c r="G191" i="6"/>
  <c r="E191" i="6"/>
  <c r="A191" i="6"/>
  <c r="I190" i="6"/>
  <c r="G190" i="6"/>
  <c r="E190" i="6"/>
  <c r="A190" i="6"/>
  <c r="I189" i="6"/>
  <c r="G189" i="6"/>
  <c r="E189" i="6"/>
  <c r="A189" i="6"/>
  <c r="I188" i="6"/>
  <c r="G188" i="6"/>
  <c r="E188" i="6"/>
  <c r="A188" i="6"/>
  <c r="I187" i="6"/>
  <c r="G187" i="6"/>
  <c r="E187" i="6"/>
  <c r="A187" i="6"/>
  <c r="I186" i="6"/>
  <c r="G186" i="6"/>
  <c r="E186" i="6"/>
  <c r="A186" i="6"/>
  <c r="I185" i="6"/>
  <c r="G185" i="6"/>
  <c r="E185" i="6"/>
  <c r="A185" i="6"/>
  <c r="I184" i="6"/>
  <c r="G184" i="6"/>
  <c r="E184" i="6"/>
  <c r="A184" i="6"/>
  <c r="I183" i="6"/>
  <c r="G183" i="6"/>
  <c r="E183" i="6"/>
  <c r="A183" i="6"/>
  <c r="I182" i="6"/>
  <c r="G182" i="6"/>
  <c r="E182" i="6"/>
  <c r="A182" i="6"/>
  <c r="I181" i="6"/>
  <c r="G181" i="6"/>
  <c r="E181" i="6"/>
  <c r="A181" i="6"/>
  <c r="I180" i="6"/>
  <c r="G180" i="6"/>
  <c r="E180" i="6"/>
  <c r="A180" i="6"/>
  <c r="I179" i="6"/>
  <c r="G179" i="6"/>
  <c r="E179" i="6"/>
  <c r="A179" i="6"/>
  <c r="I178" i="6"/>
  <c r="G178" i="6"/>
  <c r="E178" i="6"/>
  <c r="A178" i="6"/>
  <c r="I177" i="6"/>
  <c r="G177" i="6"/>
  <c r="E177" i="6"/>
  <c r="A177" i="6"/>
  <c r="I176" i="6"/>
  <c r="G176" i="6"/>
  <c r="E176" i="6"/>
  <c r="A176" i="6"/>
  <c r="I175" i="6"/>
  <c r="G175" i="6"/>
  <c r="E175" i="6"/>
  <c r="A175" i="6"/>
  <c r="I174" i="6"/>
  <c r="G174" i="6"/>
  <c r="E174" i="6"/>
  <c r="A174" i="6"/>
  <c r="I173" i="6"/>
  <c r="G173" i="6"/>
  <c r="E173" i="6"/>
  <c r="A173" i="6"/>
  <c r="I172" i="6"/>
  <c r="G172" i="6"/>
  <c r="E172" i="6"/>
  <c r="A172" i="6"/>
  <c r="I171" i="6"/>
  <c r="G171" i="6"/>
  <c r="E171" i="6"/>
  <c r="A171" i="6"/>
  <c r="I170" i="6"/>
  <c r="G170" i="6"/>
  <c r="E170" i="6"/>
  <c r="A170" i="6"/>
  <c r="I169" i="6"/>
  <c r="G169" i="6"/>
  <c r="E169" i="6"/>
  <c r="A169" i="6"/>
  <c r="I168" i="6"/>
  <c r="G168" i="6"/>
  <c r="E168" i="6"/>
  <c r="A168" i="6"/>
  <c r="I167" i="6"/>
  <c r="G167" i="6"/>
  <c r="E167" i="6"/>
  <c r="A167" i="6"/>
  <c r="I166" i="6"/>
  <c r="G166" i="6"/>
  <c r="E166" i="6"/>
  <c r="A166" i="6"/>
  <c r="I165" i="6"/>
  <c r="G165" i="6"/>
  <c r="E165" i="6"/>
  <c r="A165" i="6"/>
  <c r="I164" i="6"/>
  <c r="G164" i="6"/>
  <c r="E164" i="6"/>
  <c r="A164" i="6"/>
  <c r="I163" i="6"/>
  <c r="G163" i="6"/>
  <c r="E163" i="6"/>
  <c r="A163" i="6"/>
  <c r="I162" i="6"/>
  <c r="G162" i="6"/>
  <c r="E162" i="6"/>
  <c r="A162" i="6"/>
  <c r="I161" i="6"/>
  <c r="G161" i="6"/>
  <c r="E161" i="6"/>
  <c r="A161" i="6"/>
  <c r="I160" i="6"/>
  <c r="G160" i="6"/>
  <c r="E160" i="6"/>
  <c r="A160" i="6"/>
  <c r="I159" i="6"/>
  <c r="G159" i="6"/>
  <c r="E159" i="6"/>
  <c r="A159" i="6"/>
  <c r="I158" i="6"/>
  <c r="G158" i="6"/>
  <c r="E158" i="6"/>
  <c r="A158" i="6"/>
  <c r="I157" i="6"/>
  <c r="G157" i="6"/>
  <c r="E157" i="6"/>
  <c r="A157" i="6"/>
  <c r="I156" i="6"/>
  <c r="G156" i="6"/>
  <c r="E156" i="6"/>
  <c r="A156" i="6"/>
  <c r="I155" i="6"/>
  <c r="G155" i="6"/>
  <c r="E155" i="6"/>
  <c r="A155" i="6"/>
  <c r="I154" i="6"/>
  <c r="G154" i="6"/>
  <c r="E154" i="6"/>
  <c r="A154" i="6"/>
  <c r="I153" i="6"/>
  <c r="G153" i="6"/>
  <c r="E153" i="6"/>
  <c r="A153" i="6"/>
  <c r="I152" i="6"/>
  <c r="G152" i="6"/>
  <c r="E152" i="6"/>
  <c r="A152" i="6"/>
  <c r="I151" i="6"/>
  <c r="G151" i="6"/>
  <c r="E151" i="6"/>
  <c r="A151" i="6"/>
  <c r="I150" i="6"/>
  <c r="G150" i="6"/>
  <c r="E150" i="6"/>
  <c r="A150" i="6"/>
  <c r="I149" i="6"/>
  <c r="G149" i="6"/>
  <c r="E149" i="6"/>
  <c r="A149" i="6"/>
  <c r="I148" i="6"/>
  <c r="G148" i="6"/>
  <c r="E148" i="6"/>
  <c r="A148" i="6"/>
  <c r="I147" i="6"/>
  <c r="G147" i="6"/>
  <c r="E147" i="6"/>
  <c r="A147" i="6"/>
  <c r="I146" i="6"/>
  <c r="G146" i="6"/>
  <c r="E146" i="6"/>
  <c r="A146" i="6"/>
  <c r="I145" i="6"/>
  <c r="G145" i="6"/>
  <c r="E145" i="6"/>
  <c r="A145" i="6"/>
  <c r="I144" i="6"/>
  <c r="G144" i="6"/>
  <c r="E144" i="6"/>
  <c r="A144" i="6"/>
  <c r="I143" i="6"/>
  <c r="G143" i="6"/>
  <c r="E143" i="6"/>
  <c r="A143" i="6"/>
  <c r="I142" i="6"/>
  <c r="G142" i="6"/>
  <c r="E142" i="6"/>
  <c r="A142" i="6"/>
  <c r="I141" i="6"/>
  <c r="G141" i="6"/>
  <c r="E141" i="6"/>
  <c r="A141" i="6"/>
  <c r="I140" i="6"/>
  <c r="G140" i="6"/>
  <c r="E140" i="6"/>
  <c r="A140" i="6"/>
  <c r="I139" i="6"/>
  <c r="G139" i="6"/>
  <c r="E139" i="6"/>
  <c r="A139" i="6"/>
  <c r="I138" i="6"/>
  <c r="G138" i="6"/>
  <c r="E138" i="6"/>
  <c r="A138" i="6"/>
  <c r="I137" i="6"/>
  <c r="G137" i="6"/>
  <c r="E137" i="6"/>
  <c r="A137" i="6"/>
  <c r="I136" i="6"/>
  <c r="G136" i="6"/>
  <c r="E136" i="6"/>
  <c r="A136" i="6"/>
  <c r="I135" i="6"/>
  <c r="G135" i="6"/>
  <c r="E135" i="6"/>
  <c r="A135" i="6"/>
  <c r="I134" i="6"/>
  <c r="G134" i="6"/>
  <c r="E134" i="6"/>
  <c r="A134" i="6"/>
  <c r="I133" i="6"/>
  <c r="G133" i="6"/>
  <c r="E133" i="6"/>
  <c r="A133" i="6"/>
  <c r="I132" i="6"/>
  <c r="G132" i="6"/>
  <c r="E132" i="6"/>
  <c r="A132" i="6"/>
  <c r="I131" i="6"/>
  <c r="G131" i="6"/>
  <c r="E131" i="6"/>
  <c r="A131" i="6"/>
  <c r="I130" i="6"/>
  <c r="G130" i="6"/>
  <c r="E130" i="6"/>
  <c r="A130" i="6"/>
  <c r="I129" i="6"/>
  <c r="G129" i="6"/>
  <c r="E129" i="6"/>
  <c r="A129" i="6"/>
  <c r="I128" i="6"/>
  <c r="G128" i="6"/>
  <c r="E128" i="6"/>
  <c r="A128" i="6"/>
  <c r="I127" i="6"/>
  <c r="G127" i="6"/>
  <c r="E127" i="6"/>
  <c r="A127" i="6"/>
  <c r="I126" i="6"/>
  <c r="G126" i="6"/>
  <c r="E126" i="6"/>
  <c r="A126" i="6"/>
  <c r="I125" i="6"/>
  <c r="G125" i="6"/>
  <c r="E125" i="6"/>
  <c r="A125" i="6"/>
  <c r="I124" i="6"/>
  <c r="G124" i="6"/>
  <c r="E124" i="6"/>
  <c r="A124" i="6"/>
  <c r="I123" i="6"/>
  <c r="G123" i="6"/>
  <c r="E123" i="6"/>
  <c r="A123" i="6"/>
  <c r="I122" i="6"/>
  <c r="G122" i="6"/>
  <c r="E122" i="6"/>
  <c r="A122" i="6"/>
  <c r="I121" i="6"/>
  <c r="G121" i="6"/>
  <c r="E121" i="6"/>
  <c r="A121" i="6"/>
  <c r="I120" i="6"/>
  <c r="G120" i="6"/>
  <c r="E120" i="6"/>
  <c r="A120" i="6"/>
  <c r="I119" i="6"/>
  <c r="G119" i="6"/>
  <c r="E119" i="6"/>
  <c r="A119" i="6"/>
  <c r="I118" i="6"/>
  <c r="G118" i="6"/>
  <c r="E118" i="6"/>
  <c r="A118" i="6"/>
  <c r="I117" i="6"/>
  <c r="G117" i="6"/>
  <c r="E117" i="6"/>
  <c r="A117" i="6"/>
  <c r="I116" i="6"/>
  <c r="G116" i="6"/>
  <c r="E116" i="6"/>
  <c r="A116" i="6"/>
  <c r="I115" i="6"/>
  <c r="G115" i="6"/>
  <c r="E115" i="6"/>
  <c r="A115" i="6"/>
  <c r="I114" i="6"/>
  <c r="G114" i="6"/>
  <c r="E114" i="6"/>
  <c r="A114" i="6"/>
  <c r="I113" i="6"/>
  <c r="G113" i="6"/>
  <c r="E113" i="6"/>
  <c r="A113" i="6"/>
  <c r="I112" i="6"/>
  <c r="G112" i="6"/>
  <c r="E112" i="6"/>
  <c r="A112" i="6"/>
  <c r="I111" i="6"/>
  <c r="G111" i="6"/>
  <c r="E111" i="6"/>
  <c r="A111" i="6"/>
  <c r="I110" i="6"/>
  <c r="G110" i="6"/>
  <c r="E110" i="6"/>
  <c r="A110" i="6"/>
  <c r="I109" i="6"/>
  <c r="G109" i="6"/>
  <c r="E109" i="6"/>
  <c r="A109" i="6"/>
  <c r="I108" i="6"/>
  <c r="G108" i="6"/>
  <c r="E108" i="6"/>
  <c r="A108" i="6"/>
  <c r="I107" i="6"/>
  <c r="G107" i="6"/>
  <c r="E107" i="6"/>
  <c r="A107" i="6"/>
  <c r="I106" i="6"/>
  <c r="G106" i="6"/>
  <c r="E106" i="6"/>
  <c r="A106" i="6"/>
  <c r="I105" i="6"/>
  <c r="G105" i="6"/>
  <c r="E105" i="6"/>
  <c r="A105" i="6"/>
  <c r="I104" i="6"/>
  <c r="G104" i="6"/>
  <c r="E104" i="6"/>
  <c r="A104" i="6"/>
  <c r="I103" i="6"/>
  <c r="G103" i="6"/>
  <c r="E103" i="6"/>
  <c r="A103" i="6"/>
  <c r="I102" i="6"/>
  <c r="G102" i="6"/>
  <c r="E102" i="6"/>
  <c r="A102" i="6"/>
  <c r="I101" i="6"/>
  <c r="G101" i="6"/>
  <c r="E101" i="6"/>
  <c r="A101" i="6"/>
  <c r="I100" i="6"/>
  <c r="G100" i="6"/>
  <c r="E100" i="6"/>
  <c r="A100" i="6"/>
  <c r="I99" i="6"/>
  <c r="G99" i="6"/>
  <c r="E99" i="6"/>
  <c r="A99" i="6"/>
  <c r="I98" i="6"/>
  <c r="G98" i="6"/>
  <c r="E98" i="6"/>
  <c r="A98" i="6"/>
  <c r="I97" i="6"/>
  <c r="G97" i="6"/>
  <c r="E97" i="6"/>
  <c r="A97" i="6"/>
  <c r="I96" i="6"/>
  <c r="G96" i="6"/>
  <c r="E96" i="6"/>
  <c r="A96" i="6"/>
  <c r="I95" i="6"/>
  <c r="G95" i="6"/>
  <c r="E95" i="6"/>
  <c r="A95" i="6"/>
  <c r="I94" i="6"/>
  <c r="G94" i="6"/>
  <c r="E94" i="6"/>
  <c r="A94" i="6"/>
  <c r="I93" i="6"/>
  <c r="G93" i="6"/>
  <c r="E93" i="6"/>
  <c r="A93" i="6"/>
  <c r="I92" i="6"/>
  <c r="G92" i="6"/>
  <c r="E92" i="6"/>
  <c r="A92" i="6"/>
  <c r="I91" i="6"/>
  <c r="G91" i="6"/>
  <c r="E91" i="6"/>
  <c r="A91" i="6"/>
  <c r="I90" i="6"/>
  <c r="G90" i="6"/>
  <c r="E90" i="6"/>
  <c r="A90" i="6"/>
  <c r="I89" i="6"/>
  <c r="G89" i="6"/>
  <c r="E89" i="6"/>
  <c r="A89" i="6"/>
  <c r="I88" i="6"/>
  <c r="G88" i="6"/>
  <c r="E88" i="6"/>
  <c r="A88" i="6"/>
  <c r="I87" i="6"/>
  <c r="G87" i="6"/>
  <c r="E87" i="6"/>
  <c r="A87" i="6"/>
  <c r="I86" i="6"/>
  <c r="G86" i="6"/>
  <c r="E86" i="6"/>
  <c r="A86" i="6"/>
  <c r="I85" i="6"/>
  <c r="G85" i="6"/>
  <c r="E85" i="6"/>
  <c r="A85" i="6"/>
  <c r="I84" i="6"/>
  <c r="G84" i="6"/>
  <c r="E84" i="6"/>
  <c r="A84" i="6"/>
  <c r="I83" i="6"/>
  <c r="G83" i="6"/>
  <c r="E83" i="6"/>
  <c r="A83" i="6"/>
  <c r="I82" i="6"/>
  <c r="G82" i="6"/>
  <c r="E82" i="6"/>
  <c r="A82" i="6"/>
  <c r="I81" i="6"/>
  <c r="G81" i="6"/>
  <c r="E81" i="6"/>
  <c r="A81" i="6"/>
  <c r="I80" i="6"/>
  <c r="G80" i="6"/>
  <c r="E80" i="6"/>
  <c r="A80" i="6"/>
  <c r="I79" i="6"/>
  <c r="G79" i="6"/>
  <c r="E79" i="6"/>
  <c r="A79" i="6"/>
  <c r="I78" i="6"/>
  <c r="G78" i="6"/>
  <c r="E78" i="6"/>
  <c r="A78" i="6"/>
  <c r="I77" i="6"/>
  <c r="G77" i="6"/>
  <c r="E77" i="6"/>
  <c r="A77" i="6"/>
  <c r="I76" i="6"/>
  <c r="G76" i="6"/>
  <c r="E76" i="6"/>
  <c r="A76" i="6"/>
  <c r="I75" i="6"/>
  <c r="G75" i="6"/>
  <c r="E75" i="6"/>
  <c r="A75" i="6"/>
  <c r="I74" i="6"/>
  <c r="G74" i="6"/>
  <c r="E74" i="6"/>
  <c r="A74" i="6"/>
  <c r="I73" i="6"/>
  <c r="G73" i="6"/>
  <c r="E73" i="6"/>
  <c r="A73" i="6"/>
  <c r="I72" i="6"/>
  <c r="G72" i="6"/>
  <c r="E72" i="6"/>
  <c r="A72" i="6"/>
  <c r="I71" i="6"/>
  <c r="G71" i="6"/>
  <c r="E71" i="6"/>
  <c r="A71" i="6"/>
  <c r="I70" i="6"/>
  <c r="G70" i="6"/>
  <c r="E70" i="6"/>
  <c r="A70" i="6"/>
  <c r="I69" i="6"/>
  <c r="G69" i="6"/>
  <c r="E69" i="6"/>
  <c r="A69" i="6"/>
  <c r="I68" i="6"/>
  <c r="G68" i="6"/>
  <c r="E68" i="6"/>
  <c r="A68" i="6"/>
  <c r="I67" i="6"/>
  <c r="G67" i="6"/>
  <c r="E67" i="6"/>
  <c r="A67" i="6"/>
  <c r="I66" i="6"/>
  <c r="G66" i="6"/>
  <c r="E66" i="6"/>
  <c r="A66" i="6"/>
  <c r="I65" i="6"/>
  <c r="G65" i="6"/>
  <c r="E65" i="6"/>
  <c r="A65" i="6"/>
  <c r="I64" i="6"/>
  <c r="G64" i="6"/>
  <c r="E64" i="6"/>
  <c r="A64" i="6"/>
  <c r="I63" i="6"/>
  <c r="G63" i="6"/>
  <c r="E63" i="6"/>
  <c r="A63" i="6"/>
  <c r="I62" i="6"/>
  <c r="G62" i="6"/>
  <c r="E62" i="6"/>
  <c r="A62" i="6"/>
  <c r="I61" i="6"/>
  <c r="G61" i="6"/>
  <c r="E61" i="6"/>
  <c r="A61" i="6"/>
  <c r="I60" i="6"/>
  <c r="G60" i="6"/>
  <c r="E60" i="6"/>
  <c r="A60" i="6"/>
  <c r="I59" i="6"/>
  <c r="G59" i="6"/>
  <c r="E59" i="6"/>
  <c r="A59" i="6"/>
  <c r="I58" i="6"/>
  <c r="G58" i="6"/>
  <c r="E58" i="6"/>
  <c r="A58" i="6"/>
  <c r="I57" i="6"/>
  <c r="G57" i="6"/>
  <c r="E57" i="6"/>
  <c r="A57" i="6"/>
  <c r="I56" i="6"/>
  <c r="G56" i="6"/>
  <c r="E56" i="6"/>
  <c r="A56" i="6"/>
  <c r="I55" i="6"/>
  <c r="G55" i="6"/>
  <c r="E55" i="6"/>
  <c r="A55" i="6"/>
  <c r="I54" i="6"/>
  <c r="G54" i="6"/>
  <c r="E54" i="6"/>
  <c r="A54" i="6"/>
  <c r="I53" i="6"/>
  <c r="G53" i="6"/>
  <c r="E53" i="6"/>
  <c r="A53" i="6"/>
  <c r="I52" i="6"/>
  <c r="G52" i="6"/>
  <c r="E52" i="6"/>
  <c r="A52" i="6"/>
  <c r="I51" i="6"/>
  <c r="G51" i="6"/>
  <c r="E51" i="6"/>
  <c r="A51" i="6"/>
  <c r="I50" i="6"/>
  <c r="G50" i="6"/>
  <c r="E50" i="6"/>
  <c r="A50" i="6"/>
  <c r="I49" i="6"/>
  <c r="G49" i="6"/>
  <c r="E49" i="6"/>
  <c r="A49" i="6"/>
  <c r="I48" i="6"/>
  <c r="G48" i="6"/>
  <c r="E48" i="6"/>
  <c r="A48" i="6"/>
  <c r="I47" i="6"/>
  <c r="G47" i="6"/>
  <c r="E47" i="6"/>
  <c r="A47" i="6"/>
  <c r="I46" i="6"/>
  <c r="G46" i="6"/>
  <c r="E46" i="6"/>
  <c r="A46" i="6"/>
  <c r="I45" i="6"/>
  <c r="G45" i="6"/>
  <c r="E45" i="6"/>
  <c r="A45" i="6"/>
  <c r="I44" i="6"/>
  <c r="G44" i="6"/>
  <c r="E44" i="6"/>
  <c r="A44" i="6"/>
  <c r="I43" i="6"/>
  <c r="G43" i="6"/>
  <c r="E43" i="6"/>
  <c r="A43" i="6"/>
  <c r="I42" i="6"/>
  <c r="G42" i="6"/>
  <c r="E42" i="6"/>
  <c r="A42" i="6"/>
  <c r="I41" i="6"/>
  <c r="G41" i="6"/>
  <c r="E41" i="6"/>
  <c r="A41" i="6"/>
  <c r="I40" i="6"/>
  <c r="G40" i="6"/>
  <c r="E40" i="6"/>
  <c r="A40" i="6"/>
  <c r="I39" i="6"/>
  <c r="G39" i="6"/>
  <c r="E39" i="6"/>
  <c r="A39" i="6"/>
  <c r="I38" i="6"/>
  <c r="G38" i="6"/>
  <c r="E38" i="6"/>
  <c r="A38" i="6"/>
  <c r="I37" i="6"/>
  <c r="G37" i="6"/>
  <c r="E37" i="6"/>
  <c r="A37" i="6"/>
  <c r="I36" i="6"/>
  <c r="G36" i="6"/>
  <c r="E36" i="6"/>
  <c r="A36" i="6"/>
  <c r="I35" i="6"/>
  <c r="G35" i="6"/>
  <c r="E35" i="6"/>
  <c r="A35" i="6"/>
  <c r="I34" i="6"/>
  <c r="G34" i="6"/>
  <c r="E34" i="6"/>
  <c r="A34" i="6"/>
  <c r="I33" i="6"/>
  <c r="G33" i="6"/>
  <c r="E33" i="6"/>
  <c r="A33" i="6"/>
  <c r="I32" i="6"/>
  <c r="G32" i="6"/>
  <c r="E32" i="6"/>
  <c r="A32" i="6"/>
  <c r="I31" i="6"/>
  <c r="G31" i="6"/>
  <c r="E31" i="6"/>
  <c r="A31" i="6"/>
  <c r="I30" i="6"/>
  <c r="G30" i="6"/>
  <c r="E30" i="6"/>
  <c r="A30" i="6"/>
  <c r="I29" i="6"/>
  <c r="G29" i="6"/>
  <c r="E29" i="6"/>
  <c r="A29" i="6"/>
  <c r="I28" i="6"/>
  <c r="G28" i="6"/>
  <c r="E28" i="6"/>
  <c r="A28" i="6"/>
  <c r="I27" i="6"/>
  <c r="G27" i="6"/>
  <c r="E27" i="6"/>
  <c r="A27" i="6"/>
  <c r="I26" i="6"/>
  <c r="G26" i="6"/>
  <c r="E26" i="6"/>
  <c r="A26" i="6"/>
  <c r="I25" i="6"/>
  <c r="G25" i="6"/>
  <c r="E25" i="6"/>
  <c r="A25" i="6"/>
  <c r="I24" i="6"/>
  <c r="G24" i="6"/>
  <c r="E24" i="6"/>
  <c r="A24" i="6"/>
  <c r="I23" i="6"/>
  <c r="G23" i="6"/>
  <c r="E23" i="6"/>
  <c r="A23" i="6"/>
  <c r="I22" i="6"/>
  <c r="G22" i="6"/>
  <c r="E22" i="6"/>
  <c r="A22" i="6"/>
  <c r="I21" i="6"/>
  <c r="G21" i="6"/>
  <c r="E21" i="6"/>
  <c r="A21" i="6"/>
  <c r="I20" i="6"/>
  <c r="G20" i="6"/>
  <c r="E20" i="6"/>
  <c r="A20" i="6"/>
  <c r="I19" i="6"/>
  <c r="G19" i="6"/>
  <c r="E19" i="6"/>
  <c r="A19" i="6"/>
  <c r="I18" i="6"/>
  <c r="G18" i="6"/>
  <c r="E18" i="6"/>
  <c r="A18" i="6"/>
  <c r="I17" i="6"/>
  <c r="G17" i="6"/>
  <c r="E17" i="6"/>
  <c r="A17" i="6"/>
  <c r="I16" i="6"/>
  <c r="G16" i="6"/>
  <c r="E16" i="6"/>
  <c r="A16" i="6"/>
  <c r="I15" i="6"/>
  <c r="G15" i="6"/>
  <c r="E15" i="6"/>
  <c r="A15" i="6"/>
  <c r="I14" i="6"/>
  <c r="G14" i="6"/>
  <c r="E14" i="6"/>
  <c r="A14" i="6"/>
  <c r="I13" i="6"/>
  <c r="G13" i="6"/>
  <c r="E13" i="6"/>
  <c r="A13" i="6"/>
  <c r="I12" i="6"/>
  <c r="G12" i="6"/>
  <c r="E12" i="6"/>
  <c r="A12" i="6"/>
  <c r="I11" i="6"/>
  <c r="G11" i="6"/>
  <c r="E11" i="6"/>
  <c r="A11" i="6"/>
  <c r="I10" i="6"/>
  <c r="G10" i="6"/>
  <c r="E10" i="6"/>
  <c r="A10" i="6"/>
  <c r="I9" i="6"/>
  <c r="G9" i="6"/>
  <c r="E9" i="6"/>
  <c r="A9" i="6"/>
  <c r="I8" i="6"/>
  <c r="G8" i="6"/>
  <c r="E8" i="6"/>
  <c r="A8" i="6"/>
  <c r="I7" i="6"/>
  <c r="G7" i="6"/>
  <c r="E7" i="6"/>
  <c r="A7" i="6"/>
  <c r="I6" i="6"/>
  <c r="G6" i="6"/>
  <c r="E6" i="6"/>
  <c r="A6" i="6"/>
  <c r="A5" i="6"/>
  <c r="A4" i="6"/>
  <c r="F217" i="5"/>
  <c r="E217" i="5"/>
  <c r="F216" i="5"/>
  <c r="E216" i="5"/>
  <c r="F215" i="5"/>
  <c r="E215" i="5"/>
  <c r="F214" i="5"/>
  <c r="E214" i="5"/>
  <c r="F213" i="5"/>
  <c r="E213" i="5"/>
  <c r="F212" i="5"/>
  <c r="E212" i="5"/>
  <c r="F211" i="5"/>
  <c r="E211" i="5"/>
  <c r="F210" i="5"/>
  <c r="E210" i="5"/>
  <c r="F209" i="5"/>
  <c r="E209" i="5"/>
  <c r="F208" i="5"/>
  <c r="E208" i="5"/>
  <c r="F207" i="5"/>
  <c r="E207" i="5"/>
  <c r="F206" i="5"/>
  <c r="E206" i="5"/>
  <c r="F205" i="5"/>
  <c r="E205" i="5"/>
  <c r="F204" i="5"/>
  <c r="E204" i="5"/>
  <c r="F203" i="5"/>
  <c r="E203" i="5"/>
  <c r="F202" i="5"/>
  <c r="E202" i="5"/>
  <c r="F201" i="5"/>
  <c r="E201" i="5"/>
  <c r="F200" i="5"/>
  <c r="E200" i="5"/>
  <c r="F199" i="5"/>
  <c r="E199" i="5"/>
  <c r="F198" i="5"/>
  <c r="E198" i="5"/>
  <c r="F197" i="5"/>
  <c r="E197" i="5"/>
  <c r="F196" i="5"/>
  <c r="E196" i="5"/>
  <c r="F195" i="5"/>
  <c r="E195" i="5"/>
  <c r="F194" i="5"/>
  <c r="E194" i="5"/>
  <c r="F193" i="5"/>
  <c r="E193" i="5"/>
  <c r="F192" i="5"/>
  <c r="E192" i="5"/>
  <c r="F191" i="5"/>
  <c r="E191" i="5"/>
  <c r="F190" i="5"/>
  <c r="E190" i="5"/>
  <c r="F189" i="5"/>
  <c r="E189" i="5"/>
  <c r="F188" i="5"/>
  <c r="E188" i="5"/>
  <c r="F187" i="5"/>
  <c r="E187" i="5"/>
  <c r="F186" i="5"/>
  <c r="E186" i="5"/>
  <c r="F185" i="5"/>
  <c r="E185" i="5"/>
  <c r="F184" i="5"/>
  <c r="E184" i="5"/>
  <c r="F183" i="5"/>
  <c r="E183" i="5"/>
  <c r="F182" i="5"/>
  <c r="E182" i="5"/>
  <c r="F181" i="5"/>
  <c r="E181" i="5"/>
  <c r="F180" i="5"/>
  <c r="E180" i="5"/>
  <c r="F179" i="5"/>
  <c r="E179" i="5"/>
  <c r="F178" i="5"/>
  <c r="E178" i="5"/>
  <c r="F177" i="5"/>
  <c r="E177" i="5"/>
  <c r="F176" i="5"/>
  <c r="E176" i="5"/>
  <c r="F175" i="5"/>
  <c r="E175" i="5"/>
  <c r="F174" i="5"/>
  <c r="E174" i="5"/>
  <c r="F173" i="5"/>
  <c r="E173" i="5"/>
  <c r="F172" i="5"/>
  <c r="E172" i="5"/>
  <c r="F171" i="5"/>
  <c r="E171" i="5"/>
  <c r="F170" i="5"/>
  <c r="E170" i="5"/>
  <c r="F169" i="5"/>
  <c r="E169" i="5"/>
  <c r="F168" i="5"/>
  <c r="E168" i="5"/>
  <c r="F167" i="5"/>
  <c r="E167" i="5"/>
  <c r="F166" i="5"/>
  <c r="E166" i="5"/>
  <c r="F165" i="5"/>
  <c r="E165" i="5"/>
  <c r="F164" i="5"/>
  <c r="E164" i="5"/>
  <c r="F163" i="5"/>
  <c r="E163" i="5"/>
  <c r="F162" i="5"/>
  <c r="E162" i="5"/>
  <c r="F161" i="5"/>
  <c r="E161" i="5"/>
  <c r="F160" i="5"/>
  <c r="E160" i="5"/>
  <c r="F159" i="5"/>
  <c r="E159" i="5"/>
  <c r="F158" i="5"/>
  <c r="E158" i="5"/>
  <c r="F157" i="5"/>
  <c r="E157" i="5"/>
  <c r="F156" i="5"/>
  <c r="E156" i="5"/>
  <c r="F155" i="5"/>
  <c r="E155" i="5"/>
  <c r="F154" i="5"/>
  <c r="E154" i="5"/>
  <c r="F153" i="5"/>
  <c r="E153" i="5"/>
  <c r="F152" i="5"/>
  <c r="E152" i="5"/>
  <c r="F151" i="5"/>
  <c r="E151" i="5"/>
  <c r="F150" i="5"/>
  <c r="E150" i="5"/>
  <c r="F149" i="5"/>
  <c r="E149" i="5"/>
  <c r="F148" i="5"/>
  <c r="E148" i="5"/>
  <c r="F147" i="5"/>
  <c r="E147" i="5"/>
  <c r="F146" i="5"/>
  <c r="E146" i="5"/>
  <c r="F145" i="5"/>
  <c r="E145" i="5"/>
  <c r="F144" i="5"/>
  <c r="E144" i="5"/>
  <c r="F143" i="5"/>
  <c r="E143" i="5"/>
  <c r="F142" i="5"/>
  <c r="E142" i="5"/>
  <c r="F141" i="5"/>
  <c r="E141" i="5"/>
  <c r="F140" i="5"/>
  <c r="E140" i="5"/>
  <c r="F139" i="5"/>
  <c r="E139" i="5"/>
  <c r="F138" i="5"/>
  <c r="E138" i="5"/>
  <c r="F137" i="5"/>
  <c r="E137" i="5"/>
  <c r="F136" i="5"/>
  <c r="E136" i="5"/>
  <c r="F135" i="5"/>
  <c r="E135" i="5"/>
  <c r="F134" i="5"/>
  <c r="E134" i="5"/>
  <c r="F133" i="5"/>
  <c r="E133" i="5"/>
  <c r="F132" i="5"/>
  <c r="E132" i="5"/>
  <c r="F131" i="5"/>
  <c r="E131" i="5"/>
  <c r="F130" i="5"/>
  <c r="E130" i="5"/>
  <c r="F129" i="5"/>
  <c r="E129" i="5"/>
  <c r="F128" i="5"/>
  <c r="E128" i="5"/>
  <c r="F127" i="5"/>
  <c r="E127" i="5"/>
  <c r="F126" i="5"/>
  <c r="E126" i="5"/>
  <c r="F125" i="5"/>
  <c r="E125" i="5"/>
  <c r="F124" i="5"/>
  <c r="E124" i="5"/>
  <c r="F123" i="5"/>
  <c r="E123" i="5"/>
  <c r="F122" i="5"/>
  <c r="E122" i="5"/>
  <c r="F121" i="5"/>
  <c r="E121" i="5"/>
  <c r="F120" i="5"/>
  <c r="E120" i="5"/>
  <c r="F119" i="5"/>
  <c r="E119" i="5"/>
  <c r="F118" i="5"/>
  <c r="E118" i="5"/>
  <c r="F117" i="5"/>
  <c r="E117" i="5"/>
  <c r="F116" i="5"/>
  <c r="E116" i="5"/>
  <c r="F115" i="5"/>
  <c r="E115" i="5"/>
  <c r="F114" i="5"/>
  <c r="E114" i="5"/>
  <c r="F113" i="5"/>
  <c r="E113" i="5"/>
  <c r="C112" i="5" a="1"/>
  <c r="C112" i="5"/>
  <c r="E112" i="5" s="1"/>
  <c r="F111" i="5"/>
  <c r="E111" i="5"/>
  <c r="C111" i="5" a="1"/>
  <c r="C111" i="5" s="1"/>
  <c r="C110" i="5" a="1"/>
  <c r="C110" i="5"/>
  <c r="E110" i="5" s="1"/>
  <c r="C109" i="5" a="1"/>
  <c r="C109" i="5" s="1"/>
  <c r="C108" i="5" a="1"/>
  <c r="C108" i="5" s="1"/>
  <c r="C107" i="5" a="1"/>
  <c r="C107" i="5"/>
  <c r="C106" i="5" a="1"/>
  <c r="C106" i="5" s="1"/>
  <c r="C105" i="5" a="1"/>
  <c r="C105" i="5"/>
  <c r="F105" i="5" s="1"/>
  <c r="F104" i="5"/>
  <c r="C104" i="5" a="1"/>
  <c r="C104" i="5" s="1"/>
  <c r="E104" i="5" s="1"/>
  <c r="C103" i="5" a="1"/>
  <c r="C103" i="5" s="1"/>
  <c r="C102" i="5" a="1"/>
  <c r="C102" i="5"/>
  <c r="E102" i="5" s="1"/>
  <c r="C101" i="5" a="1"/>
  <c r="C101" i="5"/>
  <c r="C100" i="5" a="1"/>
  <c r="C100" i="5" s="1"/>
  <c r="E100" i="5" s="1"/>
  <c r="C99" i="5" a="1"/>
  <c r="C99" i="5" s="1"/>
  <c r="E99" i="5" s="1"/>
  <c r="F98" i="5"/>
  <c r="C98" i="5" a="1"/>
  <c r="C98" i="5" s="1"/>
  <c r="E98" i="5" s="1"/>
  <c r="C97" i="5" a="1"/>
  <c r="C97" i="5" s="1"/>
  <c r="C96" i="5" a="1"/>
  <c r="C96" i="5" s="1"/>
  <c r="F95" i="5"/>
  <c r="C95" i="5" a="1"/>
  <c r="C95" i="5"/>
  <c r="E95" i="5" s="1"/>
  <c r="C94" i="5" a="1"/>
  <c r="C94" i="5"/>
  <c r="E94" i="5" s="1"/>
  <c r="F93" i="5"/>
  <c r="C93" i="5" a="1"/>
  <c r="C93" i="5" s="1"/>
  <c r="E93" i="5" s="1"/>
  <c r="C92" i="5" a="1"/>
  <c r="C92" i="5"/>
  <c r="E92" i="5" s="1"/>
  <c r="C91" i="5" a="1"/>
  <c r="C91" i="5"/>
  <c r="C90" i="5" a="1"/>
  <c r="C90" i="5"/>
  <c r="F90" i="5" s="1"/>
  <c r="F89" i="5"/>
  <c r="C89" i="5" a="1"/>
  <c r="C89" i="5"/>
  <c r="E89" i="5" s="1"/>
  <c r="C88" i="5" a="1"/>
  <c r="C88" i="5" s="1"/>
  <c r="C87" i="5" a="1"/>
  <c r="C87" i="5"/>
  <c r="F87" i="5" s="1"/>
  <c r="F86" i="5"/>
  <c r="C86" i="5" a="1"/>
  <c r="C86" i="5"/>
  <c r="E86" i="5" s="1"/>
  <c r="C85" i="5" a="1"/>
  <c r="C85" i="5" s="1"/>
  <c r="C84" i="5" a="1"/>
  <c r="C84" i="5" s="1"/>
  <c r="C83" i="5" a="1"/>
  <c r="C83" i="5" s="1"/>
  <c r="C82" i="5" a="1"/>
  <c r="C82" i="5" s="1"/>
  <c r="E82" i="5" s="1"/>
  <c r="C81" i="5" a="1"/>
  <c r="C81" i="5" s="1"/>
  <c r="E81" i="5" s="1"/>
  <c r="C80" i="5" a="1"/>
  <c r="C80" i="5" s="1"/>
  <c r="E80" i="5" s="1"/>
  <c r="C79" i="5" a="1"/>
  <c r="C79" i="5"/>
  <c r="E79" i="5" s="1"/>
  <c r="F78" i="5"/>
  <c r="E78" i="5"/>
  <c r="F77" i="5"/>
  <c r="C77" i="5" a="1"/>
  <c r="C77" i="5" s="1"/>
  <c r="E77" i="5" s="1"/>
  <c r="C76" i="5" a="1"/>
  <c r="C76" i="5" s="1"/>
  <c r="F76" i="5" s="1"/>
  <c r="E75" i="5"/>
  <c r="C75" i="5" a="1"/>
  <c r="C75" i="5"/>
  <c r="F75" i="5" s="1"/>
  <c r="C74" i="5" a="1"/>
  <c r="C74" i="5" s="1"/>
  <c r="E74" i="5" s="1"/>
  <c r="E73" i="5"/>
  <c r="C73" i="5" a="1"/>
  <c r="C73" i="5"/>
  <c r="F73" i="5" s="1"/>
  <c r="C72" i="5" a="1"/>
  <c r="C72" i="5"/>
  <c r="E72" i="5" s="1"/>
  <c r="F71" i="5"/>
  <c r="E71" i="5"/>
  <c r="C71" i="5" a="1"/>
  <c r="C71" i="5"/>
  <c r="C70" i="5" a="1"/>
  <c r="C70" i="5"/>
  <c r="F70" i="5" s="1"/>
  <c r="C69" i="5" a="1"/>
  <c r="C69" i="5" s="1"/>
  <c r="C68" i="5" a="1"/>
  <c r="C68" i="5"/>
  <c r="F68" i="5" s="1"/>
  <c r="C67" i="5" a="1"/>
  <c r="C67" i="5"/>
  <c r="F67" i="5" s="1"/>
  <c r="C66" i="5" a="1"/>
  <c r="C66" i="5" s="1"/>
  <c r="F65" i="5"/>
  <c r="C65" i="5" a="1"/>
  <c r="C65" i="5"/>
  <c r="E65" i="5" s="1"/>
  <c r="E64" i="5"/>
  <c r="C64" i="5" a="1"/>
  <c r="C64" i="5"/>
  <c r="F64" i="5" s="1"/>
  <c r="C63" i="5" a="1"/>
  <c r="C63" i="5"/>
  <c r="E63" i="5" s="1"/>
  <c r="F62" i="5"/>
  <c r="C62" i="5" a="1"/>
  <c r="C62" i="5"/>
  <c r="E62" i="5" s="1"/>
  <c r="C61" i="5" a="1"/>
  <c r="C61" i="5"/>
  <c r="F61" i="5" s="1"/>
  <c r="F60" i="5"/>
  <c r="C60" i="5" a="1"/>
  <c r="C60" i="5"/>
  <c r="E60" i="5" s="1"/>
  <c r="F59" i="5"/>
  <c r="E59" i="5"/>
  <c r="C59" i="5" a="1"/>
  <c r="C59" i="5"/>
  <c r="E58" i="5"/>
  <c r="C58" i="5" a="1"/>
  <c r="C58" i="5"/>
  <c r="F58" i="5" s="1"/>
  <c r="C57" i="5" a="1"/>
  <c r="C57" i="5"/>
  <c r="E57" i="5" s="1"/>
  <c r="C56" i="5" a="1"/>
  <c r="C56" i="5"/>
  <c r="F56" i="5" s="1"/>
  <c r="E55" i="5"/>
  <c r="C55" i="5" a="1"/>
  <c r="C55" i="5"/>
  <c r="F55" i="5" s="1"/>
  <c r="C54" i="5" a="1"/>
  <c r="C54" i="5"/>
  <c r="E54" i="5" s="1"/>
  <c r="F53" i="5"/>
  <c r="E53" i="5"/>
  <c r="C53" i="5" a="1"/>
  <c r="C53" i="5"/>
  <c r="C52" i="5" a="1"/>
  <c r="C52" i="5"/>
  <c r="F52" i="5" s="1"/>
  <c r="C51" i="5" a="1"/>
  <c r="C51" i="5" s="1"/>
  <c r="C50" i="5" a="1"/>
  <c r="C50" i="5"/>
  <c r="F50" i="5" s="1"/>
  <c r="C49" i="5" a="1"/>
  <c r="C49" i="5"/>
  <c r="F49" i="5" s="1"/>
  <c r="C48" i="5" a="1"/>
  <c r="C48" i="5" s="1"/>
  <c r="F47" i="5"/>
  <c r="C47" i="5" a="1"/>
  <c r="C47" i="5"/>
  <c r="E47" i="5" s="1"/>
  <c r="E46" i="5"/>
  <c r="C46" i="5" a="1"/>
  <c r="C46" i="5"/>
  <c r="F46" i="5" s="1"/>
  <c r="C45" i="5" a="1"/>
  <c r="C45" i="5"/>
  <c r="E45" i="5" s="1"/>
  <c r="F44" i="5"/>
  <c r="C44" i="5" a="1"/>
  <c r="C44" i="5"/>
  <c r="E44" i="5" s="1"/>
  <c r="F43" i="5"/>
  <c r="E43" i="5"/>
  <c r="F42" i="5"/>
  <c r="E42" i="5"/>
  <c r="F41" i="5"/>
  <c r="E41" i="5"/>
  <c r="F40" i="5"/>
  <c r="E40" i="5"/>
  <c r="F39" i="5"/>
  <c r="E39" i="5"/>
  <c r="E38" i="5"/>
  <c r="C38" i="5" a="1"/>
  <c r="C38" i="5"/>
  <c r="F38" i="5" s="1"/>
  <c r="C37" i="5" a="1"/>
  <c r="C37" i="5" s="1"/>
  <c r="F37" i="5" s="1"/>
  <c r="C36" i="5" a="1"/>
  <c r="C36" i="5"/>
  <c r="F36" i="5" s="1"/>
  <c r="E35" i="5"/>
  <c r="C35" i="5" a="1"/>
  <c r="C35" i="5"/>
  <c r="F35" i="5" s="1"/>
  <c r="E34" i="5"/>
  <c r="C34" i="5" a="1"/>
  <c r="C34" i="5" s="1"/>
  <c r="F34" i="5" s="1"/>
  <c r="C33" i="5" a="1"/>
  <c r="C33" i="5"/>
  <c r="F33" i="5" s="1"/>
  <c r="C32" i="5" a="1"/>
  <c r="C32" i="5"/>
  <c r="F32" i="5" s="1"/>
  <c r="C31" i="5" a="1"/>
  <c r="C31" i="5" s="1"/>
  <c r="F31" i="5" s="1"/>
  <c r="C30" i="5" a="1"/>
  <c r="C30" i="5" s="1"/>
  <c r="C29" i="5" a="1"/>
  <c r="C29" i="5"/>
  <c r="F29" i="5" s="1"/>
  <c r="C28" i="5" a="1"/>
  <c r="C28" i="5" s="1"/>
  <c r="F28" i="5" s="1"/>
  <c r="C27" i="5" a="1"/>
  <c r="C27" i="5" s="1"/>
  <c r="E26" i="5"/>
  <c r="C26" i="5" a="1"/>
  <c r="C26" i="5"/>
  <c r="F26" i="5" s="1"/>
  <c r="C25" i="5" a="1"/>
  <c r="C25" i="5" s="1"/>
  <c r="F25" i="5" s="1"/>
  <c r="C24" i="5" a="1"/>
  <c r="C24" i="5"/>
  <c r="F24" i="5" s="1"/>
  <c r="E23" i="5"/>
  <c r="C23" i="5" a="1"/>
  <c r="C23" i="5"/>
  <c r="F23" i="5" s="1"/>
  <c r="E22" i="5"/>
  <c r="C22" i="5" a="1"/>
  <c r="C22" i="5" s="1"/>
  <c r="F22" i="5" s="1"/>
  <c r="C21" i="5" a="1"/>
  <c r="C21" i="5"/>
  <c r="F21" i="5" s="1"/>
  <c r="C20" i="5" a="1"/>
  <c r="C20" i="5"/>
  <c r="F20" i="5" s="1"/>
  <c r="C19" i="5" a="1"/>
  <c r="C19" i="5" s="1"/>
  <c r="F19" i="5" s="1"/>
  <c r="C18" i="5" a="1"/>
  <c r="C18" i="5" s="1"/>
  <c r="C17" i="5" a="1"/>
  <c r="C17" i="5"/>
  <c r="F17" i="5" s="1"/>
  <c r="C16" i="5" a="1"/>
  <c r="C16" i="5" s="1"/>
  <c r="F16" i="5" s="1"/>
  <c r="C15" i="5" a="1"/>
  <c r="C15" i="5" s="1"/>
  <c r="E14" i="5"/>
  <c r="C14" i="5" a="1"/>
  <c r="C14" i="5"/>
  <c r="F14" i="5" s="1"/>
  <c r="C13" i="5" a="1"/>
  <c r="C13" i="5" s="1"/>
  <c r="F13" i="5" s="1"/>
  <c r="C12" i="5" a="1"/>
  <c r="C12" i="5"/>
  <c r="F12" i="5" s="1"/>
  <c r="E11" i="5"/>
  <c r="C11" i="5" a="1"/>
  <c r="C11" i="5"/>
  <c r="F11" i="5" s="1"/>
  <c r="E10" i="5"/>
  <c r="C10" i="5" a="1"/>
  <c r="C10" i="5" s="1"/>
  <c r="F10" i="5" s="1"/>
  <c r="C9" i="5" a="1"/>
  <c r="C9" i="5"/>
  <c r="F9" i="5" s="1"/>
  <c r="C8" i="5" a="1"/>
  <c r="C8" i="5"/>
  <c r="F8" i="5" s="1"/>
  <c r="C7" i="5" a="1"/>
  <c r="C7" i="5" s="1"/>
  <c r="F7" i="5" s="1"/>
  <c r="C6" i="5" a="1"/>
  <c r="C6" i="5" s="1"/>
  <c r="C5" i="5" a="1"/>
  <c r="C5" i="5"/>
  <c r="F5" i="5" s="1"/>
  <c r="C4" i="5" a="1"/>
  <c r="C4" i="5" s="1"/>
  <c r="F4" i="5" s="1"/>
  <c r="T102" i="4"/>
  <c r="A102" i="4"/>
  <c r="T101" i="4"/>
  <c r="A101" i="4"/>
  <c r="T100" i="4"/>
  <c r="A100" i="4"/>
  <c r="T99" i="4"/>
  <c r="A99" i="4"/>
  <c r="T98" i="4"/>
  <c r="A98" i="4"/>
  <c r="T97" i="4"/>
  <c r="A97" i="4"/>
  <c r="T96" i="4"/>
  <c r="A96" i="4"/>
  <c r="T95" i="4"/>
  <c r="A95" i="4"/>
  <c r="T94" i="4"/>
  <c r="A94" i="4"/>
  <c r="T93" i="4"/>
  <c r="M93" i="4"/>
  <c r="A93" i="4"/>
  <c r="T92" i="4"/>
  <c r="M92" i="4"/>
  <c r="A92" i="4"/>
  <c r="T91" i="4"/>
  <c r="M91" i="4"/>
  <c r="A91" i="4"/>
  <c r="T90" i="4"/>
  <c r="M90" i="4"/>
  <c r="A90" i="4"/>
  <c r="T89" i="4"/>
  <c r="M89" i="4"/>
  <c r="A89" i="4"/>
  <c r="T88" i="4"/>
  <c r="M88" i="4"/>
  <c r="A88" i="4"/>
  <c r="T87" i="4"/>
  <c r="M87" i="4"/>
  <c r="A87" i="4"/>
  <c r="T86" i="4"/>
  <c r="M86" i="4"/>
  <c r="A86" i="4"/>
  <c r="T85" i="4"/>
  <c r="M85" i="4"/>
  <c r="A85" i="4"/>
  <c r="T84" i="4"/>
  <c r="M84" i="4"/>
  <c r="A84" i="4"/>
  <c r="T83" i="4"/>
  <c r="M83" i="4"/>
  <c r="A83" i="4"/>
  <c r="T82" i="4"/>
  <c r="M82" i="4"/>
  <c r="A82" i="4"/>
  <c r="T81" i="4"/>
  <c r="M81" i="4"/>
  <c r="A81" i="4"/>
  <c r="T80" i="4"/>
  <c r="M80" i="4"/>
  <c r="A80" i="4"/>
  <c r="T79" i="4"/>
  <c r="M79" i="4"/>
  <c r="A79" i="4"/>
  <c r="T78" i="4"/>
  <c r="M78" i="4"/>
  <c r="A78" i="4"/>
  <c r="T77" i="4"/>
  <c r="M77" i="4"/>
  <c r="A77" i="4"/>
  <c r="T76" i="4"/>
  <c r="M76" i="4"/>
  <c r="A76" i="4"/>
  <c r="T75" i="4"/>
  <c r="M75" i="4"/>
  <c r="A75" i="4"/>
  <c r="T74" i="4"/>
  <c r="M74" i="4"/>
  <c r="A74" i="4"/>
  <c r="T73" i="4"/>
  <c r="M73" i="4"/>
  <c r="A73" i="4"/>
  <c r="T72" i="4"/>
  <c r="M72" i="4"/>
  <c r="A72" i="4"/>
  <c r="T71" i="4"/>
  <c r="M71" i="4"/>
  <c r="A71" i="4"/>
  <c r="T70" i="4"/>
  <c r="M70" i="4"/>
  <c r="A70" i="4"/>
  <c r="T69" i="4"/>
  <c r="M69" i="4"/>
  <c r="A69" i="4"/>
  <c r="V68" i="4"/>
  <c r="U68" i="4"/>
  <c r="T68" i="4"/>
  <c r="N68" i="4"/>
  <c r="M68" i="4"/>
  <c r="L68" i="4"/>
  <c r="K68" i="4"/>
  <c r="J68" i="4"/>
  <c r="E68" i="4"/>
  <c r="A68" i="4"/>
  <c r="V67" i="4"/>
  <c r="U67" i="4"/>
  <c r="T67" i="4"/>
  <c r="P67" i="4"/>
  <c r="M67" i="4"/>
  <c r="K67" i="4"/>
  <c r="J67" i="4"/>
  <c r="N67" i="4" s="1"/>
  <c r="A67" i="4"/>
  <c r="E67" i="4" s="1"/>
  <c r="V66" i="4"/>
  <c r="U66" i="4"/>
  <c r="T66" i="4"/>
  <c r="R66" i="4"/>
  <c r="P66" i="4"/>
  <c r="M66" i="4"/>
  <c r="K66" i="4"/>
  <c r="J66" i="4"/>
  <c r="N66" i="4" s="1"/>
  <c r="E66" i="4"/>
  <c r="V65" i="4"/>
  <c r="U65" i="4"/>
  <c r="T65" i="4"/>
  <c r="P65" i="4"/>
  <c r="M65" i="4"/>
  <c r="K65" i="4"/>
  <c r="J65" i="4"/>
  <c r="L65" i="4" s="1"/>
  <c r="A65" i="4"/>
  <c r="E65" i="4" s="1"/>
  <c r="V64" i="4"/>
  <c r="U64" i="4"/>
  <c r="T64" i="4"/>
  <c r="P64" i="4"/>
  <c r="M64" i="4"/>
  <c r="L64" i="4"/>
  <c r="K64" i="4"/>
  <c r="J64" i="4"/>
  <c r="N64" i="4" s="1"/>
  <c r="A64" i="4"/>
  <c r="E64" i="4" s="1"/>
  <c r="V63" i="4"/>
  <c r="U63" i="4"/>
  <c r="T63" i="4"/>
  <c r="P63" i="4"/>
  <c r="N63" i="4"/>
  <c r="M63" i="4"/>
  <c r="L63" i="4"/>
  <c r="K63" i="4"/>
  <c r="J63" i="4"/>
  <c r="A63" i="4"/>
  <c r="E63" i="4" s="1"/>
  <c r="V62" i="4"/>
  <c r="U62" i="4"/>
  <c r="T62" i="4"/>
  <c r="P62" i="4"/>
  <c r="M62" i="4"/>
  <c r="K62" i="4"/>
  <c r="J62" i="4"/>
  <c r="A62" i="4"/>
  <c r="E62" i="4" s="1"/>
  <c r="V61" i="4"/>
  <c r="U61" i="4"/>
  <c r="T61" i="4"/>
  <c r="M61" i="4"/>
  <c r="L61" i="4"/>
  <c r="K61" i="4"/>
  <c r="J61" i="4"/>
  <c r="N61" i="4" s="1"/>
  <c r="A61" i="4"/>
  <c r="E61" i="4" s="1"/>
  <c r="V60" i="4"/>
  <c r="U60" i="4"/>
  <c r="T60" i="4"/>
  <c r="N60" i="4"/>
  <c r="M60" i="4"/>
  <c r="K60" i="4"/>
  <c r="J60" i="4"/>
  <c r="L60" i="4" s="1"/>
  <c r="E60" i="4"/>
  <c r="A60" i="4"/>
  <c r="V59" i="4"/>
  <c r="U59" i="4"/>
  <c r="T59" i="4"/>
  <c r="N59" i="4"/>
  <c r="M59" i="4"/>
  <c r="L59" i="4"/>
  <c r="K59" i="4"/>
  <c r="J59" i="4"/>
  <c r="E59" i="4"/>
  <c r="A59" i="4"/>
  <c r="V58" i="4"/>
  <c r="U58" i="4"/>
  <c r="T58" i="4"/>
  <c r="N58" i="4"/>
  <c r="M58" i="4"/>
  <c r="L58" i="4"/>
  <c r="K58" i="4"/>
  <c r="J58" i="4"/>
  <c r="E58" i="4"/>
  <c r="A58" i="4"/>
  <c r="V57" i="4"/>
  <c r="U57" i="4"/>
  <c r="T57" i="4"/>
  <c r="M57" i="4"/>
  <c r="K57" i="4"/>
  <c r="J57" i="4"/>
  <c r="N57" i="4" s="1"/>
  <c r="E57" i="4"/>
  <c r="A57" i="4"/>
  <c r="V56" i="4"/>
  <c r="U56" i="4"/>
  <c r="T56" i="4"/>
  <c r="P56" i="4"/>
  <c r="N56" i="4"/>
  <c r="M56" i="4"/>
  <c r="L56" i="4"/>
  <c r="K56" i="4"/>
  <c r="J56" i="4"/>
  <c r="A56" i="4"/>
  <c r="E56" i="4" s="1"/>
  <c r="V55" i="4"/>
  <c r="U55" i="4"/>
  <c r="T55" i="4"/>
  <c r="P55" i="4"/>
  <c r="M55" i="4"/>
  <c r="K55" i="4"/>
  <c r="J55" i="4"/>
  <c r="A55" i="4"/>
  <c r="E55" i="4" s="1"/>
  <c r="V54" i="4"/>
  <c r="U54" i="4"/>
  <c r="T54" i="4"/>
  <c r="P54" i="4"/>
  <c r="M54" i="4"/>
  <c r="L54" i="4"/>
  <c r="K54" i="4"/>
  <c r="J54" i="4"/>
  <c r="N54" i="4" s="1"/>
  <c r="E54" i="4"/>
  <c r="A54" i="4"/>
  <c r="V53" i="4"/>
  <c r="U53" i="4"/>
  <c r="T53" i="4"/>
  <c r="P53" i="4"/>
  <c r="M53" i="4"/>
  <c r="L53" i="4"/>
  <c r="K53" i="4"/>
  <c r="J53" i="4"/>
  <c r="N53" i="4" s="1"/>
  <c r="A53" i="4"/>
  <c r="E53" i="4" s="1"/>
  <c r="V52" i="4"/>
  <c r="U52" i="4"/>
  <c r="T52" i="4"/>
  <c r="P52" i="4"/>
  <c r="N52" i="4"/>
  <c r="M52" i="4"/>
  <c r="L52" i="4"/>
  <c r="K52" i="4"/>
  <c r="J52" i="4"/>
  <c r="A52" i="4"/>
  <c r="E52" i="4" s="1"/>
  <c r="V51" i="4"/>
  <c r="U51" i="4"/>
  <c r="T51" i="4"/>
  <c r="P51" i="4"/>
  <c r="N51" i="4"/>
  <c r="M51" i="4"/>
  <c r="K51" i="4"/>
  <c r="J51" i="4"/>
  <c r="L51" i="4" s="1"/>
  <c r="E51" i="4"/>
  <c r="A51" i="4"/>
  <c r="V50" i="4"/>
  <c r="U50" i="4"/>
  <c r="T50" i="4"/>
  <c r="P50" i="4"/>
  <c r="M50" i="4"/>
  <c r="K50" i="4"/>
  <c r="J50" i="4"/>
  <c r="N50" i="4" s="1"/>
  <c r="A50" i="4"/>
  <c r="E50" i="4" s="1"/>
  <c r="V49" i="4"/>
  <c r="U49" i="4"/>
  <c r="T49" i="4"/>
  <c r="P49" i="4"/>
  <c r="N49" i="4"/>
  <c r="M49" i="4"/>
  <c r="L49" i="4"/>
  <c r="K49" i="4"/>
  <c r="J49" i="4"/>
  <c r="E49" i="4"/>
  <c r="A49" i="4"/>
  <c r="V48" i="4"/>
  <c r="U48" i="4"/>
  <c r="T48" i="4"/>
  <c r="M48" i="4"/>
  <c r="K48" i="4"/>
  <c r="J48" i="4"/>
  <c r="N48" i="4" s="1"/>
  <c r="E48" i="4"/>
  <c r="A48" i="4"/>
  <c r="V47" i="4"/>
  <c r="U47" i="4"/>
  <c r="T47" i="4"/>
  <c r="M47" i="4"/>
  <c r="K47" i="4"/>
  <c r="J47" i="4"/>
  <c r="N47" i="4" s="1"/>
  <c r="A47" i="4"/>
  <c r="E47" i="4" s="1"/>
  <c r="V46" i="4"/>
  <c r="U46" i="4"/>
  <c r="T46" i="4"/>
  <c r="M46" i="4"/>
  <c r="K46" i="4"/>
  <c r="J46" i="4"/>
  <c r="A46" i="4"/>
  <c r="E46" i="4" s="1"/>
  <c r="V45" i="4"/>
  <c r="U45" i="4"/>
  <c r="T45" i="4"/>
  <c r="M45" i="4"/>
  <c r="L45" i="4"/>
  <c r="K45" i="4"/>
  <c r="J45" i="4"/>
  <c r="N45" i="4" s="1"/>
  <c r="A45" i="4"/>
  <c r="E45" i="4" s="1"/>
  <c r="V44" i="4"/>
  <c r="U44" i="4"/>
  <c r="T44" i="4"/>
  <c r="N44" i="4"/>
  <c r="M44" i="4"/>
  <c r="K44" i="4"/>
  <c r="J44" i="4"/>
  <c r="L44" i="4" s="1"/>
  <c r="E44" i="4"/>
  <c r="A44" i="4"/>
  <c r="Z43" i="4"/>
  <c r="V43" i="4"/>
  <c r="U43" i="4"/>
  <c r="T43" i="4"/>
  <c r="N43" i="4"/>
  <c r="M43" i="4"/>
  <c r="K43" i="4"/>
  <c r="J43" i="4"/>
  <c r="L43" i="4" s="1"/>
  <c r="A43" i="4"/>
  <c r="E43" i="4" s="1"/>
  <c r="Z42" i="4"/>
  <c r="V42" i="4"/>
  <c r="U42" i="4"/>
  <c r="T42" i="4"/>
  <c r="N42" i="4"/>
  <c r="M42" i="4"/>
  <c r="L42" i="4"/>
  <c r="K42" i="4"/>
  <c r="J42" i="4"/>
  <c r="E42" i="4"/>
  <c r="A42" i="4"/>
  <c r="Z41" i="4"/>
  <c r="V41" i="4"/>
  <c r="U41" i="4"/>
  <c r="T41" i="4"/>
  <c r="M41" i="4"/>
  <c r="K41" i="4"/>
  <c r="J41" i="4"/>
  <c r="N41" i="4" s="1"/>
  <c r="A41" i="4"/>
  <c r="E41" i="4" s="1"/>
  <c r="Z40" i="4"/>
  <c r="V40" i="4"/>
  <c r="U40" i="4"/>
  <c r="T40" i="4"/>
  <c r="N40" i="4"/>
  <c r="M40" i="4"/>
  <c r="L40" i="4"/>
  <c r="K40" i="4"/>
  <c r="J40" i="4"/>
  <c r="E40" i="4"/>
  <c r="A40" i="4"/>
  <c r="Z39" i="4"/>
  <c r="V39" i="4"/>
  <c r="U39" i="4"/>
  <c r="T39" i="4"/>
  <c r="M39" i="4"/>
  <c r="K39" i="4"/>
  <c r="J39" i="4"/>
  <c r="L39" i="4" s="1"/>
  <c r="A39" i="4"/>
  <c r="E39" i="4" s="1"/>
  <c r="V38" i="4"/>
  <c r="U38" i="4"/>
  <c r="T38" i="4"/>
  <c r="R38" i="4"/>
  <c r="P38" i="4"/>
  <c r="M38" i="4"/>
  <c r="K38" i="4"/>
  <c r="J38" i="4"/>
  <c r="L38" i="4" s="1"/>
  <c r="A38" i="4"/>
  <c r="V37" i="4"/>
  <c r="U37" i="4"/>
  <c r="T37" i="4"/>
  <c r="R37" i="4"/>
  <c r="P37" i="4"/>
  <c r="N37" i="4"/>
  <c r="M37" i="4"/>
  <c r="K37" i="4"/>
  <c r="J37" i="4"/>
  <c r="L37" i="4" s="1"/>
  <c r="A37" i="4"/>
  <c r="V36" i="4"/>
  <c r="U36" i="4"/>
  <c r="T36" i="4"/>
  <c r="R36" i="4"/>
  <c r="P36" i="4"/>
  <c r="N36" i="4"/>
  <c r="M36" i="4"/>
  <c r="K36" i="4"/>
  <c r="J36" i="4"/>
  <c r="L36" i="4" s="1"/>
  <c r="A36" i="4"/>
  <c r="V35" i="4"/>
  <c r="U35" i="4"/>
  <c r="T35" i="4"/>
  <c r="R35" i="4"/>
  <c r="P35" i="4"/>
  <c r="N35" i="4"/>
  <c r="M35" i="4"/>
  <c r="K35" i="4"/>
  <c r="J35" i="4"/>
  <c r="L35" i="4" s="1"/>
  <c r="A35" i="4"/>
  <c r="V34" i="4"/>
  <c r="U34" i="4"/>
  <c r="T34" i="4"/>
  <c r="R34" i="4"/>
  <c r="P34" i="4"/>
  <c r="N34" i="4"/>
  <c r="M34" i="4"/>
  <c r="K34" i="4"/>
  <c r="J34" i="4"/>
  <c r="L34" i="4" s="1"/>
  <c r="A34" i="4"/>
  <c r="V33" i="4"/>
  <c r="U33" i="4"/>
  <c r="T33" i="4"/>
  <c r="R33" i="4"/>
  <c r="P33" i="4"/>
  <c r="N33" i="4"/>
  <c r="M33" i="4"/>
  <c r="K33" i="4"/>
  <c r="J33" i="4"/>
  <c r="L33" i="4" s="1"/>
  <c r="A33" i="4"/>
  <c r="V32" i="4"/>
  <c r="U32" i="4"/>
  <c r="T32" i="4"/>
  <c r="R32" i="4"/>
  <c r="P32" i="4"/>
  <c r="M32" i="4"/>
  <c r="K32" i="4"/>
  <c r="J32" i="4"/>
  <c r="L32" i="4" s="1"/>
  <c r="A32" i="4"/>
  <c r="V31" i="4"/>
  <c r="U31" i="4"/>
  <c r="T31" i="4"/>
  <c r="R31" i="4"/>
  <c r="P31" i="4"/>
  <c r="M31" i="4"/>
  <c r="K31" i="4"/>
  <c r="J31" i="4"/>
  <c r="L31" i="4" s="1"/>
  <c r="A31" i="4"/>
  <c r="V30" i="4"/>
  <c r="U30" i="4"/>
  <c r="T30" i="4"/>
  <c r="R30" i="4"/>
  <c r="P30" i="4"/>
  <c r="M30" i="4"/>
  <c r="K30" i="4"/>
  <c r="J30" i="4"/>
  <c r="L30" i="4" s="1"/>
  <c r="A30" i="4"/>
  <c r="V29" i="4"/>
  <c r="U29" i="4"/>
  <c r="T29" i="4"/>
  <c r="R29" i="4"/>
  <c r="P29" i="4"/>
  <c r="N29" i="4"/>
  <c r="M29" i="4"/>
  <c r="K29" i="4"/>
  <c r="J29" i="4"/>
  <c r="L29" i="4" s="1"/>
  <c r="A29" i="4"/>
  <c r="V28" i="4"/>
  <c r="U28" i="4"/>
  <c r="T28" i="4"/>
  <c r="R28" i="4"/>
  <c r="P28" i="4"/>
  <c r="N28" i="4"/>
  <c r="M28" i="4"/>
  <c r="K28" i="4"/>
  <c r="J28" i="4"/>
  <c r="L28" i="4" s="1"/>
  <c r="A28" i="4"/>
  <c r="V27" i="4"/>
  <c r="U27" i="4"/>
  <c r="T27" i="4"/>
  <c r="R27" i="4"/>
  <c r="P27" i="4"/>
  <c r="M27" i="4"/>
  <c r="K27" i="4"/>
  <c r="J27" i="4"/>
  <c r="L27" i="4" s="1"/>
  <c r="A27" i="4"/>
  <c r="V26" i="4"/>
  <c r="U26" i="4"/>
  <c r="T26" i="4"/>
  <c r="P26" i="4"/>
  <c r="R26" i="4" s="1"/>
  <c r="M26" i="4"/>
  <c r="K26" i="4"/>
  <c r="J26" i="4"/>
  <c r="L26" i="4" s="1"/>
  <c r="A26" i="4"/>
  <c r="V25" i="4"/>
  <c r="U25" i="4"/>
  <c r="T25" i="4"/>
  <c r="R25" i="4"/>
  <c r="P25" i="4"/>
  <c r="N25" i="4"/>
  <c r="M25" i="4"/>
  <c r="K25" i="4"/>
  <c r="J25" i="4"/>
  <c r="L25" i="4" s="1"/>
  <c r="A25" i="4"/>
  <c r="V24" i="4"/>
  <c r="U24" i="4"/>
  <c r="T24" i="4"/>
  <c r="P24" i="4"/>
  <c r="R24" i="4" s="1"/>
  <c r="N24" i="4"/>
  <c r="M24" i="4"/>
  <c r="K24" i="4"/>
  <c r="J24" i="4"/>
  <c r="L24" i="4" s="1"/>
  <c r="A24" i="4"/>
  <c r="V23" i="4"/>
  <c r="U23" i="4"/>
  <c r="T23" i="4"/>
  <c r="P23" i="4"/>
  <c r="R23" i="4" s="1"/>
  <c r="N23" i="4"/>
  <c r="M23" i="4"/>
  <c r="K23" i="4"/>
  <c r="J23" i="4"/>
  <c r="L23" i="4" s="1"/>
  <c r="A23" i="4"/>
  <c r="V22" i="4"/>
  <c r="U22" i="4"/>
  <c r="T22" i="4"/>
  <c r="P22" i="4"/>
  <c r="R22" i="4" s="1"/>
  <c r="N22" i="4"/>
  <c r="M22" i="4"/>
  <c r="K22" i="4"/>
  <c r="J22" i="4"/>
  <c r="L22" i="4" s="1"/>
  <c r="A22" i="4"/>
  <c r="V21" i="4"/>
  <c r="U21" i="4"/>
  <c r="T21" i="4"/>
  <c r="P21" i="4"/>
  <c r="R21" i="4" s="1"/>
  <c r="N21" i="4"/>
  <c r="M21" i="4"/>
  <c r="K21" i="4"/>
  <c r="J21" i="4"/>
  <c r="L21" i="4" s="1"/>
  <c r="A21" i="4"/>
  <c r="V20" i="4"/>
  <c r="U20" i="4"/>
  <c r="T20" i="4"/>
  <c r="R20" i="4"/>
  <c r="P20" i="4"/>
  <c r="M20" i="4"/>
  <c r="K20" i="4"/>
  <c r="J20" i="4"/>
  <c r="L20" i="4" s="1"/>
  <c r="A20" i="4"/>
  <c r="V19" i="4"/>
  <c r="U19" i="4"/>
  <c r="T19" i="4"/>
  <c r="P19" i="4"/>
  <c r="R19" i="4" s="1"/>
  <c r="M19" i="4"/>
  <c r="K19" i="4"/>
  <c r="J19" i="4"/>
  <c r="L19" i="4" s="1"/>
  <c r="A19" i="4"/>
  <c r="V18" i="4"/>
  <c r="U18" i="4"/>
  <c r="T18" i="4"/>
  <c r="P18" i="4"/>
  <c r="R18" i="4" s="1"/>
  <c r="M18" i="4"/>
  <c r="K18" i="4"/>
  <c r="J18" i="4"/>
  <c r="L18" i="4" s="1"/>
  <c r="A18" i="4"/>
  <c r="V17" i="4"/>
  <c r="U17" i="4"/>
  <c r="T17" i="4"/>
  <c r="P17" i="4"/>
  <c r="R17" i="4" s="1"/>
  <c r="N17" i="4"/>
  <c r="M17" i="4"/>
  <c r="K17" i="4"/>
  <c r="J17" i="4"/>
  <c r="L17" i="4" s="1"/>
  <c r="A17" i="4"/>
  <c r="V16" i="4"/>
  <c r="U16" i="4"/>
  <c r="T16" i="4"/>
  <c r="R16" i="4"/>
  <c r="P16" i="4"/>
  <c r="N16" i="4"/>
  <c r="M16" i="4"/>
  <c r="K16" i="4"/>
  <c r="J16" i="4"/>
  <c r="L16" i="4" s="1"/>
  <c r="A16" i="4"/>
  <c r="V15" i="4"/>
  <c r="U15" i="4"/>
  <c r="T15" i="4"/>
  <c r="R15" i="4"/>
  <c r="P15" i="4"/>
  <c r="M15" i="4"/>
  <c r="K15" i="4"/>
  <c r="J15" i="4"/>
  <c r="L15" i="4" s="1"/>
  <c r="A15" i="4"/>
  <c r="V14" i="4"/>
  <c r="U14" i="4"/>
  <c r="T14" i="4"/>
  <c r="P14" i="4"/>
  <c r="R14" i="4" s="1"/>
  <c r="M14" i="4"/>
  <c r="K14" i="4"/>
  <c r="J14" i="4"/>
  <c r="L14" i="4" s="1"/>
  <c r="A14" i="4"/>
  <c r="V13" i="4"/>
  <c r="U13" i="4"/>
  <c r="T13" i="4"/>
  <c r="R13" i="4"/>
  <c r="P13" i="4"/>
  <c r="M13" i="4"/>
  <c r="L13" i="4"/>
  <c r="K13" i="4"/>
  <c r="J13" i="4"/>
  <c r="A13" i="4"/>
  <c r="V12" i="4"/>
  <c r="U12" i="4"/>
  <c r="T12" i="4"/>
  <c r="P12" i="4"/>
  <c r="R12" i="4" s="1"/>
  <c r="M12" i="4"/>
  <c r="L12" i="4"/>
  <c r="K12" i="4"/>
  <c r="J12" i="4"/>
  <c r="N12" i="4" s="1"/>
  <c r="A12" i="4"/>
  <c r="V11" i="4"/>
  <c r="U11" i="4"/>
  <c r="T11" i="4"/>
  <c r="P11" i="4"/>
  <c r="R11" i="4" s="1"/>
  <c r="M11" i="4"/>
  <c r="L11" i="4"/>
  <c r="K11" i="4"/>
  <c r="J11" i="4"/>
  <c r="N11" i="4" s="1"/>
  <c r="A11" i="4"/>
  <c r="V10" i="4"/>
  <c r="U10" i="4"/>
  <c r="T10" i="4"/>
  <c r="P10" i="4"/>
  <c r="R10" i="4" s="1"/>
  <c r="M10" i="4"/>
  <c r="L10" i="4"/>
  <c r="K10" i="4"/>
  <c r="J10" i="4"/>
  <c r="N10" i="4" s="1"/>
  <c r="A10" i="4"/>
  <c r="V9" i="4"/>
  <c r="U9" i="4"/>
  <c r="T9" i="4"/>
  <c r="P9" i="4"/>
  <c r="R9" i="4" s="1"/>
  <c r="M9" i="4"/>
  <c r="L9" i="4"/>
  <c r="K9" i="4"/>
  <c r="J9" i="4"/>
  <c r="N9" i="4" s="1"/>
  <c r="A9" i="4"/>
  <c r="V8" i="4"/>
  <c r="U8" i="4"/>
  <c r="T8" i="4"/>
  <c r="R8" i="4"/>
  <c r="N8" i="4"/>
  <c r="M8" i="4"/>
  <c r="L8" i="4"/>
  <c r="K8" i="4"/>
  <c r="J8" i="4"/>
  <c r="A8" i="4"/>
  <c r="V7" i="4"/>
  <c r="U7" i="4"/>
  <c r="T7" i="4"/>
  <c r="P7" i="4"/>
  <c r="R7" i="4" s="1"/>
  <c r="N7" i="4"/>
  <c r="M7" i="4"/>
  <c r="L7" i="4"/>
  <c r="K7" i="4"/>
  <c r="J7" i="4"/>
  <c r="A7" i="4"/>
  <c r="V6" i="4"/>
  <c r="U6" i="4"/>
  <c r="T6" i="4"/>
  <c r="P6" i="4"/>
  <c r="R6" i="4" s="1"/>
  <c r="N6" i="4"/>
  <c r="M6" i="4"/>
  <c r="L6" i="4"/>
  <c r="K6" i="4"/>
  <c r="J6" i="4"/>
  <c r="A6" i="4"/>
  <c r="V5" i="4"/>
  <c r="U5" i="4"/>
  <c r="T5" i="4"/>
  <c r="R5" i="4"/>
  <c r="M5" i="4"/>
  <c r="A5" i="4"/>
  <c r="V4" i="4"/>
  <c r="U4" i="4"/>
  <c r="T4" i="4"/>
  <c r="N4" i="4"/>
  <c r="M4" i="4"/>
  <c r="L4" i="4"/>
  <c r="K4" i="4"/>
  <c r="J4" i="4"/>
  <c r="A4" i="4"/>
  <c r="W176" i="3" a="1"/>
  <c r="W176" i="3"/>
  <c r="R176" i="3" a="1"/>
  <c r="R176" i="3"/>
  <c r="Q176" i="3" a="1"/>
  <c r="Q176" i="3" s="1"/>
  <c r="W175" i="3" a="1"/>
  <c r="W175" i="3"/>
  <c r="R175" i="3" a="1"/>
  <c r="R175" i="3"/>
  <c r="Q175" i="3" a="1"/>
  <c r="Q175" i="3"/>
  <c r="W174" i="3" a="1"/>
  <c r="W174" i="3"/>
  <c r="R174" i="3" a="1"/>
  <c r="R174" i="3" s="1"/>
  <c r="Q174" i="3" a="1"/>
  <c r="Q174" i="3" s="1"/>
  <c r="W173" i="3" a="1"/>
  <c r="W173" i="3" s="1"/>
  <c r="R173" i="3" a="1"/>
  <c r="R173" i="3"/>
  <c r="Q173" i="3" a="1"/>
  <c r="Q173" i="3" s="1"/>
  <c r="W172" i="3" a="1"/>
  <c r="W172" i="3"/>
  <c r="R172" i="3" a="1"/>
  <c r="R172" i="3"/>
  <c r="Q172" i="3" a="1"/>
  <c r="Q172" i="3" s="1"/>
  <c r="W171" i="3" a="1"/>
  <c r="W171" i="3" s="1"/>
  <c r="R171" i="3" a="1"/>
  <c r="R171" i="3"/>
  <c r="Q171" i="3" a="1"/>
  <c r="Q171" i="3"/>
  <c r="W170" i="3" a="1"/>
  <c r="W170" i="3"/>
  <c r="R170" i="3" a="1"/>
  <c r="R170" i="3"/>
  <c r="Q170" i="3" a="1"/>
  <c r="Q170" i="3" s="1"/>
  <c r="W169" i="3" a="1"/>
  <c r="W169" i="3"/>
  <c r="R169" i="3" a="1"/>
  <c r="R169" i="3" s="1"/>
  <c r="Q169" i="3" a="1"/>
  <c r="Q169" i="3"/>
  <c r="W168" i="3" a="1"/>
  <c r="W168" i="3" s="1"/>
  <c r="R168" i="3" a="1"/>
  <c r="R168" i="3"/>
  <c r="Q168" i="3" a="1"/>
  <c r="Q168" i="3" s="1"/>
  <c r="W167" i="3" a="1"/>
  <c r="W167" i="3" s="1"/>
  <c r="R167" i="3" a="1"/>
  <c r="R167" i="3" s="1"/>
  <c r="Q167" i="3" a="1"/>
  <c r="Q167" i="3"/>
  <c r="W166" i="3" a="1"/>
  <c r="W166" i="3"/>
  <c r="R166" i="3" a="1"/>
  <c r="R166" i="3"/>
  <c r="Q166" i="3" a="1"/>
  <c r="Q166" i="3" s="1"/>
  <c r="W165" i="3" a="1"/>
  <c r="W165" i="3"/>
  <c r="R165" i="3" a="1"/>
  <c r="R165" i="3"/>
  <c r="Q165" i="3" a="1"/>
  <c r="Q165" i="3" s="1"/>
  <c r="W164" i="3" a="1"/>
  <c r="W164" i="3"/>
  <c r="R164" i="3" a="1"/>
  <c r="R164" i="3" s="1"/>
  <c r="Q164" i="3" a="1"/>
  <c r="Q164" i="3" s="1"/>
  <c r="W163" i="3" a="1"/>
  <c r="W163" i="3"/>
  <c r="R163" i="3" a="1"/>
  <c r="R163" i="3" s="1"/>
  <c r="Q163" i="3" a="1"/>
  <c r="Q163" i="3" s="1"/>
  <c r="W162" i="3" a="1"/>
  <c r="W162" i="3"/>
  <c r="R162" i="3" a="1"/>
  <c r="R162" i="3"/>
  <c r="Q162" i="3" a="1"/>
  <c r="Q162" i="3" s="1"/>
  <c r="W161" i="3" a="1"/>
  <c r="W161" i="3"/>
  <c r="R161" i="3" a="1"/>
  <c r="R161" i="3"/>
  <c r="Q161" i="3" a="1"/>
  <c r="Q161" i="3"/>
  <c r="W160" i="3" a="1"/>
  <c r="W160" i="3" s="1"/>
  <c r="R160" i="3" a="1"/>
  <c r="R160" i="3"/>
  <c r="Q160" i="3" a="1"/>
  <c r="Q160" i="3" s="1"/>
  <c r="W159" i="3" a="1"/>
  <c r="W159" i="3"/>
  <c r="R159" i="3" a="1"/>
  <c r="R159" i="3"/>
  <c r="Q159" i="3" a="1"/>
  <c r="Q159" i="3" s="1"/>
  <c r="W158" i="3" a="1"/>
  <c r="W158" i="3" s="1"/>
  <c r="R158" i="3" a="1"/>
  <c r="R158" i="3"/>
  <c r="Q158" i="3" a="1"/>
  <c r="Q158" i="3" s="1"/>
  <c r="W157" i="3" a="1"/>
  <c r="W157" i="3" s="1"/>
  <c r="R157" i="3" a="1"/>
  <c r="R157" i="3"/>
  <c r="Q157" i="3" a="1"/>
  <c r="Q157" i="3"/>
  <c r="W156" i="3" a="1"/>
  <c r="W156" i="3"/>
  <c r="R156" i="3" a="1"/>
  <c r="R156" i="3" s="1"/>
  <c r="Q156" i="3" a="1"/>
  <c r="Q156" i="3" s="1"/>
  <c r="W155" i="3" a="1"/>
  <c r="W155" i="3"/>
  <c r="R155" i="3" a="1"/>
  <c r="R155" i="3"/>
  <c r="Q155" i="3" a="1"/>
  <c r="Q155" i="3"/>
  <c r="W154" i="3" a="1"/>
  <c r="W154" i="3" s="1"/>
  <c r="R154" i="3" a="1"/>
  <c r="R154" i="3" s="1"/>
  <c r="Q154" i="3" a="1"/>
  <c r="Q154" i="3" s="1"/>
  <c r="W153" i="3" a="1"/>
  <c r="W153" i="3"/>
  <c r="R153" i="3" a="1"/>
  <c r="R153" i="3" s="1"/>
  <c r="Q153" i="3" a="1"/>
  <c r="Q153" i="3"/>
  <c r="W152" i="3" a="1"/>
  <c r="W152" i="3"/>
  <c r="R152" i="3" a="1"/>
  <c r="R152" i="3"/>
  <c r="Q152" i="3" a="1"/>
  <c r="Q152" i="3" s="1"/>
  <c r="W151" i="3" a="1"/>
  <c r="W151" i="3"/>
  <c r="R151" i="3" a="1"/>
  <c r="R151" i="3"/>
  <c r="Q151" i="3" a="1"/>
  <c r="Q151" i="3"/>
  <c r="AE150" i="3"/>
  <c r="Y150" i="3"/>
  <c r="W150" i="3" a="1"/>
  <c r="W150" i="3" s="1"/>
  <c r="R150" i="3" a="1"/>
  <c r="R150" i="3" s="1"/>
  <c r="Q150" i="3" a="1"/>
  <c r="Q150" i="3" s="1"/>
  <c r="P150" i="3"/>
  <c r="E150" i="3"/>
  <c r="AE149" i="3"/>
  <c r="Y149" i="3"/>
  <c r="W149" i="3" a="1"/>
  <c r="W149" i="3"/>
  <c r="R149" i="3" a="1"/>
  <c r="R149" i="3"/>
  <c r="Q149" i="3" a="1"/>
  <c r="Q149" i="3" s="1"/>
  <c r="P149" i="3"/>
  <c r="E149" i="3"/>
  <c r="AE148" i="3"/>
  <c r="Y148" i="3"/>
  <c r="W148" i="3" a="1"/>
  <c r="W148" i="3"/>
  <c r="R148" i="3" a="1"/>
  <c r="R148" i="3"/>
  <c r="Q148" i="3" a="1"/>
  <c r="Q148" i="3"/>
  <c r="P148" i="3"/>
  <c r="E148" i="3"/>
  <c r="AE147" i="3"/>
  <c r="Y147" i="3"/>
  <c r="W147" i="3" a="1"/>
  <c r="W147" i="3"/>
  <c r="R147" i="3" a="1"/>
  <c r="R147" i="3"/>
  <c r="Q147" i="3" a="1"/>
  <c r="Q147" i="3"/>
  <c r="P147" i="3"/>
  <c r="E147" i="3"/>
  <c r="AE146" i="3"/>
  <c r="Y146" i="3"/>
  <c r="W146" i="3" a="1"/>
  <c r="W146" i="3" s="1"/>
  <c r="R146" i="3" a="1"/>
  <c r="R146" i="3"/>
  <c r="Q146" i="3" a="1"/>
  <c r="Q146" i="3"/>
  <c r="P146" i="3"/>
  <c r="E146" i="3"/>
  <c r="AE145" i="3"/>
  <c r="Y145" i="3"/>
  <c r="W145" i="3" a="1"/>
  <c r="W145" i="3" s="1"/>
  <c r="R145" i="3" a="1"/>
  <c r="R145" i="3"/>
  <c r="Q145" i="3" a="1"/>
  <c r="Q145" i="3" s="1"/>
  <c r="P145" i="3"/>
  <c r="E145" i="3"/>
  <c r="AE144" i="3"/>
  <c r="Y144" i="3"/>
  <c r="W144" i="3" a="1"/>
  <c r="W144" i="3"/>
  <c r="R144" i="3" a="1"/>
  <c r="R144" i="3" s="1"/>
  <c r="Q144" i="3" a="1"/>
  <c r="Q144" i="3" s="1"/>
  <c r="P144" i="3"/>
  <c r="E144" i="3"/>
  <c r="AE143" i="3"/>
  <c r="Y143" i="3"/>
  <c r="W143" i="3" a="1"/>
  <c r="W143" i="3"/>
  <c r="R143" i="3" a="1"/>
  <c r="R143" i="3"/>
  <c r="Q143" i="3" a="1"/>
  <c r="Q143" i="3" s="1"/>
  <c r="P143" i="3"/>
  <c r="E143" i="3"/>
  <c r="AE142" i="3"/>
  <c r="Y142" i="3"/>
  <c r="W142" i="3" a="1"/>
  <c r="W142" i="3" s="1"/>
  <c r="R142" i="3" a="1"/>
  <c r="R142" i="3"/>
  <c r="Q142" i="3" a="1"/>
  <c r="Q142" i="3" s="1"/>
  <c r="P142" i="3"/>
  <c r="E142" i="3"/>
  <c r="W141" i="3" a="1"/>
  <c r="W141" i="3"/>
  <c r="R141" i="3" a="1"/>
  <c r="R141" i="3"/>
  <c r="Q141" i="3" a="1"/>
  <c r="Q141" i="3" s="1"/>
  <c r="W140" i="3" a="1"/>
  <c r="W140" i="3"/>
  <c r="R140" i="3" a="1"/>
  <c r="R140" i="3" s="1"/>
  <c r="Q140" i="3" a="1"/>
  <c r="Q140" i="3" s="1"/>
  <c r="W139" i="3" a="1"/>
  <c r="W139" i="3"/>
  <c r="R139" i="3" a="1"/>
  <c r="R139" i="3" s="1"/>
  <c r="Q139" i="3" a="1"/>
  <c r="Q139" i="3" s="1"/>
  <c r="W138" i="3" a="1"/>
  <c r="W138" i="3"/>
  <c r="R138" i="3" a="1"/>
  <c r="R138" i="3"/>
  <c r="Q138" i="3" a="1"/>
  <c r="Q138" i="3" s="1"/>
  <c r="W137" i="3" a="1"/>
  <c r="W137" i="3"/>
  <c r="R137" i="3" a="1"/>
  <c r="R137" i="3"/>
  <c r="Q137" i="3" a="1"/>
  <c r="Q137" i="3"/>
  <c r="W136" i="3" a="1"/>
  <c r="W136" i="3" s="1"/>
  <c r="R136" i="3" a="1"/>
  <c r="R136" i="3"/>
  <c r="Q136" i="3" a="1"/>
  <c r="Q136" i="3" s="1"/>
  <c r="W135" i="3" a="1"/>
  <c r="W135" i="3"/>
  <c r="R135" i="3" a="1"/>
  <c r="R135" i="3"/>
  <c r="Q135" i="3" a="1"/>
  <c r="Q135" i="3" s="1"/>
  <c r="W134" i="3" a="1"/>
  <c r="W134" i="3" s="1"/>
  <c r="R134" i="3" a="1"/>
  <c r="R134" i="3"/>
  <c r="Q134" i="3" a="1"/>
  <c r="Q134" i="3" s="1"/>
  <c r="W133" i="3" a="1"/>
  <c r="W133" i="3" s="1"/>
  <c r="R133" i="3" a="1"/>
  <c r="R133" i="3"/>
  <c r="Q133" i="3" a="1"/>
  <c r="Q133" i="3"/>
  <c r="W132" i="3" a="1"/>
  <c r="W132" i="3"/>
  <c r="R132" i="3" a="1"/>
  <c r="R132" i="3" s="1"/>
  <c r="Q132" i="3" a="1"/>
  <c r="Q132" i="3" s="1"/>
  <c r="W131" i="3" a="1"/>
  <c r="W131" i="3"/>
  <c r="R131" i="3" a="1"/>
  <c r="R131" i="3"/>
  <c r="Q131" i="3" a="1"/>
  <c r="Q131" i="3"/>
  <c r="W130" i="3" a="1"/>
  <c r="W130" i="3" s="1"/>
  <c r="R130" i="3" a="1"/>
  <c r="R130" i="3" s="1"/>
  <c r="Q130" i="3" a="1"/>
  <c r="Q130" i="3" s="1"/>
  <c r="W129" i="3" a="1"/>
  <c r="W129" i="3"/>
  <c r="R129" i="3" a="1"/>
  <c r="R129" i="3" s="1"/>
  <c r="Q129" i="3" a="1"/>
  <c r="Q129" i="3"/>
  <c r="W128" i="3" a="1"/>
  <c r="W128" i="3"/>
  <c r="R128" i="3" a="1"/>
  <c r="R128" i="3"/>
  <c r="Q128" i="3" a="1"/>
  <c r="Q128" i="3" s="1"/>
  <c r="W127" i="3" a="1"/>
  <c r="W127" i="3"/>
  <c r="R127" i="3" a="1"/>
  <c r="R127" i="3"/>
  <c r="Q127" i="3" a="1"/>
  <c r="Q127" i="3"/>
  <c r="W126" i="3" a="1"/>
  <c r="W126" i="3"/>
  <c r="R126" i="3" a="1"/>
  <c r="R126" i="3" s="1"/>
  <c r="Q126" i="3" a="1"/>
  <c r="Q126" i="3" s="1"/>
  <c r="W125" i="3" a="1"/>
  <c r="W125" i="3" s="1"/>
  <c r="R125" i="3" a="1"/>
  <c r="R125" i="3"/>
  <c r="Q125" i="3" a="1"/>
  <c r="Q125" i="3" s="1"/>
  <c r="W124" i="3" a="1"/>
  <c r="W124" i="3"/>
  <c r="R124" i="3" a="1"/>
  <c r="R124" i="3"/>
  <c r="Q124" i="3" a="1"/>
  <c r="Q124" i="3" s="1"/>
  <c r="W123" i="3" a="1"/>
  <c r="W123" i="3" s="1"/>
  <c r="R123" i="3" a="1"/>
  <c r="R123" i="3"/>
  <c r="Q123" i="3" a="1"/>
  <c r="Q123" i="3"/>
  <c r="W122" i="3" a="1"/>
  <c r="W122" i="3"/>
  <c r="R122" i="3" a="1"/>
  <c r="R122" i="3"/>
  <c r="Q122" i="3" a="1"/>
  <c r="Q122" i="3" s="1"/>
  <c r="W121" i="3" a="1"/>
  <c r="W121" i="3"/>
  <c r="R121" i="3" a="1"/>
  <c r="R121" i="3" s="1"/>
  <c r="Q121" i="3" a="1"/>
  <c r="Q121" i="3"/>
  <c r="W120" i="3" a="1"/>
  <c r="W120" i="3" s="1"/>
  <c r="R120" i="3" a="1"/>
  <c r="R120" i="3"/>
  <c r="Q120" i="3" a="1"/>
  <c r="Q120" i="3" s="1"/>
  <c r="W119" i="3" a="1"/>
  <c r="W119" i="3" s="1"/>
  <c r="R119" i="3" a="1"/>
  <c r="R119" i="3" s="1"/>
  <c r="Q119" i="3" a="1"/>
  <c r="Q119" i="3"/>
  <c r="W118" i="3" a="1"/>
  <c r="W118" i="3"/>
  <c r="R118" i="3" a="1"/>
  <c r="R118" i="3"/>
  <c r="Q118" i="3" a="1"/>
  <c r="Q118" i="3" s="1"/>
  <c r="W117" i="3" a="1"/>
  <c r="W117" i="3"/>
  <c r="R117" i="3" a="1"/>
  <c r="R117" i="3"/>
  <c r="Q117" i="3" a="1"/>
  <c r="Q117" i="3" s="1"/>
  <c r="W116" i="3" a="1"/>
  <c r="W116" i="3"/>
  <c r="R116" i="3" a="1"/>
  <c r="R116" i="3" s="1"/>
  <c r="Q116" i="3" a="1"/>
  <c r="Q116" i="3" s="1"/>
  <c r="W115" i="3" a="1"/>
  <c r="W115" i="3"/>
  <c r="R115" i="3" a="1"/>
  <c r="R115" i="3" s="1"/>
  <c r="Q115" i="3" a="1"/>
  <c r="Q115" i="3" s="1"/>
  <c r="W114" i="3" a="1"/>
  <c r="W114" i="3"/>
  <c r="R114" i="3" a="1"/>
  <c r="R114" i="3"/>
  <c r="Q114" i="3" a="1"/>
  <c r="Q114" i="3" s="1"/>
  <c r="W113" i="3" a="1"/>
  <c r="W113" i="3"/>
  <c r="R113" i="3" a="1"/>
  <c r="R113" i="3"/>
  <c r="Q113" i="3" a="1"/>
  <c r="Q113" i="3"/>
  <c r="W112" i="3" a="1"/>
  <c r="W112" i="3" s="1"/>
  <c r="R112" i="3" a="1"/>
  <c r="R112" i="3"/>
  <c r="Q112" i="3" a="1"/>
  <c r="Q112" i="3" s="1"/>
  <c r="W111" i="3" a="1"/>
  <c r="W111" i="3"/>
  <c r="R111" i="3" a="1"/>
  <c r="R111" i="3"/>
  <c r="Q111" i="3" a="1"/>
  <c r="Q111" i="3" s="1"/>
  <c r="W110" i="3" a="1"/>
  <c r="W110" i="3" s="1"/>
  <c r="R110" i="3" a="1"/>
  <c r="R110" i="3"/>
  <c r="Q110" i="3" a="1"/>
  <c r="Q110" i="3" s="1"/>
  <c r="W109" i="3" a="1"/>
  <c r="W109" i="3" s="1"/>
  <c r="R109" i="3" a="1"/>
  <c r="R109" i="3"/>
  <c r="Q109" i="3" a="1"/>
  <c r="Q109" i="3"/>
  <c r="W108" i="3" a="1"/>
  <c r="W108" i="3"/>
  <c r="R108" i="3" a="1"/>
  <c r="R108" i="3" s="1"/>
  <c r="Q108" i="3" a="1"/>
  <c r="Q108" i="3" s="1"/>
  <c r="W107" i="3" a="1"/>
  <c r="W107" i="3"/>
  <c r="R107" i="3" a="1"/>
  <c r="R107" i="3"/>
  <c r="Q107" i="3" a="1"/>
  <c r="Q107" i="3"/>
  <c r="W106" i="3" a="1"/>
  <c r="W106" i="3" s="1"/>
  <c r="R106" i="3" a="1"/>
  <c r="R106" i="3" s="1"/>
  <c r="Q106" i="3" a="1"/>
  <c r="Q106" i="3" s="1"/>
  <c r="W105" i="3" a="1"/>
  <c r="W105" i="3"/>
  <c r="R105" i="3" a="1"/>
  <c r="R105" i="3" s="1"/>
  <c r="Q105" i="3" a="1"/>
  <c r="Q105" i="3"/>
  <c r="W104" i="3" a="1"/>
  <c r="W104" i="3"/>
  <c r="R104" i="3" a="1"/>
  <c r="R104" i="3"/>
  <c r="Q104" i="3" a="1"/>
  <c r="Q104" i="3" s="1"/>
  <c r="W103" i="3" a="1"/>
  <c r="W103" i="3"/>
  <c r="R103" i="3" a="1"/>
  <c r="R103" i="3"/>
  <c r="Q103" i="3" a="1"/>
  <c r="Q103" i="3"/>
  <c r="W102" i="3" a="1"/>
  <c r="W102" i="3"/>
  <c r="R102" i="3" a="1"/>
  <c r="R102" i="3" s="1"/>
  <c r="Q102" i="3" a="1"/>
  <c r="Q102" i="3" s="1"/>
  <c r="W101" i="3" a="1"/>
  <c r="W101" i="3" s="1"/>
  <c r="R101" i="3" a="1"/>
  <c r="R101" i="3"/>
  <c r="Q101" i="3" a="1"/>
  <c r="Q101" i="3" s="1"/>
  <c r="W100" i="3" a="1"/>
  <c r="W100" i="3"/>
  <c r="R100" i="3" a="1"/>
  <c r="R100" i="3"/>
  <c r="Q100" i="3" a="1"/>
  <c r="Q100" i="3" s="1"/>
  <c r="W99" i="3" a="1"/>
  <c r="W99" i="3" s="1"/>
  <c r="R99" i="3" a="1"/>
  <c r="R99" i="3"/>
  <c r="Q99" i="3" a="1"/>
  <c r="Q99" i="3"/>
  <c r="W98" i="3" a="1"/>
  <c r="W98" i="3"/>
  <c r="R98" i="3" a="1"/>
  <c r="R98" i="3"/>
  <c r="Q98" i="3" a="1"/>
  <c r="Q98" i="3" s="1"/>
  <c r="W97" i="3" a="1"/>
  <c r="W97" i="3"/>
  <c r="R97" i="3" a="1"/>
  <c r="R97" i="3" s="1"/>
  <c r="Q97" i="3" a="1"/>
  <c r="Q97" i="3"/>
  <c r="W96" i="3" a="1"/>
  <c r="W96" i="3" s="1"/>
  <c r="R96" i="3" a="1"/>
  <c r="R96" i="3"/>
  <c r="Q96" i="3" a="1"/>
  <c r="Q96" i="3" s="1"/>
  <c r="W95" i="3" a="1"/>
  <c r="W95" i="3" s="1"/>
  <c r="R95" i="3" a="1"/>
  <c r="R95" i="3" s="1"/>
  <c r="Q95" i="3" a="1"/>
  <c r="Q95" i="3"/>
  <c r="W94" i="3" a="1"/>
  <c r="W94" i="3"/>
  <c r="R94" i="3" a="1"/>
  <c r="R94" i="3"/>
  <c r="Q94" i="3" a="1"/>
  <c r="Q94" i="3" s="1"/>
  <c r="W93" i="3" a="1"/>
  <c r="W93" i="3"/>
  <c r="R93" i="3" a="1"/>
  <c r="R93" i="3"/>
  <c r="Q93" i="3" a="1"/>
  <c r="Q93" i="3" s="1"/>
  <c r="W92" i="3" a="1"/>
  <c r="W92" i="3"/>
  <c r="R92" i="3" a="1"/>
  <c r="R92" i="3" s="1"/>
  <c r="Q92" i="3" a="1"/>
  <c r="Q92" i="3" s="1"/>
  <c r="W91" i="3" a="1"/>
  <c r="W91" i="3"/>
  <c r="R91" i="3" a="1"/>
  <c r="R91" i="3" s="1"/>
  <c r="Q91" i="3" a="1"/>
  <c r="Q91" i="3" s="1"/>
  <c r="W90" i="3" a="1"/>
  <c r="W90" i="3"/>
  <c r="R90" i="3" a="1"/>
  <c r="R90" i="3"/>
  <c r="Q90" i="3" a="1"/>
  <c r="Q90" i="3" s="1"/>
  <c r="W89" i="3" a="1"/>
  <c r="W89" i="3"/>
  <c r="R89" i="3" a="1"/>
  <c r="R89" i="3"/>
  <c r="Q89" i="3" a="1"/>
  <c r="Q89" i="3"/>
  <c r="W88" i="3" a="1"/>
  <c r="W88" i="3" s="1"/>
  <c r="R88" i="3" a="1"/>
  <c r="R88" i="3"/>
  <c r="Q88" i="3" a="1"/>
  <c r="Q88" i="3" s="1"/>
  <c r="W87" i="3" a="1"/>
  <c r="W87" i="3"/>
  <c r="R87" i="3" a="1"/>
  <c r="R87" i="3"/>
  <c r="Q87" i="3" a="1"/>
  <c r="Q87" i="3" s="1"/>
  <c r="W86" i="3" a="1"/>
  <c r="W86" i="3" s="1"/>
  <c r="R86" i="3" a="1"/>
  <c r="R86" i="3"/>
  <c r="Q86" i="3" a="1"/>
  <c r="Q86" i="3" s="1"/>
  <c r="W85" i="3" a="1"/>
  <c r="W85" i="3" s="1"/>
  <c r="R85" i="3" a="1"/>
  <c r="R85" i="3"/>
  <c r="Q85" i="3" a="1"/>
  <c r="Q85" i="3"/>
  <c r="W84" i="3" a="1"/>
  <c r="W84" i="3"/>
  <c r="R84" i="3" a="1"/>
  <c r="R84" i="3" s="1"/>
  <c r="Q84" i="3" a="1"/>
  <c r="Q84" i="3" s="1"/>
  <c r="W83" i="3" a="1"/>
  <c r="W83" i="3"/>
  <c r="R83" i="3" a="1"/>
  <c r="R83" i="3"/>
  <c r="Q83" i="3" a="1"/>
  <c r="Q83" i="3"/>
  <c r="W82" i="3" a="1"/>
  <c r="W82" i="3" s="1"/>
  <c r="R82" i="3" a="1"/>
  <c r="R82" i="3" s="1"/>
  <c r="Q82" i="3" a="1"/>
  <c r="Q82" i="3"/>
  <c r="W81" i="3" a="1"/>
  <c r="W81" i="3"/>
  <c r="R81" i="3" a="1"/>
  <c r="R81" i="3"/>
  <c r="Q81" i="3" a="1"/>
  <c r="Q81" i="3"/>
  <c r="W80" i="3" a="1"/>
  <c r="W80" i="3" s="1"/>
  <c r="R80" i="3" a="1"/>
  <c r="R80" i="3" s="1"/>
  <c r="Q80" i="3" a="1"/>
  <c r="Q80" i="3"/>
  <c r="W79" i="3" a="1"/>
  <c r="W79" i="3"/>
  <c r="R79" i="3" a="1"/>
  <c r="R79" i="3"/>
  <c r="Q79" i="3" a="1"/>
  <c r="Q79" i="3"/>
  <c r="W78" i="3" a="1"/>
  <c r="W78" i="3" s="1"/>
  <c r="R78" i="3" a="1"/>
  <c r="R78" i="3" s="1"/>
  <c r="Q78" i="3" a="1"/>
  <c r="Q78" i="3"/>
  <c r="W77" i="3" a="1"/>
  <c r="W77" i="3"/>
  <c r="R77" i="3" a="1"/>
  <c r="R77" i="3"/>
  <c r="Q77" i="3" a="1"/>
  <c r="Q77" i="3"/>
  <c r="W76" i="3" a="1"/>
  <c r="W76" i="3" s="1"/>
  <c r="R76" i="3" a="1"/>
  <c r="R76" i="3" s="1"/>
  <c r="Q76" i="3" a="1"/>
  <c r="Q76" i="3"/>
  <c r="W75" i="3" a="1"/>
  <c r="W75" i="3"/>
  <c r="R75" i="3" a="1"/>
  <c r="R75" i="3"/>
  <c r="Q75" i="3" a="1"/>
  <c r="Q75" i="3"/>
  <c r="W74" i="3" a="1"/>
  <c r="W74" i="3" s="1"/>
  <c r="R74" i="3" a="1"/>
  <c r="R74" i="3" s="1"/>
  <c r="Q74" i="3" a="1"/>
  <c r="Q74" i="3"/>
  <c r="W73" i="3" a="1"/>
  <c r="W73" i="3"/>
  <c r="R73" i="3" a="1"/>
  <c r="R73" i="3"/>
  <c r="Q73" i="3" a="1"/>
  <c r="Q73" i="3"/>
  <c r="W72" i="3" a="1"/>
  <c r="W72" i="3" s="1"/>
  <c r="R72" i="3" a="1"/>
  <c r="R72" i="3" s="1"/>
  <c r="Q72" i="3" a="1"/>
  <c r="Q72" i="3"/>
  <c r="W71" i="3" a="1"/>
  <c r="W71" i="3"/>
  <c r="R71" i="3" a="1"/>
  <c r="R71" i="3"/>
  <c r="Q71" i="3" a="1"/>
  <c r="Q71" i="3"/>
  <c r="W70" i="3" a="1"/>
  <c r="W70" i="3" s="1"/>
  <c r="R70" i="3" a="1"/>
  <c r="R70" i="3" s="1"/>
  <c r="Q70" i="3" a="1"/>
  <c r="Q70" i="3"/>
  <c r="W69" i="3" a="1"/>
  <c r="W69" i="3"/>
  <c r="R69" i="3" a="1"/>
  <c r="R69" i="3"/>
  <c r="Q69" i="3" a="1"/>
  <c r="Q69" i="3"/>
  <c r="W68" i="3" a="1"/>
  <c r="W68" i="3" s="1"/>
  <c r="R68" i="3" a="1"/>
  <c r="R68" i="3" s="1"/>
  <c r="Q68" i="3" a="1"/>
  <c r="Q68" i="3"/>
  <c r="W67" i="3" a="1"/>
  <c r="W67" i="3"/>
  <c r="R67" i="3" a="1"/>
  <c r="R67" i="3"/>
  <c r="Q67" i="3" a="1"/>
  <c r="Q67" i="3"/>
  <c r="W66" i="3" a="1"/>
  <c r="W66" i="3" s="1"/>
  <c r="R66" i="3" a="1"/>
  <c r="R66" i="3" s="1"/>
  <c r="Q66" i="3" a="1"/>
  <c r="Q66" i="3"/>
  <c r="W65" i="3" a="1"/>
  <c r="W65" i="3"/>
  <c r="R65" i="3" a="1"/>
  <c r="R65" i="3"/>
  <c r="Q65" i="3" a="1"/>
  <c r="Q65" i="3"/>
  <c r="W64" i="3" a="1"/>
  <c r="W64" i="3" s="1"/>
  <c r="R64" i="3" a="1"/>
  <c r="R64" i="3" s="1"/>
  <c r="Q64" i="3" a="1"/>
  <c r="Q64" i="3"/>
  <c r="W63" i="3" a="1"/>
  <c r="W63" i="3"/>
  <c r="R63" i="3" a="1"/>
  <c r="R63" i="3"/>
  <c r="Q63" i="3" a="1"/>
  <c r="Q63" i="3"/>
  <c r="W62" i="3" a="1"/>
  <c r="W62" i="3" s="1"/>
  <c r="R62" i="3" a="1"/>
  <c r="R62" i="3" s="1"/>
  <c r="Q62" i="3" a="1"/>
  <c r="Q62" i="3"/>
  <c r="W61" i="3" a="1"/>
  <c r="W61" i="3"/>
  <c r="R61" i="3" a="1"/>
  <c r="R61" i="3"/>
  <c r="Q61" i="3" a="1"/>
  <c r="Q61" i="3"/>
  <c r="W60" i="3" a="1"/>
  <c r="W60" i="3" s="1"/>
  <c r="R60" i="3" a="1"/>
  <c r="R60" i="3" s="1"/>
  <c r="Q60" i="3" a="1"/>
  <c r="Q60" i="3"/>
  <c r="W59" i="3" a="1"/>
  <c r="W59" i="3"/>
  <c r="R59" i="3" a="1"/>
  <c r="R59" i="3"/>
  <c r="Q59" i="3" a="1"/>
  <c r="Q59" i="3"/>
  <c r="W58" i="3" a="1"/>
  <c r="W58" i="3" s="1"/>
  <c r="R58" i="3" a="1"/>
  <c r="R58" i="3" s="1"/>
  <c r="Q58" i="3" a="1"/>
  <c r="Q58" i="3"/>
  <c r="W57" i="3" a="1"/>
  <c r="W57" i="3"/>
  <c r="R57" i="3" a="1"/>
  <c r="R57" i="3"/>
  <c r="Q57" i="3" a="1"/>
  <c r="Q57" i="3"/>
  <c r="W56" i="3" a="1"/>
  <c r="W56" i="3" s="1"/>
  <c r="R56" i="3" a="1"/>
  <c r="R56" i="3" s="1"/>
  <c r="Q56" i="3" a="1"/>
  <c r="Q56" i="3"/>
  <c r="W55" i="3" a="1"/>
  <c r="W55" i="3"/>
  <c r="R55" i="3" a="1"/>
  <c r="R55" i="3"/>
  <c r="Q55" i="3" a="1"/>
  <c r="Q55" i="3"/>
  <c r="W54" i="3" a="1"/>
  <c r="W54" i="3" s="1"/>
  <c r="R54" i="3" a="1"/>
  <c r="R54" i="3" s="1"/>
  <c r="Q54" i="3" a="1"/>
  <c r="Q54" i="3"/>
  <c r="W53" i="3" a="1"/>
  <c r="W53" i="3"/>
  <c r="R53" i="3" a="1"/>
  <c r="R53" i="3"/>
  <c r="Q53" i="3" a="1"/>
  <c r="Q53" i="3"/>
  <c r="W52" i="3" a="1"/>
  <c r="W52" i="3" s="1"/>
  <c r="R52" i="3" a="1"/>
  <c r="R52" i="3" s="1"/>
  <c r="Q52" i="3" a="1"/>
  <c r="Q52" i="3"/>
  <c r="W51" i="3" a="1"/>
  <c r="W51" i="3"/>
  <c r="R51" i="3" a="1"/>
  <c r="R51" i="3"/>
  <c r="Q51" i="3" a="1"/>
  <c r="Q51" i="3"/>
  <c r="W50" i="3" a="1"/>
  <c r="W50" i="3" s="1"/>
  <c r="R50" i="3" a="1"/>
  <c r="R50" i="3" s="1"/>
  <c r="Q50" i="3" a="1"/>
  <c r="Q50" i="3"/>
  <c r="W49" i="3" a="1"/>
  <c r="W49" i="3"/>
  <c r="R49" i="3" a="1"/>
  <c r="R49" i="3"/>
  <c r="Q49" i="3" a="1"/>
  <c r="Q49" i="3"/>
  <c r="W48" i="3" a="1"/>
  <c r="W48" i="3" s="1"/>
  <c r="R48" i="3" a="1"/>
  <c r="R48" i="3" s="1"/>
  <c r="Q48" i="3" a="1"/>
  <c r="Q48" i="3"/>
  <c r="W47" i="3" a="1"/>
  <c r="W47" i="3"/>
  <c r="R47" i="3" a="1"/>
  <c r="R47" i="3"/>
  <c r="Q47" i="3" a="1"/>
  <c r="Q47" i="3"/>
  <c r="W46" i="3" a="1"/>
  <c r="W46" i="3" s="1"/>
  <c r="R46" i="3" a="1"/>
  <c r="R46" i="3" s="1"/>
  <c r="Q46" i="3" a="1"/>
  <c r="Q46" i="3"/>
  <c r="W45" i="3" a="1"/>
  <c r="W45" i="3"/>
  <c r="R45" i="3" a="1"/>
  <c r="R45" i="3"/>
  <c r="Q45" i="3" a="1"/>
  <c r="Q45" i="3"/>
  <c r="W44" i="3" a="1"/>
  <c r="W44" i="3" s="1"/>
  <c r="R44" i="3" a="1"/>
  <c r="R44" i="3" s="1"/>
  <c r="Q44" i="3" a="1"/>
  <c r="Q44" i="3"/>
  <c r="W43" i="3" a="1"/>
  <c r="W43" i="3"/>
  <c r="R43" i="3" a="1"/>
  <c r="R43" i="3"/>
  <c r="Q43" i="3" a="1"/>
  <c r="Q43" i="3"/>
  <c r="W42" i="3" a="1"/>
  <c r="W42" i="3" s="1"/>
  <c r="R42" i="3" a="1"/>
  <c r="R42" i="3" s="1"/>
  <c r="Q42" i="3" a="1"/>
  <c r="Q42" i="3"/>
  <c r="W41" i="3" a="1"/>
  <c r="W41" i="3"/>
  <c r="R41" i="3" a="1"/>
  <c r="R41" i="3"/>
  <c r="Q41" i="3" a="1"/>
  <c r="Q41" i="3"/>
  <c r="W40" i="3" a="1"/>
  <c r="W40" i="3" s="1"/>
  <c r="R40" i="3" a="1"/>
  <c r="R40" i="3" s="1"/>
  <c r="Q40" i="3" a="1"/>
  <c r="Q40" i="3"/>
  <c r="W39" i="3" a="1"/>
  <c r="W39" i="3"/>
  <c r="R39" i="3" a="1"/>
  <c r="R39" i="3"/>
  <c r="Q39" i="3" a="1"/>
  <c r="Q39" i="3"/>
  <c r="W38" i="3" a="1"/>
  <c r="W38" i="3" s="1"/>
  <c r="R38" i="3" a="1"/>
  <c r="R38" i="3" s="1"/>
  <c r="Q38" i="3" a="1"/>
  <c r="Q38" i="3"/>
  <c r="W37" i="3" a="1"/>
  <c r="W37" i="3"/>
  <c r="R37" i="3" a="1"/>
  <c r="R37" i="3"/>
  <c r="Q37" i="3" a="1"/>
  <c r="Q37" i="3"/>
  <c r="W36" i="3" a="1"/>
  <c r="W36" i="3" s="1"/>
  <c r="R36" i="3" a="1"/>
  <c r="R36" i="3" s="1"/>
  <c r="Q36" i="3" a="1"/>
  <c r="Q36" i="3"/>
  <c r="W35" i="3" a="1"/>
  <c r="W35" i="3"/>
  <c r="R35" i="3" a="1"/>
  <c r="R35" i="3"/>
  <c r="Q35" i="3" a="1"/>
  <c r="Q35" i="3"/>
  <c r="W34" i="3" a="1"/>
  <c r="W34" i="3" s="1"/>
  <c r="R34" i="3" a="1"/>
  <c r="R34" i="3" s="1"/>
  <c r="Q34" i="3" a="1"/>
  <c r="Q34" i="3"/>
  <c r="W33" i="3" a="1"/>
  <c r="W33" i="3"/>
  <c r="R33" i="3" a="1"/>
  <c r="R33" i="3"/>
  <c r="Q33" i="3" a="1"/>
  <c r="Q33" i="3"/>
  <c r="W32" i="3" a="1"/>
  <c r="W32" i="3" s="1"/>
  <c r="R32" i="3" a="1"/>
  <c r="R32" i="3" s="1"/>
  <c r="Q32" i="3" a="1"/>
  <c r="Q32" i="3"/>
  <c r="W31" i="3" a="1"/>
  <c r="W31" i="3"/>
  <c r="R31" i="3" a="1"/>
  <c r="R31" i="3"/>
  <c r="Q31" i="3" a="1"/>
  <c r="Q31" i="3"/>
  <c r="W30" i="3" a="1"/>
  <c r="W30" i="3" s="1"/>
  <c r="R30" i="3" a="1"/>
  <c r="R30" i="3" s="1"/>
  <c r="Q30" i="3" a="1"/>
  <c r="Q30" i="3"/>
  <c r="W29" i="3" a="1"/>
  <c r="W29" i="3"/>
  <c r="R29" i="3" a="1"/>
  <c r="R29" i="3"/>
  <c r="Q29" i="3" a="1"/>
  <c r="Q29" i="3"/>
  <c r="W28" i="3" a="1"/>
  <c r="W28" i="3" s="1"/>
  <c r="R28" i="3" a="1"/>
  <c r="R28" i="3" s="1"/>
  <c r="Q28" i="3" a="1"/>
  <c r="Q28" i="3"/>
  <c r="W27" i="3" a="1"/>
  <c r="W27" i="3"/>
  <c r="R27" i="3" a="1"/>
  <c r="R27" i="3"/>
  <c r="Q27" i="3" a="1"/>
  <c r="Q27" i="3"/>
  <c r="W26" i="3" a="1"/>
  <c r="W26" i="3" s="1"/>
  <c r="R26" i="3" a="1"/>
  <c r="R26" i="3" s="1"/>
  <c r="Q26" i="3" a="1"/>
  <c r="Q26" i="3"/>
  <c r="W25" i="3" a="1"/>
  <c r="W25" i="3"/>
  <c r="R25" i="3" a="1"/>
  <c r="R25" i="3"/>
  <c r="Q25" i="3" a="1"/>
  <c r="Q25" i="3"/>
  <c r="W24" i="3" a="1"/>
  <c r="W24" i="3" s="1"/>
  <c r="R24" i="3" a="1"/>
  <c r="R24" i="3" s="1"/>
  <c r="Q24" i="3" a="1"/>
  <c r="Q24" i="3"/>
  <c r="W23" i="3" a="1"/>
  <c r="W23" i="3"/>
  <c r="R23" i="3" a="1"/>
  <c r="R23" i="3"/>
  <c r="Q23" i="3" a="1"/>
  <c r="Q23" i="3"/>
  <c r="W22" i="3" a="1"/>
  <c r="W22" i="3" s="1"/>
  <c r="R22" i="3" a="1"/>
  <c r="R22" i="3" s="1"/>
  <c r="Q22" i="3" a="1"/>
  <c r="Q22" i="3"/>
  <c r="W21" i="3" a="1"/>
  <c r="W21" i="3"/>
  <c r="R21" i="3" a="1"/>
  <c r="R21" i="3"/>
  <c r="Q21" i="3" a="1"/>
  <c r="Q21" i="3"/>
  <c r="W20" i="3" a="1"/>
  <c r="W20" i="3" s="1"/>
  <c r="R20" i="3" a="1"/>
  <c r="R20" i="3" s="1"/>
  <c r="Q20" i="3" a="1"/>
  <c r="Q20" i="3"/>
  <c r="W19" i="3" a="1"/>
  <c r="W19" i="3"/>
  <c r="R19" i="3" a="1"/>
  <c r="R19" i="3"/>
  <c r="Q19" i="3" a="1"/>
  <c r="Q19" i="3"/>
  <c r="W18" i="3" a="1"/>
  <c r="W18" i="3" s="1"/>
  <c r="R18" i="3" a="1"/>
  <c r="R18" i="3" s="1"/>
  <c r="Q18" i="3" a="1"/>
  <c r="Q18" i="3"/>
  <c r="W17" i="3" a="1"/>
  <c r="W17" i="3"/>
  <c r="R17" i="3" a="1"/>
  <c r="R17" i="3"/>
  <c r="Q17" i="3" a="1"/>
  <c r="Q17" i="3"/>
  <c r="W16" i="3" a="1"/>
  <c r="W16" i="3" s="1"/>
  <c r="R16" i="3" a="1"/>
  <c r="R16" i="3" s="1"/>
  <c r="Q16" i="3" a="1"/>
  <c r="Q16" i="3"/>
  <c r="W15" i="3" a="1"/>
  <c r="W15" i="3"/>
  <c r="R15" i="3" a="1"/>
  <c r="R15" i="3"/>
  <c r="Q15" i="3" a="1"/>
  <c r="Q15" i="3"/>
  <c r="W14" i="3" a="1"/>
  <c r="W14" i="3" s="1"/>
  <c r="R14" i="3" a="1"/>
  <c r="R14" i="3" s="1"/>
  <c r="Q14" i="3" a="1"/>
  <c r="Q14" i="3"/>
  <c r="W13" i="3" a="1"/>
  <c r="W13" i="3"/>
  <c r="R13" i="3" a="1"/>
  <c r="R13" i="3"/>
  <c r="Q13" i="3" a="1"/>
  <c r="Q13" i="3"/>
  <c r="W12" i="3" a="1"/>
  <c r="W12" i="3" s="1"/>
  <c r="R12" i="3" a="1"/>
  <c r="R12" i="3" s="1"/>
  <c r="Q12" i="3" a="1"/>
  <c r="Q12" i="3"/>
  <c r="W11" i="3" a="1"/>
  <c r="W11" i="3"/>
  <c r="R11" i="3" a="1"/>
  <c r="R11" i="3"/>
  <c r="Q11" i="3" a="1"/>
  <c r="Q11" i="3"/>
  <c r="W10" i="3" a="1"/>
  <c r="W10" i="3" s="1"/>
  <c r="R10" i="3" a="1"/>
  <c r="R10" i="3" s="1"/>
  <c r="Q10" i="3" a="1"/>
  <c r="Q10" i="3"/>
  <c r="W9" i="3" a="1"/>
  <c r="W9" i="3"/>
  <c r="R9" i="3" a="1"/>
  <c r="R9" i="3"/>
  <c r="Q9" i="3" a="1"/>
  <c r="Q9" i="3"/>
  <c r="W8" i="3" a="1"/>
  <c r="W8" i="3" s="1"/>
  <c r="R8" i="3" a="1"/>
  <c r="R8" i="3" s="1"/>
  <c r="Q8" i="3" a="1"/>
  <c r="Q8" i="3"/>
  <c r="AE7" i="3"/>
  <c r="W7" i="3" a="1"/>
  <c r="W7" i="3" s="1"/>
  <c r="R7" i="3" a="1"/>
  <c r="R7" i="3"/>
  <c r="Q7" i="3" a="1"/>
  <c r="Q7" i="3"/>
  <c r="AE6" i="3"/>
  <c r="W6" i="3" a="1"/>
  <c r="W6" i="3" s="1"/>
  <c r="R6" i="3" a="1"/>
  <c r="R6" i="3"/>
  <c r="Q6" i="3" a="1"/>
  <c r="Q6" i="3"/>
  <c r="AE5" i="3"/>
  <c r="W5" i="3" a="1"/>
  <c r="W5" i="3"/>
  <c r="R5" i="3" a="1"/>
  <c r="R5" i="3"/>
  <c r="Q5" i="3" a="1"/>
  <c r="Q5" i="3"/>
  <c r="AE4" i="3"/>
  <c r="W4" i="3" a="1"/>
  <c r="W4" i="3"/>
  <c r="R4" i="3" a="1"/>
  <c r="R4" i="3"/>
  <c r="Q4" i="3" a="1"/>
  <c r="Q4" i="3"/>
  <c r="O51" i="2"/>
  <c r="F51" i="2"/>
  <c r="O29" i="2"/>
  <c r="F29" i="2"/>
  <c r="V73" i="2" a="1"/>
  <c r="V73" i="2" s="1"/>
  <c r="Q73" i="2" a="1"/>
  <c r="Q73" i="2" s="1"/>
  <c r="P73" i="2" a="1"/>
  <c r="P73" i="2" s="1"/>
  <c r="O73" i="2"/>
  <c r="E73" i="2"/>
  <c r="V65" i="2" a="1"/>
  <c r="V65" i="2" s="1"/>
  <c r="Q65" i="2" a="1"/>
  <c r="Q65" i="2" s="1"/>
  <c r="P65" i="2" a="1"/>
  <c r="P65" i="2" s="1"/>
  <c r="O65" i="2"/>
  <c r="E65" i="2"/>
  <c r="V67" i="2" a="1"/>
  <c r="V67" i="2" s="1"/>
  <c r="Q67" i="2" a="1"/>
  <c r="Q67" i="2" s="1"/>
  <c r="P67" i="2" a="1"/>
  <c r="P67" i="2" s="1"/>
  <c r="O67" i="2"/>
  <c r="E67" i="2"/>
  <c r="V63" i="2" a="1"/>
  <c r="V63" i="2" s="1"/>
  <c r="Q63" i="2" a="1"/>
  <c r="Q63" i="2" s="1"/>
  <c r="P63" i="2" a="1"/>
  <c r="P63" i="2" s="1"/>
  <c r="O63" i="2"/>
  <c r="E63" i="2"/>
  <c r="V70" i="2" a="1"/>
  <c r="V70" i="2" s="1"/>
  <c r="Q70" i="2" a="1"/>
  <c r="Q70" i="2" s="1"/>
  <c r="P70" i="2" a="1"/>
  <c r="P70" i="2" s="1"/>
  <c r="O70" i="2"/>
  <c r="E70" i="2"/>
  <c r="V72" i="2" a="1"/>
  <c r="V72" i="2" s="1"/>
  <c r="Q72" i="2" a="1"/>
  <c r="Q72" i="2" s="1"/>
  <c r="P72" i="2" a="1"/>
  <c r="P72" i="2" s="1"/>
  <c r="O72" i="2"/>
  <c r="E72" i="2"/>
  <c r="V62" i="2" a="1"/>
  <c r="V62" i="2" s="1"/>
  <c r="O62" i="2"/>
  <c r="E62" i="2"/>
  <c r="V69" i="2" a="1"/>
  <c r="V69" i="2" s="1"/>
  <c r="Q69" i="2" a="1"/>
  <c r="Q69" i="2" s="1"/>
  <c r="P69" i="2" a="1"/>
  <c r="P69" i="2" s="1"/>
  <c r="O69" i="2"/>
  <c r="E69" i="2"/>
  <c r="V56" i="2" a="1"/>
  <c r="V56" i="2" s="1"/>
  <c r="Q56" i="2" a="1"/>
  <c r="Q56" i="2" s="1"/>
  <c r="P56" i="2" a="1"/>
  <c r="P56" i="2" s="1"/>
  <c r="O56" i="2"/>
  <c r="E56" i="2"/>
  <c r="V50" i="2" a="1"/>
  <c r="V50" i="2" s="1"/>
  <c r="Q50" i="2" a="1"/>
  <c r="Q50" i="2" s="1"/>
  <c r="P50" i="2" a="1"/>
  <c r="P50" i="2" s="1"/>
  <c r="O50" i="2"/>
  <c r="E50" i="2"/>
  <c r="V59" i="2" a="1"/>
  <c r="V59" i="2" s="1"/>
  <c r="Q59" i="2" a="1"/>
  <c r="Q59" i="2" s="1"/>
  <c r="P59" i="2" a="1"/>
  <c r="P59" i="2" s="1"/>
  <c r="O59" i="2"/>
  <c r="E59" i="2"/>
  <c r="V53" i="2" a="1"/>
  <c r="V53" i="2" s="1"/>
  <c r="Q53" i="2" a="1"/>
  <c r="Q53" i="2" s="1"/>
  <c r="P53" i="2" a="1"/>
  <c r="P53" i="2" s="1"/>
  <c r="O53" i="2"/>
  <c r="E53" i="2"/>
  <c r="V55" i="2" a="1"/>
  <c r="V55" i="2" s="1"/>
  <c r="Q55" i="2" a="1"/>
  <c r="Q55" i="2" s="1"/>
  <c r="P55" i="2" a="1"/>
  <c r="P55" i="2" s="1"/>
  <c r="O55" i="2"/>
  <c r="E55" i="2"/>
  <c r="V58" i="2" a="1"/>
  <c r="V58" i="2" s="1"/>
  <c r="Q58" i="2" a="1"/>
  <c r="Q58" i="2" s="1"/>
  <c r="P58" i="2" a="1"/>
  <c r="P58" i="2" s="1"/>
  <c r="O58" i="2"/>
  <c r="E58" i="2"/>
  <c r="V48" i="2" a="1"/>
  <c r="V48" i="2" s="1"/>
  <c r="Q48" i="2" a="1"/>
  <c r="Q48" i="2" s="1"/>
  <c r="P48" i="2" a="1"/>
  <c r="P48" i="2" s="1"/>
  <c r="O48" i="2"/>
  <c r="E48" i="2"/>
  <c r="V37" i="2" a="1"/>
  <c r="V37" i="2" s="1"/>
  <c r="Q37" i="2" a="1"/>
  <c r="Q37" i="2" s="1"/>
  <c r="P37" i="2" a="1"/>
  <c r="P37" i="2" s="1"/>
  <c r="O37" i="2"/>
  <c r="E37" i="2"/>
  <c r="V35" i="2" a="1"/>
  <c r="V35" i="2" s="1"/>
  <c r="Q35" i="2" a="1"/>
  <c r="Q35" i="2" s="1"/>
  <c r="P35" i="2" a="1"/>
  <c r="P35" i="2" s="1"/>
  <c r="O35" i="2"/>
  <c r="E35" i="2"/>
  <c r="V42" i="2" a="1"/>
  <c r="V42" i="2" s="1"/>
  <c r="Q42" i="2" a="1"/>
  <c r="Q42" i="2" s="1"/>
  <c r="P42" i="2" a="1"/>
  <c r="P42" i="2" s="1"/>
  <c r="O42" i="2"/>
  <c r="E42" i="2"/>
  <c r="V34" i="2" a="1"/>
  <c r="V34" i="2" s="1"/>
  <c r="Q34" i="2" a="1"/>
  <c r="Q34" i="2" s="1"/>
  <c r="P34" i="2" a="1"/>
  <c r="P34" i="2" s="1"/>
  <c r="O34" i="2"/>
  <c r="E34" i="2"/>
  <c r="V45" i="2" a="1"/>
  <c r="V45" i="2" s="1"/>
  <c r="Q45" i="2" a="1"/>
  <c r="Q45" i="2" s="1"/>
  <c r="P45" i="2" a="1"/>
  <c r="P45" i="2" s="1"/>
  <c r="O45" i="2"/>
  <c r="E45" i="2"/>
  <c r="V41" i="2" a="1"/>
  <c r="V41" i="2" s="1"/>
  <c r="O41" i="2"/>
  <c r="E41" i="2"/>
  <c r="V44" i="2" a="1"/>
  <c r="V44" i="2" s="1"/>
  <c r="O44" i="2"/>
  <c r="E44" i="2"/>
  <c r="V39" i="2" a="1"/>
  <c r="V39" i="2" s="1"/>
  <c r="O39" i="2"/>
  <c r="E39" i="2"/>
  <c r="V31" i="2" a="1"/>
  <c r="V31" i="2" s="1"/>
  <c r="O31" i="2"/>
  <c r="E31" i="2"/>
  <c r="V25" i="2" a="1"/>
  <c r="V25" i="2" s="1"/>
  <c r="O25" i="2"/>
  <c r="E25" i="2"/>
  <c r="V23" i="2" a="1"/>
  <c r="V23" i="2" s="1"/>
  <c r="Q23" i="2" a="1"/>
  <c r="Q23" i="2" s="1"/>
  <c r="P23" i="2" a="1"/>
  <c r="P23" i="2" s="1"/>
  <c r="O23" i="2"/>
  <c r="E23" i="2"/>
  <c r="V28" i="2" a="1"/>
  <c r="V28" i="2" s="1"/>
  <c r="O28" i="2"/>
  <c r="E28" i="2"/>
  <c r="V21" i="2" a="1"/>
  <c r="V21" i="2" s="1"/>
  <c r="O21" i="2"/>
  <c r="E21" i="2"/>
  <c r="V20" i="2" a="1"/>
  <c r="V20" i="2" s="1"/>
  <c r="Q20" i="2" a="1"/>
  <c r="Q20" i="2" s="1"/>
  <c r="P20" i="2" a="1"/>
  <c r="P20" i="2" s="1"/>
  <c r="O20" i="2"/>
  <c r="E20" i="2"/>
  <c r="V27" i="2" a="1"/>
  <c r="V27" i="2" s="1"/>
  <c r="O27" i="2"/>
  <c r="E27" i="2"/>
  <c r="V17" i="2" a="1"/>
  <c r="V17" i="2" s="1"/>
  <c r="O17" i="2"/>
  <c r="E17" i="2"/>
  <c r="V11" i="2" a="1"/>
  <c r="V11" i="2" s="1"/>
  <c r="O11" i="2"/>
  <c r="E11" i="2"/>
  <c r="V7" i="2" a="1"/>
  <c r="V7" i="2" s="1"/>
  <c r="O7" i="2"/>
  <c r="E7" i="2"/>
  <c r="V14" i="2" a="1"/>
  <c r="V14" i="2" s="1"/>
  <c r="Q14" i="2" a="1"/>
  <c r="Q14" i="2" s="1"/>
  <c r="P14" i="2" a="1"/>
  <c r="P14" i="2" s="1"/>
  <c r="O14" i="2"/>
  <c r="E14" i="2"/>
  <c r="V6" i="2" a="1"/>
  <c r="V6" i="2" s="1"/>
  <c r="Q6" i="2" a="1"/>
  <c r="Q6" i="2" s="1"/>
  <c r="P6" i="2" a="1"/>
  <c r="P6" i="2" s="1"/>
  <c r="O6" i="2"/>
  <c r="E6" i="2"/>
  <c r="V9" i="2" a="1"/>
  <c r="V9" i="2" s="1"/>
  <c r="Q9" i="2" a="1"/>
  <c r="Q9" i="2" s="1"/>
  <c r="P9" i="2" a="1"/>
  <c r="P9" i="2" s="1"/>
  <c r="O9" i="2"/>
  <c r="E9" i="2"/>
  <c r="V16" i="2" a="1"/>
  <c r="V16" i="2" s="1"/>
  <c r="O16" i="2"/>
  <c r="E16" i="2"/>
  <c r="V13" i="2" a="1"/>
  <c r="V13" i="2" s="1"/>
  <c r="Q13" i="2" a="1"/>
  <c r="Q13" i="2" s="1"/>
  <c r="P13" i="2" a="1"/>
  <c r="P13" i="2" s="1"/>
  <c r="O13" i="2"/>
  <c r="E13" i="2"/>
  <c r="O66" i="2"/>
  <c r="F66" i="2"/>
  <c r="O61" i="2"/>
  <c r="F61" i="2"/>
  <c r="V60" i="2" a="1"/>
  <c r="V60" i="2" s="1"/>
  <c r="Q60" i="2" a="1"/>
  <c r="Q60" i="2" s="1"/>
  <c r="P60" i="2" a="1"/>
  <c r="P60" i="2" s="1"/>
  <c r="O60" i="2"/>
  <c r="E60" i="2"/>
  <c r="V52" i="2" a="1"/>
  <c r="V52" i="2" s="1"/>
  <c r="Q52" i="2" a="1"/>
  <c r="Q52" i="2" s="1"/>
  <c r="P52" i="2" a="1"/>
  <c r="P52" i="2" s="1"/>
  <c r="O52" i="2"/>
  <c r="E52" i="2"/>
  <c r="V47" i="2" a="1"/>
  <c r="V47" i="2" s="1"/>
  <c r="Q47" i="2" a="1"/>
  <c r="Q47" i="2" s="1"/>
  <c r="P47" i="2" a="1"/>
  <c r="P47" i="2" s="1"/>
  <c r="O47" i="2"/>
  <c r="E47" i="2"/>
  <c r="O54" i="2"/>
  <c r="F54" i="2"/>
  <c r="O43" i="2"/>
  <c r="F43" i="2"/>
  <c r="O33" i="2"/>
  <c r="F33" i="2"/>
  <c r="V36" i="2" a="1"/>
  <c r="V36" i="2" s="1"/>
  <c r="Q36" i="2" a="1"/>
  <c r="Q36" i="2" s="1"/>
  <c r="P36" i="2" a="1"/>
  <c r="P36" i="2" s="1"/>
  <c r="O36" i="2"/>
  <c r="E36" i="2"/>
  <c r="V19" i="2" a="1"/>
  <c r="V19" i="2" s="1"/>
  <c r="Q19" i="2" a="1"/>
  <c r="Q19" i="2" s="1"/>
  <c r="P19" i="2" a="1"/>
  <c r="P19" i="2" s="1"/>
  <c r="O19" i="2"/>
  <c r="E19" i="2"/>
  <c r="V26" i="2" a="1"/>
  <c r="V26" i="2" s="1"/>
  <c r="O26" i="2"/>
  <c r="E26" i="2"/>
  <c r="V30" i="2" a="1"/>
  <c r="V30" i="2"/>
  <c r="Q30" i="2" a="1"/>
  <c r="Q30" i="2" s="1"/>
  <c r="P30" i="2" a="1"/>
  <c r="P30" i="2" s="1"/>
  <c r="O30" i="2"/>
  <c r="E30" i="2"/>
  <c r="V5" i="2" a="1"/>
  <c r="V5" i="2" s="1"/>
  <c r="Q5" i="2" a="1"/>
  <c r="Q5" i="2" s="1"/>
  <c r="P5" i="2" a="1"/>
  <c r="P5" i="2" s="1"/>
  <c r="O5" i="2"/>
  <c r="E5" i="2"/>
  <c r="V12" i="2" a="1"/>
  <c r="V12" i="2" s="1"/>
  <c r="Q12" i="2" a="1"/>
  <c r="Q12" i="2" s="1"/>
  <c r="P12" i="2" a="1"/>
  <c r="P12" i="2" s="1"/>
  <c r="O12" i="2"/>
  <c r="E12" i="2"/>
  <c r="V8" i="2" a="1"/>
  <c r="V8" i="2" s="1"/>
  <c r="O8" i="2"/>
  <c r="E8" i="2"/>
  <c r="O64" i="2"/>
  <c r="F64" i="2"/>
  <c r="O71" i="2"/>
  <c r="F71" i="2"/>
  <c r="O68" i="2"/>
  <c r="F68" i="2"/>
  <c r="V49" i="2" a="1"/>
  <c r="V49" i="2" s="1"/>
  <c r="Q49" i="2" a="1"/>
  <c r="Q49" i="2" s="1"/>
  <c r="P49" i="2" a="1"/>
  <c r="P49" i="2" s="1"/>
  <c r="O49" i="2"/>
  <c r="E49" i="2"/>
  <c r="O46" i="2"/>
  <c r="F46" i="2"/>
  <c r="O57" i="2"/>
  <c r="F57" i="2"/>
  <c r="O32" i="2"/>
  <c r="F32" i="2"/>
  <c r="O40" i="2"/>
  <c r="F40" i="2"/>
  <c r="O38" i="2"/>
  <c r="F38" i="2"/>
  <c r="O24" i="2"/>
  <c r="F24" i="2"/>
  <c r="O18" i="2"/>
  <c r="F18" i="2"/>
  <c r="O22" i="2"/>
  <c r="F22" i="2"/>
  <c r="O4" i="2"/>
  <c r="F4" i="2"/>
  <c r="O10" i="2"/>
  <c r="F10" i="2"/>
  <c r="O15" i="2"/>
  <c r="F15" i="2"/>
  <c r="E51" i="5" l="1"/>
  <c r="F51" i="5"/>
  <c r="E66" i="5"/>
  <c r="F66" i="5"/>
  <c r="E15" i="5"/>
  <c r="F15" i="5"/>
  <c r="F30" i="5"/>
  <c r="E30" i="5"/>
  <c r="F108" i="5"/>
  <c r="E108" i="5"/>
  <c r="E27" i="5"/>
  <c r="F27" i="5"/>
  <c r="E109" i="5"/>
  <c r="F109" i="5"/>
  <c r="E48" i="5"/>
  <c r="F48" i="5"/>
  <c r="F18" i="5"/>
  <c r="E18" i="5"/>
  <c r="E69" i="5"/>
  <c r="F69" i="5"/>
  <c r="E83" i="5"/>
  <c r="F83" i="5"/>
  <c r="E97" i="5"/>
  <c r="F97" i="5"/>
  <c r="F6" i="5"/>
  <c r="E6" i="5"/>
  <c r="E84" i="5"/>
  <c r="F84" i="5"/>
  <c r="E52" i="5"/>
  <c r="E70" i="5"/>
  <c r="F74" i="5"/>
  <c r="F79" i="5"/>
  <c r="F99" i="5"/>
  <c r="N20" i="4"/>
  <c r="N32" i="4"/>
  <c r="L41" i="4"/>
  <c r="L57" i="4"/>
  <c r="F45" i="5"/>
  <c r="E56" i="5"/>
  <c r="F63" i="5"/>
  <c r="F94" i="5"/>
  <c r="E105" i="5"/>
  <c r="F110" i="5"/>
  <c r="E31" i="5"/>
  <c r="L67" i="4"/>
  <c r="E85" i="5"/>
  <c r="F85" i="5"/>
  <c r="N19" i="4"/>
  <c r="N31" i="4"/>
  <c r="L50" i="4"/>
  <c r="L66" i="4"/>
  <c r="E4" i="5"/>
  <c r="E8" i="5"/>
  <c r="E12" i="5"/>
  <c r="E16" i="5"/>
  <c r="E20" i="5"/>
  <c r="E24" i="5"/>
  <c r="E28" i="5"/>
  <c r="E32" i="5"/>
  <c r="E36" i="5"/>
  <c r="E49" i="5"/>
  <c r="E67" i="5"/>
  <c r="F80" i="5"/>
  <c r="E90" i="5"/>
  <c r="F100" i="5"/>
  <c r="E106" i="5"/>
  <c r="F106" i="5"/>
  <c r="F81" i="5"/>
  <c r="E5" i="5"/>
  <c r="E9" i="5"/>
  <c r="E13" i="5"/>
  <c r="E17" i="5"/>
  <c r="E21" i="5"/>
  <c r="E25" i="5"/>
  <c r="E29" i="5"/>
  <c r="E33" i="5"/>
  <c r="E37" i="5"/>
  <c r="E50" i="5"/>
  <c r="F57" i="5"/>
  <c r="E68" i="5"/>
  <c r="E76" i="5"/>
  <c r="F96" i="5"/>
  <c r="E96" i="5"/>
  <c r="N18" i="4"/>
  <c r="N30" i="4"/>
  <c r="E107" i="5"/>
  <c r="F107" i="5"/>
  <c r="N15" i="4"/>
  <c r="N27" i="4"/>
  <c r="N39" i="4"/>
  <c r="L48" i="4"/>
  <c r="N65" i="4"/>
  <c r="E61" i="5"/>
  <c r="F82" i="5"/>
  <c r="E87" i="5"/>
  <c r="N14" i="4"/>
  <c r="N26" i="4"/>
  <c r="N38" i="4"/>
  <c r="F54" i="5"/>
  <c r="F72" i="5"/>
  <c r="F92" i="5"/>
  <c r="F102" i="5"/>
  <c r="F112" i="5"/>
  <c r="E19" i="5"/>
  <c r="E91" i="5"/>
  <c r="F91" i="5"/>
  <c r="E101" i="5"/>
  <c r="F101" i="5"/>
  <c r="E88" i="5"/>
  <c r="F88" i="5"/>
  <c r="N46" i="4"/>
  <c r="L46" i="4"/>
  <c r="E7" i="5"/>
  <c r="N55" i="4"/>
  <c r="L55" i="4"/>
  <c r="E103" i="5"/>
  <c r="F103" i="5"/>
  <c r="L47" i="4"/>
  <c r="N62" i="4"/>
  <c r="L62" i="4"/>
  <c r="G1207" i="6"/>
  <c r="I1206" i="6"/>
  <c r="K17" i="11"/>
  <c r="I17" i="11"/>
  <c r="G331" i="8"/>
  <c r="G2205" i="6"/>
  <c r="I2204" i="6"/>
  <c r="G141" i="8"/>
  <c r="G221" i="8"/>
  <c r="G121" i="8"/>
  <c r="G131" i="8"/>
  <c r="G181" i="8"/>
  <c r="K5" i="11"/>
  <c r="J5" i="11"/>
  <c r="I5" i="11"/>
  <c r="N5" i="11"/>
  <c r="K18" i="11"/>
  <c r="I18" i="11"/>
  <c r="I5" i="12"/>
  <c r="G300" i="8"/>
  <c r="G240" i="8"/>
  <c r="G330" i="8"/>
  <c r="G270" i="8"/>
  <c r="G210" i="8"/>
  <c r="G120" i="8"/>
  <c r="G130" i="8"/>
  <c r="G150" i="8"/>
  <c r="G180" i="8"/>
  <c r="G281" i="8"/>
  <c r="N7" i="11"/>
  <c r="M7" i="11"/>
  <c r="L7" i="11"/>
  <c r="K7" i="11"/>
  <c r="G260" i="8"/>
  <c r="G40" i="8"/>
  <c r="G41" i="8"/>
  <c r="G91" i="8"/>
  <c r="G241" i="8"/>
  <c r="Q5" i="13"/>
  <c r="Q6" i="13" s="1"/>
  <c r="Q7" i="13" s="1"/>
  <c r="Q8" i="13" s="1"/>
  <c r="Q9" i="13" s="1"/>
  <c r="Q10" i="13" s="1"/>
  <c r="Q11" i="13" s="1"/>
  <c r="Q12" i="13" s="1"/>
  <c r="Q13" i="13" s="1"/>
  <c r="Q14" i="13" s="1"/>
  <c r="Q15" i="13" s="1"/>
  <c r="Q16" i="13" s="1"/>
  <c r="Q17" i="13" s="1"/>
  <c r="Q18" i="13" s="1"/>
  <c r="Q19" i="13" s="1"/>
  <c r="Q20" i="13" s="1"/>
  <c r="Q21" i="13" s="1"/>
  <c r="Q22" i="13" s="1"/>
  <c r="Q23" i="13" s="1"/>
  <c r="Q24" i="13" s="1"/>
  <c r="Q25" i="13" s="1"/>
  <c r="Q26" i="13" s="1"/>
  <c r="Q27" i="13" s="1"/>
  <c r="Q28" i="13" s="1"/>
  <c r="Q29" i="13" s="1"/>
  <c r="Q30" i="13" s="1"/>
  <c r="Q31" i="13" s="1"/>
  <c r="Q32" i="13" s="1"/>
  <c r="Q33" i="13" s="1"/>
  <c r="Q34" i="13" s="1"/>
  <c r="Q35" i="13" s="1"/>
  <c r="Q36" i="13" s="1"/>
  <c r="Q37" i="13" s="1"/>
  <c r="Q38" i="13" s="1"/>
  <c r="Q39" i="13" s="1"/>
  <c r="Q40" i="13" s="1"/>
  <c r="Q41" i="13" s="1"/>
  <c r="Q42" i="13" s="1"/>
  <c r="Q43" i="13" s="1"/>
  <c r="Q44" i="13" s="1"/>
  <c r="Q45" i="13" s="1"/>
  <c r="Q46" i="13" s="1"/>
  <c r="Q47" i="13" s="1"/>
  <c r="Q48" i="13" s="1"/>
  <c r="Q49" i="13" s="1"/>
  <c r="Q50" i="13" s="1"/>
  <c r="Q51" i="13" s="1"/>
  <c r="Q52" i="13" s="1"/>
  <c r="Q53" i="13" s="1"/>
  <c r="Q54" i="13" s="1"/>
  <c r="Q55" i="13" s="1"/>
  <c r="Q56" i="13" s="1"/>
  <c r="Q57" i="13" s="1"/>
  <c r="Q58" i="13" s="1"/>
  <c r="Q59" i="13" s="1"/>
  <c r="Q60" i="13" s="1"/>
  <c r="Q61" i="13" s="1"/>
  <c r="Q62" i="13" s="1"/>
  <c r="Q63" i="13" s="1"/>
  <c r="Q64" i="13" s="1"/>
  <c r="Q65" i="13" s="1"/>
  <c r="Q66" i="13" s="1"/>
  <c r="Q67" i="13" s="1"/>
  <c r="Q68" i="13" s="1"/>
  <c r="Q69" i="13" s="1"/>
  <c r="Q70" i="13" s="1"/>
  <c r="Q71" i="13" s="1"/>
  <c r="Q72" i="13" s="1"/>
  <c r="Q73" i="13" s="1"/>
  <c r="Q74" i="13" s="1"/>
  <c r="Q75" i="13" s="1"/>
  <c r="Q76" i="13" s="1"/>
  <c r="Q77" i="13" s="1"/>
  <c r="Q78" i="13" s="1"/>
  <c r="Q79" i="13" s="1"/>
  <c r="Q80" i="13" s="1"/>
  <c r="Q81" i="13" s="1"/>
  <c r="Q82" i="13" s="1"/>
  <c r="Q83" i="13" s="1"/>
  <c r="Q84" i="13" s="1"/>
  <c r="Q85" i="13" s="1"/>
  <c r="Q86" i="13" s="1"/>
  <c r="Q87" i="13" s="1"/>
  <c r="Q88" i="13" s="1"/>
  <c r="Q89" i="13" s="1"/>
  <c r="Q90" i="13" s="1"/>
  <c r="Q91" i="13" s="1"/>
  <c r="Q92" i="13" s="1"/>
  <c r="Q93" i="13" s="1"/>
  <c r="Q94" i="13" s="1"/>
  <c r="Q95" i="13" s="1"/>
  <c r="Q96" i="13" s="1"/>
  <c r="Q97" i="13" s="1"/>
  <c r="Q98" i="13" s="1"/>
  <c r="Q99" i="13" s="1"/>
  <c r="Q100" i="13" s="1"/>
  <c r="Q101" i="13" s="1"/>
  <c r="Q102" i="13" s="1"/>
  <c r="Q103" i="13" s="1"/>
  <c r="Q104" i="13" s="1"/>
  <c r="Q105" i="13" s="1"/>
  <c r="Q106" i="13" s="1"/>
  <c r="Q107" i="13" s="1"/>
  <c r="Q108" i="13" s="1"/>
  <c r="Q109" i="13" s="1"/>
  <c r="Q110" i="13" s="1"/>
  <c r="Q111" i="13" s="1"/>
  <c r="Q112" i="13" s="1"/>
  <c r="Q113" i="13" s="1"/>
  <c r="Q114" i="13" s="1"/>
  <c r="Q115" i="13" s="1"/>
  <c r="Q116" i="13" s="1"/>
  <c r="Q117" i="13" s="1"/>
  <c r="Q118" i="13" s="1"/>
  <c r="Q119" i="13" s="1"/>
  <c r="Q120" i="13" s="1"/>
  <c r="Q121" i="13" s="1"/>
  <c r="Q122" i="13" s="1"/>
  <c r="Q123" i="13" s="1"/>
  <c r="Q124" i="13" s="1"/>
  <c r="Q125" i="13" s="1"/>
  <c r="Q126" i="13" s="1"/>
  <c r="Q127" i="13" s="1"/>
  <c r="Q128" i="13" s="1"/>
  <c r="Q129" i="13" s="1"/>
  <c r="Q130" i="13" s="1"/>
  <c r="Q131" i="13" s="1"/>
  <c r="Q132" i="13" s="1"/>
  <c r="Q133" i="13" s="1"/>
  <c r="Q134" i="13" s="1"/>
  <c r="Q135" i="13" s="1"/>
  <c r="Q136" i="13" s="1"/>
  <c r="Q137" i="13" s="1"/>
  <c r="Q138" i="13" s="1"/>
  <c r="Q139" i="13" s="1"/>
  <c r="Q140" i="13" s="1"/>
  <c r="Q141" i="13" s="1"/>
  <c r="Q142" i="13" s="1"/>
  <c r="Q143" i="13" s="1"/>
  <c r="Q144" i="13" s="1"/>
  <c r="Q145" i="13" s="1"/>
  <c r="Q146" i="13" s="1"/>
  <c r="Q147" i="13" s="1"/>
  <c r="Q148" i="13" s="1"/>
  <c r="Q149" i="13" s="1"/>
  <c r="Q150" i="13" s="1"/>
  <c r="Q151" i="13" s="1"/>
  <c r="Q152" i="13" s="1"/>
  <c r="Q153" i="13" s="1"/>
  <c r="Q154" i="13" s="1"/>
  <c r="Q155" i="13" s="1"/>
  <c r="Q156" i="13" s="1"/>
  <c r="Q157" i="13" s="1"/>
  <c r="Q158" i="13" s="1"/>
  <c r="Q159" i="13" s="1"/>
  <c r="Q160" i="13" s="1"/>
  <c r="Q161" i="13" s="1"/>
  <c r="Q162" i="13" s="1"/>
  <c r="Q163" i="13" s="1"/>
  <c r="Q164" i="13" s="1"/>
  <c r="Q165" i="13" s="1"/>
  <c r="Q166" i="13" s="1"/>
  <c r="Q167" i="13" s="1"/>
  <c r="Q168" i="13" s="1"/>
  <c r="Q169" i="13" s="1"/>
  <c r="Q170" i="13" s="1"/>
  <c r="Q171" i="13" s="1"/>
  <c r="Q172" i="13" s="1"/>
  <c r="Q173" i="13" s="1"/>
  <c r="Q174" i="13" s="1"/>
  <c r="Q175" i="13" s="1"/>
  <c r="Q176" i="13" s="1"/>
  <c r="Q177" i="13" s="1"/>
  <c r="Q178" i="13" s="1"/>
  <c r="Q179" i="13" s="1"/>
  <c r="Q180" i="13" s="1"/>
  <c r="Q181" i="13" s="1"/>
  <c r="Q182" i="13" s="1"/>
  <c r="Q183" i="13" s="1"/>
  <c r="Q184" i="13" s="1"/>
  <c r="Q185" i="13" s="1"/>
  <c r="Q186" i="13" s="1"/>
  <c r="Q187" i="13" s="1"/>
  <c r="Q188" i="13" s="1"/>
  <c r="Q189" i="13" s="1"/>
  <c r="Q190" i="13" s="1"/>
  <c r="Q191" i="13" s="1"/>
  <c r="Q192" i="13" s="1"/>
  <c r="Q193" i="13" s="1"/>
  <c r="Q194" i="13" s="1"/>
  <c r="Q195" i="13" s="1"/>
  <c r="Q196" i="13" s="1"/>
  <c r="Q197" i="13" s="1"/>
  <c r="Q198" i="13" s="1"/>
  <c r="Q199" i="13" s="1"/>
  <c r="Q200" i="13" s="1"/>
  <c r="Q201" i="13" s="1"/>
  <c r="Q202" i="13" s="1"/>
  <c r="Q203" i="13" s="1"/>
  <c r="Q204" i="13" s="1"/>
  <c r="Q205" i="13" s="1"/>
  <c r="Q206" i="13" s="1"/>
  <c r="Q207" i="13" s="1"/>
  <c r="Q208" i="13" s="1"/>
  <c r="Q209" i="13" s="1"/>
  <c r="Q210" i="13" s="1"/>
  <c r="Q211" i="13" s="1"/>
  <c r="Q212" i="13" s="1"/>
  <c r="Q213" i="13" s="1"/>
  <c r="Q214" i="13" s="1"/>
  <c r="Q215" i="13" s="1"/>
  <c r="Q216" i="13" s="1"/>
  <c r="Q217" i="13" s="1"/>
  <c r="Q218" i="13" s="1"/>
  <c r="Q219" i="13" s="1"/>
  <c r="Q220" i="13" s="1"/>
  <c r="Q221" i="13" s="1"/>
  <c r="Q222" i="13" s="1"/>
  <c r="Q223" i="13" s="1"/>
  <c r="Q224" i="13" s="1"/>
  <c r="Q225" i="13" s="1"/>
  <c r="Q226" i="13" s="1"/>
  <c r="Q227" i="13" s="1"/>
  <c r="Q228" i="13" s="1"/>
  <c r="Q229" i="13" s="1"/>
  <c r="Q230" i="13" s="1"/>
  <c r="Q231" i="13" s="1"/>
  <c r="Q232" i="13" s="1"/>
  <c r="Q233" i="13" s="1"/>
  <c r="Q234" i="13" s="1"/>
  <c r="Q235" i="13" s="1"/>
  <c r="Q236" i="13" s="1"/>
  <c r="Q237" i="13" s="1"/>
  <c r="Q238" i="13" s="1"/>
  <c r="Q239" i="13" s="1"/>
  <c r="Q240" i="13" s="1"/>
  <c r="Q241" i="13" s="1"/>
  <c r="Q242" i="13" s="1"/>
  <c r="Q243" i="13" s="1"/>
  <c r="Q244" i="13" s="1"/>
  <c r="Q245" i="13" s="1"/>
  <c r="Q246" i="13" s="1"/>
  <c r="Q247" i="13" s="1"/>
  <c r="Q248" i="13" s="1"/>
  <c r="Q249" i="13" s="1"/>
  <c r="Q250" i="13" s="1"/>
  <c r="Q251" i="13" s="1"/>
  <c r="Q252" i="13" s="1"/>
  <c r="Q253" i="13" s="1"/>
  <c r="Q254" i="13" s="1"/>
  <c r="Q255" i="13" s="1"/>
  <c r="Q256" i="13" s="1"/>
  <c r="Q257" i="13" s="1"/>
  <c r="Q258" i="13" s="1"/>
  <c r="Q259" i="13" s="1"/>
  <c r="Q260" i="13" s="1"/>
  <c r="Q261" i="13" s="1"/>
  <c r="Q262" i="13" s="1"/>
  <c r="Q263" i="13" s="1"/>
  <c r="Q264" i="13" s="1"/>
  <c r="Q265" i="13" s="1"/>
  <c r="Q266" i="13" s="1"/>
  <c r="Q267" i="13" s="1"/>
  <c r="Q268" i="13" s="1"/>
  <c r="Q269" i="13" s="1"/>
  <c r="Q270" i="13" s="1"/>
  <c r="Q271" i="13" s="1"/>
  <c r="Q272" i="13" s="1"/>
  <c r="Q273" i="13" s="1"/>
  <c r="Q274" i="13" s="1"/>
  <c r="Q275" i="13" s="1"/>
  <c r="Q276" i="13" s="1"/>
  <c r="Q277" i="13" s="1"/>
  <c r="Q278" i="13" s="1"/>
  <c r="Q279" i="13" s="1"/>
  <c r="Q280" i="13" s="1"/>
  <c r="Q281" i="13" s="1"/>
  <c r="Q282" i="13" s="1"/>
  <c r="Q283" i="13" s="1"/>
  <c r="Q284" i="13" s="1"/>
  <c r="Q285" i="13" s="1"/>
  <c r="Q286" i="13" s="1"/>
  <c r="Q287" i="13" s="1"/>
  <c r="Q288" i="13" s="1"/>
  <c r="Q289" i="13" s="1"/>
  <c r="Q290" i="13" s="1"/>
  <c r="Q291" i="13" s="1"/>
  <c r="Q292" i="13" s="1"/>
  <c r="Q293" i="13" s="1"/>
  <c r="Q294" i="13" s="1"/>
  <c r="Q295" i="13" s="1"/>
  <c r="Q296" i="13" s="1"/>
  <c r="Q297" i="13" s="1"/>
  <c r="Q298" i="13" s="1"/>
  <c r="Q299" i="13" s="1"/>
  <c r="Q300" i="13" s="1"/>
  <c r="Q301" i="13" s="1"/>
  <c r="Q302" i="13" s="1"/>
  <c r="Q303" i="13" s="1"/>
  <c r="Q304" i="13" s="1"/>
  <c r="K6" i="13"/>
  <c r="K7" i="13" s="1"/>
  <c r="K8" i="13" s="1"/>
  <c r="K9" i="13" s="1"/>
  <c r="K10" i="13" s="1"/>
  <c r="K11" i="13" s="1"/>
  <c r="K12" i="13" s="1"/>
  <c r="K13" i="13" s="1"/>
  <c r="K14" i="13" s="1"/>
  <c r="K15" i="13" s="1"/>
  <c r="K16" i="13" s="1"/>
  <c r="K17" i="13" s="1"/>
  <c r="K18" i="13" s="1"/>
  <c r="K19" i="13" s="1"/>
  <c r="K20" i="13" s="1"/>
  <c r="K21" i="13" s="1"/>
  <c r="K22" i="13" s="1"/>
  <c r="K23" i="13" s="1"/>
  <c r="K24" i="13" s="1"/>
  <c r="K25" i="13" s="1"/>
  <c r="K26" i="13" s="1"/>
  <c r="K27" i="13" s="1"/>
  <c r="K28" i="13" s="1"/>
  <c r="K29" i="13" s="1"/>
  <c r="K30" i="13" s="1"/>
  <c r="K31" i="13" s="1"/>
  <c r="K32" i="13" s="1"/>
  <c r="K33" i="13" s="1"/>
  <c r="K34" i="13" s="1"/>
  <c r="K35" i="13" s="1"/>
  <c r="K36" i="13" s="1"/>
  <c r="K37" i="13" s="1"/>
  <c r="K38" i="13" s="1"/>
  <c r="K39" i="13" s="1"/>
  <c r="K40" i="13" s="1"/>
  <c r="K41" i="13" s="1"/>
  <c r="K42" i="13" s="1"/>
  <c r="K43" i="13" s="1"/>
  <c r="K44" i="13" s="1"/>
  <c r="K45" i="13" s="1"/>
  <c r="K46" i="13" s="1"/>
  <c r="K47" i="13" s="1"/>
  <c r="K48" i="13" s="1"/>
  <c r="K49" i="13" s="1"/>
  <c r="K50" i="13" s="1"/>
  <c r="K51" i="13" s="1"/>
  <c r="K52" i="13" s="1"/>
  <c r="K53" i="13" s="1"/>
  <c r="K54" i="13" s="1"/>
  <c r="K55" i="13" s="1"/>
  <c r="K56" i="13" s="1"/>
  <c r="K57" i="13" s="1"/>
  <c r="K58" i="13" s="1"/>
  <c r="K59" i="13" s="1"/>
  <c r="K60" i="13" s="1"/>
  <c r="K61" i="13" s="1"/>
  <c r="K62" i="13" s="1"/>
  <c r="K63" i="13" s="1"/>
  <c r="K64" i="13" s="1"/>
  <c r="K65" i="13" s="1"/>
  <c r="K66" i="13" s="1"/>
  <c r="K67" i="13" s="1"/>
  <c r="K68" i="13" s="1"/>
  <c r="K69" i="13" s="1"/>
  <c r="K70" i="13" s="1"/>
  <c r="K71" i="13" s="1"/>
  <c r="K72" i="13" s="1"/>
  <c r="K73" i="13" s="1"/>
  <c r="K74" i="13" s="1"/>
  <c r="K75" i="13" s="1"/>
  <c r="K76" i="13" s="1"/>
  <c r="K77" i="13" s="1"/>
  <c r="K78" i="13" s="1"/>
  <c r="K79" i="13" s="1"/>
  <c r="K80" i="13" s="1"/>
  <c r="K81" i="13" s="1"/>
  <c r="K82" i="13" s="1"/>
  <c r="K83" i="13" s="1"/>
  <c r="K84" i="13" s="1"/>
  <c r="K85" i="13" s="1"/>
  <c r="K86" i="13" s="1"/>
  <c r="K87" i="13" s="1"/>
  <c r="K88" i="13" s="1"/>
  <c r="K89" i="13" s="1"/>
  <c r="K90" i="13" s="1"/>
  <c r="K91" i="13" s="1"/>
  <c r="K92" i="13" s="1"/>
  <c r="K93" i="13" s="1"/>
  <c r="K94" i="13" s="1"/>
  <c r="K95" i="13" s="1"/>
  <c r="K96" i="13" s="1"/>
  <c r="K97" i="13" s="1"/>
  <c r="K98" i="13" s="1"/>
  <c r="K99" i="13" s="1"/>
  <c r="K100" i="13" s="1"/>
  <c r="K101" i="13" s="1"/>
  <c r="K102" i="13" s="1"/>
  <c r="K103" i="13" s="1"/>
  <c r="K104" i="13" s="1"/>
  <c r="K105" i="13" s="1"/>
  <c r="K106" i="13" s="1"/>
  <c r="K107" i="13" s="1"/>
  <c r="K108" i="13" s="1"/>
  <c r="K109" i="13" s="1"/>
  <c r="K110" i="13" s="1"/>
  <c r="K111" i="13" s="1"/>
  <c r="K112" i="13" s="1"/>
  <c r="K113" i="13" s="1"/>
  <c r="K114" i="13" s="1"/>
  <c r="K115" i="13" s="1"/>
  <c r="K116" i="13" s="1"/>
  <c r="K117" i="13" s="1"/>
  <c r="K118" i="13" s="1"/>
  <c r="K119" i="13" s="1"/>
  <c r="K120" i="13" s="1"/>
  <c r="K121" i="13" s="1"/>
  <c r="K122" i="13" s="1"/>
  <c r="K123" i="13" s="1"/>
  <c r="K124" i="13" s="1"/>
  <c r="K125" i="13" s="1"/>
  <c r="K126" i="13" s="1"/>
  <c r="K127" i="13" s="1"/>
  <c r="K128" i="13" s="1"/>
  <c r="K129" i="13" s="1"/>
  <c r="K130" i="13" s="1"/>
  <c r="K131" i="13" s="1"/>
  <c r="K132" i="13" s="1"/>
  <c r="K133" i="13" s="1"/>
  <c r="K134" i="13" s="1"/>
  <c r="K135" i="13" s="1"/>
  <c r="K136" i="13" s="1"/>
  <c r="K137" i="13" s="1"/>
  <c r="K138" i="13" s="1"/>
  <c r="K139" i="13" s="1"/>
  <c r="K140" i="13" s="1"/>
  <c r="K141" i="13" s="1"/>
  <c r="K142" i="13" s="1"/>
  <c r="K143" i="13" s="1"/>
  <c r="K144" i="13" s="1"/>
  <c r="K145" i="13" s="1"/>
  <c r="K146" i="13" s="1"/>
  <c r="K147" i="13" s="1"/>
  <c r="K148" i="13" s="1"/>
  <c r="K149" i="13" s="1"/>
  <c r="K150" i="13" s="1"/>
  <c r="K151" i="13" s="1"/>
  <c r="K152" i="13" s="1"/>
  <c r="K153" i="13" s="1"/>
  <c r="K154" i="13" s="1"/>
  <c r="K155" i="13" s="1"/>
  <c r="K156" i="13" s="1"/>
  <c r="K157" i="13" s="1"/>
  <c r="K158" i="13" s="1"/>
  <c r="K159" i="13" s="1"/>
  <c r="K160" i="13" s="1"/>
  <c r="K161" i="13" s="1"/>
  <c r="K162" i="13" s="1"/>
  <c r="K163" i="13" s="1"/>
  <c r="K164" i="13" s="1"/>
  <c r="K165" i="13" s="1"/>
  <c r="K166" i="13" s="1"/>
  <c r="K167" i="13" s="1"/>
  <c r="K168" i="13" s="1"/>
  <c r="K169" i="13" s="1"/>
  <c r="K170" i="13" s="1"/>
  <c r="K171" i="13" s="1"/>
  <c r="K172" i="13" s="1"/>
  <c r="K173" i="13" s="1"/>
  <c r="K174" i="13" s="1"/>
  <c r="K175" i="13" s="1"/>
  <c r="K176" i="13" s="1"/>
  <c r="K177" i="13" s="1"/>
  <c r="K178" i="13" s="1"/>
  <c r="K179" i="13" s="1"/>
  <c r="K180" i="13" s="1"/>
  <c r="K181" i="13" s="1"/>
  <c r="K182" i="13" s="1"/>
  <c r="K183" i="13" s="1"/>
  <c r="K184" i="13" s="1"/>
  <c r="K185" i="13" s="1"/>
  <c r="K186" i="13" s="1"/>
  <c r="K187" i="13" s="1"/>
  <c r="K188" i="13" s="1"/>
  <c r="K189" i="13" s="1"/>
  <c r="K190" i="13" s="1"/>
  <c r="K191" i="13" s="1"/>
  <c r="K192" i="13" s="1"/>
  <c r="K193" i="13" s="1"/>
  <c r="K194" i="13" s="1"/>
  <c r="K195" i="13" s="1"/>
  <c r="K196" i="13" s="1"/>
  <c r="K197" i="13" s="1"/>
  <c r="K198" i="13" s="1"/>
  <c r="K199" i="13" s="1"/>
  <c r="K200" i="13" s="1"/>
  <c r="K201" i="13" s="1"/>
  <c r="K202" i="13" s="1"/>
  <c r="K203" i="13" s="1"/>
  <c r="K204" i="13" s="1"/>
  <c r="K205" i="13" s="1"/>
  <c r="K206" i="13" s="1"/>
  <c r="K207" i="13" s="1"/>
  <c r="K208" i="13" s="1"/>
  <c r="K209" i="13" s="1"/>
  <c r="K210" i="13" s="1"/>
  <c r="K211" i="13" s="1"/>
  <c r="K212" i="13" s="1"/>
  <c r="K213" i="13" s="1"/>
  <c r="K214" i="13" s="1"/>
  <c r="K215" i="13" s="1"/>
  <c r="K216" i="13" s="1"/>
  <c r="K217" i="13" s="1"/>
  <c r="K218" i="13" s="1"/>
  <c r="K219" i="13" s="1"/>
  <c r="K220" i="13" s="1"/>
  <c r="K221" i="13" s="1"/>
  <c r="K222" i="13" s="1"/>
  <c r="K223" i="13" s="1"/>
  <c r="K224" i="13" s="1"/>
  <c r="K225" i="13" s="1"/>
  <c r="K226" i="13" s="1"/>
  <c r="K227" i="13" s="1"/>
  <c r="K228" i="13" s="1"/>
  <c r="K229" i="13" s="1"/>
  <c r="K230" i="13" s="1"/>
  <c r="K231" i="13" s="1"/>
  <c r="K232" i="13" s="1"/>
  <c r="K233" i="13" s="1"/>
  <c r="K234" i="13" s="1"/>
  <c r="K235" i="13" s="1"/>
  <c r="K236" i="13" s="1"/>
  <c r="K237" i="13" s="1"/>
  <c r="K238" i="13" s="1"/>
  <c r="K239" i="13" s="1"/>
  <c r="K240" i="13" s="1"/>
  <c r="K241" i="13" s="1"/>
  <c r="K242" i="13" s="1"/>
  <c r="K243" i="13" s="1"/>
  <c r="K244" i="13" s="1"/>
  <c r="K245" i="13" s="1"/>
  <c r="K246" i="13" s="1"/>
  <c r="K247" i="13" s="1"/>
  <c r="K248" i="13" s="1"/>
  <c r="K249" i="13" s="1"/>
  <c r="K250" i="13" s="1"/>
  <c r="K251" i="13" s="1"/>
  <c r="K252" i="13" s="1"/>
  <c r="K253" i="13" s="1"/>
  <c r="K254" i="13" s="1"/>
  <c r="K255" i="13" s="1"/>
  <c r="K256" i="13" s="1"/>
  <c r="K257" i="13" s="1"/>
  <c r="K258" i="13" s="1"/>
  <c r="K259" i="13" s="1"/>
  <c r="K260" i="13" s="1"/>
  <c r="K261" i="13" s="1"/>
  <c r="K262" i="13" s="1"/>
  <c r="K263" i="13" s="1"/>
  <c r="K264" i="13" s="1"/>
  <c r="K265" i="13" s="1"/>
  <c r="K266" i="13" s="1"/>
  <c r="K267" i="13" s="1"/>
  <c r="K268" i="13" s="1"/>
  <c r="K269" i="13" s="1"/>
  <c r="K270" i="13" s="1"/>
  <c r="K271" i="13" s="1"/>
  <c r="K272" i="13" s="1"/>
  <c r="K273" i="13" s="1"/>
  <c r="K274" i="13" s="1"/>
  <c r="K275" i="13" s="1"/>
  <c r="K276" i="13" s="1"/>
  <c r="K277" i="13" s="1"/>
  <c r="K278" i="13" s="1"/>
  <c r="K279" i="13" s="1"/>
  <c r="K280" i="13" s="1"/>
  <c r="K281" i="13" s="1"/>
  <c r="K282" i="13" s="1"/>
  <c r="K283" i="13" s="1"/>
  <c r="K284" i="13" s="1"/>
  <c r="K285" i="13" s="1"/>
  <c r="K286" i="13" s="1"/>
  <c r="K287" i="13" s="1"/>
  <c r="K288" i="13" s="1"/>
  <c r="K289" i="13" s="1"/>
  <c r="K290" i="13" s="1"/>
  <c r="K291" i="13" s="1"/>
  <c r="K292" i="13" s="1"/>
  <c r="K293" i="13" s="1"/>
  <c r="K294" i="13" s="1"/>
  <c r="K295" i="13" s="1"/>
  <c r="K296" i="13" s="1"/>
  <c r="K297" i="13" s="1"/>
  <c r="K298" i="13" s="1"/>
  <c r="K299" i="13" s="1"/>
  <c r="K300" i="13" s="1"/>
  <c r="K301" i="13" s="1"/>
  <c r="K302" i="13" s="1"/>
  <c r="K303" i="13" s="1"/>
  <c r="K304" i="13" s="1"/>
  <c r="G271" i="8"/>
  <c r="G280" i="8"/>
  <c r="M5" i="11"/>
  <c r="I7" i="11"/>
  <c r="K11" i="11"/>
  <c r="J11" i="11"/>
  <c r="I11" i="11"/>
  <c r="N11" i="11"/>
  <c r="G231" i="8"/>
  <c r="G290" i="8"/>
  <c r="J7" i="11"/>
  <c r="K22" i="11"/>
  <c r="I22" i="11"/>
  <c r="G160" i="8"/>
  <c r="C9" i="13"/>
  <c r="L10" i="11"/>
  <c r="I19" i="11"/>
  <c r="I8" i="11"/>
  <c r="M10" i="11"/>
  <c r="K20" i="11"/>
  <c r="I20" i="11"/>
  <c r="J8" i="11"/>
  <c r="I6" i="11"/>
  <c r="O6" i="13"/>
  <c r="S1003" i="13"/>
  <c r="S991" i="13"/>
  <c r="S979" i="13"/>
  <c r="S967" i="13"/>
  <c r="S955" i="13"/>
  <c r="S943" i="13"/>
  <c r="S931" i="13"/>
  <c r="S919" i="13"/>
  <c r="S907" i="13"/>
  <c r="S895" i="13"/>
  <c r="S883" i="13"/>
  <c r="S871" i="13"/>
  <c r="S859" i="13"/>
  <c r="S847" i="13"/>
  <c r="S835" i="13"/>
  <c r="S823" i="13"/>
  <c r="S811" i="13"/>
  <c r="S799" i="13"/>
  <c r="S787" i="13"/>
  <c r="S775" i="13"/>
  <c r="S763" i="13"/>
  <c r="S751" i="13"/>
  <c r="S739" i="13"/>
  <c r="S727" i="13"/>
  <c r="S715" i="13"/>
  <c r="S703" i="13"/>
  <c r="S691" i="13"/>
  <c r="S679" i="13"/>
  <c r="S667" i="13"/>
  <c r="S655" i="13"/>
  <c r="S643" i="13"/>
  <c r="S631" i="13"/>
  <c r="S619" i="13"/>
  <c r="S607" i="13"/>
  <c r="S595" i="13"/>
  <c r="S583" i="13"/>
  <c r="S571" i="13"/>
  <c r="S559" i="13"/>
  <c r="S547" i="13"/>
  <c r="S535" i="13"/>
  <c r="S523" i="13"/>
  <c r="S511" i="13"/>
  <c r="S499" i="13"/>
  <c r="S487" i="13"/>
  <c r="S475" i="13"/>
  <c r="S463" i="13"/>
  <c r="S451" i="13"/>
  <c r="S439" i="13"/>
  <c r="S427" i="13"/>
  <c r="S415" i="13"/>
  <c r="S403" i="13"/>
  <c r="S391" i="13"/>
  <c r="S379" i="13"/>
  <c r="S367" i="13"/>
  <c r="S355" i="13"/>
  <c r="S343" i="13"/>
  <c r="S331" i="13"/>
  <c r="S319" i="13"/>
  <c r="S307" i="13"/>
  <c r="S1002" i="13"/>
  <c r="S990" i="13"/>
  <c r="S978" i="13"/>
  <c r="S966" i="13"/>
  <c r="S954" i="13"/>
  <c r="S942" i="13"/>
  <c r="S930" i="13"/>
  <c r="S918" i="13"/>
  <c r="S906" i="13"/>
  <c r="S894" i="13"/>
  <c r="S882" i="13"/>
  <c r="S870" i="13"/>
  <c r="S858" i="13"/>
  <c r="S846" i="13"/>
  <c r="S834" i="13"/>
  <c r="S822" i="13"/>
  <c r="S810" i="13"/>
  <c r="S798" i="13"/>
  <c r="S786" i="13"/>
  <c r="S774" i="13"/>
  <c r="S762" i="13"/>
  <c r="S750" i="13"/>
  <c r="S738" i="13"/>
  <c r="S726" i="13"/>
  <c r="S714" i="13"/>
  <c r="S702" i="13"/>
  <c r="S690" i="13"/>
  <c r="S678" i="13"/>
  <c r="S666" i="13"/>
  <c r="S654" i="13"/>
  <c r="S642" i="13"/>
  <c r="S630" i="13"/>
  <c r="S618" i="13"/>
  <c r="S606" i="13"/>
  <c r="S594" i="13"/>
  <c r="S582" i="13"/>
  <c r="S570" i="13"/>
  <c r="S558" i="13"/>
  <c r="S546" i="13"/>
  <c r="S534" i="13"/>
  <c r="S522" i="13"/>
  <c r="S510" i="13"/>
  <c r="S498" i="13"/>
  <c r="S486" i="13"/>
  <c r="S474" i="13"/>
  <c r="S462" i="13"/>
  <c r="S450" i="13"/>
  <c r="S438" i="13"/>
  <c r="S426" i="13"/>
  <c r="S414" i="13"/>
  <c r="S402" i="13"/>
  <c r="S390" i="13"/>
  <c r="S378" i="13"/>
  <c r="S366" i="13"/>
  <c r="S354" i="13"/>
  <c r="S342" i="13"/>
  <c r="S330" i="13"/>
  <c r="S318" i="13"/>
  <c r="S306" i="13"/>
  <c r="S1001" i="13"/>
  <c r="S989" i="13"/>
  <c r="S977" i="13"/>
  <c r="S965" i="13"/>
  <c r="S953" i="13"/>
  <c r="S941" i="13"/>
  <c r="S929" i="13"/>
  <c r="S917" i="13"/>
  <c r="S905" i="13"/>
  <c r="S893" i="13"/>
  <c r="S881" i="13"/>
  <c r="S869" i="13"/>
  <c r="S857" i="13"/>
  <c r="S845" i="13"/>
  <c r="S833" i="13"/>
  <c r="S821" i="13"/>
  <c r="S809" i="13"/>
  <c r="S797" i="13"/>
  <c r="S785" i="13"/>
  <c r="S773" i="13"/>
  <c r="S761" i="13"/>
  <c r="S749" i="13"/>
  <c r="S737" i="13"/>
  <c r="S725" i="13"/>
  <c r="S713" i="13"/>
  <c r="S701" i="13"/>
  <c r="S689" i="13"/>
  <c r="S677" i="13"/>
  <c r="S665" i="13"/>
  <c r="S653" i="13"/>
  <c r="S641" i="13"/>
  <c r="S629" i="13"/>
  <c r="S617" i="13"/>
  <c r="S605" i="13"/>
  <c r="S593" i="13"/>
  <c r="S581" i="13"/>
  <c r="S569" i="13"/>
  <c r="S557" i="13"/>
  <c r="S545" i="13"/>
  <c r="S533" i="13"/>
  <c r="S521" i="13"/>
  <c r="S509" i="13"/>
  <c r="S497" i="13"/>
  <c r="S485" i="13"/>
  <c r="S473" i="13"/>
  <c r="S461" i="13"/>
  <c r="S449" i="13"/>
  <c r="S437" i="13"/>
  <c r="S425" i="13"/>
  <c r="S413" i="13"/>
  <c r="S401" i="13"/>
  <c r="S389" i="13"/>
  <c r="S377" i="13"/>
  <c r="S365" i="13"/>
  <c r="S353" i="13"/>
  <c r="S341" i="13"/>
  <c r="S329" i="13"/>
  <c r="S317" i="13"/>
  <c r="S305" i="13"/>
  <c r="S1000" i="13"/>
  <c r="S988" i="13"/>
  <c r="S976" i="13"/>
  <c r="S964" i="13"/>
  <c r="S952" i="13"/>
  <c r="S940" i="13"/>
  <c r="S928" i="13"/>
  <c r="S916" i="13"/>
  <c r="S904" i="13"/>
  <c r="S892" i="13"/>
  <c r="S880" i="13"/>
  <c r="S868" i="13"/>
  <c r="S856" i="13"/>
  <c r="S844" i="13"/>
  <c r="S832" i="13"/>
  <c r="S820" i="13"/>
  <c r="S808" i="13"/>
  <c r="S796" i="13"/>
  <c r="S784" i="13"/>
  <c r="S772" i="13"/>
  <c r="S760" i="13"/>
  <c r="S748" i="13"/>
  <c r="S736" i="13"/>
  <c r="S724" i="13"/>
  <c r="S712" i="13"/>
  <c r="S700" i="13"/>
  <c r="S688" i="13"/>
  <c r="S676" i="13"/>
  <c r="S664" i="13"/>
  <c r="S652" i="13"/>
  <c r="S640" i="13"/>
  <c r="S628" i="13"/>
  <c r="S616" i="13"/>
  <c r="S604" i="13"/>
  <c r="S592" i="13"/>
  <c r="S580" i="13"/>
  <c r="S568" i="13"/>
  <c r="S556" i="13"/>
  <c r="S544" i="13"/>
  <c r="S532" i="13"/>
  <c r="S520" i="13"/>
  <c r="S508" i="13"/>
  <c r="S496" i="13"/>
  <c r="S484" i="13"/>
  <c r="S472" i="13"/>
  <c r="S460" i="13"/>
  <c r="S448" i="13"/>
  <c r="S436" i="13"/>
  <c r="S424" i="13"/>
  <c r="S412" i="13"/>
  <c r="S400" i="13"/>
  <c r="S388" i="13"/>
  <c r="S376" i="13"/>
  <c r="S364" i="13"/>
  <c r="S352" i="13"/>
  <c r="S340" i="13"/>
  <c r="S328" i="13"/>
  <c r="S316" i="13"/>
  <c r="S999" i="13"/>
  <c r="S998" i="13"/>
  <c r="S986" i="13"/>
  <c r="S974" i="13"/>
  <c r="S962" i="13"/>
  <c r="S950" i="13"/>
  <c r="S938" i="13"/>
  <c r="S926" i="13"/>
  <c r="S914" i="13"/>
  <c r="S902" i="13"/>
  <c r="S890" i="13"/>
  <c r="S878" i="13"/>
  <c r="S866" i="13"/>
  <c r="S854" i="13"/>
  <c r="S842" i="13"/>
  <c r="S830" i="13"/>
  <c r="S818" i="13"/>
  <c r="S806" i="13"/>
  <c r="S794" i="13"/>
  <c r="S782" i="13"/>
  <c r="S770" i="13"/>
  <c r="S758" i="13"/>
  <c r="S746" i="13"/>
  <c r="S734" i="13"/>
  <c r="S722" i="13"/>
  <c r="S710" i="13"/>
  <c r="S698" i="13"/>
  <c r="S686" i="13"/>
  <c r="S674" i="13"/>
  <c r="S662" i="13"/>
  <c r="S650" i="13"/>
  <c r="S638" i="13"/>
  <c r="S626" i="13"/>
  <c r="S614" i="13"/>
  <c r="S602" i="13"/>
  <c r="S590" i="13"/>
  <c r="S578" i="13"/>
  <c r="S566" i="13"/>
  <c r="S554" i="13"/>
  <c r="S542" i="13"/>
  <c r="S530" i="13"/>
  <c r="S518" i="13"/>
  <c r="S506" i="13"/>
  <c r="S494" i="13"/>
  <c r="S482" i="13"/>
  <c r="S470" i="13"/>
  <c r="S458" i="13"/>
  <c r="S446" i="13"/>
  <c r="S434" i="13"/>
  <c r="S422" i="13"/>
  <c r="S410" i="13"/>
  <c r="S398" i="13"/>
  <c r="S386" i="13"/>
  <c r="S374" i="13"/>
  <c r="S362" i="13"/>
  <c r="S350" i="13"/>
  <c r="S338" i="13"/>
  <c r="S326" i="13"/>
  <c r="S314" i="13"/>
  <c r="S997" i="13"/>
  <c r="S985" i="13"/>
  <c r="S973" i="13"/>
  <c r="S961" i="13"/>
  <c r="S949" i="13"/>
  <c r="S937" i="13"/>
  <c r="S925" i="13"/>
  <c r="S913" i="13"/>
  <c r="S901" i="13"/>
  <c r="S889" i="13"/>
  <c r="S877" i="13"/>
  <c r="S865" i="13"/>
  <c r="S853" i="13"/>
  <c r="S841" i="13"/>
  <c r="S829" i="13"/>
  <c r="S817" i="13"/>
  <c r="S805" i="13"/>
  <c r="S793" i="13"/>
  <c r="S781" i="13"/>
  <c r="S769" i="13"/>
  <c r="S757" i="13"/>
  <c r="S745" i="13"/>
  <c r="S733" i="13"/>
  <c r="S721" i="13"/>
  <c r="S709" i="13"/>
  <c r="S697" i="13"/>
  <c r="S685" i="13"/>
  <c r="S673" i="13"/>
  <c r="S661" i="13"/>
  <c r="S649" i="13"/>
  <c r="S637" i="13"/>
  <c r="S625" i="13"/>
  <c r="S613" i="13"/>
  <c r="S601" i="13"/>
  <c r="S589" i="13"/>
  <c r="S577" i="13"/>
  <c r="S565" i="13"/>
  <c r="S553" i="13"/>
  <c r="S541" i="13"/>
  <c r="S529" i="13"/>
  <c r="S517" i="13"/>
  <c r="S505" i="13"/>
  <c r="S493" i="13"/>
  <c r="S481" i="13"/>
  <c r="S469" i="13"/>
  <c r="S457" i="13"/>
  <c r="S445" i="13"/>
  <c r="S433" i="13"/>
  <c r="S421" i="13"/>
  <c r="S409" i="13"/>
  <c r="S397" i="13"/>
  <c r="S385" i="13"/>
  <c r="S373" i="13"/>
  <c r="S361" i="13"/>
  <c r="S349" i="13"/>
  <c r="S337" i="13"/>
  <c r="S325" i="13"/>
  <c r="S313" i="13"/>
  <c r="S996" i="13"/>
  <c r="S984" i="13"/>
  <c r="S972" i="13"/>
  <c r="S960" i="13"/>
  <c r="S948" i="13"/>
  <c r="S936" i="13"/>
  <c r="S924" i="13"/>
  <c r="S912" i="13"/>
  <c r="S900" i="13"/>
  <c r="S888" i="13"/>
  <c r="S876" i="13"/>
  <c r="S864" i="13"/>
  <c r="S852" i="13"/>
  <c r="S840" i="13"/>
  <c r="S828" i="13"/>
  <c r="S816" i="13"/>
  <c r="S804" i="13"/>
  <c r="S792" i="13"/>
  <c r="S780" i="13"/>
  <c r="S768" i="13"/>
  <c r="S756" i="13"/>
  <c r="S744" i="13"/>
  <c r="S732" i="13"/>
  <c r="S720" i="13"/>
  <c r="S708" i="13"/>
  <c r="S696" i="13"/>
  <c r="S684" i="13"/>
  <c r="S672" i="13"/>
  <c r="S660" i="13"/>
  <c r="S648" i="13"/>
  <c r="S636" i="13"/>
  <c r="S624" i="13"/>
  <c r="S612" i="13"/>
  <c r="S600" i="13"/>
  <c r="S588" i="13"/>
  <c r="S576" i="13"/>
  <c r="S564" i="13"/>
  <c r="S552" i="13"/>
  <c r="S540" i="13"/>
  <c r="S528" i="13"/>
  <c r="S516" i="13"/>
  <c r="S504" i="13"/>
  <c r="S492" i="13"/>
  <c r="S480" i="13"/>
  <c r="S468" i="13"/>
  <c r="S456" i="13"/>
  <c r="S444" i="13"/>
  <c r="S432" i="13"/>
  <c r="S420" i="13"/>
  <c r="S408" i="13"/>
  <c r="S396" i="13"/>
  <c r="S384" i="13"/>
  <c r="S372" i="13"/>
  <c r="S360" i="13"/>
  <c r="S348" i="13"/>
  <c r="S336" i="13"/>
  <c r="S324" i="13"/>
  <c r="S312" i="13"/>
  <c r="S994" i="13"/>
  <c r="S982" i="13"/>
  <c r="S970" i="13"/>
  <c r="S958" i="13"/>
  <c r="S946" i="13"/>
  <c r="S934" i="13"/>
  <c r="S922" i="13"/>
  <c r="S910" i="13"/>
  <c r="S898" i="13"/>
  <c r="S886" i="13"/>
  <c r="S874" i="13"/>
  <c r="S862" i="13"/>
  <c r="S850" i="13"/>
  <c r="S838" i="13"/>
  <c r="S826" i="13"/>
  <c r="S814" i="13"/>
  <c r="S802" i="13"/>
  <c r="S790" i="13"/>
  <c r="S778" i="13"/>
  <c r="S766" i="13"/>
  <c r="S754" i="13"/>
  <c r="S742" i="13"/>
  <c r="S730" i="13"/>
  <c r="S718" i="13"/>
  <c r="S706" i="13"/>
  <c r="S694" i="13"/>
  <c r="S682" i="13"/>
  <c r="S670" i="13"/>
  <c r="S658" i="13"/>
  <c r="S646" i="13"/>
  <c r="S634" i="13"/>
  <c r="S622" i="13"/>
  <c r="S610" i="13"/>
  <c r="S598" i="13"/>
  <c r="S586" i="13"/>
  <c r="S574" i="13"/>
  <c r="S562" i="13"/>
  <c r="S550" i="13"/>
  <c r="S538" i="13"/>
  <c r="S526" i="13"/>
  <c r="S514" i="13"/>
  <c r="S502" i="13"/>
  <c r="S490" i="13"/>
  <c r="S478" i="13"/>
  <c r="S466" i="13"/>
  <c r="S454" i="13"/>
  <c r="S442" i="13"/>
  <c r="S430" i="13"/>
  <c r="S418" i="13"/>
  <c r="S406" i="13"/>
  <c r="S394" i="13"/>
  <c r="S382" i="13"/>
  <c r="S370" i="13"/>
  <c r="S358" i="13"/>
  <c r="S346" i="13"/>
  <c r="S334" i="13"/>
  <c r="S322" i="13"/>
  <c r="S310" i="13"/>
  <c r="S993" i="13"/>
  <c r="S981" i="13"/>
  <c r="S969" i="13"/>
  <c r="S957" i="13"/>
  <c r="S945" i="13"/>
  <c r="S933" i="13"/>
  <c r="S921" i="13"/>
  <c r="S909" i="13"/>
  <c r="S897" i="13"/>
  <c r="S885" i="13"/>
  <c r="S873" i="13"/>
  <c r="S861" i="13"/>
  <c r="S849" i="13"/>
  <c r="S837" i="13"/>
  <c r="S825" i="13"/>
  <c r="S813" i="13"/>
  <c r="S801" i="13"/>
  <c r="S789" i="13"/>
  <c r="S777" i="13"/>
  <c r="S765" i="13"/>
  <c r="S753" i="13"/>
  <c r="S741" i="13"/>
  <c r="S729" i="13"/>
  <c r="S717" i="13"/>
  <c r="S705" i="13"/>
  <c r="S693" i="13"/>
  <c r="S681" i="13"/>
  <c r="S669" i="13"/>
  <c r="S657" i="13"/>
  <c r="S645" i="13"/>
  <c r="S633" i="13"/>
  <c r="S621" i="13"/>
  <c r="S609" i="13"/>
  <c r="S597" i="13"/>
  <c r="S585" i="13"/>
  <c r="S573" i="13"/>
  <c r="S561" i="13"/>
  <c r="S549" i="13"/>
  <c r="S537" i="13"/>
  <c r="S525" i="13"/>
  <c r="S513" i="13"/>
  <c r="S501" i="13"/>
  <c r="S489" i="13"/>
  <c r="S477" i="13"/>
  <c r="S465" i="13"/>
  <c r="S453" i="13"/>
  <c r="S441" i="13"/>
  <c r="S429" i="13"/>
  <c r="S417" i="13"/>
  <c r="S405" i="13"/>
  <c r="S393" i="13"/>
  <c r="S381" i="13"/>
  <c r="S369" i="13"/>
  <c r="S357" i="13"/>
  <c r="S345" i="13"/>
  <c r="S333" i="13"/>
  <c r="S321" i="13"/>
  <c r="S309" i="13"/>
  <c r="S995" i="13"/>
  <c r="S947" i="13"/>
  <c r="S899" i="13"/>
  <c r="S851" i="13"/>
  <c r="S803" i="13"/>
  <c r="S755" i="13"/>
  <c r="S707" i="13"/>
  <c r="S659" i="13"/>
  <c r="S611" i="13"/>
  <c r="S563" i="13"/>
  <c r="S515" i="13"/>
  <c r="S467" i="13"/>
  <c r="S419" i="13"/>
  <c r="S371" i="13"/>
  <c r="S323" i="13"/>
  <c r="S992" i="13"/>
  <c r="S944" i="13"/>
  <c r="S896" i="13"/>
  <c r="S848" i="13"/>
  <c r="S800" i="13"/>
  <c r="S752" i="13"/>
  <c r="S704" i="13"/>
  <c r="S656" i="13"/>
  <c r="S608" i="13"/>
  <c r="S560" i="13"/>
  <c r="S512" i="13"/>
  <c r="S464" i="13"/>
  <c r="S416" i="13"/>
  <c r="S368" i="13"/>
  <c r="S320" i="13"/>
  <c r="S987" i="13"/>
  <c r="S939" i="13"/>
  <c r="S891" i="13"/>
  <c r="S843" i="13"/>
  <c r="S795" i="13"/>
  <c r="S747" i="13"/>
  <c r="S699" i="13"/>
  <c r="S651" i="13"/>
  <c r="S603" i="13"/>
  <c r="S555" i="13"/>
  <c r="S507" i="13"/>
  <c r="S459" i="13"/>
  <c r="S411" i="13"/>
  <c r="S363" i="13"/>
  <c r="S315" i="13"/>
  <c r="S983" i="13"/>
  <c r="S935" i="13"/>
  <c r="S887" i="13"/>
  <c r="S839" i="13"/>
  <c r="S791" i="13"/>
  <c r="S743" i="13"/>
  <c r="S695" i="13"/>
  <c r="S647" i="13"/>
  <c r="S599" i="13"/>
  <c r="S551" i="13"/>
  <c r="S503" i="13"/>
  <c r="S455" i="13"/>
  <c r="S407" i="13"/>
  <c r="S359" i="13"/>
  <c r="S311" i="13"/>
  <c r="S980" i="13"/>
  <c r="S932" i="13"/>
  <c r="S884" i="13"/>
  <c r="S836" i="13"/>
  <c r="S788" i="13"/>
  <c r="S740" i="13"/>
  <c r="S692" i="13"/>
  <c r="S644" i="13"/>
  <c r="S596" i="13"/>
  <c r="S548" i="13"/>
  <c r="S500" i="13"/>
  <c r="S452" i="13"/>
  <c r="S404" i="13"/>
  <c r="S356" i="13"/>
  <c r="S308" i="13"/>
  <c r="S975" i="13"/>
  <c r="S927" i="13"/>
  <c r="S879" i="13"/>
  <c r="S831" i="13"/>
  <c r="S783" i="13"/>
  <c r="S735" i="13"/>
  <c r="S687" i="13"/>
  <c r="S639" i="13"/>
  <c r="S591" i="13"/>
  <c r="S543" i="13"/>
  <c r="S495" i="13"/>
  <c r="S447" i="13"/>
  <c r="S399" i="13"/>
  <c r="S351" i="13"/>
  <c r="S968" i="13"/>
  <c r="S920" i="13"/>
  <c r="S872" i="13"/>
  <c r="S824" i="13"/>
  <c r="S776" i="13"/>
  <c r="S728" i="13"/>
  <c r="S680" i="13"/>
  <c r="S632" i="13"/>
  <c r="S584" i="13"/>
  <c r="S536" i="13"/>
  <c r="S488" i="13"/>
  <c r="S440" i="13"/>
  <c r="S392" i="13"/>
  <c r="S344" i="13"/>
  <c r="S959" i="13"/>
  <c r="S911" i="13"/>
  <c r="S863" i="13"/>
  <c r="S815" i="13"/>
  <c r="S767" i="13"/>
  <c r="S719" i="13"/>
  <c r="S671" i="13"/>
  <c r="S623" i="13"/>
  <c r="S575" i="13"/>
  <c r="S527" i="13"/>
  <c r="S479" i="13"/>
  <c r="S431" i="13"/>
  <c r="S383" i="13"/>
  <c r="S335" i="13"/>
  <c r="S956" i="13"/>
  <c r="S908" i="13"/>
  <c r="S860" i="13"/>
  <c r="S812" i="13"/>
  <c r="S764" i="13"/>
  <c r="S716" i="13"/>
  <c r="S668" i="13"/>
  <c r="S620" i="13"/>
  <c r="S572" i="13"/>
  <c r="S524" i="13"/>
  <c r="S476" i="13"/>
  <c r="S428" i="13"/>
  <c r="S380" i="13"/>
  <c r="S332" i="13"/>
  <c r="S971" i="13"/>
  <c r="S779" i="13"/>
  <c r="S587" i="13"/>
  <c r="S395" i="13"/>
  <c r="S963" i="13"/>
  <c r="S771" i="13"/>
  <c r="S579" i="13"/>
  <c r="S387" i="13"/>
  <c r="S951" i="13"/>
  <c r="S759" i="13"/>
  <c r="S567" i="13"/>
  <c r="S375" i="13"/>
  <c r="S923" i="13"/>
  <c r="S731" i="13"/>
  <c r="S539" i="13"/>
  <c r="S347" i="13"/>
  <c r="S915" i="13"/>
  <c r="S723" i="13"/>
  <c r="S531" i="13"/>
  <c r="S339" i="13"/>
  <c r="S903" i="13"/>
  <c r="S711" i="13"/>
  <c r="S519" i="13"/>
  <c r="S327" i="13"/>
  <c r="S875" i="13"/>
  <c r="S683" i="13"/>
  <c r="S491" i="13"/>
  <c r="S867" i="13"/>
  <c r="S675" i="13"/>
  <c r="S483" i="13"/>
  <c r="S827" i="13"/>
  <c r="S635" i="13"/>
  <c r="S443" i="13"/>
  <c r="S855" i="13"/>
  <c r="S819" i="13"/>
  <c r="S807" i="13"/>
  <c r="S663" i="13"/>
  <c r="S627" i="13"/>
  <c r="S615" i="13"/>
  <c r="S435" i="13"/>
  <c r="S471" i="13"/>
  <c r="S423" i="13"/>
  <c r="L8" i="13"/>
  <c r="I9" i="13"/>
  <c r="G311" i="8" l="1"/>
  <c r="G251" i="8"/>
  <c r="J5" i="12"/>
  <c r="G151" i="8"/>
  <c r="G321" i="8"/>
  <c r="G291" i="8"/>
  <c r="G101" i="8"/>
  <c r="G261" i="8"/>
  <c r="G301" i="8"/>
  <c r="G2206" i="6"/>
  <c r="I2205" i="6"/>
  <c r="R6" i="13"/>
  <c r="S6" i="13" s="1"/>
  <c r="O7" i="13"/>
  <c r="G161" i="8"/>
  <c r="G61" i="8"/>
  <c r="F9" i="13"/>
  <c r="C10" i="13"/>
  <c r="G211" i="8"/>
  <c r="L9" i="13"/>
  <c r="I10" i="13"/>
  <c r="G1208" i="6"/>
  <c r="I1207" i="6"/>
  <c r="I2206" i="6" l="1"/>
  <c r="G2207" i="6"/>
  <c r="G1209" i="6"/>
  <c r="I1208" i="6"/>
  <c r="L10" i="13"/>
  <c r="I11" i="13"/>
  <c r="G332" i="8"/>
  <c r="G302" i="8"/>
  <c r="G142" i="8"/>
  <c r="G242" i="8"/>
  <c r="G92" i="8"/>
  <c r="G162" i="8"/>
  <c r="G42" i="8"/>
  <c r="G252" i="8"/>
  <c r="G272" i="8"/>
  <c r="G122" i="8"/>
  <c r="G152" i="8"/>
  <c r="G132" i="8"/>
  <c r="G322" i="8"/>
  <c r="G212" i="8"/>
  <c r="G182" i="8"/>
  <c r="G222" i="8"/>
  <c r="G282" i="8"/>
  <c r="G292" i="8"/>
  <c r="G232" i="8"/>
  <c r="G312" i="8"/>
  <c r="G262" i="8"/>
  <c r="G102" i="8"/>
  <c r="G62" i="8"/>
  <c r="F10" i="13"/>
  <c r="C11" i="13"/>
  <c r="R7" i="13"/>
  <c r="S7" i="13" s="1"/>
  <c r="O8" i="13"/>
  <c r="R8" i="13" l="1"/>
  <c r="S8" i="13" s="1"/>
  <c r="O9" i="13"/>
  <c r="C12" i="13"/>
  <c r="F11" i="13"/>
  <c r="L11" i="13"/>
  <c r="I12" i="13"/>
  <c r="G1210" i="6"/>
  <c r="I1209" i="6"/>
  <c r="G2208" i="6"/>
  <c r="I2207" i="6"/>
  <c r="G2209" i="6" l="1"/>
  <c r="I2208" i="6"/>
  <c r="L12" i="13"/>
  <c r="I13" i="13"/>
  <c r="F12" i="13"/>
  <c r="C13" i="13"/>
  <c r="G1211" i="6"/>
  <c r="I1210" i="6"/>
  <c r="O10" i="13"/>
  <c r="R9" i="13"/>
  <c r="S9" i="13" s="1"/>
  <c r="G2210" i="6" l="1"/>
  <c r="I2209" i="6"/>
  <c r="O11" i="13"/>
  <c r="R10" i="13"/>
  <c r="S10" i="13" s="1"/>
  <c r="G1212" i="6"/>
  <c r="I1211" i="6"/>
  <c r="F13" i="13"/>
  <c r="C14" i="13"/>
  <c r="I14" i="13"/>
  <c r="L13" i="13"/>
  <c r="I15" i="13" l="1"/>
  <c r="L14" i="13"/>
  <c r="F14" i="13"/>
  <c r="C15" i="13"/>
  <c r="G1213" i="6"/>
  <c r="I1212" i="6"/>
  <c r="R11" i="13"/>
  <c r="S11" i="13" s="1"/>
  <c r="O12" i="13"/>
  <c r="I2210" i="6"/>
  <c r="G2211" i="6"/>
  <c r="R12" i="13" l="1"/>
  <c r="S12" i="13" s="1"/>
  <c r="O13" i="13"/>
  <c r="F15" i="13"/>
  <c r="C16" i="13"/>
  <c r="G2212" i="6"/>
  <c r="I2211" i="6"/>
  <c r="G1214" i="6"/>
  <c r="I1213" i="6"/>
  <c r="L15" i="13"/>
  <c r="I16" i="13"/>
  <c r="G1215" i="6" l="1"/>
  <c r="I1214" i="6"/>
  <c r="L16" i="13"/>
  <c r="I17" i="13"/>
  <c r="G2213" i="6"/>
  <c r="I2212" i="6"/>
  <c r="F16" i="13"/>
  <c r="C17" i="13"/>
  <c r="R13" i="13"/>
  <c r="S13" i="13" s="1"/>
  <c r="O14" i="13"/>
  <c r="R14" i="13" l="1"/>
  <c r="S14" i="13" s="1"/>
  <c r="O15" i="13"/>
  <c r="C18" i="13"/>
  <c r="F17" i="13"/>
  <c r="G2214" i="6"/>
  <c r="I2213" i="6"/>
  <c r="L17" i="13"/>
  <c r="I18" i="13"/>
  <c r="G1216" i="6"/>
  <c r="I1215" i="6"/>
  <c r="I2214" i="6" l="1"/>
  <c r="G2215" i="6"/>
  <c r="O16" i="13"/>
  <c r="R15" i="13"/>
  <c r="S15" i="13" s="1"/>
  <c r="G1217" i="6"/>
  <c r="I1216" i="6"/>
  <c r="L18" i="13"/>
  <c r="I19" i="13"/>
  <c r="C19" i="13"/>
  <c r="F18" i="13"/>
  <c r="F19" i="13" l="1"/>
  <c r="C20" i="13"/>
  <c r="I20" i="13"/>
  <c r="L19" i="13"/>
  <c r="G1218" i="6"/>
  <c r="I1217" i="6"/>
  <c r="R16" i="13"/>
  <c r="S16" i="13" s="1"/>
  <c r="O17" i="13"/>
  <c r="I2215" i="6"/>
  <c r="G2216" i="6"/>
  <c r="I2216" i="6" l="1"/>
  <c r="G2217" i="6"/>
  <c r="R17" i="13"/>
  <c r="S17" i="13" s="1"/>
  <c r="O18" i="13"/>
  <c r="G1219" i="6"/>
  <c r="I1218" i="6"/>
  <c r="C21" i="13"/>
  <c r="F20" i="13"/>
  <c r="L20" i="13"/>
  <c r="I21" i="13"/>
  <c r="L21" i="13" l="1"/>
  <c r="I22" i="13"/>
  <c r="F21" i="13"/>
  <c r="C22" i="13"/>
  <c r="G1220" i="6"/>
  <c r="I1219" i="6"/>
  <c r="R18" i="13"/>
  <c r="S18" i="13" s="1"/>
  <c r="O19" i="13"/>
  <c r="G2218" i="6"/>
  <c r="I2217" i="6"/>
  <c r="I2218" i="6" l="1"/>
  <c r="G2219" i="6"/>
  <c r="R19" i="13"/>
  <c r="S19" i="13" s="1"/>
  <c r="O20" i="13"/>
  <c r="G1221" i="6"/>
  <c r="I1220" i="6"/>
  <c r="F22" i="13"/>
  <c r="C23" i="13"/>
  <c r="L22" i="13"/>
  <c r="I23" i="13"/>
  <c r="C24" i="13" l="1"/>
  <c r="F23" i="13"/>
  <c r="L23" i="13"/>
  <c r="I24" i="13"/>
  <c r="G1222" i="6"/>
  <c r="I1221" i="6"/>
  <c r="R20" i="13"/>
  <c r="S20" i="13" s="1"/>
  <c r="O21" i="13"/>
  <c r="I2219" i="6"/>
  <c r="G2220" i="6"/>
  <c r="G2221" i="6" l="1"/>
  <c r="I2220" i="6"/>
  <c r="O22" i="13"/>
  <c r="R21" i="13"/>
  <c r="S21" i="13" s="1"/>
  <c r="G1223" i="6"/>
  <c r="I1222" i="6"/>
  <c r="L24" i="13"/>
  <c r="I25" i="13"/>
  <c r="F24" i="13"/>
  <c r="C25" i="13"/>
  <c r="F25" i="13" l="1"/>
  <c r="C26" i="13"/>
  <c r="G1224" i="6"/>
  <c r="I1223" i="6"/>
  <c r="I26" i="13"/>
  <c r="L25" i="13"/>
  <c r="O23" i="13"/>
  <c r="R22" i="13"/>
  <c r="S22" i="13" s="1"/>
  <c r="G2222" i="6"/>
  <c r="I2221" i="6"/>
  <c r="G1225" i="6" l="1"/>
  <c r="I1224" i="6"/>
  <c r="F26" i="13"/>
  <c r="C27" i="13"/>
  <c r="I2222" i="6"/>
  <c r="G2223" i="6"/>
  <c r="R23" i="13"/>
  <c r="S23" i="13" s="1"/>
  <c r="O24" i="13"/>
  <c r="I27" i="13"/>
  <c r="L26" i="13"/>
  <c r="L27" i="13" l="1"/>
  <c r="I28" i="13"/>
  <c r="R24" i="13"/>
  <c r="S24" i="13" s="1"/>
  <c r="O25" i="13"/>
  <c r="G2224" i="6"/>
  <c r="I2223" i="6"/>
  <c r="F27" i="13"/>
  <c r="C28" i="13"/>
  <c r="G1226" i="6"/>
  <c r="I1225" i="6"/>
  <c r="F28" i="13" l="1"/>
  <c r="C29" i="13"/>
  <c r="G1227" i="6"/>
  <c r="I1226" i="6"/>
  <c r="I2224" i="6"/>
  <c r="G2225" i="6"/>
  <c r="R25" i="13"/>
  <c r="S25" i="13" s="1"/>
  <c r="O26" i="13"/>
  <c r="I29" i="13"/>
  <c r="L28" i="13"/>
  <c r="R26" i="13" l="1"/>
  <c r="S26" i="13" s="1"/>
  <c r="O27" i="13"/>
  <c r="G2226" i="6"/>
  <c r="I2225" i="6"/>
  <c r="L29" i="13"/>
  <c r="I30" i="13"/>
  <c r="G1228" i="6"/>
  <c r="I1227" i="6"/>
  <c r="C30" i="13"/>
  <c r="F29" i="13"/>
  <c r="C31" i="13" l="1"/>
  <c r="F30" i="13"/>
  <c r="G1229" i="6"/>
  <c r="I1228" i="6"/>
  <c r="L30" i="13"/>
  <c r="I31" i="13"/>
  <c r="I2226" i="6"/>
  <c r="G2227" i="6"/>
  <c r="O28" i="13"/>
  <c r="R27" i="13"/>
  <c r="S27" i="13" s="1"/>
  <c r="G2228" i="6" l="1"/>
  <c r="I2227" i="6"/>
  <c r="I32" i="13"/>
  <c r="L31" i="13"/>
  <c r="R28" i="13"/>
  <c r="S28" i="13" s="1"/>
  <c r="O29" i="13"/>
  <c r="G1230" i="6"/>
  <c r="I1229" i="6"/>
  <c r="F31" i="13"/>
  <c r="C32" i="13"/>
  <c r="I2228" i="6" l="1"/>
  <c r="G2229" i="6"/>
  <c r="F32" i="13"/>
  <c r="C33" i="13"/>
  <c r="G1231" i="6"/>
  <c r="I1230" i="6"/>
  <c r="R29" i="13"/>
  <c r="S29" i="13" s="1"/>
  <c r="O30" i="13"/>
  <c r="L32" i="13"/>
  <c r="I33" i="13"/>
  <c r="L33" i="13" l="1"/>
  <c r="I34" i="13"/>
  <c r="F33" i="13"/>
  <c r="C34" i="13"/>
  <c r="R30" i="13"/>
  <c r="S30" i="13" s="1"/>
  <c r="O31" i="13"/>
  <c r="G1232" i="6"/>
  <c r="I1231" i="6"/>
  <c r="G2230" i="6"/>
  <c r="I2229" i="6"/>
  <c r="R31" i="13" l="1"/>
  <c r="S31" i="13" s="1"/>
  <c r="O32" i="13"/>
  <c r="F34" i="13"/>
  <c r="C35" i="13"/>
  <c r="I2230" i="6"/>
  <c r="G2231" i="6"/>
  <c r="G1233" i="6"/>
  <c r="I1232" i="6"/>
  <c r="L34" i="13"/>
  <c r="I35" i="13"/>
  <c r="L35" i="13" l="1"/>
  <c r="I36" i="13"/>
  <c r="G2232" i="6"/>
  <c r="I2231" i="6"/>
  <c r="G1234" i="6"/>
  <c r="I1233" i="6"/>
  <c r="C36" i="13"/>
  <c r="F35" i="13"/>
  <c r="R32" i="13"/>
  <c r="S32" i="13" s="1"/>
  <c r="O33" i="13"/>
  <c r="O34" i="13" l="1"/>
  <c r="R33" i="13"/>
  <c r="S33" i="13" s="1"/>
  <c r="F36" i="13"/>
  <c r="C37" i="13"/>
  <c r="G1235" i="6"/>
  <c r="I1234" i="6"/>
  <c r="I2232" i="6"/>
  <c r="G2233" i="6"/>
  <c r="L36" i="13"/>
  <c r="I37" i="13"/>
  <c r="I38" i="13" l="1"/>
  <c r="L37" i="13"/>
  <c r="G2234" i="6"/>
  <c r="I2233" i="6"/>
  <c r="G1236" i="6"/>
  <c r="I1235" i="6"/>
  <c r="F37" i="13"/>
  <c r="C38" i="13"/>
  <c r="O35" i="13"/>
  <c r="R34" i="13"/>
  <c r="S34" i="13" s="1"/>
  <c r="F38" i="13" l="1"/>
  <c r="C39" i="13"/>
  <c r="R35" i="13"/>
  <c r="S35" i="13" s="1"/>
  <c r="O36" i="13"/>
  <c r="I2234" i="6"/>
  <c r="G2235" i="6"/>
  <c r="G1237" i="6"/>
  <c r="I1236" i="6"/>
  <c r="I39" i="13"/>
  <c r="L38" i="13"/>
  <c r="L39" i="13" l="1"/>
  <c r="I40" i="13"/>
  <c r="G1238" i="6"/>
  <c r="I1237" i="6"/>
  <c r="G2236" i="6"/>
  <c r="I2235" i="6"/>
  <c r="O37" i="13"/>
  <c r="R36" i="13"/>
  <c r="S36" i="13" s="1"/>
  <c r="F39" i="13"/>
  <c r="C40" i="13"/>
  <c r="F40" i="13" l="1"/>
  <c r="C41" i="13"/>
  <c r="R37" i="13"/>
  <c r="S37" i="13" s="1"/>
  <c r="O38" i="13"/>
  <c r="G2237" i="6"/>
  <c r="I2236" i="6"/>
  <c r="G1239" i="6"/>
  <c r="I1238" i="6"/>
  <c r="L40" i="13"/>
  <c r="I41" i="13"/>
  <c r="G1240" i="6" l="1"/>
  <c r="I1239" i="6"/>
  <c r="L41" i="13"/>
  <c r="I42" i="13"/>
  <c r="R38" i="13"/>
  <c r="S38" i="13" s="1"/>
  <c r="O39" i="13"/>
  <c r="G2238" i="6"/>
  <c r="I2237" i="6"/>
  <c r="C42" i="13"/>
  <c r="F41" i="13"/>
  <c r="I2238" i="6" l="1"/>
  <c r="G2239" i="6"/>
  <c r="C43" i="13"/>
  <c r="F42" i="13"/>
  <c r="O40" i="13"/>
  <c r="R39" i="13"/>
  <c r="S39" i="13" s="1"/>
  <c r="L42" i="13"/>
  <c r="I43" i="13"/>
  <c r="G1241" i="6"/>
  <c r="I1240" i="6"/>
  <c r="G1242" i="6" l="1"/>
  <c r="I1241" i="6"/>
  <c r="I44" i="13"/>
  <c r="L43" i="13"/>
  <c r="G2240" i="6"/>
  <c r="I2239" i="6"/>
  <c r="R40" i="13"/>
  <c r="S40" i="13" s="1"/>
  <c r="O41" i="13"/>
  <c r="F43" i="13"/>
  <c r="C44" i="13"/>
  <c r="F44" i="13" l="1"/>
  <c r="C45" i="13"/>
  <c r="R41" i="13"/>
  <c r="S41" i="13" s="1"/>
  <c r="O42" i="13"/>
  <c r="G2241" i="6"/>
  <c r="I2240" i="6"/>
  <c r="L44" i="13"/>
  <c r="I45" i="13"/>
  <c r="G1243" i="6"/>
  <c r="I1242" i="6"/>
  <c r="G1244" i="6" l="1"/>
  <c r="I1243" i="6"/>
  <c r="L45" i="13"/>
  <c r="I46" i="13"/>
  <c r="I2241" i="6"/>
  <c r="G2242" i="6"/>
  <c r="R42" i="13"/>
  <c r="S42" i="13" s="1"/>
  <c r="O43" i="13"/>
  <c r="F45" i="13"/>
  <c r="C46" i="13"/>
  <c r="R43" i="13" l="1"/>
  <c r="S43" i="13" s="1"/>
  <c r="O44" i="13"/>
  <c r="I2242" i="6"/>
  <c r="G2243" i="6"/>
  <c r="L46" i="13"/>
  <c r="I47" i="13"/>
  <c r="F46" i="13"/>
  <c r="C47" i="13"/>
  <c r="G1245" i="6"/>
  <c r="I1244" i="6"/>
  <c r="G2244" i="6" l="1"/>
  <c r="I2243" i="6"/>
  <c r="R44" i="13"/>
  <c r="S44" i="13" s="1"/>
  <c r="O45" i="13"/>
  <c r="G1246" i="6"/>
  <c r="I1245" i="6"/>
  <c r="C48" i="13"/>
  <c r="F47" i="13"/>
  <c r="L47" i="13"/>
  <c r="I48" i="13"/>
  <c r="F48" i="13" l="1"/>
  <c r="C49" i="13"/>
  <c r="G1247" i="6"/>
  <c r="I1246" i="6"/>
  <c r="O46" i="13"/>
  <c r="R45" i="13"/>
  <c r="S45" i="13" s="1"/>
  <c r="L48" i="13"/>
  <c r="I49" i="13"/>
  <c r="G2245" i="6"/>
  <c r="I2244" i="6"/>
  <c r="I50" i="13" l="1"/>
  <c r="L49" i="13"/>
  <c r="I2245" i="6"/>
  <c r="G2246" i="6"/>
  <c r="O47" i="13"/>
  <c r="R46" i="13"/>
  <c r="S46" i="13" s="1"/>
  <c r="G1248" i="6"/>
  <c r="I1247" i="6"/>
  <c r="F49" i="13"/>
  <c r="C50" i="13"/>
  <c r="F50" i="13" l="1"/>
  <c r="C51" i="13"/>
  <c r="G1249" i="6"/>
  <c r="I1248" i="6"/>
  <c r="R47" i="13"/>
  <c r="S47" i="13" s="1"/>
  <c r="O48" i="13"/>
  <c r="I2246" i="6"/>
  <c r="G2247" i="6"/>
  <c r="I51" i="13"/>
  <c r="L50" i="13"/>
  <c r="G2248" i="6" l="1"/>
  <c r="I2247" i="6"/>
  <c r="R48" i="13"/>
  <c r="S48" i="13" s="1"/>
  <c r="O49" i="13"/>
  <c r="L51" i="13"/>
  <c r="I52" i="13"/>
  <c r="G1250" i="6"/>
  <c r="I1249" i="6"/>
  <c r="F51" i="13"/>
  <c r="C52" i="13"/>
  <c r="F52" i="13" l="1"/>
  <c r="C53" i="13"/>
  <c r="R49" i="13"/>
  <c r="S49" i="13" s="1"/>
  <c r="O50" i="13"/>
  <c r="G1251" i="6"/>
  <c r="I1250" i="6"/>
  <c r="L52" i="13"/>
  <c r="I53" i="13"/>
  <c r="G2249" i="6"/>
  <c r="I2248" i="6"/>
  <c r="G1252" i="6" l="1"/>
  <c r="I1251" i="6"/>
  <c r="R50" i="13"/>
  <c r="S50" i="13" s="1"/>
  <c r="O51" i="13"/>
  <c r="G2250" i="6"/>
  <c r="I2249" i="6"/>
  <c r="L53" i="13"/>
  <c r="I54" i="13"/>
  <c r="C54" i="13"/>
  <c r="F53" i="13"/>
  <c r="I2250" i="6" l="1"/>
  <c r="G2251" i="6"/>
  <c r="O52" i="13"/>
  <c r="R51" i="13"/>
  <c r="S51" i="13" s="1"/>
  <c r="C55" i="13"/>
  <c r="F54" i="13"/>
  <c r="L54" i="13"/>
  <c r="I55" i="13"/>
  <c r="G1253" i="6"/>
  <c r="I1252" i="6"/>
  <c r="G1254" i="6" l="1"/>
  <c r="I1253" i="6"/>
  <c r="I56" i="13"/>
  <c r="L55" i="13"/>
  <c r="R52" i="13"/>
  <c r="S52" i="13" s="1"/>
  <c r="O53" i="13"/>
  <c r="I2251" i="6"/>
  <c r="G2252" i="6"/>
  <c r="F55" i="13"/>
  <c r="C56" i="13"/>
  <c r="R53" i="13" l="1"/>
  <c r="S53" i="13" s="1"/>
  <c r="O54" i="13"/>
  <c r="G2253" i="6"/>
  <c r="I2252" i="6"/>
  <c r="C57" i="13"/>
  <c r="F56" i="13"/>
  <c r="L56" i="13"/>
  <c r="I57" i="13"/>
  <c r="G1255" i="6"/>
  <c r="I1254" i="6"/>
  <c r="G1256" i="6" l="1"/>
  <c r="I1255" i="6"/>
  <c r="L57" i="13"/>
  <c r="I58" i="13"/>
  <c r="F57" i="13"/>
  <c r="C58" i="13"/>
  <c r="G2254" i="6"/>
  <c r="I2253" i="6"/>
  <c r="R54" i="13"/>
  <c r="S54" i="13" s="1"/>
  <c r="O55" i="13"/>
  <c r="R55" i="13" l="1"/>
  <c r="S55" i="13" s="1"/>
  <c r="O56" i="13"/>
  <c r="I2254" i="6"/>
  <c r="G2255" i="6"/>
  <c r="F58" i="13"/>
  <c r="C59" i="13"/>
  <c r="L58" i="13"/>
  <c r="I59" i="13"/>
  <c r="G1257" i="6"/>
  <c r="I1256" i="6"/>
  <c r="G1258" i="6" l="1"/>
  <c r="I1257" i="6"/>
  <c r="G2256" i="6"/>
  <c r="I2255" i="6"/>
  <c r="R56" i="13"/>
  <c r="S56" i="13" s="1"/>
  <c r="O57" i="13"/>
  <c r="L59" i="13"/>
  <c r="I60" i="13"/>
  <c r="C60" i="13"/>
  <c r="F59" i="13"/>
  <c r="F60" i="13" l="1"/>
  <c r="C61" i="13"/>
  <c r="L60" i="13"/>
  <c r="I61" i="13"/>
  <c r="O58" i="13"/>
  <c r="R57" i="13"/>
  <c r="S57" i="13" s="1"/>
  <c r="G2257" i="6"/>
  <c r="I2256" i="6"/>
  <c r="G1259" i="6"/>
  <c r="I1258" i="6"/>
  <c r="G2258" i="6" l="1"/>
  <c r="I2257" i="6"/>
  <c r="O59" i="13"/>
  <c r="R58" i="13"/>
  <c r="S58" i="13" s="1"/>
  <c r="I62" i="13"/>
  <c r="L61" i="13"/>
  <c r="G1260" i="6"/>
  <c r="I1259" i="6"/>
  <c r="F61" i="13"/>
  <c r="C62" i="13"/>
  <c r="F62" i="13" l="1"/>
  <c r="C63" i="13"/>
  <c r="G1261" i="6"/>
  <c r="I1260" i="6"/>
  <c r="I63" i="13"/>
  <c r="L62" i="13"/>
  <c r="R59" i="13"/>
  <c r="S59" i="13" s="1"/>
  <c r="O60" i="13"/>
  <c r="I2258" i="6"/>
  <c r="G2259" i="6"/>
  <c r="R60" i="13" l="1"/>
  <c r="S60" i="13" s="1"/>
  <c r="O61" i="13"/>
  <c r="I2259" i="6"/>
  <c r="G2260" i="6"/>
  <c r="L63" i="13"/>
  <c r="I64" i="13"/>
  <c r="G1262" i="6"/>
  <c r="I1261" i="6"/>
  <c r="F63" i="13"/>
  <c r="C64" i="13"/>
  <c r="G2261" i="6" l="1"/>
  <c r="I2260" i="6"/>
  <c r="R61" i="13"/>
  <c r="S61" i="13" s="1"/>
  <c r="O62" i="13"/>
  <c r="F64" i="13"/>
  <c r="C65" i="13"/>
  <c r="G1263" i="6"/>
  <c r="I1262" i="6"/>
  <c r="I65" i="13"/>
  <c r="L64" i="13"/>
  <c r="G1264" i="6" l="1"/>
  <c r="I1263" i="6"/>
  <c r="C66" i="13"/>
  <c r="F65" i="13"/>
  <c r="R62" i="13"/>
  <c r="S62" i="13" s="1"/>
  <c r="O63" i="13"/>
  <c r="L65" i="13"/>
  <c r="I66" i="13"/>
  <c r="G2262" i="6"/>
  <c r="I2261" i="6"/>
  <c r="L66" i="13" l="1"/>
  <c r="I67" i="13"/>
  <c r="I2262" i="6"/>
  <c r="G2263" i="6"/>
  <c r="O64" i="13"/>
  <c r="R63" i="13"/>
  <c r="S63" i="13" s="1"/>
  <c r="C67" i="13"/>
  <c r="F66" i="13"/>
  <c r="G1265" i="6"/>
  <c r="I1264" i="6"/>
  <c r="F67" i="13" l="1"/>
  <c r="C68" i="13"/>
  <c r="G1266" i="6"/>
  <c r="I1265" i="6"/>
  <c r="I2263" i="6"/>
  <c r="G2264" i="6"/>
  <c r="R64" i="13"/>
  <c r="S64" i="13" s="1"/>
  <c r="O65" i="13"/>
  <c r="I68" i="13"/>
  <c r="L67" i="13"/>
  <c r="R65" i="13" l="1"/>
  <c r="S65" i="13" s="1"/>
  <c r="O66" i="13"/>
  <c r="L68" i="13"/>
  <c r="I69" i="13"/>
  <c r="G2265" i="6"/>
  <c r="I2264" i="6"/>
  <c r="G1267" i="6"/>
  <c r="I1266" i="6"/>
  <c r="F68" i="13"/>
  <c r="C69" i="13"/>
  <c r="F69" i="13" l="1"/>
  <c r="C70" i="13"/>
  <c r="G1268" i="6"/>
  <c r="I1267" i="6"/>
  <c r="G2266" i="6"/>
  <c r="I2265" i="6"/>
  <c r="L69" i="13"/>
  <c r="I70" i="13"/>
  <c r="R66" i="13"/>
  <c r="S66" i="13" s="1"/>
  <c r="O67" i="13"/>
  <c r="R67" i="13" l="1"/>
  <c r="S67" i="13" s="1"/>
  <c r="O68" i="13"/>
  <c r="I2266" i="6"/>
  <c r="G2267" i="6"/>
  <c r="G1269" i="6"/>
  <c r="I1268" i="6"/>
  <c r="L70" i="13"/>
  <c r="I71" i="13"/>
  <c r="F70" i="13"/>
  <c r="C71" i="13"/>
  <c r="C72" i="13" l="1"/>
  <c r="F71" i="13"/>
  <c r="L71" i="13"/>
  <c r="I72" i="13"/>
  <c r="G1270" i="6"/>
  <c r="I1269" i="6"/>
  <c r="G2268" i="6"/>
  <c r="I2267" i="6"/>
  <c r="R68" i="13"/>
  <c r="S68" i="13" s="1"/>
  <c r="O69" i="13"/>
  <c r="G2269" i="6" l="1"/>
  <c r="I2268" i="6"/>
  <c r="O70" i="13"/>
  <c r="R69" i="13"/>
  <c r="S69" i="13" s="1"/>
  <c r="G1271" i="6"/>
  <c r="I1270" i="6"/>
  <c r="L72" i="13"/>
  <c r="I73" i="13"/>
  <c r="F72" i="13"/>
  <c r="C73" i="13"/>
  <c r="F73" i="13" l="1"/>
  <c r="C74" i="13"/>
  <c r="G1272" i="6"/>
  <c r="I1271" i="6"/>
  <c r="I74" i="13"/>
  <c r="L73" i="13"/>
  <c r="O71" i="13"/>
  <c r="R70" i="13"/>
  <c r="S70" i="13" s="1"/>
  <c r="G2270" i="6"/>
  <c r="I2269" i="6"/>
  <c r="I2270" i="6" l="1"/>
  <c r="G2271" i="6"/>
  <c r="R71" i="13"/>
  <c r="S71" i="13" s="1"/>
  <c r="O72" i="13"/>
  <c r="I75" i="13"/>
  <c r="L74" i="13"/>
  <c r="G1273" i="6"/>
  <c r="I1272" i="6"/>
  <c r="F74" i="13"/>
  <c r="C75" i="13"/>
  <c r="G1274" i="6" l="1"/>
  <c r="I1273" i="6"/>
  <c r="L75" i="13"/>
  <c r="I76" i="13"/>
  <c r="F75" i="13"/>
  <c r="C76" i="13"/>
  <c r="R72" i="13"/>
  <c r="S72" i="13" s="1"/>
  <c r="O73" i="13"/>
  <c r="G2272" i="6"/>
  <c r="I2271" i="6"/>
  <c r="I2272" i="6" l="1"/>
  <c r="G2273" i="6"/>
  <c r="R73" i="13"/>
  <c r="S73" i="13" s="1"/>
  <c r="O74" i="13"/>
  <c r="F76" i="13"/>
  <c r="C77" i="13"/>
  <c r="L76" i="13"/>
  <c r="I77" i="13"/>
  <c r="G1275" i="6"/>
  <c r="I1274" i="6"/>
  <c r="G1276" i="6" l="1"/>
  <c r="I1275" i="6"/>
  <c r="R74" i="13"/>
  <c r="S74" i="13" s="1"/>
  <c r="O75" i="13"/>
  <c r="L77" i="13"/>
  <c r="I78" i="13"/>
  <c r="C78" i="13"/>
  <c r="F77" i="13"/>
  <c r="G2274" i="6"/>
  <c r="I2273" i="6"/>
  <c r="I2274" i="6" l="1"/>
  <c r="G2275" i="6"/>
  <c r="O76" i="13"/>
  <c r="R75" i="13"/>
  <c r="S75" i="13" s="1"/>
  <c r="C79" i="13"/>
  <c r="F78" i="13"/>
  <c r="L78" i="13"/>
  <c r="I79" i="13"/>
  <c r="G1277" i="6"/>
  <c r="I1276" i="6"/>
  <c r="I80" i="13" l="1"/>
  <c r="L79" i="13"/>
  <c r="F79" i="13"/>
  <c r="C80" i="13"/>
  <c r="R76" i="13"/>
  <c r="S76" i="13" s="1"/>
  <c r="O77" i="13"/>
  <c r="G1278" i="6"/>
  <c r="I1277" i="6"/>
  <c r="G2276" i="6"/>
  <c r="I2275" i="6"/>
  <c r="G2277" i="6" l="1"/>
  <c r="I2276" i="6"/>
  <c r="G1279" i="6"/>
  <c r="I1278" i="6"/>
  <c r="R77" i="13"/>
  <c r="S77" i="13" s="1"/>
  <c r="O78" i="13"/>
  <c r="F80" i="13"/>
  <c r="C81" i="13"/>
  <c r="L80" i="13"/>
  <c r="I81" i="13"/>
  <c r="F81" i="13" l="1"/>
  <c r="C82" i="13"/>
  <c r="L81" i="13"/>
  <c r="I82" i="13"/>
  <c r="R78" i="13"/>
  <c r="S78" i="13" s="1"/>
  <c r="O79" i="13"/>
  <c r="G1280" i="6"/>
  <c r="I1279" i="6"/>
  <c r="G2278" i="6"/>
  <c r="I2277" i="6"/>
  <c r="I2278" i="6" l="1"/>
  <c r="G2279" i="6"/>
  <c r="G1281" i="6"/>
  <c r="I1280" i="6"/>
  <c r="R79" i="13"/>
  <c r="S79" i="13" s="1"/>
  <c r="O80" i="13"/>
  <c r="L82" i="13"/>
  <c r="I83" i="13"/>
  <c r="F82" i="13"/>
  <c r="C83" i="13"/>
  <c r="R80" i="13" l="1"/>
  <c r="S80" i="13" s="1"/>
  <c r="O81" i="13"/>
  <c r="L83" i="13"/>
  <c r="I84" i="13"/>
  <c r="C84" i="13"/>
  <c r="F83" i="13"/>
  <c r="G2280" i="6"/>
  <c r="I2279" i="6"/>
  <c r="G1282" i="6"/>
  <c r="I1281" i="6"/>
  <c r="G1283" i="6" l="1"/>
  <c r="I1282" i="6"/>
  <c r="G2281" i="6"/>
  <c r="I2280" i="6"/>
  <c r="F84" i="13"/>
  <c r="C85" i="13"/>
  <c r="L84" i="13"/>
  <c r="I85" i="13"/>
  <c r="O82" i="13"/>
  <c r="R81" i="13"/>
  <c r="S81" i="13" s="1"/>
  <c r="O83" i="13" l="1"/>
  <c r="R82" i="13"/>
  <c r="S82" i="13" s="1"/>
  <c r="F85" i="13"/>
  <c r="C86" i="13"/>
  <c r="I86" i="13"/>
  <c r="L85" i="13"/>
  <c r="G2282" i="6"/>
  <c r="I2281" i="6"/>
  <c r="G1284" i="6"/>
  <c r="I1283" i="6"/>
  <c r="G1285" i="6" l="1"/>
  <c r="I1284" i="6"/>
  <c r="I2282" i="6"/>
  <c r="G2283" i="6"/>
  <c r="I87" i="13"/>
  <c r="L86" i="13"/>
  <c r="F86" i="13"/>
  <c r="C87" i="13"/>
  <c r="R83" i="13"/>
  <c r="S83" i="13" s="1"/>
  <c r="O84" i="13"/>
  <c r="F87" i="13" l="1"/>
  <c r="C88" i="13"/>
  <c r="L87" i="13"/>
  <c r="I88" i="13"/>
  <c r="R84" i="13"/>
  <c r="S84" i="13" s="1"/>
  <c r="O85" i="13"/>
  <c r="G2284" i="6"/>
  <c r="I2283" i="6"/>
  <c r="G1286" i="6"/>
  <c r="I1285" i="6"/>
  <c r="G2285" i="6" l="1"/>
  <c r="I2284" i="6"/>
  <c r="G1287" i="6"/>
  <c r="I1286" i="6"/>
  <c r="R85" i="13"/>
  <c r="S85" i="13" s="1"/>
  <c r="O86" i="13"/>
  <c r="F88" i="13"/>
  <c r="C89" i="13"/>
  <c r="L88" i="13"/>
  <c r="I89" i="13"/>
  <c r="C90" i="13" l="1"/>
  <c r="F89" i="13"/>
  <c r="L89" i="13"/>
  <c r="I90" i="13"/>
  <c r="R86" i="13"/>
  <c r="S86" i="13" s="1"/>
  <c r="O87" i="13"/>
  <c r="G1288" i="6"/>
  <c r="I1287" i="6"/>
  <c r="G2286" i="6"/>
  <c r="I2285" i="6"/>
  <c r="I2286" i="6" l="1"/>
  <c r="G2287" i="6"/>
  <c r="G1289" i="6"/>
  <c r="I1288" i="6"/>
  <c r="O88" i="13"/>
  <c r="R87" i="13"/>
  <c r="S87" i="13" s="1"/>
  <c r="L90" i="13"/>
  <c r="I91" i="13"/>
  <c r="C91" i="13"/>
  <c r="F90" i="13"/>
  <c r="L91" i="13" l="1"/>
  <c r="I92" i="13"/>
  <c r="F91" i="13"/>
  <c r="C92" i="13"/>
  <c r="R88" i="13"/>
  <c r="S88" i="13" s="1"/>
  <c r="O89" i="13"/>
  <c r="G1290" i="6"/>
  <c r="I1289" i="6"/>
  <c r="I2287" i="6"/>
  <c r="G2288" i="6"/>
  <c r="G2289" i="6" l="1"/>
  <c r="I2288" i="6"/>
  <c r="G1291" i="6"/>
  <c r="I1290" i="6"/>
  <c r="R89" i="13"/>
  <c r="S89" i="13" s="1"/>
  <c r="O90" i="13"/>
  <c r="L92" i="13"/>
  <c r="I93" i="13"/>
  <c r="F92" i="13"/>
  <c r="C93" i="13"/>
  <c r="F93" i="13" l="1"/>
  <c r="C94" i="13"/>
  <c r="R90" i="13"/>
  <c r="S90" i="13" s="1"/>
  <c r="O91" i="13"/>
  <c r="L93" i="13"/>
  <c r="I94" i="13"/>
  <c r="G1292" i="6"/>
  <c r="I1291" i="6"/>
  <c r="G2290" i="6"/>
  <c r="I2289" i="6"/>
  <c r="R91" i="13" l="1"/>
  <c r="S91" i="13" s="1"/>
  <c r="O92" i="13"/>
  <c r="I2290" i="6"/>
  <c r="G2291" i="6"/>
  <c r="G1293" i="6"/>
  <c r="I1292" i="6"/>
  <c r="L94" i="13"/>
  <c r="I95" i="13"/>
  <c r="F94" i="13"/>
  <c r="C95" i="13"/>
  <c r="F95" i="13" l="1"/>
  <c r="C96" i="13"/>
  <c r="L95" i="13"/>
  <c r="I96" i="13"/>
  <c r="G1294" i="6"/>
  <c r="I1293" i="6"/>
  <c r="G2292" i="6"/>
  <c r="I2291" i="6"/>
  <c r="R92" i="13"/>
  <c r="S92" i="13" s="1"/>
  <c r="O93" i="13"/>
  <c r="G2293" i="6" l="1"/>
  <c r="I2292" i="6"/>
  <c r="L96" i="13"/>
  <c r="I97" i="13"/>
  <c r="O94" i="13"/>
  <c r="R93" i="13"/>
  <c r="S93" i="13" s="1"/>
  <c r="G1295" i="6"/>
  <c r="I1294" i="6"/>
  <c r="F96" i="13"/>
  <c r="C97" i="13"/>
  <c r="G1296" i="6" l="1"/>
  <c r="I1295" i="6"/>
  <c r="O95" i="13"/>
  <c r="R94" i="13"/>
  <c r="S94" i="13" s="1"/>
  <c r="F97" i="13"/>
  <c r="C98" i="13"/>
  <c r="I98" i="13"/>
  <c r="L97" i="13"/>
  <c r="G2294" i="6"/>
  <c r="I2293" i="6"/>
  <c r="I2294" i="6" l="1"/>
  <c r="G2295" i="6"/>
  <c r="I99" i="13"/>
  <c r="L98" i="13"/>
  <c r="F98" i="13"/>
  <c r="C99" i="13"/>
  <c r="R95" i="13"/>
  <c r="S95" i="13" s="1"/>
  <c r="O96" i="13"/>
  <c r="G1297" i="6"/>
  <c r="I1296" i="6"/>
  <c r="G1298" i="6" l="1"/>
  <c r="I1297" i="6"/>
  <c r="R96" i="13"/>
  <c r="S96" i="13" s="1"/>
  <c r="O97" i="13"/>
  <c r="F99" i="13"/>
  <c r="C100" i="13"/>
  <c r="L99" i="13"/>
  <c r="I100" i="13"/>
  <c r="G2296" i="6"/>
  <c r="I2295" i="6"/>
  <c r="F100" i="13" l="1"/>
  <c r="C101" i="13"/>
  <c r="I2296" i="6"/>
  <c r="G2297" i="6"/>
  <c r="L100" i="13"/>
  <c r="I101" i="13"/>
  <c r="R97" i="13"/>
  <c r="S97" i="13" s="1"/>
  <c r="O98" i="13"/>
  <c r="G1299" i="6"/>
  <c r="I1298" i="6"/>
  <c r="G1300" i="6" l="1"/>
  <c r="I1299" i="6"/>
  <c r="R98" i="13"/>
  <c r="S98" i="13" s="1"/>
  <c r="O99" i="13"/>
  <c r="L101" i="13"/>
  <c r="I102" i="13"/>
  <c r="G2298" i="6"/>
  <c r="I2297" i="6"/>
  <c r="C102" i="13"/>
  <c r="F101" i="13"/>
  <c r="R99" i="13" l="1"/>
  <c r="S99" i="13" s="1"/>
  <c r="O100" i="13"/>
  <c r="C103" i="13"/>
  <c r="F102" i="13"/>
  <c r="I2298" i="6"/>
  <c r="G2299" i="6"/>
  <c r="L102" i="13"/>
  <c r="I103" i="13"/>
  <c r="G1301" i="6"/>
  <c r="I1300" i="6"/>
  <c r="G1302" i="6" l="1"/>
  <c r="I1301" i="6"/>
  <c r="L103" i="13"/>
  <c r="I104" i="13"/>
  <c r="G2300" i="6"/>
  <c r="I2299" i="6"/>
  <c r="F103" i="13"/>
  <c r="C104" i="13"/>
  <c r="R100" i="13"/>
  <c r="S100" i="13" s="1"/>
  <c r="O101" i="13"/>
  <c r="F104" i="13" l="1"/>
  <c r="C105" i="13"/>
  <c r="G2301" i="6"/>
  <c r="I2300" i="6"/>
  <c r="L104" i="13"/>
  <c r="I105" i="13"/>
  <c r="R101" i="13"/>
  <c r="S101" i="13" s="1"/>
  <c r="O102" i="13"/>
  <c r="G1303" i="6"/>
  <c r="I1302" i="6"/>
  <c r="G1304" i="6" l="1"/>
  <c r="I1303" i="6"/>
  <c r="R102" i="13"/>
  <c r="S102" i="13" s="1"/>
  <c r="O103" i="13"/>
  <c r="F105" i="13"/>
  <c r="C106" i="13"/>
  <c r="L105" i="13"/>
  <c r="I106" i="13"/>
  <c r="G2302" i="6"/>
  <c r="I2301" i="6"/>
  <c r="I2302" i="6" l="1"/>
  <c r="G2303" i="6"/>
  <c r="L106" i="13"/>
  <c r="I107" i="13"/>
  <c r="R103" i="13"/>
  <c r="S103" i="13" s="1"/>
  <c r="O104" i="13"/>
  <c r="F106" i="13"/>
  <c r="C107" i="13"/>
  <c r="G1305" i="6"/>
  <c r="I1304" i="6"/>
  <c r="R104" i="13" l="1"/>
  <c r="S104" i="13" s="1"/>
  <c r="O105" i="13"/>
  <c r="L107" i="13"/>
  <c r="I108" i="13"/>
  <c r="G1306" i="6"/>
  <c r="I1305" i="6"/>
  <c r="F107" i="13"/>
  <c r="C108" i="13"/>
  <c r="G2304" i="6"/>
  <c r="I2303" i="6"/>
  <c r="F108" i="13" l="1"/>
  <c r="C109" i="13"/>
  <c r="G1307" i="6"/>
  <c r="I1306" i="6"/>
  <c r="G2305" i="6"/>
  <c r="I2304" i="6"/>
  <c r="L108" i="13"/>
  <c r="I109" i="13"/>
  <c r="O106" i="13"/>
  <c r="R105" i="13"/>
  <c r="S105" i="13" s="1"/>
  <c r="O107" i="13" l="1"/>
  <c r="R106" i="13"/>
  <c r="S106" i="13" s="1"/>
  <c r="I110" i="13"/>
  <c r="L109" i="13"/>
  <c r="G2306" i="6"/>
  <c r="I2305" i="6"/>
  <c r="G1308" i="6"/>
  <c r="I1307" i="6"/>
  <c r="F109" i="13"/>
  <c r="C110" i="13"/>
  <c r="G1309" i="6" l="1"/>
  <c r="I1308" i="6"/>
  <c r="I2306" i="6"/>
  <c r="G2307" i="6"/>
  <c r="F110" i="13"/>
  <c r="C111" i="13"/>
  <c r="I111" i="13"/>
  <c r="L110" i="13"/>
  <c r="R107" i="13"/>
  <c r="S107" i="13" s="1"/>
  <c r="O108" i="13"/>
  <c r="I112" i="13" l="1"/>
  <c r="L111" i="13"/>
  <c r="F111" i="13"/>
  <c r="C112" i="13"/>
  <c r="R108" i="13"/>
  <c r="S108" i="13" s="1"/>
  <c r="O109" i="13"/>
  <c r="G2308" i="6"/>
  <c r="I2307" i="6"/>
  <c r="G1310" i="6"/>
  <c r="I1309" i="6"/>
  <c r="G1311" i="6" l="1"/>
  <c r="I1310" i="6"/>
  <c r="G2309" i="6"/>
  <c r="I2308" i="6"/>
  <c r="R109" i="13"/>
  <c r="S109" i="13" s="1"/>
  <c r="O110" i="13"/>
  <c r="F112" i="13"/>
  <c r="C113" i="13"/>
  <c r="I113" i="13"/>
  <c r="L112" i="13"/>
  <c r="L113" i="13" l="1"/>
  <c r="I114" i="13"/>
  <c r="R110" i="13"/>
  <c r="S110" i="13" s="1"/>
  <c r="O111" i="13"/>
  <c r="F113" i="13"/>
  <c r="C114" i="13"/>
  <c r="G2310" i="6"/>
  <c r="I2309" i="6"/>
  <c r="G1312" i="6"/>
  <c r="I1311" i="6"/>
  <c r="G1313" i="6" l="1"/>
  <c r="I1312" i="6"/>
  <c r="I2310" i="6"/>
  <c r="G2311" i="6"/>
  <c r="R111" i="13"/>
  <c r="S111" i="13" s="1"/>
  <c r="O112" i="13"/>
  <c r="C115" i="13"/>
  <c r="F114" i="13"/>
  <c r="L114" i="13"/>
  <c r="I115" i="13"/>
  <c r="I116" i="13" l="1"/>
  <c r="L115" i="13"/>
  <c r="C116" i="13"/>
  <c r="F115" i="13"/>
  <c r="O113" i="13"/>
  <c r="R112" i="13"/>
  <c r="S112" i="13" s="1"/>
  <c r="I2311" i="6"/>
  <c r="G2312" i="6"/>
  <c r="G1314" i="6"/>
  <c r="I1313" i="6"/>
  <c r="G1315" i="6" l="1"/>
  <c r="I1314" i="6"/>
  <c r="G2313" i="6"/>
  <c r="I2312" i="6"/>
  <c r="O114" i="13"/>
  <c r="R113" i="13"/>
  <c r="S113" i="13" s="1"/>
  <c r="F116" i="13"/>
  <c r="C117" i="13"/>
  <c r="L116" i="13"/>
  <c r="I117" i="13"/>
  <c r="L117" i="13" l="1"/>
  <c r="I118" i="13"/>
  <c r="C118" i="13"/>
  <c r="F117" i="13"/>
  <c r="R114" i="13"/>
  <c r="S114" i="13" s="1"/>
  <c r="O115" i="13"/>
  <c r="G2314" i="6"/>
  <c r="I2313" i="6"/>
  <c r="G1316" i="6"/>
  <c r="I1315" i="6"/>
  <c r="G1317" i="6" l="1"/>
  <c r="I1316" i="6"/>
  <c r="F118" i="13"/>
  <c r="C119" i="13"/>
  <c r="L118" i="13"/>
  <c r="I119" i="13"/>
  <c r="I2314" i="6"/>
  <c r="G2315" i="6"/>
  <c r="O116" i="13"/>
  <c r="R115" i="13"/>
  <c r="S115" i="13" s="1"/>
  <c r="R116" i="13" l="1"/>
  <c r="S116" i="13" s="1"/>
  <c r="O117" i="13"/>
  <c r="G2316" i="6"/>
  <c r="I2315" i="6"/>
  <c r="I120" i="13"/>
  <c r="L119" i="13"/>
  <c r="C120" i="13"/>
  <c r="F119" i="13"/>
  <c r="G1318" i="6"/>
  <c r="I1317" i="6"/>
  <c r="G1319" i="6" l="1"/>
  <c r="I1318" i="6"/>
  <c r="F120" i="13"/>
  <c r="C121" i="13"/>
  <c r="L120" i="13"/>
  <c r="I121" i="13"/>
  <c r="G2317" i="6"/>
  <c r="I2316" i="6"/>
  <c r="R117" i="13"/>
  <c r="S117" i="13" s="1"/>
  <c r="O118" i="13"/>
  <c r="O119" i="13" l="1"/>
  <c r="R118" i="13"/>
  <c r="S118" i="13" s="1"/>
  <c r="G2318" i="6"/>
  <c r="I2317" i="6"/>
  <c r="L121" i="13"/>
  <c r="I122" i="13"/>
  <c r="F121" i="13"/>
  <c r="C122" i="13"/>
  <c r="G1320" i="6"/>
  <c r="I1319" i="6"/>
  <c r="G1321" i="6" l="1"/>
  <c r="I1320" i="6"/>
  <c r="F122" i="13"/>
  <c r="C123" i="13"/>
  <c r="I123" i="13"/>
  <c r="L122" i="13"/>
  <c r="I2318" i="6"/>
  <c r="G2319" i="6"/>
  <c r="O120" i="13"/>
  <c r="R119" i="13"/>
  <c r="S119" i="13" s="1"/>
  <c r="I124" i="13" l="1"/>
  <c r="L123" i="13"/>
  <c r="G2320" i="6"/>
  <c r="I2319" i="6"/>
  <c r="O121" i="13"/>
  <c r="R120" i="13"/>
  <c r="S120" i="13" s="1"/>
  <c r="C124" i="13"/>
  <c r="F123" i="13"/>
  <c r="G1322" i="6"/>
  <c r="I1321" i="6"/>
  <c r="R121" i="13" l="1"/>
  <c r="S121" i="13" s="1"/>
  <c r="O122" i="13"/>
  <c r="I2320" i="6"/>
  <c r="G2321" i="6"/>
  <c r="G1323" i="6"/>
  <c r="I1322" i="6"/>
  <c r="F124" i="13"/>
  <c r="C125" i="13"/>
  <c r="I125" i="13"/>
  <c r="L124" i="13"/>
  <c r="L125" i="13" l="1"/>
  <c r="I126" i="13"/>
  <c r="F125" i="13"/>
  <c r="C126" i="13"/>
  <c r="G1324" i="6"/>
  <c r="I1323" i="6"/>
  <c r="R122" i="13"/>
  <c r="S122" i="13" s="1"/>
  <c r="O123" i="13"/>
  <c r="G2322" i="6"/>
  <c r="I2321" i="6"/>
  <c r="I2322" i="6" l="1"/>
  <c r="G2323" i="6"/>
  <c r="C127" i="13"/>
  <c r="F126" i="13"/>
  <c r="R123" i="13"/>
  <c r="S123" i="13" s="1"/>
  <c r="O124" i="13"/>
  <c r="G1325" i="6"/>
  <c r="I1324" i="6"/>
  <c r="L126" i="13"/>
  <c r="I127" i="13"/>
  <c r="L127" i="13" l="1"/>
  <c r="I128" i="13"/>
  <c r="R124" i="13"/>
  <c r="S124" i="13" s="1"/>
  <c r="O125" i="13"/>
  <c r="G1326" i="6"/>
  <c r="I1325" i="6"/>
  <c r="C128" i="13"/>
  <c r="F127" i="13"/>
  <c r="G2324" i="6"/>
  <c r="I2323" i="6"/>
  <c r="G2325" i="6" l="1"/>
  <c r="I2324" i="6"/>
  <c r="C129" i="13"/>
  <c r="F128" i="13"/>
  <c r="G1327" i="6"/>
  <c r="I1326" i="6"/>
  <c r="R125" i="13"/>
  <c r="S125" i="13" s="1"/>
  <c r="O126" i="13"/>
  <c r="L128" i="13"/>
  <c r="I129" i="13"/>
  <c r="L129" i="13" l="1"/>
  <c r="I130" i="13"/>
  <c r="R126" i="13"/>
  <c r="S126" i="13" s="1"/>
  <c r="O127" i="13"/>
  <c r="G1328" i="6"/>
  <c r="I1327" i="6"/>
  <c r="F129" i="13"/>
  <c r="C130" i="13"/>
  <c r="G2326" i="6"/>
  <c r="I2325" i="6"/>
  <c r="I2326" i="6" l="1"/>
  <c r="G2327" i="6"/>
  <c r="F130" i="13"/>
  <c r="C131" i="13"/>
  <c r="L130" i="13"/>
  <c r="I131" i="13"/>
  <c r="G1329" i="6"/>
  <c r="I1328" i="6"/>
  <c r="O128" i="13"/>
  <c r="R127" i="13"/>
  <c r="S127" i="13" s="1"/>
  <c r="R128" i="13" l="1"/>
  <c r="S128" i="13" s="1"/>
  <c r="O129" i="13"/>
  <c r="G1330" i="6"/>
  <c r="I1329" i="6"/>
  <c r="I132" i="13"/>
  <c r="L131" i="13"/>
  <c r="F131" i="13"/>
  <c r="C132" i="13"/>
  <c r="G2328" i="6"/>
  <c r="I2327" i="6"/>
  <c r="G2329" i="6" l="1"/>
  <c r="I2328" i="6"/>
  <c r="L132" i="13"/>
  <c r="I133" i="13"/>
  <c r="F132" i="13"/>
  <c r="C133" i="13"/>
  <c r="G1331" i="6"/>
  <c r="I1330" i="6"/>
  <c r="R129" i="13"/>
  <c r="S129" i="13" s="1"/>
  <c r="O130" i="13"/>
  <c r="G1332" i="6" l="1"/>
  <c r="I1331" i="6"/>
  <c r="F133" i="13"/>
  <c r="C134" i="13"/>
  <c r="L133" i="13"/>
  <c r="I134" i="13"/>
  <c r="O131" i="13"/>
  <c r="R130" i="13"/>
  <c r="S130" i="13" s="1"/>
  <c r="G2330" i="6"/>
  <c r="I2329" i="6"/>
  <c r="I2330" i="6" l="1"/>
  <c r="G2331" i="6"/>
  <c r="O132" i="13"/>
  <c r="R131" i="13"/>
  <c r="S131" i="13" s="1"/>
  <c r="I135" i="13"/>
  <c r="L134" i="13"/>
  <c r="F134" i="13"/>
  <c r="C135" i="13"/>
  <c r="G1333" i="6"/>
  <c r="I1332" i="6"/>
  <c r="G1334" i="6" l="1"/>
  <c r="I1333" i="6"/>
  <c r="C136" i="13"/>
  <c r="F135" i="13"/>
  <c r="I136" i="13"/>
  <c r="L135" i="13"/>
  <c r="R132" i="13"/>
  <c r="S132" i="13" s="1"/>
  <c r="O133" i="13"/>
  <c r="G2332" i="6"/>
  <c r="I2331" i="6"/>
  <c r="R133" i="13" l="1"/>
  <c r="S133" i="13" s="1"/>
  <c r="O134" i="13"/>
  <c r="G2333" i="6"/>
  <c r="I2332" i="6"/>
  <c r="L136" i="13"/>
  <c r="I137" i="13"/>
  <c r="F136" i="13"/>
  <c r="C137" i="13"/>
  <c r="G1335" i="6"/>
  <c r="I1334" i="6"/>
  <c r="I138" i="13" l="1"/>
  <c r="L137" i="13"/>
  <c r="F137" i="13"/>
  <c r="C138" i="13"/>
  <c r="G2334" i="6"/>
  <c r="I2333" i="6"/>
  <c r="R134" i="13"/>
  <c r="S134" i="13" s="1"/>
  <c r="O135" i="13"/>
  <c r="G1336" i="6"/>
  <c r="I1335" i="6"/>
  <c r="G1337" i="6" l="1"/>
  <c r="I1336" i="6"/>
  <c r="R135" i="13"/>
  <c r="S135" i="13" s="1"/>
  <c r="O136" i="13"/>
  <c r="C139" i="13"/>
  <c r="F138" i="13"/>
  <c r="I2334" i="6"/>
  <c r="G2335" i="6"/>
  <c r="L138" i="13"/>
  <c r="I139" i="13"/>
  <c r="I2335" i="6" l="1"/>
  <c r="G2336" i="6"/>
  <c r="I140" i="13"/>
  <c r="L139" i="13"/>
  <c r="C140" i="13"/>
  <c r="F139" i="13"/>
  <c r="R136" i="13"/>
  <c r="S136" i="13" s="1"/>
  <c r="O137" i="13"/>
  <c r="G1338" i="6"/>
  <c r="I1337" i="6"/>
  <c r="F140" i="13" l="1"/>
  <c r="C141" i="13"/>
  <c r="R137" i="13"/>
  <c r="S137" i="13" s="1"/>
  <c r="O138" i="13"/>
  <c r="L140" i="13"/>
  <c r="I141" i="13"/>
  <c r="G2337" i="6"/>
  <c r="I2336" i="6"/>
  <c r="G1339" i="6"/>
  <c r="I1338" i="6"/>
  <c r="R138" i="13" l="1"/>
  <c r="S138" i="13" s="1"/>
  <c r="O139" i="13"/>
  <c r="G1340" i="6"/>
  <c r="I1339" i="6"/>
  <c r="G2338" i="6"/>
  <c r="I2337" i="6"/>
  <c r="L141" i="13"/>
  <c r="I142" i="13"/>
  <c r="C142" i="13"/>
  <c r="F141" i="13"/>
  <c r="F142" i="13" l="1"/>
  <c r="C143" i="13"/>
  <c r="L142" i="13"/>
  <c r="I143" i="13"/>
  <c r="O140" i="13"/>
  <c r="R139" i="13"/>
  <c r="S139" i="13" s="1"/>
  <c r="I2338" i="6"/>
  <c r="G2339" i="6"/>
  <c r="G1341" i="6"/>
  <c r="I1340" i="6"/>
  <c r="G2340" i="6" l="1"/>
  <c r="I2339" i="6"/>
  <c r="L143" i="13"/>
  <c r="I144" i="13"/>
  <c r="F143" i="13"/>
  <c r="C144" i="13"/>
  <c r="G1342" i="6"/>
  <c r="I1341" i="6"/>
  <c r="R140" i="13"/>
  <c r="S140" i="13" s="1"/>
  <c r="O141" i="13"/>
  <c r="R141" i="13" l="1"/>
  <c r="S141" i="13" s="1"/>
  <c r="O142" i="13"/>
  <c r="L144" i="13"/>
  <c r="I145" i="13"/>
  <c r="G1343" i="6"/>
  <c r="I1342" i="6"/>
  <c r="F144" i="13"/>
  <c r="C145" i="13"/>
  <c r="G2341" i="6"/>
  <c r="I2340" i="6"/>
  <c r="G2342" i="6" l="1"/>
  <c r="I2341" i="6"/>
  <c r="G1344" i="6"/>
  <c r="I1343" i="6"/>
  <c r="L145" i="13"/>
  <c r="I146" i="13"/>
  <c r="F145" i="13"/>
  <c r="C146" i="13"/>
  <c r="O143" i="13"/>
  <c r="R142" i="13"/>
  <c r="S142" i="13" s="1"/>
  <c r="O144" i="13" l="1"/>
  <c r="R143" i="13"/>
  <c r="S143" i="13" s="1"/>
  <c r="F146" i="13"/>
  <c r="C147" i="13"/>
  <c r="I147" i="13"/>
  <c r="L146" i="13"/>
  <c r="G1345" i="6"/>
  <c r="I1344" i="6"/>
  <c r="I2342" i="6"/>
  <c r="G2343" i="6"/>
  <c r="G2344" i="6" l="1"/>
  <c r="I2343" i="6"/>
  <c r="I1345" i="6"/>
  <c r="G1346" i="6"/>
  <c r="I148" i="13"/>
  <c r="L147" i="13"/>
  <c r="F147" i="13"/>
  <c r="C148" i="13"/>
  <c r="R144" i="13"/>
  <c r="S144" i="13" s="1"/>
  <c r="O145" i="13"/>
  <c r="R145" i="13" l="1"/>
  <c r="S145" i="13" s="1"/>
  <c r="O146" i="13"/>
  <c r="F148" i="13"/>
  <c r="C149" i="13"/>
  <c r="L148" i="13"/>
  <c r="I149" i="13"/>
  <c r="I1346" i="6"/>
  <c r="G1347" i="6"/>
  <c r="I2344" i="6"/>
  <c r="G2345" i="6"/>
  <c r="G2346" i="6" l="1"/>
  <c r="I2345" i="6"/>
  <c r="G1348" i="6"/>
  <c r="I1347" i="6"/>
  <c r="I150" i="13"/>
  <c r="L149" i="13"/>
  <c r="F149" i="13"/>
  <c r="C150" i="13"/>
  <c r="R146" i="13"/>
  <c r="S146" i="13" s="1"/>
  <c r="O147" i="13"/>
  <c r="O148" i="13" l="1"/>
  <c r="R147" i="13"/>
  <c r="S147" i="13" s="1"/>
  <c r="C151" i="13"/>
  <c r="F150" i="13"/>
  <c r="L150" i="13"/>
  <c r="I151" i="13"/>
  <c r="G1349" i="6"/>
  <c r="I1348" i="6"/>
  <c r="I2346" i="6"/>
  <c r="G2347" i="6"/>
  <c r="G2348" i="6" l="1"/>
  <c r="I2347" i="6"/>
  <c r="I1349" i="6"/>
  <c r="G1350" i="6"/>
  <c r="I152" i="13"/>
  <c r="L151" i="13"/>
  <c r="C152" i="13"/>
  <c r="F151" i="13"/>
  <c r="R148" i="13"/>
  <c r="S148" i="13" s="1"/>
  <c r="O149" i="13"/>
  <c r="R149" i="13" l="1"/>
  <c r="S149" i="13" s="1"/>
  <c r="O150" i="13"/>
  <c r="F152" i="13"/>
  <c r="C153" i="13"/>
  <c r="L152" i="13"/>
  <c r="I153" i="13"/>
  <c r="G1351" i="6"/>
  <c r="I1350" i="6"/>
  <c r="G2349" i="6"/>
  <c r="I2348" i="6"/>
  <c r="G2350" i="6" l="1"/>
  <c r="I2349" i="6"/>
  <c r="G1352" i="6"/>
  <c r="I1351" i="6"/>
  <c r="L153" i="13"/>
  <c r="I154" i="13"/>
  <c r="C154" i="13"/>
  <c r="F153" i="13"/>
  <c r="R150" i="13"/>
  <c r="S150" i="13" s="1"/>
  <c r="O151" i="13"/>
  <c r="R151" i="13" l="1"/>
  <c r="S151" i="13" s="1"/>
  <c r="O152" i="13"/>
  <c r="F154" i="13"/>
  <c r="C155" i="13"/>
  <c r="L154" i="13"/>
  <c r="I155" i="13"/>
  <c r="I1352" i="6"/>
  <c r="G1353" i="6"/>
  <c r="I2350" i="6"/>
  <c r="G2351" i="6"/>
  <c r="G2352" i="6" l="1"/>
  <c r="I2351" i="6"/>
  <c r="C156" i="13"/>
  <c r="F155" i="13"/>
  <c r="G1354" i="6"/>
  <c r="I1353" i="6"/>
  <c r="R152" i="13"/>
  <c r="S152" i="13" s="1"/>
  <c r="O153" i="13"/>
  <c r="L155" i="13"/>
  <c r="I156" i="13"/>
  <c r="G1355" i="6" l="1"/>
  <c r="I1354" i="6"/>
  <c r="L156" i="13"/>
  <c r="I157" i="13"/>
  <c r="R153" i="13"/>
  <c r="S153" i="13" s="1"/>
  <c r="O154" i="13"/>
  <c r="F156" i="13"/>
  <c r="C157" i="13"/>
  <c r="G2353" i="6"/>
  <c r="I2352" i="6"/>
  <c r="G2354" i="6" l="1"/>
  <c r="I2353" i="6"/>
  <c r="F157" i="13"/>
  <c r="C158" i="13"/>
  <c r="O155" i="13"/>
  <c r="R154" i="13"/>
  <c r="S154" i="13" s="1"/>
  <c r="L157" i="13"/>
  <c r="I158" i="13"/>
  <c r="G1356" i="6"/>
  <c r="I1355" i="6"/>
  <c r="G1357" i="6" l="1"/>
  <c r="I1356" i="6"/>
  <c r="I159" i="13"/>
  <c r="L158" i="13"/>
  <c r="O156" i="13"/>
  <c r="R155" i="13"/>
  <c r="S155" i="13" s="1"/>
  <c r="F158" i="13"/>
  <c r="C159" i="13"/>
  <c r="I2354" i="6"/>
  <c r="G2355" i="6"/>
  <c r="R156" i="13" l="1"/>
  <c r="S156" i="13" s="1"/>
  <c r="O157" i="13"/>
  <c r="G2356" i="6"/>
  <c r="I2355" i="6"/>
  <c r="F159" i="13"/>
  <c r="C160" i="13"/>
  <c r="I160" i="13"/>
  <c r="L159" i="13"/>
  <c r="I1357" i="6"/>
  <c r="G1358" i="6"/>
  <c r="I1358" i="6" l="1"/>
  <c r="G1359" i="6"/>
  <c r="G2357" i="6"/>
  <c r="I2356" i="6"/>
  <c r="O158" i="13"/>
  <c r="R157" i="13"/>
  <c r="S157" i="13" s="1"/>
  <c r="L160" i="13"/>
  <c r="I161" i="13"/>
  <c r="F160" i="13"/>
  <c r="C161" i="13"/>
  <c r="I162" i="13" l="1"/>
  <c r="L161" i="13"/>
  <c r="R158" i="13"/>
  <c r="S158" i="13" s="1"/>
  <c r="O159" i="13"/>
  <c r="F161" i="13"/>
  <c r="C162" i="13"/>
  <c r="G2358" i="6"/>
  <c r="I2357" i="6"/>
  <c r="G1360" i="6"/>
  <c r="I1359" i="6"/>
  <c r="I1360" i="6" l="1"/>
  <c r="G1361" i="6"/>
  <c r="I2358" i="6"/>
  <c r="G2359" i="6"/>
  <c r="C163" i="13"/>
  <c r="F162" i="13"/>
  <c r="R159" i="13"/>
  <c r="S159" i="13" s="1"/>
  <c r="O160" i="13"/>
  <c r="L162" i="13"/>
  <c r="I163" i="13"/>
  <c r="L163" i="13" l="1"/>
  <c r="I164" i="13"/>
  <c r="R160" i="13"/>
  <c r="S160" i="13" s="1"/>
  <c r="O161" i="13"/>
  <c r="C164" i="13"/>
  <c r="F163" i="13"/>
  <c r="I2359" i="6"/>
  <c r="G2360" i="6"/>
  <c r="G1362" i="6"/>
  <c r="I1361" i="6"/>
  <c r="G1363" i="6" l="1"/>
  <c r="I1362" i="6"/>
  <c r="F164" i="13"/>
  <c r="C165" i="13"/>
  <c r="R161" i="13"/>
  <c r="S161" i="13" s="1"/>
  <c r="O162" i="13"/>
  <c r="G2361" i="6"/>
  <c r="I2360" i="6"/>
  <c r="L164" i="13"/>
  <c r="I165" i="13"/>
  <c r="L165" i="13" l="1"/>
  <c r="I166" i="13"/>
  <c r="G2362" i="6"/>
  <c r="I2361" i="6"/>
  <c r="R162" i="13"/>
  <c r="S162" i="13" s="1"/>
  <c r="O163" i="13"/>
  <c r="C166" i="13"/>
  <c r="F165" i="13"/>
  <c r="G1364" i="6"/>
  <c r="I1363" i="6"/>
  <c r="G1365" i="6" l="1"/>
  <c r="I1364" i="6"/>
  <c r="F166" i="13"/>
  <c r="C167" i="13"/>
  <c r="R163" i="13"/>
  <c r="S163" i="13" s="1"/>
  <c r="O164" i="13"/>
  <c r="L166" i="13"/>
  <c r="I167" i="13"/>
  <c r="I2362" i="6"/>
  <c r="G2363" i="6"/>
  <c r="F167" i="13" l="1"/>
  <c r="C168" i="13"/>
  <c r="G2364" i="6"/>
  <c r="I2363" i="6"/>
  <c r="L167" i="13"/>
  <c r="I168" i="13"/>
  <c r="R164" i="13"/>
  <c r="S164" i="13" s="1"/>
  <c r="O165" i="13"/>
  <c r="G1366" i="6"/>
  <c r="I1365" i="6"/>
  <c r="I169" i="13" l="1"/>
  <c r="L168" i="13"/>
  <c r="G1367" i="6"/>
  <c r="I1366" i="6"/>
  <c r="R165" i="13"/>
  <c r="S165" i="13" s="1"/>
  <c r="O166" i="13"/>
  <c r="G2365" i="6"/>
  <c r="I2364" i="6"/>
  <c r="F168" i="13"/>
  <c r="C169" i="13"/>
  <c r="F169" i="13" l="1"/>
  <c r="C170" i="13"/>
  <c r="G2366" i="6"/>
  <c r="I2365" i="6"/>
  <c r="O167" i="13"/>
  <c r="R166" i="13"/>
  <c r="S166" i="13" s="1"/>
  <c r="G1368" i="6"/>
  <c r="I1367" i="6"/>
  <c r="I170" i="13"/>
  <c r="L169" i="13"/>
  <c r="I171" i="13" l="1"/>
  <c r="L170" i="13"/>
  <c r="G1369" i="6"/>
  <c r="I1368" i="6"/>
  <c r="O168" i="13"/>
  <c r="R167" i="13"/>
  <c r="S167" i="13" s="1"/>
  <c r="I2366" i="6"/>
  <c r="G2367" i="6"/>
  <c r="F170" i="13"/>
  <c r="C171" i="13"/>
  <c r="F171" i="13" l="1"/>
  <c r="C172" i="13"/>
  <c r="G2368" i="6"/>
  <c r="I2367" i="6"/>
  <c r="O169" i="13"/>
  <c r="R168" i="13"/>
  <c r="S168" i="13" s="1"/>
  <c r="I1369" i="6"/>
  <c r="G1370" i="6"/>
  <c r="I172" i="13"/>
  <c r="L171" i="13"/>
  <c r="I173" i="13" l="1"/>
  <c r="L172" i="13"/>
  <c r="O170" i="13"/>
  <c r="R169" i="13"/>
  <c r="S169" i="13" s="1"/>
  <c r="I2368" i="6"/>
  <c r="G2369" i="6"/>
  <c r="F172" i="13"/>
  <c r="C173" i="13"/>
  <c r="I1370" i="6"/>
  <c r="G1371" i="6"/>
  <c r="C174" i="13" l="1"/>
  <c r="F173" i="13"/>
  <c r="R170" i="13"/>
  <c r="S170" i="13" s="1"/>
  <c r="O171" i="13"/>
  <c r="G1372" i="6"/>
  <c r="I1371" i="6"/>
  <c r="G2370" i="6"/>
  <c r="I2369" i="6"/>
  <c r="L173" i="13"/>
  <c r="I174" i="13"/>
  <c r="L174" i="13" l="1"/>
  <c r="I175" i="13"/>
  <c r="I2370" i="6"/>
  <c r="G2371" i="6"/>
  <c r="I1372" i="6"/>
  <c r="G1373" i="6"/>
  <c r="R171" i="13"/>
  <c r="S171" i="13" s="1"/>
  <c r="O172" i="13"/>
  <c r="C175" i="13"/>
  <c r="F174" i="13"/>
  <c r="C176" i="13" l="1"/>
  <c r="F175" i="13"/>
  <c r="G2372" i="6"/>
  <c r="I2371" i="6"/>
  <c r="L175" i="13"/>
  <c r="I176" i="13"/>
  <c r="O173" i="13"/>
  <c r="R172" i="13"/>
  <c r="S172" i="13" s="1"/>
  <c r="I1373" i="6"/>
  <c r="G1374" i="6"/>
  <c r="G1375" i="6" l="1"/>
  <c r="I1374" i="6"/>
  <c r="O174" i="13"/>
  <c r="R173" i="13"/>
  <c r="S173" i="13" s="1"/>
  <c r="I177" i="13"/>
  <c r="L176" i="13"/>
  <c r="G2373" i="6"/>
  <c r="I2372" i="6"/>
  <c r="F176" i="13"/>
  <c r="C177" i="13"/>
  <c r="G2374" i="6" l="1"/>
  <c r="I2373" i="6"/>
  <c r="I178" i="13"/>
  <c r="L177" i="13"/>
  <c r="R174" i="13"/>
  <c r="S174" i="13" s="1"/>
  <c r="O175" i="13"/>
  <c r="F177" i="13"/>
  <c r="C178" i="13"/>
  <c r="I1375" i="6"/>
  <c r="G1376" i="6"/>
  <c r="C179" i="13" l="1"/>
  <c r="F178" i="13"/>
  <c r="G1377" i="6"/>
  <c r="I1376" i="6"/>
  <c r="R175" i="13"/>
  <c r="S175" i="13" s="1"/>
  <c r="O176" i="13"/>
  <c r="L178" i="13"/>
  <c r="I179" i="13"/>
  <c r="I2374" i="6"/>
  <c r="G2375" i="6"/>
  <c r="R176" i="13" l="1"/>
  <c r="S176" i="13" s="1"/>
  <c r="O177" i="13"/>
  <c r="G1378" i="6"/>
  <c r="I1377" i="6"/>
  <c r="G2376" i="6"/>
  <c r="I2375" i="6"/>
  <c r="L179" i="13"/>
  <c r="I180" i="13"/>
  <c r="F179" i="13"/>
  <c r="C180" i="13"/>
  <c r="C181" i="13" l="1"/>
  <c r="F180" i="13"/>
  <c r="L180" i="13"/>
  <c r="I181" i="13"/>
  <c r="G2377" i="6"/>
  <c r="I2376" i="6"/>
  <c r="G1379" i="6"/>
  <c r="I1378" i="6"/>
  <c r="O178" i="13"/>
  <c r="R177" i="13"/>
  <c r="S177" i="13" s="1"/>
  <c r="O179" i="13" l="1"/>
  <c r="R178" i="13"/>
  <c r="S178" i="13" s="1"/>
  <c r="G1380" i="6"/>
  <c r="I1379" i="6"/>
  <c r="I182" i="13"/>
  <c r="L181" i="13"/>
  <c r="G2378" i="6"/>
  <c r="I2377" i="6"/>
  <c r="C182" i="13"/>
  <c r="F181" i="13"/>
  <c r="I2378" i="6" l="1"/>
  <c r="G2379" i="6"/>
  <c r="I183" i="13"/>
  <c r="L182" i="13"/>
  <c r="G1381" i="6"/>
  <c r="I1380" i="6"/>
  <c r="F182" i="13"/>
  <c r="C183" i="13"/>
  <c r="O180" i="13"/>
  <c r="R179" i="13"/>
  <c r="S179" i="13" s="1"/>
  <c r="F183" i="13" l="1"/>
  <c r="C184" i="13"/>
  <c r="R180" i="13"/>
  <c r="S180" i="13" s="1"/>
  <c r="O181" i="13"/>
  <c r="G1382" i="6"/>
  <c r="I1381" i="6"/>
  <c r="I184" i="13"/>
  <c r="L183" i="13"/>
  <c r="G2380" i="6"/>
  <c r="I2379" i="6"/>
  <c r="G2381" i="6" l="1"/>
  <c r="I2380" i="6"/>
  <c r="I185" i="13"/>
  <c r="L184" i="13"/>
  <c r="G1383" i="6"/>
  <c r="I1382" i="6"/>
  <c r="R181" i="13"/>
  <c r="S181" i="13" s="1"/>
  <c r="O182" i="13"/>
  <c r="F184" i="13"/>
  <c r="C185" i="13"/>
  <c r="C186" i="13" l="1"/>
  <c r="F185" i="13"/>
  <c r="O183" i="13"/>
  <c r="R182" i="13"/>
  <c r="S182" i="13" s="1"/>
  <c r="G1384" i="6"/>
  <c r="I1383" i="6"/>
  <c r="L185" i="13"/>
  <c r="I186" i="13"/>
  <c r="G2382" i="6"/>
  <c r="I2381" i="6"/>
  <c r="I2382" i="6" l="1"/>
  <c r="G2383" i="6"/>
  <c r="G1385" i="6"/>
  <c r="I1384" i="6"/>
  <c r="R183" i="13"/>
  <c r="S183" i="13" s="1"/>
  <c r="O184" i="13"/>
  <c r="I187" i="13"/>
  <c r="L186" i="13"/>
  <c r="C187" i="13"/>
  <c r="F186" i="13"/>
  <c r="L187" i="13" l="1"/>
  <c r="I188" i="13"/>
  <c r="O185" i="13"/>
  <c r="R184" i="13"/>
  <c r="S184" i="13" s="1"/>
  <c r="F187" i="13"/>
  <c r="C188" i="13"/>
  <c r="G1386" i="6"/>
  <c r="I1385" i="6"/>
  <c r="I2383" i="6"/>
  <c r="G2384" i="6"/>
  <c r="O186" i="13" l="1"/>
  <c r="R185" i="13"/>
  <c r="S185" i="13" s="1"/>
  <c r="G2385" i="6"/>
  <c r="I2384" i="6"/>
  <c r="G1387" i="6"/>
  <c r="I1386" i="6"/>
  <c r="C189" i="13"/>
  <c r="F188" i="13"/>
  <c r="L188" i="13"/>
  <c r="I189" i="13"/>
  <c r="I190" i="13" l="1"/>
  <c r="L189" i="13"/>
  <c r="F189" i="13"/>
  <c r="C190" i="13"/>
  <c r="G2386" i="6"/>
  <c r="I2385" i="6"/>
  <c r="I1387" i="6"/>
  <c r="G1388" i="6"/>
  <c r="R186" i="13"/>
  <c r="S186" i="13" s="1"/>
  <c r="O187" i="13"/>
  <c r="R187" i="13" l="1"/>
  <c r="S187" i="13" s="1"/>
  <c r="O188" i="13"/>
  <c r="G1389" i="6"/>
  <c r="I1388" i="6"/>
  <c r="I2386" i="6"/>
  <c r="G2387" i="6"/>
  <c r="F190" i="13"/>
  <c r="C191" i="13"/>
  <c r="L190" i="13"/>
  <c r="I191" i="13"/>
  <c r="G2388" i="6" l="1"/>
  <c r="I2387" i="6"/>
  <c r="L191" i="13"/>
  <c r="I192" i="13"/>
  <c r="F191" i="13"/>
  <c r="C192" i="13"/>
  <c r="G1390" i="6"/>
  <c r="I1389" i="6"/>
  <c r="R188" i="13"/>
  <c r="S188" i="13" s="1"/>
  <c r="O189" i="13"/>
  <c r="O190" i="13" l="1"/>
  <c r="R189" i="13"/>
  <c r="S189" i="13" s="1"/>
  <c r="G1391" i="6"/>
  <c r="I1390" i="6"/>
  <c r="F192" i="13"/>
  <c r="C193" i="13"/>
  <c r="L192" i="13"/>
  <c r="I193" i="13"/>
  <c r="G2389" i="6"/>
  <c r="I2388" i="6"/>
  <c r="C194" i="13" l="1"/>
  <c r="F193" i="13"/>
  <c r="G2390" i="6"/>
  <c r="I2389" i="6"/>
  <c r="I194" i="13"/>
  <c r="L193" i="13"/>
  <c r="G1392" i="6"/>
  <c r="I1391" i="6"/>
  <c r="O191" i="13"/>
  <c r="R190" i="13"/>
  <c r="S190" i="13" s="1"/>
  <c r="R191" i="13" l="1"/>
  <c r="S191" i="13" s="1"/>
  <c r="O192" i="13"/>
  <c r="G1393" i="6"/>
  <c r="I1392" i="6"/>
  <c r="I195" i="13"/>
  <c r="L194" i="13"/>
  <c r="I2390" i="6"/>
  <c r="G2391" i="6"/>
  <c r="F194" i="13"/>
  <c r="C195" i="13"/>
  <c r="F195" i="13" l="1"/>
  <c r="C196" i="13"/>
  <c r="G2392" i="6"/>
  <c r="I2391" i="6"/>
  <c r="I196" i="13"/>
  <c r="L195" i="13"/>
  <c r="I1393" i="6"/>
  <c r="G1394" i="6"/>
  <c r="O193" i="13"/>
  <c r="R192" i="13"/>
  <c r="S192" i="13" s="1"/>
  <c r="R193" i="13" l="1"/>
  <c r="S193" i="13" s="1"/>
  <c r="O194" i="13"/>
  <c r="I1394" i="6"/>
  <c r="G1395" i="6"/>
  <c r="L196" i="13"/>
  <c r="I197" i="13"/>
  <c r="I2392" i="6"/>
  <c r="G2393" i="6"/>
  <c r="F196" i="13"/>
  <c r="C197" i="13"/>
  <c r="G2394" i="6" l="1"/>
  <c r="I2393" i="6"/>
  <c r="L197" i="13"/>
  <c r="I198" i="13"/>
  <c r="C198" i="13"/>
  <c r="F197" i="13"/>
  <c r="G1396" i="6"/>
  <c r="I1395" i="6"/>
  <c r="R194" i="13"/>
  <c r="S194" i="13" s="1"/>
  <c r="O195" i="13"/>
  <c r="G1397" i="6" l="1"/>
  <c r="I1396" i="6"/>
  <c r="R195" i="13"/>
  <c r="S195" i="13" s="1"/>
  <c r="O196" i="13"/>
  <c r="C199" i="13"/>
  <c r="F198" i="13"/>
  <c r="L198" i="13"/>
  <c r="I199" i="13"/>
  <c r="I2394" i="6"/>
  <c r="G2395" i="6"/>
  <c r="C200" i="13" l="1"/>
  <c r="F199" i="13"/>
  <c r="G2396" i="6"/>
  <c r="I2395" i="6"/>
  <c r="L199" i="13"/>
  <c r="I200" i="13"/>
  <c r="R196" i="13"/>
  <c r="S196" i="13" s="1"/>
  <c r="O197" i="13"/>
  <c r="G1398" i="6"/>
  <c r="I1397" i="6"/>
  <c r="G1399" i="6" l="1"/>
  <c r="I1398" i="6"/>
  <c r="O198" i="13"/>
  <c r="R197" i="13"/>
  <c r="S197" i="13" s="1"/>
  <c r="I201" i="13"/>
  <c r="L200" i="13"/>
  <c r="G2397" i="6"/>
  <c r="I2396" i="6"/>
  <c r="C201" i="13"/>
  <c r="F200" i="13"/>
  <c r="F201" i="13" l="1"/>
  <c r="C202" i="13"/>
  <c r="R198" i="13"/>
  <c r="S198" i="13" s="1"/>
  <c r="O199" i="13"/>
  <c r="G2398" i="6"/>
  <c r="I2397" i="6"/>
  <c r="I202" i="13"/>
  <c r="L201" i="13"/>
  <c r="G1400" i="6"/>
  <c r="I1399" i="6"/>
  <c r="G1401" i="6" l="1"/>
  <c r="I1400" i="6"/>
  <c r="C203" i="13"/>
  <c r="F202" i="13"/>
  <c r="L202" i="13"/>
  <c r="I203" i="13"/>
  <c r="I2398" i="6"/>
  <c r="G2399" i="6"/>
  <c r="R199" i="13"/>
  <c r="S199" i="13" s="1"/>
  <c r="O200" i="13"/>
  <c r="R200" i="13" l="1"/>
  <c r="S200" i="13" s="1"/>
  <c r="O201" i="13"/>
  <c r="G2400" i="6"/>
  <c r="I2399" i="6"/>
  <c r="L203" i="13"/>
  <c r="I204" i="13"/>
  <c r="F203" i="13"/>
  <c r="C204" i="13"/>
  <c r="G1402" i="6"/>
  <c r="I1401" i="6"/>
  <c r="O202" i="13" l="1"/>
  <c r="R201" i="13"/>
  <c r="S201" i="13" s="1"/>
  <c r="G1403" i="6"/>
  <c r="I1402" i="6"/>
  <c r="F204" i="13"/>
  <c r="C205" i="13"/>
  <c r="L204" i="13"/>
  <c r="I205" i="13"/>
  <c r="G2401" i="6"/>
  <c r="I2400" i="6"/>
  <c r="I206" i="13" l="1"/>
  <c r="L205" i="13"/>
  <c r="G1404" i="6"/>
  <c r="I1403" i="6"/>
  <c r="G2402" i="6"/>
  <c r="I2401" i="6"/>
  <c r="C206" i="13"/>
  <c r="F205" i="13"/>
  <c r="O203" i="13"/>
  <c r="R202" i="13"/>
  <c r="S202" i="13" s="1"/>
  <c r="O204" i="13" l="1"/>
  <c r="R203" i="13"/>
  <c r="S203" i="13" s="1"/>
  <c r="F206" i="13"/>
  <c r="C207" i="13"/>
  <c r="I2402" i="6"/>
  <c r="G2403" i="6"/>
  <c r="G1405" i="6"/>
  <c r="I1404" i="6"/>
  <c r="I207" i="13"/>
  <c r="L206" i="13"/>
  <c r="L207" i="13" l="1"/>
  <c r="I208" i="13"/>
  <c r="I1405" i="6"/>
  <c r="G1406" i="6"/>
  <c r="G2404" i="6"/>
  <c r="I2403" i="6"/>
  <c r="F207" i="13"/>
  <c r="C208" i="13"/>
  <c r="R204" i="13"/>
  <c r="S204" i="13" s="1"/>
  <c r="O205" i="13"/>
  <c r="G2405" i="6" l="1"/>
  <c r="I2404" i="6"/>
  <c r="F208" i="13"/>
  <c r="C209" i="13"/>
  <c r="G1407" i="6"/>
  <c r="I1406" i="6"/>
  <c r="R205" i="13"/>
  <c r="S205" i="13" s="1"/>
  <c r="O206" i="13"/>
  <c r="I209" i="13"/>
  <c r="L208" i="13"/>
  <c r="O207" i="13" l="1"/>
  <c r="R206" i="13"/>
  <c r="S206" i="13" s="1"/>
  <c r="L209" i="13"/>
  <c r="I210" i="13"/>
  <c r="G1408" i="6"/>
  <c r="I1407" i="6"/>
  <c r="C210" i="13"/>
  <c r="F209" i="13"/>
  <c r="G2406" i="6"/>
  <c r="I2405" i="6"/>
  <c r="I2406" i="6" l="1"/>
  <c r="G2407" i="6"/>
  <c r="C211" i="13"/>
  <c r="F210" i="13"/>
  <c r="G1409" i="6"/>
  <c r="I1408" i="6"/>
  <c r="L210" i="13"/>
  <c r="I211" i="13"/>
  <c r="R207" i="13"/>
  <c r="S207" i="13" s="1"/>
  <c r="O208" i="13"/>
  <c r="L211" i="13" l="1"/>
  <c r="I212" i="13"/>
  <c r="O209" i="13"/>
  <c r="R208" i="13"/>
  <c r="S208" i="13" s="1"/>
  <c r="G1410" i="6"/>
  <c r="I1409" i="6"/>
  <c r="F211" i="13"/>
  <c r="C212" i="13"/>
  <c r="I2407" i="6"/>
  <c r="G2408" i="6"/>
  <c r="G2409" i="6" l="1"/>
  <c r="I2408" i="6"/>
  <c r="C213" i="13"/>
  <c r="F212" i="13"/>
  <c r="G1411" i="6"/>
  <c r="I1410" i="6"/>
  <c r="O210" i="13"/>
  <c r="R209" i="13"/>
  <c r="S209" i="13" s="1"/>
  <c r="I213" i="13"/>
  <c r="L212" i="13"/>
  <c r="I214" i="13" l="1"/>
  <c r="L213" i="13"/>
  <c r="R210" i="13"/>
  <c r="S210" i="13" s="1"/>
  <c r="O211" i="13"/>
  <c r="I1411" i="6"/>
  <c r="G1412" i="6"/>
  <c r="F213" i="13"/>
  <c r="C214" i="13"/>
  <c r="G2410" i="6"/>
  <c r="I2409" i="6"/>
  <c r="I2410" i="6" l="1"/>
  <c r="G2411" i="6"/>
  <c r="F214" i="13"/>
  <c r="C215" i="13"/>
  <c r="I1412" i="6"/>
  <c r="G1413" i="6"/>
  <c r="R211" i="13"/>
  <c r="S211" i="13" s="1"/>
  <c r="O212" i="13"/>
  <c r="L214" i="13"/>
  <c r="I215" i="13"/>
  <c r="L215" i="13" l="1"/>
  <c r="I216" i="13"/>
  <c r="G1414" i="6"/>
  <c r="I1413" i="6"/>
  <c r="R212" i="13"/>
  <c r="S212" i="13" s="1"/>
  <c r="O213" i="13"/>
  <c r="F215" i="13"/>
  <c r="C216" i="13"/>
  <c r="G2412" i="6"/>
  <c r="I2411" i="6"/>
  <c r="G2413" i="6" l="1"/>
  <c r="I2412" i="6"/>
  <c r="O214" i="13"/>
  <c r="R213" i="13"/>
  <c r="S213" i="13" s="1"/>
  <c r="C217" i="13"/>
  <c r="F216" i="13"/>
  <c r="G1415" i="6"/>
  <c r="I1414" i="6"/>
  <c r="L216" i="13"/>
  <c r="I217" i="13"/>
  <c r="I218" i="13" l="1"/>
  <c r="L217" i="13"/>
  <c r="G1416" i="6"/>
  <c r="I1415" i="6"/>
  <c r="C218" i="13"/>
  <c r="F217" i="13"/>
  <c r="O215" i="13"/>
  <c r="R214" i="13"/>
  <c r="S214" i="13" s="1"/>
  <c r="G2414" i="6"/>
  <c r="I2413" i="6"/>
  <c r="I2414" i="6" l="1"/>
  <c r="G2415" i="6"/>
  <c r="O216" i="13"/>
  <c r="R215" i="13"/>
  <c r="S215" i="13" s="1"/>
  <c r="F218" i="13"/>
  <c r="C219" i="13"/>
  <c r="G1417" i="6"/>
  <c r="I1416" i="6"/>
  <c r="I219" i="13"/>
  <c r="L218" i="13"/>
  <c r="I220" i="13" l="1"/>
  <c r="L219" i="13"/>
  <c r="G1418" i="6"/>
  <c r="I1417" i="6"/>
  <c r="F219" i="13"/>
  <c r="C220" i="13"/>
  <c r="R216" i="13"/>
  <c r="S216" i="13" s="1"/>
  <c r="O217" i="13"/>
  <c r="G2416" i="6"/>
  <c r="I2415" i="6"/>
  <c r="I2416" i="6" l="1"/>
  <c r="G2417" i="6"/>
  <c r="R217" i="13"/>
  <c r="S217" i="13" s="1"/>
  <c r="O218" i="13"/>
  <c r="F220" i="13"/>
  <c r="C221" i="13"/>
  <c r="G1419" i="6"/>
  <c r="I1418" i="6"/>
  <c r="L220" i="13"/>
  <c r="I221" i="13"/>
  <c r="L221" i="13" l="1"/>
  <c r="I222" i="13"/>
  <c r="G1420" i="6"/>
  <c r="I1419" i="6"/>
  <c r="F221" i="13"/>
  <c r="C222" i="13"/>
  <c r="R218" i="13"/>
  <c r="S218" i="13" s="1"/>
  <c r="O219" i="13"/>
  <c r="G2418" i="6"/>
  <c r="I2417" i="6"/>
  <c r="I2418" i="6" l="1"/>
  <c r="G2419" i="6"/>
  <c r="O220" i="13"/>
  <c r="R219" i="13"/>
  <c r="S219" i="13" s="1"/>
  <c r="L222" i="13"/>
  <c r="I223" i="13"/>
  <c r="F222" i="13"/>
  <c r="C223" i="13"/>
  <c r="G1421" i="6"/>
  <c r="I1420" i="6"/>
  <c r="I224" i="13" l="1"/>
  <c r="L223" i="13"/>
  <c r="G2420" i="6"/>
  <c r="I2419" i="6"/>
  <c r="G1422" i="6"/>
  <c r="I1421" i="6"/>
  <c r="C224" i="13"/>
  <c r="F223" i="13"/>
  <c r="O221" i="13"/>
  <c r="R220" i="13"/>
  <c r="S220" i="13" s="1"/>
  <c r="G2421" i="6" l="1"/>
  <c r="I2420" i="6"/>
  <c r="O222" i="13"/>
  <c r="R221" i="13"/>
  <c r="S221" i="13" s="1"/>
  <c r="F224" i="13"/>
  <c r="C225" i="13"/>
  <c r="G1423" i="6"/>
  <c r="I1422" i="6"/>
  <c r="I225" i="13"/>
  <c r="L224" i="13"/>
  <c r="F225" i="13" l="1"/>
  <c r="C226" i="13"/>
  <c r="R222" i="13"/>
  <c r="S222" i="13" s="1"/>
  <c r="O223" i="13"/>
  <c r="L225" i="13"/>
  <c r="I226" i="13"/>
  <c r="I1423" i="6"/>
  <c r="G1424" i="6"/>
  <c r="G2422" i="6"/>
  <c r="I2421" i="6"/>
  <c r="I2422" i="6" l="1"/>
  <c r="G2423" i="6"/>
  <c r="F226" i="13"/>
  <c r="C227" i="13"/>
  <c r="G1425" i="6"/>
  <c r="I1424" i="6"/>
  <c r="L226" i="13"/>
  <c r="I227" i="13"/>
  <c r="R223" i="13"/>
  <c r="S223" i="13" s="1"/>
  <c r="O224" i="13"/>
  <c r="O225" i="13" l="1"/>
  <c r="R224" i="13"/>
  <c r="S224" i="13" s="1"/>
  <c r="G1426" i="6"/>
  <c r="I1425" i="6"/>
  <c r="C228" i="13"/>
  <c r="F227" i="13"/>
  <c r="I228" i="13"/>
  <c r="L227" i="13"/>
  <c r="G2424" i="6"/>
  <c r="I2423" i="6"/>
  <c r="G2425" i="6" l="1"/>
  <c r="I2424" i="6"/>
  <c r="I229" i="13"/>
  <c r="L228" i="13"/>
  <c r="C229" i="13"/>
  <c r="F228" i="13"/>
  <c r="G1427" i="6"/>
  <c r="I1426" i="6"/>
  <c r="O226" i="13"/>
  <c r="R225" i="13"/>
  <c r="S225" i="13" s="1"/>
  <c r="G1428" i="6" l="1"/>
  <c r="I1427" i="6"/>
  <c r="R226" i="13"/>
  <c r="S226" i="13" s="1"/>
  <c r="O227" i="13"/>
  <c r="F229" i="13"/>
  <c r="C230" i="13"/>
  <c r="L229" i="13"/>
  <c r="I230" i="13"/>
  <c r="G2426" i="6"/>
  <c r="I2425" i="6"/>
  <c r="R227" i="13" l="1"/>
  <c r="S227" i="13" s="1"/>
  <c r="O228" i="13"/>
  <c r="I2426" i="6"/>
  <c r="G2427" i="6"/>
  <c r="L230" i="13"/>
  <c r="I231" i="13"/>
  <c r="C231" i="13"/>
  <c r="F230" i="13"/>
  <c r="G1429" i="6"/>
  <c r="I1428" i="6"/>
  <c r="I1429" i="6" l="1"/>
  <c r="G1430" i="6"/>
  <c r="C232" i="13"/>
  <c r="F231" i="13"/>
  <c r="I232" i="13"/>
  <c r="L231" i="13"/>
  <c r="G2428" i="6"/>
  <c r="I2427" i="6"/>
  <c r="R228" i="13"/>
  <c r="S228" i="13" s="1"/>
  <c r="O229" i="13"/>
  <c r="R229" i="13" l="1"/>
  <c r="S229" i="13" s="1"/>
  <c r="O230" i="13"/>
  <c r="G2429" i="6"/>
  <c r="I2428" i="6"/>
  <c r="L232" i="13"/>
  <c r="I233" i="13"/>
  <c r="F232" i="13"/>
  <c r="C233" i="13"/>
  <c r="I1430" i="6"/>
  <c r="G1431" i="6"/>
  <c r="G1432" i="6" l="1"/>
  <c r="I1431" i="6"/>
  <c r="C234" i="13"/>
  <c r="F233" i="13"/>
  <c r="L233" i="13"/>
  <c r="I234" i="13"/>
  <c r="G2430" i="6"/>
  <c r="I2429" i="6"/>
  <c r="R230" i="13"/>
  <c r="S230" i="13" s="1"/>
  <c r="O231" i="13"/>
  <c r="L234" i="13" l="1"/>
  <c r="I235" i="13"/>
  <c r="O232" i="13"/>
  <c r="R231" i="13"/>
  <c r="S231" i="13" s="1"/>
  <c r="I2430" i="6"/>
  <c r="G2431" i="6"/>
  <c r="F234" i="13"/>
  <c r="C235" i="13"/>
  <c r="G1433" i="6"/>
  <c r="I1432" i="6"/>
  <c r="G1434" i="6" l="1"/>
  <c r="I1433" i="6"/>
  <c r="F235" i="13"/>
  <c r="C236" i="13"/>
  <c r="I2431" i="6"/>
  <c r="G2432" i="6"/>
  <c r="O233" i="13"/>
  <c r="R232" i="13"/>
  <c r="S232" i="13" s="1"/>
  <c r="I236" i="13"/>
  <c r="L235" i="13"/>
  <c r="I237" i="13" l="1"/>
  <c r="L236" i="13"/>
  <c r="F236" i="13"/>
  <c r="C237" i="13"/>
  <c r="R233" i="13"/>
  <c r="S233" i="13" s="1"/>
  <c r="O234" i="13"/>
  <c r="G2433" i="6"/>
  <c r="I2432" i="6"/>
  <c r="G1435" i="6"/>
  <c r="I1434" i="6"/>
  <c r="G2434" i="6" l="1"/>
  <c r="I2433" i="6"/>
  <c r="O235" i="13"/>
  <c r="R234" i="13"/>
  <c r="S234" i="13" s="1"/>
  <c r="G1436" i="6"/>
  <c r="I1435" i="6"/>
  <c r="F237" i="13"/>
  <c r="C238" i="13"/>
  <c r="I238" i="13"/>
  <c r="L237" i="13"/>
  <c r="F238" i="13" l="1"/>
  <c r="C239" i="13"/>
  <c r="G1437" i="6"/>
  <c r="I1436" i="6"/>
  <c r="I239" i="13"/>
  <c r="L238" i="13"/>
  <c r="R235" i="13"/>
  <c r="S235" i="13" s="1"/>
  <c r="O236" i="13"/>
  <c r="I2434" i="6"/>
  <c r="G2435" i="6"/>
  <c r="G2436" i="6" l="1"/>
  <c r="I2435" i="6"/>
  <c r="R236" i="13"/>
  <c r="S236" i="13" s="1"/>
  <c r="O237" i="13"/>
  <c r="L239" i="13"/>
  <c r="I240" i="13"/>
  <c r="G1438" i="6"/>
  <c r="I1437" i="6"/>
  <c r="C240" i="13"/>
  <c r="F239" i="13"/>
  <c r="L240" i="13" l="1"/>
  <c r="I241" i="13"/>
  <c r="O238" i="13"/>
  <c r="R237" i="13"/>
  <c r="S237" i="13" s="1"/>
  <c r="C241" i="13"/>
  <c r="F240" i="13"/>
  <c r="G1439" i="6"/>
  <c r="I1438" i="6"/>
  <c r="G2437" i="6"/>
  <c r="I2436" i="6"/>
  <c r="G2438" i="6" l="1"/>
  <c r="I2437" i="6"/>
  <c r="G1440" i="6"/>
  <c r="I1439" i="6"/>
  <c r="R238" i="13"/>
  <c r="S238" i="13" s="1"/>
  <c r="O239" i="13"/>
  <c r="C242" i="13"/>
  <c r="F241" i="13"/>
  <c r="I242" i="13"/>
  <c r="L241" i="13"/>
  <c r="L242" i="13" l="1"/>
  <c r="I243" i="13"/>
  <c r="R239" i="13"/>
  <c r="S239" i="13" s="1"/>
  <c r="O240" i="13"/>
  <c r="C243" i="13"/>
  <c r="F242" i="13"/>
  <c r="G1441" i="6"/>
  <c r="I1440" i="6"/>
  <c r="I2438" i="6"/>
  <c r="G2439" i="6"/>
  <c r="G2440" i="6" l="1"/>
  <c r="I2439" i="6"/>
  <c r="I244" i="13"/>
  <c r="L243" i="13"/>
  <c r="I1441" i="6"/>
  <c r="G1442" i="6"/>
  <c r="F243" i="13"/>
  <c r="C244" i="13"/>
  <c r="R240" i="13"/>
  <c r="S240" i="13" s="1"/>
  <c r="O241" i="13"/>
  <c r="R241" i="13" l="1"/>
  <c r="S241" i="13" s="1"/>
  <c r="O242" i="13"/>
  <c r="F244" i="13"/>
  <c r="C245" i="13"/>
  <c r="G1443" i="6"/>
  <c r="I1442" i="6"/>
  <c r="L244" i="13"/>
  <c r="I245" i="13"/>
  <c r="I2440" i="6"/>
  <c r="G2441" i="6"/>
  <c r="C246" i="13" l="1"/>
  <c r="F245" i="13"/>
  <c r="G1444" i="6"/>
  <c r="I1443" i="6"/>
  <c r="R242" i="13"/>
  <c r="S242" i="13" s="1"/>
  <c r="O243" i="13"/>
  <c r="G2442" i="6"/>
  <c r="I2441" i="6"/>
  <c r="L245" i="13"/>
  <c r="I246" i="13"/>
  <c r="L246" i="13" l="1"/>
  <c r="I247" i="13"/>
  <c r="I2442" i="6"/>
  <c r="G2443" i="6"/>
  <c r="O244" i="13"/>
  <c r="R243" i="13"/>
  <c r="S243" i="13" s="1"/>
  <c r="G1445" i="6"/>
  <c r="I1444" i="6"/>
  <c r="F246" i="13"/>
  <c r="C247" i="13"/>
  <c r="C248" i="13" l="1"/>
  <c r="F247" i="13"/>
  <c r="G1446" i="6"/>
  <c r="I1445" i="6"/>
  <c r="O245" i="13"/>
  <c r="R244" i="13"/>
  <c r="S244" i="13" s="1"/>
  <c r="G2444" i="6"/>
  <c r="I2443" i="6"/>
  <c r="I248" i="13"/>
  <c r="L247" i="13"/>
  <c r="G2445" i="6" l="1"/>
  <c r="I2444" i="6"/>
  <c r="I249" i="13"/>
  <c r="L248" i="13"/>
  <c r="R245" i="13"/>
  <c r="S245" i="13" s="1"/>
  <c r="O246" i="13"/>
  <c r="G1447" i="6"/>
  <c r="I1446" i="6"/>
  <c r="F248" i="13"/>
  <c r="C249" i="13"/>
  <c r="F249" i="13" l="1"/>
  <c r="C250" i="13"/>
  <c r="I1447" i="6"/>
  <c r="G1448" i="6"/>
  <c r="O247" i="13"/>
  <c r="R246" i="13"/>
  <c r="S246" i="13" s="1"/>
  <c r="L249" i="13"/>
  <c r="I250" i="13"/>
  <c r="G2446" i="6"/>
  <c r="I2445" i="6"/>
  <c r="I2446" i="6" l="1"/>
  <c r="G2447" i="6"/>
  <c r="I1448" i="6"/>
  <c r="G1449" i="6"/>
  <c r="I251" i="13"/>
  <c r="L250" i="13"/>
  <c r="R247" i="13"/>
  <c r="S247" i="13" s="1"/>
  <c r="O248" i="13"/>
  <c r="F250" i="13"/>
  <c r="C251" i="13"/>
  <c r="G1450" i="6" l="1"/>
  <c r="I1449" i="6"/>
  <c r="C252" i="13"/>
  <c r="F251" i="13"/>
  <c r="L251" i="13"/>
  <c r="I252" i="13"/>
  <c r="G2448" i="6"/>
  <c r="I2447" i="6"/>
  <c r="R248" i="13"/>
  <c r="S248" i="13" s="1"/>
  <c r="O249" i="13"/>
  <c r="G2449" i="6" l="1"/>
  <c r="I2448" i="6"/>
  <c r="O250" i="13"/>
  <c r="R249" i="13"/>
  <c r="S249" i="13" s="1"/>
  <c r="I253" i="13"/>
  <c r="L252" i="13"/>
  <c r="C253" i="13"/>
  <c r="F252" i="13"/>
  <c r="G1451" i="6"/>
  <c r="I1450" i="6"/>
  <c r="I254" i="13" l="1"/>
  <c r="L253" i="13"/>
  <c r="G1452" i="6"/>
  <c r="I1451" i="6"/>
  <c r="F253" i="13"/>
  <c r="C254" i="13"/>
  <c r="R250" i="13"/>
  <c r="S250" i="13" s="1"/>
  <c r="O251" i="13"/>
  <c r="G2450" i="6"/>
  <c r="I2449" i="6"/>
  <c r="O252" i="13" l="1"/>
  <c r="R251" i="13"/>
  <c r="S251" i="13" s="1"/>
  <c r="G1453" i="6"/>
  <c r="I1452" i="6"/>
  <c r="C255" i="13"/>
  <c r="F254" i="13"/>
  <c r="I2450" i="6"/>
  <c r="G2451" i="6"/>
  <c r="L254" i="13"/>
  <c r="I255" i="13"/>
  <c r="F255" i="13" l="1"/>
  <c r="C256" i="13"/>
  <c r="G2452" i="6"/>
  <c r="I2451" i="6"/>
  <c r="L255" i="13"/>
  <c r="I256" i="13"/>
  <c r="G1454" i="6"/>
  <c r="I1453" i="6"/>
  <c r="R252" i="13"/>
  <c r="S252" i="13" s="1"/>
  <c r="O253" i="13"/>
  <c r="R253" i="13" l="1"/>
  <c r="S253" i="13" s="1"/>
  <c r="O254" i="13"/>
  <c r="L256" i="13"/>
  <c r="I257" i="13"/>
  <c r="G1455" i="6"/>
  <c r="I1454" i="6"/>
  <c r="G2453" i="6"/>
  <c r="I2452" i="6"/>
  <c r="C257" i="13"/>
  <c r="F256" i="13"/>
  <c r="C258" i="13" l="1"/>
  <c r="F257" i="13"/>
  <c r="G2454" i="6"/>
  <c r="I2453" i="6"/>
  <c r="G1456" i="6"/>
  <c r="I1455" i="6"/>
  <c r="R254" i="13"/>
  <c r="S254" i="13" s="1"/>
  <c r="O255" i="13"/>
  <c r="L257" i="13"/>
  <c r="I258" i="13"/>
  <c r="I2454" i="6" l="1"/>
  <c r="G2455" i="6"/>
  <c r="L258" i="13"/>
  <c r="I259" i="13"/>
  <c r="O256" i="13"/>
  <c r="R255" i="13"/>
  <c r="S255" i="13" s="1"/>
  <c r="G1457" i="6"/>
  <c r="I1456" i="6"/>
  <c r="F258" i="13"/>
  <c r="C259" i="13"/>
  <c r="C260" i="13" l="1"/>
  <c r="F259" i="13"/>
  <c r="G1458" i="6"/>
  <c r="I1457" i="6"/>
  <c r="O257" i="13"/>
  <c r="R256" i="13"/>
  <c r="S256" i="13" s="1"/>
  <c r="I260" i="13"/>
  <c r="L259" i="13"/>
  <c r="I2455" i="6"/>
  <c r="G2456" i="6"/>
  <c r="G2457" i="6" l="1"/>
  <c r="I2456" i="6"/>
  <c r="I261" i="13"/>
  <c r="L260" i="13"/>
  <c r="R257" i="13"/>
  <c r="S257" i="13" s="1"/>
  <c r="O258" i="13"/>
  <c r="G1459" i="6"/>
  <c r="I1458" i="6"/>
  <c r="F260" i="13"/>
  <c r="C261" i="13"/>
  <c r="F261" i="13" l="1"/>
  <c r="C262" i="13"/>
  <c r="I1459" i="6"/>
  <c r="G1460" i="6"/>
  <c r="O259" i="13"/>
  <c r="R258" i="13"/>
  <c r="S258" i="13" s="1"/>
  <c r="L261" i="13"/>
  <c r="I262" i="13"/>
  <c r="G2458" i="6"/>
  <c r="I2457" i="6"/>
  <c r="I263" i="13" l="1"/>
  <c r="L262" i="13"/>
  <c r="G1461" i="6"/>
  <c r="I1460" i="6"/>
  <c r="R259" i="13"/>
  <c r="S259" i="13" s="1"/>
  <c r="O260" i="13"/>
  <c r="I2458" i="6"/>
  <c r="G2459" i="6"/>
  <c r="F262" i="13"/>
  <c r="C263" i="13"/>
  <c r="C264" i="13" l="1"/>
  <c r="F263" i="13"/>
  <c r="G2460" i="6"/>
  <c r="I2459" i="6"/>
  <c r="O261" i="13"/>
  <c r="R260" i="13"/>
  <c r="S260" i="13" s="1"/>
  <c r="G1462" i="6"/>
  <c r="I1461" i="6"/>
  <c r="L263" i="13"/>
  <c r="I264" i="13"/>
  <c r="G1463" i="6" l="1"/>
  <c r="I1462" i="6"/>
  <c r="L264" i="13"/>
  <c r="I265" i="13"/>
  <c r="O262" i="13"/>
  <c r="R261" i="13"/>
  <c r="S261" i="13" s="1"/>
  <c r="I2460" i="6"/>
  <c r="G2461" i="6"/>
  <c r="C265" i="13"/>
  <c r="F264" i="13"/>
  <c r="I266" i="13" l="1"/>
  <c r="L265" i="13"/>
  <c r="F265" i="13"/>
  <c r="C266" i="13"/>
  <c r="G2462" i="6"/>
  <c r="I2461" i="6"/>
  <c r="R262" i="13"/>
  <c r="S262" i="13" s="1"/>
  <c r="O263" i="13"/>
  <c r="G1464" i="6"/>
  <c r="I1463" i="6"/>
  <c r="I2462" i="6" l="1"/>
  <c r="G2463" i="6"/>
  <c r="C267" i="13"/>
  <c r="F266" i="13"/>
  <c r="G1465" i="6"/>
  <c r="I1464" i="6"/>
  <c r="O264" i="13"/>
  <c r="R263" i="13"/>
  <c r="S263" i="13" s="1"/>
  <c r="L266" i="13"/>
  <c r="I267" i="13"/>
  <c r="I1465" i="6" l="1"/>
  <c r="G1466" i="6"/>
  <c r="R264" i="13"/>
  <c r="S264" i="13" s="1"/>
  <c r="O265" i="13"/>
  <c r="F267" i="13"/>
  <c r="C268" i="13"/>
  <c r="I268" i="13"/>
  <c r="L267" i="13"/>
  <c r="G2464" i="6"/>
  <c r="I2463" i="6"/>
  <c r="C269" i="13" l="1"/>
  <c r="F268" i="13"/>
  <c r="R265" i="13"/>
  <c r="S265" i="13" s="1"/>
  <c r="O266" i="13"/>
  <c r="I2464" i="6"/>
  <c r="G2465" i="6"/>
  <c r="L268" i="13"/>
  <c r="I269" i="13"/>
  <c r="I1466" i="6"/>
  <c r="G1467" i="6"/>
  <c r="G1468" i="6" l="1"/>
  <c r="I1467" i="6"/>
  <c r="L269" i="13"/>
  <c r="I270" i="13"/>
  <c r="G2466" i="6"/>
  <c r="I2465" i="6"/>
  <c r="R266" i="13"/>
  <c r="S266" i="13" s="1"/>
  <c r="O267" i="13"/>
  <c r="C270" i="13"/>
  <c r="F269" i="13"/>
  <c r="L270" i="13" l="1"/>
  <c r="I271" i="13"/>
  <c r="I2466" i="6"/>
  <c r="G2467" i="6"/>
  <c r="F270" i="13"/>
  <c r="C271" i="13"/>
  <c r="O268" i="13"/>
  <c r="R267" i="13"/>
  <c r="S267" i="13" s="1"/>
  <c r="G1469" i="6"/>
  <c r="I1468" i="6"/>
  <c r="G1470" i="6" l="1"/>
  <c r="I1469" i="6"/>
  <c r="C272" i="13"/>
  <c r="F271" i="13"/>
  <c r="G2468" i="6"/>
  <c r="I2467" i="6"/>
  <c r="O269" i="13"/>
  <c r="R268" i="13"/>
  <c r="S268" i="13" s="1"/>
  <c r="I272" i="13"/>
  <c r="L271" i="13"/>
  <c r="R269" i="13" l="1"/>
  <c r="S269" i="13" s="1"/>
  <c r="O270" i="13"/>
  <c r="I273" i="13"/>
  <c r="L272" i="13"/>
  <c r="F272" i="13"/>
  <c r="C273" i="13"/>
  <c r="G2469" i="6"/>
  <c r="I2468" i="6"/>
  <c r="G1471" i="6"/>
  <c r="I1470" i="6"/>
  <c r="G1472" i="6" l="1"/>
  <c r="I1471" i="6"/>
  <c r="F273" i="13"/>
  <c r="C274" i="13"/>
  <c r="G2470" i="6"/>
  <c r="I2469" i="6"/>
  <c r="L273" i="13"/>
  <c r="I274" i="13"/>
  <c r="O271" i="13"/>
  <c r="R270" i="13"/>
  <c r="S270" i="13" s="1"/>
  <c r="I2470" i="6" l="1"/>
  <c r="G2471" i="6"/>
  <c r="I275" i="13"/>
  <c r="L274" i="13"/>
  <c r="R271" i="13"/>
  <c r="S271" i="13" s="1"/>
  <c r="O272" i="13"/>
  <c r="F274" i="13"/>
  <c r="C275" i="13"/>
  <c r="G1473" i="6"/>
  <c r="I1472" i="6"/>
  <c r="C276" i="13" l="1"/>
  <c r="F275" i="13"/>
  <c r="L275" i="13"/>
  <c r="I276" i="13"/>
  <c r="G1474" i="6"/>
  <c r="I1473" i="6"/>
  <c r="O273" i="13"/>
  <c r="R272" i="13"/>
  <c r="S272" i="13" s="1"/>
  <c r="G2472" i="6"/>
  <c r="I2471" i="6"/>
  <c r="G2473" i="6" l="1"/>
  <c r="I2472" i="6"/>
  <c r="G1475" i="6"/>
  <c r="I1474" i="6"/>
  <c r="L276" i="13"/>
  <c r="I277" i="13"/>
  <c r="R273" i="13"/>
  <c r="S273" i="13" s="1"/>
  <c r="O274" i="13"/>
  <c r="C277" i="13"/>
  <c r="F276" i="13"/>
  <c r="F277" i="13" l="1"/>
  <c r="C278" i="13"/>
  <c r="R274" i="13"/>
  <c r="S274" i="13" s="1"/>
  <c r="O275" i="13"/>
  <c r="L277" i="13"/>
  <c r="I278" i="13"/>
  <c r="G1476" i="6"/>
  <c r="I1475" i="6"/>
  <c r="G2474" i="6"/>
  <c r="I2473" i="6"/>
  <c r="O276" i="13" l="1"/>
  <c r="R275" i="13"/>
  <c r="S275" i="13" s="1"/>
  <c r="G1477" i="6"/>
  <c r="I1476" i="6"/>
  <c r="L278" i="13"/>
  <c r="I279" i="13"/>
  <c r="C279" i="13"/>
  <c r="F278" i="13"/>
  <c r="I2474" i="6"/>
  <c r="G2475" i="6"/>
  <c r="F279" i="13" l="1"/>
  <c r="C280" i="13"/>
  <c r="G2476" i="6"/>
  <c r="I2475" i="6"/>
  <c r="I280" i="13"/>
  <c r="L279" i="13"/>
  <c r="I1477" i="6"/>
  <c r="G1478" i="6"/>
  <c r="R276" i="13"/>
  <c r="S276" i="13" s="1"/>
  <c r="O277" i="13"/>
  <c r="R277" i="13" l="1"/>
  <c r="S277" i="13" s="1"/>
  <c r="O278" i="13"/>
  <c r="G1479" i="6"/>
  <c r="I1478" i="6"/>
  <c r="G2477" i="6"/>
  <c r="I2476" i="6"/>
  <c r="I281" i="13"/>
  <c r="L280" i="13"/>
  <c r="C281" i="13"/>
  <c r="F280" i="13"/>
  <c r="L281" i="13" l="1"/>
  <c r="I282" i="13"/>
  <c r="G2478" i="6"/>
  <c r="I2477" i="6"/>
  <c r="G1480" i="6"/>
  <c r="I1479" i="6"/>
  <c r="C282" i="13"/>
  <c r="F281" i="13"/>
  <c r="R278" i="13"/>
  <c r="S278" i="13" s="1"/>
  <c r="O279" i="13"/>
  <c r="C283" i="13" l="1"/>
  <c r="F282" i="13"/>
  <c r="G1481" i="6"/>
  <c r="I1480" i="6"/>
  <c r="O280" i="13"/>
  <c r="R279" i="13"/>
  <c r="S279" i="13" s="1"/>
  <c r="I2478" i="6"/>
  <c r="G2479" i="6"/>
  <c r="L282" i="13"/>
  <c r="I283" i="13"/>
  <c r="L283" i="13" l="1"/>
  <c r="I284" i="13"/>
  <c r="I2479" i="6"/>
  <c r="G2480" i="6"/>
  <c r="O281" i="13"/>
  <c r="R280" i="13"/>
  <c r="S280" i="13" s="1"/>
  <c r="G1482" i="6"/>
  <c r="I1481" i="6"/>
  <c r="F283" i="13"/>
  <c r="C284" i="13"/>
  <c r="C285" i="13" l="1"/>
  <c r="F284" i="13"/>
  <c r="G1483" i="6"/>
  <c r="I1482" i="6"/>
  <c r="R281" i="13"/>
  <c r="S281" i="13" s="1"/>
  <c r="O282" i="13"/>
  <c r="G2481" i="6"/>
  <c r="I2480" i="6"/>
  <c r="I285" i="13"/>
  <c r="L284" i="13"/>
  <c r="L285" i="13" l="1"/>
  <c r="I286" i="13"/>
  <c r="R282" i="13"/>
  <c r="S282" i="13" s="1"/>
  <c r="O283" i="13"/>
  <c r="I1483" i="6"/>
  <c r="G1484" i="6"/>
  <c r="G2482" i="6"/>
  <c r="I2481" i="6"/>
  <c r="F285" i="13"/>
  <c r="C286" i="13"/>
  <c r="F286" i="13" l="1"/>
  <c r="C287" i="13"/>
  <c r="I1484" i="6"/>
  <c r="G1485" i="6"/>
  <c r="I2482" i="6"/>
  <c r="G2483" i="6"/>
  <c r="L286" i="13"/>
  <c r="I287" i="13"/>
  <c r="R283" i="13"/>
  <c r="S283" i="13" s="1"/>
  <c r="O284" i="13"/>
  <c r="F287" i="13" l="1"/>
  <c r="C288" i="13"/>
  <c r="R284" i="13"/>
  <c r="S284" i="13" s="1"/>
  <c r="O285" i="13"/>
  <c r="L287" i="13"/>
  <c r="I288" i="13"/>
  <c r="G2484" i="6"/>
  <c r="I2483" i="6"/>
  <c r="G1486" i="6"/>
  <c r="I1485" i="6"/>
  <c r="G1487" i="6" l="1"/>
  <c r="I1486" i="6"/>
  <c r="G2485" i="6"/>
  <c r="I2484" i="6"/>
  <c r="L288" i="13"/>
  <c r="I289" i="13"/>
  <c r="O286" i="13"/>
  <c r="R285" i="13"/>
  <c r="S285" i="13" s="1"/>
  <c r="C289" i="13"/>
  <c r="F288" i="13"/>
  <c r="F289" i="13" l="1"/>
  <c r="C290" i="13"/>
  <c r="O287" i="13"/>
  <c r="R286" i="13"/>
  <c r="S286" i="13" s="1"/>
  <c r="I290" i="13"/>
  <c r="L289" i="13"/>
  <c r="G2486" i="6"/>
  <c r="I2485" i="6"/>
  <c r="G1488" i="6"/>
  <c r="I1487" i="6"/>
  <c r="G1489" i="6" l="1"/>
  <c r="I1488" i="6"/>
  <c r="I2486" i="6"/>
  <c r="G2487" i="6"/>
  <c r="I291" i="13"/>
  <c r="L290" i="13"/>
  <c r="R287" i="13"/>
  <c r="S287" i="13" s="1"/>
  <c r="O288" i="13"/>
  <c r="F290" i="13"/>
  <c r="C291" i="13"/>
  <c r="O289" i="13" l="1"/>
  <c r="R288" i="13"/>
  <c r="S288" i="13" s="1"/>
  <c r="G2488" i="6"/>
  <c r="I2487" i="6"/>
  <c r="F291" i="13"/>
  <c r="C292" i="13"/>
  <c r="L291" i="13"/>
  <c r="I292" i="13"/>
  <c r="G1490" i="6"/>
  <c r="I1489" i="6"/>
  <c r="G1491" i="6" l="1"/>
  <c r="I1490" i="6"/>
  <c r="F292" i="13"/>
  <c r="C293" i="13"/>
  <c r="I293" i="13"/>
  <c r="L292" i="13"/>
  <c r="I2488" i="6"/>
  <c r="G2489" i="6"/>
  <c r="O290" i="13"/>
  <c r="R289" i="13"/>
  <c r="S289" i="13" s="1"/>
  <c r="R290" i="13" l="1"/>
  <c r="S290" i="13" s="1"/>
  <c r="O291" i="13"/>
  <c r="C294" i="13"/>
  <c r="F293" i="13"/>
  <c r="G2490" i="6"/>
  <c r="I2489" i="6"/>
  <c r="I294" i="13"/>
  <c r="L293" i="13"/>
  <c r="G1492" i="6"/>
  <c r="I1491" i="6"/>
  <c r="L294" i="13" l="1"/>
  <c r="I295" i="13"/>
  <c r="I2490" i="6"/>
  <c r="G2491" i="6"/>
  <c r="C295" i="13"/>
  <c r="F294" i="13"/>
  <c r="R291" i="13"/>
  <c r="S291" i="13" s="1"/>
  <c r="O292" i="13"/>
  <c r="G1493" i="6"/>
  <c r="I1492" i="6"/>
  <c r="F295" i="13" l="1"/>
  <c r="C296" i="13"/>
  <c r="L295" i="13"/>
  <c r="I296" i="13"/>
  <c r="G1494" i="6"/>
  <c r="I1493" i="6"/>
  <c r="O293" i="13"/>
  <c r="R292" i="13"/>
  <c r="S292" i="13" s="1"/>
  <c r="G2492" i="6"/>
  <c r="I2491" i="6"/>
  <c r="G2493" i="6" l="1"/>
  <c r="I2492" i="6"/>
  <c r="R293" i="13"/>
  <c r="S293" i="13" s="1"/>
  <c r="O294" i="13"/>
  <c r="G1495" i="6"/>
  <c r="I1494" i="6"/>
  <c r="I297" i="13"/>
  <c r="L296" i="13"/>
  <c r="C297" i="13"/>
  <c r="F296" i="13"/>
  <c r="L297" i="13" l="1"/>
  <c r="I298" i="13"/>
  <c r="R294" i="13"/>
  <c r="S294" i="13" s="1"/>
  <c r="O295" i="13"/>
  <c r="I1495" i="6"/>
  <c r="G1496" i="6"/>
  <c r="F297" i="13"/>
  <c r="C298" i="13"/>
  <c r="G2494" i="6"/>
  <c r="I2493" i="6"/>
  <c r="F298" i="13" l="1"/>
  <c r="C299" i="13"/>
  <c r="I2494" i="6"/>
  <c r="G2495" i="6"/>
  <c r="G1497" i="6"/>
  <c r="I1496" i="6"/>
  <c r="R295" i="13"/>
  <c r="S295" i="13" s="1"/>
  <c r="O296" i="13"/>
  <c r="L298" i="13"/>
  <c r="I299" i="13"/>
  <c r="R296" i="13" l="1"/>
  <c r="S296" i="13" s="1"/>
  <c r="O297" i="13"/>
  <c r="L299" i="13"/>
  <c r="I300" i="13"/>
  <c r="G1498" i="6"/>
  <c r="I1497" i="6"/>
  <c r="G2496" i="6"/>
  <c r="I2495" i="6"/>
  <c r="F299" i="13"/>
  <c r="C300" i="13"/>
  <c r="C301" i="13" l="1"/>
  <c r="F300" i="13"/>
  <c r="G1499" i="6"/>
  <c r="I1498" i="6"/>
  <c r="L300" i="13"/>
  <c r="I301" i="13"/>
  <c r="O298" i="13"/>
  <c r="R297" i="13"/>
  <c r="S297" i="13" s="1"/>
  <c r="G2497" i="6"/>
  <c r="I2496" i="6"/>
  <c r="G2498" i="6" l="1"/>
  <c r="I2497" i="6"/>
  <c r="O299" i="13"/>
  <c r="R298" i="13"/>
  <c r="S298" i="13" s="1"/>
  <c r="I302" i="13"/>
  <c r="L301" i="13"/>
  <c r="G1500" i="6"/>
  <c r="I1499" i="6"/>
  <c r="F301" i="13"/>
  <c r="C302" i="13"/>
  <c r="F302" i="13" l="1"/>
  <c r="C303" i="13"/>
  <c r="I303" i="13"/>
  <c r="L302" i="13"/>
  <c r="G1501" i="6"/>
  <c r="I1500" i="6"/>
  <c r="R299" i="13"/>
  <c r="S299" i="13" s="1"/>
  <c r="O300" i="13"/>
  <c r="I2498" i="6"/>
  <c r="G2499" i="6"/>
  <c r="I1501" i="6" l="1"/>
  <c r="G1502" i="6"/>
  <c r="O301" i="13"/>
  <c r="R300" i="13"/>
  <c r="S300" i="13" s="1"/>
  <c r="G2500" i="6"/>
  <c r="I2499" i="6"/>
  <c r="L303" i="13"/>
  <c r="I304" i="13"/>
  <c r="L304" i="13" s="1"/>
  <c r="F303" i="13"/>
  <c r="C304" i="13"/>
  <c r="F304" i="13" s="1"/>
  <c r="G2501" i="6" l="1"/>
  <c r="I2500" i="6"/>
  <c r="R301" i="13"/>
  <c r="S301" i="13" s="1"/>
  <c r="O302" i="13"/>
  <c r="I1502" i="6"/>
  <c r="G1503" i="6"/>
  <c r="G1504" i="6" l="1"/>
  <c r="I1503" i="6"/>
  <c r="R302" i="13"/>
  <c r="S302" i="13" s="1"/>
  <c r="O303" i="13"/>
  <c r="G2502" i="6"/>
  <c r="I2501" i="6"/>
  <c r="I2502" i="6" l="1"/>
  <c r="G2503" i="6"/>
  <c r="R303" i="13"/>
  <c r="S303" i="13" s="1"/>
  <c r="O304" i="13"/>
  <c r="R304" i="13" s="1"/>
  <c r="S304" i="13" s="1"/>
  <c r="G1505" i="6"/>
  <c r="I1504" i="6"/>
  <c r="G1506" i="6" l="1"/>
  <c r="I1505" i="6"/>
  <c r="I2503" i="6"/>
  <c r="G2504" i="6"/>
  <c r="G2505" i="6" l="1"/>
  <c r="I2504" i="6"/>
  <c r="G1507" i="6"/>
  <c r="I1506" i="6"/>
  <c r="G1508" i="6" l="1"/>
  <c r="I1507" i="6"/>
  <c r="G2506" i="6"/>
  <c r="I2505" i="6"/>
  <c r="I2506" i="6" l="1"/>
  <c r="G2507" i="6"/>
  <c r="G1509" i="6"/>
  <c r="I1508" i="6"/>
  <c r="G2508" i="6" l="1"/>
  <c r="I2507" i="6"/>
  <c r="G1510" i="6"/>
  <c r="I1509" i="6"/>
  <c r="G1511" i="6" l="1"/>
  <c r="I1510" i="6"/>
  <c r="G2509" i="6"/>
  <c r="I2508" i="6"/>
  <c r="G2510" i="6" l="1"/>
  <c r="I2509" i="6"/>
  <c r="G1512" i="6"/>
  <c r="I1511" i="6"/>
  <c r="G1513" i="6" l="1"/>
  <c r="I1512" i="6"/>
  <c r="I2510" i="6"/>
  <c r="G2511" i="6"/>
  <c r="G2512" i="6" l="1"/>
  <c r="I2511" i="6"/>
  <c r="I1513" i="6"/>
  <c r="G1514" i="6"/>
  <c r="G1515" i="6" l="1"/>
  <c r="I1514" i="6"/>
  <c r="I2512" i="6"/>
  <c r="G2513" i="6"/>
  <c r="G2514" i="6" l="1"/>
  <c r="I2513" i="6"/>
  <c r="G1516" i="6"/>
  <c r="I1515" i="6"/>
  <c r="G1517" i="6" l="1"/>
  <c r="I1516" i="6"/>
  <c r="I2514" i="6"/>
  <c r="G2515" i="6"/>
  <c r="G2516" i="6" l="1"/>
  <c r="I2515" i="6"/>
  <c r="G1518" i="6"/>
  <c r="I1517" i="6"/>
  <c r="G1519" i="6" l="1"/>
  <c r="I1518" i="6"/>
  <c r="G2517" i="6"/>
  <c r="I2516" i="6"/>
  <c r="G2518" i="6" l="1"/>
  <c r="I2517" i="6"/>
  <c r="I1519" i="6"/>
  <c r="G1520" i="6"/>
  <c r="I1520" i="6" l="1"/>
  <c r="G1521" i="6"/>
  <c r="I2518" i="6"/>
  <c r="G2519" i="6"/>
  <c r="G2520" i="6" l="1"/>
  <c r="I2519" i="6"/>
  <c r="G1522" i="6"/>
  <c r="I1521" i="6"/>
  <c r="G1523" i="6" l="1"/>
  <c r="I1522" i="6"/>
  <c r="G2521" i="6"/>
  <c r="I2520" i="6"/>
  <c r="G2522" i="6" l="1"/>
  <c r="I2521" i="6"/>
  <c r="G1524" i="6"/>
  <c r="I1523" i="6"/>
  <c r="G1525" i="6" l="1"/>
  <c r="I1524" i="6"/>
  <c r="I2522" i="6"/>
  <c r="G2523" i="6"/>
  <c r="G2524" i="6" l="1"/>
  <c r="I2523" i="6"/>
  <c r="G1526" i="6"/>
  <c r="I1525" i="6"/>
  <c r="G1527" i="6" l="1"/>
  <c r="I1526" i="6"/>
  <c r="G2525" i="6"/>
  <c r="I2524" i="6"/>
  <c r="G2526" i="6" l="1"/>
  <c r="I2525" i="6"/>
  <c r="G1528" i="6"/>
  <c r="I1527" i="6"/>
  <c r="G1529" i="6" l="1"/>
  <c r="I1528" i="6"/>
  <c r="I2526" i="6"/>
  <c r="G2527" i="6"/>
  <c r="I2527" i="6" l="1"/>
  <c r="G2528" i="6"/>
  <c r="G1530" i="6"/>
  <c r="I1529" i="6"/>
  <c r="G1531" i="6" l="1"/>
  <c r="I1530" i="6"/>
  <c r="G2529" i="6"/>
  <c r="I2528" i="6"/>
  <c r="G2530" i="6" l="1"/>
  <c r="I2529" i="6"/>
  <c r="I1531" i="6"/>
  <c r="G1532" i="6"/>
  <c r="G1533" i="6" l="1"/>
  <c r="I1532" i="6"/>
  <c r="I2530" i="6"/>
  <c r="G2531" i="6"/>
  <c r="G2532" i="6" l="1"/>
  <c r="I2531" i="6"/>
  <c r="G1534" i="6"/>
  <c r="I1533" i="6"/>
  <c r="G1535" i="6" l="1"/>
  <c r="I1534" i="6"/>
  <c r="G2533" i="6"/>
  <c r="I2532" i="6"/>
  <c r="G2534" i="6" l="1"/>
  <c r="I2533" i="6"/>
  <c r="G1536" i="6"/>
  <c r="I1535" i="6"/>
  <c r="I2534" i="6" l="1"/>
  <c r="G2535" i="6"/>
  <c r="G1537" i="6"/>
  <c r="I1536" i="6"/>
  <c r="I1537" i="6" l="1"/>
  <c r="G1538" i="6"/>
  <c r="G2536" i="6"/>
  <c r="I2535" i="6"/>
  <c r="I2536" i="6" l="1"/>
  <c r="G2537" i="6"/>
  <c r="I1538" i="6"/>
  <c r="G1539" i="6"/>
  <c r="G1540" i="6" l="1"/>
  <c r="I1539" i="6"/>
  <c r="G2538" i="6"/>
  <c r="I2537" i="6"/>
  <c r="I2538" i="6" l="1"/>
  <c r="G2539" i="6"/>
  <c r="G1541" i="6"/>
  <c r="I1540" i="6"/>
  <c r="G2540" i="6" l="1"/>
  <c r="I2539" i="6"/>
  <c r="G1542" i="6"/>
  <c r="I1541" i="6"/>
  <c r="G1543" i="6" l="1"/>
  <c r="I1542" i="6"/>
  <c r="G2541" i="6"/>
  <c r="I2540" i="6"/>
  <c r="G1544" i="6" l="1"/>
  <c r="I1543" i="6"/>
  <c r="G2542" i="6"/>
  <c r="I2541" i="6"/>
  <c r="G1545" i="6" l="1"/>
  <c r="I1544" i="6"/>
  <c r="I2542" i="6"/>
  <c r="G2543" i="6"/>
  <c r="G2544" i="6" l="1"/>
  <c r="I2543" i="6"/>
  <c r="G1546" i="6"/>
  <c r="I1545" i="6"/>
  <c r="G1547" i="6" l="1"/>
  <c r="I1546" i="6"/>
  <c r="G2545" i="6"/>
  <c r="I2544" i="6"/>
  <c r="G1548" i="6" l="1"/>
  <c r="I1547" i="6"/>
  <c r="G2546" i="6"/>
  <c r="I2545" i="6"/>
  <c r="I2546" i="6" l="1"/>
  <c r="G2547" i="6"/>
  <c r="G1549" i="6"/>
  <c r="I1548" i="6"/>
  <c r="I1549" i="6" l="1"/>
  <c r="G1550" i="6"/>
  <c r="G2548" i="6"/>
  <c r="I2547" i="6"/>
  <c r="G2549" i="6" l="1"/>
  <c r="I2548" i="6"/>
  <c r="G1551" i="6"/>
  <c r="I1550" i="6"/>
  <c r="G1552" i="6" l="1"/>
  <c r="I1551" i="6"/>
  <c r="G2550" i="6"/>
  <c r="I2549" i="6"/>
  <c r="I2550" i="6" l="1"/>
  <c r="G2551" i="6"/>
  <c r="G1553" i="6"/>
  <c r="I1552" i="6"/>
  <c r="I2551" i="6" l="1"/>
  <c r="G2552" i="6"/>
  <c r="G1554" i="6"/>
  <c r="I1553" i="6"/>
  <c r="G1555" i="6" l="1"/>
  <c r="I1554" i="6"/>
  <c r="G2553" i="6"/>
  <c r="I2552" i="6"/>
  <c r="G2554" i="6" l="1"/>
  <c r="I2553" i="6"/>
  <c r="I1555" i="6"/>
  <c r="G1556" i="6"/>
  <c r="I1556" i="6" l="1"/>
  <c r="G1557" i="6"/>
  <c r="I2554" i="6"/>
  <c r="G2555" i="6"/>
  <c r="G2556" i="6" l="1"/>
  <c r="I2555" i="6"/>
  <c r="G1558" i="6"/>
  <c r="I1557" i="6"/>
  <c r="G1559" i="6" l="1"/>
  <c r="I1558" i="6"/>
  <c r="I2556" i="6"/>
  <c r="G2557" i="6"/>
  <c r="G2558" i="6" l="1"/>
  <c r="I2557" i="6"/>
  <c r="G1560" i="6"/>
  <c r="I1559" i="6"/>
  <c r="G1561" i="6" l="1"/>
  <c r="I1560" i="6"/>
  <c r="I2558" i="6"/>
  <c r="G2559" i="6"/>
  <c r="G2560" i="6" l="1"/>
  <c r="I2559" i="6"/>
  <c r="G1562" i="6"/>
  <c r="I1561" i="6"/>
  <c r="G1563" i="6" l="1"/>
  <c r="I1562" i="6"/>
  <c r="I2560" i="6"/>
  <c r="G2561" i="6"/>
  <c r="G2562" i="6" l="1"/>
  <c r="I2561" i="6"/>
  <c r="G1564" i="6"/>
  <c r="I1563" i="6"/>
  <c r="G1565" i="6" l="1"/>
  <c r="I1564" i="6"/>
  <c r="I2562" i="6"/>
  <c r="G2563" i="6"/>
  <c r="G2564" i="6" l="1"/>
  <c r="I2563" i="6"/>
  <c r="G1566" i="6"/>
  <c r="I1565" i="6"/>
  <c r="G1567" i="6" l="1"/>
  <c r="I1566" i="6"/>
  <c r="G2565" i="6"/>
  <c r="I2564" i="6"/>
  <c r="G2566" i="6" l="1"/>
  <c r="I2565" i="6"/>
  <c r="I1567" i="6"/>
  <c r="G1568" i="6"/>
  <c r="G1569" i="6" l="1"/>
  <c r="I1568" i="6"/>
  <c r="I2566" i="6"/>
  <c r="G2567" i="6"/>
  <c r="G2568" i="6" l="1"/>
  <c r="I2567" i="6"/>
  <c r="G1570" i="6"/>
  <c r="I1569" i="6"/>
  <c r="G1571" i="6" l="1"/>
  <c r="I1570" i="6"/>
  <c r="G2569" i="6"/>
  <c r="I2568" i="6"/>
  <c r="G2570" i="6" l="1"/>
  <c r="I2569" i="6"/>
  <c r="G1572" i="6"/>
  <c r="I1571" i="6"/>
  <c r="G1573" i="6" l="1"/>
  <c r="I1572" i="6"/>
  <c r="I2570" i="6"/>
  <c r="G2571" i="6"/>
  <c r="G2572" i="6" l="1"/>
  <c r="I2571" i="6"/>
  <c r="I1573" i="6"/>
  <c r="G1574" i="6"/>
  <c r="I1574" i="6" l="1"/>
  <c r="G1575" i="6"/>
  <c r="G2573" i="6"/>
  <c r="I2572" i="6"/>
  <c r="G2574" i="6" l="1"/>
  <c r="I2573" i="6"/>
  <c r="G1576" i="6"/>
  <c r="I1575" i="6"/>
  <c r="G1577" i="6" l="1"/>
  <c r="I1576" i="6"/>
  <c r="I2574" i="6"/>
  <c r="G2575" i="6"/>
  <c r="I2575" i="6" l="1"/>
  <c r="G2576" i="6"/>
  <c r="G1578" i="6"/>
  <c r="I1577" i="6"/>
  <c r="G1579" i="6" l="1"/>
  <c r="I1578" i="6"/>
  <c r="G2577" i="6"/>
  <c r="I2576" i="6"/>
  <c r="G2578" i="6" l="1"/>
  <c r="I2577" i="6"/>
  <c r="G1580" i="6"/>
  <c r="I1579" i="6"/>
  <c r="I2578" i="6" l="1"/>
  <c r="G2579" i="6"/>
  <c r="G1581" i="6"/>
  <c r="I1580" i="6"/>
  <c r="G2580" i="6" l="1"/>
  <c r="I2579" i="6"/>
  <c r="G1582" i="6"/>
  <c r="I1581" i="6"/>
  <c r="G2581" i="6" l="1"/>
  <c r="I2580" i="6"/>
  <c r="G1583" i="6"/>
  <c r="I1582" i="6"/>
  <c r="G1584" i="6" l="1"/>
  <c r="I1583" i="6"/>
  <c r="G2582" i="6"/>
  <c r="I2581" i="6"/>
  <c r="I2582" i="6" l="1"/>
  <c r="G2583" i="6"/>
  <c r="G1585" i="6"/>
  <c r="I1584" i="6"/>
  <c r="G2584" i="6" l="1"/>
  <c r="I2583" i="6"/>
  <c r="I1585" i="6"/>
  <c r="G1586" i="6"/>
  <c r="G1587" i="6" l="1"/>
  <c r="I1586" i="6"/>
  <c r="I2584" i="6"/>
  <c r="G2585" i="6"/>
  <c r="G2586" i="6" l="1"/>
  <c r="I2585" i="6"/>
  <c r="G1588" i="6"/>
  <c r="I1587" i="6"/>
  <c r="G1589" i="6" l="1"/>
  <c r="I1588" i="6"/>
  <c r="I2586" i="6"/>
  <c r="G2587" i="6"/>
  <c r="G1590" i="6" l="1"/>
  <c r="I1589" i="6"/>
  <c r="G2588" i="6"/>
  <c r="I2587" i="6"/>
  <c r="G2589" i="6" l="1"/>
  <c r="I2588" i="6"/>
  <c r="G1591" i="6"/>
  <c r="I1590" i="6"/>
  <c r="I1591" i="6" l="1"/>
  <c r="G1592" i="6"/>
  <c r="G2590" i="6"/>
  <c r="I2589" i="6"/>
  <c r="I2590" i="6" l="1"/>
  <c r="G2591" i="6"/>
  <c r="I1592" i="6"/>
  <c r="G1593" i="6"/>
  <c r="G1594" i="6" l="1"/>
  <c r="I1593" i="6"/>
  <c r="G2592" i="6"/>
  <c r="I2591" i="6"/>
  <c r="G1595" i="6" l="1"/>
  <c r="I1594" i="6"/>
  <c r="G2593" i="6"/>
  <c r="I2592" i="6"/>
  <c r="G2594" i="6" l="1"/>
  <c r="I2593" i="6"/>
  <c r="G1596" i="6"/>
  <c r="I1595" i="6"/>
  <c r="G1597" i="6" l="1"/>
  <c r="I1596" i="6"/>
  <c r="I2594" i="6"/>
  <c r="G2595" i="6"/>
  <c r="G2596" i="6" l="1"/>
  <c r="I2595" i="6"/>
  <c r="G1598" i="6"/>
  <c r="I1597" i="6"/>
  <c r="G1599" i="6" l="1"/>
  <c r="I1598" i="6"/>
  <c r="G2597" i="6"/>
  <c r="I2596" i="6"/>
  <c r="G2598" i="6" l="1"/>
  <c r="I2597" i="6"/>
  <c r="G1600" i="6"/>
  <c r="I1599" i="6"/>
  <c r="G1601" i="6" l="1"/>
  <c r="I1600" i="6"/>
  <c r="I2598" i="6"/>
  <c r="G2599" i="6"/>
  <c r="G1602" i="6" l="1"/>
  <c r="I1601" i="6"/>
  <c r="I2599" i="6"/>
  <c r="G2600" i="6"/>
  <c r="G2601" i="6" l="1"/>
  <c r="I2600" i="6"/>
  <c r="G1603" i="6"/>
  <c r="I1602" i="6"/>
  <c r="I1603" i="6" l="1"/>
  <c r="G1604" i="6"/>
  <c r="G2602" i="6"/>
  <c r="I2601" i="6"/>
  <c r="I2602" i="6" l="1"/>
  <c r="G2603" i="6"/>
  <c r="G1605" i="6"/>
  <c r="I1604" i="6"/>
  <c r="G1606" i="6" l="1"/>
  <c r="I1605" i="6"/>
  <c r="G2604" i="6"/>
  <c r="I2603" i="6"/>
  <c r="G2605" i="6" l="1"/>
  <c r="I2604" i="6"/>
  <c r="G1607" i="6"/>
  <c r="I1606" i="6"/>
  <c r="G1608" i="6" l="1"/>
  <c r="I1607" i="6"/>
  <c r="G2606" i="6"/>
  <c r="I2605" i="6"/>
  <c r="I2606" i="6" l="1"/>
  <c r="G2607" i="6"/>
  <c r="G1609" i="6"/>
  <c r="I1608" i="6"/>
  <c r="I1609" i="6" l="1"/>
  <c r="G1610" i="6"/>
  <c r="G2608" i="6"/>
  <c r="I2607" i="6"/>
  <c r="I2608" i="6" l="1"/>
  <c r="G2609" i="6"/>
  <c r="I1610" i="6"/>
  <c r="G1611" i="6"/>
  <c r="G1612" i="6" l="1"/>
  <c r="I1611" i="6"/>
  <c r="G2610" i="6"/>
  <c r="I2609" i="6"/>
  <c r="I2610" i="6" l="1"/>
  <c r="G2611" i="6"/>
  <c r="G1613" i="6"/>
  <c r="I1612" i="6"/>
  <c r="G1614" i="6" l="1"/>
  <c r="I1613" i="6"/>
  <c r="G2612" i="6"/>
  <c r="I2611" i="6"/>
  <c r="G2613" i="6" l="1"/>
  <c r="I2612" i="6"/>
  <c r="G1615" i="6"/>
  <c r="I1614" i="6"/>
  <c r="G1616" i="6" l="1"/>
  <c r="I1615" i="6"/>
  <c r="G2614" i="6"/>
  <c r="I2613" i="6"/>
  <c r="I2614" i="6" l="1"/>
  <c r="G2615" i="6"/>
  <c r="G1617" i="6"/>
  <c r="I1616" i="6"/>
  <c r="G1618" i="6" l="1"/>
  <c r="I1617" i="6"/>
  <c r="G2616" i="6"/>
  <c r="I2615" i="6"/>
  <c r="G2617" i="6" l="1"/>
  <c r="I2616" i="6"/>
  <c r="G1619" i="6"/>
  <c r="I1618" i="6"/>
  <c r="G2618" i="6" l="1"/>
  <c r="I2617" i="6"/>
  <c r="G1620" i="6"/>
  <c r="I1619" i="6"/>
  <c r="I2618" i="6" l="1"/>
  <c r="G2619" i="6"/>
  <c r="G1621" i="6"/>
  <c r="I1620" i="6"/>
  <c r="G2620" i="6" l="1"/>
  <c r="I2619" i="6"/>
  <c r="I1621" i="6"/>
  <c r="G1622" i="6"/>
  <c r="G2621" i="6" l="1"/>
  <c r="I2620" i="6"/>
  <c r="G1623" i="6"/>
  <c r="I1622" i="6"/>
  <c r="G1624" i="6" l="1"/>
  <c r="I1623" i="6"/>
  <c r="G2622" i="6"/>
  <c r="I2621" i="6"/>
  <c r="I2622" i="6" l="1"/>
  <c r="G2623" i="6"/>
  <c r="G1625" i="6"/>
  <c r="I1624" i="6"/>
  <c r="G1626" i="6" l="1"/>
  <c r="I1625" i="6"/>
  <c r="I2623" i="6"/>
  <c r="G2624" i="6"/>
  <c r="G2625" i="6" l="1"/>
  <c r="I2624" i="6"/>
  <c r="G1627" i="6"/>
  <c r="I1626" i="6"/>
  <c r="I1627" i="6" l="1"/>
  <c r="G1628" i="6"/>
  <c r="G2626" i="6"/>
  <c r="I2625" i="6"/>
  <c r="I2626" i="6" l="1"/>
  <c r="G2627" i="6"/>
  <c r="I1628" i="6"/>
  <c r="G1629" i="6"/>
  <c r="G2628" i="6" l="1"/>
  <c r="I2627" i="6"/>
  <c r="G1630" i="6"/>
  <c r="I1629" i="6"/>
  <c r="G2629" i="6" l="1"/>
  <c r="I2628" i="6"/>
  <c r="G1631" i="6"/>
  <c r="I1630" i="6"/>
  <c r="G1632" i="6" l="1"/>
  <c r="I1631" i="6"/>
  <c r="G2630" i="6"/>
  <c r="I2629" i="6"/>
  <c r="I2630" i="6" l="1"/>
  <c r="G2631" i="6"/>
  <c r="G1633" i="6"/>
  <c r="I1632" i="6"/>
  <c r="G1634" i="6" l="1"/>
  <c r="I1633" i="6"/>
  <c r="G2632" i="6"/>
  <c r="I2631" i="6"/>
  <c r="I2632" i="6" l="1"/>
  <c r="G2633" i="6"/>
  <c r="G1635" i="6"/>
  <c r="I1634" i="6"/>
  <c r="G1636" i="6" l="1"/>
  <c r="I1635" i="6"/>
  <c r="G2634" i="6"/>
  <c r="I2633" i="6"/>
  <c r="I2634" i="6" l="1"/>
  <c r="G2635" i="6"/>
  <c r="G1637" i="6"/>
  <c r="I1636" i="6"/>
  <c r="G1638" i="6" l="1"/>
  <c r="I1637" i="6"/>
  <c r="G2636" i="6"/>
  <c r="I2635" i="6"/>
  <c r="G2637" i="6" l="1"/>
  <c r="I2636" i="6"/>
  <c r="G1639" i="6"/>
  <c r="I1638" i="6"/>
  <c r="I1639" i="6" l="1"/>
  <c r="G1640" i="6"/>
  <c r="G2638" i="6"/>
  <c r="I2637" i="6"/>
  <c r="I2638" i="6" l="1"/>
  <c r="G2639" i="6"/>
  <c r="G1641" i="6"/>
  <c r="I1640" i="6"/>
  <c r="G1642" i="6" l="1"/>
  <c r="I1641" i="6"/>
  <c r="G2640" i="6"/>
  <c r="I2639" i="6"/>
  <c r="G2641" i="6" l="1"/>
  <c r="I2640" i="6"/>
  <c r="G1643" i="6"/>
  <c r="I1642" i="6"/>
  <c r="G2642" i="6" l="1"/>
  <c r="I2641" i="6"/>
  <c r="G1644" i="6"/>
  <c r="I1643" i="6"/>
  <c r="G1645" i="6" l="1"/>
  <c r="I1644" i="6"/>
  <c r="I2642" i="6"/>
  <c r="G2643" i="6"/>
  <c r="G2644" i="6" l="1"/>
  <c r="I2643" i="6"/>
  <c r="I1645" i="6"/>
  <c r="G1646" i="6"/>
  <c r="I1646" i="6" l="1"/>
  <c r="G1647" i="6"/>
  <c r="G2645" i="6"/>
  <c r="I2644" i="6"/>
  <c r="G2646" i="6" l="1"/>
  <c r="I2645" i="6"/>
  <c r="G1648" i="6"/>
  <c r="I1647" i="6"/>
  <c r="G1649" i="6" l="1"/>
  <c r="I1648" i="6"/>
  <c r="I2646" i="6"/>
  <c r="G2647" i="6"/>
  <c r="I2647" i="6" l="1"/>
  <c r="G2648" i="6"/>
  <c r="G1650" i="6"/>
  <c r="I1649" i="6"/>
  <c r="I1650" i="6" l="1"/>
  <c r="G1651" i="6"/>
  <c r="G2649" i="6"/>
  <c r="I2648" i="6"/>
  <c r="G1652" i="6" l="1"/>
  <c r="I1651" i="6"/>
  <c r="G2650" i="6"/>
  <c r="I2649" i="6"/>
  <c r="I2650" i="6" l="1"/>
  <c r="G2651" i="6"/>
  <c r="G1653" i="6"/>
  <c r="I1652" i="6"/>
  <c r="I1653" i="6" l="1"/>
  <c r="G1654" i="6"/>
  <c r="G2652" i="6"/>
  <c r="I2651" i="6"/>
  <c r="I2652" i="6" l="1"/>
  <c r="G2653" i="6"/>
  <c r="G1655" i="6"/>
  <c r="I1654" i="6"/>
  <c r="G1656" i="6" l="1"/>
  <c r="I1655" i="6"/>
  <c r="G2654" i="6"/>
  <c r="I2653" i="6"/>
  <c r="I2654" i="6" l="1"/>
  <c r="G2655" i="6"/>
  <c r="I1656" i="6"/>
  <c r="G1657" i="6"/>
  <c r="G1658" i="6" l="1"/>
  <c r="I1657" i="6"/>
  <c r="G2656" i="6"/>
  <c r="I2655" i="6"/>
  <c r="I2656" i="6" l="1"/>
  <c r="G2657" i="6"/>
  <c r="G1659" i="6"/>
  <c r="I1658" i="6"/>
  <c r="G2658" i="6" l="1"/>
  <c r="I2657" i="6"/>
  <c r="I1659" i="6"/>
  <c r="G1660" i="6"/>
  <c r="G1661" i="6" l="1"/>
  <c r="I1660" i="6"/>
  <c r="I2658" i="6"/>
  <c r="G2659" i="6"/>
  <c r="G2660" i="6" l="1"/>
  <c r="I2659" i="6"/>
  <c r="G1662" i="6"/>
  <c r="I1661" i="6"/>
  <c r="G1663" i="6" l="1"/>
  <c r="I1662" i="6"/>
  <c r="G2661" i="6"/>
  <c r="I2660" i="6"/>
  <c r="G2662" i="6" l="1"/>
  <c r="I2661" i="6"/>
  <c r="I1663" i="6"/>
  <c r="G1664" i="6"/>
  <c r="G1665" i="6" l="1"/>
  <c r="I1664" i="6"/>
  <c r="I2662" i="6"/>
  <c r="G2663" i="6"/>
  <c r="G2664" i="6" l="1"/>
  <c r="I2663" i="6"/>
  <c r="I1665" i="6"/>
  <c r="G1666" i="6"/>
  <c r="I1666" i="6" l="1"/>
  <c r="G1667" i="6"/>
  <c r="G2665" i="6"/>
  <c r="I2664" i="6"/>
  <c r="G2666" i="6" l="1"/>
  <c r="I2665" i="6"/>
  <c r="G1668" i="6"/>
  <c r="I1667" i="6"/>
  <c r="I1668" i="6" l="1"/>
  <c r="G1669" i="6"/>
  <c r="I2666" i="6"/>
  <c r="G2667" i="6"/>
  <c r="G2668" i="6" l="1"/>
  <c r="I2667" i="6"/>
  <c r="I1669" i="6"/>
  <c r="G1670" i="6"/>
  <c r="G1671" i="6" l="1"/>
  <c r="I1670" i="6"/>
  <c r="G2669" i="6"/>
  <c r="I2668" i="6"/>
  <c r="G2670" i="6" l="1"/>
  <c r="I2669" i="6"/>
  <c r="G1672" i="6"/>
  <c r="I1671" i="6"/>
  <c r="I2670" i="6" l="1"/>
  <c r="G2671" i="6"/>
  <c r="G1673" i="6"/>
  <c r="I1672" i="6"/>
  <c r="G1674" i="6" l="1"/>
  <c r="I1673" i="6"/>
  <c r="I2671" i="6"/>
  <c r="G2672" i="6"/>
  <c r="G2673" i="6" l="1"/>
  <c r="I2672" i="6"/>
  <c r="G1675" i="6"/>
  <c r="I1674" i="6"/>
  <c r="I1675" i="6" l="1"/>
  <c r="G1676" i="6"/>
  <c r="G2674" i="6"/>
  <c r="I2673" i="6"/>
  <c r="I2674" i="6" l="1"/>
  <c r="G2675" i="6"/>
  <c r="G1677" i="6"/>
  <c r="I1676" i="6"/>
  <c r="G1678" i="6" l="1"/>
  <c r="I1677" i="6"/>
  <c r="G2676" i="6"/>
  <c r="I2675" i="6"/>
  <c r="G2677" i="6" l="1"/>
  <c r="I2676" i="6"/>
  <c r="I1678" i="6"/>
  <c r="G1679" i="6"/>
  <c r="G1680" i="6" l="1"/>
  <c r="I1679" i="6"/>
  <c r="G2678" i="6"/>
  <c r="I2677" i="6"/>
  <c r="I2678" i="6" l="1"/>
  <c r="G2679" i="6"/>
  <c r="G1681" i="6"/>
  <c r="I1680" i="6"/>
  <c r="I1681" i="6" l="1"/>
  <c r="G1682" i="6"/>
  <c r="G2680" i="6"/>
  <c r="I2679" i="6"/>
  <c r="I2680" i="6" l="1"/>
  <c r="G2681" i="6"/>
  <c r="G1683" i="6"/>
  <c r="I1682" i="6"/>
  <c r="G1684" i="6" l="1"/>
  <c r="I1683" i="6"/>
  <c r="G2682" i="6"/>
  <c r="I2681" i="6"/>
  <c r="I1684" i="6" l="1"/>
  <c r="G1685" i="6"/>
  <c r="I2682" i="6"/>
  <c r="G2683" i="6"/>
  <c r="G2684" i="6" l="1"/>
  <c r="I2683" i="6"/>
  <c r="G1686" i="6"/>
  <c r="I1685" i="6"/>
  <c r="I1686" i="6" l="1"/>
  <c r="G1687" i="6"/>
  <c r="G2685" i="6"/>
  <c r="I2684" i="6"/>
  <c r="G2686" i="6" l="1"/>
  <c r="I2685" i="6"/>
  <c r="G1688" i="6"/>
  <c r="I1687" i="6"/>
  <c r="G1689" i="6" l="1"/>
  <c r="I1688" i="6"/>
  <c r="I2686" i="6"/>
  <c r="G2687" i="6"/>
  <c r="G2688" i="6" l="1"/>
  <c r="I2687" i="6"/>
  <c r="G1690" i="6"/>
  <c r="I1689" i="6"/>
  <c r="G1691" i="6" l="1"/>
  <c r="I1690" i="6"/>
  <c r="G2689" i="6"/>
  <c r="I2688" i="6"/>
  <c r="G2690" i="6" l="1"/>
  <c r="I2689" i="6"/>
  <c r="G1692" i="6"/>
  <c r="I1691" i="6"/>
  <c r="I1692" i="6" l="1"/>
  <c r="G1693" i="6"/>
  <c r="G2691" i="6"/>
  <c r="I2690" i="6"/>
  <c r="I2691" i="6" l="1"/>
  <c r="G2692" i="6"/>
  <c r="G1694" i="6"/>
  <c r="I1693" i="6"/>
  <c r="G1695" i="6" l="1"/>
  <c r="I1694" i="6"/>
  <c r="G2693" i="6"/>
  <c r="I2692" i="6"/>
  <c r="G2694" i="6" l="1"/>
  <c r="I2693" i="6"/>
  <c r="G1696" i="6"/>
  <c r="I1695" i="6"/>
  <c r="G1697" i="6" l="1"/>
  <c r="I1696" i="6"/>
  <c r="G2695" i="6"/>
  <c r="I2694" i="6"/>
  <c r="G2696" i="6" l="1"/>
  <c r="I2695" i="6"/>
  <c r="G1698" i="6"/>
  <c r="I1697" i="6"/>
  <c r="G1699" i="6" l="1"/>
  <c r="I1698" i="6"/>
  <c r="I2696" i="6"/>
  <c r="G2697" i="6"/>
  <c r="G2698" i="6" l="1"/>
  <c r="I2697" i="6"/>
  <c r="I1699" i="6"/>
  <c r="G1700" i="6"/>
  <c r="G1701" i="6" l="1"/>
  <c r="I1700" i="6"/>
  <c r="G2699" i="6"/>
  <c r="I2698" i="6"/>
  <c r="G2700" i="6" l="1"/>
  <c r="I2699" i="6"/>
  <c r="I1701" i="6"/>
  <c r="G1702" i="6"/>
  <c r="I1702" i="6" l="1"/>
  <c r="G1703" i="6"/>
  <c r="G2701" i="6"/>
  <c r="I2700" i="6"/>
  <c r="G2702" i="6" l="1"/>
  <c r="I2701" i="6"/>
  <c r="G1704" i="6"/>
  <c r="I1703" i="6"/>
  <c r="I1704" i="6" l="1"/>
  <c r="G1705" i="6"/>
  <c r="G2703" i="6"/>
  <c r="I2702" i="6"/>
  <c r="G2704" i="6" l="1"/>
  <c r="I2703" i="6"/>
  <c r="I1705" i="6"/>
  <c r="G1706" i="6"/>
  <c r="G1707" i="6" l="1"/>
  <c r="I1706" i="6"/>
  <c r="G2705" i="6"/>
  <c r="I2704" i="6"/>
  <c r="G2706" i="6" l="1"/>
  <c r="I2705" i="6"/>
  <c r="G1708" i="6"/>
  <c r="I1707" i="6"/>
  <c r="G1709" i="6" l="1"/>
  <c r="I1708" i="6"/>
  <c r="G2707" i="6"/>
  <c r="I2706" i="6"/>
  <c r="G2708" i="6" l="1"/>
  <c r="I2707" i="6"/>
  <c r="G1710" i="6"/>
  <c r="I1709" i="6"/>
  <c r="G1711" i="6" l="1"/>
  <c r="I1710" i="6"/>
  <c r="G2709" i="6"/>
  <c r="I2708" i="6"/>
  <c r="G2710" i="6" l="1"/>
  <c r="I2709" i="6"/>
  <c r="G1712" i="6"/>
  <c r="I1711" i="6"/>
  <c r="G1713" i="6" l="1"/>
  <c r="I1712" i="6"/>
  <c r="G2711" i="6"/>
  <c r="I2710" i="6"/>
  <c r="G2712" i="6" l="1"/>
  <c r="I2711" i="6"/>
  <c r="G1714" i="6"/>
  <c r="I1713" i="6"/>
  <c r="I1714" i="6" l="1"/>
  <c r="G1715" i="6"/>
  <c r="G2713" i="6"/>
  <c r="I2712" i="6"/>
  <c r="G2714" i="6" l="1"/>
  <c r="I2713" i="6"/>
  <c r="G1716" i="6"/>
  <c r="I1715" i="6"/>
  <c r="I1716" i="6" l="1"/>
  <c r="G1717" i="6"/>
  <c r="I2714" i="6"/>
  <c r="G2715" i="6"/>
  <c r="I1717" i="6" l="1"/>
  <c r="G1718" i="6"/>
  <c r="I2715" i="6"/>
  <c r="G2716" i="6"/>
  <c r="G2717" i="6" l="1"/>
  <c r="I2716" i="6"/>
  <c r="G1719" i="6"/>
  <c r="I1718" i="6"/>
  <c r="G1720" i="6" l="1"/>
  <c r="I1719" i="6"/>
  <c r="G2718" i="6"/>
  <c r="I2717" i="6"/>
  <c r="I2718" i="6" l="1"/>
  <c r="G2719" i="6"/>
  <c r="G1721" i="6"/>
  <c r="I1720" i="6"/>
  <c r="G1722" i="6" l="1"/>
  <c r="I1721" i="6"/>
  <c r="G2720" i="6"/>
  <c r="I2719" i="6"/>
  <c r="G2721" i="6" l="1"/>
  <c r="I2720" i="6"/>
  <c r="I1722" i="6"/>
  <c r="G1723" i="6"/>
  <c r="G1724" i="6" l="1"/>
  <c r="I1723" i="6"/>
  <c r="G2722" i="6"/>
  <c r="I2721" i="6"/>
  <c r="I2722" i="6" l="1"/>
  <c r="G2723" i="6"/>
  <c r="G1725" i="6"/>
  <c r="I1724" i="6"/>
  <c r="G1726" i="6" l="1"/>
  <c r="I1725" i="6"/>
  <c r="G2724" i="6"/>
  <c r="I2723" i="6"/>
  <c r="I2724" i="6" l="1"/>
  <c r="G2725" i="6"/>
  <c r="G1727" i="6"/>
  <c r="I1726" i="6"/>
  <c r="G1728" i="6" l="1"/>
  <c r="I1727" i="6"/>
  <c r="G2726" i="6"/>
  <c r="I2725" i="6"/>
  <c r="I2726" i="6" l="1"/>
  <c r="G2727" i="6"/>
  <c r="I1728" i="6"/>
  <c r="G1729" i="6"/>
  <c r="G2728" i="6" l="1"/>
  <c r="I2727" i="6"/>
  <c r="G1730" i="6"/>
  <c r="I1729" i="6"/>
  <c r="G1731" i="6" l="1"/>
  <c r="I1730" i="6"/>
  <c r="G2729" i="6"/>
  <c r="I2728" i="6"/>
  <c r="I2729" i="6" l="1"/>
  <c r="G2730" i="6"/>
  <c r="G1732" i="6"/>
  <c r="I1731" i="6"/>
  <c r="I2730" i="6" l="1"/>
  <c r="G2731" i="6"/>
  <c r="G1733" i="6"/>
  <c r="I1732" i="6"/>
  <c r="G1734" i="6" l="1"/>
  <c r="I1733" i="6"/>
  <c r="G2732" i="6"/>
  <c r="I2731" i="6"/>
  <c r="G2733" i="6" l="1"/>
  <c r="I2732" i="6"/>
  <c r="G1735" i="6"/>
  <c r="I1734" i="6"/>
  <c r="I1735" i="6" l="1"/>
  <c r="G1736" i="6"/>
  <c r="G2734" i="6"/>
  <c r="I2733" i="6"/>
  <c r="G1737" i="6" l="1"/>
  <c r="I1736" i="6"/>
  <c r="I2734" i="6"/>
  <c r="G2735" i="6"/>
  <c r="G2736" i="6" l="1"/>
  <c r="I2735" i="6"/>
  <c r="I1737" i="6"/>
  <c r="G1738" i="6"/>
  <c r="I1738" i="6" l="1"/>
  <c r="G1739" i="6"/>
  <c r="I2736" i="6"/>
  <c r="G2737" i="6"/>
  <c r="G2738" i="6" l="1"/>
  <c r="I2737" i="6"/>
  <c r="G1740" i="6"/>
  <c r="I1739" i="6"/>
  <c r="I1740" i="6" l="1"/>
  <c r="G1741" i="6"/>
  <c r="I2738" i="6"/>
  <c r="G2739" i="6"/>
  <c r="G2740" i="6" l="1"/>
  <c r="I2739" i="6"/>
  <c r="I1741" i="6"/>
  <c r="G1742" i="6"/>
  <c r="G1743" i="6" l="1"/>
  <c r="I1742" i="6"/>
  <c r="G2741" i="6"/>
  <c r="I2740" i="6"/>
  <c r="G2742" i="6" l="1"/>
  <c r="I2741" i="6"/>
  <c r="G1744" i="6"/>
  <c r="I1743" i="6"/>
  <c r="G1745" i="6" l="1"/>
  <c r="I1744" i="6"/>
  <c r="I2742" i="6"/>
  <c r="G2743" i="6"/>
  <c r="G1746" i="6" l="1"/>
  <c r="I1745" i="6"/>
  <c r="G2744" i="6"/>
  <c r="I2743" i="6"/>
  <c r="G2745" i="6" l="1"/>
  <c r="I2744" i="6"/>
  <c r="G1747" i="6"/>
  <c r="I1746" i="6"/>
  <c r="I1747" i="6" l="1"/>
  <c r="G1748" i="6"/>
  <c r="I2745" i="6"/>
  <c r="G2746" i="6"/>
  <c r="G1749" i="6" l="1"/>
  <c r="I1748" i="6"/>
  <c r="I2746" i="6"/>
  <c r="G2747" i="6"/>
  <c r="G2748" i="6" l="1"/>
  <c r="I2747" i="6"/>
  <c r="G1750" i="6"/>
  <c r="I1749" i="6"/>
  <c r="I1750" i="6" l="1"/>
  <c r="G1751" i="6"/>
  <c r="I2748" i="6"/>
  <c r="G2749" i="6"/>
  <c r="G2750" i="6" l="1"/>
  <c r="I2749" i="6"/>
  <c r="G1752" i="6"/>
  <c r="I1751" i="6"/>
  <c r="I1752" i="6" l="1"/>
  <c r="G1753" i="6"/>
  <c r="I2750" i="6"/>
  <c r="G2751" i="6"/>
  <c r="G2752" i="6" l="1"/>
  <c r="I2751" i="6"/>
  <c r="I1753" i="6"/>
  <c r="G1754" i="6"/>
  <c r="G1755" i="6" l="1"/>
  <c r="I1754" i="6"/>
  <c r="G2753" i="6"/>
  <c r="I2752" i="6"/>
  <c r="I2753" i="6" l="1"/>
  <c r="G2754" i="6"/>
  <c r="G1756" i="6"/>
  <c r="I1755" i="6"/>
  <c r="G1757" i="6" l="1"/>
  <c r="I1756" i="6"/>
  <c r="I2754" i="6"/>
  <c r="G2755" i="6"/>
  <c r="G2756" i="6" l="1"/>
  <c r="I2755" i="6"/>
  <c r="G1758" i="6"/>
  <c r="I1757" i="6"/>
  <c r="I1758" i="6" l="1"/>
  <c r="G1759" i="6"/>
  <c r="G2757" i="6"/>
  <c r="I2756" i="6"/>
  <c r="G2758" i="6" l="1"/>
  <c r="I2757" i="6"/>
  <c r="G1760" i="6"/>
  <c r="I1759" i="6"/>
  <c r="I2758" i="6" l="1"/>
  <c r="G2759" i="6"/>
  <c r="G1761" i="6"/>
  <c r="I1760" i="6"/>
  <c r="I1761" i="6" l="1"/>
  <c r="G1762" i="6"/>
  <c r="G2760" i="6"/>
  <c r="I2759" i="6"/>
  <c r="I2760" i="6" l="1"/>
  <c r="G2761" i="6"/>
  <c r="G1763" i="6"/>
  <c r="I1762" i="6"/>
  <c r="G1764" i="6" l="1"/>
  <c r="I1763" i="6"/>
  <c r="G2762" i="6"/>
  <c r="I2761" i="6"/>
  <c r="I2762" i="6" l="1"/>
  <c r="G2763" i="6"/>
  <c r="I1764" i="6"/>
  <c r="G1765" i="6"/>
  <c r="G1766" i="6" l="1"/>
  <c r="I1765" i="6"/>
  <c r="G2764" i="6"/>
  <c r="I2763" i="6"/>
  <c r="G2765" i="6" l="1"/>
  <c r="I2764" i="6"/>
  <c r="G1767" i="6"/>
  <c r="I1766" i="6"/>
  <c r="G1768" i="6" l="1"/>
  <c r="I1767" i="6"/>
  <c r="G2766" i="6"/>
  <c r="I2765" i="6"/>
  <c r="I2766" i="6" l="1"/>
  <c r="G2767" i="6"/>
  <c r="G1769" i="6"/>
  <c r="I1768" i="6"/>
  <c r="G1770" i="6" l="1"/>
  <c r="I1769" i="6"/>
  <c r="G2768" i="6"/>
  <c r="I2767" i="6"/>
  <c r="G2769" i="6" l="1"/>
  <c r="I2768" i="6"/>
  <c r="G1771" i="6"/>
  <c r="I1770" i="6"/>
  <c r="I1771" i="6" l="1"/>
  <c r="G1772" i="6"/>
  <c r="G2770" i="6"/>
  <c r="I2769" i="6"/>
  <c r="I2770" i="6" l="1"/>
  <c r="G2771" i="6"/>
  <c r="G1773" i="6"/>
  <c r="I1772" i="6"/>
  <c r="I1773" i="6" l="1"/>
  <c r="G1774" i="6"/>
  <c r="G2772" i="6"/>
  <c r="I2771" i="6"/>
  <c r="I2772" i="6" l="1"/>
  <c r="G2773" i="6"/>
  <c r="I1774" i="6"/>
  <c r="G1775" i="6"/>
  <c r="G2774" i="6" l="1"/>
  <c r="I2773" i="6"/>
  <c r="G1776" i="6"/>
  <c r="I1775" i="6"/>
  <c r="I1776" i="6" l="1"/>
  <c r="G1777" i="6"/>
  <c r="I2774" i="6"/>
  <c r="G2775" i="6"/>
  <c r="G2776" i="6" l="1"/>
  <c r="I2775" i="6"/>
  <c r="I1777" i="6"/>
  <c r="G1778" i="6"/>
  <c r="G1779" i="6" l="1"/>
  <c r="I1778" i="6"/>
  <c r="G2777" i="6"/>
  <c r="I2776" i="6"/>
  <c r="I2777" i="6" l="1"/>
  <c r="G2778" i="6"/>
  <c r="G1780" i="6"/>
  <c r="I1779" i="6"/>
  <c r="G1781" i="6" l="1"/>
  <c r="I1780" i="6"/>
  <c r="I2778" i="6"/>
  <c r="G2779" i="6"/>
  <c r="G2780" i="6" l="1"/>
  <c r="I2779" i="6"/>
  <c r="G1782" i="6"/>
  <c r="I1781" i="6"/>
  <c r="G1783" i="6" l="1"/>
  <c r="I1782" i="6"/>
  <c r="G2781" i="6"/>
  <c r="I2780" i="6"/>
  <c r="G2782" i="6" l="1"/>
  <c r="I2781" i="6"/>
  <c r="I1783" i="6"/>
  <c r="G1784" i="6"/>
  <c r="G1785" i="6" l="1"/>
  <c r="I1784" i="6"/>
  <c r="I2782" i="6"/>
  <c r="G2783" i="6"/>
  <c r="G2784" i="6" l="1"/>
  <c r="I2783" i="6"/>
  <c r="G1786" i="6"/>
  <c r="I1785" i="6"/>
  <c r="I1786" i="6" l="1"/>
  <c r="G1787" i="6"/>
  <c r="I2784" i="6"/>
  <c r="G2785" i="6"/>
  <c r="G1788" i="6" l="1"/>
  <c r="I1787" i="6"/>
  <c r="G2786" i="6"/>
  <c r="I2785" i="6"/>
  <c r="I2786" i="6" l="1"/>
  <c r="G2787" i="6"/>
  <c r="G1789" i="6"/>
  <c r="I1788" i="6"/>
  <c r="I1789" i="6" l="1"/>
  <c r="G1790" i="6"/>
  <c r="G2788" i="6"/>
  <c r="I2787" i="6"/>
  <c r="G2789" i="6" l="1"/>
  <c r="I2788" i="6"/>
  <c r="G1791" i="6"/>
  <c r="I1790" i="6"/>
  <c r="G2790" i="6" l="1"/>
  <c r="I2789" i="6"/>
  <c r="G1792" i="6"/>
  <c r="I1791" i="6"/>
  <c r="G1793" i="6" l="1"/>
  <c r="I1792" i="6"/>
  <c r="I2790" i="6"/>
  <c r="G2791" i="6"/>
  <c r="G2792" i="6" l="1"/>
  <c r="I2791" i="6"/>
  <c r="G1794" i="6"/>
  <c r="I1793" i="6"/>
  <c r="I1794" i="6" l="1"/>
  <c r="G1795" i="6"/>
  <c r="G2793" i="6"/>
  <c r="I2792" i="6"/>
  <c r="I2793" i="6" l="1"/>
  <c r="G2794" i="6"/>
  <c r="G1796" i="6"/>
  <c r="I1795" i="6"/>
  <c r="I2794" i="6" l="1"/>
  <c r="G2795" i="6"/>
  <c r="G1797" i="6"/>
  <c r="I1796" i="6"/>
  <c r="G1798" i="6" l="1"/>
  <c r="I1797" i="6"/>
  <c r="G2796" i="6"/>
  <c r="I2795" i="6"/>
  <c r="I2796" i="6" l="1"/>
  <c r="G2797" i="6"/>
  <c r="G1799" i="6"/>
  <c r="I1798" i="6"/>
  <c r="G1800" i="6" l="1"/>
  <c r="I1799" i="6"/>
  <c r="G2798" i="6"/>
  <c r="I2797" i="6"/>
  <c r="I2798" i="6" l="1"/>
  <c r="G2799" i="6"/>
  <c r="I1800" i="6"/>
  <c r="G1801" i="6"/>
  <c r="G1802" i="6" l="1"/>
  <c r="I1801" i="6"/>
  <c r="G2800" i="6"/>
  <c r="I2799" i="6"/>
  <c r="G2801" i="6" l="1"/>
  <c r="I2800" i="6"/>
  <c r="G1803" i="6"/>
  <c r="I1802" i="6"/>
  <c r="G1804" i="6" l="1"/>
  <c r="I1803" i="6"/>
  <c r="I2801" i="6"/>
  <c r="G2802" i="6"/>
  <c r="I2802" i="6" l="1"/>
  <c r="G2803" i="6"/>
  <c r="G1805" i="6"/>
  <c r="I1804" i="6"/>
  <c r="G2804" i="6" l="1"/>
  <c r="I2803" i="6"/>
  <c r="G1806" i="6"/>
  <c r="I1805" i="6"/>
  <c r="G1807" i="6" l="1"/>
  <c r="I1806" i="6"/>
  <c r="G2805" i="6"/>
  <c r="I2804" i="6"/>
  <c r="G2806" i="6" l="1"/>
  <c r="I2805" i="6"/>
  <c r="G1808" i="6"/>
  <c r="I1807" i="6"/>
  <c r="I2806" i="6" l="1"/>
  <c r="G2807" i="6"/>
  <c r="G1809" i="6"/>
  <c r="I1808" i="6"/>
  <c r="G2808" i="6" l="1"/>
  <c r="I2807" i="6"/>
  <c r="G1810" i="6"/>
  <c r="I1809" i="6"/>
  <c r="G1811" i="6" l="1"/>
  <c r="I1810" i="6"/>
  <c r="I2808" i="6"/>
  <c r="G2809" i="6"/>
  <c r="G2810" i="6" l="1"/>
  <c r="I2809" i="6"/>
  <c r="G1812" i="6"/>
  <c r="I1811" i="6"/>
  <c r="I1812" i="6" l="1"/>
  <c r="G1813" i="6"/>
  <c r="I2810" i="6"/>
  <c r="G2811" i="6"/>
  <c r="G2812" i="6" l="1"/>
  <c r="I2811" i="6"/>
  <c r="G1814" i="6"/>
  <c r="I1813" i="6"/>
  <c r="G1815" i="6" l="1"/>
  <c r="I1814" i="6"/>
  <c r="G2813" i="6"/>
  <c r="I2812" i="6"/>
  <c r="G2814" i="6" l="1"/>
  <c r="I2813" i="6"/>
  <c r="G1816" i="6"/>
  <c r="I1815" i="6"/>
  <c r="G1817" i="6" l="1"/>
  <c r="I1816" i="6"/>
  <c r="I2814" i="6"/>
  <c r="G2815" i="6"/>
  <c r="G2816" i="6" l="1"/>
  <c r="I2815" i="6"/>
  <c r="G1818" i="6"/>
  <c r="I1817" i="6"/>
  <c r="I1818" i="6" l="1"/>
  <c r="G1819" i="6"/>
  <c r="G2817" i="6"/>
  <c r="I2816" i="6"/>
  <c r="G2818" i="6" l="1"/>
  <c r="I2817" i="6"/>
  <c r="G1820" i="6"/>
  <c r="I1819" i="6"/>
  <c r="G1821" i="6" l="1"/>
  <c r="I1820" i="6"/>
  <c r="I2818" i="6"/>
  <c r="G2819" i="6"/>
  <c r="G2820" i="6" l="1"/>
  <c r="I2819" i="6"/>
  <c r="G1822" i="6"/>
  <c r="I1821" i="6"/>
  <c r="G1823" i="6" l="1"/>
  <c r="I1822" i="6"/>
  <c r="I2820" i="6"/>
  <c r="G2821" i="6"/>
  <c r="I2821" i="6" l="1"/>
  <c r="G2822" i="6"/>
  <c r="G1824" i="6"/>
  <c r="I1823" i="6"/>
  <c r="G1825" i="6" l="1"/>
  <c r="I1824" i="6"/>
  <c r="I2822" i="6"/>
  <c r="G2823" i="6"/>
  <c r="G2824" i="6" l="1"/>
  <c r="I2823" i="6"/>
  <c r="G1826" i="6"/>
  <c r="I1825" i="6"/>
  <c r="G1827" i="6" l="1"/>
  <c r="I1826" i="6"/>
  <c r="G2825" i="6"/>
  <c r="I2824" i="6"/>
  <c r="I2825" i="6" l="1"/>
  <c r="G2826" i="6"/>
  <c r="G1828" i="6"/>
  <c r="I1827" i="6"/>
  <c r="G1829" i="6" l="1"/>
  <c r="I1828" i="6"/>
  <c r="I2826" i="6"/>
  <c r="G2827" i="6"/>
  <c r="G2828" i="6" l="1"/>
  <c r="I2827" i="6"/>
  <c r="G1830" i="6"/>
  <c r="I1829" i="6"/>
  <c r="G1831" i="6" l="1"/>
  <c r="I1830" i="6"/>
  <c r="G2829" i="6"/>
  <c r="I2828" i="6"/>
  <c r="G2830" i="6" l="1"/>
  <c r="I2829" i="6"/>
  <c r="G1832" i="6"/>
  <c r="I1831" i="6"/>
  <c r="G1833" i="6" l="1"/>
  <c r="I1832" i="6"/>
  <c r="I2830" i="6"/>
  <c r="G2831" i="6"/>
  <c r="G2832" i="6" l="1"/>
  <c r="I2831" i="6"/>
  <c r="G1834" i="6"/>
  <c r="I1833" i="6"/>
  <c r="G1835" i="6" l="1"/>
  <c r="I1834" i="6"/>
  <c r="I2832" i="6"/>
  <c r="G2833" i="6"/>
  <c r="G2834" i="6" l="1"/>
  <c r="I2833" i="6"/>
  <c r="G1836" i="6"/>
  <c r="I1835" i="6"/>
  <c r="I1836" i="6" l="1"/>
  <c r="G1837" i="6"/>
  <c r="I2834" i="6"/>
  <c r="G2835" i="6"/>
  <c r="G2836" i="6" l="1"/>
  <c r="I2835" i="6"/>
  <c r="G1838" i="6"/>
  <c r="I1837" i="6"/>
  <c r="G2837" i="6" l="1"/>
  <c r="I2836" i="6"/>
  <c r="G1839" i="6"/>
  <c r="I1838" i="6"/>
  <c r="G1840" i="6" l="1"/>
  <c r="I1839" i="6"/>
  <c r="G2838" i="6"/>
  <c r="I2837" i="6"/>
  <c r="I2838" i="6" l="1"/>
  <c r="G2839" i="6"/>
  <c r="G1841" i="6"/>
  <c r="I1840" i="6"/>
  <c r="G2840" i="6" l="1"/>
  <c r="I2839" i="6"/>
  <c r="G1842" i="6"/>
  <c r="I1841" i="6"/>
  <c r="G1843" i="6" l="1"/>
  <c r="I1842" i="6"/>
  <c r="G2841" i="6"/>
  <c r="I2840" i="6"/>
  <c r="I2841" i="6" l="1"/>
  <c r="G2842" i="6"/>
  <c r="G1844" i="6"/>
  <c r="I1843" i="6"/>
  <c r="G1845" i="6" l="1"/>
  <c r="I1844" i="6"/>
  <c r="I2842" i="6"/>
  <c r="G2843" i="6"/>
  <c r="G2844" i="6" l="1"/>
  <c r="I2843" i="6"/>
  <c r="G1846" i="6"/>
  <c r="I1845" i="6"/>
  <c r="I2844" i="6" l="1"/>
  <c r="G2845" i="6"/>
  <c r="G1847" i="6"/>
  <c r="I1846" i="6"/>
  <c r="G2846" i="6" l="1"/>
  <c r="I2845" i="6"/>
  <c r="G1848" i="6"/>
  <c r="I1847" i="6"/>
  <c r="I1848" i="6" l="1"/>
  <c r="G1849" i="6"/>
  <c r="I2846" i="6"/>
  <c r="G2847" i="6"/>
  <c r="G1850" i="6" l="1"/>
  <c r="I1849" i="6"/>
  <c r="G2848" i="6"/>
  <c r="I2847" i="6"/>
  <c r="G2849" i="6" l="1"/>
  <c r="I2848" i="6"/>
  <c r="G1851" i="6"/>
  <c r="I1850" i="6"/>
  <c r="I2849" i="6" l="1"/>
  <c r="G2850" i="6"/>
  <c r="G1852" i="6"/>
  <c r="I1851" i="6"/>
  <c r="G1853" i="6" l="1"/>
  <c r="I1852" i="6"/>
  <c r="I2850" i="6"/>
  <c r="G2851" i="6"/>
  <c r="G2852" i="6" l="1"/>
  <c r="I2851" i="6"/>
  <c r="G1854" i="6"/>
  <c r="I1853" i="6"/>
  <c r="I1854" i="6" l="1"/>
  <c r="G1855" i="6"/>
  <c r="G2853" i="6"/>
  <c r="I2852" i="6"/>
  <c r="G2854" i="6" l="1"/>
  <c r="I2853" i="6"/>
  <c r="G1856" i="6"/>
  <c r="I1855" i="6"/>
  <c r="G1857" i="6" l="1"/>
  <c r="I1856" i="6"/>
  <c r="I2854" i="6"/>
  <c r="G2855" i="6"/>
  <c r="G2856" i="6" l="1"/>
  <c r="I2855" i="6"/>
  <c r="G1858" i="6"/>
  <c r="I1857" i="6"/>
  <c r="I2856" i="6" l="1"/>
  <c r="G2857" i="6"/>
  <c r="G1859" i="6"/>
  <c r="I1858" i="6"/>
  <c r="G1860" i="6" l="1"/>
  <c r="I1859" i="6"/>
  <c r="G2858" i="6"/>
  <c r="I2857" i="6"/>
  <c r="I2858" i="6" l="1"/>
  <c r="G2859" i="6"/>
  <c r="G1861" i="6"/>
  <c r="I1860" i="6"/>
  <c r="G1862" i="6" l="1"/>
  <c r="I1861" i="6"/>
  <c r="G2860" i="6"/>
  <c r="I2859" i="6"/>
  <c r="G2861" i="6" l="1"/>
  <c r="I2860" i="6"/>
  <c r="G1863" i="6"/>
  <c r="I1862" i="6"/>
  <c r="G1864" i="6" l="1"/>
  <c r="I1863" i="6"/>
  <c r="G2862" i="6"/>
  <c r="I2861" i="6"/>
  <c r="I2862" i="6" l="1"/>
  <c r="G2863" i="6"/>
  <c r="G1865" i="6"/>
  <c r="I1864" i="6"/>
  <c r="G1866" i="6" l="1"/>
  <c r="I1865" i="6"/>
  <c r="G2864" i="6"/>
  <c r="I2863" i="6"/>
  <c r="G2865" i="6" l="1"/>
  <c r="I2864" i="6"/>
  <c r="G1867" i="6"/>
  <c r="I1866" i="6"/>
  <c r="G1868" i="6" l="1"/>
  <c r="I1867" i="6"/>
  <c r="G2866" i="6"/>
  <c r="I2865" i="6"/>
  <c r="I2866" i="6" l="1"/>
  <c r="G2867" i="6"/>
  <c r="G1869" i="6"/>
  <c r="I1868" i="6"/>
  <c r="G1870" i="6" l="1"/>
  <c r="I1869" i="6"/>
  <c r="G2868" i="6"/>
  <c r="I2867" i="6"/>
  <c r="I2868" i="6" l="1"/>
  <c r="G2869" i="6"/>
  <c r="G1871" i="6"/>
  <c r="I1870" i="6"/>
  <c r="G1872" i="6" l="1"/>
  <c r="I1871" i="6"/>
  <c r="G2870" i="6"/>
  <c r="I2869" i="6"/>
  <c r="I2870" i="6" l="1"/>
  <c r="G2871" i="6"/>
  <c r="I1872" i="6"/>
  <c r="G1873" i="6"/>
  <c r="G1874" i="6" l="1"/>
  <c r="I1873" i="6"/>
  <c r="G2872" i="6"/>
  <c r="I2871" i="6"/>
  <c r="G2873" i="6" l="1"/>
  <c r="I2872" i="6"/>
  <c r="G1875" i="6"/>
  <c r="I1874" i="6"/>
  <c r="G1876" i="6" l="1"/>
  <c r="I1875" i="6"/>
  <c r="I2873" i="6"/>
  <c r="G2874" i="6"/>
  <c r="I2874" i="6" l="1"/>
  <c r="G2875" i="6"/>
  <c r="G1877" i="6"/>
  <c r="I1876" i="6"/>
  <c r="G1878" i="6" l="1"/>
  <c r="I1877" i="6"/>
  <c r="G2876" i="6"/>
  <c r="I2875" i="6"/>
  <c r="G1879" i="6" l="1"/>
  <c r="I1878" i="6"/>
  <c r="G2877" i="6"/>
  <c r="I2876" i="6"/>
  <c r="G2878" i="6" l="1"/>
  <c r="I2877" i="6"/>
  <c r="G1880" i="6"/>
  <c r="I1879" i="6"/>
  <c r="G1881" i="6" l="1"/>
  <c r="I1880" i="6"/>
  <c r="I2878" i="6"/>
  <c r="G2879" i="6"/>
  <c r="G2880" i="6" l="1"/>
  <c r="I2879" i="6"/>
  <c r="G1882" i="6"/>
  <c r="I1881" i="6"/>
  <c r="G1883" i="6" l="1"/>
  <c r="I1882" i="6"/>
  <c r="I2880" i="6"/>
  <c r="G2881" i="6"/>
  <c r="G2882" i="6" l="1"/>
  <c r="I2881" i="6"/>
  <c r="G1884" i="6"/>
  <c r="I1883" i="6"/>
  <c r="I1884" i="6" l="1"/>
  <c r="G1885" i="6"/>
  <c r="I2882" i="6"/>
  <c r="G2883" i="6"/>
  <c r="G2884" i="6" l="1"/>
  <c r="I2883" i="6"/>
  <c r="G1886" i="6"/>
  <c r="I1885" i="6"/>
  <c r="G1887" i="6" l="1"/>
  <c r="I1886" i="6"/>
  <c r="G2885" i="6"/>
  <c r="I2884" i="6"/>
  <c r="G2886" i="6" l="1"/>
  <c r="I2885" i="6"/>
  <c r="G1888" i="6"/>
  <c r="I1887" i="6"/>
  <c r="G1889" i="6" l="1"/>
  <c r="I1888" i="6"/>
  <c r="I2886" i="6"/>
  <c r="G2887" i="6"/>
  <c r="G2888" i="6" l="1"/>
  <c r="I2887" i="6"/>
  <c r="G1890" i="6"/>
  <c r="I1889" i="6"/>
  <c r="G2889" i="6" l="1"/>
  <c r="I2888" i="6"/>
  <c r="I1890" i="6"/>
  <c r="G1891" i="6"/>
  <c r="G1892" i="6" l="1"/>
  <c r="I1891" i="6"/>
  <c r="I2889" i="6"/>
  <c r="G2890" i="6"/>
  <c r="I2890" i="6" l="1"/>
  <c r="G2891" i="6"/>
  <c r="G1893" i="6"/>
  <c r="I1892" i="6"/>
  <c r="G1894" i="6" l="1"/>
  <c r="I1893" i="6"/>
  <c r="G2892" i="6"/>
  <c r="I2891" i="6"/>
  <c r="I2892" i="6" l="1"/>
  <c r="G2893" i="6"/>
  <c r="G1895" i="6"/>
  <c r="I1894" i="6"/>
  <c r="G1896" i="6" l="1"/>
  <c r="I1895" i="6"/>
  <c r="G2894" i="6"/>
  <c r="I2893" i="6"/>
  <c r="I2894" i="6" l="1"/>
  <c r="G2895" i="6"/>
  <c r="G1897" i="6"/>
  <c r="I1896" i="6"/>
  <c r="G1898" i="6" l="1"/>
  <c r="I1897" i="6"/>
  <c r="G2896" i="6"/>
  <c r="I2895" i="6"/>
  <c r="G2897" i="6" l="1"/>
  <c r="I2896" i="6"/>
  <c r="G1899" i="6"/>
  <c r="I1898" i="6"/>
  <c r="G1900" i="6" l="1"/>
  <c r="I1899" i="6"/>
  <c r="I2897" i="6"/>
  <c r="G2898" i="6"/>
  <c r="I2898" i="6" l="1"/>
  <c r="G2899" i="6"/>
  <c r="G1901" i="6"/>
  <c r="I1900" i="6"/>
  <c r="G1902" i="6" l="1"/>
  <c r="I1901" i="6"/>
  <c r="G2900" i="6"/>
  <c r="I2899" i="6"/>
  <c r="G2901" i="6" l="1"/>
  <c r="I2900" i="6"/>
  <c r="I1902" i="6"/>
  <c r="G1903" i="6"/>
  <c r="I1903" i="6" s="1"/>
  <c r="G2902" i="6" l="1"/>
  <c r="I2901" i="6"/>
  <c r="I2902" i="6" l="1"/>
  <c r="G2903" i="6"/>
  <c r="I2903" i="6" s="1"/>
  <c r="F50" i="2"/>
  <c r="F62" i="2"/>
  <c r="F14" i="2"/>
  <c r="F41" i="2"/>
  <c r="F53" i="2"/>
  <c r="F65" i="2"/>
  <c r="F63" i="2"/>
  <c r="F17" i="2"/>
  <c r="F6" i="2"/>
  <c r="F30" i="2"/>
  <c r="F42" i="2"/>
  <c r="F55" i="2"/>
  <c r="F67" i="2"/>
  <c r="F28" i="2"/>
  <c r="F19" i="2"/>
  <c r="F8" i="2"/>
  <c r="F20" i="2"/>
  <c r="F44" i="2"/>
  <c r="F56" i="2"/>
  <c r="F52" i="2"/>
  <c r="F7" i="2"/>
  <c r="F9" i="2"/>
  <c r="F21" i="2"/>
  <c r="F45" i="2"/>
  <c r="F69" i="2"/>
  <c r="F26" i="2"/>
  <c r="F31" i="2"/>
  <c r="F34" i="2"/>
  <c r="F58" i="2"/>
  <c r="F70" i="2"/>
  <c r="F11" i="2"/>
  <c r="F23" i="2"/>
  <c r="F35" i="2"/>
  <c r="F47" i="2"/>
  <c r="F59" i="2"/>
  <c r="F39" i="2"/>
  <c r="F12" i="2"/>
  <c r="F36" i="2"/>
  <c r="F48" i="2"/>
  <c r="F60" i="2"/>
  <c r="F72" i="2"/>
  <c r="F27" i="2"/>
  <c r="F16" i="2"/>
  <c r="F13" i="2"/>
  <c r="F25" i="2"/>
  <c r="F37" i="2"/>
  <c r="F49" i="2"/>
  <c r="F73" i="2"/>
  <c r="E33" i="4"/>
  <c r="E16" i="4"/>
  <c r="E24" i="4"/>
  <c r="E26" i="4"/>
  <c r="E32" i="4"/>
  <c r="E17" i="4"/>
  <c r="E21" i="4"/>
  <c r="E20" i="4"/>
  <c r="E30" i="4"/>
  <c r="E31" i="4"/>
  <c r="E18" i="4"/>
  <c r="E15" i="4"/>
  <c r="E38" i="4"/>
  <c r="E29" i="4"/>
  <c r="E12" i="4"/>
  <c r="E9" i="4"/>
  <c r="E28" i="4"/>
  <c r="E5" i="4"/>
  <c r="E35" i="4"/>
  <c r="E25" i="4"/>
  <c r="E22" i="4"/>
  <c r="E14" i="4"/>
  <c r="E13" i="4"/>
  <c r="E10" i="4"/>
  <c r="E34" i="4"/>
  <c r="E6" i="4"/>
  <c r="E23" i="4"/>
  <c r="E19" i="4"/>
  <c r="E37" i="4"/>
  <c r="E36" i="4"/>
  <c r="E7" i="4"/>
  <c r="E11" i="4"/>
  <c r="E27" i="4"/>
  <c r="E8" i="4"/>
  <c r="F5" i="2"/>
</calcChain>
</file>

<file path=xl/sharedStrings.xml><?xml version="1.0" encoding="utf-8"?>
<sst xmlns="http://schemas.openxmlformats.org/spreadsheetml/2006/main" count="17388" uniqueCount="990">
  <si>
    <t>Id</t>
  </si>
  <si>
    <t>#이름</t>
  </si>
  <si>
    <t>Skin</t>
  </si>
  <si>
    <t>#DefaultSoul</t>
  </si>
  <si>
    <t>Name</t>
  </si>
  <si>
    <t>Profile</t>
  </si>
  <si>
    <t>MonsterType</t>
  </si>
  <si>
    <t>Size</t>
  </si>
  <si>
    <t>Scale</t>
  </si>
  <si>
    <t>UseHud</t>
  </si>
  <si>
    <t>StatusOffset</t>
  </si>
  <si>
    <t>StarGrade</t>
  </si>
  <si>
    <t>Element</t>
  </si>
  <si>
    <t>Role</t>
  </si>
  <si>
    <t>LevelUpGroup</t>
  </si>
  <si>
    <t>MaxSp</t>
  </si>
  <si>
    <t>UseSp</t>
  </si>
  <si>
    <t>TurnSp</t>
  </si>
  <si>
    <t>AtkSp</t>
  </si>
  <si>
    <t>HitSp</t>
  </si>
  <si>
    <t>StatParam</t>
  </si>
  <si>
    <t>StatValue</t>
  </si>
  <si>
    <t>SkillId</t>
  </si>
  <si>
    <t>DefaultCheck</t>
  </si>
  <si>
    <t>몬스터 타입</t>
  </si>
  <si>
    <t>크기</t>
  </si>
  <si>
    <t>등급</t>
  </si>
  <si>
    <t>속성</t>
  </si>
  <si>
    <t>직업</t>
  </si>
  <si>
    <t>Normal</t>
  </si>
  <si>
    <t>Active</t>
  </si>
  <si>
    <t>Ultimate</t>
  </si>
  <si>
    <t>Passive</t>
  </si>
  <si>
    <t>페르세포네</t>
  </si>
  <si>
    <t>c035</t>
  </si>
  <si>
    <t>character_name_10000035</t>
  </si>
  <si>
    <t>None</t>
  </si>
  <si>
    <t>0.95,0.95,0.95</t>
  </si>
  <si>
    <t>0,0,0</t>
  </si>
  <si>
    <t>Dark</t>
  </si>
  <si>
    <t>Supporter</t>
  </si>
  <si>
    <t>Spd</t>
  </si>
  <si>
    <t>Hp</t>
  </si>
  <si>
    <t>Atk</t>
  </si>
  <si>
    <t>Def</t>
  </si>
  <si>
    <t>Penetration</t>
  </si>
  <si>
    <t>Hit</t>
  </si>
  <si>
    <t>Dodge</t>
  </si>
  <si>
    <t>CriRatio</t>
  </si>
  <si>
    <t>CriDmgRatio</t>
  </si>
  <si>
    <t>네반</t>
  </si>
  <si>
    <t>c048</t>
  </si>
  <si>
    <t>character_name_10000048</t>
  </si>
  <si>
    <t>Healer</t>
  </si>
  <si>
    <t>메두사</t>
  </si>
  <si>
    <t>c064</t>
  </si>
  <si>
    <t>character_name_10000064</t>
  </si>
  <si>
    <t>Attacker</t>
  </si>
  <si>
    <t>유다</t>
  </si>
  <si>
    <t>c037</t>
  </si>
  <si>
    <t>character_name_10000037</t>
  </si>
  <si>
    <t>Fire</t>
  </si>
  <si>
    <t>Defender</t>
  </si>
  <si>
    <t>네이드</t>
  </si>
  <si>
    <t>c083</t>
  </si>
  <si>
    <t>character_name_10000083</t>
  </si>
  <si>
    <t>베르들레</t>
  </si>
  <si>
    <t>c286</t>
  </si>
  <si>
    <t>character_name_10000286</t>
  </si>
  <si>
    <t>프레이야</t>
  </si>
  <si>
    <t>c031</t>
  </si>
  <si>
    <t>character_name_10000031</t>
  </si>
  <si>
    <t>Forest</t>
  </si>
  <si>
    <t>다이아나</t>
  </si>
  <si>
    <t>c033</t>
  </si>
  <si>
    <t>character_name_10000033</t>
  </si>
  <si>
    <t>Magician</t>
  </si>
  <si>
    <t>에우로페</t>
  </si>
  <si>
    <t>c062</t>
  </si>
  <si>
    <t>character_name_10000062</t>
  </si>
  <si>
    <t>레다</t>
  </si>
  <si>
    <t>c028</t>
  </si>
  <si>
    <t>character_name_10000028</t>
  </si>
  <si>
    <t>Light</t>
  </si>
  <si>
    <t>야나</t>
  </si>
  <si>
    <t>c221</t>
  </si>
  <si>
    <t>character_name_10000221</t>
  </si>
  <si>
    <t>샤를</t>
  </si>
  <si>
    <t>마야우엘</t>
  </si>
  <si>
    <t>c022</t>
  </si>
  <si>
    <t>character_name_10000022</t>
  </si>
  <si>
    <t>Water</t>
  </si>
  <si>
    <t>레오</t>
  </si>
  <si>
    <t>c362</t>
  </si>
  <si>
    <t>character_name_10000362</t>
  </si>
  <si>
    <t>데이노</t>
  </si>
  <si>
    <t>c366</t>
  </si>
  <si>
    <t>character_name_10000366</t>
  </si>
  <si>
    <t>모나</t>
  </si>
  <si>
    <t>두엣샤</t>
  </si>
  <si>
    <t>에르제베트</t>
  </si>
  <si>
    <t>드미테르</t>
  </si>
  <si>
    <t>다비</t>
  </si>
  <si>
    <t>카인</t>
  </si>
  <si>
    <t>맘몬</t>
  </si>
  <si>
    <t>미다스</t>
  </si>
  <si>
    <t>c132</t>
  </si>
  <si>
    <t>character_name_10000132</t>
  </si>
  <si>
    <t>자청비</t>
  </si>
  <si>
    <t>c398</t>
  </si>
  <si>
    <t>character_name_10000398</t>
  </si>
  <si>
    <t>마프데트</t>
  </si>
  <si>
    <t>c227</t>
  </si>
  <si>
    <t>character_name_10000227</t>
  </si>
  <si>
    <t>힐드</t>
  </si>
  <si>
    <t>다나</t>
  </si>
  <si>
    <t>리자</t>
  </si>
  <si>
    <t>비루파</t>
  </si>
  <si>
    <t>c193</t>
  </si>
  <si>
    <t>character_name_10000193</t>
  </si>
  <si>
    <t>에우로스</t>
  </si>
  <si>
    <t>c437</t>
  </si>
  <si>
    <t>character_name_10000437</t>
  </si>
  <si>
    <t>아르테미스</t>
  </si>
  <si>
    <t>바토리</t>
  </si>
  <si>
    <t>프레이</t>
  </si>
  <si>
    <t>쿠바바</t>
  </si>
  <si>
    <t>반시</t>
  </si>
  <si>
    <t>아누비스</t>
  </si>
  <si>
    <t>미르칼라</t>
  </si>
  <si>
    <t>유나</t>
  </si>
  <si>
    <t>구미호</t>
  </si>
  <si>
    <t>라가라자</t>
  </si>
  <si>
    <t>카라라트리</t>
  </si>
  <si>
    <t>모건</t>
  </si>
  <si>
    <t>데레사</t>
  </si>
  <si>
    <t>지바</t>
  </si>
  <si>
    <t>살마키스</t>
  </si>
  <si>
    <t>브라우니</t>
  </si>
  <si>
    <t>그릴라</t>
  </si>
  <si>
    <t>판</t>
  </si>
  <si>
    <t>아우로라</t>
  </si>
  <si>
    <t>미리암</t>
  </si>
  <si>
    <t>에레보스</t>
  </si>
  <si>
    <t>다누</t>
  </si>
  <si>
    <t>메티스</t>
  </si>
  <si>
    <t>아슈토레스</t>
  </si>
  <si>
    <t>시트리</t>
  </si>
  <si>
    <t>세멜레</t>
  </si>
  <si>
    <t>티와즈</t>
  </si>
  <si>
    <t>오네이로이</t>
  </si>
  <si>
    <t>티타니아</t>
  </si>
  <si>
    <t>루미나</t>
  </si>
  <si>
    <t>도계화</t>
  </si>
  <si>
    <t>이브</t>
  </si>
  <si>
    <t>아라한</t>
  </si>
  <si>
    <t>바리</t>
  </si>
  <si>
    <t>니르티</t>
  </si>
  <si>
    <t>티스베</t>
  </si>
  <si>
    <t>엘리시온</t>
  </si>
  <si>
    <t>상아</t>
  </si>
  <si>
    <t>c339</t>
  </si>
  <si>
    <t>character_name_10000339</t>
  </si>
  <si>
    <t>c393</t>
  </si>
  <si>
    <t>character_name_10000393</t>
  </si>
  <si>
    <t>Base 테이블</t>
  </si>
  <si>
    <t>DATA</t>
  </si>
  <si>
    <t>Type</t>
  </si>
  <si>
    <t>Desc</t>
  </si>
  <si>
    <t>int</t>
  </si>
  <si>
    <t>id</t>
  </si>
  <si>
    <t>string</t>
  </si>
  <si>
    <t>이름</t>
  </si>
  <si>
    <t>- Localization 테이블의 키 값을 입력한다.</t>
  </si>
  <si>
    <t>Spine</t>
  </si>
  <si>
    <t>스파인 리소스 파일명.</t>
  </si>
  <si>
    <t>- 스파인 리소스는 Front와 Back 2개의 세트로 구성된다.</t>
  </si>
  <si>
    <t>- 스파인 리소스 파일명 규칙 확정 필요. (ex. Spine_Eve_Front)</t>
  </si>
  <si>
    <t>Illust</t>
  </si>
  <si>
    <t>일러스트 리소스 파일명.</t>
  </si>
  <si>
    <t>Icon</t>
  </si>
  <si>
    <t>캐릭터 아이콘 파일명</t>
  </si>
  <si>
    <t>Child 테이블</t>
  </si>
  <si>
    <t>BaseId</t>
  </si>
  <si>
    <t>사용할 캐릭터의 Base 테이블의 id를 입력한다.</t>
  </si>
  <si>
    <t>Grade</t>
  </si>
  <si>
    <t>Enum.Grade</t>
  </si>
  <si>
    <t>캐릭터의 등급을 지정한다.</t>
  </si>
  <si>
    <t>0: NONE</t>
  </si>
  <si>
    <t>1: 1성</t>
  </si>
  <si>
    <t>2: 2성</t>
  </si>
  <si>
    <t>3: 3성</t>
  </si>
  <si>
    <t>Enum.Element</t>
  </si>
  <si>
    <t>캐릭터의 속성을 지정한다.</t>
  </si>
  <si>
    <t>1: 수속성</t>
  </si>
  <si>
    <t>2: 화속성</t>
  </si>
  <si>
    <t>3: 목속성</t>
  </si>
  <si>
    <t>4: 광속성</t>
  </si>
  <si>
    <t>5: 암속성</t>
  </si>
  <si>
    <t>Enum.Role</t>
  </si>
  <si>
    <t>캐릭터의 직업을 지정한다.</t>
  </si>
  <si>
    <t>1: 공격형</t>
  </si>
  <si>
    <t>2: 방어형</t>
  </si>
  <si>
    <t>3: 마법형</t>
  </si>
  <si>
    <t>4: 보조형</t>
  </si>
  <si>
    <t>Enum.StatParam</t>
  </si>
  <si>
    <t>스탯 종류</t>
  </si>
  <si>
    <t>- 스탯 종류를 설정한다.</t>
  </si>
  <si>
    <t>스탯 초기 값</t>
  </si>
  <si>
    <t>- 캐릭터의 1레벨의 성장되지 않은 초기 값이다.</t>
  </si>
  <si>
    <t>- 확장 가능</t>
  </si>
  <si>
    <t>스킬 id</t>
  </si>
  <si>
    <t>- 스킬 테이블의 id를 입력한다.</t>
  </si>
  <si>
    <t>- 한 캐릭터에 같은 스킬 id 값은 사용 불가</t>
  </si>
  <si>
    <t>Monster 테이블</t>
  </si>
  <si>
    <t>Enum.Size</t>
  </si>
  <si>
    <t>몬스터의 크기</t>
  </si>
  <si>
    <t>1: 1칸 크기</t>
  </si>
  <si>
    <t>2: 3x3 크기</t>
  </si>
  <si>
    <t>Enum.MonsterType</t>
  </si>
  <si>
    <t>몬스터의 종류를 입력한다.</t>
  </si>
  <si>
    <t>1: 일반</t>
  </si>
  <si>
    <t>10: 보스</t>
  </si>
  <si>
    <t>LevelupStat 테이블</t>
  </si>
  <si>
    <t>id (캐릭터 레벨과 동일하다.)</t>
  </si>
  <si>
    <t>레벨업 시 증가할 스탯을 입력한다.</t>
  </si>
  <si>
    <t>LevelValue</t>
  </si>
  <si>
    <t>해당 레벨에서 곱해질 스탯 배율을 입력한다.</t>
  </si>
  <si>
    <t>- 값은 1/100,000 단위이다.</t>
  </si>
  <si>
    <t>- ex) 126,000 값일 경우 실제 적용되는 값은 126%이다.</t>
  </si>
  <si>
    <t>LevelupExp 테이블</t>
  </si>
  <si>
    <t>NeedExp</t>
  </si>
  <si>
    <t>레벨업에 필요한 경험치를 입력한다.</t>
  </si>
  <si>
    <t>#Difficuly</t>
  </si>
  <si>
    <t>난이도</t>
  </si>
  <si>
    <t>봉제인형</t>
  </si>
  <si>
    <t>character_name_20130101</t>
  </si>
  <si>
    <t>1,1,1</t>
  </si>
  <si>
    <t>character_name_20130201</t>
  </si>
  <si>
    <t>character_name_20130102</t>
  </si>
  <si>
    <t>character_name_20130202</t>
  </si>
  <si>
    <t>큐브-화</t>
  </si>
  <si>
    <t>character_name_20730101</t>
  </si>
  <si>
    <t>큐브-수</t>
  </si>
  <si>
    <t>character_name_20730201</t>
  </si>
  <si>
    <t>큐브-목</t>
  </si>
  <si>
    <t>character_name_20730301</t>
  </si>
  <si>
    <t>큐브-광</t>
  </si>
  <si>
    <t>character_name_20730401</t>
  </si>
  <si>
    <t>큐브-암</t>
  </si>
  <si>
    <t>character_name_20730501</t>
  </si>
  <si>
    <t>character_name_20730102</t>
  </si>
  <si>
    <t>character_name_20730202</t>
  </si>
  <si>
    <t>character_name_20730302</t>
  </si>
  <si>
    <t>character_name_20730402</t>
  </si>
  <si>
    <t>character_name_20730502</t>
  </si>
  <si>
    <t>character_name_20730103</t>
  </si>
  <si>
    <t>character_name_20730203</t>
  </si>
  <si>
    <t>character_name_20730303</t>
  </si>
  <si>
    <t>character_name_20730403</t>
  </si>
  <si>
    <t>character_name_20730503</t>
  </si>
  <si>
    <t>character_name_20730104</t>
  </si>
  <si>
    <t>character_name_20730204</t>
  </si>
  <si>
    <t>character_name_20730304</t>
  </si>
  <si>
    <t>character_name_20730404</t>
  </si>
  <si>
    <t>character_name_20730504</t>
  </si>
  <si>
    <t>character_name_20730105</t>
  </si>
  <si>
    <t>character_name_20730205</t>
  </si>
  <si>
    <t>character_name_20730305</t>
  </si>
  <si>
    <t>character_name_20730405</t>
  </si>
  <si>
    <t>character_name_20730505</t>
  </si>
  <si>
    <t>슬라임-화</t>
  </si>
  <si>
    <t>character_name_21550101</t>
  </si>
  <si>
    <t>슬라임-수</t>
  </si>
  <si>
    <t>character_name_21550201</t>
  </si>
  <si>
    <t>슬라임-목</t>
  </si>
  <si>
    <t>character_name_21550301</t>
  </si>
  <si>
    <t>슬라임-광</t>
  </si>
  <si>
    <t>character_name_21550401</t>
  </si>
  <si>
    <t>슬라임-암</t>
  </si>
  <si>
    <t>character_name_21550501</t>
  </si>
  <si>
    <t>character_name_21550102</t>
  </si>
  <si>
    <t>character_name_21550202</t>
  </si>
  <si>
    <t>character_name_21550302</t>
  </si>
  <si>
    <t>character_name_21550402</t>
  </si>
  <si>
    <t>character_name_21550502</t>
  </si>
  <si>
    <t>character_name_21550103</t>
  </si>
  <si>
    <t>character_name_21550203</t>
  </si>
  <si>
    <t>character_name_21550303</t>
  </si>
  <si>
    <t>character_name_21550403</t>
  </si>
  <si>
    <t>character_name_21550503</t>
  </si>
  <si>
    <t>character_name_21550104</t>
  </si>
  <si>
    <t>character_name_21550204</t>
  </si>
  <si>
    <t>character_name_21550304</t>
  </si>
  <si>
    <t>character_name_21550404</t>
  </si>
  <si>
    <t>character_name_21550504</t>
  </si>
  <si>
    <t>character_name_21550105</t>
  </si>
  <si>
    <t>character_name_21550205</t>
  </si>
  <si>
    <t>character_name_21550305</t>
  </si>
  <si>
    <t>character_name_21550405</t>
  </si>
  <si>
    <t>character_name_21550505</t>
  </si>
  <si>
    <t>픽시-화</t>
  </si>
  <si>
    <t>character_name_22580101</t>
  </si>
  <si>
    <t>픽시-수</t>
  </si>
  <si>
    <t>character_name_22580201</t>
  </si>
  <si>
    <t>픽시-목</t>
  </si>
  <si>
    <t>character_name_22580301</t>
  </si>
  <si>
    <t>픽시-광</t>
  </si>
  <si>
    <t>character_name_22580401</t>
  </si>
  <si>
    <t>픽시-암</t>
  </si>
  <si>
    <t>character_name_22580501</t>
  </si>
  <si>
    <t>character_name_22580102</t>
  </si>
  <si>
    <t>character_name_22580202</t>
  </si>
  <si>
    <t>character_name_22580302</t>
  </si>
  <si>
    <t>character_name_22580402</t>
  </si>
  <si>
    <t>character_name_22580502</t>
  </si>
  <si>
    <t>character_name_22580103</t>
  </si>
  <si>
    <t>character_name_22580203</t>
  </si>
  <si>
    <t>character_name_22580303</t>
  </si>
  <si>
    <t>character_name_22580403</t>
  </si>
  <si>
    <t>character_name_22580503</t>
  </si>
  <si>
    <t>character_name_22580104</t>
  </si>
  <si>
    <t>character_name_22580204</t>
  </si>
  <si>
    <t>character_name_22580304</t>
  </si>
  <si>
    <t>character_name_22580404</t>
  </si>
  <si>
    <t>character_name_22580504</t>
  </si>
  <si>
    <t>character_name_22580105</t>
  </si>
  <si>
    <t>character_name_22580205</t>
  </si>
  <si>
    <t>character_name_22580305</t>
  </si>
  <si>
    <t>character_name_22580405</t>
  </si>
  <si>
    <t>character_name_22580505</t>
  </si>
  <si>
    <t>슬라임킹-화</t>
  </si>
  <si>
    <t>character_name_29000101</t>
  </si>
  <si>
    <t>Boss</t>
  </si>
  <si>
    <t>슬라임킹-수</t>
  </si>
  <si>
    <t>character_name_29000201</t>
  </si>
  <si>
    <t>슬라임킹-목</t>
  </si>
  <si>
    <t>character_name_29000301</t>
  </si>
  <si>
    <t>슬라임킹-광</t>
  </si>
  <si>
    <t>character_name_29000401</t>
  </si>
  <si>
    <t>슬라임킹-암</t>
  </si>
  <si>
    <t>character_name_29000501</t>
  </si>
  <si>
    <t>character_name_29000102</t>
  </si>
  <si>
    <t>character_name_29000202</t>
  </si>
  <si>
    <t>character_name_29000302</t>
  </si>
  <si>
    <t>character_name_29000402</t>
  </si>
  <si>
    <t>character_name_29000502</t>
  </si>
  <si>
    <t>character_name_29000103</t>
  </si>
  <si>
    <t>character_name_29000203</t>
  </si>
  <si>
    <t>character_name_29000303</t>
  </si>
  <si>
    <t>character_name_29000403</t>
  </si>
  <si>
    <t>character_name_29000503</t>
  </si>
  <si>
    <t>character_name_29000104</t>
  </si>
  <si>
    <t>character_name_29000204</t>
  </si>
  <si>
    <t>character_name_29000304</t>
  </si>
  <si>
    <t>character_name_29000404</t>
  </si>
  <si>
    <t>character_name_29000504</t>
  </si>
  <si>
    <t>character_name_29000105</t>
  </si>
  <si>
    <t>character_name_29000205</t>
  </si>
  <si>
    <t>character_name_29000305</t>
  </si>
  <si>
    <t>character_name_29000405</t>
  </si>
  <si>
    <t>character_name_29000505</t>
  </si>
  <si>
    <t>로키</t>
  </si>
  <si>
    <t>character_name_12240199</t>
  </si>
  <si>
    <t>character_name_10510201</t>
  </si>
  <si>
    <t>1.2,1.2,1.2</t>
  </si>
  <si>
    <t>보물상자</t>
  </si>
  <si>
    <t>character_name_21890101</t>
  </si>
  <si>
    <t>character_name_21890102</t>
  </si>
  <si>
    <t>야망의 맘몬</t>
  </si>
  <si>
    <t>character_name_21800101</t>
  </si>
  <si>
    <t>character_name_21800102</t>
  </si>
  <si>
    <t>디아블로</t>
  </si>
  <si>
    <t>character_name_20380199</t>
  </si>
  <si>
    <t>체인킬러</t>
  </si>
  <si>
    <t>character_name_20400199</t>
  </si>
  <si>
    <t>하데스</t>
  </si>
  <si>
    <t>character_name_20510199</t>
  </si>
  <si>
    <t>character_name_13540102</t>
  </si>
  <si>
    <t>character_name_12960102</t>
  </si>
  <si>
    <t>character_name_10030102</t>
  </si>
  <si>
    <t>character_name_14640102</t>
  </si>
  <si>
    <t>character_name_13530102</t>
  </si>
  <si>
    <t>character_name_12290102</t>
  </si>
  <si>
    <t>character_name_11800102</t>
  </si>
  <si>
    <t>character_name_11830102</t>
  </si>
  <si>
    <t>character_name_10510202</t>
  </si>
  <si>
    <t>character_name_13640102</t>
  </si>
  <si>
    <t>character_name_10020102</t>
  </si>
  <si>
    <t>character_name_14170102</t>
  </si>
  <si>
    <t>character_name_14320102</t>
  </si>
  <si>
    <t>character_name_14860102</t>
  </si>
  <si>
    <t>character_name_12940102</t>
  </si>
  <si>
    <t>character_name_15010102</t>
  </si>
  <si>
    <t>character_name_10010102</t>
  </si>
  <si>
    <t>character_name_15020102</t>
  </si>
  <si>
    <t>character_name_14120102</t>
  </si>
  <si>
    <t>character_name_11560102</t>
  </si>
  <si>
    <t>character_name_13180102</t>
  </si>
  <si>
    <t>character_name_15250102</t>
  </si>
  <si>
    <t>character_name_14420102</t>
  </si>
  <si>
    <t>character_name_11940102</t>
  </si>
  <si>
    <t>character_name_11240102</t>
  </si>
  <si>
    <t>크리스탈</t>
  </si>
  <si>
    <t>character_name_29010199</t>
  </si>
  <si>
    <t>1.5,1.5,1.5</t>
  </si>
  <si>
    <t>character_name_20400101</t>
  </si>
  <si>
    <t>고모라</t>
  </si>
  <si>
    <t>character_name_20540101</t>
  </si>
  <si>
    <t>character_name_20380101</t>
  </si>
  <si>
    <t>character_name_20510101</t>
  </si>
  <si>
    <t>character_name_12240101</t>
  </si>
  <si>
    <t>character_name_20400102</t>
  </si>
  <si>
    <t>character_name_20540102</t>
  </si>
  <si>
    <t>character_name_20380102</t>
  </si>
  <si>
    <t>character_name_20510102</t>
  </si>
  <si>
    <t>character_name_12240102</t>
  </si>
  <si>
    <t>character_name_20380103</t>
  </si>
  <si>
    <t>character_name_20400103</t>
  </si>
  <si>
    <t>character_name_20510103</t>
  </si>
  <si>
    <t>character_name_20540103</t>
  </si>
  <si>
    <t>character_name_12240103</t>
  </si>
  <si>
    <t>character_name_20400104</t>
  </si>
  <si>
    <t>character_name_20540104</t>
  </si>
  <si>
    <t>character_name_20380104</t>
  </si>
  <si>
    <t>character_name_20510104</t>
  </si>
  <si>
    <t>character_name_12240104</t>
  </si>
  <si>
    <t>character_name_20400105</t>
  </si>
  <si>
    <t>character_name_20540105</t>
  </si>
  <si>
    <t>character_name_20380105</t>
  </si>
  <si>
    <t>character_name_20510105</t>
  </si>
  <si>
    <t>character_name_12240105</t>
  </si>
  <si>
    <t>#Vid</t>
  </si>
  <si>
    <t>#SkinNumber</t>
  </si>
  <si>
    <t>#Skeleton</t>
  </si>
  <si>
    <t>ChildId</t>
  </si>
  <si>
    <t>#ChildName</t>
  </si>
  <si>
    <t>#SkinType</t>
  </si>
  <si>
    <t>#SkinName</t>
  </si>
  <si>
    <t>#SkinDesc</t>
  </si>
  <si>
    <t>SkinPrefix</t>
  </si>
  <si>
    <t>SkinName</t>
  </si>
  <si>
    <t>SkinDesc</t>
  </si>
  <si>
    <t>SkinCV</t>
  </si>
  <si>
    <t>IconAtlas</t>
  </si>
  <si>
    <t>Portrait</t>
  </si>
  <si>
    <t>PortraitAtlas</t>
  </si>
  <si>
    <t>Promotion</t>
  </si>
  <si>
    <t>PromotionAtlas</t>
  </si>
  <si>
    <t>Skeleton</t>
  </si>
  <si>
    <t>IllustName</t>
  </si>
  <si>
    <t>SkillType</t>
  </si>
  <si>
    <t>Timeline</t>
  </si>
  <si>
    <t>Enum.SkinType</t>
  </si>
  <si>
    <t>c000</t>
  </si>
  <si>
    <t>a</t>
  </si>
  <si>
    <t>Devil</t>
  </si>
  <si>
    <t>Base</t>
  </si>
  <si>
    <t>주인공</t>
  </si>
  <si>
    <t>CharacterIcon</t>
  </si>
  <si>
    <t>c354</t>
  </si>
  <si>
    <t>Demeter</t>
  </si>
  <si>
    <t>허세의 드미테르</t>
  </si>
  <si>
    <t>c010_01_F</t>
  </si>
  <si>
    <t>c010_01_L</t>
  </si>
  <si>
    <t>c354_01_Desc</t>
  </si>
  <si>
    <t>c354_01_ci_F</t>
  </si>
  <si>
    <t>c010_01_p</t>
  </si>
  <si>
    <t>CharacterPortrait</t>
  </si>
  <si>
    <t>CharacterPromotion</t>
  </si>
  <si>
    <t>c296</t>
  </si>
  <si>
    <t>Hildr</t>
  </si>
  <si>
    <t>건슬링거 힐드</t>
  </si>
  <si>
    <t>c003</t>
  </si>
  <si>
    <t>Davi</t>
  </si>
  <si>
    <t>c464</t>
  </si>
  <si>
    <t>Arhat</t>
  </si>
  <si>
    <t>장엄 아라한</t>
  </si>
  <si>
    <t>c464_02_p</t>
  </si>
  <si>
    <t>c353</t>
  </si>
  <si>
    <t>Charlotte</t>
  </si>
  <si>
    <t>철창의 샤를</t>
  </si>
  <si>
    <t>c229</t>
  </si>
  <si>
    <t>Brownie</t>
  </si>
  <si>
    <t>소식통 브라우니</t>
  </si>
  <si>
    <t>c180</t>
  </si>
  <si>
    <t>Mommon</t>
  </si>
  <si>
    <t>c183</t>
  </si>
  <si>
    <t>Dana</t>
  </si>
  <si>
    <t>설교하는 다나</t>
  </si>
  <si>
    <t>c051</t>
  </si>
  <si>
    <t>Frej</t>
  </si>
  <si>
    <t>c051_02_ci_F</t>
  </si>
  <si>
    <t>c364</t>
  </si>
  <si>
    <t>Sytry</t>
  </si>
  <si>
    <t>스위트 시트리</t>
  </si>
  <si>
    <t>c002</t>
  </si>
  <si>
    <t>Lisa</t>
  </si>
  <si>
    <t>c417</t>
  </si>
  <si>
    <t>Tamamo</t>
  </si>
  <si>
    <t>c432</t>
  </si>
  <si>
    <t>Artemis</t>
  </si>
  <si>
    <t>c486</t>
  </si>
  <si>
    <t>Kubaba</t>
  </si>
  <si>
    <t>c294</t>
  </si>
  <si>
    <t>Bathory</t>
  </si>
  <si>
    <t>c501</t>
  </si>
  <si>
    <t>Ragaraja</t>
  </si>
  <si>
    <t>c001</t>
  </si>
  <si>
    <t>Mona</t>
  </si>
  <si>
    <t>c502</t>
  </si>
  <si>
    <t>To Keika</t>
  </si>
  <si>
    <t>c412</t>
  </si>
  <si>
    <t>Cain</t>
  </si>
  <si>
    <t>c156</t>
  </si>
  <si>
    <t>Elizabeth</t>
  </si>
  <si>
    <t>c318</t>
  </si>
  <si>
    <t>Bari</t>
  </si>
  <si>
    <t>c525</t>
  </si>
  <si>
    <t>Grilla</t>
  </si>
  <si>
    <t>c442</t>
  </si>
  <si>
    <t>Nirrti</t>
  </si>
  <si>
    <t>c194</t>
  </si>
  <si>
    <t>Ashtoreth</t>
  </si>
  <si>
    <t>c124</t>
  </si>
  <si>
    <t>Eve</t>
  </si>
  <si>
    <t>c336</t>
  </si>
  <si>
    <t>Pan</t>
  </si>
  <si>
    <t>c445</t>
  </si>
  <si>
    <t>Kalaratri</t>
  </si>
  <si>
    <t>c461</t>
  </si>
  <si>
    <t>Aurora</t>
  </si>
  <si>
    <t>c283</t>
  </si>
  <si>
    <t>Morgan</t>
  </si>
  <si>
    <t>c400</t>
  </si>
  <si>
    <t>Banshee</t>
  </si>
  <si>
    <t>c447</t>
  </si>
  <si>
    <t>Miriam</t>
  </si>
  <si>
    <t>c462</t>
  </si>
  <si>
    <t>Theresa</t>
  </si>
  <si>
    <t>c281</t>
  </si>
  <si>
    <t xml:space="preserve">Thisbe </t>
  </si>
  <si>
    <t>c514</t>
  </si>
  <si>
    <t xml:space="preserve">Duetsha </t>
  </si>
  <si>
    <t>m155</t>
  </si>
  <si>
    <t>slime</t>
  </si>
  <si>
    <t>m900</t>
  </si>
  <si>
    <t>slimeking</t>
  </si>
  <si>
    <t>b</t>
  </si>
  <si>
    <t>c</t>
  </si>
  <si>
    <t>d</t>
  </si>
  <si>
    <t>e</t>
  </si>
  <si>
    <t>m258</t>
  </si>
  <si>
    <t>pixie</t>
  </si>
  <si>
    <t>m038</t>
  </si>
  <si>
    <t>diablo</t>
  </si>
  <si>
    <t>m013</t>
  </si>
  <si>
    <t>Teddy</t>
  </si>
  <si>
    <t>m040</t>
  </si>
  <si>
    <t>ChainKiller</t>
  </si>
  <si>
    <t>m073</t>
  </si>
  <si>
    <t>Cube</t>
  </si>
  <si>
    <t>m189</t>
  </si>
  <si>
    <t>Mimic</t>
  </si>
  <si>
    <t>m051</t>
  </si>
  <si>
    <t>Hades</t>
  </si>
  <si>
    <t>c224</t>
  </si>
  <si>
    <t>Loki</t>
  </si>
  <si>
    <t>m054</t>
  </si>
  <si>
    <t>Gomorrah</t>
  </si>
  <si>
    <t>m901</t>
  </si>
  <si>
    <t>Crystal</t>
  </si>
  <si>
    <t>Promotion_c010_01_p</t>
  </si>
  <si>
    <t>c354_01_a</t>
  </si>
  <si>
    <t>Naninovel/Characters/c354_01</t>
  </si>
  <si>
    <t>c296_01_F</t>
  </si>
  <si>
    <t>c296_01_L</t>
  </si>
  <si>
    <t>c296_01_Desc</t>
  </si>
  <si>
    <t>c296_01_ci_F</t>
  </si>
  <si>
    <t>c296_01_p</t>
  </si>
  <si>
    <t>Promotion_c296_01_p</t>
  </si>
  <si>
    <t>c296_01_a</t>
  </si>
  <si>
    <t>Naninovel/Characters/c296_01</t>
  </si>
  <si>
    <t>c003_01_F</t>
  </si>
  <si>
    <t>c003_01_L</t>
  </si>
  <si>
    <t>c003_01_Desc</t>
  </si>
  <si>
    <t>c003_01_ci_F</t>
  </si>
  <si>
    <t>c003_01_p</t>
  </si>
  <si>
    <t>Promotion_c003_01_p</t>
  </si>
  <si>
    <t>c003_01_a</t>
  </si>
  <si>
    <t>Naninovel/Characters/c003_01</t>
  </si>
  <si>
    <t>c464_01_F</t>
  </si>
  <si>
    <t>c464_01_L</t>
  </si>
  <si>
    <t>c464_01_Desc</t>
  </si>
  <si>
    <t>c464_01_ci_F</t>
  </si>
  <si>
    <t>Promotion_c464_02_p</t>
  </si>
  <si>
    <t>c464_01_a</t>
  </si>
  <si>
    <t>Naninovel/Characters/c464_01</t>
  </si>
  <si>
    <t>c353_01_F</t>
  </si>
  <si>
    <t>c353_01_L</t>
  </si>
  <si>
    <t>c353_01_Desc</t>
  </si>
  <si>
    <t>c353_01_ci_F</t>
  </si>
  <si>
    <t>c353_01_p</t>
  </si>
  <si>
    <t>Promotion_c353_01_p</t>
  </si>
  <si>
    <t>c353_01_a</t>
  </si>
  <si>
    <t>Naninovel/Characters/c353_01</t>
  </si>
  <si>
    <t>c229_01_F</t>
  </si>
  <si>
    <t>c229_01_L</t>
  </si>
  <si>
    <t>c229_01_Desc</t>
  </si>
  <si>
    <t>c229_01_ci_F</t>
  </si>
  <si>
    <t>c229_01_p</t>
  </si>
  <si>
    <t>Promotion_c229_01_p</t>
  </si>
  <si>
    <t>c229_01_a</t>
  </si>
  <si>
    <t>Naninovel/Characters/c229_01</t>
  </si>
  <si>
    <t>c180_01_F</t>
  </si>
  <si>
    <t>c180_01_L</t>
  </si>
  <si>
    <t>c180_01_Desc</t>
  </si>
  <si>
    <t>c180_01_ci_F</t>
  </si>
  <si>
    <t>c180_01_p</t>
  </si>
  <si>
    <t>Promotion_c180_01_p</t>
  </si>
  <si>
    <t>c180_01_a</t>
  </si>
  <si>
    <t>Naninovel/Characters/c180_01</t>
  </si>
  <si>
    <t>c183_01_F</t>
  </si>
  <si>
    <t>c183_01_L</t>
  </si>
  <si>
    <t>c183_01_Desc</t>
  </si>
  <si>
    <t>c183_01_ci_F</t>
  </si>
  <si>
    <t>c183_01_p</t>
  </si>
  <si>
    <t>Promotion_c183_01_p</t>
  </si>
  <si>
    <t>c183_01_a</t>
  </si>
  <si>
    <t>Naninovel/Characters/c183_01</t>
  </si>
  <si>
    <t>c051_02_F</t>
  </si>
  <si>
    <t>c051_02_L</t>
  </si>
  <si>
    <t>c051_02_Desc</t>
  </si>
  <si>
    <t>c051_02_p</t>
  </si>
  <si>
    <t>Promotion_c051_02_p</t>
  </si>
  <si>
    <t>c051_02_a</t>
  </si>
  <si>
    <t>Naninovel/Characters/c051_02</t>
  </si>
  <si>
    <t>c364_01_F</t>
  </si>
  <si>
    <t>c364_01_L</t>
  </si>
  <si>
    <t>c364_01_Desc</t>
  </si>
  <si>
    <t>c364_01_ci_F</t>
  </si>
  <si>
    <t>c364_01_p</t>
  </si>
  <si>
    <t>Promotion_c364_01_p</t>
  </si>
  <si>
    <t>c364_01_a</t>
  </si>
  <si>
    <t>Naninovel/Characters/c364_01</t>
  </si>
  <si>
    <t>c002_01_F</t>
  </si>
  <si>
    <t>c002_01_L</t>
  </si>
  <si>
    <t>c002_01_Desc</t>
  </si>
  <si>
    <t>c002_01_ci_F</t>
  </si>
  <si>
    <t>c002_01_p</t>
  </si>
  <si>
    <t>Promotion_c002_01_p</t>
  </si>
  <si>
    <t>c002_01_a</t>
  </si>
  <si>
    <t>Naninovel/Characters/c002_01</t>
  </si>
  <si>
    <t>c417_01_F</t>
  </si>
  <si>
    <t>c417_01_L</t>
  </si>
  <si>
    <t>c417_01_Desc</t>
  </si>
  <si>
    <t>c417_01_ci_F</t>
  </si>
  <si>
    <t>c417_01_p</t>
  </si>
  <si>
    <t>Promotion_c417_01_p</t>
  </si>
  <si>
    <t>c417_01_a</t>
  </si>
  <si>
    <t>Naninovel/Characters/c417_01</t>
  </si>
  <si>
    <t>c432_01_F</t>
  </si>
  <si>
    <t>c432_01_L</t>
  </si>
  <si>
    <t>c432_01_Desc</t>
  </si>
  <si>
    <t>c432_01_ci_F</t>
  </si>
  <si>
    <t>c432_01_p</t>
  </si>
  <si>
    <t>Promotion_c432_01_p</t>
  </si>
  <si>
    <t>c432_01_a</t>
  </si>
  <si>
    <t>Naninovel/Characters/c432_01</t>
  </si>
  <si>
    <t>c486_01_F</t>
  </si>
  <si>
    <t>c486_01_L</t>
  </si>
  <si>
    <t>c486_01_Desc</t>
  </si>
  <si>
    <t>c486_01_ci_F</t>
  </si>
  <si>
    <t>c486_01_p</t>
  </si>
  <si>
    <t>Promotion_c486_01_p</t>
  </si>
  <si>
    <t>c486_01_a</t>
  </si>
  <si>
    <t>Naninovel/Characters/c486_01</t>
  </si>
  <si>
    <t>c294_01_F</t>
  </si>
  <si>
    <t>c294_01_L</t>
  </si>
  <si>
    <t>c294_01_Desc</t>
  </si>
  <si>
    <t>c294_01_ci_F</t>
  </si>
  <si>
    <t>c294_01_p</t>
  </si>
  <si>
    <t>Promotion_c294_01_p</t>
  </si>
  <si>
    <t>c294_01_a</t>
  </si>
  <si>
    <t>Naninovel/Characters/c294_01</t>
  </si>
  <si>
    <t>c501_01_F</t>
  </si>
  <si>
    <t>c501_01_L</t>
  </si>
  <si>
    <t>c501_01_Desc</t>
  </si>
  <si>
    <t>c501_01_ci_F</t>
  </si>
  <si>
    <t>c501_01_p</t>
  </si>
  <si>
    <t>Promotion_c501_01_p</t>
  </si>
  <si>
    <t>c501_01_a</t>
  </si>
  <si>
    <t>Naninovel/Characters/c501_01</t>
  </si>
  <si>
    <t>c001_01_F</t>
  </si>
  <si>
    <t>c001_01_L</t>
  </si>
  <si>
    <t>c001_01_Desc</t>
  </si>
  <si>
    <t>c001_01_ci_F</t>
  </si>
  <si>
    <t>c001_01_p</t>
  </si>
  <si>
    <t>Promotion_c001_01_p</t>
  </si>
  <si>
    <t>c001_01_a</t>
  </si>
  <si>
    <t>Naninovel/Characters/c001_01</t>
  </si>
  <si>
    <t>c502_01_F</t>
  </si>
  <si>
    <t>c502_01_L</t>
  </si>
  <si>
    <t>c502_01_Desc</t>
  </si>
  <si>
    <t>c502_01_ci_F</t>
  </si>
  <si>
    <t>c502_01_p</t>
  </si>
  <si>
    <t>Promotion_c502_01_p</t>
  </si>
  <si>
    <t>c502_01_a</t>
  </si>
  <si>
    <t>Naninovel/Characters/c502_01</t>
  </si>
  <si>
    <t>c412_01_F</t>
  </si>
  <si>
    <t>c412_01_L</t>
  </si>
  <si>
    <t>c412_01_Desc</t>
  </si>
  <si>
    <t>c412_01_ci_F</t>
  </si>
  <si>
    <t>c412_01_p</t>
  </si>
  <si>
    <t>Promotion_c412_01_p</t>
  </si>
  <si>
    <t>c412_01_a</t>
  </si>
  <si>
    <t>Naninovel/Characters/c412_01</t>
  </si>
  <si>
    <t>c156_01_F</t>
  </si>
  <si>
    <t>c156_01_L</t>
  </si>
  <si>
    <t>c156_01_Desc</t>
  </si>
  <si>
    <t>c156_01_ci_F</t>
  </si>
  <si>
    <t>c156_01_p</t>
  </si>
  <si>
    <t>Promotion_c156_01_p</t>
  </si>
  <si>
    <t>c156_01_a</t>
  </si>
  <si>
    <t>Naninovel/Characters/c156_01</t>
  </si>
  <si>
    <t>c318_01_F</t>
  </si>
  <si>
    <t>c318_01_L</t>
  </si>
  <si>
    <t>c318_01_Desc</t>
  </si>
  <si>
    <t>c318_01_ci_F</t>
  </si>
  <si>
    <t>c318_01_p</t>
  </si>
  <si>
    <t>Promotion_c318_01_p</t>
  </si>
  <si>
    <t>c318_01_a</t>
  </si>
  <si>
    <t>Naninovel/Characters/c318_01</t>
  </si>
  <si>
    <t>c525_01_F</t>
  </si>
  <si>
    <t>c525_01_L</t>
  </si>
  <si>
    <t>c525_01_Desc</t>
  </si>
  <si>
    <t>c525_01_ci_F</t>
  </si>
  <si>
    <t>c525_01_p</t>
  </si>
  <si>
    <t>Promotion_c525_01_p</t>
  </si>
  <si>
    <t>c525_01_a</t>
  </si>
  <si>
    <t>Naninovel/Characters/c525_01</t>
  </si>
  <si>
    <t>c442_01_F</t>
  </si>
  <si>
    <t>c442_01_L</t>
  </si>
  <si>
    <t>c442_01_Desc</t>
  </si>
  <si>
    <t>c442_01_ci_F</t>
  </si>
  <si>
    <t>c442_01_p</t>
  </si>
  <si>
    <t>Promotion_c442_01_p</t>
  </si>
  <si>
    <t>c442_01_a</t>
  </si>
  <si>
    <t>Naninovel/Characters/c442_01</t>
  </si>
  <si>
    <t>c194_01_F</t>
  </si>
  <si>
    <t>c194_01_L</t>
  </si>
  <si>
    <t>c194_01_Desc</t>
  </si>
  <si>
    <t>c194_01_ci_F</t>
  </si>
  <si>
    <t>c194_01_p</t>
  </si>
  <si>
    <t>Promotion_c194_01_p</t>
  </si>
  <si>
    <t>c194_01_a</t>
  </si>
  <si>
    <t>Naninovel/Characters/c194_01</t>
  </si>
  <si>
    <t>c124_01_F</t>
  </si>
  <si>
    <t>c124_01_L</t>
  </si>
  <si>
    <t>c124_01_Desc</t>
  </si>
  <si>
    <t>c124_01_ci_F</t>
  </si>
  <si>
    <t>c124_01_p</t>
  </si>
  <si>
    <t>Promotion_c124_01_p</t>
  </si>
  <si>
    <t>c124_01_a</t>
  </si>
  <si>
    <t>Naninovel/Characters/c124_01</t>
  </si>
  <si>
    <t>c336_01_F</t>
  </si>
  <si>
    <t>c336_01_L</t>
  </si>
  <si>
    <t>c336_01_Desc</t>
  </si>
  <si>
    <t>c336_11_CV</t>
  </si>
  <si>
    <t>c336_01_ci_F</t>
  </si>
  <si>
    <t>c336_01_p</t>
  </si>
  <si>
    <t>Promotion_c336_01_p</t>
  </si>
  <si>
    <t>c336_01_a</t>
  </si>
  <si>
    <t>Naninovel/Characters/c336_01</t>
  </si>
  <si>
    <t>c445_01_F</t>
  </si>
  <si>
    <t>c445_01_L</t>
  </si>
  <si>
    <t>c445_01_Desc</t>
  </si>
  <si>
    <t>c445_01_CV</t>
  </si>
  <si>
    <t>c445_01_ci_F</t>
  </si>
  <si>
    <t>c445_01_p</t>
  </si>
  <si>
    <t>Promotion_c445_01_p</t>
  </si>
  <si>
    <t>c445_01_a</t>
  </si>
  <si>
    <t>Naninovel/Characters/c445_01</t>
  </si>
  <si>
    <t>c461_01_F</t>
  </si>
  <si>
    <t>c461_01_L</t>
  </si>
  <si>
    <t>c461_01_Desc</t>
  </si>
  <si>
    <t>c461_01_CV</t>
  </si>
  <si>
    <t>c461_01_ci_F</t>
  </si>
  <si>
    <t>c461_01_p</t>
  </si>
  <si>
    <t>Promotion_c461_01_p</t>
  </si>
  <si>
    <t>c461_01_a</t>
  </si>
  <si>
    <t>Naninovel/Characters/c461_01</t>
  </si>
  <si>
    <t>c283_01_F</t>
  </si>
  <si>
    <t>c283_01_L</t>
  </si>
  <si>
    <t>c283_01_Desc</t>
  </si>
  <si>
    <t>c283_01_CV</t>
  </si>
  <si>
    <t>c283_01_ci_F</t>
  </si>
  <si>
    <t>c283_01_p</t>
  </si>
  <si>
    <t>Promotion_c283_01_p</t>
  </si>
  <si>
    <t>c283_01_a</t>
  </si>
  <si>
    <t>Naninovel/Characters/c283_01</t>
  </si>
  <si>
    <t>c400_01_F</t>
  </si>
  <si>
    <t>c400_01_L</t>
  </si>
  <si>
    <t>c400_01_Desc</t>
  </si>
  <si>
    <t>c400_01_CV</t>
  </si>
  <si>
    <t>c400_01_ci_F</t>
  </si>
  <si>
    <t>c400_01_p</t>
  </si>
  <si>
    <t>Promotion_c400_01_p</t>
  </si>
  <si>
    <t>c400_01_a</t>
  </si>
  <si>
    <t>Naninovel/Characters/c400_01</t>
  </si>
  <si>
    <t>c447_01_F</t>
  </si>
  <si>
    <t>c447_01_L</t>
  </si>
  <si>
    <t>c447_01_Desc</t>
  </si>
  <si>
    <t>c447_01_CV</t>
  </si>
  <si>
    <t>c447_01_ci_F</t>
  </si>
  <si>
    <t>c447_01_p</t>
  </si>
  <si>
    <t>Promotion_c447_01_p</t>
  </si>
  <si>
    <t>c447_01_a</t>
  </si>
  <si>
    <t>Naninovel/Characters/c447_01</t>
  </si>
  <si>
    <t>c462_01_F</t>
  </si>
  <si>
    <t>c462_01_L</t>
  </si>
  <si>
    <t>c462_01_Desc</t>
  </si>
  <si>
    <t>c462_01_CV</t>
  </si>
  <si>
    <t>c462_01_ci_F</t>
  </si>
  <si>
    <t>c462_01_p</t>
  </si>
  <si>
    <t>Promotion_c462_01_p</t>
  </si>
  <si>
    <t>c462_01_a</t>
  </si>
  <si>
    <t>Naninovel/Characters/c462_01</t>
  </si>
  <si>
    <t>c281_01_F</t>
  </si>
  <si>
    <t>c281_01_L</t>
  </si>
  <si>
    <t>c281_01_Desc</t>
  </si>
  <si>
    <t>c281_01_CV</t>
  </si>
  <si>
    <t>c281_01_ci_F</t>
  </si>
  <si>
    <t>c281_01_p</t>
  </si>
  <si>
    <t>Promotion_c281_01_p</t>
  </si>
  <si>
    <t>c281_01_a</t>
  </si>
  <si>
    <t>Naninovel/Characters/c281_01</t>
  </si>
  <si>
    <t>c514_01_F</t>
  </si>
  <si>
    <t>c514_01_L</t>
  </si>
  <si>
    <t>c514_01_Desc</t>
  </si>
  <si>
    <t>c514_01_CV</t>
  </si>
  <si>
    <t>c514_01_ci_F</t>
  </si>
  <si>
    <t>c514_01_p</t>
  </si>
  <si>
    <t>Promotion_c514_01_p</t>
  </si>
  <si>
    <t>c514_01_a</t>
  </si>
  <si>
    <t>Naninovel/Characters/c514_01</t>
  </si>
  <si>
    <t>#캐릭터</t>
  </si>
  <si>
    <t>#SkillType</t>
  </si>
  <si>
    <t>#Name</t>
  </si>
  <si>
    <t>Front</t>
  </si>
  <si>
    <t>Back</t>
  </si>
  <si>
    <t>CutIn</t>
  </si>
  <si>
    <t>c003_a</t>
  </si>
  <si>
    <t>NULL</t>
  </si>
  <si>
    <t>c180_a</t>
  </si>
  <si>
    <t>c229_a</t>
  </si>
  <si>
    <t>c296_a</t>
  </si>
  <si>
    <t>c353_a</t>
  </si>
  <si>
    <t>c354_a</t>
  </si>
  <si>
    <t>c464_a</t>
  </si>
  <si>
    <t>m038_a</t>
  </si>
  <si>
    <t>m155_01_a</t>
  </si>
  <si>
    <t>m155_02_a</t>
  </si>
  <si>
    <t>m155_03_a</t>
  </si>
  <si>
    <t>m155_04_a</t>
  </si>
  <si>
    <t>m155_05_a</t>
  </si>
  <si>
    <t>m258_01_a</t>
  </si>
  <si>
    <t>m258_02_a</t>
  </si>
  <si>
    <t>m258_03_a</t>
  </si>
  <si>
    <t>m258_04_a</t>
  </si>
  <si>
    <t>m258_05_a</t>
  </si>
  <si>
    <t>c183_a</t>
  </si>
  <si>
    <t>c051_a</t>
  </si>
  <si>
    <t>c364_a</t>
  </si>
  <si>
    <t>m040_a</t>
  </si>
  <si>
    <t>m013_01_a</t>
  </si>
  <si>
    <t>m189_a</t>
  </si>
  <si>
    <t>m073_01_a</t>
  </si>
  <si>
    <t>m073_02_a</t>
  </si>
  <si>
    <t>m073_03_a</t>
  </si>
  <si>
    <t>m073_04_a</t>
  </si>
  <si>
    <t>m073_05_a</t>
  </si>
  <si>
    <t>m051_a</t>
  </si>
  <si>
    <t>c224_a</t>
  </si>
  <si>
    <t>c001_a</t>
  </si>
  <si>
    <t>m900_a</t>
  </si>
  <si>
    <t>m900_b</t>
  </si>
  <si>
    <t>m900_c</t>
  </si>
  <si>
    <t>m900_d</t>
  </si>
  <si>
    <t>m900_e</t>
  </si>
  <si>
    <t>c002_a</t>
  </si>
  <si>
    <t>c417_a</t>
  </si>
  <si>
    <t>c432_a</t>
  </si>
  <si>
    <t>c486_a</t>
  </si>
  <si>
    <t>c294_a</t>
  </si>
  <si>
    <t>c501_a</t>
  </si>
  <si>
    <t>c502_a</t>
  </si>
  <si>
    <t>c412_a</t>
  </si>
  <si>
    <t>c156_a</t>
  </si>
  <si>
    <t>c318_a</t>
  </si>
  <si>
    <t>c525_a</t>
  </si>
  <si>
    <t>c442_a</t>
  </si>
  <si>
    <t>c194_a</t>
  </si>
  <si>
    <t>c124_a</t>
  </si>
  <si>
    <t>m054_a</t>
  </si>
  <si>
    <t>m901_a</t>
  </si>
  <si>
    <t>c336_a</t>
  </si>
  <si>
    <t>c445_a</t>
  </si>
  <si>
    <t>c461_a</t>
  </si>
  <si>
    <t>c283_a</t>
  </si>
  <si>
    <t>c400_a</t>
  </si>
  <si>
    <t>c447_a</t>
  </si>
  <si>
    <t>c462_a</t>
  </si>
  <si>
    <t>c281_a</t>
  </si>
  <si>
    <t>c514_a</t>
  </si>
  <si>
    <t>Group</t>
  </si>
  <si>
    <t>Level</t>
  </si>
  <si>
    <t>HpRatio</t>
  </si>
  <si>
    <t>AtkRatio</t>
  </si>
  <si>
    <t>DefRatio</t>
  </si>
  <si>
    <t>RequireCategoryType</t>
  </si>
  <si>
    <t>RequireId</t>
  </si>
  <si>
    <t>RequireValue</t>
  </si>
  <si>
    <t>Item</t>
  </si>
  <si>
    <t>Cid</t>
  </si>
  <si>
    <t>StarGradeUp</t>
  </si>
  <si>
    <t>MaxSkillLevel</t>
  </si>
  <si>
    <t>SkillEnhanceType</t>
  </si>
  <si>
    <t>SkillEnhanceId</t>
  </si>
  <si>
    <t>ChildStat</t>
  </si>
  <si>
    <t>Value</t>
  </si>
  <si>
    <t>#등급</t>
  </si>
  <si>
    <t>Enum.SkillType</t>
  </si>
  <si>
    <t>InfoName</t>
  </si>
  <si>
    <t>InfoDesc</t>
  </si>
  <si>
    <t>child_profile_birthday</t>
  </si>
  <si>
    <t>child_profile_star</t>
  </si>
  <si>
    <t>child_profile_hobby</t>
  </si>
  <si>
    <t>child_profile_like</t>
  </si>
  <si>
    <t>child_profile_hate</t>
  </si>
  <si>
    <t>child_profile_etc</t>
  </si>
  <si>
    <t>#BaseSkin</t>
  </si>
  <si>
    <t>demeter.prefab</t>
  </si>
  <si>
    <t>hildr.prefab</t>
  </si>
  <si>
    <t>davi.prefab</t>
  </si>
  <si>
    <t>arhat.prefab</t>
  </si>
  <si>
    <t>charlotte.prefab</t>
  </si>
  <si>
    <t>brownie.prefab</t>
  </si>
  <si>
    <t>c180.prefab</t>
  </si>
  <si>
    <t>slime_r.prefab</t>
  </si>
  <si>
    <t>slime_g.prefab</t>
  </si>
  <si>
    <t>slime_b.prefab</t>
  </si>
  <si>
    <t>slime_v.prefab</t>
  </si>
  <si>
    <t>slimeking_r.prefab</t>
  </si>
  <si>
    <t>slimeking_g.prefab</t>
  </si>
  <si>
    <t>slimeking_b.prefab</t>
  </si>
  <si>
    <t>slimeking_v.prefab</t>
  </si>
  <si>
    <t>pixie_fire.prefab</t>
  </si>
  <si>
    <t>pixie_water.prefab</t>
  </si>
  <si>
    <t>pixie_forest.prefab</t>
  </si>
  <si>
    <t>pixie_light.prefab</t>
  </si>
  <si>
    <t>pixie_dark.prefab</t>
  </si>
  <si>
    <t>m038.prefab</t>
  </si>
  <si>
    <t>c000.prefab</t>
  </si>
  <si>
    <t>차일드 등급 별 진급에 필요한 조각 개수</t>
  </si>
  <si>
    <t>차일드 스탯 영점</t>
  </si>
  <si>
    <t xml:space="preserve">*진급 당 공/방(관)/체 10%씩 증가 </t>
  </si>
  <si>
    <t>*차일드 호감도 레벨업 당 공/방(관)/체 5%씩 증가</t>
  </si>
  <si>
    <t>R</t>
  </si>
  <si>
    <t>레벨</t>
  </si>
  <si>
    <t>공</t>
  </si>
  <si>
    <t>방/관</t>
  </si>
  <si>
    <t>체</t>
  </si>
  <si>
    <t>SR</t>
  </si>
  <si>
    <t>SSR</t>
  </si>
  <si>
    <t>c532</t>
  </si>
  <si>
    <t>c448</t>
  </si>
  <si>
    <t>c485</t>
  </si>
  <si>
    <t>c429</t>
  </si>
  <si>
    <t>c562</t>
  </si>
  <si>
    <t>c549</t>
  </si>
  <si>
    <t>c468</t>
  </si>
  <si>
    <t>c601</t>
  </si>
  <si>
    <t>c473</t>
  </si>
  <si>
    <t>c455</t>
  </si>
  <si>
    <t>c438</t>
  </si>
  <si>
    <t>c600</t>
  </si>
  <si>
    <t>c533</t>
  </si>
  <si>
    <t>c537</t>
  </si>
  <si>
    <t>c167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</si>
</sst>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0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3" borderId="0" xfId="0" applyFont="1" applyFill="1">
      <alignment vertical="center"/>
    </xf>
    <xf numFmtId="0" fontId="0" fillId="3" borderId="0" xfId="0" applyFill="1">
      <alignment vertical="center"/>
    </xf>
    <xf numFmtId="0" fontId="4" fillId="2" borderId="0" xfId="0" applyFont="1" applyFill="1">
      <alignment vertical="center"/>
    </xf>
    <xf numFmtId="0" fontId="3" fillId="2" borderId="2" xfId="0" applyFont="1" applyFill="1" applyBorder="1">
      <alignment vertical="center"/>
    </xf>
    <xf numFmtId="0" fontId="3" fillId="2" borderId="3" xfId="0" applyFont="1" applyFill="1" applyBorder="1">
      <alignment vertical="center"/>
    </xf>
    <xf numFmtId="0" fontId="0" fillId="0" borderId="3" xfId="0" applyBorder="1">
      <alignment vertical="center"/>
    </xf>
    <xf numFmtId="0" fontId="2" fillId="3" borderId="4" xfId="0" applyFont="1" applyFill="1" applyBorder="1">
      <alignment vertical="center"/>
    </xf>
    <xf numFmtId="0" fontId="2" fillId="3" borderId="5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0" fillId="0" borderId="1" xfId="0" applyBorder="1">
      <alignment vertical="center"/>
    </xf>
    <xf numFmtId="0" fontId="4" fillId="2" borderId="3" xfId="0" applyFont="1" applyFill="1" applyBorder="1">
      <alignment vertical="center"/>
    </xf>
    <xf numFmtId="0" fontId="0" fillId="3" borderId="1" xfId="0" applyFill="1" applyBorder="1">
      <alignment vertical="center"/>
    </xf>
    <xf numFmtId="0" fontId="5" fillId="3" borderId="4" xfId="0" applyFont="1" applyFill="1" applyBorder="1">
      <alignment vertical="center"/>
    </xf>
    <xf numFmtId="0" fontId="5" fillId="3" borderId="5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5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6" fillId="2" borderId="0" xfId="0" applyFont="1" applyFill="1">
      <alignment vertical="center"/>
    </xf>
    <xf numFmtId="0" fontId="5" fillId="3" borderId="0" xfId="0" applyFont="1" applyFill="1">
      <alignment vertical="center"/>
    </xf>
    <xf numFmtId="0" fontId="5" fillId="0" borderId="0" xfId="0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2" fillId="0" borderId="4" xfId="0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5" fillId="0" borderId="6" xfId="0" applyFont="1" applyBorder="1">
      <alignment vertical="center"/>
    </xf>
    <xf numFmtId="0" fontId="0" fillId="0" borderId="6" xfId="0" applyBorder="1">
      <alignment vertical="center"/>
    </xf>
    <xf numFmtId="0" fontId="5" fillId="4" borderId="0" xfId="0" applyFont="1" applyFill="1">
      <alignment vertical="center"/>
    </xf>
    <xf numFmtId="0" fontId="2" fillId="5" borderId="0" xfId="0" applyFont="1" applyFill="1">
      <alignment vertical="center"/>
    </xf>
    <xf numFmtId="0" fontId="2" fillId="6" borderId="0" xfId="0" applyFont="1" applyFill="1">
      <alignment vertical="center"/>
    </xf>
    <xf numFmtId="0" fontId="2" fillId="7" borderId="0" xfId="0" applyFont="1" applyFill="1">
      <alignment vertical="center"/>
    </xf>
    <xf numFmtId="0" fontId="2" fillId="8" borderId="0" xfId="0" applyFont="1" applyFill="1">
      <alignment vertical="center"/>
    </xf>
    <xf numFmtId="0" fontId="2" fillId="9" borderId="0" xfId="0" applyFont="1" applyFill="1">
      <alignment vertical="center"/>
    </xf>
    <xf numFmtId="0" fontId="5" fillId="0" borderId="6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>
      <alignment vertical="center"/>
    </xf>
    <xf numFmtId="0" fontId="5" fillId="4" borderId="0" xfId="0" applyFont="1" applyFill="1" applyAlignment="1">
      <alignment horizontal="center" vertical="center"/>
    </xf>
    <xf numFmtId="0" fontId="0" fillId="4" borderId="0" xfId="0" applyFill="1">
      <alignment vertical="center"/>
    </xf>
    <xf numFmtId="0" fontId="0" fillId="4" borderId="6" xfId="0" applyFill="1" applyBorder="1">
      <alignment vertical="center"/>
    </xf>
    <xf numFmtId="0" fontId="5" fillId="4" borderId="1" xfId="0" applyFont="1" applyFill="1" applyBorder="1">
      <alignment vertical="center"/>
    </xf>
    <xf numFmtId="0" fontId="5" fillId="4" borderId="1" xfId="0" applyFont="1" applyFill="1" applyBorder="1" applyAlignment="1">
      <alignment horizontal="center" vertical="center"/>
    </xf>
    <xf numFmtId="0" fontId="0" fillId="4" borderId="1" xfId="0" applyFill="1" applyBorder="1">
      <alignment vertical="center"/>
    </xf>
    <xf numFmtId="0" fontId="5" fillId="4" borderId="6" xfId="0" applyFont="1" applyFill="1" applyBorder="1">
      <alignment vertical="center"/>
    </xf>
    <xf numFmtId="0" fontId="5" fillId="4" borderId="6" xfId="0" applyFont="1" applyFill="1" applyBorder="1" applyAlignment="1">
      <alignment horizontal="center" vertical="center"/>
    </xf>
    <xf numFmtId="0" fontId="5" fillId="10" borderId="1" xfId="0" applyFont="1" applyFill="1" applyBorder="1">
      <alignment vertical="center"/>
    </xf>
    <xf numFmtId="0" fontId="4" fillId="11" borderId="0" xfId="0" applyFont="1" applyFill="1">
      <alignment vertical="center"/>
    </xf>
    <xf numFmtId="0" fontId="0" fillId="11" borderId="0" xfId="0" applyFill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12" borderId="7" xfId="0" applyFill="1" applyBorder="1" applyAlignment="1">
      <alignment horizontal="center" vertical="center"/>
    </xf>
    <xf numFmtId="0" fontId="0" fillId="13" borderId="0" xfId="0" applyFill="1">
      <alignment vertical="center"/>
    </xf>
    <xf numFmtId="1" fontId="0" fillId="0" borderId="7" xfId="0" applyNumberFormat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5" fillId="3" borderId="3" xfId="0" applyFont="1" applyFill="1" applyBorder="1">
      <alignment vertical="center"/>
    </xf>
    <xf numFmtId="0" fontId="5" fillId="3" borderId="3" xfId="0" applyFont="1" applyFill="1" applyBorder="1" applyAlignment="1">
      <alignment horizontal="center" vertical="center"/>
    </xf>
    <xf numFmtId="0" fontId="2" fillId="0" borderId="3" xfId="0" applyFont="1" applyBorder="1">
      <alignment vertical="center"/>
    </xf>
    <xf numFmtId="0" fontId="0" fillId="0" borderId="0" xfId="0" applyAlignment="1"/>
    <xf numFmtId="0" fontId="5" fillId="0" borderId="0" xfId="0" applyFont="1" applyAlignment="1">
      <alignment vertical="center" wrapText="1"/>
    </xf>
    <xf numFmtId="0" fontId="5" fillId="0" borderId="0" xfId="0" applyFont="1">
      <alignment vertical="center"/>
    </xf>
    <xf numFmtId="0" fontId="5" fillId="0" borderId="0" xfId="0" applyFont="1" applyBorder="1" applyAlignment="1">
      <alignment horizontal="center" vertical="center"/>
    </xf>
  </cellXfs>
  <cellStyles count="1">
    <cellStyle name="표준" xfId="0" builtinId="0"/>
  </cellStyles>
  <dxfs count="53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CC00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04"/>
  <sheetViews>
    <sheetView workbookViewId="0">
      <selection activeCell="C9" sqref="C9"/>
    </sheetView>
  </sheetViews>
  <sheetFormatPr defaultRowHeight="16.5" x14ac:dyDescent="0.3"/>
  <cols>
    <col min="1" max="1" width="10.625" style="17" customWidth="1"/>
    <col min="2" max="2" width="15.125" style="17" customWidth="1"/>
    <col min="3" max="3" width="72.25" style="17" customWidth="1"/>
  </cols>
  <sheetData>
    <row r="2" spans="1:3" x14ac:dyDescent="0.3">
      <c r="A2" s="4" t="s">
        <v>165</v>
      </c>
      <c r="B2" s="20"/>
      <c r="C2" s="20"/>
    </row>
    <row r="3" spans="1:3" x14ac:dyDescent="0.3">
      <c r="A3" s="18" t="s">
        <v>166</v>
      </c>
      <c r="B3" s="18" t="s">
        <v>167</v>
      </c>
      <c r="C3" s="18" t="s">
        <v>168</v>
      </c>
    </row>
    <row r="4" spans="1:3" x14ac:dyDescent="0.3">
      <c r="A4" s="19" t="s">
        <v>0</v>
      </c>
      <c r="B4" s="19" t="s">
        <v>169</v>
      </c>
      <c r="C4" s="19" t="s">
        <v>170</v>
      </c>
    </row>
    <row r="5" spans="1:3" x14ac:dyDescent="0.3">
      <c r="A5" s="67" t="s">
        <v>4</v>
      </c>
      <c r="B5" s="67" t="s">
        <v>171</v>
      </c>
      <c r="C5" s="19" t="s">
        <v>172</v>
      </c>
    </row>
    <row r="6" spans="1:3" x14ac:dyDescent="0.3">
      <c r="A6" s="68"/>
      <c r="B6" s="68"/>
      <c r="C6" s="19" t="s">
        <v>173</v>
      </c>
    </row>
    <row r="7" spans="1:3" x14ac:dyDescent="0.3">
      <c r="A7" s="67" t="s">
        <v>174</v>
      </c>
      <c r="B7" s="67" t="s">
        <v>171</v>
      </c>
      <c r="C7" s="19" t="s">
        <v>175</v>
      </c>
    </row>
    <row r="8" spans="1:3" x14ac:dyDescent="0.3">
      <c r="A8" s="68"/>
      <c r="B8" s="68"/>
      <c r="C8" s="19" t="s">
        <v>176</v>
      </c>
    </row>
    <row r="9" spans="1:3" x14ac:dyDescent="0.3">
      <c r="A9" s="68"/>
      <c r="B9" s="68"/>
      <c r="C9" s="19" t="s">
        <v>177</v>
      </c>
    </row>
    <row r="10" spans="1:3" x14ac:dyDescent="0.3">
      <c r="A10" s="19" t="s">
        <v>178</v>
      </c>
      <c r="B10" s="19" t="s">
        <v>171</v>
      </c>
      <c r="C10" s="19" t="s">
        <v>179</v>
      </c>
    </row>
    <row r="11" spans="1:3" x14ac:dyDescent="0.3">
      <c r="A11" s="19" t="s">
        <v>180</v>
      </c>
      <c r="B11" s="19" t="s">
        <v>171</v>
      </c>
      <c r="C11" s="19" t="s">
        <v>181</v>
      </c>
    </row>
    <row r="12" spans="1:3" x14ac:dyDescent="0.3">
      <c r="A12" s="19"/>
      <c r="B12" s="19"/>
      <c r="C12" s="19"/>
    </row>
    <row r="13" spans="1:3" x14ac:dyDescent="0.3">
      <c r="A13" s="19"/>
      <c r="B13" s="19"/>
      <c r="C13" s="19"/>
    </row>
    <row r="15" spans="1:3" x14ac:dyDescent="0.3">
      <c r="A15" s="4" t="s">
        <v>182</v>
      </c>
      <c r="B15" s="4"/>
      <c r="C15" s="4"/>
    </row>
    <row r="16" spans="1:3" x14ac:dyDescent="0.3">
      <c r="A16" s="18" t="s">
        <v>166</v>
      </c>
      <c r="B16" s="18" t="s">
        <v>167</v>
      </c>
      <c r="C16" s="18" t="s">
        <v>168</v>
      </c>
    </row>
    <row r="17" spans="1:3" x14ac:dyDescent="0.3">
      <c r="A17" s="19" t="s">
        <v>0</v>
      </c>
      <c r="B17" s="19" t="s">
        <v>169</v>
      </c>
      <c r="C17" s="19" t="s">
        <v>170</v>
      </c>
    </row>
    <row r="18" spans="1:3" x14ac:dyDescent="0.3">
      <c r="A18" s="19" t="s">
        <v>183</v>
      </c>
      <c r="B18" s="19" t="s">
        <v>169</v>
      </c>
      <c r="C18" s="19" t="s">
        <v>184</v>
      </c>
    </row>
    <row r="19" spans="1:3" x14ac:dyDescent="0.3">
      <c r="A19" s="67" t="s">
        <v>4</v>
      </c>
      <c r="B19" s="67" t="s">
        <v>171</v>
      </c>
      <c r="C19" s="19" t="s">
        <v>172</v>
      </c>
    </row>
    <row r="20" spans="1:3" x14ac:dyDescent="0.3">
      <c r="A20" s="68"/>
      <c r="B20" s="68"/>
      <c r="C20" s="19" t="s">
        <v>173</v>
      </c>
    </row>
    <row r="21" spans="1:3" x14ac:dyDescent="0.3">
      <c r="A21" s="67" t="s">
        <v>185</v>
      </c>
      <c r="B21" s="67" t="s">
        <v>186</v>
      </c>
      <c r="C21" s="19" t="s">
        <v>187</v>
      </c>
    </row>
    <row r="22" spans="1:3" x14ac:dyDescent="0.3">
      <c r="A22" s="68"/>
      <c r="B22" s="68"/>
      <c r="C22" s="19" t="s">
        <v>188</v>
      </c>
    </row>
    <row r="23" spans="1:3" x14ac:dyDescent="0.3">
      <c r="A23" s="68"/>
      <c r="B23" s="68"/>
      <c r="C23" s="19" t="s">
        <v>189</v>
      </c>
    </row>
    <row r="24" spans="1:3" x14ac:dyDescent="0.3">
      <c r="A24" s="68"/>
      <c r="B24" s="68"/>
      <c r="C24" s="19" t="s">
        <v>190</v>
      </c>
    </row>
    <row r="25" spans="1:3" x14ac:dyDescent="0.3">
      <c r="A25" s="68"/>
      <c r="B25" s="68"/>
      <c r="C25" s="19" t="s">
        <v>191</v>
      </c>
    </row>
    <row r="26" spans="1:3" x14ac:dyDescent="0.3">
      <c r="A26" s="67" t="s">
        <v>12</v>
      </c>
      <c r="B26" s="67" t="s">
        <v>192</v>
      </c>
      <c r="C26" s="19" t="s">
        <v>193</v>
      </c>
    </row>
    <row r="27" spans="1:3" x14ac:dyDescent="0.3">
      <c r="A27" s="68"/>
      <c r="B27" s="68"/>
      <c r="C27" s="19" t="s">
        <v>188</v>
      </c>
    </row>
    <row r="28" spans="1:3" x14ac:dyDescent="0.3">
      <c r="A28" s="68"/>
      <c r="B28" s="68"/>
      <c r="C28" s="19" t="s">
        <v>194</v>
      </c>
    </row>
    <row r="29" spans="1:3" x14ac:dyDescent="0.3">
      <c r="A29" s="68"/>
      <c r="B29" s="68"/>
      <c r="C29" s="19" t="s">
        <v>195</v>
      </c>
    </row>
    <row r="30" spans="1:3" x14ac:dyDescent="0.3">
      <c r="A30" s="68"/>
      <c r="B30" s="68"/>
      <c r="C30" s="19" t="s">
        <v>196</v>
      </c>
    </row>
    <row r="31" spans="1:3" x14ac:dyDescent="0.3">
      <c r="A31" s="68"/>
      <c r="B31" s="68"/>
      <c r="C31" s="19" t="s">
        <v>197</v>
      </c>
    </row>
    <row r="32" spans="1:3" x14ac:dyDescent="0.3">
      <c r="A32" s="68"/>
      <c r="B32" s="68"/>
      <c r="C32" s="19" t="s">
        <v>198</v>
      </c>
    </row>
    <row r="33" spans="1:3" x14ac:dyDescent="0.3">
      <c r="A33" s="67" t="s">
        <v>13</v>
      </c>
      <c r="B33" s="67" t="s">
        <v>199</v>
      </c>
      <c r="C33" s="19" t="s">
        <v>200</v>
      </c>
    </row>
    <row r="34" spans="1:3" x14ac:dyDescent="0.3">
      <c r="A34" s="68"/>
      <c r="B34" s="68"/>
      <c r="C34" s="19" t="s">
        <v>188</v>
      </c>
    </row>
    <row r="35" spans="1:3" x14ac:dyDescent="0.3">
      <c r="A35" s="68"/>
      <c r="B35" s="68"/>
      <c r="C35" s="19" t="s">
        <v>201</v>
      </c>
    </row>
    <row r="36" spans="1:3" x14ac:dyDescent="0.3">
      <c r="A36" s="68"/>
      <c r="B36" s="68"/>
      <c r="C36" s="19" t="s">
        <v>202</v>
      </c>
    </row>
    <row r="37" spans="1:3" x14ac:dyDescent="0.3">
      <c r="A37" s="68"/>
      <c r="B37" s="68"/>
      <c r="C37" s="19" t="s">
        <v>203</v>
      </c>
    </row>
    <row r="38" spans="1:3" x14ac:dyDescent="0.3">
      <c r="A38" s="68"/>
      <c r="B38" s="68"/>
      <c r="C38" s="19" t="s">
        <v>204</v>
      </c>
    </row>
    <row r="39" spans="1:3" ht="16.5" customHeight="1" x14ac:dyDescent="0.3">
      <c r="A39" s="67" t="s">
        <v>20</v>
      </c>
      <c r="B39" s="67" t="s">
        <v>205</v>
      </c>
      <c r="C39" s="19" t="s">
        <v>206</v>
      </c>
    </row>
    <row r="40" spans="1:3" x14ac:dyDescent="0.3">
      <c r="A40" s="68"/>
      <c r="B40" s="68"/>
      <c r="C40" s="19" t="s">
        <v>207</v>
      </c>
    </row>
    <row r="41" spans="1:3" x14ac:dyDescent="0.3">
      <c r="A41" s="67" t="s">
        <v>21</v>
      </c>
      <c r="B41" s="67" t="s">
        <v>169</v>
      </c>
      <c r="C41" s="19" t="s">
        <v>208</v>
      </c>
    </row>
    <row r="42" spans="1:3" x14ac:dyDescent="0.3">
      <c r="A42" s="68"/>
      <c r="B42" s="68"/>
      <c r="C42" s="19" t="s">
        <v>209</v>
      </c>
    </row>
    <row r="43" spans="1:3" x14ac:dyDescent="0.3">
      <c r="A43" s="68"/>
      <c r="B43" s="68"/>
      <c r="C43" s="19" t="s">
        <v>210</v>
      </c>
    </row>
    <row r="44" spans="1:3" x14ac:dyDescent="0.3">
      <c r="A44" s="67" t="s">
        <v>22</v>
      </c>
      <c r="B44" s="67" t="s">
        <v>169</v>
      </c>
      <c r="C44" s="19" t="s">
        <v>211</v>
      </c>
    </row>
    <row r="45" spans="1:3" x14ac:dyDescent="0.3">
      <c r="A45" s="68"/>
      <c r="B45" s="68"/>
      <c r="C45" s="19" t="s">
        <v>212</v>
      </c>
    </row>
    <row r="46" spans="1:3" x14ac:dyDescent="0.3">
      <c r="A46" s="68"/>
      <c r="B46" s="68"/>
      <c r="C46" s="19" t="s">
        <v>213</v>
      </c>
    </row>
    <row r="47" spans="1:3" x14ac:dyDescent="0.3">
      <c r="A47" s="68"/>
      <c r="B47" s="68"/>
      <c r="C47" s="19" t="s">
        <v>210</v>
      </c>
    </row>
    <row r="51" spans="1:3" x14ac:dyDescent="0.3">
      <c r="A51" s="4" t="s">
        <v>214</v>
      </c>
      <c r="B51" s="4"/>
      <c r="C51" s="4"/>
    </row>
    <row r="52" spans="1:3" x14ac:dyDescent="0.3">
      <c r="A52" s="18" t="s">
        <v>166</v>
      </c>
      <c r="B52" s="18" t="s">
        <v>167</v>
      </c>
      <c r="C52" s="18" t="s">
        <v>168</v>
      </c>
    </row>
    <row r="53" spans="1:3" x14ac:dyDescent="0.3">
      <c r="A53" s="19" t="s">
        <v>0</v>
      </c>
      <c r="B53" s="19" t="s">
        <v>169</v>
      </c>
      <c r="C53" s="19" t="s">
        <v>170</v>
      </c>
    </row>
    <row r="54" spans="1:3" x14ac:dyDescent="0.3">
      <c r="A54" s="19" t="s">
        <v>183</v>
      </c>
      <c r="B54" s="19" t="s">
        <v>169</v>
      </c>
      <c r="C54" s="19" t="s">
        <v>184</v>
      </c>
    </row>
    <row r="55" spans="1:3" x14ac:dyDescent="0.3">
      <c r="A55" s="67" t="s">
        <v>4</v>
      </c>
      <c r="B55" s="67" t="s">
        <v>171</v>
      </c>
      <c r="C55" s="19" t="s">
        <v>172</v>
      </c>
    </row>
    <row r="56" spans="1:3" x14ac:dyDescent="0.3">
      <c r="A56" s="68"/>
      <c r="B56" s="68"/>
      <c r="C56" s="19" t="s">
        <v>173</v>
      </c>
    </row>
    <row r="57" spans="1:3" x14ac:dyDescent="0.3">
      <c r="A57" s="67" t="s">
        <v>7</v>
      </c>
      <c r="B57" s="67" t="s">
        <v>215</v>
      </c>
      <c r="C57" s="19" t="s">
        <v>216</v>
      </c>
    </row>
    <row r="58" spans="1:3" x14ac:dyDescent="0.3">
      <c r="A58" s="68"/>
      <c r="B58" s="68"/>
      <c r="C58" s="19" t="s">
        <v>188</v>
      </c>
    </row>
    <row r="59" spans="1:3" x14ac:dyDescent="0.3">
      <c r="A59" s="68"/>
      <c r="B59" s="68"/>
      <c r="C59" s="19" t="s">
        <v>217</v>
      </c>
    </row>
    <row r="60" spans="1:3" x14ac:dyDescent="0.3">
      <c r="A60" s="68"/>
      <c r="B60" s="68"/>
      <c r="C60" s="19" t="s">
        <v>218</v>
      </c>
    </row>
    <row r="61" spans="1:3" x14ac:dyDescent="0.3">
      <c r="A61" s="67" t="s">
        <v>6</v>
      </c>
      <c r="B61" s="67" t="s">
        <v>219</v>
      </c>
      <c r="C61" s="19" t="s">
        <v>220</v>
      </c>
    </row>
    <row r="62" spans="1:3" x14ac:dyDescent="0.3">
      <c r="A62" s="68"/>
      <c r="B62" s="68"/>
      <c r="C62" s="19" t="s">
        <v>188</v>
      </c>
    </row>
    <row r="63" spans="1:3" x14ac:dyDescent="0.3">
      <c r="A63" s="68"/>
      <c r="B63" s="68"/>
      <c r="C63" s="19" t="s">
        <v>221</v>
      </c>
    </row>
    <row r="64" spans="1:3" x14ac:dyDescent="0.3">
      <c r="A64" s="68"/>
      <c r="B64" s="68"/>
      <c r="C64" s="19" t="s">
        <v>222</v>
      </c>
    </row>
    <row r="65" spans="1:3" x14ac:dyDescent="0.3">
      <c r="A65" s="67" t="s">
        <v>12</v>
      </c>
      <c r="B65" s="67" t="s">
        <v>192</v>
      </c>
      <c r="C65" s="19" t="s">
        <v>193</v>
      </c>
    </row>
    <row r="66" spans="1:3" x14ac:dyDescent="0.3">
      <c r="A66" s="68"/>
      <c r="B66" s="68"/>
      <c r="C66" s="19" t="s">
        <v>188</v>
      </c>
    </row>
    <row r="67" spans="1:3" x14ac:dyDescent="0.3">
      <c r="A67" s="68"/>
      <c r="B67" s="68"/>
      <c r="C67" s="19" t="s">
        <v>194</v>
      </c>
    </row>
    <row r="68" spans="1:3" x14ac:dyDescent="0.3">
      <c r="A68" s="68"/>
      <c r="B68" s="68"/>
      <c r="C68" s="19" t="s">
        <v>195</v>
      </c>
    </row>
    <row r="69" spans="1:3" x14ac:dyDescent="0.3">
      <c r="A69" s="68"/>
      <c r="B69" s="68"/>
      <c r="C69" s="19" t="s">
        <v>196</v>
      </c>
    </row>
    <row r="70" spans="1:3" x14ac:dyDescent="0.3">
      <c r="A70" s="68"/>
      <c r="B70" s="68"/>
      <c r="C70" s="19" t="s">
        <v>197</v>
      </c>
    </row>
    <row r="71" spans="1:3" x14ac:dyDescent="0.3">
      <c r="A71" s="68"/>
      <c r="B71" s="68"/>
      <c r="C71" s="19" t="s">
        <v>198</v>
      </c>
    </row>
    <row r="72" spans="1:3" x14ac:dyDescent="0.3">
      <c r="A72" s="67" t="s">
        <v>13</v>
      </c>
      <c r="B72" s="67" t="s">
        <v>199</v>
      </c>
      <c r="C72" s="19" t="s">
        <v>200</v>
      </c>
    </row>
    <row r="73" spans="1:3" x14ac:dyDescent="0.3">
      <c r="A73" s="68"/>
      <c r="B73" s="68"/>
      <c r="C73" s="19" t="s">
        <v>188</v>
      </c>
    </row>
    <row r="74" spans="1:3" x14ac:dyDescent="0.3">
      <c r="A74" s="68"/>
      <c r="B74" s="68"/>
      <c r="C74" s="19" t="s">
        <v>201</v>
      </c>
    </row>
    <row r="75" spans="1:3" x14ac:dyDescent="0.3">
      <c r="A75" s="68"/>
      <c r="B75" s="68"/>
      <c r="C75" s="19" t="s">
        <v>202</v>
      </c>
    </row>
    <row r="76" spans="1:3" x14ac:dyDescent="0.3">
      <c r="A76" s="68"/>
      <c r="B76" s="68"/>
      <c r="C76" s="19" t="s">
        <v>203</v>
      </c>
    </row>
    <row r="77" spans="1:3" x14ac:dyDescent="0.3">
      <c r="A77" s="68"/>
      <c r="B77" s="68"/>
      <c r="C77" s="19" t="s">
        <v>204</v>
      </c>
    </row>
    <row r="78" spans="1:3" ht="16.5" customHeight="1" x14ac:dyDescent="0.3">
      <c r="A78" s="67" t="s">
        <v>20</v>
      </c>
      <c r="B78" s="67" t="s">
        <v>205</v>
      </c>
      <c r="C78" s="19" t="s">
        <v>206</v>
      </c>
    </row>
    <row r="79" spans="1:3" x14ac:dyDescent="0.3">
      <c r="A79" s="68"/>
      <c r="B79" s="68"/>
      <c r="C79" s="19" t="s">
        <v>207</v>
      </c>
    </row>
    <row r="80" spans="1:3" x14ac:dyDescent="0.3">
      <c r="A80" s="67" t="s">
        <v>21</v>
      </c>
      <c r="B80" s="67" t="s">
        <v>169</v>
      </c>
      <c r="C80" s="19" t="s">
        <v>208</v>
      </c>
    </row>
    <row r="81" spans="1:3" x14ac:dyDescent="0.3">
      <c r="A81" s="68"/>
      <c r="B81" s="68"/>
      <c r="C81" s="19" t="s">
        <v>209</v>
      </c>
    </row>
    <row r="82" spans="1:3" x14ac:dyDescent="0.3">
      <c r="A82" s="68"/>
      <c r="B82" s="68"/>
      <c r="C82" s="19" t="s">
        <v>210</v>
      </c>
    </row>
    <row r="83" spans="1:3" x14ac:dyDescent="0.3">
      <c r="A83" s="67" t="s">
        <v>22</v>
      </c>
      <c r="B83" s="67" t="s">
        <v>169</v>
      </c>
      <c r="C83" s="19" t="s">
        <v>211</v>
      </c>
    </row>
    <row r="84" spans="1:3" x14ac:dyDescent="0.3">
      <c r="A84" s="68"/>
      <c r="B84" s="68"/>
      <c r="C84" s="19" t="s">
        <v>212</v>
      </c>
    </row>
    <row r="85" spans="1:3" x14ac:dyDescent="0.3">
      <c r="A85" s="68"/>
      <c r="B85" s="68"/>
      <c r="C85" s="19" t="s">
        <v>213</v>
      </c>
    </row>
    <row r="86" spans="1:3" x14ac:dyDescent="0.3">
      <c r="A86" s="68"/>
      <c r="B86" s="68"/>
      <c r="C86" s="19" t="s">
        <v>210</v>
      </c>
    </row>
    <row r="90" spans="1:3" x14ac:dyDescent="0.3">
      <c r="A90" s="4" t="s">
        <v>223</v>
      </c>
      <c r="B90" s="4"/>
      <c r="C90" s="4"/>
    </row>
    <row r="91" spans="1:3" x14ac:dyDescent="0.3">
      <c r="A91" s="18" t="s">
        <v>166</v>
      </c>
      <c r="B91" s="18" t="s">
        <v>167</v>
      </c>
      <c r="C91" s="18" t="s">
        <v>168</v>
      </c>
    </row>
    <row r="92" spans="1:3" x14ac:dyDescent="0.3">
      <c r="A92" s="19" t="s">
        <v>0</v>
      </c>
      <c r="B92" s="19" t="s">
        <v>169</v>
      </c>
      <c r="C92" s="19" t="s">
        <v>224</v>
      </c>
    </row>
    <row r="93" spans="1:3" x14ac:dyDescent="0.3">
      <c r="A93" s="19" t="s">
        <v>20</v>
      </c>
      <c r="B93" s="19" t="s">
        <v>205</v>
      </c>
      <c r="C93" s="19" t="s">
        <v>225</v>
      </c>
    </row>
    <row r="94" spans="1:3" x14ac:dyDescent="0.3">
      <c r="A94" s="67" t="s">
        <v>226</v>
      </c>
      <c r="B94" s="67" t="s">
        <v>169</v>
      </c>
      <c r="C94" s="19" t="s">
        <v>227</v>
      </c>
    </row>
    <row r="95" spans="1:3" x14ac:dyDescent="0.3">
      <c r="A95" s="68"/>
      <c r="B95" s="68"/>
      <c r="C95" s="19" t="s">
        <v>228</v>
      </c>
    </row>
    <row r="96" spans="1:3" x14ac:dyDescent="0.3">
      <c r="A96" s="68"/>
      <c r="B96" s="68"/>
      <c r="C96" s="19" t="s">
        <v>229</v>
      </c>
    </row>
    <row r="101" spans="1:3" x14ac:dyDescent="0.3">
      <c r="A101" s="4" t="s">
        <v>230</v>
      </c>
      <c r="B101" s="22"/>
      <c r="C101" s="22"/>
    </row>
    <row r="102" spans="1:3" x14ac:dyDescent="0.3">
      <c r="A102" s="18" t="s">
        <v>166</v>
      </c>
      <c r="B102" s="18" t="s">
        <v>167</v>
      </c>
      <c r="C102" s="18" t="s">
        <v>168</v>
      </c>
    </row>
    <row r="103" spans="1:3" x14ac:dyDescent="0.3">
      <c r="A103" s="19" t="s">
        <v>0</v>
      </c>
      <c r="B103" s="19" t="s">
        <v>169</v>
      </c>
      <c r="C103" s="19" t="s">
        <v>224</v>
      </c>
    </row>
    <row r="104" spans="1:3" x14ac:dyDescent="0.3">
      <c r="A104" s="19" t="s">
        <v>231</v>
      </c>
      <c r="B104" s="19" t="s">
        <v>169</v>
      </c>
      <c r="C104" s="19" t="s">
        <v>232</v>
      </c>
    </row>
  </sheetData>
  <mergeCells count="36">
    <mergeCell ref="A61:A64"/>
    <mergeCell ref="A78:A79"/>
    <mergeCell ref="B72:B77"/>
    <mergeCell ref="B80:B82"/>
    <mergeCell ref="B39:B40"/>
    <mergeCell ref="B65:B71"/>
    <mergeCell ref="B61:B64"/>
    <mergeCell ref="A55:A56"/>
    <mergeCell ref="B78:B79"/>
    <mergeCell ref="B7:B9"/>
    <mergeCell ref="B41:B43"/>
    <mergeCell ref="B57:B60"/>
    <mergeCell ref="B19:B20"/>
    <mergeCell ref="A21:A25"/>
    <mergeCell ref="A26:A32"/>
    <mergeCell ref="B44:B47"/>
    <mergeCell ref="B26:B32"/>
    <mergeCell ref="B83:B86"/>
    <mergeCell ref="B55:B56"/>
    <mergeCell ref="B94:B96"/>
    <mergeCell ref="A94:A96"/>
    <mergeCell ref="A41:A43"/>
    <mergeCell ref="A33:A38"/>
    <mergeCell ref="A57:A60"/>
    <mergeCell ref="B5:B6"/>
    <mergeCell ref="B33:B38"/>
    <mergeCell ref="A19:A20"/>
    <mergeCell ref="A44:A47"/>
    <mergeCell ref="A7:A9"/>
    <mergeCell ref="B21:B25"/>
    <mergeCell ref="A83:A86"/>
    <mergeCell ref="A39:A40"/>
    <mergeCell ref="A65:A71"/>
    <mergeCell ref="A72:A77"/>
    <mergeCell ref="A80:A82"/>
    <mergeCell ref="A5:A6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73"/>
  <sheetViews>
    <sheetView tabSelected="1" workbookViewId="0">
      <selection activeCell="R17" sqref="R17"/>
    </sheetView>
  </sheetViews>
  <sheetFormatPr defaultRowHeight="16.5" outlineLevelCol="1" x14ac:dyDescent="0.3"/>
  <cols>
    <col min="1" max="1" width="9" style="1" customWidth="1"/>
    <col min="2" max="2" width="12.75" style="1" bestFit="1" customWidth="1"/>
    <col min="3" max="3" width="6.75" style="1" customWidth="1"/>
    <col min="4" max="4" width="9.75" style="1" customWidth="1"/>
    <col min="5" max="5" width="20.625" style="1" customWidth="1"/>
    <col min="6" max="6" width="19.875" style="1" customWidth="1"/>
    <col min="7" max="7" width="10.625" style="17" customWidth="1"/>
    <col min="8" max="8" width="9" style="17" customWidth="1"/>
    <col min="9" max="11" width="11.375" style="17" customWidth="1"/>
    <col min="12" max="14" width="9" style="1" customWidth="1"/>
    <col min="15" max="15" width="11.875" style="1" customWidth="1"/>
    <col min="16" max="16" width="6.5" style="1" customWidth="1"/>
    <col min="17" max="20" width="6.125" style="1" customWidth="1"/>
    <col min="21" max="21" width="9.125" style="1" bestFit="1" customWidth="1" outlineLevel="1"/>
    <col min="22" max="22" width="8.5" style="1" bestFit="1" customWidth="1" outlineLevel="1"/>
    <col min="23" max="23" width="9.125" style="1" bestFit="1" customWidth="1" outlineLevel="1"/>
    <col min="24" max="24" width="8.5" style="1" bestFit="1" customWidth="1" outlineLevel="1"/>
    <col min="25" max="25" width="9.125" style="1" bestFit="1" customWidth="1" outlineLevel="1"/>
    <col min="26" max="26" width="8.5" style="1" bestFit="1" customWidth="1" outlineLevel="1"/>
    <col min="27" max="27" width="9.125" style="1" bestFit="1" customWidth="1" outlineLevel="1"/>
    <col min="28" max="28" width="8.5" style="1" bestFit="1" customWidth="1" outlineLevel="1"/>
    <col min="29" max="29" width="10" style="1" bestFit="1" customWidth="1" outlineLevel="1"/>
    <col min="30" max="30" width="8.5" style="1" bestFit="1" customWidth="1" outlineLevel="1"/>
    <col min="31" max="31" width="9.125" style="1" bestFit="1" customWidth="1" outlineLevel="1"/>
    <col min="32" max="32" width="8.5" style="1" bestFit="1" customWidth="1" outlineLevel="1"/>
    <col min="33" max="33" width="9.125" style="1" bestFit="1" customWidth="1" outlineLevel="1"/>
    <col min="34" max="34" width="8.5" style="1" bestFit="1" customWidth="1" outlineLevel="1"/>
    <col min="35" max="35" width="9.125" style="1" bestFit="1" customWidth="1" outlineLevel="1"/>
    <col min="36" max="36" width="8.5" style="1" bestFit="1" customWidth="1" outlineLevel="1"/>
    <col min="37" max="37" width="10.125" style="1" bestFit="1" customWidth="1" outlineLevel="1"/>
    <col min="38" max="38" width="8.5" style="1" bestFit="1" customWidth="1" outlineLevel="1"/>
    <col min="39" max="45" width="9" style="1" customWidth="1"/>
  </cols>
  <sheetData>
    <row r="1" spans="1:46" s="12" customFormat="1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20</v>
      </c>
      <c r="X1" s="6" t="s">
        <v>21</v>
      </c>
      <c r="Y1" s="6" t="s">
        <v>20</v>
      </c>
      <c r="Z1" s="6" t="s">
        <v>21</v>
      </c>
      <c r="AA1" s="6" t="s">
        <v>20</v>
      </c>
      <c r="AB1" s="6" t="s">
        <v>21</v>
      </c>
      <c r="AC1" s="6" t="s">
        <v>20</v>
      </c>
      <c r="AD1" s="6" t="s">
        <v>21</v>
      </c>
      <c r="AE1" s="6" t="s">
        <v>20</v>
      </c>
      <c r="AF1" s="6" t="s">
        <v>21</v>
      </c>
      <c r="AG1" s="6" t="s">
        <v>20</v>
      </c>
      <c r="AH1" s="6" t="s">
        <v>21</v>
      </c>
      <c r="AI1" s="6" t="s">
        <v>20</v>
      </c>
      <c r="AJ1" s="6" t="s">
        <v>21</v>
      </c>
      <c r="AK1" s="6" t="s">
        <v>20</v>
      </c>
      <c r="AL1" s="6" t="s">
        <v>21</v>
      </c>
      <c r="AM1" s="6" t="s">
        <v>22</v>
      </c>
      <c r="AN1" s="6" t="s">
        <v>23</v>
      </c>
      <c r="AO1" s="6" t="s">
        <v>22</v>
      </c>
      <c r="AP1" s="6" t="s">
        <v>23</v>
      </c>
      <c r="AQ1" s="6" t="s">
        <v>22</v>
      </c>
      <c r="AR1" s="6" t="s">
        <v>23</v>
      </c>
      <c r="AS1" s="6" t="s">
        <v>22</v>
      </c>
      <c r="AT1" s="6" t="s">
        <v>23</v>
      </c>
    </row>
    <row r="2" spans="1:46" s="3" customFormat="1" x14ac:dyDescent="0.3">
      <c r="A2" s="8"/>
      <c r="B2" s="2"/>
      <c r="C2" s="2"/>
      <c r="D2" s="2"/>
      <c r="E2" s="2"/>
      <c r="F2" s="2"/>
      <c r="K2" s="23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</row>
    <row r="3" spans="1:46" s="13" customFormat="1" x14ac:dyDescent="0.3">
      <c r="A3" s="15"/>
      <c r="B3" s="16"/>
      <c r="C3" s="16"/>
      <c r="D3" s="16"/>
      <c r="E3" s="16"/>
      <c r="F3" s="16"/>
      <c r="G3" s="16" t="s">
        <v>24</v>
      </c>
      <c r="H3" s="16" t="s">
        <v>25</v>
      </c>
      <c r="I3" s="16"/>
      <c r="J3" s="16"/>
      <c r="K3" s="16"/>
      <c r="L3" s="16" t="s">
        <v>26</v>
      </c>
      <c r="M3" s="16" t="s">
        <v>27</v>
      </c>
      <c r="N3" s="16" t="s">
        <v>28</v>
      </c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 t="s">
        <v>29</v>
      </c>
      <c r="AN3" s="16"/>
      <c r="AO3" s="16" t="s">
        <v>30</v>
      </c>
      <c r="AP3" s="16"/>
      <c r="AQ3" s="16" t="s">
        <v>31</v>
      </c>
      <c r="AR3" s="16"/>
      <c r="AS3" s="16" t="s">
        <v>32</v>
      </c>
      <c r="AT3" s="16"/>
    </row>
    <row r="4" spans="1:46" ht="16.5" customHeight="1" x14ac:dyDescent="0.3">
      <c r="A4" s="17">
        <v>10000064</v>
      </c>
      <c r="B4" s="17" t="s">
        <v>54</v>
      </c>
      <c r="C4" s="17">
        <v>106401</v>
      </c>
      <c r="D4" s="17" t="s">
        <v>55</v>
      </c>
      <c r="E4" s="17" t="s">
        <v>56</v>
      </c>
      <c r="F4" s="17" t="str">
        <f>D4&amp;"_profile"</f>
        <v>c064_profile</v>
      </c>
      <c r="G4" s="17" t="s">
        <v>36</v>
      </c>
      <c r="H4" s="17" t="s">
        <v>29</v>
      </c>
      <c r="I4" s="17" t="s">
        <v>37</v>
      </c>
      <c r="J4" s="17" t="b">
        <v>1</v>
      </c>
      <c r="K4" s="40" t="s">
        <v>38</v>
      </c>
      <c r="L4" s="17">
        <v>1</v>
      </c>
      <c r="M4" s="17" t="s">
        <v>39</v>
      </c>
      <c r="N4" s="17" t="s">
        <v>57</v>
      </c>
      <c r="O4" s="17">
        <f>100+L4</f>
        <v>101</v>
      </c>
      <c r="P4" s="17">
        <v>6</v>
      </c>
      <c r="Q4" s="17">
        <v>6</v>
      </c>
      <c r="R4" s="17">
        <v>1</v>
      </c>
      <c r="S4" s="17">
        <v>0</v>
      </c>
      <c r="T4" s="17">
        <v>0</v>
      </c>
      <c r="U4" s="17" t="s">
        <v>41</v>
      </c>
      <c r="V4" s="17">
        <v>80</v>
      </c>
      <c r="W4" s="17" t="s">
        <v>42</v>
      </c>
      <c r="X4" s="17">
        <v>5100</v>
      </c>
      <c r="Y4" s="17" t="s">
        <v>43</v>
      </c>
      <c r="Z4" s="17">
        <v>420</v>
      </c>
      <c r="AA4" s="17" t="s">
        <v>44</v>
      </c>
      <c r="AB4" s="17">
        <v>120</v>
      </c>
      <c r="AC4" s="17" t="s">
        <v>45</v>
      </c>
      <c r="AD4" s="17">
        <v>120</v>
      </c>
      <c r="AE4" s="17" t="s">
        <v>46</v>
      </c>
      <c r="AF4" s="17">
        <v>100</v>
      </c>
      <c r="AG4" s="17" t="s">
        <v>47</v>
      </c>
      <c r="AH4" s="17">
        <v>100</v>
      </c>
      <c r="AI4" s="17" t="s">
        <v>48</v>
      </c>
      <c r="AJ4" s="17">
        <v>5000</v>
      </c>
      <c r="AK4" s="17" t="s">
        <v>49</v>
      </c>
      <c r="AL4" s="17">
        <v>150000</v>
      </c>
      <c r="AM4" s="17">
        <f>INT(1&amp;L4&amp;TEXT(RIGHT(A4,3),"0000")&amp;"01")</f>
        <v>11006401</v>
      </c>
      <c r="AN4" s="17" t="b">
        <v>1</v>
      </c>
      <c r="AO4" s="17">
        <f>INT(2&amp;$L4&amp;TEXT(RIGHT($A4,3),"0000")&amp;"01")</f>
        <v>21006401</v>
      </c>
      <c r="AP4" s="17" t="b">
        <v>1</v>
      </c>
      <c r="AQ4" s="17">
        <f>INT(3&amp;$L4&amp;TEXT(RIGHT($A4,3),"0000")&amp;"01")</f>
        <v>31006401</v>
      </c>
      <c r="AR4" s="17" t="b">
        <v>1</v>
      </c>
      <c r="AS4" s="17">
        <f>INT(4&amp;$L4&amp;TEXT(RIGHT($A4,3),"0000")&amp;"01")</f>
        <v>41006401</v>
      </c>
      <c r="AT4" s="17" t="b">
        <v>1</v>
      </c>
    </row>
    <row r="5" spans="1:46" ht="16.5" customHeight="1" x14ac:dyDescent="0.3">
      <c r="A5" s="17">
        <v>10000156</v>
      </c>
      <c r="B5" s="17" t="s">
        <v>100</v>
      </c>
      <c r="C5" s="17">
        <v>115601</v>
      </c>
      <c r="D5" s="17" t="s">
        <v>514</v>
      </c>
      <c r="E5" s="17" t="str">
        <f>"character_name_"&amp;A5</f>
        <v>character_name_10000156</v>
      </c>
      <c r="F5" s="17" t="str">
        <f>D5&amp;"_profile"</f>
        <v>c156_profile</v>
      </c>
      <c r="G5" s="17" t="s">
        <v>36</v>
      </c>
      <c r="H5" s="17" t="s">
        <v>29</v>
      </c>
      <c r="I5" s="17" t="s">
        <v>37</v>
      </c>
      <c r="J5" s="17" t="b">
        <v>1</v>
      </c>
      <c r="K5" s="24" t="s">
        <v>38</v>
      </c>
      <c r="L5" s="17">
        <v>2</v>
      </c>
      <c r="M5" s="17" t="s">
        <v>39</v>
      </c>
      <c r="N5" s="17" t="s">
        <v>57</v>
      </c>
      <c r="O5" s="17">
        <f>100+L5</f>
        <v>102</v>
      </c>
      <c r="P5" s="17">
        <f t="array" ref="P5">_xlfn.IFS($N5="Attacker",6,$N5="Healer",3,$N5="Magician",4,$N5="Defender",3,$N5="Supporter",4)</f>
        <v>6</v>
      </c>
      <c r="Q5" s="17">
        <f t="array" ref="Q5">_xlfn.IFS($N5="Attacker",6,$N5="Healer",3,$N5="Magician",4,$N5="Defender",3,$N5="Supporter",4)</f>
        <v>6</v>
      </c>
      <c r="R5" s="17">
        <v>1</v>
      </c>
      <c r="S5" s="17">
        <v>0</v>
      </c>
      <c r="T5" s="17">
        <v>0</v>
      </c>
      <c r="U5" s="17" t="s">
        <v>41</v>
      </c>
      <c r="V5" s="17">
        <f t="array" ref="V5">_xlfn.IFS(N5="Attacker",80,N5="Healer",90,N5="Magician",100,N5="Defender",110,N5="Supporter",120)</f>
        <v>80</v>
      </c>
      <c r="W5" s="17" t="s">
        <v>42</v>
      </c>
      <c r="X5" s="17">
        <v>5100</v>
      </c>
      <c r="Y5" s="17" t="s">
        <v>43</v>
      </c>
      <c r="Z5" s="17">
        <v>420</v>
      </c>
      <c r="AA5" s="17" t="s">
        <v>44</v>
      </c>
      <c r="AB5" s="17">
        <v>120</v>
      </c>
      <c r="AC5" s="17" t="s">
        <v>45</v>
      </c>
      <c r="AD5" s="17">
        <v>187</v>
      </c>
      <c r="AE5" s="17" t="s">
        <v>46</v>
      </c>
      <c r="AF5" s="17">
        <v>100</v>
      </c>
      <c r="AG5" s="17" t="s">
        <v>47</v>
      </c>
      <c r="AH5" s="17">
        <v>100</v>
      </c>
      <c r="AI5" s="17" t="s">
        <v>48</v>
      </c>
      <c r="AJ5" s="17">
        <v>5000</v>
      </c>
      <c r="AK5" s="17" t="s">
        <v>49</v>
      </c>
      <c r="AL5" s="17">
        <v>150000</v>
      </c>
      <c r="AM5" s="17">
        <f>INT(1&amp;L5&amp;TEXT(RIGHT(A5,3),"0000")&amp;"01")</f>
        <v>12015601</v>
      </c>
      <c r="AN5" s="17" t="b">
        <v>1</v>
      </c>
      <c r="AO5" s="17">
        <f>INT(2&amp;$L5&amp;TEXT(RIGHT($A5,3),"0000")&amp;"01")</f>
        <v>22015601</v>
      </c>
      <c r="AP5" s="17" t="b">
        <v>1</v>
      </c>
      <c r="AQ5" s="17">
        <f>INT(3&amp;$L5&amp;TEXT(RIGHT($A5,3),"0000")&amp;"01")</f>
        <v>32015601</v>
      </c>
      <c r="AR5" s="17" t="b">
        <v>1</v>
      </c>
      <c r="AS5" s="17">
        <f>INT(4&amp;$L5&amp;TEXT(RIGHT($A5,3),"0000")&amp;"01")</f>
        <v>42015601</v>
      </c>
      <c r="AT5" s="17" t="b">
        <v>1</v>
      </c>
    </row>
    <row r="6" spans="1:46" ht="16.5" customHeight="1" x14ac:dyDescent="0.3">
      <c r="A6" s="17">
        <v>10000486</v>
      </c>
      <c r="B6" s="17" t="s">
        <v>126</v>
      </c>
      <c r="C6" s="17">
        <v>148601</v>
      </c>
      <c r="D6" s="17" t="s">
        <v>502</v>
      </c>
      <c r="E6" s="17" t="str">
        <f>"character_name_"&amp;A6</f>
        <v>character_name_10000486</v>
      </c>
      <c r="F6" s="17" t="str">
        <f>D6&amp;"_profile"</f>
        <v>c486_profile</v>
      </c>
      <c r="G6" s="17" t="s">
        <v>36</v>
      </c>
      <c r="H6" s="17" t="s">
        <v>29</v>
      </c>
      <c r="I6" s="17" t="s">
        <v>37</v>
      </c>
      <c r="J6" s="17" t="b">
        <v>1</v>
      </c>
      <c r="K6" s="24" t="s">
        <v>38</v>
      </c>
      <c r="L6" s="17">
        <v>3</v>
      </c>
      <c r="M6" s="17" t="s">
        <v>39</v>
      </c>
      <c r="N6" s="17" t="s">
        <v>57</v>
      </c>
      <c r="O6" s="17">
        <f>100+L6</f>
        <v>103</v>
      </c>
      <c r="P6" s="17">
        <f t="array" ref="P6">_xlfn.IFS($N6="Attacker",6,$N6="Healer",3,$N6="Magician",4,$N6="Defender",3,$N6="Supporter",4)</f>
        <v>6</v>
      </c>
      <c r="Q6" s="17">
        <f t="array" ref="Q6">_xlfn.IFS($N6="Attacker",6,$N6="Healer",3,$N6="Magician",4,$N6="Defender",3,$N6="Supporter",4)</f>
        <v>6</v>
      </c>
      <c r="R6" s="17">
        <v>1</v>
      </c>
      <c r="S6" s="17">
        <v>0</v>
      </c>
      <c r="T6" s="17">
        <v>0</v>
      </c>
      <c r="U6" s="17" t="s">
        <v>41</v>
      </c>
      <c r="V6" s="17">
        <f t="array" ref="V6">_xlfn.IFS(N6="Attacker",80,N6="Healer",90,N6="Magician",100,N6="Defender",110,N6="Supporter",120)</f>
        <v>80</v>
      </c>
      <c r="W6" s="17" t="s">
        <v>42</v>
      </c>
      <c r="X6" s="17">
        <v>5100</v>
      </c>
      <c r="Y6" s="17" t="s">
        <v>43</v>
      </c>
      <c r="Z6" s="17">
        <v>420</v>
      </c>
      <c r="AA6" s="17" t="s">
        <v>44</v>
      </c>
      <c r="AB6" s="17">
        <v>120</v>
      </c>
      <c r="AC6" s="17" t="s">
        <v>45</v>
      </c>
      <c r="AD6" s="17">
        <v>187</v>
      </c>
      <c r="AE6" s="17" t="s">
        <v>46</v>
      </c>
      <c r="AF6" s="17">
        <v>100</v>
      </c>
      <c r="AG6" s="17" t="s">
        <v>47</v>
      </c>
      <c r="AH6" s="17">
        <v>100</v>
      </c>
      <c r="AI6" s="17" t="s">
        <v>48</v>
      </c>
      <c r="AJ6" s="17">
        <v>5000</v>
      </c>
      <c r="AK6" s="17" t="s">
        <v>49</v>
      </c>
      <c r="AL6" s="17">
        <v>150000</v>
      </c>
      <c r="AM6" s="17">
        <f>INT(1&amp;L6&amp;TEXT(RIGHT(A6,3),"0000")&amp;"01")</f>
        <v>13048601</v>
      </c>
      <c r="AN6" s="17" t="b">
        <v>1</v>
      </c>
      <c r="AO6" s="17">
        <f>INT(2&amp;$L6&amp;TEXT(RIGHT($A6,3),"0000")&amp;"01")</f>
        <v>23048601</v>
      </c>
      <c r="AP6" s="17" t="b">
        <v>1</v>
      </c>
      <c r="AQ6" s="17">
        <f>INT(3&amp;$L6&amp;TEXT(RIGHT($A6,3),"0000")&amp;"01")</f>
        <v>33048601</v>
      </c>
      <c r="AR6" s="17" t="b">
        <v>1</v>
      </c>
      <c r="AS6" s="17">
        <f>INT(4&amp;$L6&amp;TEXT(RIGHT($A6,3),"0000")&amp;"01")</f>
        <v>43048601</v>
      </c>
      <c r="AT6" s="17" t="b">
        <v>1</v>
      </c>
    </row>
    <row r="7" spans="1:46" ht="16.5" customHeight="1" x14ac:dyDescent="0.3">
      <c r="A7" s="17">
        <v>10000532</v>
      </c>
      <c r="B7" s="17" t="s">
        <v>128</v>
      </c>
      <c r="C7" s="17">
        <v>153201</v>
      </c>
      <c r="D7" s="17" t="s">
        <v>975</v>
      </c>
      <c r="E7" s="17" t="str">
        <f>"character_name_"&amp;A7</f>
        <v>character_name_10000532</v>
      </c>
      <c r="F7" s="17" t="str">
        <f>D7&amp;"_profile"</f>
        <v>c532_profile</v>
      </c>
      <c r="G7" s="17" t="s">
        <v>36</v>
      </c>
      <c r="H7" s="17" t="s">
        <v>29</v>
      </c>
      <c r="I7" s="17" t="s">
        <v>37</v>
      </c>
      <c r="J7" s="17" t="b">
        <v>1</v>
      </c>
      <c r="K7" s="24" t="s">
        <v>38</v>
      </c>
      <c r="L7" s="17">
        <v>3</v>
      </c>
      <c r="M7" s="17" t="s">
        <v>39</v>
      </c>
      <c r="N7" s="17" t="s">
        <v>57</v>
      </c>
      <c r="O7" s="17">
        <f>100+L7</f>
        <v>103</v>
      </c>
      <c r="P7" s="17">
        <v>6</v>
      </c>
      <c r="Q7" s="17">
        <v>6</v>
      </c>
      <c r="R7" s="17">
        <v>1</v>
      </c>
      <c r="S7" s="17">
        <v>0</v>
      </c>
      <c r="T7" s="17">
        <v>0</v>
      </c>
      <c r="U7" s="17" t="s">
        <v>41</v>
      </c>
      <c r="V7" s="17">
        <f t="array" ref="V7">_xlfn.IFS(N7="Attacker",80,N7="Healer",90,N7="Magician",100,N7="Defender",110,N7="Supporter",120)</f>
        <v>80</v>
      </c>
      <c r="W7" s="17" t="s">
        <v>42</v>
      </c>
      <c r="X7" s="17">
        <v>5100</v>
      </c>
      <c r="Y7" s="17" t="s">
        <v>43</v>
      </c>
      <c r="Z7" s="17">
        <v>420</v>
      </c>
      <c r="AA7" s="17" t="s">
        <v>44</v>
      </c>
      <c r="AB7" s="17">
        <v>120</v>
      </c>
      <c r="AC7" s="17" t="s">
        <v>45</v>
      </c>
      <c r="AD7" s="17">
        <v>120</v>
      </c>
      <c r="AE7" s="17" t="s">
        <v>46</v>
      </c>
      <c r="AF7" s="17">
        <v>100</v>
      </c>
      <c r="AG7" s="17" t="s">
        <v>47</v>
      </c>
      <c r="AH7" s="17">
        <v>100</v>
      </c>
      <c r="AI7" s="17" t="s">
        <v>48</v>
      </c>
      <c r="AJ7" s="17">
        <v>5000</v>
      </c>
      <c r="AK7" s="17" t="s">
        <v>49</v>
      </c>
      <c r="AL7" s="17">
        <v>150000</v>
      </c>
      <c r="AM7" s="17">
        <f>INT(1&amp;L7&amp;TEXT(RIGHT(A7,3),"0000")&amp;"01")</f>
        <v>13053201</v>
      </c>
      <c r="AN7" s="17" t="b">
        <v>1</v>
      </c>
      <c r="AO7" s="17">
        <f>INT(2&amp;$L7&amp;TEXT(RIGHT($A7,3),"0000")&amp;"01")</f>
        <v>23053201</v>
      </c>
      <c r="AP7" s="17" t="b">
        <v>1</v>
      </c>
      <c r="AQ7" s="17">
        <f>INT(3&amp;$L7&amp;TEXT(RIGHT($A7,3),"0000")&amp;"01")</f>
        <v>33053201</v>
      </c>
      <c r="AR7" s="17" t="b">
        <v>1</v>
      </c>
      <c r="AS7" s="17">
        <f>INT(4&amp;$L7&amp;TEXT(RIGHT($A7,3),"0000")&amp;"01")</f>
        <v>43053201</v>
      </c>
      <c r="AT7" s="17" t="b">
        <v>1</v>
      </c>
    </row>
    <row r="8" spans="1:46" ht="16.5" customHeight="1" x14ac:dyDescent="0.3">
      <c r="A8" s="17">
        <v>10000001</v>
      </c>
      <c r="B8" s="17" t="s">
        <v>98</v>
      </c>
      <c r="C8" s="17">
        <v>100101</v>
      </c>
      <c r="D8" s="17" t="s">
        <v>508</v>
      </c>
      <c r="E8" s="17" t="str">
        <f>"character_name_"&amp;A8</f>
        <v>character_name_10000001</v>
      </c>
      <c r="F8" s="17" t="str">
        <f>D8&amp;"_profile"</f>
        <v>c001_profile</v>
      </c>
      <c r="G8" s="17" t="s">
        <v>36</v>
      </c>
      <c r="H8" s="17" t="s">
        <v>29</v>
      </c>
      <c r="I8" s="17" t="s">
        <v>37</v>
      </c>
      <c r="J8" s="17" t="b">
        <v>1</v>
      </c>
      <c r="K8" s="24" t="s">
        <v>38</v>
      </c>
      <c r="L8" s="17">
        <v>2</v>
      </c>
      <c r="M8" s="17" t="s">
        <v>39</v>
      </c>
      <c r="N8" s="17" t="s">
        <v>62</v>
      </c>
      <c r="O8" s="17">
        <f>100+L8</f>
        <v>102</v>
      </c>
      <c r="P8" s="17">
        <v>3</v>
      </c>
      <c r="Q8" s="17">
        <v>3</v>
      </c>
      <c r="R8" s="17">
        <v>1</v>
      </c>
      <c r="S8" s="17">
        <v>0</v>
      </c>
      <c r="T8" s="17">
        <v>0</v>
      </c>
      <c r="U8" s="17" t="s">
        <v>41</v>
      </c>
      <c r="V8" s="17">
        <f t="array" ref="V8">_xlfn.IFS(N8="Attacker",80,N8="Healer",90,N8="Magician",100,N8="Defender",110,N8="Supporter",120)</f>
        <v>110</v>
      </c>
      <c r="W8" s="17" t="s">
        <v>42</v>
      </c>
      <c r="X8" s="17">
        <v>6475</v>
      </c>
      <c r="Y8" s="17" t="s">
        <v>43</v>
      </c>
      <c r="Z8" s="17">
        <v>168</v>
      </c>
      <c r="AA8" s="17" t="s">
        <v>44</v>
      </c>
      <c r="AB8" s="17">
        <v>151</v>
      </c>
      <c r="AC8" s="17" t="s">
        <v>45</v>
      </c>
      <c r="AD8" s="17">
        <v>163</v>
      </c>
      <c r="AE8" s="17" t="s">
        <v>46</v>
      </c>
      <c r="AF8" s="17">
        <v>100</v>
      </c>
      <c r="AG8" s="17" t="s">
        <v>47</v>
      </c>
      <c r="AH8" s="17">
        <v>100</v>
      </c>
      <c r="AI8" s="17" t="s">
        <v>48</v>
      </c>
      <c r="AJ8" s="17">
        <v>5000</v>
      </c>
      <c r="AK8" s="17" t="s">
        <v>49</v>
      </c>
      <c r="AL8" s="17">
        <v>150000</v>
      </c>
      <c r="AM8" s="17">
        <f>INT(1&amp;L8&amp;TEXT(RIGHT(A8,3),"0000")&amp;"01")</f>
        <v>12000101</v>
      </c>
      <c r="AN8" s="17" t="b">
        <v>1</v>
      </c>
      <c r="AO8" s="17">
        <f>INT(2&amp;$L8&amp;TEXT(RIGHT($A8,3),"0000")&amp;"01")</f>
        <v>22000101</v>
      </c>
      <c r="AP8" s="17" t="b">
        <v>1</v>
      </c>
      <c r="AQ8" s="17">
        <f>INT(3&amp;$L8&amp;TEXT(RIGHT($A8,3),"0000")&amp;"01")</f>
        <v>32000101</v>
      </c>
      <c r="AR8" s="17" t="b">
        <v>1</v>
      </c>
      <c r="AS8" s="17">
        <f>INT(4&amp;$L8&amp;TEXT(RIGHT($A8,3),"0000")&amp;"01")</f>
        <v>42000101</v>
      </c>
      <c r="AT8" s="17" t="b">
        <v>1</v>
      </c>
    </row>
    <row r="9" spans="1:46" ht="16.5" customHeight="1" x14ac:dyDescent="0.3">
      <c r="A9" s="17">
        <v>10000051</v>
      </c>
      <c r="B9" s="17" t="s">
        <v>125</v>
      </c>
      <c r="C9" s="17">
        <v>105101</v>
      </c>
      <c r="D9" s="17" t="s">
        <v>490</v>
      </c>
      <c r="E9" s="17" t="str">
        <f>"character_name_"&amp;A9</f>
        <v>character_name_10000051</v>
      </c>
      <c r="F9" s="17" t="str">
        <f>D9&amp;"_profile"</f>
        <v>c051_profile</v>
      </c>
      <c r="G9" s="17" t="s">
        <v>36</v>
      </c>
      <c r="H9" s="17" t="s">
        <v>29</v>
      </c>
      <c r="I9" s="17" t="s">
        <v>37</v>
      </c>
      <c r="J9" s="17" t="b">
        <v>1</v>
      </c>
      <c r="K9" s="24" t="s">
        <v>38</v>
      </c>
      <c r="L9" s="17">
        <v>3</v>
      </c>
      <c r="M9" s="17" t="s">
        <v>39</v>
      </c>
      <c r="N9" s="17" t="s">
        <v>62</v>
      </c>
      <c r="O9" s="17">
        <f>100+L9</f>
        <v>103</v>
      </c>
      <c r="P9" s="17">
        <f t="array" ref="P9">_xlfn.IFS($N9="Attacker",6,$N9="Healer",3,$N9="Magician",4,$N9="Defender",3,$N9="Supporter",4)</f>
        <v>3</v>
      </c>
      <c r="Q9" s="17">
        <f t="array" ref="Q9">_xlfn.IFS($N9="Attacker",6,$N9="Healer",3,$N9="Magician",4,$N9="Defender",3,$N9="Supporter",4)</f>
        <v>3</v>
      </c>
      <c r="R9" s="17">
        <v>1</v>
      </c>
      <c r="S9" s="17">
        <v>0</v>
      </c>
      <c r="T9" s="17">
        <v>0</v>
      </c>
      <c r="U9" s="17" t="s">
        <v>41</v>
      </c>
      <c r="V9" s="17">
        <f t="array" ref="V9">_xlfn.IFS(N9="Attacker",80,N9="Healer",90,N9="Magician",100,N9="Defender",110,N9="Supporter",120)</f>
        <v>110</v>
      </c>
      <c r="W9" s="17" t="s">
        <v>42</v>
      </c>
      <c r="X9" s="17">
        <v>8650</v>
      </c>
      <c r="Y9" s="17" t="s">
        <v>43</v>
      </c>
      <c r="Z9" s="17">
        <v>252</v>
      </c>
      <c r="AA9" s="17" t="s">
        <v>44</v>
      </c>
      <c r="AB9" s="17">
        <v>240</v>
      </c>
      <c r="AC9" s="17" t="s">
        <v>45</v>
      </c>
      <c r="AD9" s="17">
        <v>234</v>
      </c>
      <c r="AE9" s="17" t="s">
        <v>46</v>
      </c>
      <c r="AF9" s="17">
        <v>100</v>
      </c>
      <c r="AG9" s="17" t="s">
        <v>47</v>
      </c>
      <c r="AH9" s="17">
        <v>100</v>
      </c>
      <c r="AI9" s="17" t="s">
        <v>48</v>
      </c>
      <c r="AJ9" s="17">
        <v>5000</v>
      </c>
      <c r="AK9" s="17" t="s">
        <v>49</v>
      </c>
      <c r="AL9" s="17">
        <v>150000</v>
      </c>
      <c r="AM9" s="17">
        <f>INT(1&amp;L9&amp;TEXT(RIGHT(A9,3),"0000")&amp;"01")</f>
        <v>13005101</v>
      </c>
      <c r="AN9" s="17" t="b">
        <v>1</v>
      </c>
      <c r="AO9" s="17">
        <f>INT(2&amp;$L9&amp;TEXT(RIGHT($A9,3),"0000")&amp;"01")</f>
        <v>23005101</v>
      </c>
      <c r="AP9" s="17" t="b">
        <v>1</v>
      </c>
      <c r="AQ9" s="17">
        <f>INT(3&amp;$L9&amp;TEXT(RIGHT($A9,3),"0000")&amp;"01")</f>
        <v>33005101</v>
      </c>
      <c r="AR9" s="17" t="b">
        <v>1</v>
      </c>
      <c r="AS9" s="17">
        <f>INT(4&amp;$L9&amp;TEXT(RIGHT($A9,3),"0000")&amp;"01")</f>
        <v>43005101</v>
      </c>
      <c r="AT9" s="17" t="b">
        <v>1</v>
      </c>
    </row>
    <row r="10" spans="1:46" ht="16.5" customHeight="1" x14ac:dyDescent="0.3">
      <c r="A10" s="17">
        <v>10000048</v>
      </c>
      <c r="B10" s="17" t="s">
        <v>50</v>
      </c>
      <c r="C10" s="17">
        <v>104801</v>
      </c>
      <c r="D10" s="17" t="s">
        <v>51</v>
      </c>
      <c r="E10" s="17" t="s">
        <v>52</v>
      </c>
      <c r="F10" s="17" t="str">
        <f>D10&amp;"_profile"</f>
        <v>c048_profile</v>
      </c>
      <c r="G10" s="17" t="s">
        <v>36</v>
      </c>
      <c r="H10" s="17" t="s">
        <v>29</v>
      </c>
      <c r="I10" s="17" t="s">
        <v>37</v>
      </c>
      <c r="J10" s="17" t="b">
        <v>1</v>
      </c>
      <c r="K10" s="24" t="s">
        <v>38</v>
      </c>
      <c r="L10" s="17">
        <v>1</v>
      </c>
      <c r="M10" s="17" t="s">
        <v>39</v>
      </c>
      <c r="N10" s="17" t="s">
        <v>53</v>
      </c>
      <c r="O10" s="17">
        <f>100+L10</f>
        <v>101</v>
      </c>
      <c r="P10" s="17">
        <v>3</v>
      </c>
      <c r="Q10" s="17">
        <v>3</v>
      </c>
      <c r="R10" s="17">
        <v>1</v>
      </c>
      <c r="S10" s="17">
        <v>0</v>
      </c>
      <c r="T10" s="17">
        <v>0</v>
      </c>
      <c r="U10" s="17" t="s">
        <v>41</v>
      </c>
      <c r="V10" s="17">
        <v>90</v>
      </c>
      <c r="W10" s="17" t="s">
        <v>42</v>
      </c>
      <c r="X10" s="17">
        <v>6475</v>
      </c>
      <c r="Y10" s="17" t="s">
        <v>43</v>
      </c>
      <c r="Z10" s="17">
        <v>168</v>
      </c>
      <c r="AA10" s="17" t="s">
        <v>44</v>
      </c>
      <c r="AB10" s="17">
        <v>151</v>
      </c>
      <c r="AC10" s="17" t="s">
        <v>45</v>
      </c>
      <c r="AD10" s="17">
        <v>151</v>
      </c>
      <c r="AE10" s="17" t="s">
        <v>46</v>
      </c>
      <c r="AF10" s="17">
        <v>100</v>
      </c>
      <c r="AG10" s="17" t="s">
        <v>47</v>
      </c>
      <c r="AH10" s="17">
        <v>100</v>
      </c>
      <c r="AI10" s="17" t="s">
        <v>48</v>
      </c>
      <c r="AJ10" s="17">
        <v>5000</v>
      </c>
      <c r="AK10" s="17" t="s">
        <v>49</v>
      </c>
      <c r="AL10" s="17">
        <v>150000</v>
      </c>
      <c r="AM10" s="17">
        <f>INT(1&amp;L10&amp;TEXT(RIGHT(A10,3),"0000")&amp;"01")</f>
        <v>11004801</v>
      </c>
      <c r="AN10" s="17" t="b">
        <v>1</v>
      </c>
      <c r="AO10" s="17">
        <f>INT(2&amp;$L10&amp;TEXT(RIGHT($A10,3),"0000")&amp;"01")</f>
        <v>21004801</v>
      </c>
      <c r="AP10" s="17" t="b">
        <v>1</v>
      </c>
      <c r="AQ10" s="17">
        <f>INT(3&amp;$L10&amp;TEXT(RIGHT($A10,3),"0000")&amp;"01")</f>
        <v>31004801</v>
      </c>
      <c r="AR10" s="17" t="b">
        <v>1</v>
      </c>
      <c r="AS10" s="17">
        <f>INT(4&amp;$L10&amp;TEXT(RIGHT($A10,3),"0000")&amp;"01")</f>
        <v>41004801</v>
      </c>
      <c r="AT10" s="17" t="b">
        <v>1</v>
      </c>
    </row>
    <row r="11" spans="1:46" ht="16.5" customHeight="1" x14ac:dyDescent="0.3">
      <c r="A11" s="17">
        <v>10000448</v>
      </c>
      <c r="B11" s="17" t="s">
        <v>129</v>
      </c>
      <c r="C11" s="17">
        <v>144801</v>
      </c>
      <c r="D11" s="17" t="s">
        <v>976</v>
      </c>
      <c r="E11" s="17" t="str">
        <f>"character_name_"&amp;A11</f>
        <v>character_name_10000448</v>
      </c>
      <c r="F11" s="17" t="str">
        <f>D11&amp;"_profile"</f>
        <v>c448_profile</v>
      </c>
      <c r="G11" s="17" t="s">
        <v>36</v>
      </c>
      <c r="H11" s="17" t="s">
        <v>29</v>
      </c>
      <c r="I11" s="17" t="s">
        <v>37</v>
      </c>
      <c r="J11" s="17" t="b">
        <v>1</v>
      </c>
      <c r="K11" s="24" t="s">
        <v>38</v>
      </c>
      <c r="L11" s="17">
        <v>3</v>
      </c>
      <c r="M11" s="17" t="s">
        <v>39</v>
      </c>
      <c r="N11" s="17" t="s">
        <v>53</v>
      </c>
      <c r="O11" s="17">
        <f>100+L11</f>
        <v>103</v>
      </c>
      <c r="P11" s="17">
        <v>4</v>
      </c>
      <c r="Q11" s="17">
        <v>4</v>
      </c>
      <c r="R11" s="17">
        <v>1</v>
      </c>
      <c r="S11" s="17">
        <v>0</v>
      </c>
      <c r="T11" s="17">
        <v>0</v>
      </c>
      <c r="U11" s="17" t="s">
        <v>41</v>
      </c>
      <c r="V11" s="17">
        <f t="array" ref="V11">_xlfn.IFS(N11="Attacker",80,N11="Healer",90,N11="Magician",100,N11="Defender",110,N11="Supporter",120)</f>
        <v>90</v>
      </c>
      <c r="W11" s="17" t="s">
        <v>42</v>
      </c>
      <c r="X11" s="17">
        <v>4743</v>
      </c>
      <c r="Y11" s="17" t="s">
        <v>43</v>
      </c>
      <c r="Z11" s="17">
        <v>341</v>
      </c>
      <c r="AA11" s="17" t="s">
        <v>44</v>
      </c>
      <c r="AB11" s="17">
        <v>108</v>
      </c>
      <c r="AC11" s="17" t="s">
        <v>45</v>
      </c>
      <c r="AD11" s="17">
        <v>108</v>
      </c>
      <c r="AE11" s="17" t="s">
        <v>46</v>
      </c>
      <c r="AF11" s="17">
        <v>100</v>
      </c>
      <c r="AG11" s="17" t="s">
        <v>47</v>
      </c>
      <c r="AH11" s="17">
        <v>100</v>
      </c>
      <c r="AI11" s="17" t="s">
        <v>48</v>
      </c>
      <c r="AJ11" s="17">
        <v>5000</v>
      </c>
      <c r="AK11" s="17" t="s">
        <v>49</v>
      </c>
      <c r="AL11" s="17">
        <v>150000</v>
      </c>
      <c r="AM11" s="17">
        <f>INT(1&amp;L11&amp;TEXT(RIGHT(A11,3),"0000")&amp;"01")</f>
        <v>13044801</v>
      </c>
      <c r="AN11" s="17" t="b">
        <v>1</v>
      </c>
      <c r="AO11" s="17">
        <f>INT(2&amp;$L11&amp;TEXT(RIGHT($A11,3),"0000")&amp;"01")</f>
        <v>23044801</v>
      </c>
      <c r="AP11" s="17" t="b">
        <v>1</v>
      </c>
      <c r="AQ11" s="17">
        <f>INT(3&amp;$L11&amp;TEXT(RIGHT($A11,3),"0000")&amp;"01")</f>
        <v>33044801</v>
      </c>
      <c r="AR11" s="17" t="b">
        <v>1</v>
      </c>
      <c r="AS11" s="17">
        <f>INT(4&amp;$L11&amp;TEXT(RIGHT($A11,3),"0000")&amp;"01")</f>
        <v>43044801</v>
      </c>
      <c r="AT11" s="17" t="b">
        <v>1</v>
      </c>
    </row>
    <row r="12" spans="1:46" ht="16.5" customHeight="1" x14ac:dyDescent="0.3">
      <c r="A12" s="17">
        <v>10000514</v>
      </c>
      <c r="B12" s="17" t="s">
        <v>99</v>
      </c>
      <c r="C12" s="17">
        <v>151401</v>
      </c>
      <c r="D12" s="17" t="s">
        <v>542</v>
      </c>
      <c r="E12" s="17" t="str">
        <f>"character_name_"&amp;A12</f>
        <v>character_name_10000514</v>
      </c>
      <c r="F12" s="17" t="str">
        <f>D12&amp;"_profile"</f>
        <v>c514_profile</v>
      </c>
      <c r="G12" s="17" t="s">
        <v>36</v>
      </c>
      <c r="H12" s="17" t="s">
        <v>29</v>
      </c>
      <c r="I12" s="17" t="s">
        <v>37</v>
      </c>
      <c r="J12" s="17" t="b">
        <v>1</v>
      </c>
      <c r="K12" s="24" t="s">
        <v>38</v>
      </c>
      <c r="L12" s="17">
        <v>2</v>
      </c>
      <c r="M12" s="17" t="s">
        <v>39</v>
      </c>
      <c r="N12" s="17" t="s">
        <v>76</v>
      </c>
      <c r="O12" s="17">
        <f>100+L12</f>
        <v>102</v>
      </c>
      <c r="P12" s="17">
        <f t="array" ref="P12">_xlfn.IFS($N12="Attacker",6,$N12="Healer",3,$N12="Magician",4,$N12="Defender",3,$N12="Supporter",4)</f>
        <v>4</v>
      </c>
      <c r="Q12" s="17">
        <f t="array" ref="Q12">_xlfn.IFS($N12="Attacker",6,$N12="Healer",3,$N12="Magician",4,$N12="Defender",3,$N12="Supporter",4)</f>
        <v>4</v>
      </c>
      <c r="R12" s="17">
        <v>1</v>
      </c>
      <c r="S12" s="17">
        <v>0</v>
      </c>
      <c r="T12" s="17">
        <v>0</v>
      </c>
      <c r="U12" s="17" t="s">
        <v>41</v>
      </c>
      <c r="V12" s="17">
        <f t="array" ref="V12">_xlfn.IFS(N12="Attacker",80,N12="Healer",90,N12="Magician",100,N12="Defender",110,N12="Supporter",120)</f>
        <v>100</v>
      </c>
      <c r="W12" s="17" t="s">
        <v>42</v>
      </c>
      <c r="X12" s="17">
        <v>5100</v>
      </c>
      <c r="Y12" s="17" t="s">
        <v>43</v>
      </c>
      <c r="Z12" s="17">
        <v>420</v>
      </c>
      <c r="AA12" s="17" t="s">
        <v>44</v>
      </c>
      <c r="AB12" s="17">
        <v>120</v>
      </c>
      <c r="AC12" s="17" t="s">
        <v>45</v>
      </c>
      <c r="AD12" s="17">
        <v>156</v>
      </c>
      <c r="AE12" s="17" t="s">
        <v>46</v>
      </c>
      <c r="AF12" s="17">
        <v>100</v>
      </c>
      <c r="AG12" s="17" t="s">
        <v>47</v>
      </c>
      <c r="AH12" s="17">
        <v>100</v>
      </c>
      <c r="AI12" s="17" t="s">
        <v>48</v>
      </c>
      <c r="AJ12" s="17">
        <v>5000</v>
      </c>
      <c r="AK12" s="17" t="s">
        <v>49</v>
      </c>
      <c r="AL12" s="17">
        <v>150000</v>
      </c>
      <c r="AM12" s="17">
        <f>INT(1&amp;L12&amp;TEXT(RIGHT(A12,3),"0000")&amp;"01")</f>
        <v>12051401</v>
      </c>
      <c r="AN12" s="17" t="b">
        <v>1</v>
      </c>
      <c r="AO12" s="17">
        <f>INT(2&amp;$L12&amp;TEXT(RIGHT($A12,3),"0000")&amp;"01")</f>
        <v>22051401</v>
      </c>
      <c r="AP12" s="17" t="b">
        <v>1</v>
      </c>
      <c r="AQ12" s="17">
        <f>INT(3&amp;$L12&amp;TEXT(RIGHT($A12,3),"0000")&amp;"01")</f>
        <v>32051401</v>
      </c>
      <c r="AR12" s="17" t="b">
        <v>1</v>
      </c>
      <c r="AS12" s="17">
        <f>INT(4&amp;$L12&amp;TEXT(RIGHT($A12,3),"0000")&amp;"01")</f>
        <v>42051401</v>
      </c>
      <c r="AT12" s="17" t="b">
        <v>1</v>
      </c>
    </row>
    <row r="13" spans="1:46" ht="16.5" customHeight="1" x14ac:dyDescent="0.3">
      <c r="A13" s="17">
        <v>10000432</v>
      </c>
      <c r="B13" s="17" t="s">
        <v>123</v>
      </c>
      <c r="C13" s="17">
        <v>143201</v>
      </c>
      <c r="D13" s="17" t="s">
        <v>500</v>
      </c>
      <c r="E13" s="17" t="str">
        <f>"character_name_"&amp;A13</f>
        <v>character_name_10000432</v>
      </c>
      <c r="F13" s="17" t="str">
        <f>D13&amp;"_profile"</f>
        <v>c432_profile</v>
      </c>
      <c r="G13" s="17" t="s">
        <v>36</v>
      </c>
      <c r="H13" s="17" t="s">
        <v>29</v>
      </c>
      <c r="I13" s="17" t="s">
        <v>37</v>
      </c>
      <c r="J13" s="17" t="b">
        <v>1</v>
      </c>
      <c r="K13" s="24" t="s">
        <v>38</v>
      </c>
      <c r="L13" s="17">
        <v>3</v>
      </c>
      <c r="M13" s="17" t="s">
        <v>39</v>
      </c>
      <c r="N13" s="17" t="s">
        <v>76</v>
      </c>
      <c r="O13" s="17">
        <f>100+L13</f>
        <v>103</v>
      </c>
      <c r="P13" s="17">
        <f t="array" ref="P13">_xlfn.IFS($N13="Attacker",6,$N13="Healer",3,$N13="Magician",4,$N13="Defender",3,$N13="Supporter",4)</f>
        <v>4</v>
      </c>
      <c r="Q13" s="17">
        <f t="array" ref="Q13">_xlfn.IFS($N13="Attacker",6,$N13="Healer",3,$N13="Magician",4,$N13="Defender",3,$N13="Supporter",4)</f>
        <v>4</v>
      </c>
      <c r="R13" s="17">
        <v>1</v>
      </c>
      <c r="S13" s="17">
        <v>0</v>
      </c>
      <c r="T13" s="17">
        <v>0</v>
      </c>
      <c r="U13" s="17" t="s">
        <v>41</v>
      </c>
      <c r="V13" s="17">
        <f t="array" ref="V13">_xlfn.IFS(N13="Attacker",80,N13="Healer",90,N13="Magician",100,N13="Defender",110,N13="Supporter",120)</f>
        <v>100</v>
      </c>
      <c r="W13" s="17" t="s">
        <v>42</v>
      </c>
      <c r="X13" s="17">
        <v>5100</v>
      </c>
      <c r="Y13" s="17" t="s">
        <v>43</v>
      </c>
      <c r="Z13" s="17">
        <v>420</v>
      </c>
      <c r="AA13" s="17" t="s">
        <v>44</v>
      </c>
      <c r="AB13" s="17">
        <v>120</v>
      </c>
      <c r="AC13" s="17" t="s">
        <v>45</v>
      </c>
      <c r="AD13" s="17">
        <v>156</v>
      </c>
      <c r="AE13" s="17" t="s">
        <v>46</v>
      </c>
      <c r="AF13" s="17">
        <v>100</v>
      </c>
      <c r="AG13" s="17" t="s">
        <v>47</v>
      </c>
      <c r="AH13" s="17">
        <v>100</v>
      </c>
      <c r="AI13" s="17" t="s">
        <v>48</v>
      </c>
      <c r="AJ13" s="17">
        <v>5000</v>
      </c>
      <c r="AK13" s="17" t="s">
        <v>49</v>
      </c>
      <c r="AL13" s="17">
        <v>150000</v>
      </c>
      <c r="AM13" s="17">
        <f>INT(1&amp;L13&amp;TEXT(RIGHT(A13,3),"0000")&amp;"01")</f>
        <v>13043201</v>
      </c>
      <c r="AN13" s="17" t="b">
        <v>1</v>
      </c>
      <c r="AO13" s="17">
        <f>INT(2&amp;$L13&amp;TEXT(RIGHT($A13,3),"0000")&amp;"01")</f>
        <v>23043201</v>
      </c>
      <c r="AP13" s="17" t="b">
        <v>1</v>
      </c>
      <c r="AQ13" s="17">
        <f>INT(3&amp;$L13&amp;TEXT(RIGHT($A13,3),"0000")&amp;"01")</f>
        <v>33043201</v>
      </c>
      <c r="AR13" s="17" t="b">
        <v>1</v>
      </c>
      <c r="AS13" s="17">
        <f>INT(4&amp;$L13&amp;TEXT(RIGHT($A13,3),"0000")&amp;"01")</f>
        <v>43043201</v>
      </c>
      <c r="AT13" s="17" t="b">
        <v>1</v>
      </c>
    </row>
    <row r="14" spans="1:46" ht="16.5" customHeight="1" x14ac:dyDescent="0.3">
      <c r="A14" s="17">
        <v>10000400</v>
      </c>
      <c r="B14" s="17" t="s">
        <v>127</v>
      </c>
      <c r="C14" s="17">
        <v>140001</v>
      </c>
      <c r="D14" s="17" t="s">
        <v>534</v>
      </c>
      <c r="E14" s="17" t="str">
        <f>"character_name_"&amp;A14</f>
        <v>character_name_10000400</v>
      </c>
      <c r="F14" s="17" t="str">
        <f>D14&amp;"_profile"</f>
        <v>c400_profile</v>
      </c>
      <c r="G14" s="17" t="s">
        <v>36</v>
      </c>
      <c r="H14" s="17" t="s">
        <v>29</v>
      </c>
      <c r="I14" s="17" t="s">
        <v>37</v>
      </c>
      <c r="J14" s="17" t="b">
        <v>1</v>
      </c>
      <c r="K14" s="24" t="s">
        <v>38</v>
      </c>
      <c r="L14" s="17">
        <v>3</v>
      </c>
      <c r="M14" s="17" t="s">
        <v>39</v>
      </c>
      <c r="N14" s="17" t="s">
        <v>76</v>
      </c>
      <c r="O14" s="17">
        <f>100+L14</f>
        <v>103</v>
      </c>
      <c r="P14" s="17">
        <f t="array" ref="P14">_xlfn.IFS($N14="Attacker",6,$N14="Healer",3,$N14="Magician",4,$N14="Defender",3,$N14="Supporter",4)</f>
        <v>4</v>
      </c>
      <c r="Q14" s="17">
        <f t="array" ref="Q14">_xlfn.IFS($N14="Attacker",6,$N14="Healer",3,$N14="Magician",4,$N14="Defender",3,$N14="Supporter",4)</f>
        <v>4</v>
      </c>
      <c r="R14" s="17">
        <v>1</v>
      </c>
      <c r="S14" s="17">
        <v>0</v>
      </c>
      <c r="T14" s="17">
        <v>0</v>
      </c>
      <c r="U14" s="17" t="s">
        <v>41</v>
      </c>
      <c r="V14" s="17">
        <f t="array" ref="V14">_xlfn.IFS(N14="Attacker",80,N14="Healer",90,N14="Magician",100,N14="Defender",110,N14="Supporter",120)</f>
        <v>100</v>
      </c>
      <c r="W14" s="17" t="s">
        <v>42</v>
      </c>
      <c r="X14" s="17">
        <v>5100</v>
      </c>
      <c r="Y14" s="17" t="s">
        <v>43</v>
      </c>
      <c r="Z14" s="17">
        <v>420</v>
      </c>
      <c r="AA14" s="17" t="s">
        <v>44</v>
      </c>
      <c r="AB14" s="17">
        <v>120</v>
      </c>
      <c r="AC14" s="17" t="s">
        <v>45</v>
      </c>
      <c r="AD14" s="17">
        <v>156</v>
      </c>
      <c r="AE14" s="17" t="s">
        <v>46</v>
      </c>
      <c r="AF14" s="17">
        <v>100</v>
      </c>
      <c r="AG14" s="17" t="s">
        <v>47</v>
      </c>
      <c r="AH14" s="17">
        <v>100</v>
      </c>
      <c r="AI14" s="17" t="s">
        <v>48</v>
      </c>
      <c r="AJ14" s="17">
        <v>5000</v>
      </c>
      <c r="AK14" s="17" t="s">
        <v>49</v>
      </c>
      <c r="AL14" s="17">
        <v>150000</v>
      </c>
      <c r="AM14" s="17">
        <f>INT(1&amp;L14&amp;TEXT(RIGHT(A14,3),"0000")&amp;"01")</f>
        <v>13040001</v>
      </c>
      <c r="AN14" s="17" t="b">
        <v>1</v>
      </c>
      <c r="AO14" s="17">
        <f>INT(2&amp;$L14&amp;TEXT(RIGHT($A14,3),"0000")&amp;"01")</f>
        <v>23040001</v>
      </c>
      <c r="AP14" s="17" t="b">
        <v>1</v>
      </c>
      <c r="AQ14" s="17">
        <f>INT(3&amp;$L14&amp;TEXT(RIGHT($A14,3),"0000")&amp;"01")</f>
        <v>33040001</v>
      </c>
      <c r="AR14" s="17" t="b">
        <v>1</v>
      </c>
      <c r="AS14" s="17">
        <f>INT(4&amp;$L14&amp;TEXT(RIGHT($A14,3),"0000")&amp;"01")</f>
        <v>43040001</v>
      </c>
      <c r="AT14" s="17" t="b">
        <v>1</v>
      </c>
    </row>
    <row r="15" spans="1:46" ht="16.5" customHeight="1" x14ac:dyDescent="0.3">
      <c r="A15" s="17">
        <v>10000035</v>
      </c>
      <c r="B15" s="17" t="s">
        <v>33</v>
      </c>
      <c r="C15" s="17">
        <v>103501</v>
      </c>
      <c r="D15" s="17" t="s">
        <v>34</v>
      </c>
      <c r="E15" s="17" t="s">
        <v>35</v>
      </c>
      <c r="F15" s="17" t="str">
        <f>D15&amp;"_profile"</f>
        <v>c035_profile</v>
      </c>
      <c r="G15" s="17" t="s">
        <v>36</v>
      </c>
      <c r="H15" s="17" t="s">
        <v>29</v>
      </c>
      <c r="I15" s="17" t="s">
        <v>37</v>
      </c>
      <c r="J15" s="17" t="b">
        <v>1</v>
      </c>
      <c r="K15" s="69" t="s">
        <v>38</v>
      </c>
      <c r="L15" s="17">
        <v>1</v>
      </c>
      <c r="M15" s="17" t="s">
        <v>39</v>
      </c>
      <c r="N15" s="17" t="s">
        <v>40</v>
      </c>
      <c r="O15" s="17">
        <f>100+L15</f>
        <v>101</v>
      </c>
      <c r="P15" s="17">
        <v>4</v>
      </c>
      <c r="Q15" s="17">
        <v>4</v>
      </c>
      <c r="R15" s="17">
        <v>1</v>
      </c>
      <c r="S15" s="17">
        <v>0</v>
      </c>
      <c r="T15" s="17">
        <v>0</v>
      </c>
      <c r="U15" s="17" t="s">
        <v>41</v>
      </c>
      <c r="V15" s="17">
        <v>120</v>
      </c>
      <c r="W15" s="17" t="s">
        <v>42</v>
      </c>
      <c r="X15" s="17">
        <v>5909</v>
      </c>
      <c r="Y15" s="17" t="s">
        <v>43</v>
      </c>
      <c r="Z15" s="17">
        <v>198</v>
      </c>
      <c r="AA15" s="17" t="s">
        <v>44</v>
      </c>
      <c r="AB15" s="17">
        <v>142</v>
      </c>
      <c r="AC15" s="17" t="s">
        <v>45</v>
      </c>
      <c r="AD15" s="17">
        <v>142</v>
      </c>
      <c r="AE15" s="17" t="s">
        <v>46</v>
      </c>
      <c r="AF15" s="17">
        <v>100</v>
      </c>
      <c r="AG15" s="17" t="s">
        <v>47</v>
      </c>
      <c r="AH15" s="17">
        <v>100</v>
      </c>
      <c r="AI15" s="17" t="s">
        <v>48</v>
      </c>
      <c r="AJ15" s="17">
        <v>5000</v>
      </c>
      <c r="AK15" s="17" t="s">
        <v>49</v>
      </c>
      <c r="AL15" s="17">
        <v>150000</v>
      </c>
      <c r="AM15" s="17">
        <f>INT(1&amp;$L15&amp;TEXT(RIGHT($A15,3),"0000")&amp;"01")</f>
        <v>11003501</v>
      </c>
      <c r="AN15" s="17" t="b">
        <v>1</v>
      </c>
      <c r="AO15" s="17">
        <f>INT(2&amp;$L15&amp;TEXT(RIGHT($A15,3),"0000")&amp;"01")</f>
        <v>21003501</v>
      </c>
      <c r="AP15" s="17" t="b">
        <v>1</v>
      </c>
      <c r="AQ15" s="17">
        <f>INT(3&amp;$L15&amp;TEXT(RIGHT($A15,3),"0000")&amp;"01")</f>
        <v>31003501</v>
      </c>
      <c r="AR15" s="17" t="b">
        <v>1</v>
      </c>
      <c r="AS15" s="17">
        <f>INT(4&amp;$L15&amp;TEXT(RIGHT($A15,3),"0000")&amp;"01")</f>
        <v>41003501</v>
      </c>
      <c r="AT15" s="17" t="b">
        <v>1</v>
      </c>
    </row>
    <row r="16" spans="1:46" ht="16.5" customHeight="1" x14ac:dyDescent="0.3">
      <c r="A16" s="17">
        <v>10000294</v>
      </c>
      <c r="B16" s="17" t="s">
        <v>124</v>
      </c>
      <c r="C16" s="17">
        <v>129401</v>
      </c>
      <c r="D16" s="17" t="s">
        <v>504</v>
      </c>
      <c r="E16" s="17" t="str">
        <f>"character_name_"&amp;A16</f>
        <v>character_name_10000294</v>
      </c>
      <c r="F16" s="17" t="str">
        <f>D16&amp;"_profile"</f>
        <v>c294_profile</v>
      </c>
      <c r="G16" s="17" t="s">
        <v>36</v>
      </c>
      <c r="H16" s="17" t="s">
        <v>29</v>
      </c>
      <c r="I16" s="17" t="s">
        <v>37</v>
      </c>
      <c r="J16" s="17" t="b">
        <v>1</v>
      </c>
      <c r="K16" s="24" t="s">
        <v>38</v>
      </c>
      <c r="L16" s="17">
        <v>3</v>
      </c>
      <c r="M16" s="17" t="s">
        <v>39</v>
      </c>
      <c r="N16" s="17" t="s">
        <v>40</v>
      </c>
      <c r="O16" s="17">
        <f>100+L16</f>
        <v>103</v>
      </c>
      <c r="P16" s="17">
        <v>6</v>
      </c>
      <c r="Q16" s="17">
        <v>6</v>
      </c>
      <c r="R16" s="17">
        <v>1</v>
      </c>
      <c r="S16" s="17">
        <v>0</v>
      </c>
      <c r="T16" s="17">
        <v>0</v>
      </c>
      <c r="U16" s="17" t="s">
        <v>41</v>
      </c>
      <c r="V16" s="17">
        <f t="array" ref="V16">_xlfn.IFS(N16="Attacker",80,N16="Healer",90,N16="Magician",100,N16="Defender",110,N16="Supporter",120)</f>
        <v>120</v>
      </c>
      <c r="W16" s="17" t="s">
        <v>42</v>
      </c>
      <c r="X16" s="17">
        <v>5100</v>
      </c>
      <c r="Y16" s="17" t="s">
        <v>43</v>
      </c>
      <c r="Z16" s="17">
        <v>420</v>
      </c>
      <c r="AA16" s="17" t="s">
        <v>44</v>
      </c>
      <c r="AB16" s="17">
        <v>120</v>
      </c>
      <c r="AC16" s="17" t="s">
        <v>45</v>
      </c>
      <c r="AD16" s="17">
        <v>156</v>
      </c>
      <c r="AE16" s="17" t="s">
        <v>46</v>
      </c>
      <c r="AF16" s="17">
        <v>100</v>
      </c>
      <c r="AG16" s="17" t="s">
        <v>47</v>
      </c>
      <c r="AH16" s="17">
        <v>100</v>
      </c>
      <c r="AI16" s="17" t="s">
        <v>48</v>
      </c>
      <c r="AJ16" s="17">
        <v>5000</v>
      </c>
      <c r="AK16" s="17" t="s">
        <v>49</v>
      </c>
      <c r="AL16" s="17">
        <v>150000</v>
      </c>
      <c r="AM16" s="17">
        <f>INT(1&amp;L16&amp;TEXT(RIGHT(A16,3),"0000")&amp;"01")</f>
        <v>13029401</v>
      </c>
      <c r="AN16" s="17" t="b">
        <v>1</v>
      </c>
      <c r="AO16" s="17">
        <f>INT(2&amp;$L16&amp;TEXT(RIGHT($A16,3),"0000")&amp;"01")</f>
        <v>23029401</v>
      </c>
      <c r="AP16" s="17" t="b">
        <v>1</v>
      </c>
      <c r="AQ16" s="17">
        <f>INT(3&amp;$L16&amp;TEXT(RIGHT($A16,3),"0000")&amp;"01")</f>
        <v>33029401</v>
      </c>
      <c r="AR16" s="17" t="b">
        <v>1</v>
      </c>
      <c r="AS16" s="17">
        <f>INT(4&amp;$L16&amp;TEXT(RIGHT($A16,3),"0000")&amp;"01")</f>
        <v>43029401</v>
      </c>
      <c r="AT16" s="17" t="b">
        <v>1</v>
      </c>
    </row>
    <row r="17" spans="1:46" ht="16.5" customHeight="1" x14ac:dyDescent="0.3">
      <c r="A17" s="17">
        <v>10000485</v>
      </c>
      <c r="B17" s="17" t="s">
        <v>130</v>
      </c>
      <c r="C17" s="17">
        <v>148501</v>
      </c>
      <c r="D17" s="17" t="s">
        <v>977</v>
      </c>
      <c r="E17" s="17" t="str">
        <f>"character_name_"&amp;A17</f>
        <v>character_name_10000485</v>
      </c>
      <c r="F17" s="17" t="str">
        <f>D17&amp;"_profile"</f>
        <v>c485_profile</v>
      </c>
      <c r="G17" s="17" t="s">
        <v>36</v>
      </c>
      <c r="H17" s="17" t="s">
        <v>29</v>
      </c>
      <c r="I17" s="17" t="s">
        <v>37</v>
      </c>
      <c r="J17" s="17" t="b">
        <v>1</v>
      </c>
      <c r="K17" s="24" t="s">
        <v>38</v>
      </c>
      <c r="L17" s="17">
        <v>3</v>
      </c>
      <c r="M17" s="17" t="s">
        <v>39</v>
      </c>
      <c r="N17" s="17" t="s">
        <v>40</v>
      </c>
      <c r="O17" s="17">
        <f>100+L17</f>
        <v>103</v>
      </c>
      <c r="P17" s="17">
        <v>4</v>
      </c>
      <c r="Q17" s="17">
        <v>4</v>
      </c>
      <c r="R17" s="17">
        <v>1</v>
      </c>
      <c r="S17" s="17">
        <v>0</v>
      </c>
      <c r="T17" s="17">
        <v>0</v>
      </c>
      <c r="U17" s="17" t="s">
        <v>41</v>
      </c>
      <c r="V17" s="17">
        <f t="array" ref="V17">_xlfn.IFS(N17="Attacker",80,N17="Healer",90,N17="Magician",100,N17="Defender",110,N17="Supporter",120)</f>
        <v>120</v>
      </c>
      <c r="W17" s="17" t="s">
        <v>42</v>
      </c>
      <c r="X17" s="17">
        <v>5909</v>
      </c>
      <c r="Y17" s="17" t="s">
        <v>43</v>
      </c>
      <c r="Z17" s="17">
        <v>198</v>
      </c>
      <c r="AA17" s="17" t="s">
        <v>44</v>
      </c>
      <c r="AB17" s="17">
        <v>142</v>
      </c>
      <c r="AC17" s="17" t="s">
        <v>45</v>
      </c>
      <c r="AD17" s="17">
        <v>142</v>
      </c>
      <c r="AE17" s="17" t="s">
        <v>46</v>
      </c>
      <c r="AF17" s="17">
        <v>100</v>
      </c>
      <c r="AG17" s="17" t="s">
        <v>47</v>
      </c>
      <c r="AH17" s="17">
        <v>100</v>
      </c>
      <c r="AI17" s="17" t="s">
        <v>48</v>
      </c>
      <c r="AJ17" s="17">
        <v>5000</v>
      </c>
      <c r="AK17" s="17" t="s">
        <v>49</v>
      </c>
      <c r="AL17" s="17">
        <v>150000</v>
      </c>
      <c r="AM17" s="17">
        <f>INT(1&amp;L17&amp;TEXT(RIGHT(A17,3),"0000")&amp;"01")</f>
        <v>13048501</v>
      </c>
      <c r="AN17" s="17" t="b">
        <v>1</v>
      </c>
      <c r="AO17" s="17">
        <f>INT(2&amp;$L17&amp;TEXT(RIGHT($A17,3),"0000")&amp;"01")</f>
        <v>23048501</v>
      </c>
      <c r="AP17" s="17" t="b">
        <v>1</v>
      </c>
      <c r="AQ17" s="17">
        <f>INT(3&amp;$L17&amp;TEXT(RIGHT($A17,3),"0000")&amp;"01")</f>
        <v>33048501</v>
      </c>
      <c r="AR17" s="17" t="b">
        <v>1</v>
      </c>
      <c r="AS17" s="17">
        <f>INT(4&amp;$L17&amp;TEXT(RIGHT($A17,3),"0000")&amp;"01")</f>
        <v>43048501</v>
      </c>
      <c r="AT17" s="17" t="b">
        <v>1</v>
      </c>
    </row>
    <row r="18" spans="1:46" ht="16.5" customHeight="1" x14ac:dyDescent="0.3">
      <c r="A18" s="17">
        <v>10000083</v>
      </c>
      <c r="B18" s="17" t="s">
        <v>63</v>
      </c>
      <c r="C18" s="17">
        <v>108301</v>
      </c>
      <c r="D18" s="17" t="s">
        <v>64</v>
      </c>
      <c r="E18" s="17" t="s">
        <v>65</v>
      </c>
      <c r="F18" s="17" t="str">
        <f>D18&amp;"_profile"</f>
        <v>c083_profile</v>
      </c>
      <c r="G18" s="17" t="s">
        <v>36</v>
      </c>
      <c r="H18" s="17" t="s">
        <v>29</v>
      </c>
      <c r="I18" s="17" t="s">
        <v>37</v>
      </c>
      <c r="J18" s="17" t="b">
        <v>1</v>
      </c>
      <c r="K18" s="24" t="s">
        <v>38</v>
      </c>
      <c r="L18" s="17">
        <v>1</v>
      </c>
      <c r="M18" s="17" t="s">
        <v>61</v>
      </c>
      <c r="N18" s="17" t="s">
        <v>57</v>
      </c>
      <c r="O18" s="17">
        <f>100+L18</f>
        <v>101</v>
      </c>
      <c r="P18" s="17">
        <v>6</v>
      </c>
      <c r="Q18" s="17">
        <v>6</v>
      </c>
      <c r="R18" s="17">
        <v>1</v>
      </c>
      <c r="S18" s="17">
        <v>0</v>
      </c>
      <c r="T18" s="17">
        <v>0</v>
      </c>
      <c r="U18" s="17" t="s">
        <v>41</v>
      </c>
      <c r="V18" s="17">
        <v>80</v>
      </c>
      <c r="W18" s="17" t="s">
        <v>42</v>
      </c>
      <c r="X18" s="17">
        <v>5100</v>
      </c>
      <c r="Y18" s="17" t="s">
        <v>43</v>
      </c>
      <c r="Z18" s="17">
        <v>420</v>
      </c>
      <c r="AA18" s="17" t="s">
        <v>44</v>
      </c>
      <c r="AB18" s="17">
        <v>120</v>
      </c>
      <c r="AC18" s="17" t="s">
        <v>45</v>
      </c>
      <c r="AD18" s="17">
        <v>120</v>
      </c>
      <c r="AE18" s="17" t="s">
        <v>46</v>
      </c>
      <c r="AF18" s="17">
        <v>100</v>
      </c>
      <c r="AG18" s="17" t="s">
        <v>47</v>
      </c>
      <c r="AH18" s="17">
        <v>100</v>
      </c>
      <c r="AI18" s="17" t="s">
        <v>48</v>
      </c>
      <c r="AJ18" s="17">
        <v>5000</v>
      </c>
      <c r="AK18" s="17" t="s">
        <v>49</v>
      </c>
      <c r="AL18" s="17">
        <v>150000</v>
      </c>
      <c r="AM18" s="17">
        <f>INT(1&amp;L18&amp;TEXT(RIGHT(A18,3),"0000")&amp;"01")</f>
        <v>11008301</v>
      </c>
      <c r="AN18" s="17" t="b">
        <v>1</v>
      </c>
      <c r="AO18" s="17">
        <f>INT(2&amp;$L18&amp;TEXT(RIGHT($A18,3),"0000")&amp;"01")</f>
        <v>21008301</v>
      </c>
      <c r="AP18" s="17" t="b">
        <v>1</v>
      </c>
      <c r="AQ18" s="17">
        <f>INT(3&amp;$L18&amp;TEXT(RIGHT($A18,3),"0000")&amp;"01")</f>
        <v>31008301</v>
      </c>
      <c r="AR18" s="17" t="b">
        <v>1</v>
      </c>
      <c r="AS18" s="17">
        <f>INT(4&amp;$L18&amp;TEXT(RIGHT($A18,3),"0000")&amp;"01")</f>
        <v>41008301</v>
      </c>
      <c r="AT18" s="17" t="b">
        <v>1</v>
      </c>
    </row>
    <row r="19" spans="1:46" ht="16.5" customHeight="1" x14ac:dyDescent="0.3">
      <c r="A19" s="17">
        <v>10000412</v>
      </c>
      <c r="B19" s="17" t="s">
        <v>103</v>
      </c>
      <c r="C19" s="17">
        <v>141201</v>
      </c>
      <c r="D19" s="17" t="s">
        <v>512</v>
      </c>
      <c r="E19" s="17" t="str">
        <f>"character_name_"&amp;A19</f>
        <v>character_name_10000412</v>
      </c>
      <c r="F19" s="17" t="str">
        <f>D19&amp;"_profile"</f>
        <v>c412_profile</v>
      </c>
      <c r="G19" s="17" t="s">
        <v>36</v>
      </c>
      <c r="H19" s="17" t="s">
        <v>29</v>
      </c>
      <c r="I19" s="17" t="s">
        <v>37</v>
      </c>
      <c r="J19" s="17" t="b">
        <v>1</v>
      </c>
      <c r="K19" s="24" t="s">
        <v>38</v>
      </c>
      <c r="L19" s="17">
        <v>2</v>
      </c>
      <c r="M19" s="17" t="s">
        <v>61</v>
      </c>
      <c r="N19" s="17" t="s">
        <v>57</v>
      </c>
      <c r="O19" s="17">
        <f>100+L19</f>
        <v>102</v>
      </c>
      <c r="P19" s="17">
        <f t="array" ref="P19">_xlfn.IFS($N19="Attacker",6,$N19="Healer",3,$N19="Magician",4,$N19="Defender",3,$N19="Supporter",4)</f>
        <v>6</v>
      </c>
      <c r="Q19" s="17">
        <f t="array" ref="Q19">_xlfn.IFS($N19="Attacker",6,$N19="Healer",3,$N19="Magician",4,$N19="Defender",3,$N19="Supporter",4)</f>
        <v>6</v>
      </c>
      <c r="R19" s="17">
        <v>1</v>
      </c>
      <c r="S19" s="17">
        <v>0</v>
      </c>
      <c r="T19" s="17">
        <v>0</v>
      </c>
      <c r="U19" s="17" t="s">
        <v>41</v>
      </c>
      <c r="V19" s="17">
        <f t="array" ref="V19">_xlfn.IFS(N19="Attacker",80,N19="Healer",90,N19="Magician",100,N19="Defender",110,N19="Supporter",120)</f>
        <v>80</v>
      </c>
      <c r="W19" s="17" t="s">
        <v>42</v>
      </c>
      <c r="X19" s="17">
        <v>5100</v>
      </c>
      <c r="Y19" s="17" t="s">
        <v>43</v>
      </c>
      <c r="Z19" s="17">
        <v>420</v>
      </c>
      <c r="AA19" s="17" t="s">
        <v>44</v>
      </c>
      <c r="AB19" s="17">
        <v>120</v>
      </c>
      <c r="AC19" s="17" t="s">
        <v>45</v>
      </c>
      <c r="AD19" s="17">
        <v>130</v>
      </c>
      <c r="AE19" s="17" t="s">
        <v>46</v>
      </c>
      <c r="AF19" s="17">
        <v>100</v>
      </c>
      <c r="AG19" s="17" t="s">
        <v>47</v>
      </c>
      <c r="AH19" s="17">
        <v>100</v>
      </c>
      <c r="AI19" s="17" t="s">
        <v>48</v>
      </c>
      <c r="AJ19" s="17">
        <v>5000</v>
      </c>
      <c r="AK19" s="17" t="s">
        <v>49</v>
      </c>
      <c r="AL19" s="17">
        <v>150000</v>
      </c>
      <c r="AM19" s="17">
        <f>INT(1&amp;L19&amp;TEXT(RIGHT(A19,3),"0000")&amp;"01")</f>
        <v>12041201</v>
      </c>
      <c r="AN19" s="17" t="b">
        <v>1</v>
      </c>
      <c r="AO19" s="17">
        <f>INT(2&amp;$L19&amp;TEXT(RIGHT($A19,3),"0000")&amp;"01")</f>
        <v>22041201</v>
      </c>
      <c r="AP19" s="17" t="b">
        <v>1</v>
      </c>
      <c r="AQ19" s="17">
        <f>INT(3&amp;$L19&amp;TEXT(RIGHT($A19,3),"0000")&amp;"01")</f>
        <v>32041201</v>
      </c>
      <c r="AR19" s="17" t="b">
        <v>1</v>
      </c>
      <c r="AS19" s="17">
        <f>INT(4&amp;$L19&amp;TEXT(RIGHT($A19,3),"0000")&amp;"01")</f>
        <v>42041201</v>
      </c>
      <c r="AT19" s="17" t="b">
        <v>1</v>
      </c>
    </row>
    <row r="20" spans="1:46" ht="16.5" customHeight="1" x14ac:dyDescent="0.3">
      <c r="A20" s="17">
        <v>10000501</v>
      </c>
      <c r="B20" s="17" t="s">
        <v>132</v>
      </c>
      <c r="C20" s="17">
        <v>150101</v>
      </c>
      <c r="D20" s="17" t="s">
        <v>506</v>
      </c>
      <c r="E20" s="17" t="str">
        <f>"character_name_"&amp;A20</f>
        <v>character_name_10000501</v>
      </c>
      <c r="F20" s="17" t="str">
        <f>D20&amp;"_profile"</f>
        <v>c501_profile</v>
      </c>
      <c r="G20" s="17" t="s">
        <v>36</v>
      </c>
      <c r="H20" s="17" t="s">
        <v>29</v>
      </c>
      <c r="I20" s="17" t="s">
        <v>37</v>
      </c>
      <c r="J20" s="17" t="b">
        <v>1</v>
      </c>
      <c r="K20" s="24" t="s">
        <v>38</v>
      </c>
      <c r="L20" s="17">
        <v>3</v>
      </c>
      <c r="M20" s="17" t="s">
        <v>61</v>
      </c>
      <c r="N20" s="17" t="s">
        <v>57</v>
      </c>
      <c r="O20" s="17">
        <f>100+L20</f>
        <v>103</v>
      </c>
      <c r="P20" s="17">
        <f t="array" ref="P20">_xlfn.IFS($N20="Attacker",6,$N20="Healer",3,$N20="Magician",4,$N20="Defender",3,$N20="Supporter",4)</f>
        <v>6</v>
      </c>
      <c r="Q20" s="17">
        <f t="array" ref="Q20">_xlfn.IFS($N20="Attacker",6,$N20="Healer",3,$N20="Magician",4,$N20="Defender",3,$N20="Supporter",4)</f>
        <v>6</v>
      </c>
      <c r="R20" s="17">
        <v>1</v>
      </c>
      <c r="S20" s="17">
        <v>0</v>
      </c>
      <c r="T20" s="17">
        <v>0</v>
      </c>
      <c r="U20" s="17" t="s">
        <v>41</v>
      </c>
      <c r="V20" s="17">
        <f t="array" ref="V20">_xlfn.IFS(N20="Attacker",80,N20="Healer",90,N20="Magician",100,N20="Defender",110,N20="Supporter",120)</f>
        <v>80</v>
      </c>
      <c r="W20" s="17" t="s">
        <v>42</v>
      </c>
      <c r="X20" s="17">
        <v>8650</v>
      </c>
      <c r="Y20" s="17" t="s">
        <v>43</v>
      </c>
      <c r="Z20" s="17">
        <v>252</v>
      </c>
      <c r="AA20" s="17" t="s">
        <v>44</v>
      </c>
      <c r="AB20" s="17">
        <v>240</v>
      </c>
      <c r="AC20" s="17" t="s">
        <v>45</v>
      </c>
      <c r="AD20" s="17">
        <v>234</v>
      </c>
      <c r="AE20" s="17" t="s">
        <v>46</v>
      </c>
      <c r="AF20" s="17">
        <v>100</v>
      </c>
      <c r="AG20" s="17" t="s">
        <v>47</v>
      </c>
      <c r="AH20" s="17">
        <v>100</v>
      </c>
      <c r="AI20" s="17" t="s">
        <v>48</v>
      </c>
      <c r="AJ20" s="17">
        <v>5000</v>
      </c>
      <c r="AK20" s="17" t="s">
        <v>49</v>
      </c>
      <c r="AL20" s="17">
        <v>150000</v>
      </c>
      <c r="AM20" s="17">
        <f>INT(1&amp;L20&amp;TEXT(RIGHT(A20,3),"0000")&amp;"01")</f>
        <v>13050101</v>
      </c>
      <c r="AN20" s="17" t="b">
        <v>1</v>
      </c>
      <c r="AO20" s="17">
        <f>INT(2&amp;$L20&amp;TEXT(RIGHT($A20,3),"0000")&amp;"01")</f>
        <v>23050101</v>
      </c>
      <c r="AP20" s="17" t="b">
        <v>1</v>
      </c>
      <c r="AQ20" s="17">
        <f>INT(3&amp;$L20&amp;TEXT(RIGHT($A20,3),"0000")&amp;"01")</f>
        <v>33050101</v>
      </c>
      <c r="AR20" s="17" t="b">
        <v>1</v>
      </c>
      <c r="AS20" s="17">
        <f>INT(4&amp;$L20&amp;TEXT(RIGHT($A20,3),"0000")&amp;"01")</f>
        <v>43050101</v>
      </c>
      <c r="AT20" s="17" t="b">
        <v>1</v>
      </c>
    </row>
    <row r="21" spans="1:46" ht="16.5" customHeight="1" x14ac:dyDescent="0.3">
      <c r="A21" s="17">
        <v>10000445</v>
      </c>
      <c r="B21" s="17" t="s">
        <v>133</v>
      </c>
      <c r="C21" s="17">
        <v>144501</v>
      </c>
      <c r="D21" s="17" t="s">
        <v>528</v>
      </c>
      <c r="E21" s="17" t="str">
        <f>"character_name_"&amp;A21</f>
        <v>character_name_10000445</v>
      </c>
      <c r="F21" s="17" t="str">
        <f>D21&amp;"_profile"</f>
        <v>c445_profile</v>
      </c>
      <c r="G21" s="17" t="s">
        <v>36</v>
      </c>
      <c r="H21" s="17" t="s">
        <v>29</v>
      </c>
      <c r="I21" s="17" t="s">
        <v>37</v>
      </c>
      <c r="J21" s="17" t="b">
        <v>1</v>
      </c>
      <c r="K21" s="24" t="s">
        <v>38</v>
      </c>
      <c r="L21" s="17">
        <v>3</v>
      </c>
      <c r="M21" s="17" t="s">
        <v>61</v>
      </c>
      <c r="N21" s="17" t="s">
        <v>57</v>
      </c>
      <c r="O21" s="17">
        <f>100+L21</f>
        <v>103</v>
      </c>
      <c r="P21" s="17">
        <v>4</v>
      </c>
      <c r="Q21" s="17">
        <v>4</v>
      </c>
      <c r="R21" s="17">
        <v>1</v>
      </c>
      <c r="S21" s="17">
        <v>0</v>
      </c>
      <c r="T21" s="17">
        <v>0</v>
      </c>
      <c r="U21" s="17" t="s">
        <v>41</v>
      </c>
      <c r="V21" s="17">
        <f t="array" ref="V21">_xlfn.IFS(N21="Attacker",80,N21="Healer",90,N21="Magician",100,N21="Defender",110,N21="Supporter",120)</f>
        <v>80</v>
      </c>
      <c r="W21" s="17" t="s">
        <v>42</v>
      </c>
      <c r="X21" s="17">
        <v>4743</v>
      </c>
      <c r="Y21" s="17" t="s">
        <v>43</v>
      </c>
      <c r="Z21" s="17">
        <v>341</v>
      </c>
      <c r="AA21" s="17" t="s">
        <v>44</v>
      </c>
      <c r="AB21" s="17">
        <v>108</v>
      </c>
      <c r="AC21" s="17" t="s">
        <v>45</v>
      </c>
      <c r="AD21" s="17">
        <v>156</v>
      </c>
      <c r="AE21" s="17" t="s">
        <v>46</v>
      </c>
      <c r="AF21" s="17">
        <v>100</v>
      </c>
      <c r="AG21" s="17" t="s">
        <v>47</v>
      </c>
      <c r="AH21" s="17">
        <v>100</v>
      </c>
      <c r="AI21" s="17" t="s">
        <v>48</v>
      </c>
      <c r="AJ21" s="17">
        <v>5000</v>
      </c>
      <c r="AK21" s="17" t="s">
        <v>49</v>
      </c>
      <c r="AL21" s="17">
        <v>150000</v>
      </c>
      <c r="AM21" s="17">
        <f>INT(1&amp;L21&amp;TEXT(RIGHT(A21,3),"0000")&amp;"01")</f>
        <v>13044501</v>
      </c>
      <c r="AN21" s="17" t="b">
        <v>1</v>
      </c>
      <c r="AO21" s="17">
        <f>INT(2&amp;$L21&amp;TEXT(RIGHT($A21,3),"0000")&amp;"01")</f>
        <v>23044501</v>
      </c>
      <c r="AP21" s="17" t="b">
        <v>1</v>
      </c>
      <c r="AQ21" s="17">
        <f>INT(3&amp;$L21&amp;TEXT(RIGHT($A21,3),"0000")&amp;"01")</f>
        <v>33044501</v>
      </c>
      <c r="AR21" s="17" t="b">
        <v>1</v>
      </c>
      <c r="AS21" s="17">
        <f>INT(4&amp;$L21&amp;TEXT(RIGHT($A21,3),"0000")&amp;"01")</f>
        <v>43044501</v>
      </c>
      <c r="AT21" s="17" t="b">
        <v>1</v>
      </c>
    </row>
    <row r="22" spans="1:46" ht="16.5" customHeight="1" x14ac:dyDescent="0.3">
      <c r="A22" s="17">
        <v>10000037</v>
      </c>
      <c r="B22" s="17" t="s">
        <v>58</v>
      </c>
      <c r="C22" s="17">
        <v>103701</v>
      </c>
      <c r="D22" s="17" t="s">
        <v>59</v>
      </c>
      <c r="E22" s="17" t="s">
        <v>60</v>
      </c>
      <c r="F22" s="17" t="str">
        <f>D22&amp;"_profile"</f>
        <v>c037_profile</v>
      </c>
      <c r="G22" s="17" t="s">
        <v>36</v>
      </c>
      <c r="H22" s="17" t="s">
        <v>29</v>
      </c>
      <c r="I22" s="17" t="s">
        <v>37</v>
      </c>
      <c r="J22" s="17" t="b">
        <v>1</v>
      </c>
      <c r="K22" s="24" t="s">
        <v>38</v>
      </c>
      <c r="L22" s="17">
        <v>1</v>
      </c>
      <c r="M22" s="17" t="s">
        <v>61</v>
      </c>
      <c r="N22" s="17" t="s">
        <v>62</v>
      </c>
      <c r="O22" s="17">
        <f>100+L22</f>
        <v>101</v>
      </c>
      <c r="P22" s="17">
        <v>3</v>
      </c>
      <c r="Q22" s="17">
        <v>3</v>
      </c>
      <c r="R22" s="17">
        <v>1</v>
      </c>
      <c r="S22" s="17">
        <v>0</v>
      </c>
      <c r="T22" s="17">
        <v>0</v>
      </c>
      <c r="U22" s="17" t="s">
        <v>41</v>
      </c>
      <c r="V22" s="17">
        <v>110</v>
      </c>
      <c r="W22" s="17" t="s">
        <v>42</v>
      </c>
      <c r="X22" s="17">
        <v>8650</v>
      </c>
      <c r="Y22" s="17" t="s">
        <v>43</v>
      </c>
      <c r="Z22" s="17">
        <v>252</v>
      </c>
      <c r="AA22" s="17" t="s">
        <v>44</v>
      </c>
      <c r="AB22" s="17">
        <v>240</v>
      </c>
      <c r="AC22" s="17" t="s">
        <v>45</v>
      </c>
      <c r="AD22" s="17">
        <v>240</v>
      </c>
      <c r="AE22" s="17" t="s">
        <v>46</v>
      </c>
      <c r="AF22" s="17">
        <v>100</v>
      </c>
      <c r="AG22" s="17" t="s">
        <v>47</v>
      </c>
      <c r="AH22" s="17">
        <v>100</v>
      </c>
      <c r="AI22" s="17" t="s">
        <v>48</v>
      </c>
      <c r="AJ22" s="17">
        <v>5000</v>
      </c>
      <c r="AK22" s="17" t="s">
        <v>49</v>
      </c>
      <c r="AL22" s="17">
        <v>150000</v>
      </c>
      <c r="AM22" s="17">
        <f>INT(1&amp;L22&amp;TEXT(RIGHT(A22,3),"0000")&amp;"01")</f>
        <v>11003701</v>
      </c>
      <c r="AN22" s="17" t="b">
        <v>1</v>
      </c>
      <c r="AO22" s="17">
        <f>INT(2&amp;$L22&amp;TEXT(RIGHT($A22,3),"0000")&amp;"01")</f>
        <v>21003701</v>
      </c>
      <c r="AP22" s="17" t="b">
        <v>1</v>
      </c>
      <c r="AQ22" s="17">
        <f>INT(3&amp;$L22&amp;TEXT(RIGHT($A22,3),"0000")&amp;"01")</f>
        <v>31003701</v>
      </c>
      <c r="AR22" s="17" t="b">
        <v>1</v>
      </c>
      <c r="AS22" s="17">
        <f>INT(4&amp;$L22&amp;TEXT(RIGHT($A22,3),"0000")&amp;"01")</f>
        <v>41003701</v>
      </c>
      <c r="AT22" s="17" t="b">
        <v>1</v>
      </c>
    </row>
    <row r="23" spans="1:46" ht="16.5" customHeight="1" x14ac:dyDescent="0.3">
      <c r="A23" s="17">
        <v>10000462</v>
      </c>
      <c r="B23" s="17" t="s">
        <v>135</v>
      </c>
      <c r="C23" s="17">
        <v>146201</v>
      </c>
      <c r="D23" s="17" t="s">
        <v>538</v>
      </c>
      <c r="E23" s="17" t="str">
        <f>"character_name_"&amp;A23</f>
        <v>character_name_10000462</v>
      </c>
      <c r="F23" s="17" t="str">
        <f>D23&amp;"_profile"</f>
        <v>c462_profile</v>
      </c>
      <c r="G23" s="17" t="s">
        <v>36</v>
      </c>
      <c r="H23" s="17" t="s">
        <v>29</v>
      </c>
      <c r="I23" s="17" t="s">
        <v>37</v>
      </c>
      <c r="J23" s="17" t="b">
        <v>1</v>
      </c>
      <c r="K23" s="24" t="s">
        <v>38</v>
      </c>
      <c r="L23" s="17">
        <v>3</v>
      </c>
      <c r="M23" s="17" t="s">
        <v>61</v>
      </c>
      <c r="N23" s="17" t="s">
        <v>62</v>
      </c>
      <c r="O23" s="17">
        <f>100+L23</f>
        <v>103</v>
      </c>
      <c r="P23" s="17">
        <f t="array" ref="P23">_xlfn.IFS($N23="Attacker",6,$N23="Healer",3,$N23="Magician",4,$N23="Defender",3,$N23="Supporter",4)</f>
        <v>3</v>
      </c>
      <c r="Q23" s="17">
        <f t="array" ref="Q23">_xlfn.IFS($N23="Attacker",6,$N23="Healer",3,$N23="Magician",4,$N23="Defender",3,$N23="Supporter",4)</f>
        <v>3</v>
      </c>
      <c r="R23" s="17">
        <v>1</v>
      </c>
      <c r="S23" s="17">
        <v>0</v>
      </c>
      <c r="T23" s="17">
        <v>0</v>
      </c>
      <c r="U23" s="17" t="s">
        <v>41</v>
      </c>
      <c r="V23" s="17">
        <f t="array" ref="V23">_xlfn.IFS(N23="Attacker",80,N23="Healer",90,N23="Magician",100,N23="Defender",110,N23="Supporter",120)</f>
        <v>110</v>
      </c>
      <c r="W23" s="17" t="s">
        <v>42</v>
      </c>
      <c r="X23" s="17">
        <v>8650</v>
      </c>
      <c r="Y23" s="17" t="s">
        <v>43</v>
      </c>
      <c r="Z23" s="17">
        <v>252</v>
      </c>
      <c r="AA23" s="17" t="s">
        <v>44</v>
      </c>
      <c r="AB23" s="17">
        <v>240</v>
      </c>
      <c r="AC23" s="17" t="s">
        <v>45</v>
      </c>
      <c r="AD23" s="17">
        <v>156</v>
      </c>
      <c r="AE23" s="17" t="s">
        <v>46</v>
      </c>
      <c r="AF23" s="17">
        <v>100</v>
      </c>
      <c r="AG23" s="17" t="s">
        <v>47</v>
      </c>
      <c r="AH23" s="17">
        <v>100</v>
      </c>
      <c r="AI23" s="17" t="s">
        <v>48</v>
      </c>
      <c r="AJ23" s="17">
        <v>5000</v>
      </c>
      <c r="AK23" s="17" t="s">
        <v>49</v>
      </c>
      <c r="AL23" s="17">
        <v>150000</v>
      </c>
      <c r="AM23" s="17">
        <f>INT(1&amp;L23&amp;TEXT(RIGHT(A23,3),"0000")&amp;"01")</f>
        <v>13046201</v>
      </c>
      <c r="AN23" s="17" t="b">
        <v>1</v>
      </c>
      <c r="AO23" s="17">
        <f>INT(2&amp;$L23&amp;TEXT(RIGHT($A23,3),"0000")&amp;"01")</f>
        <v>23046201</v>
      </c>
      <c r="AP23" s="17" t="b">
        <v>1</v>
      </c>
      <c r="AQ23" s="17">
        <f>INT(3&amp;$L23&amp;TEXT(RIGHT($A23,3),"0000")&amp;"01")</f>
        <v>33046201</v>
      </c>
      <c r="AR23" s="17" t="b">
        <v>1</v>
      </c>
      <c r="AS23" s="17">
        <f>INT(4&amp;$L23&amp;TEXT(RIGHT($A23,3),"0000")&amp;"01")</f>
        <v>43046201</v>
      </c>
      <c r="AT23" s="17" t="b">
        <v>1</v>
      </c>
    </row>
    <row r="24" spans="1:46" ht="16.5" customHeight="1" x14ac:dyDescent="0.3">
      <c r="A24" s="17">
        <v>10000286</v>
      </c>
      <c r="B24" s="17" t="s">
        <v>66</v>
      </c>
      <c r="C24" s="17">
        <v>128601</v>
      </c>
      <c r="D24" s="17" t="s">
        <v>67</v>
      </c>
      <c r="E24" s="17" t="s">
        <v>68</v>
      </c>
      <c r="F24" s="17" t="str">
        <f>D24&amp;"_profile"</f>
        <v>c286_profile</v>
      </c>
      <c r="G24" s="17" t="s">
        <v>36</v>
      </c>
      <c r="H24" s="17" t="s">
        <v>29</v>
      </c>
      <c r="I24" s="17" t="s">
        <v>37</v>
      </c>
      <c r="J24" s="17" t="b">
        <v>1</v>
      </c>
      <c r="K24" s="24" t="s">
        <v>38</v>
      </c>
      <c r="L24" s="17">
        <v>1</v>
      </c>
      <c r="M24" s="17" t="s">
        <v>61</v>
      </c>
      <c r="N24" s="17" t="s">
        <v>53</v>
      </c>
      <c r="O24" s="17">
        <f>100+L24</f>
        <v>101</v>
      </c>
      <c r="P24" s="17">
        <v>3</v>
      </c>
      <c r="Q24" s="17">
        <v>3</v>
      </c>
      <c r="R24" s="17">
        <v>1</v>
      </c>
      <c r="S24" s="17">
        <v>0</v>
      </c>
      <c r="T24" s="17">
        <v>0</v>
      </c>
      <c r="U24" s="17" t="s">
        <v>41</v>
      </c>
      <c r="V24" s="17">
        <v>90</v>
      </c>
      <c r="W24" s="17" t="s">
        <v>42</v>
      </c>
      <c r="X24" s="17">
        <v>6475</v>
      </c>
      <c r="Y24" s="17" t="s">
        <v>43</v>
      </c>
      <c r="Z24" s="17">
        <v>168</v>
      </c>
      <c r="AA24" s="17" t="s">
        <v>44</v>
      </c>
      <c r="AB24" s="17">
        <v>151</v>
      </c>
      <c r="AC24" s="17" t="s">
        <v>45</v>
      </c>
      <c r="AD24" s="17">
        <v>151</v>
      </c>
      <c r="AE24" s="17" t="s">
        <v>46</v>
      </c>
      <c r="AF24" s="17">
        <v>100</v>
      </c>
      <c r="AG24" s="17" t="s">
        <v>47</v>
      </c>
      <c r="AH24" s="17">
        <v>100</v>
      </c>
      <c r="AI24" s="17" t="s">
        <v>48</v>
      </c>
      <c r="AJ24" s="17">
        <v>5000</v>
      </c>
      <c r="AK24" s="17" t="s">
        <v>49</v>
      </c>
      <c r="AL24" s="17">
        <v>150000</v>
      </c>
      <c r="AM24" s="17">
        <f>INT(1&amp;L24&amp;TEXT(RIGHT(A24,3),"0000")&amp;"01")</f>
        <v>11028601</v>
      </c>
      <c r="AN24" s="17" t="b">
        <v>1</v>
      </c>
      <c r="AO24" s="17">
        <f>INT(2&amp;$L24&amp;TEXT(RIGHT($A24,3),"0000")&amp;"01")</f>
        <v>21028601</v>
      </c>
      <c r="AP24" s="17" t="b">
        <v>1</v>
      </c>
      <c r="AQ24" s="17">
        <f>INT(3&amp;$L24&amp;TEXT(RIGHT($A24,3),"0000")&amp;"01")</f>
        <v>31028601</v>
      </c>
      <c r="AR24" s="17" t="b">
        <v>1</v>
      </c>
      <c r="AS24" s="17">
        <f>INT(4&amp;$L24&amp;TEXT(RIGHT($A24,3),"0000")&amp;"01")</f>
        <v>41028601</v>
      </c>
      <c r="AT24" s="17" t="b">
        <v>1</v>
      </c>
    </row>
    <row r="25" spans="1:46" ht="16.5" customHeight="1" x14ac:dyDescent="0.3">
      <c r="A25" s="17">
        <v>10000429</v>
      </c>
      <c r="B25" s="17" t="s">
        <v>136</v>
      </c>
      <c r="C25" s="17">
        <v>142901</v>
      </c>
      <c r="D25" s="17" t="s">
        <v>978</v>
      </c>
      <c r="E25" s="17" t="str">
        <f>"character_name_"&amp;A25</f>
        <v>character_name_10000429</v>
      </c>
      <c r="F25" s="17" t="str">
        <f>D25&amp;"_profile"</f>
        <v>c429_profile</v>
      </c>
      <c r="G25" s="17" t="s">
        <v>36</v>
      </c>
      <c r="H25" s="17" t="s">
        <v>29</v>
      </c>
      <c r="I25" s="17" t="s">
        <v>37</v>
      </c>
      <c r="J25" s="17" t="b">
        <v>1</v>
      </c>
      <c r="K25" s="24" t="s">
        <v>38</v>
      </c>
      <c r="L25" s="17">
        <v>3</v>
      </c>
      <c r="M25" s="17" t="s">
        <v>61</v>
      </c>
      <c r="N25" s="17" t="s">
        <v>53</v>
      </c>
      <c r="O25" s="17">
        <f>100+L25</f>
        <v>103</v>
      </c>
      <c r="P25" s="17">
        <v>3</v>
      </c>
      <c r="Q25" s="17">
        <v>3</v>
      </c>
      <c r="R25" s="17">
        <v>1</v>
      </c>
      <c r="S25" s="17">
        <v>0</v>
      </c>
      <c r="T25" s="17">
        <v>0</v>
      </c>
      <c r="U25" s="17" t="s">
        <v>41</v>
      </c>
      <c r="V25" s="17">
        <f t="array" ref="V25">_xlfn.IFS(N25="Attacker",80,N25="Healer",90,N25="Magician",100,N25="Defender",110,N25="Supporter",120)</f>
        <v>90</v>
      </c>
      <c r="W25" s="17" t="s">
        <v>42</v>
      </c>
      <c r="X25" s="17">
        <v>6475</v>
      </c>
      <c r="Y25" s="17" t="s">
        <v>43</v>
      </c>
      <c r="Z25" s="17">
        <v>168</v>
      </c>
      <c r="AA25" s="17" t="s">
        <v>44</v>
      </c>
      <c r="AB25" s="17">
        <v>151</v>
      </c>
      <c r="AC25" s="17" t="s">
        <v>45</v>
      </c>
      <c r="AD25" s="17">
        <v>151</v>
      </c>
      <c r="AE25" s="17" t="s">
        <v>46</v>
      </c>
      <c r="AF25" s="17">
        <v>100</v>
      </c>
      <c r="AG25" s="17" t="s">
        <v>47</v>
      </c>
      <c r="AH25" s="17">
        <v>100</v>
      </c>
      <c r="AI25" s="17" t="s">
        <v>48</v>
      </c>
      <c r="AJ25" s="17">
        <v>5000</v>
      </c>
      <c r="AK25" s="17" t="s">
        <v>49</v>
      </c>
      <c r="AL25" s="17">
        <v>150000</v>
      </c>
      <c r="AM25" s="17">
        <f>INT(1&amp;L25&amp;TEXT(RIGHT(A25,3),"0000")&amp;"01")</f>
        <v>13042901</v>
      </c>
      <c r="AN25" s="17" t="b">
        <v>1</v>
      </c>
      <c r="AO25" s="17">
        <f>INT(2&amp;$L25&amp;TEXT(RIGHT($A25,3),"0000")&amp;"01")</f>
        <v>23042901</v>
      </c>
      <c r="AP25" s="17" t="b">
        <v>1</v>
      </c>
      <c r="AQ25" s="17">
        <f>INT(3&amp;$L25&amp;TEXT(RIGHT($A25,3),"0000")&amp;"01")</f>
        <v>33042901</v>
      </c>
      <c r="AR25" s="17" t="b">
        <v>1</v>
      </c>
      <c r="AS25" s="17">
        <f>INT(4&amp;$L25&amp;TEXT(RIGHT($A25,3),"0000")&amp;"01")</f>
        <v>43042901</v>
      </c>
      <c r="AT25" s="17" t="b">
        <v>1</v>
      </c>
    </row>
    <row r="26" spans="1:46" ht="16.5" customHeight="1" x14ac:dyDescent="0.3">
      <c r="A26" s="17">
        <v>10000003</v>
      </c>
      <c r="B26" s="17" t="s">
        <v>102</v>
      </c>
      <c r="C26" s="17">
        <v>100301</v>
      </c>
      <c r="D26" s="17" t="s">
        <v>473</v>
      </c>
      <c r="E26" s="17" t="str">
        <f>"character_name_"&amp;A26</f>
        <v>character_name_10000003</v>
      </c>
      <c r="F26" s="17" t="str">
        <f>D26&amp;"_profile"</f>
        <v>c003_profile</v>
      </c>
      <c r="G26" s="17" t="s">
        <v>36</v>
      </c>
      <c r="H26" s="17" t="s">
        <v>29</v>
      </c>
      <c r="I26" s="17" t="s">
        <v>37</v>
      </c>
      <c r="J26" s="17" t="b">
        <v>1</v>
      </c>
      <c r="K26" s="24" t="s">
        <v>38</v>
      </c>
      <c r="L26" s="17">
        <v>2</v>
      </c>
      <c r="M26" s="17" t="s">
        <v>61</v>
      </c>
      <c r="N26" s="17" t="s">
        <v>76</v>
      </c>
      <c r="O26" s="17">
        <f>100+L26</f>
        <v>102</v>
      </c>
      <c r="P26" s="17">
        <v>6</v>
      </c>
      <c r="Q26" s="17">
        <v>6</v>
      </c>
      <c r="R26" s="17">
        <v>1</v>
      </c>
      <c r="S26" s="17">
        <v>0</v>
      </c>
      <c r="T26" s="17">
        <v>0</v>
      </c>
      <c r="U26" s="17" t="s">
        <v>41</v>
      </c>
      <c r="V26" s="17">
        <f t="array" ref="V26">_xlfn.IFS(N26="Attacker",80,N26="Healer",90,N26="Magician",100,N26="Defender",110,N26="Supporter",120)</f>
        <v>100</v>
      </c>
      <c r="W26" s="17" t="s">
        <v>42</v>
      </c>
      <c r="X26" s="17">
        <v>5100</v>
      </c>
      <c r="Y26" s="17" t="s">
        <v>43</v>
      </c>
      <c r="Z26" s="17">
        <v>420</v>
      </c>
      <c r="AA26" s="17" t="s">
        <v>44</v>
      </c>
      <c r="AB26" s="17">
        <v>120</v>
      </c>
      <c r="AC26" s="17" t="s">
        <v>45</v>
      </c>
      <c r="AD26" s="17">
        <v>130</v>
      </c>
      <c r="AE26" s="17" t="s">
        <v>46</v>
      </c>
      <c r="AF26" s="17">
        <v>100</v>
      </c>
      <c r="AG26" s="17" t="s">
        <v>47</v>
      </c>
      <c r="AH26" s="17">
        <v>100</v>
      </c>
      <c r="AI26" s="17" t="s">
        <v>48</v>
      </c>
      <c r="AJ26" s="17">
        <v>5000</v>
      </c>
      <c r="AK26" s="17" t="s">
        <v>49</v>
      </c>
      <c r="AL26" s="17">
        <v>150000</v>
      </c>
      <c r="AM26" s="17">
        <f>INT(1&amp;L26&amp;TEXT(RIGHT(A26,3),"0000")&amp;"01")</f>
        <v>12000301</v>
      </c>
      <c r="AN26" s="17" t="b">
        <v>1</v>
      </c>
      <c r="AO26" s="17">
        <f>INT(2&amp;$L26&amp;TEXT(RIGHT($A26,3),"0000")&amp;"01")</f>
        <v>22000301</v>
      </c>
      <c r="AP26" s="17" t="b">
        <v>1</v>
      </c>
      <c r="AQ26" s="17">
        <f>INT(3&amp;$L26&amp;TEXT(RIGHT($A26,3),"0000")&amp;"01")</f>
        <v>32000301</v>
      </c>
      <c r="AR26" s="17" t="b">
        <v>1</v>
      </c>
      <c r="AS26" s="17">
        <f>INT(4&amp;$L26&amp;TEXT(RIGHT($A26,3),"0000")&amp;"01")</f>
        <v>42000301</v>
      </c>
      <c r="AT26" s="17" t="b">
        <v>1</v>
      </c>
    </row>
    <row r="27" spans="1:46" ht="16.5" customHeight="1" x14ac:dyDescent="0.3">
      <c r="A27" s="17">
        <v>10000417</v>
      </c>
      <c r="B27" s="17" t="s">
        <v>131</v>
      </c>
      <c r="C27" s="17">
        <v>141701</v>
      </c>
      <c r="D27" s="17" t="s">
        <v>498</v>
      </c>
      <c r="E27" s="17" t="str">
        <f>"character_name_"&amp;A27</f>
        <v>character_name_10000417</v>
      </c>
      <c r="F27" s="17" t="str">
        <f>D27&amp;"_profile"</f>
        <v>c417_profile</v>
      </c>
      <c r="G27" s="17" t="s">
        <v>36</v>
      </c>
      <c r="H27" s="17" t="s">
        <v>29</v>
      </c>
      <c r="I27" s="17" t="s">
        <v>37</v>
      </c>
      <c r="J27" s="17" t="b">
        <v>1</v>
      </c>
      <c r="K27" s="24" t="s">
        <v>38</v>
      </c>
      <c r="L27" s="17">
        <v>3</v>
      </c>
      <c r="M27" s="17" t="s">
        <v>61</v>
      </c>
      <c r="N27" s="17" t="s">
        <v>76</v>
      </c>
      <c r="O27" s="17">
        <f>100+L27</f>
        <v>103</v>
      </c>
      <c r="P27" s="17">
        <v>4</v>
      </c>
      <c r="Q27" s="17">
        <v>4</v>
      </c>
      <c r="R27" s="17">
        <v>1</v>
      </c>
      <c r="S27" s="17">
        <v>0</v>
      </c>
      <c r="T27" s="17">
        <v>0</v>
      </c>
      <c r="U27" s="17" t="s">
        <v>41</v>
      </c>
      <c r="V27" s="17">
        <f t="array" ref="V27">_xlfn.IFS(N27="Attacker",80,N27="Healer",90,N27="Magician",100,N27="Defender",110,N27="Supporter",120)</f>
        <v>100</v>
      </c>
      <c r="W27" s="17" t="s">
        <v>42</v>
      </c>
      <c r="X27" s="17">
        <v>4743</v>
      </c>
      <c r="Y27" s="17" t="s">
        <v>43</v>
      </c>
      <c r="Z27" s="17">
        <v>341</v>
      </c>
      <c r="AA27" s="17" t="s">
        <v>44</v>
      </c>
      <c r="AB27" s="17">
        <v>108</v>
      </c>
      <c r="AC27" s="17" t="s">
        <v>45</v>
      </c>
      <c r="AD27" s="17">
        <v>187</v>
      </c>
      <c r="AE27" s="17" t="s">
        <v>46</v>
      </c>
      <c r="AF27" s="17">
        <v>100</v>
      </c>
      <c r="AG27" s="17" t="s">
        <v>47</v>
      </c>
      <c r="AH27" s="17">
        <v>100</v>
      </c>
      <c r="AI27" s="17" t="s">
        <v>48</v>
      </c>
      <c r="AJ27" s="17">
        <v>5000</v>
      </c>
      <c r="AK27" s="17" t="s">
        <v>49</v>
      </c>
      <c r="AL27" s="17">
        <v>150000</v>
      </c>
      <c r="AM27" s="17">
        <f>INT(1&amp;L27&amp;TEXT(RIGHT(A27,3),"0000")&amp;"01")</f>
        <v>13041701</v>
      </c>
      <c r="AN27" s="17" t="b">
        <v>1</v>
      </c>
      <c r="AO27" s="17">
        <f>INT(2&amp;$L27&amp;TEXT(RIGHT($A27,3),"0000")&amp;"01")</f>
        <v>23041701</v>
      </c>
      <c r="AP27" s="17" t="b">
        <v>1</v>
      </c>
      <c r="AQ27" s="17">
        <f>INT(3&amp;$L27&amp;TEXT(RIGHT($A27,3),"0000")&amp;"01")</f>
        <v>33041701</v>
      </c>
      <c r="AR27" s="17" t="b">
        <v>1</v>
      </c>
      <c r="AS27" s="17">
        <f>INT(4&amp;$L27&amp;TEXT(RIGHT($A27,3),"0000")&amp;"01")</f>
        <v>43041701</v>
      </c>
      <c r="AT27" s="17" t="b">
        <v>1</v>
      </c>
    </row>
    <row r="28" spans="1:46" ht="16.5" customHeight="1" x14ac:dyDescent="0.3">
      <c r="A28" s="17">
        <v>10000283</v>
      </c>
      <c r="B28" s="17" t="s">
        <v>134</v>
      </c>
      <c r="C28" s="17">
        <v>128301</v>
      </c>
      <c r="D28" s="17" t="s">
        <v>532</v>
      </c>
      <c r="E28" s="17" t="str">
        <f>"character_name_"&amp;A28</f>
        <v>character_name_10000283</v>
      </c>
      <c r="F28" s="17" t="str">
        <f>D28&amp;"_profile"</f>
        <v>c283_profile</v>
      </c>
      <c r="G28" s="17" t="s">
        <v>36</v>
      </c>
      <c r="H28" s="17" t="s">
        <v>29</v>
      </c>
      <c r="I28" s="17" t="s">
        <v>37</v>
      </c>
      <c r="J28" s="17" t="b">
        <v>1</v>
      </c>
      <c r="K28" s="24" t="s">
        <v>38</v>
      </c>
      <c r="L28" s="17">
        <v>3</v>
      </c>
      <c r="M28" s="17" t="s">
        <v>61</v>
      </c>
      <c r="N28" s="17" t="s">
        <v>76</v>
      </c>
      <c r="O28" s="17">
        <f>100+L28</f>
        <v>103</v>
      </c>
      <c r="P28" s="17">
        <v>3</v>
      </c>
      <c r="Q28" s="17">
        <v>3</v>
      </c>
      <c r="R28" s="17">
        <v>1</v>
      </c>
      <c r="S28" s="17">
        <v>0</v>
      </c>
      <c r="T28" s="17">
        <v>0</v>
      </c>
      <c r="U28" s="17" t="s">
        <v>41</v>
      </c>
      <c r="V28" s="17">
        <f t="array" ref="V28">_xlfn.IFS(N28="Attacker",80,N28="Healer",90,N28="Magician",100,N28="Defender",110,N28="Supporter",120)</f>
        <v>100</v>
      </c>
      <c r="W28" s="17" t="s">
        <v>42</v>
      </c>
      <c r="X28" s="17">
        <v>8650</v>
      </c>
      <c r="Y28" s="17" t="s">
        <v>43</v>
      </c>
      <c r="Z28" s="17">
        <v>252</v>
      </c>
      <c r="AA28" s="17" t="s">
        <v>44</v>
      </c>
      <c r="AB28" s="17">
        <v>240</v>
      </c>
      <c r="AC28" s="17" t="s">
        <v>45</v>
      </c>
      <c r="AD28" s="17">
        <v>156</v>
      </c>
      <c r="AE28" s="17" t="s">
        <v>46</v>
      </c>
      <c r="AF28" s="17">
        <v>100</v>
      </c>
      <c r="AG28" s="17" t="s">
        <v>47</v>
      </c>
      <c r="AH28" s="17">
        <v>100</v>
      </c>
      <c r="AI28" s="17" t="s">
        <v>48</v>
      </c>
      <c r="AJ28" s="17">
        <v>5000</v>
      </c>
      <c r="AK28" s="17" t="s">
        <v>49</v>
      </c>
      <c r="AL28" s="17">
        <v>150000</v>
      </c>
      <c r="AM28" s="17">
        <f>INT(1&amp;L28&amp;TEXT(RIGHT(A28,3),"0000")&amp;"01")</f>
        <v>13028301</v>
      </c>
      <c r="AN28" s="17" t="b">
        <v>1</v>
      </c>
      <c r="AO28" s="17">
        <f>INT(2&amp;$L28&amp;TEXT(RIGHT($A28,3),"0000")&amp;"01")</f>
        <v>23028301</v>
      </c>
      <c r="AP28" s="17" t="b">
        <v>1</v>
      </c>
      <c r="AQ28" s="17">
        <f>INT(3&amp;$L28&amp;TEXT(RIGHT($A28,3),"0000")&amp;"01")</f>
        <v>33028301</v>
      </c>
      <c r="AR28" s="17" t="b">
        <v>1</v>
      </c>
      <c r="AS28" s="17">
        <f>INT(4&amp;$L28&amp;TEXT(RIGHT($A28,3),"0000")&amp;"01")</f>
        <v>43028301</v>
      </c>
      <c r="AT28" s="17" t="b">
        <v>1</v>
      </c>
    </row>
    <row r="29" spans="1:46" ht="16.5" customHeight="1" x14ac:dyDescent="0.3">
      <c r="A29" s="17">
        <v>10000339</v>
      </c>
      <c r="B29" s="17" t="s">
        <v>102</v>
      </c>
      <c r="C29" s="17">
        <v>133901</v>
      </c>
      <c r="D29" s="17" t="s">
        <v>161</v>
      </c>
      <c r="E29" s="17" t="s">
        <v>162</v>
      </c>
      <c r="F29" s="17" t="str">
        <f>D29&amp;"_profile"</f>
        <v>c339_profile</v>
      </c>
      <c r="G29" s="17" t="s">
        <v>36</v>
      </c>
      <c r="H29" s="17" t="s">
        <v>29</v>
      </c>
      <c r="I29" s="17" t="s">
        <v>37</v>
      </c>
      <c r="J29" s="17" t="b">
        <v>1</v>
      </c>
      <c r="K29" s="24" t="s">
        <v>38</v>
      </c>
      <c r="L29" s="17">
        <v>3</v>
      </c>
      <c r="M29" s="17" t="s">
        <v>61</v>
      </c>
      <c r="N29" s="17" t="s">
        <v>76</v>
      </c>
      <c r="O29" s="17">
        <f>100+L29</f>
        <v>103</v>
      </c>
      <c r="P29" s="17">
        <v>6</v>
      </c>
      <c r="Q29" s="17">
        <v>6</v>
      </c>
      <c r="R29" s="17">
        <v>1</v>
      </c>
      <c r="S29" s="17">
        <v>0</v>
      </c>
      <c r="T29" s="17">
        <v>0</v>
      </c>
      <c r="U29" s="17" t="s">
        <v>41</v>
      </c>
      <c r="V29" s="17">
        <v>100</v>
      </c>
      <c r="W29" s="17" t="s">
        <v>42</v>
      </c>
      <c r="X29" s="17">
        <v>5500</v>
      </c>
      <c r="Y29" s="17" t="s">
        <v>43</v>
      </c>
      <c r="Z29" s="17">
        <v>198</v>
      </c>
      <c r="AA29" s="17" t="s">
        <v>44</v>
      </c>
      <c r="AB29" s="17">
        <v>142</v>
      </c>
      <c r="AC29" s="17" t="s">
        <v>45</v>
      </c>
      <c r="AD29" s="17">
        <v>142</v>
      </c>
      <c r="AE29" s="17" t="s">
        <v>46</v>
      </c>
      <c r="AF29" s="17">
        <v>100</v>
      </c>
      <c r="AG29" s="17" t="s">
        <v>47</v>
      </c>
      <c r="AH29" s="17">
        <v>100</v>
      </c>
      <c r="AI29" s="17" t="s">
        <v>48</v>
      </c>
      <c r="AJ29" s="17">
        <v>5000</v>
      </c>
      <c r="AK29" s="17" t="s">
        <v>49</v>
      </c>
      <c r="AL29" s="17">
        <v>150000</v>
      </c>
      <c r="AM29" s="17">
        <f>INT(1&amp;L29&amp;TEXT(RIGHT(A29,3),"0000")&amp;"01")</f>
        <v>13033901</v>
      </c>
      <c r="AN29" s="17" t="b">
        <v>1</v>
      </c>
      <c r="AO29" s="17">
        <f>INT(2&amp;$L29&amp;TEXT(RIGHT($A29,3),"0000")&amp;"01")</f>
        <v>23033901</v>
      </c>
      <c r="AP29" s="17" t="b">
        <v>1</v>
      </c>
      <c r="AQ29" s="17">
        <f>INT(3&amp;$L29&amp;TEXT(RIGHT($A29,3),"0000")&amp;"01")</f>
        <v>33033901</v>
      </c>
      <c r="AR29" s="17" t="b">
        <v>1</v>
      </c>
      <c r="AS29" s="17">
        <f>INT(4&amp;$L29&amp;TEXT(RIGHT($A29,3),"0000")&amp;"01")</f>
        <v>43033901</v>
      </c>
      <c r="AT29" s="17" t="b">
        <v>1</v>
      </c>
    </row>
    <row r="30" spans="1:46" ht="16.5" customHeight="1" x14ac:dyDescent="0.3">
      <c r="A30" s="17">
        <v>10000354</v>
      </c>
      <c r="B30" s="17" t="s">
        <v>101</v>
      </c>
      <c r="C30" s="17">
        <v>135401</v>
      </c>
      <c r="D30" s="17" t="s">
        <v>460</v>
      </c>
      <c r="E30" s="17" t="str">
        <f>"character_name_"&amp;A30</f>
        <v>character_name_10000354</v>
      </c>
      <c r="F30" s="17" t="str">
        <f>D30&amp;"_profile"</f>
        <v>c354_profile</v>
      </c>
      <c r="G30" s="17" t="s">
        <v>36</v>
      </c>
      <c r="H30" s="17" t="s">
        <v>29</v>
      </c>
      <c r="I30" s="17" t="s">
        <v>37</v>
      </c>
      <c r="J30" s="17" t="b">
        <v>1</v>
      </c>
      <c r="K30" s="24" t="s">
        <v>38</v>
      </c>
      <c r="L30" s="17">
        <v>2</v>
      </c>
      <c r="M30" s="17" t="s">
        <v>61</v>
      </c>
      <c r="N30" s="17" t="s">
        <v>40</v>
      </c>
      <c r="O30" s="17">
        <f>100+L30</f>
        <v>102</v>
      </c>
      <c r="P30" s="17">
        <f t="array" ref="P30">_xlfn.IFS($N30="Attacker",6,$N30="Healer",3,$N30="Magician",4,$N30="Defender",3,$N30="Supporter",4)</f>
        <v>4</v>
      </c>
      <c r="Q30" s="17">
        <f t="array" ref="Q30">_xlfn.IFS($N30="Attacker",6,$N30="Healer",3,$N30="Magician",4,$N30="Defender",3,$N30="Supporter",4)</f>
        <v>4</v>
      </c>
      <c r="R30" s="17">
        <v>1</v>
      </c>
      <c r="S30" s="17">
        <v>0</v>
      </c>
      <c r="T30" s="17">
        <v>0</v>
      </c>
      <c r="U30" s="17" t="s">
        <v>41</v>
      </c>
      <c r="V30" s="17">
        <f t="array" ref="V30">_xlfn.IFS(N30="Attacker",80,N30="Healer",90,N30="Magician",100,N30="Defender",110,N30="Supporter",120)</f>
        <v>120</v>
      </c>
      <c r="W30" s="17" t="s">
        <v>42</v>
      </c>
      <c r="X30" s="17">
        <v>5100</v>
      </c>
      <c r="Y30" s="17" t="s">
        <v>43</v>
      </c>
      <c r="Z30" s="17">
        <v>420</v>
      </c>
      <c r="AA30" s="17" t="s">
        <v>44</v>
      </c>
      <c r="AB30" s="17">
        <v>120</v>
      </c>
      <c r="AC30" s="17" t="s">
        <v>45</v>
      </c>
      <c r="AD30" s="17">
        <v>130</v>
      </c>
      <c r="AE30" s="17" t="s">
        <v>46</v>
      </c>
      <c r="AF30" s="17">
        <v>100</v>
      </c>
      <c r="AG30" s="17" t="s">
        <v>47</v>
      </c>
      <c r="AH30" s="17">
        <v>100</v>
      </c>
      <c r="AI30" s="17" t="s">
        <v>48</v>
      </c>
      <c r="AJ30" s="17">
        <v>5000</v>
      </c>
      <c r="AK30" s="17" t="s">
        <v>49</v>
      </c>
      <c r="AL30" s="17">
        <v>150000</v>
      </c>
      <c r="AM30" s="17">
        <f>INT(1&amp;L30&amp;TEXT(RIGHT(A30,3),"0000")&amp;"01")</f>
        <v>12035401</v>
      </c>
      <c r="AN30" s="17" t="b">
        <v>1</v>
      </c>
      <c r="AO30" s="17">
        <f>INT(2&amp;$L30&amp;TEXT(RIGHT($A30,3),"0000")&amp;"01")</f>
        <v>22035401</v>
      </c>
      <c r="AP30" s="17" t="b">
        <v>1</v>
      </c>
      <c r="AQ30" s="17">
        <f>INT(3&amp;$L30&amp;TEXT(RIGHT($A30,3),"0000")&amp;"01")</f>
        <v>32035401</v>
      </c>
      <c r="AR30" s="17" t="b">
        <v>1</v>
      </c>
      <c r="AS30" s="17">
        <f>INT(4&amp;$L30&amp;TEXT(RIGHT($A30,3),"0000")&amp;"01")</f>
        <v>42035401</v>
      </c>
      <c r="AT30" s="17" t="b">
        <v>1</v>
      </c>
    </row>
    <row r="31" spans="1:46" ht="16.5" customHeight="1" x14ac:dyDescent="0.3">
      <c r="A31" s="17">
        <v>10000562</v>
      </c>
      <c r="B31" s="17" t="s">
        <v>137</v>
      </c>
      <c r="C31" s="17">
        <v>156201</v>
      </c>
      <c r="D31" s="17" t="s">
        <v>979</v>
      </c>
      <c r="E31" s="17" t="str">
        <f>"character_name_"&amp;A31</f>
        <v>character_name_10000562</v>
      </c>
      <c r="F31" s="17" t="str">
        <f>D31&amp;"_profile"</f>
        <v>c562_profile</v>
      </c>
      <c r="G31" s="17" t="s">
        <v>36</v>
      </c>
      <c r="H31" s="17" t="s">
        <v>29</v>
      </c>
      <c r="I31" s="17" t="s">
        <v>37</v>
      </c>
      <c r="J31" s="17" t="b">
        <v>1</v>
      </c>
      <c r="K31" s="24" t="s">
        <v>38</v>
      </c>
      <c r="L31" s="17">
        <v>3</v>
      </c>
      <c r="M31" s="17" t="s">
        <v>61</v>
      </c>
      <c r="N31" s="17" t="s">
        <v>40</v>
      </c>
      <c r="O31" s="17">
        <f>100+L31</f>
        <v>103</v>
      </c>
      <c r="P31" s="17">
        <v>4</v>
      </c>
      <c r="Q31" s="17">
        <v>4</v>
      </c>
      <c r="R31" s="17">
        <v>1</v>
      </c>
      <c r="S31" s="17">
        <v>0</v>
      </c>
      <c r="T31" s="17">
        <v>0</v>
      </c>
      <c r="U31" s="17" t="s">
        <v>41</v>
      </c>
      <c r="V31" s="17">
        <f t="array" ref="V31">_xlfn.IFS(N31="Attacker",80,N31="Healer",90,N31="Magician",100,N31="Defender",110,N31="Supporter",120)</f>
        <v>120</v>
      </c>
      <c r="W31" s="17" t="s">
        <v>42</v>
      </c>
      <c r="X31" s="17">
        <v>5909</v>
      </c>
      <c r="Y31" s="17" t="s">
        <v>43</v>
      </c>
      <c r="Z31" s="17">
        <v>198</v>
      </c>
      <c r="AA31" s="17" t="s">
        <v>44</v>
      </c>
      <c r="AB31" s="17">
        <v>142</v>
      </c>
      <c r="AC31" s="17" t="s">
        <v>45</v>
      </c>
      <c r="AD31" s="17">
        <v>142</v>
      </c>
      <c r="AE31" s="17" t="s">
        <v>46</v>
      </c>
      <c r="AF31" s="17">
        <v>100</v>
      </c>
      <c r="AG31" s="17" t="s">
        <v>47</v>
      </c>
      <c r="AH31" s="17">
        <v>100</v>
      </c>
      <c r="AI31" s="17" t="s">
        <v>48</v>
      </c>
      <c r="AJ31" s="17">
        <v>5000</v>
      </c>
      <c r="AK31" s="17" t="s">
        <v>49</v>
      </c>
      <c r="AL31" s="17">
        <v>150000</v>
      </c>
      <c r="AM31" s="17">
        <f>INT(1&amp;L31&amp;TEXT(RIGHT(A31,3),"0000")&amp;"01")</f>
        <v>13056201</v>
      </c>
      <c r="AN31" s="17" t="b">
        <v>1</v>
      </c>
      <c r="AO31" s="17">
        <f>INT(2&amp;$L31&amp;TEXT(RIGHT($A31,3),"0000")&amp;"01")</f>
        <v>23056201</v>
      </c>
      <c r="AP31" s="17" t="b">
        <v>1</v>
      </c>
      <c r="AQ31" s="17">
        <f>INT(3&amp;$L31&amp;TEXT(RIGHT($A31,3),"0000")&amp;"01")</f>
        <v>33056201</v>
      </c>
      <c r="AR31" s="17" t="b">
        <v>1</v>
      </c>
      <c r="AS31" s="17">
        <f>INT(4&amp;$L31&amp;TEXT(RIGHT($A31,3),"0000")&amp;"01")</f>
        <v>43056201</v>
      </c>
      <c r="AT31" s="17" t="b">
        <v>1</v>
      </c>
    </row>
    <row r="32" spans="1:46" ht="16.5" customHeight="1" x14ac:dyDescent="0.3">
      <c r="A32" s="17">
        <v>10000062</v>
      </c>
      <c r="B32" s="17" t="s">
        <v>77</v>
      </c>
      <c r="C32" s="17">
        <v>106201</v>
      </c>
      <c r="D32" s="17" t="s">
        <v>78</v>
      </c>
      <c r="E32" s="17" t="s">
        <v>79</v>
      </c>
      <c r="F32" s="17" t="str">
        <f>D32&amp;"_profile"</f>
        <v>c062_profile</v>
      </c>
      <c r="G32" s="17" t="s">
        <v>36</v>
      </c>
      <c r="H32" s="17" t="s">
        <v>29</v>
      </c>
      <c r="I32" s="17" t="s">
        <v>37</v>
      </c>
      <c r="J32" s="17" t="b">
        <v>1</v>
      </c>
      <c r="K32" s="24" t="s">
        <v>38</v>
      </c>
      <c r="L32" s="17">
        <v>1</v>
      </c>
      <c r="M32" s="17" t="s">
        <v>72</v>
      </c>
      <c r="N32" s="17" t="s">
        <v>57</v>
      </c>
      <c r="O32" s="17">
        <f>100+L32</f>
        <v>101</v>
      </c>
      <c r="P32" s="17">
        <v>6</v>
      </c>
      <c r="Q32" s="17">
        <v>6</v>
      </c>
      <c r="R32" s="17">
        <v>1</v>
      </c>
      <c r="S32" s="17">
        <v>0</v>
      </c>
      <c r="T32" s="17">
        <v>0</v>
      </c>
      <c r="U32" s="17" t="s">
        <v>41</v>
      </c>
      <c r="V32" s="17">
        <v>80</v>
      </c>
      <c r="W32" s="17" t="s">
        <v>42</v>
      </c>
      <c r="X32" s="17">
        <v>5100</v>
      </c>
      <c r="Y32" s="17" t="s">
        <v>43</v>
      </c>
      <c r="Z32" s="17">
        <v>420</v>
      </c>
      <c r="AA32" s="17" t="s">
        <v>44</v>
      </c>
      <c r="AB32" s="17">
        <v>120</v>
      </c>
      <c r="AC32" s="17" t="s">
        <v>45</v>
      </c>
      <c r="AD32" s="17">
        <v>120</v>
      </c>
      <c r="AE32" s="17" t="s">
        <v>46</v>
      </c>
      <c r="AF32" s="17">
        <v>100</v>
      </c>
      <c r="AG32" s="17" t="s">
        <v>47</v>
      </c>
      <c r="AH32" s="17">
        <v>100</v>
      </c>
      <c r="AI32" s="17" t="s">
        <v>48</v>
      </c>
      <c r="AJ32" s="17">
        <v>5000</v>
      </c>
      <c r="AK32" s="17" t="s">
        <v>49</v>
      </c>
      <c r="AL32" s="17">
        <v>150000</v>
      </c>
      <c r="AM32" s="17">
        <f>INT(1&amp;L32&amp;TEXT(RIGHT(A32,3),"0000")&amp;"01")</f>
        <v>11006201</v>
      </c>
      <c r="AN32" s="17" t="b">
        <v>1</v>
      </c>
      <c r="AO32" s="17">
        <f>INT(2&amp;$L32&amp;TEXT(RIGHT($A32,3),"0000")&amp;"01")</f>
        <v>21006201</v>
      </c>
      <c r="AP32" s="17" t="b">
        <v>1</v>
      </c>
      <c r="AQ32" s="17">
        <f>INT(3&amp;$L32&amp;TEXT(RIGHT($A32,3),"0000")&amp;"01")</f>
        <v>31006201</v>
      </c>
      <c r="AR32" s="17" t="b">
        <v>1</v>
      </c>
      <c r="AS32" s="17">
        <f>INT(4&amp;$L32&amp;TEXT(RIGHT($A32,3),"0000")&amp;"01")</f>
        <v>41006201</v>
      </c>
      <c r="AT32" s="17" t="b">
        <v>1</v>
      </c>
    </row>
    <row r="33" spans="1:46" ht="16.5" customHeight="1" x14ac:dyDescent="0.3">
      <c r="A33" s="17">
        <v>10000132</v>
      </c>
      <c r="B33" s="17" t="s">
        <v>105</v>
      </c>
      <c r="C33" s="17">
        <v>113201</v>
      </c>
      <c r="D33" s="17" t="s">
        <v>106</v>
      </c>
      <c r="E33" s="17" t="s">
        <v>107</v>
      </c>
      <c r="F33" s="17" t="str">
        <f>D33&amp;"_profile"</f>
        <v>c132_profile</v>
      </c>
      <c r="G33" s="17" t="s">
        <v>36</v>
      </c>
      <c r="H33" s="17" t="s">
        <v>29</v>
      </c>
      <c r="I33" s="17" t="s">
        <v>37</v>
      </c>
      <c r="J33" s="17" t="b">
        <v>1</v>
      </c>
      <c r="K33" s="24" t="s">
        <v>38</v>
      </c>
      <c r="L33" s="17">
        <v>2</v>
      </c>
      <c r="M33" s="17" t="s">
        <v>72</v>
      </c>
      <c r="N33" s="17" t="s">
        <v>57</v>
      </c>
      <c r="O33" s="17">
        <f>100+L33</f>
        <v>102</v>
      </c>
      <c r="P33" s="17">
        <v>6</v>
      </c>
      <c r="Q33" s="17">
        <v>6</v>
      </c>
      <c r="R33" s="17">
        <v>1</v>
      </c>
      <c r="S33" s="17">
        <v>0</v>
      </c>
      <c r="T33" s="17">
        <v>0</v>
      </c>
      <c r="U33" s="17" t="s">
        <v>41</v>
      </c>
      <c r="V33" s="17">
        <v>80</v>
      </c>
      <c r="W33" s="17" t="s">
        <v>42</v>
      </c>
      <c r="X33" s="17">
        <v>5100</v>
      </c>
      <c r="Y33" s="17" t="s">
        <v>43</v>
      </c>
      <c r="Z33" s="17">
        <v>420</v>
      </c>
      <c r="AA33" s="17" t="s">
        <v>44</v>
      </c>
      <c r="AB33" s="17">
        <v>120</v>
      </c>
      <c r="AC33" s="17" t="s">
        <v>45</v>
      </c>
      <c r="AD33" s="17">
        <v>120</v>
      </c>
      <c r="AE33" s="17" t="s">
        <v>46</v>
      </c>
      <c r="AF33" s="17">
        <v>100</v>
      </c>
      <c r="AG33" s="17" t="s">
        <v>47</v>
      </c>
      <c r="AH33" s="17">
        <v>100</v>
      </c>
      <c r="AI33" s="17" t="s">
        <v>48</v>
      </c>
      <c r="AJ33" s="17">
        <v>5000</v>
      </c>
      <c r="AK33" s="17" t="s">
        <v>49</v>
      </c>
      <c r="AL33" s="17">
        <v>150000</v>
      </c>
      <c r="AM33" s="17">
        <f>INT(1&amp;L33&amp;TEXT(RIGHT(A33,3),"0000")&amp;"01")</f>
        <v>12013201</v>
      </c>
      <c r="AN33" s="17" t="b">
        <v>1</v>
      </c>
      <c r="AO33" s="17">
        <f>INT(2&amp;$L33&amp;TEXT(RIGHT($A33,3),"0000")&amp;"01")</f>
        <v>22013201</v>
      </c>
      <c r="AP33" s="17" t="b">
        <v>1</v>
      </c>
      <c r="AQ33" s="17">
        <f>INT(3&amp;$L33&amp;TEXT(RIGHT($A33,3),"0000")&amp;"01")</f>
        <v>32013201</v>
      </c>
      <c r="AR33" s="17" t="b">
        <v>1</v>
      </c>
      <c r="AS33" s="17">
        <f>INT(4&amp;$L33&amp;TEXT(RIGHT($A33,3),"0000")&amp;"01")</f>
        <v>42013201</v>
      </c>
      <c r="AT33" s="17" t="b">
        <v>1</v>
      </c>
    </row>
    <row r="34" spans="1:46" ht="16.5" customHeight="1" x14ac:dyDescent="0.3">
      <c r="A34" s="17">
        <v>10000447</v>
      </c>
      <c r="B34" s="17" t="s">
        <v>142</v>
      </c>
      <c r="C34" s="17">
        <v>144701</v>
      </c>
      <c r="D34" s="17" t="s">
        <v>536</v>
      </c>
      <c r="E34" s="17" t="str">
        <f>"character_name_"&amp;A34</f>
        <v>character_name_10000447</v>
      </c>
      <c r="F34" s="17" t="str">
        <f>D34&amp;"_profile"</f>
        <v>c447_profile</v>
      </c>
      <c r="G34" s="17" t="s">
        <v>36</v>
      </c>
      <c r="H34" s="17" t="s">
        <v>29</v>
      </c>
      <c r="I34" s="17" t="s">
        <v>37</v>
      </c>
      <c r="J34" s="17" t="b">
        <v>1</v>
      </c>
      <c r="K34" s="24" t="s">
        <v>38</v>
      </c>
      <c r="L34" s="17">
        <v>3</v>
      </c>
      <c r="M34" s="17" t="s">
        <v>72</v>
      </c>
      <c r="N34" s="17" t="s">
        <v>57</v>
      </c>
      <c r="O34" s="17">
        <f>100+L34</f>
        <v>103</v>
      </c>
      <c r="P34" s="17">
        <f t="array" ref="P34">_xlfn.IFS($N34="Attacker",6,$N34="Healer",3,$N34="Magician",4,$N34="Defender",3,$N34="Supporter",4)</f>
        <v>6</v>
      </c>
      <c r="Q34" s="17">
        <f t="array" ref="Q34">_xlfn.IFS($N34="Attacker",6,$N34="Healer",3,$N34="Magician",4,$N34="Defender",3,$N34="Supporter",4)</f>
        <v>6</v>
      </c>
      <c r="R34" s="17">
        <v>1</v>
      </c>
      <c r="S34" s="17">
        <v>0</v>
      </c>
      <c r="T34" s="17">
        <v>0</v>
      </c>
      <c r="U34" s="17" t="s">
        <v>41</v>
      </c>
      <c r="V34" s="17">
        <f t="array" ref="V34">_xlfn.IFS(N34="Attacker",80,N34="Healer",90,N34="Magician",100,N34="Defender",110,N34="Supporter",120)</f>
        <v>80</v>
      </c>
      <c r="W34" s="17" t="s">
        <v>42</v>
      </c>
      <c r="X34" s="17">
        <v>8650</v>
      </c>
      <c r="Y34" s="17" t="s">
        <v>43</v>
      </c>
      <c r="Z34" s="17">
        <v>252</v>
      </c>
      <c r="AA34" s="17" t="s">
        <v>44</v>
      </c>
      <c r="AB34" s="17">
        <v>240</v>
      </c>
      <c r="AC34" s="17" t="s">
        <v>45</v>
      </c>
      <c r="AD34" s="17">
        <v>156</v>
      </c>
      <c r="AE34" s="17" t="s">
        <v>46</v>
      </c>
      <c r="AF34" s="17">
        <v>100</v>
      </c>
      <c r="AG34" s="17" t="s">
        <v>47</v>
      </c>
      <c r="AH34" s="17">
        <v>100</v>
      </c>
      <c r="AI34" s="17" t="s">
        <v>48</v>
      </c>
      <c r="AJ34" s="17">
        <v>5000</v>
      </c>
      <c r="AK34" s="17" t="s">
        <v>49</v>
      </c>
      <c r="AL34" s="17">
        <v>150000</v>
      </c>
      <c r="AM34" s="17">
        <f>INT(1&amp;L34&amp;TEXT(RIGHT(A34,3),"0000")&amp;"01")</f>
        <v>13044701</v>
      </c>
      <c r="AN34" s="17" t="b">
        <v>1</v>
      </c>
      <c r="AO34" s="17">
        <f>INT(2&amp;$L34&amp;TEXT(RIGHT($A34,3),"0000")&amp;"01")</f>
        <v>23044701</v>
      </c>
      <c r="AP34" s="17" t="b">
        <v>1</v>
      </c>
      <c r="AQ34" s="17">
        <f>INT(3&amp;$L34&amp;TEXT(RIGHT($A34,3),"0000")&amp;"01")</f>
        <v>33044701</v>
      </c>
      <c r="AR34" s="17" t="b">
        <v>1</v>
      </c>
      <c r="AS34" s="17">
        <f>INT(4&amp;$L34&amp;TEXT(RIGHT($A34,3),"0000")&amp;"01")</f>
        <v>43044701</v>
      </c>
      <c r="AT34" s="17" t="b">
        <v>1</v>
      </c>
    </row>
    <row r="35" spans="1:46" ht="16.5" customHeight="1" x14ac:dyDescent="0.3">
      <c r="A35" s="17">
        <v>10000549</v>
      </c>
      <c r="B35" s="17" t="s">
        <v>144</v>
      </c>
      <c r="C35" s="17">
        <v>154901</v>
      </c>
      <c r="D35" s="17" t="s">
        <v>980</v>
      </c>
      <c r="E35" s="17" t="str">
        <f>"character_name_"&amp;A35</f>
        <v>character_name_10000549</v>
      </c>
      <c r="F35" s="17" t="str">
        <f>D35&amp;"_profile"</f>
        <v>c549_profile</v>
      </c>
      <c r="G35" s="17" t="s">
        <v>36</v>
      </c>
      <c r="H35" s="17" t="s">
        <v>29</v>
      </c>
      <c r="I35" s="17" t="s">
        <v>37</v>
      </c>
      <c r="J35" s="17" t="b">
        <v>1</v>
      </c>
      <c r="K35" s="24" t="s">
        <v>38</v>
      </c>
      <c r="L35" s="17">
        <v>3</v>
      </c>
      <c r="M35" s="17" t="s">
        <v>72</v>
      </c>
      <c r="N35" s="17" t="s">
        <v>57</v>
      </c>
      <c r="O35" s="17">
        <f>100+L35</f>
        <v>103</v>
      </c>
      <c r="P35" s="17">
        <f t="array" ref="P35">_xlfn.IFS($N35="Attacker",6,$N35="Healer",3,$N35="Magician",4,$N35="Defender",3,$N35="Supporter",4)</f>
        <v>6</v>
      </c>
      <c r="Q35" s="17">
        <f t="array" ref="Q35">_xlfn.IFS($N35="Attacker",6,$N35="Healer",3,$N35="Magician",4,$N35="Defender",3,$N35="Supporter",4)</f>
        <v>6</v>
      </c>
      <c r="R35" s="17">
        <v>1</v>
      </c>
      <c r="S35" s="17">
        <v>0</v>
      </c>
      <c r="T35" s="17">
        <v>0</v>
      </c>
      <c r="U35" s="17" t="s">
        <v>41</v>
      </c>
      <c r="V35" s="17">
        <f t="array" ref="V35">_xlfn.IFS(N35="Attacker",80,N35="Healer",90,N35="Magician",100,N35="Defender",110,N35="Supporter",120)</f>
        <v>80</v>
      </c>
      <c r="W35" s="17" t="s">
        <v>42</v>
      </c>
      <c r="X35" s="17">
        <v>6475</v>
      </c>
      <c r="Y35" s="17" t="s">
        <v>43</v>
      </c>
      <c r="Z35" s="17">
        <v>168</v>
      </c>
      <c r="AA35" s="17" t="s">
        <v>44</v>
      </c>
      <c r="AB35" s="17">
        <v>151</v>
      </c>
      <c r="AC35" s="17" t="s">
        <v>45</v>
      </c>
      <c r="AD35" s="17">
        <v>151</v>
      </c>
      <c r="AE35" s="17" t="s">
        <v>46</v>
      </c>
      <c r="AF35" s="17">
        <v>100</v>
      </c>
      <c r="AG35" s="17" t="s">
        <v>47</v>
      </c>
      <c r="AH35" s="17">
        <v>100</v>
      </c>
      <c r="AI35" s="17" t="s">
        <v>48</v>
      </c>
      <c r="AJ35" s="17">
        <v>5000</v>
      </c>
      <c r="AK35" s="17" t="s">
        <v>49</v>
      </c>
      <c r="AL35" s="17">
        <v>150000</v>
      </c>
      <c r="AM35" s="17">
        <f>INT(1&amp;L35&amp;TEXT(RIGHT(A35,3),"0000")&amp;"01")</f>
        <v>13054901</v>
      </c>
      <c r="AN35" s="17" t="b">
        <v>1</v>
      </c>
      <c r="AO35" s="17">
        <f>INT(2&amp;$L35&amp;TEXT(RIGHT($A35,3),"0000")&amp;"01")</f>
        <v>23054901</v>
      </c>
      <c r="AP35" s="17" t="b">
        <v>1</v>
      </c>
      <c r="AQ35" s="17">
        <f>INT(3&amp;$L35&amp;TEXT(RIGHT($A35,3),"0000")&amp;"01")</f>
        <v>33054901</v>
      </c>
      <c r="AR35" s="17" t="b">
        <v>1</v>
      </c>
      <c r="AS35" s="17">
        <f>INT(4&amp;$L35&amp;TEXT(RIGHT($A35,3),"0000")&amp;"01")</f>
        <v>43054901</v>
      </c>
      <c r="AT35" s="17" t="b">
        <v>1</v>
      </c>
    </row>
    <row r="36" spans="1:46" ht="16.5" customHeight="1" x14ac:dyDescent="0.3">
      <c r="A36" s="17">
        <v>10000180</v>
      </c>
      <c r="B36" s="17" t="s">
        <v>104</v>
      </c>
      <c r="C36" s="17">
        <v>118001</v>
      </c>
      <c r="D36" s="17" t="s">
        <v>485</v>
      </c>
      <c r="E36" s="17" t="str">
        <f>"character_name_"&amp;A36</f>
        <v>character_name_10000180</v>
      </c>
      <c r="F36" s="17" t="str">
        <f>D36&amp;"_profile"</f>
        <v>c180_profile</v>
      </c>
      <c r="G36" s="17" t="s">
        <v>36</v>
      </c>
      <c r="H36" s="17" t="s">
        <v>29</v>
      </c>
      <c r="I36" s="17" t="s">
        <v>37</v>
      </c>
      <c r="J36" s="17" t="b">
        <v>1</v>
      </c>
      <c r="K36" s="24" t="s">
        <v>38</v>
      </c>
      <c r="L36" s="17">
        <v>2</v>
      </c>
      <c r="M36" s="17" t="s">
        <v>72</v>
      </c>
      <c r="N36" s="17" t="s">
        <v>62</v>
      </c>
      <c r="O36" s="17">
        <f>100+L36</f>
        <v>102</v>
      </c>
      <c r="P36" s="17">
        <f t="array" ref="P36">_xlfn.IFS($N36="Attacker",6,$N36="Healer",3,$N36="Magician",4,$N36="Defender",3,$N36="Supporter",4)</f>
        <v>3</v>
      </c>
      <c r="Q36" s="17">
        <f t="array" ref="Q36">_xlfn.IFS($N36="Attacker",6,$N36="Healer",3,$N36="Magician",4,$N36="Defender",3,$N36="Supporter",4)</f>
        <v>3</v>
      </c>
      <c r="R36" s="17">
        <v>1</v>
      </c>
      <c r="S36" s="17">
        <v>0</v>
      </c>
      <c r="T36" s="17">
        <v>0</v>
      </c>
      <c r="U36" s="17" t="s">
        <v>41</v>
      </c>
      <c r="V36" s="17">
        <f t="array" ref="V36">_xlfn.IFS(N36="Attacker",80,N36="Healer",90,N36="Magician",100,N36="Defender",110,N36="Supporter",120)</f>
        <v>110</v>
      </c>
      <c r="W36" s="17" t="s">
        <v>42</v>
      </c>
      <c r="X36" s="17">
        <v>8650</v>
      </c>
      <c r="Y36" s="17" t="s">
        <v>43</v>
      </c>
      <c r="Z36" s="17">
        <v>252</v>
      </c>
      <c r="AA36" s="17" t="s">
        <v>44</v>
      </c>
      <c r="AB36" s="17">
        <v>240</v>
      </c>
      <c r="AC36" s="17" t="s">
        <v>45</v>
      </c>
      <c r="AD36" s="17">
        <v>163</v>
      </c>
      <c r="AE36" s="17" t="s">
        <v>46</v>
      </c>
      <c r="AF36" s="17">
        <v>100</v>
      </c>
      <c r="AG36" s="17" t="s">
        <v>47</v>
      </c>
      <c r="AH36" s="17">
        <v>100</v>
      </c>
      <c r="AI36" s="17" t="s">
        <v>48</v>
      </c>
      <c r="AJ36" s="17">
        <v>5000</v>
      </c>
      <c r="AK36" s="17" t="s">
        <v>49</v>
      </c>
      <c r="AL36" s="17">
        <v>150000</v>
      </c>
      <c r="AM36" s="17">
        <f>INT(1&amp;L36&amp;TEXT(RIGHT(A36,3),"0000")&amp;"01")</f>
        <v>12018001</v>
      </c>
      <c r="AN36" s="17" t="b">
        <v>1</v>
      </c>
      <c r="AO36" s="17">
        <f>INT(2&amp;$L36&amp;TEXT(RIGHT($A36,3),"0000")&amp;"01")</f>
        <v>22018001</v>
      </c>
      <c r="AP36" s="17" t="b">
        <v>1</v>
      </c>
      <c r="AQ36" s="17">
        <f>INT(3&amp;$L36&amp;TEXT(RIGHT($A36,3),"0000")&amp;"01")</f>
        <v>32018001</v>
      </c>
      <c r="AR36" s="17" t="b">
        <v>1</v>
      </c>
      <c r="AS36" s="17">
        <f>INT(4&amp;$L36&amp;TEXT(RIGHT($A36,3),"0000")&amp;"01")</f>
        <v>42018001</v>
      </c>
      <c r="AT36" s="17" t="b">
        <v>1</v>
      </c>
    </row>
    <row r="37" spans="1:46" ht="16.5" customHeight="1" x14ac:dyDescent="0.3">
      <c r="A37" s="17">
        <v>10000468</v>
      </c>
      <c r="B37" s="17" t="s">
        <v>145</v>
      </c>
      <c r="C37" s="17">
        <v>146801</v>
      </c>
      <c r="D37" s="17" t="s">
        <v>981</v>
      </c>
      <c r="E37" s="17" t="str">
        <f>"character_name_"&amp;A37</f>
        <v>character_name_10000468</v>
      </c>
      <c r="F37" s="17" t="str">
        <f>D37&amp;"_profile"</f>
        <v>c468_profile</v>
      </c>
      <c r="G37" s="17" t="s">
        <v>36</v>
      </c>
      <c r="H37" s="17" t="s">
        <v>29</v>
      </c>
      <c r="I37" s="17" t="s">
        <v>37</v>
      </c>
      <c r="J37" s="17" t="b">
        <v>1</v>
      </c>
      <c r="K37" s="24" t="s">
        <v>38</v>
      </c>
      <c r="L37" s="17">
        <v>3</v>
      </c>
      <c r="M37" s="17" t="s">
        <v>72</v>
      </c>
      <c r="N37" s="17" t="s">
        <v>62</v>
      </c>
      <c r="O37" s="17">
        <f>100+L37</f>
        <v>103</v>
      </c>
      <c r="P37" s="17">
        <f t="array" ref="P37">_xlfn.IFS($N37="Attacker",6,$N37="Healer",3,$N37="Magician",4,$N37="Defender",3,$N37="Supporter",4)</f>
        <v>3</v>
      </c>
      <c r="Q37" s="17">
        <f t="array" ref="Q37">_xlfn.IFS($N37="Attacker",6,$N37="Healer",3,$N37="Magician",4,$N37="Defender",3,$N37="Supporter",4)</f>
        <v>3</v>
      </c>
      <c r="R37" s="17">
        <v>1</v>
      </c>
      <c r="S37" s="17">
        <v>0</v>
      </c>
      <c r="T37" s="17">
        <v>0</v>
      </c>
      <c r="U37" s="17" t="s">
        <v>41</v>
      </c>
      <c r="V37" s="17">
        <f t="array" ref="V37">_xlfn.IFS(N37="Attacker",80,N37="Healer",90,N37="Magician",100,N37="Defender",110,N37="Supporter",120)</f>
        <v>110</v>
      </c>
      <c r="W37" s="17" t="s">
        <v>42</v>
      </c>
      <c r="X37" s="17">
        <v>5909</v>
      </c>
      <c r="Y37" s="17" t="s">
        <v>43</v>
      </c>
      <c r="Z37" s="17">
        <v>198</v>
      </c>
      <c r="AA37" s="17" t="s">
        <v>44</v>
      </c>
      <c r="AB37" s="17">
        <v>142</v>
      </c>
      <c r="AC37" s="17" t="s">
        <v>45</v>
      </c>
      <c r="AD37" s="17">
        <v>142</v>
      </c>
      <c r="AE37" s="17" t="s">
        <v>46</v>
      </c>
      <c r="AF37" s="17">
        <v>100</v>
      </c>
      <c r="AG37" s="17" t="s">
        <v>47</v>
      </c>
      <c r="AH37" s="17">
        <v>100</v>
      </c>
      <c r="AI37" s="17" t="s">
        <v>48</v>
      </c>
      <c r="AJ37" s="17">
        <v>5000</v>
      </c>
      <c r="AK37" s="17" t="s">
        <v>49</v>
      </c>
      <c r="AL37" s="17">
        <v>150000</v>
      </c>
      <c r="AM37" s="17">
        <f>INT(1&amp;L37&amp;TEXT(RIGHT(A37,3),"0000")&amp;"01")</f>
        <v>13046801</v>
      </c>
      <c r="AN37" s="17" t="b">
        <v>1</v>
      </c>
      <c r="AO37" s="17">
        <f>INT(2&amp;$L37&amp;TEXT(RIGHT($A37,3),"0000")&amp;"01")</f>
        <v>23046801</v>
      </c>
      <c r="AP37" s="17" t="b">
        <v>1</v>
      </c>
      <c r="AQ37" s="17">
        <f>INT(3&amp;$L37&amp;TEXT(RIGHT($A37,3),"0000")&amp;"01")</f>
        <v>33046801</v>
      </c>
      <c r="AR37" s="17" t="b">
        <v>1</v>
      </c>
      <c r="AS37" s="17">
        <f>INT(4&amp;$L37&amp;TEXT(RIGHT($A37,3),"0000")&amp;"01")</f>
        <v>43046801</v>
      </c>
      <c r="AT37" s="17" t="b">
        <v>1</v>
      </c>
    </row>
    <row r="38" spans="1:46" s="17" customFormat="1" ht="16.5" customHeight="1" x14ac:dyDescent="0.3">
      <c r="A38" s="17">
        <v>10000031</v>
      </c>
      <c r="B38" s="17" t="s">
        <v>69</v>
      </c>
      <c r="C38" s="17">
        <v>103101</v>
      </c>
      <c r="D38" s="17" t="s">
        <v>70</v>
      </c>
      <c r="E38" s="17" t="s">
        <v>71</v>
      </c>
      <c r="F38" s="17" t="str">
        <f>D38&amp;"_profile"</f>
        <v>c031_profile</v>
      </c>
      <c r="G38" s="17" t="s">
        <v>36</v>
      </c>
      <c r="H38" s="17" t="s">
        <v>29</v>
      </c>
      <c r="I38" s="17" t="s">
        <v>37</v>
      </c>
      <c r="J38" s="17" t="b">
        <v>1</v>
      </c>
      <c r="K38" s="24" t="s">
        <v>38</v>
      </c>
      <c r="L38" s="17">
        <v>1</v>
      </c>
      <c r="M38" s="17" t="s">
        <v>72</v>
      </c>
      <c r="N38" s="17" t="s">
        <v>53</v>
      </c>
      <c r="O38" s="17">
        <f>100+L38</f>
        <v>101</v>
      </c>
      <c r="P38" s="17">
        <v>3</v>
      </c>
      <c r="Q38" s="17">
        <v>3</v>
      </c>
      <c r="R38" s="17">
        <v>1</v>
      </c>
      <c r="S38" s="17">
        <v>0</v>
      </c>
      <c r="T38" s="17">
        <v>0</v>
      </c>
      <c r="U38" s="17" t="s">
        <v>41</v>
      </c>
      <c r="V38" s="17">
        <v>90</v>
      </c>
      <c r="W38" s="17" t="s">
        <v>42</v>
      </c>
      <c r="X38" s="17">
        <v>6475</v>
      </c>
      <c r="Y38" s="17" t="s">
        <v>43</v>
      </c>
      <c r="Z38" s="17">
        <v>168</v>
      </c>
      <c r="AA38" s="17" t="s">
        <v>44</v>
      </c>
      <c r="AB38" s="17">
        <v>151</v>
      </c>
      <c r="AC38" s="17" t="s">
        <v>45</v>
      </c>
      <c r="AD38" s="17">
        <v>151</v>
      </c>
      <c r="AE38" s="17" t="s">
        <v>46</v>
      </c>
      <c r="AF38" s="17">
        <v>100</v>
      </c>
      <c r="AG38" s="17" t="s">
        <v>47</v>
      </c>
      <c r="AH38" s="17">
        <v>100</v>
      </c>
      <c r="AI38" s="17" t="s">
        <v>48</v>
      </c>
      <c r="AJ38" s="17">
        <v>5000</v>
      </c>
      <c r="AK38" s="17" t="s">
        <v>49</v>
      </c>
      <c r="AL38" s="17">
        <v>150000</v>
      </c>
      <c r="AM38" s="17">
        <f>INT(1&amp;L38&amp;TEXT(RIGHT(A38,3),"0000")&amp;"01")</f>
        <v>11003101</v>
      </c>
      <c r="AN38" s="17" t="b">
        <v>1</v>
      </c>
      <c r="AO38" s="17">
        <f>INT(2&amp;$L38&amp;TEXT(RIGHT($A38,3),"0000")&amp;"01")</f>
        <v>21003101</v>
      </c>
      <c r="AP38" s="17" t="b">
        <v>1</v>
      </c>
      <c r="AQ38" s="17">
        <f>INT(3&amp;$L38&amp;TEXT(RIGHT($A38,3),"0000")&amp;"01")</f>
        <v>31003101</v>
      </c>
      <c r="AR38" s="17" t="b">
        <v>1</v>
      </c>
      <c r="AS38" s="17">
        <f>INT(4&amp;$L38&amp;TEXT(RIGHT($A38,3),"0000")&amp;"01")</f>
        <v>41003101</v>
      </c>
      <c r="AT38" s="17" t="b">
        <v>1</v>
      </c>
    </row>
    <row r="39" spans="1:46" s="17" customFormat="1" ht="16.5" customHeight="1" x14ac:dyDescent="0.3">
      <c r="A39" s="17">
        <v>10000229</v>
      </c>
      <c r="B39" s="17" t="s">
        <v>138</v>
      </c>
      <c r="C39" s="17">
        <v>122901</v>
      </c>
      <c r="D39" s="17" t="s">
        <v>482</v>
      </c>
      <c r="E39" s="17" t="str">
        <f>"character_name_"&amp;A39</f>
        <v>character_name_10000229</v>
      </c>
      <c r="F39" s="17" t="str">
        <f>D39&amp;"_profile"</f>
        <v>c229_profile</v>
      </c>
      <c r="G39" s="17" t="s">
        <v>36</v>
      </c>
      <c r="H39" s="17" t="s">
        <v>29</v>
      </c>
      <c r="I39" s="17" t="s">
        <v>37</v>
      </c>
      <c r="J39" s="17" t="b">
        <v>1</v>
      </c>
      <c r="K39" s="24" t="s">
        <v>38</v>
      </c>
      <c r="L39" s="17">
        <v>3</v>
      </c>
      <c r="M39" s="17" t="s">
        <v>72</v>
      </c>
      <c r="N39" s="17" t="s">
        <v>53</v>
      </c>
      <c r="O39" s="17">
        <f>100+L39</f>
        <v>103</v>
      </c>
      <c r="P39" s="17">
        <v>4</v>
      </c>
      <c r="Q39" s="17">
        <v>4</v>
      </c>
      <c r="R39" s="17">
        <v>1</v>
      </c>
      <c r="S39" s="17">
        <v>0</v>
      </c>
      <c r="T39" s="17">
        <v>0</v>
      </c>
      <c r="U39" s="17" t="s">
        <v>41</v>
      </c>
      <c r="V39" s="17">
        <f t="array" ref="V39">_xlfn.IFS(N39="Attacker",80,N39="Healer",90,N39="Magician",100,N39="Defender",110,N39="Supporter",120)</f>
        <v>90</v>
      </c>
      <c r="W39" s="17" t="s">
        <v>42</v>
      </c>
      <c r="X39" s="17">
        <v>5909</v>
      </c>
      <c r="Y39" s="17" t="s">
        <v>43</v>
      </c>
      <c r="Z39" s="17">
        <v>198</v>
      </c>
      <c r="AA39" s="17" t="s">
        <v>44</v>
      </c>
      <c r="AB39" s="17">
        <v>142</v>
      </c>
      <c r="AC39" s="17" t="s">
        <v>45</v>
      </c>
      <c r="AD39" s="17">
        <v>156</v>
      </c>
      <c r="AE39" s="17" t="s">
        <v>46</v>
      </c>
      <c r="AF39" s="17">
        <v>100</v>
      </c>
      <c r="AG39" s="17" t="s">
        <v>47</v>
      </c>
      <c r="AH39" s="17">
        <v>100</v>
      </c>
      <c r="AI39" s="17" t="s">
        <v>48</v>
      </c>
      <c r="AJ39" s="17">
        <v>5000</v>
      </c>
      <c r="AK39" s="17" t="s">
        <v>49</v>
      </c>
      <c r="AL39" s="17">
        <v>150000</v>
      </c>
      <c r="AM39" s="17">
        <f>INT(1&amp;L39&amp;TEXT(RIGHT(A39,3),"0000")&amp;"01")</f>
        <v>13022901</v>
      </c>
      <c r="AN39" s="17" t="b">
        <v>1</v>
      </c>
      <c r="AO39" s="17">
        <f>INT(2&amp;$L39&amp;TEXT(RIGHT($A39,3),"0000")&amp;"01")</f>
        <v>23022901</v>
      </c>
      <c r="AP39" s="17" t="b">
        <v>1</v>
      </c>
      <c r="AQ39" s="17">
        <f>INT(3&amp;$L39&amp;TEXT(RIGHT($A39,3),"0000")&amp;"01")</f>
        <v>33022901</v>
      </c>
      <c r="AR39" s="17" t="b">
        <v>1</v>
      </c>
      <c r="AS39" s="17">
        <f>INT(4&amp;$L39&amp;TEXT(RIGHT($A39,3),"0000")&amp;"01")</f>
        <v>43022901</v>
      </c>
      <c r="AT39" s="17" t="b">
        <v>1</v>
      </c>
    </row>
    <row r="40" spans="1:46" s="17" customFormat="1" ht="16.5" customHeight="1" x14ac:dyDescent="0.3">
      <c r="A40" s="17">
        <v>10000033</v>
      </c>
      <c r="B40" s="17" t="s">
        <v>73</v>
      </c>
      <c r="C40" s="17">
        <v>103301</v>
      </c>
      <c r="D40" s="17" t="s">
        <v>74</v>
      </c>
      <c r="E40" s="17" t="s">
        <v>75</v>
      </c>
      <c r="F40" s="17" t="str">
        <f>D40&amp;"_profile"</f>
        <v>c033_profile</v>
      </c>
      <c r="G40" s="17" t="s">
        <v>36</v>
      </c>
      <c r="H40" s="17" t="s">
        <v>29</v>
      </c>
      <c r="I40" s="17" t="s">
        <v>37</v>
      </c>
      <c r="J40" s="17" t="b">
        <v>1</v>
      </c>
      <c r="K40" s="24" t="s">
        <v>38</v>
      </c>
      <c r="L40" s="17">
        <v>1</v>
      </c>
      <c r="M40" s="17" t="s">
        <v>72</v>
      </c>
      <c r="N40" s="17" t="s">
        <v>76</v>
      </c>
      <c r="O40" s="17">
        <f>100+L40</f>
        <v>101</v>
      </c>
      <c r="P40" s="17">
        <v>4</v>
      </c>
      <c r="Q40" s="17">
        <v>4</v>
      </c>
      <c r="R40" s="17">
        <v>1</v>
      </c>
      <c r="S40" s="17">
        <v>0</v>
      </c>
      <c r="T40" s="17">
        <v>0</v>
      </c>
      <c r="U40" s="17" t="s">
        <v>41</v>
      </c>
      <c r="V40" s="17">
        <v>120</v>
      </c>
      <c r="W40" s="17" t="s">
        <v>42</v>
      </c>
      <c r="X40" s="17">
        <v>5909</v>
      </c>
      <c r="Y40" s="17" t="s">
        <v>43</v>
      </c>
      <c r="Z40" s="17">
        <v>198</v>
      </c>
      <c r="AA40" s="17" t="s">
        <v>44</v>
      </c>
      <c r="AB40" s="17">
        <v>142</v>
      </c>
      <c r="AC40" s="17" t="s">
        <v>45</v>
      </c>
      <c r="AD40" s="17">
        <v>142</v>
      </c>
      <c r="AE40" s="17" t="s">
        <v>46</v>
      </c>
      <c r="AF40" s="17">
        <v>100</v>
      </c>
      <c r="AG40" s="17" t="s">
        <v>47</v>
      </c>
      <c r="AH40" s="17">
        <v>100</v>
      </c>
      <c r="AI40" s="17" t="s">
        <v>48</v>
      </c>
      <c r="AJ40" s="17">
        <v>5000</v>
      </c>
      <c r="AK40" s="17" t="s">
        <v>49</v>
      </c>
      <c r="AL40" s="17">
        <v>150000</v>
      </c>
      <c r="AM40" s="17">
        <f>INT(1&amp;L40&amp;TEXT(RIGHT(A40,3),"0000")&amp;"01")</f>
        <v>11003301</v>
      </c>
      <c r="AN40" s="17" t="b">
        <v>1</v>
      </c>
      <c r="AO40" s="17">
        <f>INT(2&amp;$L40&amp;TEXT(RIGHT($A40,3),"0000")&amp;"01")</f>
        <v>21003301</v>
      </c>
      <c r="AP40" s="17" t="b">
        <v>1</v>
      </c>
      <c r="AQ40" s="17">
        <f>INT(3&amp;$L40&amp;TEXT(RIGHT($A40,3),"0000")&amp;"01")</f>
        <v>31003301</v>
      </c>
      <c r="AR40" s="17" t="b">
        <v>1</v>
      </c>
      <c r="AS40" s="17">
        <f>INT(4&amp;$L40&amp;TEXT(RIGHT($A40,3),"0000")&amp;"01")</f>
        <v>41003301</v>
      </c>
      <c r="AT40" s="17" t="b">
        <v>1</v>
      </c>
    </row>
    <row r="41" spans="1:46" s="17" customFormat="1" ht="16.5" customHeight="1" x14ac:dyDescent="0.3">
      <c r="A41" s="17">
        <v>10000336</v>
      </c>
      <c r="B41" s="17" t="s">
        <v>140</v>
      </c>
      <c r="C41" s="17">
        <v>133601</v>
      </c>
      <c r="D41" s="17" t="s">
        <v>526</v>
      </c>
      <c r="E41" s="17" t="str">
        <f>"character_name_"&amp;A41</f>
        <v>character_name_10000336</v>
      </c>
      <c r="F41" s="17" t="str">
        <f>D41&amp;"_profile"</f>
        <v>c336_profile</v>
      </c>
      <c r="G41" s="17" t="s">
        <v>36</v>
      </c>
      <c r="H41" s="17" t="s">
        <v>29</v>
      </c>
      <c r="I41" s="17" t="s">
        <v>37</v>
      </c>
      <c r="J41" s="17" t="b">
        <v>1</v>
      </c>
      <c r="K41" s="24" t="s">
        <v>38</v>
      </c>
      <c r="L41" s="17">
        <v>3</v>
      </c>
      <c r="M41" s="17" t="s">
        <v>72</v>
      </c>
      <c r="N41" s="17" t="s">
        <v>76</v>
      </c>
      <c r="O41" s="17">
        <f>100+L41</f>
        <v>103</v>
      </c>
      <c r="P41" s="17">
        <v>4</v>
      </c>
      <c r="Q41" s="17">
        <v>4</v>
      </c>
      <c r="R41" s="17">
        <v>1</v>
      </c>
      <c r="S41" s="17">
        <v>0</v>
      </c>
      <c r="T41" s="17">
        <v>0</v>
      </c>
      <c r="U41" s="17" t="s">
        <v>41</v>
      </c>
      <c r="V41" s="17">
        <f t="array" ref="V41">_xlfn.IFS(N41="Attacker",80,N41="Healer",90,N41="Magician",100,N41="Defender",110,N41="Supporter",120)</f>
        <v>100</v>
      </c>
      <c r="W41" s="17" t="s">
        <v>42</v>
      </c>
      <c r="X41" s="17">
        <v>4743</v>
      </c>
      <c r="Y41" s="17" t="s">
        <v>43</v>
      </c>
      <c r="Z41" s="17">
        <v>341</v>
      </c>
      <c r="AA41" s="17" t="s">
        <v>44</v>
      </c>
      <c r="AB41" s="17">
        <v>108</v>
      </c>
      <c r="AC41" s="17" t="s">
        <v>45</v>
      </c>
      <c r="AD41" s="17">
        <v>156</v>
      </c>
      <c r="AE41" s="17" t="s">
        <v>46</v>
      </c>
      <c r="AF41" s="17">
        <v>100</v>
      </c>
      <c r="AG41" s="17" t="s">
        <v>47</v>
      </c>
      <c r="AH41" s="17">
        <v>100</v>
      </c>
      <c r="AI41" s="17" t="s">
        <v>48</v>
      </c>
      <c r="AJ41" s="17">
        <v>5000</v>
      </c>
      <c r="AK41" s="17" t="s">
        <v>49</v>
      </c>
      <c r="AL41" s="17">
        <v>150000</v>
      </c>
      <c r="AM41" s="17">
        <f>INT(1&amp;L41&amp;TEXT(RIGHT(A41,3),"0000")&amp;"01")</f>
        <v>13033601</v>
      </c>
      <c r="AN41" s="17" t="b">
        <v>1</v>
      </c>
      <c r="AO41" s="17">
        <f>INT(2&amp;$L41&amp;TEXT(RIGHT($A41,3),"0000")&amp;"01")</f>
        <v>23033601</v>
      </c>
      <c r="AP41" s="17" t="b">
        <v>1</v>
      </c>
      <c r="AQ41" s="17">
        <f>INT(3&amp;$L41&amp;TEXT(RIGHT($A41,3),"0000")&amp;"01")</f>
        <v>33033601</v>
      </c>
      <c r="AR41" s="17" t="b">
        <v>1</v>
      </c>
      <c r="AS41" s="17">
        <f>INT(4&amp;$L41&amp;TEXT(RIGHT($A41,3),"0000")&amp;"01")</f>
        <v>43033601</v>
      </c>
      <c r="AT41" s="17" t="b">
        <v>1</v>
      </c>
    </row>
    <row r="42" spans="1:46" s="17" customFormat="1" ht="16.5" customHeight="1" x14ac:dyDescent="0.3">
      <c r="A42" s="17">
        <v>10000601</v>
      </c>
      <c r="B42" s="17" t="s">
        <v>143</v>
      </c>
      <c r="C42" s="17">
        <v>160101</v>
      </c>
      <c r="D42" s="17" t="s">
        <v>982</v>
      </c>
      <c r="E42" s="17" t="str">
        <f>"character_name_"&amp;A42</f>
        <v>character_name_10000601</v>
      </c>
      <c r="F42" s="17" t="str">
        <f>D42&amp;"_profile"</f>
        <v>c601_profile</v>
      </c>
      <c r="G42" s="17" t="s">
        <v>36</v>
      </c>
      <c r="H42" s="17" t="s">
        <v>29</v>
      </c>
      <c r="I42" s="17" t="s">
        <v>37</v>
      </c>
      <c r="J42" s="17" t="b">
        <v>1</v>
      </c>
      <c r="K42" s="24" t="s">
        <v>38</v>
      </c>
      <c r="L42" s="17">
        <v>3</v>
      </c>
      <c r="M42" s="17" t="s">
        <v>72</v>
      </c>
      <c r="N42" s="17" t="s">
        <v>76</v>
      </c>
      <c r="O42" s="17">
        <f>100+L42</f>
        <v>103</v>
      </c>
      <c r="P42" s="17">
        <f t="array" ref="P42">_xlfn.IFS($N42="Attacker",6,$N42="Healer",3,$N42="Magician",4,$N42="Defender",3,$N42="Supporter",4)</f>
        <v>4</v>
      </c>
      <c r="Q42" s="17">
        <f t="array" ref="Q42">_xlfn.IFS($N42="Attacker",6,$N42="Healer",3,$N42="Magician",4,$N42="Defender",3,$N42="Supporter",4)</f>
        <v>4</v>
      </c>
      <c r="R42" s="17">
        <v>1</v>
      </c>
      <c r="S42" s="17">
        <v>0</v>
      </c>
      <c r="T42" s="17">
        <v>0</v>
      </c>
      <c r="U42" s="17" t="s">
        <v>41</v>
      </c>
      <c r="V42" s="17">
        <f t="array" ref="V42">_xlfn.IFS(N42="Attacker",80,N42="Healer",90,N42="Magician",100,N42="Defender",110,N42="Supporter",120)</f>
        <v>100</v>
      </c>
      <c r="W42" s="17" t="s">
        <v>42</v>
      </c>
      <c r="X42" s="17">
        <v>5100</v>
      </c>
      <c r="Y42" s="17" t="s">
        <v>43</v>
      </c>
      <c r="Z42" s="17">
        <v>420</v>
      </c>
      <c r="AA42" s="17" t="s">
        <v>44</v>
      </c>
      <c r="AB42" s="17">
        <v>120</v>
      </c>
      <c r="AC42" s="17" t="s">
        <v>45</v>
      </c>
      <c r="AD42" s="17">
        <v>120</v>
      </c>
      <c r="AE42" s="17" t="s">
        <v>46</v>
      </c>
      <c r="AF42" s="17">
        <v>100</v>
      </c>
      <c r="AG42" s="17" t="s">
        <v>47</v>
      </c>
      <c r="AH42" s="17">
        <v>100</v>
      </c>
      <c r="AI42" s="17" t="s">
        <v>48</v>
      </c>
      <c r="AJ42" s="17">
        <v>5000</v>
      </c>
      <c r="AK42" s="17" t="s">
        <v>49</v>
      </c>
      <c r="AL42" s="17">
        <v>150000</v>
      </c>
      <c r="AM42" s="17">
        <f>INT(1&amp;L42&amp;TEXT(RIGHT(A42,3),"0000")&amp;"01")</f>
        <v>13060101</v>
      </c>
      <c r="AN42" s="17" t="b">
        <v>1</v>
      </c>
      <c r="AO42" s="17">
        <f>INT(2&amp;$L42&amp;TEXT(RIGHT($A42,3),"0000")&amp;"01")</f>
        <v>23060101</v>
      </c>
      <c r="AP42" s="17" t="b">
        <v>1</v>
      </c>
      <c r="AQ42" s="17">
        <f>INT(3&amp;$L42&amp;TEXT(RIGHT($A42,3),"0000")&amp;"01")</f>
        <v>33060101</v>
      </c>
      <c r="AR42" s="17" t="b">
        <v>1</v>
      </c>
      <c r="AS42" s="17">
        <f>INT(4&amp;$L42&amp;TEXT(RIGHT($A42,3),"0000")&amp;"01")</f>
        <v>43060101</v>
      </c>
      <c r="AT42" s="17" t="b">
        <v>1</v>
      </c>
    </row>
    <row r="43" spans="1:46" s="17" customFormat="1" ht="16.5" customHeight="1" x14ac:dyDescent="0.3">
      <c r="A43" s="17">
        <v>10000398</v>
      </c>
      <c r="B43" s="17" t="s">
        <v>108</v>
      </c>
      <c r="C43" s="17">
        <v>139801</v>
      </c>
      <c r="D43" s="17" t="s">
        <v>109</v>
      </c>
      <c r="E43" s="17" t="s">
        <v>110</v>
      </c>
      <c r="F43" s="17" t="str">
        <f>D43&amp;"_profile"</f>
        <v>c398_profile</v>
      </c>
      <c r="G43" s="17" t="s">
        <v>36</v>
      </c>
      <c r="H43" s="17" t="s">
        <v>29</v>
      </c>
      <c r="I43" s="17" t="s">
        <v>37</v>
      </c>
      <c r="J43" s="17" t="b">
        <v>1</v>
      </c>
      <c r="K43" s="24" t="s">
        <v>38</v>
      </c>
      <c r="L43" s="17">
        <v>2</v>
      </c>
      <c r="M43" s="17" t="s">
        <v>72</v>
      </c>
      <c r="N43" s="17" t="s">
        <v>40</v>
      </c>
      <c r="O43" s="17">
        <f>100+L43</f>
        <v>102</v>
      </c>
      <c r="P43" s="17">
        <v>4</v>
      </c>
      <c r="Q43" s="17">
        <v>4</v>
      </c>
      <c r="R43" s="17">
        <v>1</v>
      </c>
      <c r="S43" s="17">
        <v>0</v>
      </c>
      <c r="T43" s="17">
        <v>0</v>
      </c>
      <c r="U43" s="17" t="s">
        <v>41</v>
      </c>
      <c r="V43" s="17">
        <v>120</v>
      </c>
      <c r="W43" s="17" t="s">
        <v>42</v>
      </c>
      <c r="X43" s="17">
        <v>5909</v>
      </c>
      <c r="Y43" s="17" t="s">
        <v>43</v>
      </c>
      <c r="Z43" s="17">
        <v>198</v>
      </c>
      <c r="AA43" s="17" t="s">
        <v>44</v>
      </c>
      <c r="AB43" s="17">
        <v>142</v>
      </c>
      <c r="AC43" s="17" t="s">
        <v>45</v>
      </c>
      <c r="AD43" s="17">
        <v>142</v>
      </c>
      <c r="AE43" s="17" t="s">
        <v>46</v>
      </c>
      <c r="AF43" s="17">
        <v>100</v>
      </c>
      <c r="AG43" s="17" t="s">
        <v>47</v>
      </c>
      <c r="AH43" s="17">
        <v>100</v>
      </c>
      <c r="AI43" s="17" t="s">
        <v>48</v>
      </c>
      <c r="AJ43" s="17">
        <v>5000</v>
      </c>
      <c r="AK43" s="17" t="s">
        <v>49</v>
      </c>
      <c r="AL43" s="17">
        <v>150000</v>
      </c>
      <c r="AM43" s="17">
        <f>INT(1&amp;L43&amp;TEXT(RIGHT(A43,3),"0000")&amp;"01")</f>
        <v>12039801</v>
      </c>
      <c r="AN43" s="17" t="b">
        <v>1</v>
      </c>
      <c r="AO43" s="17">
        <f>INT(2&amp;$L43&amp;TEXT(RIGHT($A43,3),"0000")&amp;"01")</f>
        <v>22039801</v>
      </c>
      <c r="AP43" s="17" t="b">
        <v>1</v>
      </c>
      <c r="AQ43" s="17">
        <f>INT(3&amp;$L43&amp;TEXT(RIGHT($A43,3),"0000")&amp;"01")</f>
        <v>32039801</v>
      </c>
      <c r="AR43" s="17" t="b">
        <v>1</v>
      </c>
      <c r="AS43" s="17">
        <f>INT(4&amp;$L43&amp;TEXT(RIGHT($A43,3),"0000")&amp;"01")</f>
        <v>42039801</v>
      </c>
      <c r="AT43" s="17" t="b">
        <v>1</v>
      </c>
    </row>
    <row r="44" spans="1:46" s="17" customFormat="1" ht="16.5" customHeight="1" x14ac:dyDescent="0.3">
      <c r="A44" s="17">
        <v>10000525</v>
      </c>
      <c r="B44" s="17" t="s">
        <v>139</v>
      </c>
      <c r="C44" s="17">
        <v>152501</v>
      </c>
      <c r="D44" s="17" t="s">
        <v>518</v>
      </c>
      <c r="E44" s="17" t="str">
        <f>"character_name_"&amp;A44</f>
        <v>character_name_10000525</v>
      </c>
      <c r="F44" s="17" t="str">
        <f>D44&amp;"_profile"</f>
        <v>c525_profile</v>
      </c>
      <c r="G44" s="17" t="s">
        <v>36</v>
      </c>
      <c r="H44" s="17" t="s">
        <v>29</v>
      </c>
      <c r="I44" s="17" t="s">
        <v>37</v>
      </c>
      <c r="J44" s="17" t="b">
        <v>1</v>
      </c>
      <c r="K44" s="24" t="s">
        <v>38</v>
      </c>
      <c r="L44" s="17">
        <v>3</v>
      </c>
      <c r="M44" s="17" t="s">
        <v>72</v>
      </c>
      <c r="N44" s="17" t="s">
        <v>40</v>
      </c>
      <c r="O44" s="17">
        <f>100+L44</f>
        <v>103</v>
      </c>
      <c r="P44" s="17">
        <v>4</v>
      </c>
      <c r="Q44" s="17">
        <v>4</v>
      </c>
      <c r="R44" s="17">
        <v>1</v>
      </c>
      <c r="S44" s="17">
        <v>0</v>
      </c>
      <c r="T44" s="17">
        <v>0</v>
      </c>
      <c r="U44" s="17" t="s">
        <v>41</v>
      </c>
      <c r="V44" s="17">
        <f t="array" ref="V44">_xlfn.IFS(N44="Attacker",80,N44="Healer",90,N44="Magician",100,N44="Defender",110,N44="Supporter",120)</f>
        <v>120</v>
      </c>
      <c r="W44" s="17" t="s">
        <v>42</v>
      </c>
      <c r="X44" s="17">
        <v>5909</v>
      </c>
      <c r="Y44" s="17" t="s">
        <v>43</v>
      </c>
      <c r="Z44" s="17">
        <v>198</v>
      </c>
      <c r="AA44" s="17" t="s">
        <v>44</v>
      </c>
      <c r="AB44" s="17">
        <v>142</v>
      </c>
      <c r="AC44" s="17" t="s">
        <v>45</v>
      </c>
      <c r="AD44" s="17">
        <v>156</v>
      </c>
      <c r="AE44" s="17" t="s">
        <v>46</v>
      </c>
      <c r="AF44" s="17">
        <v>100</v>
      </c>
      <c r="AG44" s="17" t="s">
        <v>47</v>
      </c>
      <c r="AH44" s="17">
        <v>100</v>
      </c>
      <c r="AI44" s="17" t="s">
        <v>48</v>
      </c>
      <c r="AJ44" s="17">
        <v>5000</v>
      </c>
      <c r="AK44" s="17" t="s">
        <v>49</v>
      </c>
      <c r="AL44" s="17">
        <v>150000</v>
      </c>
      <c r="AM44" s="17">
        <f>INT(1&amp;L44&amp;TEXT(RIGHT(A44,3),"0000")&amp;"01")</f>
        <v>13052501</v>
      </c>
      <c r="AN44" s="17" t="b">
        <v>1</v>
      </c>
      <c r="AO44" s="17">
        <f>INT(2&amp;$L44&amp;TEXT(RIGHT($A44,3),"0000")&amp;"01")</f>
        <v>23052501</v>
      </c>
      <c r="AP44" s="17" t="b">
        <v>1</v>
      </c>
      <c r="AQ44" s="17">
        <f>INT(3&amp;$L44&amp;TEXT(RIGHT($A44,3),"0000")&amp;"01")</f>
        <v>33052501</v>
      </c>
      <c r="AR44" s="17" t="b">
        <v>1</v>
      </c>
      <c r="AS44" s="17">
        <f>INT(4&amp;$L44&amp;TEXT(RIGHT($A44,3),"0000")&amp;"01")</f>
        <v>43052501</v>
      </c>
      <c r="AT44" s="17" t="b">
        <v>1</v>
      </c>
    </row>
    <row r="45" spans="1:46" s="17" customFormat="1" ht="16.5" customHeight="1" x14ac:dyDescent="0.3">
      <c r="A45" s="17">
        <v>10000461</v>
      </c>
      <c r="B45" s="17" t="s">
        <v>141</v>
      </c>
      <c r="C45" s="17">
        <v>146101</v>
      </c>
      <c r="D45" s="17" t="s">
        <v>530</v>
      </c>
      <c r="E45" s="17" t="str">
        <f>"character_name_"&amp;A45</f>
        <v>character_name_10000461</v>
      </c>
      <c r="F45" s="17" t="str">
        <f>D45&amp;"_profile"</f>
        <v>c461_profile</v>
      </c>
      <c r="G45" s="17" t="s">
        <v>36</v>
      </c>
      <c r="H45" s="17" t="s">
        <v>29</v>
      </c>
      <c r="I45" s="17" t="s">
        <v>37</v>
      </c>
      <c r="J45" s="17" t="b">
        <v>1</v>
      </c>
      <c r="K45" s="24" t="s">
        <v>38</v>
      </c>
      <c r="L45" s="17">
        <v>3</v>
      </c>
      <c r="M45" s="17" t="s">
        <v>72</v>
      </c>
      <c r="N45" s="17" t="s">
        <v>40</v>
      </c>
      <c r="O45" s="17">
        <f>100+L45</f>
        <v>103</v>
      </c>
      <c r="P45" s="17">
        <f t="array" ref="P45">_xlfn.IFS($N45="Attacker",6,$N45="Healer",3,$N45="Magician",4,$N45="Defender",3,$N45="Supporter",4)</f>
        <v>4</v>
      </c>
      <c r="Q45" s="17">
        <f t="array" ref="Q45">_xlfn.IFS($N45="Attacker",6,$N45="Healer",3,$N45="Magician",4,$N45="Defender",3,$N45="Supporter",4)</f>
        <v>4</v>
      </c>
      <c r="R45" s="17">
        <v>1</v>
      </c>
      <c r="S45" s="17">
        <v>0</v>
      </c>
      <c r="T45" s="17">
        <v>0</v>
      </c>
      <c r="U45" s="17" t="s">
        <v>41</v>
      </c>
      <c r="V45" s="17">
        <f t="array" ref="V45">_xlfn.IFS(N45="Attacker",80,N45="Healer",90,N45="Magician",100,N45="Defender",110,N45="Supporter",120)</f>
        <v>120</v>
      </c>
      <c r="W45" s="17" t="s">
        <v>42</v>
      </c>
      <c r="X45" s="17">
        <v>5909</v>
      </c>
      <c r="Y45" s="17" t="s">
        <v>43</v>
      </c>
      <c r="Z45" s="17">
        <v>198</v>
      </c>
      <c r="AA45" s="17" t="s">
        <v>44</v>
      </c>
      <c r="AB45" s="17">
        <v>142</v>
      </c>
      <c r="AC45" s="17" t="s">
        <v>45</v>
      </c>
      <c r="AD45" s="17">
        <v>156</v>
      </c>
      <c r="AE45" s="17" t="s">
        <v>46</v>
      </c>
      <c r="AF45" s="17">
        <v>100</v>
      </c>
      <c r="AG45" s="17" t="s">
        <v>47</v>
      </c>
      <c r="AH45" s="17">
        <v>100</v>
      </c>
      <c r="AI45" s="17" t="s">
        <v>48</v>
      </c>
      <c r="AJ45" s="17">
        <v>5000</v>
      </c>
      <c r="AK45" s="17" t="s">
        <v>49</v>
      </c>
      <c r="AL45" s="17">
        <v>150000</v>
      </c>
      <c r="AM45" s="17">
        <f>INT(1&amp;L45&amp;TEXT(RIGHT(A45,3),"0000")&amp;"01")</f>
        <v>13046101</v>
      </c>
      <c r="AN45" s="17" t="b">
        <v>1</v>
      </c>
      <c r="AO45" s="17">
        <f>INT(2&amp;$L45&amp;TEXT(RIGHT($A45,3),"0000")&amp;"01")</f>
        <v>23046101</v>
      </c>
      <c r="AP45" s="17" t="b">
        <v>1</v>
      </c>
      <c r="AQ45" s="17">
        <f>INT(3&amp;$L45&amp;TEXT(RIGHT($A45,3),"0000")&amp;"01")</f>
        <v>33046101</v>
      </c>
      <c r="AR45" s="17" t="b">
        <v>1</v>
      </c>
      <c r="AS45" s="17">
        <f>INT(4&amp;$L45&amp;TEXT(RIGHT($A45,3),"0000")&amp;"01")</f>
        <v>43046101</v>
      </c>
      <c r="AT45" s="17" t="b">
        <v>1</v>
      </c>
    </row>
    <row r="46" spans="1:46" s="17" customFormat="1" ht="16.5" customHeight="1" x14ac:dyDescent="0.3">
      <c r="A46" s="17">
        <v>10000221</v>
      </c>
      <c r="B46" s="17" t="s">
        <v>84</v>
      </c>
      <c r="C46" s="17">
        <v>122101</v>
      </c>
      <c r="D46" s="17" t="s">
        <v>85</v>
      </c>
      <c r="E46" s="17" t="s">
        <v>86</v>
      </c>
      <c r="F46" s="17" t="str">
        <f>D46&amp;"_profile"</f>
        <v>c221_profile</v>
      </c>
      <c r="G46" s="17" t="s">
        <v>36</v>
      </c>
      <c r="H46" s="17" t="s">
        <v>29</v>
      </c>
      <c r="I46" s="17" t="s">
        <v>37</v>
      </c>
      <c r="J46" s="17" t="b">
        <v>1</v>
      </c>
      <c r="K46" s="24" t="s">
        <v>38</v>
      </c>
      <c r="L46" s="17">
        <v>1</v>
      </c>
      <c r="M46" s="17" t="s">
        <v>83</v>
      </c>
      <c r="N46" s="17" t="s">
        <v>57</v>
      </c>
      <c r="O46" s="17">
        <f>100+L46</f>
        <v>101</v>
      </c>
      <c r="P46" s="17">
        <v>6</v>
      </c>
      <c r="Q46" s="17">
        <v>6</v>
      </c>
      <c r="R46" s="17">
        <v>1</v>
      </c>
      <c r="S46" s="17">
        <v>0</v>
      </c>
      <c r="T46" s="17">
        <v>0</v>
      </c>
      <c r="U46" s="17" t="s">
        <v>41</v>
      </c>
      <c r="V46" s="17">
        <v>80</v>
      </c>
      <c r="W46" s="17" t="s">
        <v>42</v>
      </c>
      <c r="X46" s="17">
        <v>5100</v>
      </c>
      <c r="Y46" s="17" t="s">
        <v>43</v>
      </c>
      <c r="Z46" s="17">
        <v>420</v>
      </c>
      <c r="AA46" s="17" t="s">
        <v>44</v>
      </c>
      <c r="AB46" s="17">
        <v>120</v>
      </c>
      <c r="AC46" s="17" t="s">
        <v>45</v>
      </c>
      <c r="AD46" s="17">
        <v>120</v>
      </c>
      <c r="AE46" s="17" t="s">
        <v>46</v>
      </c>
      <c r="AF46" s="17">
        <v>100</v>
      </c>
      <c r="AG46" s="17" t="s">
        <v>47</v>
      </c>
      <c r="AH46" s="17">
        <v>100</v>
      </c>
      <c r="AI46" s="17" t="s">
        <v>48</v>
      </c>
      <c r="AJ46" s="17">
        <v>5000</v>
      </c>
      <c r="AK46" s="17" t="s">
        <v>49</v>
      </c>
      <c r="AL46" s="17">
        <v>150000</v>
      </c>
      <c r="AM46" s="17">
        <f>INT(1&amp;L46&amp;TEXT(RIGHT(A46,3),"0000")&amp;"01")</f>
        <v>11022101</v>
      </c>
      <c r="AN46" s="17" t="b">
        <v>1</v>
      </c>
      <c r="AO46" s="17">
        <f>INT(2&amp;$L46&amp;TEXT(RIGHT($A46,3),"0000")&amp;"01")</f>
        <v>21022101</v>
      </c>
      <c r="AP46" s="17" t="b">
        <v>1</v>
      </c>
      <c r="AQ46" s="17">
        <f>INT(3&amp;$L46&amp;TEXT(RIGHT($A46,3),"0000")&amp;"01")</f>
        <v>31022101</v>
      </c>
      <c r="AR46" s="17" t="b">
        <v>1</v>
      </c>
      <c r="AS46" s="17">
        <f>INT(4&amp;$L46&amp;TEXT(RIGHT($A46,3),"0000")&amp;"01")</f>
        <v>41022101</v>
      </c>
      <c r="AT46" s="17" t="b">
        <v>1</v>
      </c>
    </row>
    <row r="47" spans="1:46" s="17" customFormat="1" ht="16.5" customHeight="1" x14ac:dyDescent="0.3">
      <c r="A47" s="17">
        <v>10000296</v>
      </c>
      <c r="B47" s="17" t="s">
        <v>114</v>
      </c>
      <c r="C47" s="17">
        <v>129601</v>
      </c>
      <c r="D47" s="17" t="s">
        <v>470</v>
      </c>
      <c r="E47" s="17" t="str">
        <f>"character_name_"&amp;A47</f>
        <v>character_name_10000296</v>
      </c>
      <c r="F47" s="17" t="str">
        <f>D47&amp;"_profile"</f>
        <v>c296_profile</v>
      </c>
      <c r="G47" s="17" t="s">
        <v>36</v>
      </c>
      <c r="H47" s="17" t="s">
        <v>29</v>
      </c>
      <c r="I47" s="17" t="s">
        <v>37</v>
      </c>
      <c r="J47" s="17" t="b">
        <v>1</v>
      </c>
      <c r="K47" s="24" t="s">
        <v>38</v>
      </c>
      <c r="L47" s="17">
        <v>2</v>
      </c>
      <c r="M47" s="17" t="s">
        <v>83</v>
      </c>
      <c r="N47" s="17" t="s">
        <v>57</v>
      </c>
      <c r="O47" s="17">
        <f>100+L47</f>
        <v>102</v>
      </c>
      <c r="P47" s="17">
        <f t="array" ref="P47">_xlfn.IFS($N47="Attacker",6,$N47="Healer",3,$N47="Magician",4,$N47="Defender",3,$N47="Supporter",4)</f>
        <v>6</v>
      </c>
      <c r="Q47" s="17">
        <f t="array" ref="Q47">_xlfn.IFS($N47="Attacker",6,$N47="Healer",3,$N47="Magician",4,$N47="Defender",3,$N47="Supporter",4)</f>
        <v>6</v>
      </c>
      <c r="R47" s="17">
        <v>1</v>
      </c>
      <c r="S47" s="17">
        <v>0</v>
      </c>
      <c r="T47" s="17">
        <v>0</v>
      </c>
      <c r="U47" s="17" t="s">
        <v>41</v>
      </c>
      <c r="V47" s="17">
        <f t="array" ref="V47">_xlfn.IFS(N47="Attacker",80,N47="Healer",90,N47="Magician",100,N47="Defender",110,N47="Supporter",120)</f>
        <v>80</v>
      </c>
      <c r="W47" s="17" t="s">
        <v>42</v>
      </c>
      <c r="X47" s="17">
        <v>5100</v>
      </c>
      <c r="Y47" s="17" t="s">
        <v>43</v>
      </c>
      <c r="Z47" s="17">
        <v>420</v>
      </c>
      <c r="AA47" s="17" t="s">
        <v>44</v>
      </c>
      <c r="AB47" s="17">
        <v>120</v>
      </c>
      <c r="AC47" s="17" t="s">
        <v>45</v>
      </c>
      <c r="AD47" s="17">
        <v>187</v>
      </c>
      <c r="AE47" s="17" t="s">
        <v>46</v>
      </c>
      <c r="AF47" s="17">
        <v>100</v>
      </c>
      <c r="AG47" s="17" t="s">
        <v>47</v>
      </c>
      <c r="AH47" s="17">
        <v>100</v>
      </c>
      <c r="AI47" s="17" t="s">
        <v>48</v>
      </c>
      <c r="AJ47" s="17">
        <v>5000</v>
      </c>
      <c r="AK47" s="17" t="s">
        <v>49</v>
      </c>
      <c r="AL47" s="17">
        <v>150000</v>
      </c>
      <c r="AM47" s="17">
        <f>INT(1&amp;L47&amp;TEXT(RIGHT(A47,3),"0000")&amp;"01")</f>
        <v>12029601</v>
      </c>
      <c r="AN47" s="17" t="b">
        <v>1</v>
      </c>
      <c r="AO47" s="17">
        <f>INT(2&amp;$L47&amp;TEXT(RIGHT($A47,3),"0000")&amp;"01")</f>
        <v>22029601</v>
      </c>
      <c r="AP47" s="17" t="b">
        <v>1</v>
      </c>
      <c r="AQ47" s="17">
        <f>INT(3&amp;$L47&amp;TEXT(RIGHT($A47,3),"0000")&amp;"01")</f>
        <v>32029601</v>
      </c>
      <c r="AR47" s="17" t="b">
        <v>1</v>
      </c>
      <c r="AS47" s="17">
        <f>INT(4&amp;$L47&amp;TEXT(RIGHT($A47,3),"0000")&amp;"01")</f>
        <v>42029601</v>
      </c>
      <c r="AT47" s="17" t="b">
        <v>1</v>
      </c>
    </row>
    <row r="48" spans="1:46" s="17" customFormat="1" ht="16.5" customHeight="1" x14ac:dyDescent="0.3">
      <c r="A48" s="17">
        <v>10000194</v>
      </c>
      <c r="B48" s="17" t="s">
        <v>146</v>
      </c>
      <c r="C48" s="17">
        <v>119401</v>
      </c>
      <c r="D48" s="17" t="s">
        <v>522</v>
      </c>
      <c r="E48" s="17" t="str">
        <f>"character_name_"&amp;A48</f>
        <v>character_name_10000194</v>
      </c>
      <c r="F48" s="17" t="str">
        <f>D48&amp;"_profile"</f>
        <v>c194_profile</v>
      </c>
      <c r="G48" s="17" t="s">
        <v>36</v>
      </c>
      <c r="H48" s="17" t="s">
        <v>29</v>
      </c>
      <c r="I48" s="17" t="s">
        <v>37</v>
      </c>
      <c r="J48" s="17" t="b">
        <v>1</v>
      </c>
      <c r="K48" s="24" t="s">
        <v>38</v>
      </c>
      <c r="L48" s="17">
        <v>3</v>
      </c>
      <c r="M48" s="17" t="s">
        <v>83</v>
      </c>
      <c r="N48" s="17" t="s">
        <v>57</v>
      </c>
      <c r="O48" s="17">
        <f>100+L48</f>
        <v>103</v>
      </c>
      <c r="P48" s="17">
        <f t="array" ref="P48">_xlfn.IFS($N48="Attacker",6,$N48="Healer",3,$N48="Magician",4,$N48="Defender",3,$N48="Supporter",4)</f>
        <v>6</v>
      </c>
      <c r="Q48" s="17">
        <f t="array" ref="Q48">_xlfn.IFS($N48="Attacker",6,$N48="Healer",3,$N48="Magician",4,$N48="Defender",3,$N48="Supporter",4)</f>
        <v>6</v>
      </c>
      <c r="R48" s="17">
        <v>1</v>
      </c>
      <c r="S48" s="17">
        <v>0</v>
      </c>
      <c r="T48" s="17">
        <v>0</v>
      </c>
      <c r="U48" s="17" t="s">
        <v>41</v>
      </c>
      <c r="V48" s="17">
        <f t="array" ref="V48">_xlfn.IFS(N48="Attacker",80,N48="Healer",90,N48="Magician",100,N48="Defender",110,N48="Supporter",120)</f>
        <v>80</v>
      </c>
      <c r="W48" s="17" t="s">
        <v>42</v>
      </c>
      <c r="X48" s="17">
        <v>5100</v>
      </c>
      <c r="Y48" s="17" t="s">
        <v>43</v>
      </c>
      <c r="Z48" s="17">
        <v>420</v>
      </c>
      <c r="AA48" s="17" t="s">
        <v>44</v>
      </c>
      <c r="AB48" s="17">
        <v>120</v>
      </c>
      <c r="AC48" s="17" t="s">
        <v>45</v>
      </c>
      <c r="AD48" s="17">
        <v>130</v>
      </c>
      <c r="AE48" s="17" t="s">
        <v>46</v>
      </c>
      <c r="AF48" s="17">
        <v>100</v>
      </c>
      <c r="AG48" s="17" t="s">
        <v>47</v>
      </c>
      <c r="AH48" s="17">
        <v>100</v>
      </c>
      <c r="AI48" s="17" t="s">
        <v>48</v>
      </c>
      <c r="AJ48" s="17">
        <v>5000</v>
      </c>
      <c r="AK48" s="17" t="s">
        <v>49</v>
      </c>
      <c r="AL48" s="17">
        <v>150000</v>
      </c>
      <c r="AM48" s="17">
        <f>INT(1&amp;L48&amp;TEXT(RIGHT(A48,3),"0000")&amp;"01")</f>
        <v>13019401</v>
      </c>
      <c r="AN48" s="17" t="b">
        <v>1</v>
      </c>
      <c r="AO48" s="17">
        <f>INT(2&amp;$L48&amp;TEXT(RIGHT($A48,3),"0000")&amp;"01")</f>
        <v>23019401</v>
      </c>
      <c r="AP48" s="17" t="b">
        <v>1</v>
      </c>
      <c r="AQ48" s="17">
        <f>INT(3&amp;$L48&amp;TEXT(RIGHT($A48,3),"0000")&amp;"01")</f>
        <v>33019401</v>
      </c>
      <c r="AR48" s="17" t="b">
        <v>1</v>
      </c>
      <c r="AS48" s="17">
        <f>INT(4&amp;$L48&amp;TEXT(RIGHT($A48,3),"0000")&amp;"01")</f>
        <v>43019401</v>
      </c>
      <c r="AT48" s="17" t="b">
        <v>1</v>
      </c>
    </row>
    <row r="49" spans="1:46" s="17" customFormat="1" ht="16.5" customHeight="1" x14ac:dyDescent="0.3">
      <c r="A49" s="17">
        <v>10000353</v>
      </c>
      <c r="B49" s="17" t="s">
        <v>87</v>
      </c>
      <c r="C49" s="17">
        <v>135301</v>
      </c>
      <c r="D49" s="17" t="s">
        <v>479</v>
      </c>
      <c r="E49" s="17" t="str">
        <f>"character_name_"&amp;A49</f>
        <v>character_name_10000353</v>
      </c>
      <c r="F49" s="17" t="str">
        <f>D49&amp;"_profile"</f>
        <v>c353_profile</v>
      </c>
      <c r="G49" s="17" t="s">
        <v>36</v>
      </c>
      <c r="H49" s="17" t="s">
        <v>29</v>
      </c>
      <c r="I49" s="17" t="s">
        <v>37</v>
      </c>
      <c r="J49" s="17" t="b">
        <v>1</v>
      </c>
      <c r="K49" s="24" t="s">
        <v>38</v>
      </c>
      <c r="L49" s="17">
        <v>1</v>
      </c>
      <c r="M49" s="17" t="s">
        <v>83</v>
      </c>
      <c r="N49" s="17" t="s">
        <v>62</v>
      </c>
      <c r="O49" s="17">
        <f>100+L49</f>
        <v>101</v>
      </c>
      <c r="P49" s="17">
        <f t="array" ref="P49">_xlfn.IFS($N49="Attacker",6,$N49="Healer",3,$N49="Magician",4,$N49="Defender",3,$N49="Supporter",4)</f>
        <v>3</v>
      </c>
      <c r="Q49" s="17">
        <f t="array" ref="Q49">_xlfn.IFS($N49="Attacker",6,$N49="Healer",3,$N49="Magician",4,$N49="Defender",3,$N49="Supporter",4)</f>
        <v>3</v>
      </c>
      <c r="R49" s="17">
        <v>1</v>
      </c>
      <c r="S49" s="17">
        <v>0</v>
      </c>
      <c r="T49" s="17">
        <v>0</v>
      </c>
      <c r="U49" s="17" t="s">
        <v>41</v>
      </c>
      <c r="V49" s="17">
        <f t="array" ref="V49">_xlfn.IFS(N49="Attacker",80,N49="Healer",90,N49="Magician",100,N49="Defender",110,N49="Supporter",120)</f>
        <v>110</v>
      </c>
      <c r="W49" s="17" t="s">
        <v>42</v>
      </c>
      <c r="X49" s="17">
        <v>8650</v>
      </c>
      <c r="Y49" s="17" t="s">
        <v>43</v>
      </c>
      <c r="Z49" s="17">
        <v>252</v>
      </c>
      <c r="AA49" s="17" t="s">
        <v>44</v>
      </c>
      <c r="AB49" s="17">
        <v>240</v>
      </c>
      <c r="AC49" s="17" t="s">
        <v>45</v>
      </c>
      <c r="AD49" s="17">
        <v>195</v>
      </c>
      <c r="AE49" s="17" t="s">
        <v>46</v>
      </c>
      <c r="AF49" s="17">
        <v>100</v>
      </c>
      <c r="AG49" s="17" t="s">
        <v>47</v>
      </c>
      <c r="AH49" s="17">
        <v>100</v>
      </c>
      <c r="AI49" s="17" t="s">
        <v>48</v>
      </c>
      <c r="AJ49" s="17">
        <v>5000</v>
      </c>
      <c r="AK49" s="17" t="s">
        <v>49</v>
      </c>
      <c r="AL49" s="17">
        <v>150000</v>
      </c>
      <c r="AM49" s="17">
        <f>INT(1&amp;L49&amp;TEXT(RIGHT(A49,3),"0000")&amp;"01")</f>
        <v>11035301</v>
      </c>
      <c r="AN49" s="17" t="b">
        <v>1</v>
      </c>
      <c r="AO49" s="17">
        <f>INT(2&amp;$L49&amp;TEXT(RIGHT($A49,3),"0000")&amp;"01")</f>
        <v>21035301</v>
      </c>
      <c r="AP49" s="17" t="b">
        <v>1</v>
      </c>
      <c r="AQ49" s="17">
        <f>INT(3&amp;$L49&amp;TEXT(RIGHT($A49,3),"0000")&amp;"01")</f>
        <v>31035301</v>
      </c>
      <c r="AR49" s="17" t="b">
        <v>1</v>
      </c>
      <c r="AS49" s="17">
        <f>INT(4&amp;$L49&amp;TEXT(RIGHT($A49,3),"0000")&amp;"01")</f>
        <v>41035301</v>
      </c>
      <c r="AT49" s="17" t="b">
        <v>1</v>
      </c>
    </row>
    <row r="50" spans="1:46" s="17" customFormat="1" ht="16.5" customHeight="1" x14ac:dyDescent="0.3">
      <c r="A50" s="17">
        <v>10000473</v>
      </c>
      <c r="B50" s="17" t="s">
        <v>151</v>
      </c>
      <c r="C50" s="17">
        <v>147301</v>
      </c>
      <c r="D50" s="17" t="s">
        <v>983</v>
      </c>
      <c r="E50" s="17" t="str">
        <f>"character_name_"&amp;A50</f>
        <v>character_name_10000473</v>
      </c>
      <c r="F50" s="17" t="str">
        <f>D50&amp;"_profile"</f>
        <v>c473_profile</v>
      </c>
      <c r="G50" s="17" t="s">
        <v>36</v>
      </c>
      <c r="H50" s="17" t="s">
        <v>29</v>
      </c>
      <c r="I50" s="17" t="s">
        <v>37</v>
      </c>
      <c r="J50" s="17" t="b">
        <v>1</v>
      </c>
      <c r="K50" s="24" t="s">
        <v>38</v>
      </c>
      <c r="L50" s="17">
        <v>3</v>
      </c>
      <c r="M50" s="17" t="s">
        <v>83</v>
      </c>
      <c r="N50" s="17" t="s">
        <v>62</v>
      </c>
      <c r="O50" s="17">
        <f>100+L50</f>
        <v>103</v>
      </c>
      <c r="P50" s="17">
        <f t="array" ref="P50">_xlfn.IFS($N50="Attacker",6,$N50="Healer",3,$N50="Magician",4,$N50="Defender",3,$N50="Supporter",4)</f>
        <v>3</v>
      </c>
      <c r="Q50" s="17">
        <f t="array" ref="Q50">_xlfn.IFS($N50="Attacker",6,$N50="Healer",3,$N50="Magician",4,$N50="Defender",3,$N50="Supporter",4)</f>
        <v>3</v>
      </c>
      <c r="R50" s="17">
        <v>1</v>
      </c>
      <c r="S50" s="17">
        <v>0</v>
      </c>
      <c r="T50" s="17">
        <v>0</v>
      </c>
      <c r="U50" s="17" t="s">
        <v>41</v>
      </c>
      <c r="V50" s="17">
        <f t="array" ref="V50">_xlfn.IFS(N50="Attacker",80,N50="Healer",90,N50="Magician",100,N50="Defender",110,N50="Supporter",120)</f>
        <v>110</v>
      </c>
      <c r="W50" s="17" t="s">
        <v>42</v>
      </c>
      <c r="X50" s="17">
        <v>5909</v>
      </c>
      <c r="Y50" s="17" t="s">
        <v>43</v>
      </c>
      <c r="Z50" s="17">
        <v>198</v>
      </c>
      <c r="AA50" s="17" t="s">
        <v>44</v>
      </c>
      <c r="AB50" s="17">
        <v>142</v>
      </c>
      <c r="AC50" s="17" t="s">
        <v>45</v>
      </c>
      <c r="AD50" s="17">
        <v>142</v>
      </c>
      <c r="AE50" s="17" t="s">
        <v>46</v>
      </c>
      <c r="AF50" s="17">
        <v>100</v>
      </c>
      <c r="AG50" s="17" t="s">
        <v>47</v>
      </c>
      <c r="AH50" s="17">
        <v>100</v>
      </c>
      <c r="AI50" s="17" t="s">
        <v>48</v>
      </c>
      <c r="AJ50" s="17">
        <v>5000</v>
      </c>
      <c r="AK50" s="17" t="s">
        <v>49</v>
      </c>
      <c r="AL50" s="17">
        <v>150000</v>
      </c>
      <c r="AM50" s="17">
        <f>INT(1&amp;L50&amp;TEXT(RIGHT(A50,3),"0000")&amp;"01")</f>
        <v>13047301</v>
      </c>
      <c r="AN50" s="17" t="b">
        <v>1</v>
      </c>
      <c r="AO50" s="17">
        <f>INT(2&amp;$L50&amp;TEXT(RIGHT($A50,3),"0000")&amp;"01")</f>
        <v>23047301</v>
      </c>
      <c r="AP50" s="17" t="b">
        <v>1</v>
      </c>
      <c r="AQ50" s="17">
        <f>INT(3&amp;$L50&amp;TEXT(RIGHT($A50,3),"0000")&amp;"01")</f>
        <v>33047301</v>
      </c>
      <c r="AR50" s="17" t="b">
        <v>1</v>
      </c>
      <c r="AS50" s="17">
        <f>INT(4&amp;$L50&amp;TEXT(RIGHT($A50,3),"0000")&amp;"01")</f>
        <v>43047301</v>
      </c>
      <c r="AT50" s="17" t="b">
        <v>1</v>
      </c>
    </row>
    <row r="51" spans="1:46" s="17" customFormat="1" ht="16.5" customHeight="1" x14ac:dyDescent="0.3">
      <c r="A51" s="17">
        <v>10000393</v>
      </c>
      <c r="B51" s="17" t="s">
        <v>98</v>
      </c>
      <c r="C51" s="17">
        <v>139301</v>
      </c>
      <c r="D51" s="17" t="s">
        <v>163</v>
      </c>
      <c r="E51" s="17" t="s">
        <v>164</v>
      </c>
      <c r="F51" s="17" t="str">
        <f>D51&amp;"_profile"</f>
        <v>c393_profile</v>
      </c>
      <c r="G51" s="17" t="s">
        <v>36</v>
      </c>
      <c r="H51" s="17" t="s">
        <v>29</v>
      </c>
      <c r="I51" s="17" t="s">
        <v>37</v>
      </c>
      <c r="J51" s="17" t="b">
        <v>1</v>
      </c>
      <c r="K51" s="24" t="s">
        <v>38</v>
      </c>
      <c r="L51" s="17">
        <v>3</v>
      </c>
      <c r="M51" s="17" t="s">
        <v>83</v>
      </c>
      <c r="N51" s="17" t="s">
        <v>62</v>
      </c>
      <c r="O51" s="17">
        <f>100+L51</f>
        <v>103</v>
      </c>
      <c r="P51" s="17">
        <v>6</v>
      </c>
      <c r="Q51" s="17">
        <v>6</v>
      </c>
      <c r="R51" s="17">
        <v>1</v>
      </c>
      <c r="S51" s="17">
        <v>0</v>
      </c>
      <c r="T51" s="17">
        <v>0</v>
      </c>
      <c r="U51" s="17" t="s">
        <v>41</v>
      </c>
      <c r="V51" s="17">
        <v>100</v>
      </c>
      <c r="W51" s="17" t="s">
        <v>42</v>
      </c>
      <c r="X51" s="17">
        <v>5500</v>
      </c>
      <c r="Y51" s="17" t="s">
        <v>43</v>
      </c>
      <c r="Z51" s="17">
        <v>198</v>
      </c>
      <c r="AA51" s="17" t="s">
        <v>44</v>
      </c>
      <c r="AB51" s="17">
        <v>142</v>
      </c>
      <c r="AC51" s="17" t="s">
        <v>45</v>
      </c>
      <c r="AD51" s="17">
        <v>142</v>
      </c>
      <c r="AE51" s="17" t="s">
        <v>46</v>
      </c>
      <c r="AF51" s="17">
        <v>100</v>
      </c>
      <c r="AG51" s="17" t="s">
        <v>47</v>
      </c>
      <c r="AH51" s="17">
        <v>100</v>
      </c>
      <c r="AI51" s="17" t="s">
        <v>48</v>
      </c>
      <c r="AJ51" s="17">
        <v>5000</v>
      </c>
      <c r="AK51" s="17" t="s">
        <v>49</v>
      </c>
      <c r="AL51" s="17">
        <v>150000</v>
      </c>
      <c r="AM51" s="17">
        <f>INT(1&amp;L51&amp;TEXT(RIGHT(A51,3),"0000")&amp;"01")</f>
        <v>13039301</v>
      </c>
      <c r="AN51" s="17" t="b">
        <v>1</v>
      </c>
      <c r="AO51" s="17">
        <f>INT(2&amp;$L51&amp;TEXT(RIGHT($A51,3),"0000")&amp;"01")</f>
        <v>23039301</v>
      </c>
      <c r="AP51" s="17" t="b">
        <v>1</v>
      </c>
      <c r="AQ51" s="17">
        <f>INT(3&amp;$L51&amp;TEXT(RIGHT($A51,3),"0000")&amp;"01")</f>
        <v>33039301</v>
      </c>
      <c r="AR51" s="17" t="b">
        <v>1</v>
      </c>
      <c r="AS51" s="17">
        <f>INT(4&amp;$L51&amp;TEXT(RIGHT($A51,3),"0000")&amp;"01")</f>
        <v>43039301</v>
      </c>
      <c r="AT51" s="17" t="b">
        <v>1</v>
      </c>
    </row>
    <row r="52" spans="1:46" s="17" customFormat="1" ht="16.5" customHeight="1" x14ac:dyDescent="0.3">
      <c r="A52" s="17">
        <v>10000183</v>
      </c>
      <c r="B52" s="17" t="s">
        <v>115</v>
      </c>
      <c r="C52" s="17">
        <v>118301</v>
      </c>
      <c r="D52" s="17" t="s">
        <v>487</v>
      </c>
      <c r="E52" s="17" t="str">
        <f>"character_name_"&amp;A52</f>
        <v>character_name_10000183</v>
      </c>
      <c r="F52" s="17" t="str">
        <f>D52&amp;"_profile"</f>
        <v>c183_profile</v>
      </c>
      <c r="G52" s="17" t="s">
        <v>36</v>
      </c>
      <c r="H52" s="17" t="s">
        <v>29</v>
      </c>
      <c r="I52" s="17" t="s">
        <v>37</v>
      </c>
      <c r="J52" s="17" t="b">
        <v>1</v>
      </c>
      <c r="K52" s="24" t="s">
        <v>38</v>
      </c>
      <c r="L52" s="17">
        <v>2</v>
      </c>
      <c r="M52" s="17" t="s">
        <v>83</v>
      </c>
      <c r="N52" s="17" t="s">
        <v>53</v>
      </c>
      <c r="O52" s="17">
        <f>100+L52</f>
        <v>102</v>
      </c>
      <c r="P52" s="17">
        <f t="array" ref="P52">_xlfn.IFS($N52="Attacker",6,$N52="Healer",3,$N52="Magician",4,$N52="Defender",3,$N52="Supporter",4)</f>
        <v>3</v>
      </c>
      <c r="Q52" s="17">
        <f t="array" ref="Q52">_xlfn.IFS($N52="Attacker",6,$N52="Healer",3,$N52="Magician",4,$N52="Defender",3,$N52="Supporter",4)</f>
        <v>3</v>
      </c>
      <c r="R52" s="17">
        <v>1</v>
      </c>
      <c r="S52" s="17">
        <v>0</v>
      </c>
      <c r="T52" s="17">
        <v>0</v>
      </c>
      <c r="U52" s="17" t="s">
        <v>41</v>
      </c>
      <c r="V52" s="17">
        <f t="array" ref="V52">_xlfn.IFS(N52="Attacker",80,N52="Healer",90,N52="Magician",100,N52="Defender",110,N52="Supporter",120)</f>
        <v>90</v>
      </c>
      <c r="W52" s="17" t="s">
        <v>42</v>
      </c>
      <c r="X52" s="17">
        <v>6475</v>
      </c>
      <c r="Y52" s="17" t="s">
        <v>43</v>
      </c>
      <c r="Z52" s="17">
        <v>168</v>
      </c>
      <c r="AA52" s="17" t="s">
        <v>44</v>
      </c>
      <c r="AB52" s="17">
        <v>151</v>
      </c>
      <c r="AC52" s="17" t="s">
        <v>45</v>
      </c>
      <c r="AD52" s="17">
        <v>187</v>
      </c>
      <c r="AE52" s="17" t="s">
        <v>46</v>
      </c>
      <c r="AF52" s="17">
        <v>100</v>
      </c>
      <c r="AG52" s="17" t="s">
        <v>47</v>
      </c>
      <c r="AH52" s="17">
        <v>100</v>
      </c>
      <c r="AI52" s="17" t="s">
        <v>48</v>
      </c>
      <c r="AJ52" s="17">
        <v>5000</v>
      </c>
      <c r="AK52" s="17" t="s">
        <v>49</v>
      </c>
      <c r="AL52" s="17">
        <v>150000</v>
      </c>
      <c r="AM52" s="17">
        <f>INT(1&amp;L52&amp;TEXT(RIGHT(A52,3),"0000")&amp;"01")</f>
        <v>12018301</v>
      </c>
      <c r="AN52" s="17" t="b">
        <v>1</v>
      </c>
      <c r="AO52" s="17">
        <f>INT(2&amp;$L52&amp;TEXT(RIGHT($A52,3),"0000")&amp;"01")</f>
        <v>22018301</v>
      </c>
      <c r="AP52" s="17" t="b">
        <v>1</v>
      </c>
      <c r="AQ52" s="17">
        <f>INT(3&amp;$L52&amp;TEXT(RIGHT($A52,3),"0000")&amp;"01")</f>
        <v>32018301</v>
      </c>
      <c r="AR52" s="17" t="b">
        <v>1</v>
      </c>
      <c r="AS52" s="17">
        <f>INT(4&amp;$L52&amp;TEXT(RIGHT($A52,3),"0000")&amp;"01")</f>
        <v>42018301</v>
      </c>
      <c r="AT52" s="17" t="b">
        <v>1</v>
      </c>
    </row>
    <row r="53" spans="1:46" ht="16.5" customHeight="1" x14ac:dyDescent="0.3">
      <c r="A53" s="17">
        <v>10000455</v>
      </c>
      <c r="B53" s="17" t="s">
        <v>149</v>
      </c>
      <c r="C53" s="17">
        <v>145501</v>
      </c>
      <c r="D53" s="17" t="s">
        <v>984</v>
      </c>
      <c r="E53" s="17" t="str">
        <f>"character_name_"&amp;A53</f>
        <v>character_name_10000455</v>
      </c>
      <c r="F53" s="17" t="str">
        <f>D53&amp;"_profile"</f>
        <v>c455_profile</v>
      </c>
      <c r="G53" s="17" t="s">
        <v>36</v>
      </c>
      <c r="H53" s="17" t="s">
        <v>29</v>
      </c>
      <c r="I53" s="17" t="s">
        <v>37</v>
      </c>
      <c r="J53" s="17" t="b">
        <v>1</v>
      </c>
      <c r="K53" s="24" t="s">
        <v>38</v>
      </c>
      <c r="L53" s="17">
        <v>3</v>
      </c>
      <c r="M53" s="17" t="s">
        <v>83</v>
      </c>
      <c r="N53" s="17" t="s">
        <v>53</v>
      </c>
      <c r="O53" s="17">
        <f>100+L53</f>
        <v>103</v>
      </c>
      <c r="P53" s="17">
        <f t="array" ref="P53">_xlfn.IFS($N53="Attacker",6,$N53="Healer",3,$N53="Magician",4,$N53="Defender",3,$N53="Supporter",4)</f>
        <v>3</v>
      </c>
      <c r="Q53" s="17">
        <f t="array" ref="Q53">_xlfn.IFS($N53="Attacker",6,$N53="Healer",3,$N53="Magician",4,$N53="Defender",3,$N53="Supporter",4)</f>
        <v>3</v>
      </c>
      <c r="R53" s="17">
        <v>1</v>
      </c>
      <c r="S53" s="17">
        <v>0</v>
      </c>
      <c r="T53" s="17">
        <v>0</v>
      </c>
      <c r="U53" s="17" t="s">
        <v>41</v>
      </c>
      <c r="V53" s="17">
        <f t="array" ref="V53">_xlfn.IFS(N53="Attacker",80,N53="Healer",90,N53="Magician",100,N53="Defender",110,N53="Supporter",120)</f>
        <v>90</v>
      </c>
      <c r="W53" s="17" t="s">
        <v>42</v>
      </c>
      <c r="X53" s="17">
        <v>5100</v>
      </c>
      <c r="Y53" s="17" t="s">
        <v>43</v>
      </c>
      <c r="Z53" s="17">
        <v>420</v>
      </c>
      <c r="AA53" s="17" t="s">
        <v>44</v>
      </c>
      <c r="AB53" s="17">
        <v>120</v>
      </c>
      <c r="AC53" s="17" t="s">
        <v>45</v>
      </c>
      <c r="AD53" s="17">
        <v>120</v>
      </c>
      <c r="AE53" s="17" t="s">
        <v>46</v>
      </c>
      <c r="AF53" s="17">
        <v>100</v>
      </c>
      <c r="AG53" s="17" t="s">
        <v>47</v>
      </c>
      <c r="AH53" s="17">
        <v>100</v>
      </c>
      <c r="AI53" s="17" t="s">
        <v>48</v>
      </c>
      <c r="AJ53" s="17">
        <v>5000</v>
      </c>
      <c r="AK53" s="17" t="s">
        <v>49</v>
      </c>
      <c r="AL53" s="17">
        <v>150000</v>
      </c>
      <c r="AM53" s="17">
        <f>INT(1&amp;L53&amp;TEXT(RIGHT(A53,3),"0000")&amp;"01")</f>
        <v>13045501</v>
      </c>
      <c r="AN53" s="17" t="b">
        <v>1</v>
      </c>
      <c r="AO53" s="17">
        <f>INT(2&amp;$L53&amp;TEXT(RIGHT($A53,3),"0000")&amp;"01")</f>
        <v>23045501</v>
      </c>
      <c r="AP53" s="17" t="b">
        <v>1</v>
      </c>
      <c r="AQ53" s="17">
        <f>INT(3&amp;$L53&amp;TEXT(RIGHT($A53,3),"0000")&amp;"01")</f>
        <v>33045501</v>
      </c>
      <c r="AR53" s="17" t="b">
        <v>1</v>
      </c>
      <c r="AS53" s="17">
        <f>INT(4&amp;$L53&amp;TEXT(RIGHT($A53,3),"0000")&amp;"01")</f>
        <v>43045501</v>
      </c>
      <c r="AT53" s="17" t="b">
        <v>1</v>
      </c>
    </row>
    <row r="54" spans="1:46" ht="16.5" customHeight="1" x14ac:dyDescent="0.3">
      <c r="A54" s="17">
        <v>10000227</v>
      </c>
      <c r="B54" s="17" t="s">
        <v>111</v>
      </c>
      <c r="C54" s="17">
        <v>122701</v>
      </c>
      <c r="D54" s="17" t="s">
        <v>112</v>
      </c>
      <c r="E54" s="17" t="s">
        <v>113</v>
      </c>
      <c r="F54" s="17" t="str">
        <f>D54&amp;"_profile"</f>
        <v>c227_profile</v>
      </c>
      <c r="G54" s="17" t="s">
        <v>36</v>
      </c>
      <c r="H54" s="17" t="s">
        <v>29</v>
      </c>
      <c r="I54" s="17" t="s">
        <v>37</v>
      </c>
      <c r="J54" s="17" t="b">
        <v>1</v>
      </c>
      <c r="K54" s="24" t="s">
        <v>38</v>
      </c>
      <c r="L54" s="17">
        <v>2</v>
      </c>
      <c r="M54" s="17" t="s">
        <v>83</v>
      </c>
      <c r="N54" s="17" t="s">
        <v>76</v>
      </c>
      <c r="O54" s="17">
        <f>100+L54</f>
        <v>102</v>
      </c>
      <c r="P54" s="17">
        <v>4</v>
      </c>
      <c r="Q54" s="17">
        <v>4</v>
      </c>
      <c r="R54" s="17">
        <v>1</v>
      </c>
      <c r="S54" s="17">
        <v>0</v>
      </c>
      <c r="T54" s="17">
        <v>0</v>
      </c>
      <c r="U54" s="17" t="s">
        <v>41</v>
      </c>
      <c r="V54" s="17">
        <v>120</v>
      </c>
      <c r="W54" s="17" t="s">
        <v>42</v>
      </c>
      <c r="X54" s="17">
        <v>5909</v>
      </c>
      <c r="Y54" s="17" t="s">
        <v>43</v>
      </c>
      <c r="Z54" s="17">
        <v>198</v>
      </c>
      <c r="AA54" s="17" t="s">
        <v>44</v>
      </c>
      <c r="AB54" s="17">
        <v>142</v>
      </c>
      <c r="AC54" s="17" t="s">
        <v>45</v>
      </c>
      <c r="AD54" s="17">
        <v>142</v>
      </c>
      <c r="AE54" s="17" t="s">
        <v>46</v>
      </c>
      <c r="AF54" s="17">
        <v>100</v>
      </c>
      <c r="AG54" s="17" t="s">
        <v>47</v>
      </c>
      <c r="AH54" s="17">
        <v>100</v>
      </c>
      <c r="AI54" s="17" t="s">
        <v>48</v>
      </c>
      <c r="AJ54" s="17">
        <v>5000</v>
      </c>
      <c r="AK54" s="17" t="s">
        <v>49</v>
      </c>
      <c r="AL54" s="17">
        <v>150000</v>
      </c>
      <c r="AM54" s="17">
        <f>INT(1&amp;L54&amp;TEXT(RIGHT(A54,3),"0000")&amp;"01")</f>
        <v>12022701</v>
      </c>
      <c r="AN54" s="17" t="b">
        <v>1</v>
      </c>
      <c r="AO54" s="17">
        <f>INT(2&amp;$L54&amp;TEXT(RIGHT($A54,3),"0000")&amp;"01")</f>
        <v>22022701</v>
      </c>
      <c r="AP54" s="17" t="b">
        <v>1</v>
      </c>
      <c r="AQ54" s="17">
        <f>INT(3&amp;$L54&amp;TEXT(RIGHT($A54,3),"0000")&amp;"01")</f>
        <v>32022701</v>
      </c>
      <c r="AR54" s="17" t="b">
        <v>1</v>
      </c>
      <c r="AS54" s="17">
        <f>INT(4&amp;$L54&amp;TEXT(RIGHT($A54,3),"0000")&amp;"01")</f>
        <v>42022701</v>
      </c>
      <c r="AT54" s="17" t="b">
        <v>1</v>
      </c>
    </row>
    <row r="55" spans="1:46" ht="16.5" customHeight="1" x14ac:dyDescent="0.3">
      <c r="A55" s="17">
        <v>10000438</v>
      </c>
      <c r="B55" s="17" t="s">
        <v>148</v>
      </c>
      <c r="C55" s="17">
        <v>143801</v>
      </c>
      <c r="D55" s="17" t="s">
        <v>985</v>
      </c>
      <c r="E55" s="17" t="str">
        <f>"character_name_"&amp;A55</f>
        <v>character_name_10000438</v>
      </c>
      <c r="F55" s="17" t="str">
        <f>D55&amp;"_profile"</f>
        <v>c438_profile</v>
      </c>
      <c r="G55" s="17" t="s">
        <v>36</v>
      </c>
      <c r="H55" s="17" t="s">
        <v>29</v>
      </c>
      <c r="I55" s="17" t="s">
        <v>37</v>
      </c>
      <c r="J55" s="17" t="b">
        <v>1</v>
      </c>
      <c r="K55" s="24" t="s">
        <v>38</v>
      </c>
      <c r="L55" s="17">
        <v>3</v>
      </c>
      <c r="M55" s="17" t="s">
        <v>83</v>
      </c>
      <c r="N55" s="17" t="s">
        <v>76</v>
      </c>
      <c r="O55" s="17">
        <f>100+L55</f>
        <v>103</v>
      </c>
      <c r="P55" s="17">
        <f t="array" ref="P55">_xlfn.IFS($N55="Attacker",6,$N55="Healer",3,$N55="Magician",4,$N55="Defender",3,$N55="Supporter",4)</f>
        <v>4</v>
      </c>
      <c r="Q55" s="17">
        <f t="array" ref="Q55">_xlfn.IFS($N55="Attacker",6,$N55="Healer",3,$N55="Magician",4,$N55="Defender",3,$N55="Supporter",4)</f>
        <v>4</v>
      </c>
      <c r="R55" s="17">
        <v>1</v>
      </c>
      <c r="S55" s="17">
        <v>0</v>
      </c>
      <c r="T55" s="17">
        <v>0</v>
      </c>
      <c r="U55" s="17" t="s">
        <v>41</v>
      </c>
      <c r="V55" s="17">
        <f t="array" ref="V55">_xlfn.IFS(N55="Attacker",80,N55="Healer",90,N55="Magician",100,N55="Defender",110,N55="Supporter",120)</f>
        <v>100</v>
      </c>
      <c r="W55" s="17" t="s">
        <v>42</v>
      </c>
      <c r="X55" s="17">
        <v>5100</v>
      </c>
      <c r="Y55" s="17" t="s">
        <v>43</v>
      </c>
      <c r="Z55" s="17">
        <v>420</v>
      </c>
      <c r="AA55" s="17" t="s">
        <v>44</v>
      </c>
      <c r="AB55" s="17">
        <v>120</v>
      </c>
      <c r="AC55" s="17" t="s">
        <v>45</v>
      </c>
      <c r="AD55" s="17">
        <v>120</v>
      </c>
      <c r="AE55" s="17" t="s">
        <v>46</v>
      </c>
      <c r="AF55" s="17">
        <v>100</v>
      </c>
      <c r="AG55" s="17" t="s">
        <v>47</v>
      </c>
      <c r="AH55" s="17">
        <v>100</v>
      </c>
      <c r="AI55" s="17" t="s">
        <v>48</v>
      </c>
      <c r="AJ55" s="17">
        <v>5000</v>
      </c>
      <c r="AK55" s="17" t="s">
        <v>49</v>
      </c>
      <c r="AL55" s="17">
        <v>150000</v>
      </c>
      <c r="AM55" s="17">
        <f>INT(1&amp;L55&amp;TEXT(RIGHT(A55,3),"0000")&amp;"01")</f>
        <v>13043801</v>
      </c>
      <c r="AN55" s="17" t="b">
        <v>1</v>
      </c>
      <c r="AO55" s="17">
        <f>INT(2&amp;$L55&amp;TEXT(RIGHT($A55,3),"0000")&amp;"01")</f>
        <v>23043801</v>
      </c>
      <c r="AP55" s="17" t="b">
        <v>1</v>
      </c>
      <c r="AQ55" s="17">
        <f>INT(3&amp;$L55&amp;TEXT(RIGHT($A55,3),"0000")&amp;"01")</f>
        <v>33043801</v>
      </c>
      <c r="AR55" s="17" t="b">
        <v>1</v>
      </c>
      <c r="AS55" s="17">
        <f>INT(4&amp;$L55&amp;TEXT(RIGHT($A55,3),"0000")&amp;"01")</f>
        <v>43043801</v>
      </c>
      <c r="AT55" s="17" t="b">
        <v>1</v>
      </c>
    </row>
    <row r="56" spans="1:46" ht="16.5" customHeight="1" x14ac:dyDescent="0.3">
      <c r="A56" s="17">
        <v>10000600</v>
      </c>
      <c r="B56" s="17" t="s">
        <v>152</v>
      </c>
      <c r="C56" s="17">
        <v>160001</v>
      </c>
      <c r="D56" s="17" t="s">
        <v>986</v>
      </c>
      <c r="E56" s="17" t="str">
        <f>"character_name_"&amp;A56</f>
        <v>character_name_10000600</v>
      </c>
      <c r="F56" s="17" t="str">
        <f>D56&amp;"_profile"</f>
        <v>c600_profile</v>
      </c>
      <c r="G56" s="17" t="s">
        <v>36</v>
      </c>
      <c r="H56" s="17" t="s">
        <v>29</v>
      </c>
      <c r="I56" s="17" t="s">
        <v>37</v>
      </c>
      <c r="J56" s="17" t="b">
        <v>1</v>
      </c>
      <c r="K56" s="24" t="s">
        <v>38</v>
      </c>
      <c r="L56" s="17">
        <v>3</v>
      </c>
      <c r="M56" s="17" t="s">
        <v>83</v>
      </c>
      <c r="N56" s="17" t="s">
        <v>76</v>
      </c>
      <c r="O56" s="17">
        <f>100+L56</f>
        <v>103</v>
      </c>
      <c r="P56" s="17">
        <f t="array" ref="P56">_xlfn.IFS($N56="Attacker",6,$N56="Healer",3,$N56="Magician",4,$N56="Defender",3,$N56="Supporter",4)</f>
        <v>4</v>
      </c>
      <c r="Q56" s="17">
        <f t="array" ref="Q56">_xlfn.IFS($N56="Attacker",6,$N56="Healer",3,$N56="Magician",4,$N56="Defender",3,$N56="Supporter",4)</f>
        <v>4</v>
      </c>
      <c r="R56" s="17">
        <v>1</v>
      </c>
      <c r="S56" s="17">
        <v>0</v>
      </c>
      <c r="T56" s="17">
        <v>0</v>
      </c>
      <c r="U56" s="17" t="s">
        <v>41</v>
      </c>
      <c r="V56" s="17">
        <f t="array" ref="V56">_xlfn.IFS(N56="Attacker",80,N56="Healer",90,N56="Magician",100,N56="Defender",110,N56="Supporter",120)</f>
        <v>100</v>
      </c>
      <c r="W56" s="17" t="s">
        <v>42</v>
      </c>
      <c r="X56" s="17">
        <v>5909</v>
      </c>
      <c r="Y56" s="17" t="s">
        <v>43</v>
      </c>
      <c r="Z56" s="17">
        <v>198</v>
      </c>
      <c r="AA56" s="17" t="s">
        <v>44</v>
      </c>
      <c r="AB56" s="17">
        <v>142</v>
      </c>
      <c r="AC56" s="17" t="s">
        <v>45</v>
      </c>
      <c r="AD56" s="17">
        <v>142</v>
      </c>
      <c r="AE56" s="17" t="s">
        <v>46</v>
      </c>
      <c r="AF56" s="17">
        <v>100</v>
      </c>
      <c r="AG56" s="17" t="s">
        <v>47</v>
      </c>
      <c r="AH56" s="17">
        <v>100</v>
      </c>
      <c r="AI56" s="17" t="s">
        <v>48</v>
      </c>
      <c r="AJ56" s="17">
        <v>5000</v>
      </c>
      <c r="AK56" s="17" t="s">
        <v>49</v>
      </c>
      <c r="AL56" s="17">
        <v>150000</v>
      </c>
      <c r="AM56" s="17">
        <f>INT(1&amp;L56&amp;TEXT(RIGHT(A56,3),"0000")&amp;"01")</f>
        <v>13060001</v>
      </c>
      <c r="AN56" s="17" t="b">
        <v>1</v>
      </c>
      <c r="AO56" s="17">
        <f>INT(2&amp;$L56&amp;TEXT(RIGHT($A56,3),"0000")&amp;"01")</f>
        <v>23060001</v>
      </c>
      <c r="AP56" s="17" t="b">
        <v>1</v>
      </c>
      <c r="AQ56" s="17">
        <f>INT(3&amp;$L56&amp;TEXT(RIGHT($A56,3),"0000")&amp;"01")</f>
        <v>33060001</v>
      </c>
      <c r="AR56" s="17" t="b">
        <v>1</v>
      </c>
      <c r="AS56" s="17">
        <f>INT(4&amp;$L56&amp;TEXT(RIGHT($A56,3),"0000")&amp;"01")</f>
        <v>43060001</v>
      </c>
      <c r="AT56" s="17" t="b">
        <v>1</v>
      </c>
    </row>
    <row r="57" spans="1:46" ht="16.5" customHeight="1" x14ac:dyDescent="0.3">
      <c r="A57" s="17">
        <v>10000028</v>
      </c>
      <c r="B57" s="17" t="s">
        <v>80</v>
      </c>
      <c r="C57" s="17">
        <v>102801</v>
      </c>
      <c r="D57" s="17" t="s">
        <v>81</v>
      </c>
      <c r="E57" s="17" t="s">
        <v>82</v>
      </c>
      <c r="F57" s="17" t="str">
        <f>D57&amp;"_profile"</f>
        <v>c028_profile</v>
      </c>
      <c r="G57" s="17" t="s">
        <v>36</v>
      </c>
      <c r="H57" s="17" t="s">
        <v>29</v>
      </c>
      <c r="I57" s="17" t="s">
        <v>37</v>
      </c>
      <c r="J57" s="17" t="b">
        <v>1</v>
      </c>
      <c r="K57" s="24" t="s">
        <v>38</v>
      </c>
      <c r="L57" s="17">
        <v>1</v>
      </c>
      <c r="M57" s="17" t="s">
        <v>83</v>
      </c>
      <c r="N57" s="17" t="s">
        <v>40</v>
      </c>
      <c r="O57" s="17">
        <f>100+L57</f>
        <v>101</v>
      </c>
      <c r="P57" s="17">
        <v>4</v>
      </c>
      <c r="Q57" s="17">
        <v>4</v>
      </c>
      <c r="R57" s="17">
        <v>1</v>
      </c>
      <c r="S57" s="17">
        <v>0</v>
      </c>
      <c r="T57" s="17">
        <v>0</v>
      </c>
      <c r="U57" s="17" t="s">
        <v>41</v>
      </c>
      <c r="V57" s="17">
        <v>120</v>
      </c>
      <c r="W57" s="17" t="s">
        <v>42</v>
      </c>
      <c r="X57" s="17">
        <v>5909</v>
      </c>
      <c r="Y57" s="17" t="s">
        <v>43</v>
      </c>
      <c r="Z57" s="17">
        <v>198</v>
      </c>
      <c r="AA57" s="17" t="s">
        <v>44</v>
      </c>
      <c r="AB57" s="17">
        <v>142</v>
      </c>
      <c r="AC57" s="17" t="s">
        <v>45</v>
      </c>
      <c r="AD57" s="17">
        <v>142</v>
      </c>
      <c r="AE57" s="17" t="s">
        <v>46</v>
      </c>
      <c r="AF57" s="17">
        <v>100</v>
      </c>
      <c r="AG57" s="17" t="s">
        <v>47</v>
      </c>
      <c r="AH57" s="17">
        <v>100</v>
      </c>
      <c r="AI57" s="17" t="s">
        <v>48</v>
      </c>
      <c r="AJ57" s="17">
        <v>5000</v>
      </c>
      <c r="AK57" s="17" t="s">
        <v>49</v>
      </c>
      <c r="AL57" s="17">
        <v>150000</v>
      </c>
      <c r="AM57" s="17">
        <f>INT(1&amp;L57&amp;TEXT(RIGHT(A57,3),"0000")&amp;"01")</f>
        <v>11002801</v>
      </c>
      <c r="AN57" s="17" t="b">
        <v>1</v>
      </c>
      <c r="AO57" s="17">
        <f>INT(2&amp;$L57&amp;TEXT(RIGHT($A57,3),"0000")&amp;"01")</f>
        <v>21002801</v>
      </c>
      <c r="AP57" s="17" t="b">
        <v>1</v>
      </c>
      <c r="AQ57" s="17">
        <f>INT(3&amp;$L57&amp;TEXT(RIGHT($A57,3),"0000")&amp;"01")</f>
        <v>31002801</v>
      </c>
      <c r="AR57" s="17" t="b">
        <v>1</v>
      </c>
      <c r="AS57" s="17">
        <f>INT(4&amp;$L57&amp;TEXT(RIGHT($A57,3),"0000")&amp;"01")</f>
        <v>41002801</v>
      </c>
      <c r="AT57" s="17" t="b">
        <v>1</v>
      </c>
    </row>
    <row r="58" spans="1:46" ht="16.5" customHeight="1" x14ac:dyDescent="0.3">
      <c r="A58" s="17">
        <v>10000364</v>
      </c>
      <c r="B58" s="17" t="s">
        <v>147</v>
      </c>
      <c r="C58" s="17">
        <v>136401</v>
      </c>
      <c r="D58" s="17" t="s">
        <v>493</v>
      </c>
      <c r="E58" s="17" t="str">
        <f>"character_name_"&amp;A58</f>
        <v>character_name_10000364</v>
      </c>
      <c r="F58" s="17" t="str">
        <f>D58&amp;"_profile"</f>
        <v>c364_profile</v>
      </c>
      <c r="G58" s="17" t="s">
        <v>36</v>
      </c>
      <c r="H58" s="17" t="s">
        <v>29</v>
      </c>
      <c r="I58" s="17" t="s">
        <v>37</v>
      </c>
      <c r="J58" s="17" t="b">
        <v>1</v>
      </c>
      <c r="K58" s="24" t="s">
        <v>38</v>
      </c>
      <c r="L58" s="17">
        <v>3</v>
      </c>
      <c r="M58" s="17" t="s">
        <v>83</v>
      </c>
      <c r="N58" s="17" t="s">
        <v>40</v>
      </c>
      <c r="O58" s="17">
        <f>100+L58</f>
        <v>103</v>
      </c>
      <c r="P58" s="17">
        <f t="array" ref="P58">_xlfn.IFS($N58="Attacker",6,$N58="Healer",3,$N58="Magician",4,$N58="Defender",3,$N58="Supporter",4)</f>
        <v>4</v>
      </c>
      <c r="Q58" s="17">
        <f t="array" ref="Q58">_xlfn.IFS($N58="Attacker",6,$N58="Healer",3,$N58="Magician",4,$N58="Defender",3,$N58="Supporter",4)</f>
        <v>4</v>
      </c>
      <c r="R58" s="17">
        <v>1</v>
      </c>
      <c r="S58" s="17">
        <v>0</v>
      </c>
      <c r="T58" s="17">
        <v>0</v>
      </c>
      <c r="U58" s="17" t="s">
        <v>41</v>
      </c>
      <c r="V58" s="17">
        <f t="array" ref="V58">_xlfn.IFS(N58="Attacker",80,N58="Healer",90,N58="Magician",100,N58="Defender",110,N58="Supporter",120)</f>
        <v>120</v>
      </c>
      <c r="W58" s="17" t="s">
        <v>42</v>
      </c>
      <c r="X58" s="17">
        <v>5909</v>
      </c>
      <c r="Y58" s="17" t="s">
        <v>43</v>
      </c>
      <c r="Z58" s="17">
        <v>198</v>
      </c>
      <c r="AA58" s="17" t="s">
        <v>44</v>
      </c>
      <c r="AB58" s="17">
        <v>142</v>
      </c>
      <c r="AC58" s="17" t="s">
        <v>45</v>
      </c>
      <c r="AD58" s="17">
        <v>187</v>
      </c>
      <c r="AE58" s="17" t="s">
        <v>46</v>
      </c>
      <c r="AF58" s="17">
        <v>100</v>
      </c>
      <c r="AG58" s="17" t="s">
        <v>47</v>
      </c>
      <c r="AH58" s="17">
        <v>100</v>
      </c>
      <c r="AI58" s="17" t="s">
        <v>48</v>
      </c>
      <c r="AJ58" s="17">
        <v>5000</v>
      </c>
      <c r="AK58" s="17" t="s">
        <v>49</v>
      </c>
      <c r="AL58" s="17">
        <v>150000</v>
      </c>
      <c r="AM58" s="17">
        <f>INT(1&amp;L58&amp;TEXT(RIGHT(A58,3),"0000")&amp;"01")</f>
        <v>13036401</v>
      </c>
      <c r="AN58" s="17" t="b">
        <v>1</v>
      </c>
      <c r="AO58" s="17">
        <f>INT(2&amp;$L58&amp;TEXT(RIGHT($A58,3),"0000")&amp;"01")</f>
        <v>23036401</v>
      </c>
      <c r="AP58" s="17" t="b">
        <v>1</v>
      </c>
      <c r="AQ58" s="17">
        <f>INT(3&amp;$L58&amp;TEXT(RIGHT($A58,3),"0000")&amp;"01")</f>
        <v>33036401</v>
      </c>
      <c r="AR58" s="17" t="b">
        <v>1</v>
      </c>
      <c r="AS58" s="17">
        <f>INT(4&amp;$L58&amp;TEXT(RIGHT($A58,3),"0000")&amp;"01")</f>
        <v>43036401</v>
      </c>
      <c r="AT58" s="17" t="b">
        <v>1</v>
      </c>
    </row>
    <row r="59" spans="1:46" ht="16.5" customHeight="1" x14ac:dyDescent="0.3">
      <c r="A59" s="17">
        <v>10000533</v>
      </c>
      <c r="B59" s="17" t="s">
        <v>150</v>
      </c>
      <c r="C59" s="17">
        <v>153301</v>
      </c>
      <c r="D59" s="17" t="s">
        <v>987</v>
      </c>
      <c r="E59" s="17" t="str">
        <f>"character_name_"&amp;A59</f>
        <v>character_name_10000533</v>
      </c>
      <c r="F59" s="17" t="str">
        <f>D59&amp;"_profile"</f>
        <v>c533_profile</v>
      </c>
      <c r="G59" s="17" t="s">
        <v>36</v>
      </c>
      <c r="H59" s="17" t="s">
        <v>29</v>
      </c>
      <c r="I59" s="17" t="s">
        <v>37</v>
      </c>
      <c r="J59" s="17" t="b">
        <v>1</v>
      </c>
      <c r="K59" s="24" t="s">
        <v>38</v>
      </c>
      <c r="L59" s="17">
        <v>3</v>
      </c>
      <c r="M59" s="17" t="s">
        <v>83</v>
      </c>
      <c r="N59" s="17" t="s">
        <v>40</v>
      </c>
      <c r="O59" s="17">
        <f>100+L59</f>
        <v>103</v>
      </c>
      <c r="P59" s="17">
        <f t="array" ref="P59">_xlfn.IFS($N59="Attacker",6,$N59="Healer",3,$N59="Magician",4,$N59="Defender",3,$N59="Supporter",4)</f>
        <v>4</v>
      </c>
      <c r="Q59" s="17">
        <f t="array" ref="Q59">_xlfn.IFS($N59="Attacker",6,$N59="Healer",3,$N59="Magician",4,$N59="Defender",3,$N59="Supporter",4)</f>
        <v>4</v>
      </c>
      <c r="R59" s="17">
        <v>1</v>
      </c>
      <c r="S59" s="17">
        <v>0</v>
      </c>
      <c r="T59" s="17">
        <v>0</v>
      </c>
      <c r="U59" s="17" t="s">
        <v>41</v>
      </c>
      <c r="V59" s="17">
        <f t="array" ref="V59">_xlfn.IFS(N59="Attacker",80,N59="Healer",90,N59="Magician",100,N59="Defender",110,N59="Supporter",120)</f>
        <v>120</v>
      </c>
      <c r="W59" s="17" t="s">
        <v>42</v>
      </c>
      <c r="X59" s="17">
        <v>4743</v>
      </c>
      <c r="Y59" s="17" t="s">
        <v>43</v>
      </c>
      <c r="Z59" s="17">
        <v>341</v>
      </c>
      <c r="AA59" s="17" t="s">
        <v>44</v>
      </c>
      <c r="AB59" s="17">
        <v>108</v>
      </c>
      <c r="AC59" s="17" t="s">
        <v>45</v>
      </c>
      <c r="AD59" s="17">
        <v>108</v>
      </c>
      <c r="AE59" s="17" t="s">
        <v>46</v>
      </c>
      <c r="AF59" s="17">
        <v>100</v>
      </c>
      <c r="AG59" s="17" t="s">
        <v>47</v>
      </c>
      <c r="AH59" s="17">
        <v>100</v>
      </c>
      <c r="AI59" s="17" t="s">
        <v>48</v>
      </c>
      <c r="AJ59" s="17">
        <v>5000</v>
      </c>
      <c r="AK59" s="17" t="s">
        <v>49</v>
      </c>
      <c r="AL59" s="17">
        <v>150000</v>
      </c>
      <c r="AM59" s="17">
        <f>INT(1&amp;L59&amp;TEXT(RIGHT(A59,3),"0000")&amp;"01")</f>
        <v>13053301</v>
      </c>
      <c r="AN59" s="17" t="b">
        <v>1</v>
      </c>
      <c r="AO59" s="17">
        <f>INT(2&amp;$L59&amp;TEXT(RIGHT($A59,3),"0000")&amp;"01")</f>
        <v>23053301</v>
      </c>
      <c r="AP59" s="17" t="b">
        <v>1</v>
      </c>
      <c r="AQ59" s="17">
        <f>INT(3&amp;$L59&amp;TEXT(RIGHT($A59,3),"0000")&amp;"01")</f>
        <v>33053301</v>
      </c>
      <c r="AR59" s="17" t="b">
        <v>1</v>
      </c>
      <c r="AS59" s="17">
        <f>INT(4&amp;$L59&amp;TEXT(RIGHT($A59,3),"0000")&amp;"01")</f>
        <v>43053301</v>
      </c>
      <c r="AT59" s="17" t="b">
        <v>1</v>
      </c>
    </row>
    <row r="60" spans="1:46" ht="16.5" customHeight="1" x14ac:dyDescent="0.3">
      <c r="A60" s="17">
        <v>10000002</v>
      </c>
      <c r="B60" s="17" t="s">
        <v>116</v>
      </c>
      <c r="C60" s="17">
        <v>100201</v>
      </c>
      <c r="D60" s="17" t="s">
        <v>496</v>
      </c>
      <c r="E60" s="17" t="str">
        <f>"character_name_"&amp;A60</f>
        <v>character_name_10000002</v>
      </c>
      <c r="F60" s="17" t="str">
        <f>D60&amp;"_profile"</f>
        <v>c002_profile</v>
      </c>
      <c r="G60" s="17" t="s">
        <v>36</v>
      </c>
      <c r="H60" s="17" t="s">
        <v>29</v>
      </c>
      <c r="I60" s="17" t="s">
        <v>37</v>
      </c>
      <c r="J60" s="17" t="b">
        <v>1</v>
      </c>
      <c r="K60" s="24" t="s">
        <v>38</v>
      </c>
      <c r="L60" s="17">
        <v>2</v>
      </c>
      <c r="M60" s="17" t="s">
        <v>91</v>
      </c>
      <c r="N60" s="17" t="s">
        <v>57</v>
      </c>
      <c r="O60" s="17">
        <f>100+L60</f>
        <v>102</v>
      </c>
      <c r="P60" s="17">
        <f t="array" ref="P60">_xlfn.IFS($N60="Attacker",6,$N60="Healer",3,$N60="Magician",4,$N60="Defender",3,$N60="Supporter",4)</f>
        <v>6</v>
      </c>
      <c r="Q60" s="17">
        <f t="array" ref="Q60">_xlfn.IFS($N60="Attacker",6,$N60="Healer",3,$N60="Magician",4,$N60="Defender",3,$N60="Supporter",4)</f>
        <v>6</v>
      </c>
      <c r="R60" s="17">
        <v>1</v>
      </c>
      <c r="S60" s="17">
        <v>0</v>
      </c>
      <c r="T60" s="17">
        <v>0</v>
      </c>
      <c r="U60" s="17" t="s">
        <v>41</v>
      </c>
      <c r="V60" s="17">
        <f t="array" ref="V60">_xlfn.IFS(N60="Attacker",80,N60="Healer",90,N60="Magician",100,N60="Defender",110,N60="Supporter",120)</f>
        <v>80</v>
      </c>
      <c r="W60" s="17" t="s">
        <v>42</v>
      </c>
      <c r="X60" s="17">
        <v>4743</v>
      </c>
      <c r="Y60" s="17" t="s">
        <v>43</v>
      </c>
      <c r="Z60" s="17">
        <v>341</v>
      </c>
      <c r="AA60" s="17" t="s">
        <v>44</v>
      </c>
      <c r="AB60" s="17">
        <v>108</v>
      </c>
      <c r="AC60" s="17" t="s">
        <v>45</v>
      </c>
      <c r="AD60" s="17">
        <v>130</v>
      </c>
      <c r="AE60" s="17" t="s">
        <v>46</v>
      </c>
      <c r="AF60" s="17">
        <v>100</v>
      </c>
      <c r="AG60" s="17" t="s">
        <v>47</v>
      </c>
      <c r="AH60" s="17">
        <v>100</v>
      </c>
      <c r="AI60" s="17" t="s">
        <v>48</v>
      </c>
      <c r="AJ60" s="17">
        <v>5000</v>
      </c>
      <c r="AK60" s="17" t="s">
        <v>49</v>
      </c>
      <c r="AL60" s="17">
        <v>150000</v>
      </c>
      <c r="AM60" s="17">
        <f>INT(1&amp;L60&amp;TEXT(RIGHT(A60,3),"0000")&amp;"01")</f>
        <v>12000201</v>
      </c>
      <c r="AN60" s="17" t="b">
        <v>1</v>
      </c>
      <c r="AO60" s="17">
        <f>INT(2&amp;$L60&amp;TEXT(RIGHT($A60,3),"0000")&amp;"01")</f>
        <v>22000201</v>
      </c>
      <c r="AP60" s="17" t="b">
        <v>1</v>
      </c>
      <c r="AQ60" s="17">
        <f>INT(3&amp;$L60&amp;TEXT(RIGHT($A60,3),"0000")&amp;"01")</f>
        <v>32000201</v>
      </c>
      <c r="AR60" s="17" t="b">
        <v>1</v>
      </c>
      <c r="AS60" s="17">
        <f>INT(4&amp;$L60&amp;TEXT(RIGHT($A60,3),"0000")&amp;"01")</f>
        <v>42000201</v>
      </c>
      <c r="AT60" s="17" t="b">
        <v>1</v>
      </c>
    </row>
    <row r="61" spans="1:46" ht="16.5" customHeight="1" x14ac:dyDescent="0.3">
      <c r="A61" s="17">
        <v>10000193</v>
      </c>
      <c r="B61" s="17" t="s">
        <v>117</v>
      </c>
      <c r="C61" s="17">
        <v>119301</v>
      </c>
      <c r="D61" s="17" t="s">
        <v>118</v>
      </c>
      <c r="E61" s="17" t="s">
        <v>119</v>
      </c>
      <c r="F61" s="17" t="str">
        <f>D61&amp;"_profile"</f>
        <v>c193_profile</v>
      </c>
      <c r="G61" s="17" t="s">
        <v>36</v>
      </c>
      <c r="H61" s="17" t="s">
        <v>29</v>
      </c>
      <c r="I61" s="17" t="s">
        <v>37</v>
      </c>
      <c r="J61" s="17" t="b">
        <v>1</v>
      </c>
      <c r="K61" s="24" t="s">
        <v>38</v>
      </c>
      <c r="L61" s="17">
        <v>2</v>
      </c>
      <c r="M61" s="17" t="s">
        <v>91</v>
      </c>
      <c r="N61" s="17" t="s">
        <v>57</v>
      </c>
      <c r="O61" s="17">
        <f>100+L61</f>
        <v>102</v>
      </c>
      <c r="P61" s="17">
        <v>6</v>
      </c>
      <c r="Q61" s="17">
        <v>6</v>
      </c>
      <c r="R61" s="17">
        <v>1</v>
      </c>
      <c r="S61" s="17">
        <v>0</v>
      </c>
      <c r="T61" s="17">
        <v>0</v>
      </c>
      <c r="U61" s="17" t="s">
        <v>41</v>
      </c>
      <c r="V61" s="17">
        <v>80</v>
      </c>
      <c r="W61" s="17" t="s">
        <v>42</v>
      </c>
      <c r="X61" s="17">
        <v>5100</v>
      </c>
      <c r="Y61" s="17" t="s">
        <v>43</v>
      </c>
      <c r="Z61" s="17">
        <v>420</v>
      </c>
      <c r="AA61" s="17" t="s">
        <v>44</v>
      </c>
      <c r="AB61" s="17">
        <v>120</v>
      </c>
      <c r="AC61" s="17" t="s">
        <v>45</v>
      </c>
      <c r="AD61" s="17">
        <v>120</v>
      </c>
      <c r="AE61" s="17" t="s">
        <v>46</v>
      </c>
      <c r="AF61" s="17">
        <v>100</v>
      </c>
      <c r="AG61" s="17" t="s">
        <v>47</v>
      </c>
      <c r="AH61" s="17">
        <v>100</v>
      </c>
      <c r="AI61" s="17" t="s">
        <v>48</v>
      </c>
      <c r="AJ61" s="17">
        <v>5000</v>
      </c>
      <c r="AK61" s="17" t="s">
        <v>49</v>
      </c>
      <c r="AL61" s="17">
        <v>150000</v>
      </c>
      <c r="AM61" s="17">
        <f>INT(1&amp;L61&amp;TEXT(RIGHT(A61,3),"0000")&amp;"01")</f>
        <v>12019301</v>
      </c>
      <c r="AN61" s="17" t="b">
        <v>1</v>
      </c>
      <c r="AO61" s="17">
        <f>INT(2&amp;$L61&amp;TEXT(RIGHT($A61,3),"0000")&amp;"01")</f>
        <v>22019301</v>
      </c>
      <c r="AP61" s="17" t="b">
        <v>1</v>
      </c>
      <c r="AQ61" s="17">
        <f>INT(3&amp;$L61&amp;TEXT(RIGHT($A61,3),"0000")&amp;"01")</f>
        <v>32019301</v>
      </c>
      <c r="AR61" s="17" t="b">
        <v>1</v>
      </c>
      <c r="AS61" s="17">
        <f>INT(4&amp;$L61&amp;TEXT(RIGHT($A61,3),"0000")&amp;"01")</f>
        <v>42019301</v>
      </c>
      <c r="AT61" s="17" t="b">
        <v>1</v>
      </c>
    </row>
    <row r="62" spans="1:46" ht="16.5" customHeight="1" x14ac:dyDescent="0.3">
      <c r="A62" s="17">
        <v>10000124</v>
      </c>
      <c r="B62" s="17" t="s">
        <v>154</v>
      </c>
      <c r="C62" s="17">
        <v>112401</v>
      </c>
      <c r="D62" s="17" t="s">
        <v>524</v>
      </c>
      <c r="E62" s="17" t="str">
        <f>"character_name_"&amp;A62</f>
        <v>character_name_10000124</v>
      </c>
      <c r="F62" s="17" t="str">
        <f>D62&amp;"_profile"</f>
        <v>c124_profile</v>
      </c>
      <c r="G62" s="17" t="s">
        <v>36</v>
      </c>
      <c r="H62" s="17" t="s">
        <v>29</v>
      </c>
      <c r="I62" s="17" t="s">
        <v>37</v>
      </c>
      <c r="J62" s="17" t="b">
        <v>1</v>
      </c>
      <c r="K62" s="24" t="s">
        <v>38</v>
      </c>
      <c r="L62" s="17">
        <v>3</v>
      </c>
      <c r="M62" s="17" t="s">
        <v>91</v>
      </c>
      <c r="N62" s="17" t="s">
        <v>57</v>
      </c>
      <c r="O62" s="17">
        <f>100+L62</f>
        <v>103</v>
      </c>
      <c r="P62" s="17">
        <v>6</v>
      </c>
      <c r="Q62" s="17">
        <v>6</v>
      </c>
      <c r="R62" s="17">
        <v>1</v>
      </c>
      <c r="S62" s="17">
        <v>0</v>
      </c>
      <c r="T62" s="17">
        <v>0</v>
      </c>
      <c r="U62" s="17" t="s">
        <v>41</v>
      </c>
      <c r="V62" s="17">
        <f t="array" ref="V62">_xlfn.IFS(N62="Attacker",80,N62="Healer",90,N62="Magician",100,N62="Defender",110,N62="Supporter",120)</f>
        <v>80</v>
      </c>
      <c r="W62" s="17" t="s">
        <v>42</v>
      </c>
      <c r="X62" s="17">
        <v>5100</v>
      </c>
      <c r="Y62" s="17" t="s">
        <v>43</v>
      </c>
      <c r="Z62" s="17">
        <v>420</v>
      </c>
      <c r="AA62" s="17" t="s">
        <v>44</v>
      </c>
      <c r="AB62" s="17">
        <v>120</v>
      </c>
      <c r="AC62" s="17" t="s">
        <v>45</v>
      </c>
      <c r="AD62" s="17">
        <v>156</v>
      </c>
      <c r="AE62" s="17" t="s">
        <v>46</v>
      </c>
      <c r="AF62" s="17">
        <v>100</v>
      </c>
      <c r="AG62" s="17" t="s">
        <v>47</v>
      </c>
      <c r="AH62" s="17">
        <v>100</v>
      </c>
      <c r="AI62" s="17" t="s">
        <v>48</v>
      </c>
      <c r="AJ62" s="17">
        <v>5000</v>
      </c>
      <c r="AK62" s="17" t="s">
        <v>49</v>
      </c>
      <c r="AL62" s="17">
        <v>150000</v>
      </c>
      <c r="AM62" s="17">
        <f>INT(1&amp;L62&amp;TEXT(RIGHT(A62,3),"0000")&amp;"01")</f>
        <v>13012401</v>
      </c>
      <c r="AN62" s="17" t="b">
        <v>1</v>
      </c>
      <c r="AO62" s="17">
        <f>INT(2&amp;$L62&amp;TEXT(RIGHT($A62,3),"0000")&amp;"01")</f>
        <v>23012401</v>
      </c>
      <c r="AP62" s="17" t="b">
        <v>1</v>
      </c>
      <c r="AQ62" s="17">
        <f>INT(3&amp;$L62&amp;TEXT(RIGHT($A62,3),"0000")&amp;"01")</f>
        <v>33012401</v>
      </c>
      <c r="AR62" s="17" t="b">
        <v>1</v>
      </c>
      <c r="AS62" s="17">
        <f>INT(4&amp;$L62&amp;TEXT(RIGHT($A62,3),"0000")&amp;"01")</f>
        <v>43012401</v>
      </c>
      <c r="AT62" s="17" t="b">
        <v>1</v>
      </c>
    </row>
    <row r="63" spans="1:46" ht="16.5" customHeight="1" x14ac:dyDescent="0.3">
      <c r="A63" s="17">
        <v>10000442</v>
      </c>
      <c r="B63" s="17" t="s">
        <v>157</v>
      </c>
      <c r="C63" s="17">
        <v>144201</v>
      </c>
      <c r="D63" s="17" t="s">
        <v>520</v>
      </c>
      <c r="E63" s="17" t="str">
        <f>"character_name_"&amp;A63</f>
        <v>character_name_10000442</v>
      </c>
      <c r="F63" s="17" t="str">
        <f>D63&amp;"_profile"</f>
        <v>c442_profile</v>
      </c>
      <c r="G63" s="17" t="s">
        <v>36</v>
      </c>
      <c r="H63" s="17" t="s">
        <v>29</v>
      </c>
      <c r="I63" s="17" t="s">
        <v>37</v>
      </c>
      <c r="J63" s="17" t="b">
        <v>1</v>
      </c>
      <c r="K63" s="24" t="s">
        <v>38</v>
      </c>
      <c r="L63" s="17">
        <v>3</v>
      </c>
      <c r="M63" s="17" t="s">
        <v>91</v>
      </c>
      <c r="N63" s="17" t="s">
        <v>57</v>
      </c>
      <c r="O63" s="17">
        <f>100+L63</f>
        <v>103</v>
      </c>
      <c r="P63" s="17">
        <f t="array" ref="P63">_xlfn.IFS($N63="Attacker",6,$N63="Healer",3,$N63="Magician",4,$N63="Defender",3,$N63="Supporter",4)</f>
        <v>6</v>
      </c>
      <c r="Q63" s="17">
        <f t="array" ref="Q63">_xlfn.IFS($N63="Attacker",6,$N63="Healer",3,$N63="Magician",4,$N63="Defender",3,$N63="Supporter",4)</f>
        <v>6</v>
      </c>
      <c r="R63" s="17">
        <v>1</v>
      </c>
      <c r="S63" s="17">
        <v>0</v>
      </c>
      <c r="T63" s="17">
        <v>0</v>
      </c>
      <c r="U63" s="17" t="s">
        <v>41</v>
      </c>
      <c r="V63" s="17">
        <f t="array" ref="V63">_xlfn.IFS(N63="Attacker",80,N63="Healer",90,N63="Magician",100,N63="Defender",110,N63="Supporter",120)</f>
        <v>80</v>
      </c>
      <c r="W63" s="17" t="s">
        <v>42</v>
      </c>
      <c r="X63" s="17">
        <v>5100</v>
      </c>
      <c r="Y63" s="17" t="s">
        <v>43</v>
      </c>
      <c r="Z63" s="17">
        <v>420</v>
      </c>
      <c r="AA63" s="17" t="s">
        <v>44</v>
      </c>
      <c r="AB63" s="17">
        <v>120</v>
      </c>
      <c r="AC63" s="17" t="s">
        <v>45</v>
      </c>
      <c r="AD63" s="17">
        <v>187</v>
      </c>
      <c r="AE63" s="17" t="s">
        <v>46</v>
      </c>
      <c r="AF63" s="17">
        <v>100</v>
      </c>
      <c r="AG63" s="17" t="s">
        <v>47</v>
      </c>
      <c r="AH63" s="17">
        <v>100</v>
      </c>
      <c r="AI63" s="17" t="s">
        <v>48</v>
      </c>
      <c r="AJ63" s="17">
        <v>5000</v>
      </c>
      <c r="AK63" s="17" t="s">
        <v>49</v>
      </c>
      <c r="AL63" s="17">
        <v>150000</v>
      </c>
      <c r="AM63" s="17">
        <f>INT(1&amp;L63&amp;TEXT(RIGHT(A63,3),"0000")&amp;"01")</f>
        <v>13044201</v>
      </c>
      <c r="AN63" s="17" t="b">
        <v>1</v>
      </c>
      <c r="AO63" s="17">
        <f>INT(2&amp;$L63&amp;TEXT(RIGHT($A63,3),"0000")&amp;"01")</f>
        <v>23044201</v>
      </c>
      <c r="AP63" s="17" t="b">
        <v>1</v>
      </c>
      <c r="AQ63" s="17">
        <f>INT(3&amp;$L63&amp;TEXT(RIGHT($A63,3),"0000")&amp;"01")</f>
        <v>33044201</v>
      </c>
      <c r="AR63" s="17" t="b">
        <v>1</v>
      </c>
      <c r="AS63" s="17">
        <f>INT(4&amp;$L63&amp;TEXT(RIGHT($A63,3),"0000")&amp;"01")</f>
        <v>43044201</v>
      </c>
      <c r="AT63" s="17" t="b">
        <v>1</v>
      </c>
    </row>
    <row r="64" spans="1:46" ht="16.5" customHeight="1" x14ac:dyDescent="0.3">
      <c r="A64" s="17">
        <v>10000366</v>
      </c>
      <c r="B64" s="17" t="s">
        <v>95</v>
      </c>
      <c r="C64" s="17">
        <v>136601</v>
      </c>
      <c r="D64" s="17" t="s">
        <v>96</v>
      </c>
      <c r="E64" s="17" t="s">
        <v>97</v>
      </c>
      <c r="F64" s="17" t="str">
        <f>D64&amp;"_profile"</f>
        <v>c366_profile</v>
      </c>
      <c r="G64" s="17" t="s">
        <v>36</v>
      </c>
      <c r="H64" s="17" t="s">
        <v>29</v>
      </c>
      <c r="I64" s="17" t="s">
        <v>37</v>
      </c>
      <c r="J64" s="17" t="b">
        <v>1</v>
      </c>
      <c r="K64" s="24" t="s">
        <v>38</v>
      </c>
      <c r="L64" s="17">
        <v>1</v>
      </c>
      <c r="M64" s="17" t="s">
        <v>91</v>
      </c>
      <c r="N64" s="17" t="s">
        <v>62</v>
      </c>
      <c r="O64" s="17">
        <f>100+L64</f>
        <v>101</v>
      </c>
      <c r="P64" s="17">
        <v>3</v>
      </c>
      <c r="Q64" s="17">
        <v>3</v>
      </c>
      <c r="R64" s="17">
        <v>1</v>
      </c>
      <c r="S64" s="17">
        <v>0</v>
      </c>
      <c r="T64" s="17">
        <v>0</v>
      </c>
      <c r="U64" s="17" t="s">
        <v>41</v>
      </c>
      <c r="V64" s="17">
        <v>110</v>
      </c>
      <c r="W64" s="17" t="s">
        <v>42</v>
      </c>
      <c r="X64" s="17">
        <v>8650</v>
      </c>
      <c r="Y64" s="17" t="s">
        <v>43</v>
      </c>
      <c r="Z64" s="17">
        <v>252</v>
      </c>
      <c r="AA64" s="17" t="s">
        <v>44</v>
      </c>
      <c r="AB64" s="17">
        <v>240</v>
      </c>
      <c r="AC64" s="17" t="s">
        <v>45</v>
      </c>
      <c r="AD64" s="17">
        <v>240</v>
      </c>
      <c r="AE64" s="17" t="s">
        <v>46</v>
      </c>
      <c r="AF64" s="17">
        <v>100</v>
      </c>
      <c r="AG64" s="17" t="s">
        <v>47</v>
      </c>
      <c r="AH64" s="17">
        <v>100</v>
      </c>
      <c r="AI64" s="17" t="s">
        <v>48</v>
      </c>
      <c r="AJ64" s="17">
        <v>5000</v>
      </c>
      <c r="AK64" s="17" t="s">
        <v>49</v>
      </c>
      <c r="AL64" s="17">
        <v>150000</v>
      </c>
      <c r="AM64" s="17">
        <f>INT(1&amp;L64&amp;TEXT(RIGHT(A64,3),"0000")&amp;"01")</f>
        <v>11036601</v>
      </c>
      <c r="AN64" s="17" t="b">
        <v>1</v>
      </c>
      <c r="AO64" s="17">
        <f>INT(2&amp;$L64&amp;TEXT(RIGHT($A64,3),"0000")&amp;"01")</f>
        <v>21036601</v>
      </c>
      <c r="AP64" s="17" t="b">
        <v>1</v>
      </c>
      <c r="AQ64" s="17">
        <f>INT(3&amp;$L64&amp;TEXT(RIGHT($A64,3),"0000")&amp;"01")</f>
        <v>31036601</v>
      </c>
      <c r="AR64" s="17" t="b">
        <v>1</v>
      </c>
      <c r="AS64" s="17">
        <f>INT(4&amp;$L64&amp;TEXT(RIGHT($A64,3),"0000")&amp;"01")</f>
        <v>41036601</v>
      </c>
      <c r="AT64" s="17" t="b">
        <v>1</v>
      </c>
    </row>
    <row r="65" spans="1:46" ht="16.5" customHeight="1" x14ac:dyDescent="0.3">
      <c r="A65" s="17">
        <v>10000537</v>
      </c>
      <c r="B65" s="17" t="s">
        <v>159</v>
      </c>
      <c r="C65" s="17">
        <v>153701</v>
      </c>
      <c r="D65" s="17" t="s">
        <v>988</v>
      </c>
      <c r="E65" s="17" t="str">
        <f>"character_name_"&amp;A65</f>
        <v>character_name_10000537</v>
      </c>
      <c r="F65" s="17" t="str">
        <f>D65&amp;"_profile"</f>
        <v>c537_profile</v>
      </c>
      <c r="G65" s="17" t="s">
        <v>36</v>
      </c>
      <c r="H65" s="17" t="s">
        <v>29</v>
      </c>
      <c r="I65" s="17" t="s">
        <v>37</v>
      </c>
      <c r="J65" s="17" t="b">
        <v>1</v>
      </c>
      <c r="K65" s="24" t="s">
        <v>38</v>
      </c>
      <c r="L65" s="17">
        <v>3</v>
      </c>
      <c r="M65" s="17" t="s">
        <v>91</v>
      </c>
      <c r="N65" s="17" t="s">
        <v>62</v>
      </c>
      <c r="O65" s="17">
        <f>100+L65</f>
        <v>103</v>
      </c>
      <c r="P65" s="17">
        <f t="array" ref="P65">_xlfn.IFS($N65="Attacker",6,$N65="Healer",3,$N65="Magician",4,$N65="Defender",3,$N65="Supporter",4)</f>
        <v>3</v>
      </c>
      <c r="Q65" s="17">
        <f t="array" ref="Q65">_xlfn.IFS($N65="Attacker",6,$N65="Healer",3,$N65="Magician",4,$N65="Defender",3,$N65="Supporter",4)</f>
        <v>3</v>
      </c>
      <c r="R65" s="17">
        <v>1</v>
      </c>
      <c r="S65" s="17">
        <v>0</v>
      </c>
      <c r="T65" s="17">
        <v>0</v>
      </c>
      <c r="U65" s="17" t="s">
        <v>41</v>
      </c>
      <c r="V65" s="17">
        <f t="array" ref="V65">_xlfn.IFS(N65="Attacker",80,N65="Healer",90,N65="Magician",100,N65="Defender",110,N65="Supporter",120)</f>
        <v>110</v>
      </c>
      <c r="W65" s="17" t="s">
        <v>42</v>
      </c>
      <c r="X65" s="17">
        <v>6475</v>
      </c>
      <c r="Y65" s="17" t="s">
        <v>43</v>
      </c>
      <c r="Z65" s="17">
        <v>168</v>
      </c>
      <c r="AA65" s="17" t="s">
        <v>44</v>
      </c>
      <c r="AB65" s="17">
        <v>151</v>
      </c>
      <c r="AC65" s="17" t="s">
        <v>45</v>
      </c>
      <c r="AD65" s="17">
        <v>151</v>
      </c>
      <c r="AE65" s="17" t="s">
        <v>46</v>
      </c>
      <c r="AF65" s="17">
        <v>100</v>
      </c>
      <c r="AG65" s="17" t="s">
        <v>47</v>
      </c>
      <c r="AH65" s="17">
        <v>100</v>
      </c>
      <c r="AI65" s="17" t="s">
        <v>48</v>
      </c>
      <c r="AJ65" s="17">
        <v>5000</v>
      </c>
      <c r="AK65" s="17" t="s">
        <v>49</v>
      </c>
      <c r="AL65" s="17">
        <v>150000</v>
      </c>
      <c r="AM65" s="17">
        <f>INT(1&amp;L65&amp;TEXT(RIGHT(A65,3),"0000")&amp;"01")</f>
        <v>13053701</v>
      </c>
      <c r="AN65" s="17" t="b">
        <v>1</v>
      </c>
      <c r="AO65" s="17">
        <f>INT(2&amp;$L65&amp;TEXT(RIGHT($A65,3),"0000")&amp;"01")</f>
        <v>23053701</v>
      </c>
      <c r="AP65" s="17" t="b">
        <v>1</v>
      </c>
      <c r="AQ65" s="17">
        <f>INT(3&amp;$L65&amp;TEXT(RIGHT($A65,3),"0000")&amp;"01")</f>
        <v>33053701</v>
      </c>
      <c r="AR65" s="17" t="b">
        <v>1</v>
      </c>
      <c r="AS65" s="17">
        <f>INT(4&amp;$L65&amp;TEXT(RIGHT($A65,3),"0000")&amp;"01")</f>
        <v>43053701</v>
      </c>
      <c r="AT65" s="17" t="b">
        <v>1</v>
      </c>
    </row>
    <row r="66" spans="1:46" ht="16.5" customHeight="1" x14ac:dyDescent="0.3">
      <c r="A66" s="17">
        <v>10000437</v>
      </c>
      <c r="B66" s="17" t="s">
        <v>120</v>
      </c>
      <c r="C66" s="17">
        <v>143701</v>
      </c>
      <c r="D66" s="17" t="s">
        <v>121</v>
      </c>
      <c r="E66" s="17" t="s">
        <v>122</v>
      </c>
      <c r="F66" s="17" t="str">
        <f>D66&amp;"_profile"</f>
        <v>c437_profile</v>
      </c>
      <c r="G66" s="17" t="s">
        <v>36</v>
      </c>
      <c r="H66" s="17" t="s">
        <v>29</v>
      </c>
      <c r="I66" s="17" t="s">
        <v>37</v>
      </c>
      <c r="J66" s="17" t="b">
        <v>1</v>
      </c>
      <c r="K66" s="24" t="s">
        <v>38</v>
      </c>
      <c r="L66" s="17">
        <v>2</v>
      </c>
      <c r="M66" s="17" t="s">
        <v>91</v>
      </c>
      <c r="N66" s="17" t="s">
        <v>53</v>
      </c>
      <c r="O66" s="17">
        <f>100+L66</f>
        <v>102</v>
      </c>
      <c r="P66" s="17">
        <v>3</v>
      </c>
      <c r="Q66" s="17">
        <v>3</v>
      </c>
      <c r="R66" s="17">
        <v>1</v>
      </c>
      <c r="S66" s="17">
        <v>0</v>
      </c>
      <c r="T66" s="17">
        <v>0</v>
      </c>
      <c r="U66" s="17" t="s">
        <v>41</v>
      </c>
      <c r="V66" s="17">
        <v>90</v>
      </c>
      <c r="W66" s="17" t="s">
        <v>42</v>
      </c>
      <c r="X66" s="17">
        <v>6475</v>
      </c>
      <c r="Y66" s="17" t="s">
        <v>43</v>
      </c>
      <c r="Z66" s="17">
        <v>168</v>
      </c>
      <c r="AA66" s="17" t="s">
        <v>44</v>
      </c>
      <c r="AB66" s="17">
        <v>151</v>
      </c>
      <c r="AC66" s="17" t="s">
        <v>45</v>
      </c>
      <c r="AD66" s="17">
        <v>151</v>
      </c>
      <c r="AE66" s="17" t="s">
        <v>46</v>
      </c>
      <c r="AF66" s="17">
        <v>100</v>
      </c>
      <c r="AG66" s="17" t="s">
        <v>47</v>
      </c>
      <c r="AH66" s="17">
        <v>100</v>
      </c>
      <c r="AI66" s="17" t="s">
        <v>48</v>
      </c>
      <c r="AJ66" s="17">
        <v>5000</v>
      </c>
      <c r="AK66" s="17" t="s">
        <v>49</v>
      </c>
      <c r="AL66" s="17">
        <v>150000</v>
      </c>
      <c r="AM66" s="17">
        <f>INT(1&amp;L66&amp;TEXT(RIGHT(A66,3),"0000")&amp;"01")</f>
        <v>12043701</v>
      </c>
      <c r="AN66" s="17" t="b">
        <v>1</v>
      </c>
      <c r="AO66" s="17">
        <f>INT(2&amp;$L66&amp;TEXT(RIGHT($A66,3),"0000")&amp;"01")</f>
        <v>22043701</v>
      </c>
      <c r="AP66" s="17" t="b">
        <v>1</v>
      </c>
      <c r="AQ66" s="17">
        <f>INT(3&amp;$L66&amp;TEXT(RIGHT($A66,3),"0000")&amp;"01")</f>
        <v>32043701</v>
      </c>
      <c r="AR66" s="17" t="b">
        <v>1</v>
      </c>
      <c r="AS66" s="17">
        <f>INT(4&amp;$L66&amp;TEXT(RIGHT($A66,3),"0000")&amp;"01")</f>
        <v>42043701</v>
      </c>
      <c r="AT66" s="17" t="b">
        <v>1</v>
      </c>
    </row>
    <row r="67" spans="1:46" ht="16.5" customHeight="1" x14ac:dyDescent="0.3">
      <c r="A67" s="17">
        <v>10000281</v>
      </c>
      <c r="B67" s="17" t="s">
        <v>158</v>
      </c>
      <c r="C67" s="17">
        <v>128101</v>
      </c>
      <c r="D67" s="17" t="s">
        <v>540</v>
      </c>
      <c r="E67" s="17" t="str">
        <f>"character_name_"&amp;A67</f>
        <v>character_name_10000281</v>
      </c>
      <c r="F67" s="17" t="str">
        <f>D67&amp;"_profile"</f>
        <v>c281_profile</v>
      </c>
      <c r="G67" s="17" t="s">
        <v>36</v>
      </c>
      <c r="H67" s="17" t="s">
        <v>29</v>
      </c>
      <c r="I67" s="17" t="s">
        <v>37</v>
      </c>
      <c r="J67" s="17" t="b">
        <v>1</v>
      </c>
      <c r="K67" s="24" t="s">
        <v>38</v>
      </c>
      <c r="L67" s="17">
        <v>3</v>
      </c>
      <c r="M67" s="17" t="s">
        <v>91</v>
      </c>
      <c r="N67" s="17" t="s">
        <v>53</v>
      </c>
      <c r="O67" s="17">
        <f>100+L67</f>
        <v>103</v>
      </c>
      <c r="P67" s="17">
        <f t="array" ref="P67">_xlfn.IFS($N67="Attacker",6,$N67="Healer",3,$N67="Magician",4,$N67="Defender",3,$N67="Supporter",4)</f>
        <v>3</v>
      </c>
      <c r="Q67" s="17">
        <f t="array" ref="Q67">_xlfn.IFS($N67="Attacker",6,$N67="Healer",3,$N67="Magician",4,$N67="Defender",3,$N67="Supporter",4)</f>
        <v>3</v>
      </c>
      <c r="R67" s="17">
        <v>1</v>
      </c>
      <c r="S67" s="17">
        <v>0</v>
      </c>
      <c r="T67" s="17">
        <v>0</v>
      </c>
      <c r="U67" s="17" t="s">
        <v>41</v>
      </c>
      <c r="V67" s="17">
        <f t="array" ref="V67">_xlfn.IFS(N67="Attacker",80,N67="Healer",90,N67="Magician",100,N67="Defender",110,N67="Supporter",120)</f>
        <v>90</v>
      </c>
      <c r="W67" s="17" t="s">
        <v>42</v>
      </c>
      <c r="X67" s="17">
        <v>5909</v>
      </c>
      <c r="Y67" s="17" t="s">
        <v>43</v>
      </c>
      <c r="Z67" s="17">
        <v>198</v>
      </c>
      <c r="AA67" s="17" t="s">
        <v>44</v>
      </c>
      <c r="AB67" s="17">
        <v>142</v>
      </c>
      <c r="AC67" s="17" t="s">
        <v>45</v>
      </c>
      <c r="AD67" s="17">
        <v>156</v>
      </c>
      <c r="AE67" s="17" t="s">
        <v>46</v>
      </c>
      <c r="AF67" s="17">
        <v>100</v>
      </c>
      <c r="AG67" s="17" t="s">
        <v>47</v>
      </c>
      <c r="AH67" s="17">
        <v>100</v>
      </c>
      <c r="AI67" s="17" t="s">
        <v>48</v>
      </c>
      <c r="AJ67" s="17">
        <v>5000</v>
      </c>
      <c r="AK67" s="17" t="s">
        <v>49</v>
      </c>
      <c r="AL67" s="17">
        <v>150000</v>
      </c>
      <c r="AM67" s="17">
        <f>INT(1&amp;L67&amp;TEXT(RIGHT(A67,3),"0000")&amp;"01")</f>
        <v>13028101</v>
      </c>
      <c r="AN67" s="17" t="b">
        <v>1</v>
      </c>
      <c r="AO67" s="17">
        <f>INT(2&amp;$L67&amp;TEXT(RIGHT($A67,3),"0000")&amp;"01")</f>
        <v>23028101</v>
      </c>
      <c r="AP67" s="17" t="b">
        <v>1</v>
      </c>
      <c r="AQ67" s="17">
        <f>INT(3&amp;$L67&amp;TEXT(RIGHT($A67,3),"0000")&amp;"01")</f>
        <v>33028101</v>
      </c>
      <c r="AR67" s="17" t="b">
        <v>1</v>
      </c>
      <c r="AS67" s="17">
        <f>INT(4&amp;$L67&amp;TEXT(RIGHT($A67,3),"0000")&amp;"01")</f>
        <v>43028101</v>
      </c>
      <c r="AT67" s="17" t="b">
        <v>1</v>
      </c>
    </row>
    <row r="68" spans="1:46" ht="16.5" customHeight="1" x14ac:dyDescent="0.3">
      <c r="A68" s="17">
        <v>10000022</v>
      </c>
      <c r="B68" s="17" t="s">
        <v>88</v>
      </c>
      <c r="C68" s="17">
        <v>102201</v>
      </c>
      <c r="D68" s="17" t="s">
        <v>89</v>
      </c>
      <c r="E68" s="17" t="s">
        <v>90</v>
      </c>
      <c r="F68" s="17" t="str">
        <f>D68&amp;"_profile"</f>
        <v>c022_profile</v>
      </c>
      <c r="G68" s="17" t="s">
        <v>36</v>
      </c>
      <c r="H68" s="17" t="s">
        <v>29</v>
      </c>
      <c r="I68" s="17" t="s">
        <v>37</v>
      </c>
      <c r="J68" s="17" t="b">
        <v>1</v>
      </c>
      <c r="K68" s="24" t="s">
        <v>38</v>
      </c>
      <c r="L68" s="17">
        <v>1</v>
      </c>
      <c r="M68" s="17" t="s">
        <v>91</v>
      </c>
      <c r="N68" s="17" t="s">
        <v>76</v>
      </c>
      <c r="O68" s="17">
        <f>100+L68</f>
        <v>101</v>
      </c>
      <c r="P68" s="17">
        <v>4</v>
      </c>
      <c r="Q68" s="17">
        <v>4</v>
      </c>
      <c r="R68" s="17">
        <v>1</v>
      </c>
      <c r="S68" s="17">
        <v>0</v>
      </c>
      <c r="T68" s="17">
        <v>0</v>
      </c>
      <c r="U68" s="17" t="s">
        <v>41</v>
      </c>
      <c r="V68" s="17">
        <v>120</v>
      </c>
      <c r="W68" s="17" t="s">
        <v>42</v>
      </c>
      <c r="X68" s="17">
        <v>5909</v>
      </c>
      <c r="Y68" s="17" t="s">
        <v>43</v>
      </c>
      <c r="Z68" s="17">
        <v>198</v>
      </c>
      <c r="AA68" s="17" t="s">
        <v>44</v>
      </c>
      <c r="AB68" s="17">
        <v>142</v>
      </c>
      <c r="AC68" s="17" t="s">
        <v>45</v>
      </c>
      <c r="AD68" s="17">
        <v>142</v>
      </c>
      <c r="AE68" s="17" t="s">
        <v>46</v>
      </c>
      <c r="AF68" s="17">
        <v>100</v>
      </c>
      <c r="AG68" s="17" t="s">
        <v>47</v>
      </c>
      <c r="AH68" s="17">
        <v>100</v>
      </c>
      <c r="AI68" s="17" t="s">
        <v>48</v>
      </c>
      <c r="AJ68" s="17">
        <v>5000</v>
      </c>
      <c r="AK68" s="17" t="s">
        <v>49</v>
      </c>
      <c r="AL68" s="17">
        <v>150000</v>
      </c>
      <c r="AM68" s="17">
        <f>INT(1&amp;L68&amp;TEXT(RIGHT(A68,3),"0000")&amp;"01")</f>
        <v>11002201</v>
      </c>
      <c r="AN68" s="17" t="b">
        <v>1</v>
      </c>
      <c r="AO68" s="17">
        <f>INT(2&amp;$L68&amp;TEXT(RIGHT($A68,3),"0000")&amp;"01")</f>
        <v>21002201</v>
      </c>
      <c r="AP68" s="17" t="b">
        <v>1</v>
      </c>
      <c r="AQ68" s="17">
        <f>INT(3&amp;$L68&amp;TEXT(RIGHT($A68,3),"0000")&amp;"01")</f>
        <v>31002201</v>
      </c>
      <c r="AR68" s="17" t="b">
        <v>1</v>
      </c>
      <c r="AS68" s="17">
        <f>INT(4&amp;$L68&amp;TEXT(RIGHT($A68,3),"0000")&amp;"01")</f>
        <v>41002201</v>
      </c>
      <c r="AT68" s="17" t="b">
        <v>1</v>
      </c>
    </row>
    <row r="69" spans="1:46" ht="16.5" customHeight="1" x14ac:dyDescent="0.3">
      <c r="A69" s="17">
        <v>10000502</v>
      </c>
      <c r="B69" s="17" t="s">
        <v>153</v>
      </c>
      <c r="C69" s="17">
        <v>150201</v>
      </c>
      <c r="D69" s="17" t="s">
        <v>510</v>
      </c>
      <c r="E69" s="17" t="str">
        <f>"character_name_"&amp;A69</f>
        <v>character_name_10000502</v>
      </c>
      <c r="F69" s="17" t="str">
        <f>D69&amp;"_profile"</f>
        <v>c502_profile</v>
      </c>
      <c r="G69" s="17" t="s">
        <v>36</v>
      </c>
      <c r="H69" s="17" t="s">
        <v>29</v>
      </c>
      <c r="I69" s="17" t="s">
        <v>37</v>
      </c>
      <c r="J69" s="17" t="b">
        <v>1</v>
      </c>
      <c r="K69" s="24" t="s">
        <v>38</v>
      </c>
      <c r="L69" s="17">
        <v>3</v>
      </c>
      <c r="M69" s="17" t="s">
        <v>91</v>
      </c>
      <c r="N69" s="17" t="s">
        <v>76</v>
      </c>
      <c r="O69" s="17">
        <f>100+L69</f>
        <v>103</v>
      </c>
      <c r="P69" s="17">
        <f t="array" ref="P69">_xlfn.IFS($N69="Attacker",6,$N69="Healer",3,$N69="Magician",4,$N69="Defender",3,$N69="Supporter",4)</f>
        <v>4</v>
      </c>
      <c r="Q69" s="17">
        <f t="array" ref="Q69">_xlfn.IFS($N69="Attacker",6,$N69="Healer",3,$N69="Magician",4,$N69="Defender",3,$N69="Supporter",4)</f>
        <v>4</v>
      </c>
      <c r="R69" s="17">
        <v>1</v>
      </c>
      <c r="S69" s="17">
        <v>0</v>
      </c>
      <c r="T69" s="17">
        <v>0</v>
      </c>
      <c r="U69" s="17" t="s">
        <v>41</v>
      </c>
      <c r="V69" s="17">
        <f t="array" ref="V69">_xlfn.IFS(N69="Attacker",80,N69="Healer",90,N69="Magician",100,N69="Defender",110,N69="Supporter",120)</f>
        <v>100</v>
      </c>
      <c r="W69" s="17" t="s">
        <v>42</v>
      </c>
      <c r="X69" s="17">
        <v>5100</v>
      </c>
      <c r="Y69" s="17" t="s">
        <v>43</v>
      </c>
      <c r="Z69" s="17">
        <v>420</v>
      </c>
      <c r="AA69" s="17" t="s">
        <v>44</v>
      </c>
      <c r="AB69" s="17">
        <v>120</v>
      </c>
      <c r="AC69" s="17" t="s">
        <v>45</v>
      </c>
      <c r="AD69" s="17">
        <v>156</v>
      </c>
      <c r="AE69" s="17" t="s">
        <v>46</v>
      </c>
      <c r="AF69" s="17">
        <v>100</v>
      </c>
      <c r="AG69" s="17" t="s">
        <v>47</v>
      </c>
      <c r="AH69" s="17">
        <v>100</v>
      </c>
      <c r="AI69" s="17" t="s">
        <v>48</v>
      </c>
      <c r="AJ69" s="17">
        <v>5000</v>
      </c>
      <c r="AK69" s="17" t="s">
        <v>49</v>
      </c>
      <c r="AL69" s="17">
        <v>150000</v>
      </c>
      <c r="AM69" s="17">
        <f>INT(1&amp;L69&amp;TEXT(RIGHT(A69,3),"0000")&amp;"01")</f>
        <v>13050201</v>
      </c>
      <c r="AN69" s="17" t="b">
        <v>1</v>
      </c>
      <c r="AO69" s="17">
        <f>INT(2&amp;$L69&amp;TEXT(RIGHT($A69,3),"0000")&amp;"01")</f>
        <v>23050201</v>
      </c>
      <c r="AP69" s="17" t="b">
        <v>1</v>
      </c>
      <c r="AQ69" s="17">
        <f>INT(3&amp;$L69&amp;TEXT(RIGHT($A69,3),"0000")&amp;"01")</f>
        <v>33050201</v>
      </c>
      <c r="AR69" s="17" t="b">
        <v>1</v>
      </c>
      <c r="AS69" s="17">
        <f>INT(4&amp;$L69&amp;TEXT(RIGHT($A69,3),"0000")&amp;"01")</f>
        <v>43050201</v>
      </c>
      <c r="AT69" s="17" t="b">
        <v>1</v>
      </c>
    </row>
    <row r="70" spans="1:46" ht="16.5" customHeight="1" x14ac:dyDescent="0.3">
      <c r="A70" s="17">
        <v>10000318</v>
      </c>
      <c r="B70" s="17" t="s">
        <v>156</v>
      </c>
      <c r="C70" s="17">
        <v>131801</v>
      </c>
      <c r="D70" s="17" t="s">
        <v>516</v>
      </c>
      <c r="E70" s="17" t="str">
        <f>"character_name_"&amp;A70</f>
        <v>character_name_10000318</v>
      </c>
      <c r="F70" s="17" t="str">
        <f>D70&amp;"_profile"</f>
        <v>c318_profile</v>
      </c>
      <c r="G70" s="17" t="s">
        <v>36</v>
      </c>
      <c r="H70" s="17" t="s">
        <v>29</v>
      </c>
      <c r="I70" s="17" t="s">
        <v>37</v>
      </c>
      <c r="J70" s="17" t="b">
        <v>1</v>
      </c>
      <c r="K70" s="24" t="s">
        <v>38</v>
      </c>
      <c r="L70" s="17">
        <v>3</v>
      </c>
      <c r="M70" s="17" t="s">
        <v>91</v>
      </c>
      <c r="N70" s="17" t="s">
        <v>76</v>
      </c>
      <c r="O70" s="17">
        <f>100+L70</f>
        <v>103</v>
      </c>
      <c r="P70" s="17">
        <f t="array" ref="P70">_xlfn.IFS($N70="Attacker",6,$N70="Healer",3,$N70="Magician",4,$N70="Defender",3,$N70="Supporter",4)</f>
        <v>4</v>
      </c>
      <c r="Q70" s="17">
        <f t="array" ref="Q70">_xlfn.IFS($N70="Attacker",6,$N70="Healer",3,$N70="Magician",4,$N70="Defender",3,$N70="Supporter",4)</f>
        <v>4</v>
      </c>
      <c r="R70" s="17">
        <v>1</v>
      </c>
      <c r="S70" s="17">
        <v>0</v>
      </c>
      <c r="T70" s="17">
        <v>0</v>
      </c>
      <c r="U70" s="17" t="s">
        <v>41</v>
      </c>
      <c r="V70" s="17">
        <f t="array" ref="V70">_xlfn.IFS(N70="Attacker",80,N70="Healer",90,N70="Magician",100,N70="Defender",110,N70="Supporter",120)</f>
        <v>100</v>
      </c>
      <c r="W70" s="17" t="s">
        <v>42</v>
      </c>
      <c r="X70" s="17">
        <v>4743</v>
      </c>
      <c r="Y70" s="17" t="s">
        <v>43</v>
      </c>
      <c r="Z70" s="17">
        <v>341</v>
      </c>
      <c r="AA70" s="17" t="s">
        <v>44</v>
      </c>
      <c r="AB70" s="17">
        <v>108</v>
      </c>
      <c r="AC70" s="17" t="s">
        <v>45</v>
      </c>
      <c r="AD70" s="17">
        <v>187</v>
      </c>
      <c r="AE70" s="17" t="s">
        <v>46</v>
      </c>
      <c r="AF70" s="17">
        <v>100</v>
      </c>
      <c r="AG70" s="17" t="s">
        <v>47</v>
      </c>
      <c r="AH70" s="17">
        <v>100</v>
      </c>
      <c r="AI70" s="17" t="s">
        <v>48</v>
      </c>
      <c r="AJ70" s="17">
        <v>5000</v>
      </c>
      <c r="AK70" s="17" t="s">
        <v>49</v>
      </c>
      <c r="AL70" s="17">
        <v>150000</v>
      </c>
      <c r="AM70" s="17">
        <f>INT(1&amp;L70&amp;TEXT(RIGHT(A70,3),"0000")&amp;"01")</f>
        <v>13031801</v>
      </c>
      <c r="AN70" s="17" t="b">
        <v>1</v>
      </c>
      <c r="AO70" s="17">
        <f>INT(2&amp;$L70&amp;TEXT(RIGHT($A70,3),"0000")&amp;"01")</f>
        <v>23031801</v>
      </c>
      <c r="AP70" s="17" t="b">
        <v>1</v>
      </c>
      <c r="AQ70" s="17">
        <f>INT(3&amp;$L70&amp;TEXT(RIGHT($A70,3),"0000")&amp;"01")</f>
        <v>33031801</v>
      </c>
      <c r="AR70" s="17" t="b">
        <v>1</v>
      </c>
      <c r="AS70" s="17">
        <f>INT(4&amp;$L70&amp;TEXT(RIGHT($A70,3),"0000")&amp;"01")</f>
        <v>43031801</v>
      </c>
      <c r="AT70" s="17" t="b">
        <v>1</v>
      </c>
    </row>
    <row r="71" spans="1:46" ht="16.5" customHeight="1" x14ac:dyDescent="0.3">
      <c r="A71" s="17">
        <v>10000362</v>
      </c>
      <c r="B71" s="17" t="s">
        <v>92</v>
      </c>
      <c r="C71" s="17">
        <v>136201</v>
      </c>
      <c r="D71" s="17" t="s">
        <v>93</v>
      </c>
      <c r="E71" s="17" t="s">
        <v>94</v>
      </c>
      <c r="F71" s="17" t="str">
        <f>D71&amp;"_profile"</f>
        <v>c362_profile</v>
      </c>
      <c r="G71" s="17" t="s">
        <v>36</v>
      </c>
      <c r="H71" s="17" t="s">
        <v>29</v>
      </c>
      <c r="I71" s="17" t="s">
        <v>37</v>
      </c>
      <c r="J71" s="17" t="b">
        <v>1</v>
      </c>
      <c r="K71" s="24" t="s">
        <v>38</v>
      </c>
      <c r="L71" s="17">
        <v>1</v>
      </c>
      <c r="M71" s="17" t="s">
        <v>91</v>
      </c>
      <c r="N71" s="17" t="s">
        <v>40</v>
      </c>
      <c r="O71" s="17">
        <f>100+L71</f>
        <v>101</v>
      </c>
      <c r="P71" s="17">
        <v>4</v>
      </c>
      <c r="Q71" s="17">
        <v>4</v>
      </c>
      <c r="R71" s="17">
        <v>1</v>
      </c>
      <c r="S71" s="17">
        <v>0</v>
      </c>
      <c r="T71" s="17">
        <v>0</v>
      </c>
      <c r="U71" s="17" t="s">
        <v>41</v>
      </c>
      <c r="V71" s="17">
        <v>120</v>
      </c>
      <c r="W71" s="17" t="s">
        <v>42</v>
      </c>
      <c r="X71" s="17">
        <v>5909</v>
      </c>
      <c r="Y71" s="17" t="s">
        <v>43</v>
      </c>
      <c r="Z71" s="17">
        <v>198</v>
      </c>
      <c r="AA71" s="17" t="s">
        <v>44</v>
      </c>
      <c r="AB71" s="17">
        <v>142</v>
      </c>
      <c r="AC71" s="17" t="s">
        <v>45</v>
      </c>
      <c r="AD71" s="17">
        <v>142</v>
      </c>
      <c r="AE71" s="17" t="s">
        <v>46</v>
      </c>
      <c r="AF71" s="17">
        <v>100</v>
      </c>
      <c r="AG71" s="17" t="s">
        <v>47</v>
      </c>
      <c r="AH71" s="17">
        <v>100</v>
      </c>
      <c r="AI71" s="17" t="s">
        <v>48</v>
      </c>
      <c r="AJ71" s="17">
        <v>5000</v>
      </c>
      <c r="AK71" s="17" t="s">
        <v>49</v>
      </c>
      <c r="AL71" s="17">
        <v>150000</v>
      </c>
      <c r="AM71" s="17">
        <f>INT(1&amp;L71&amp;TEXT(RIGHT(A71,3),"0000")&amp;"01")</f>
        <v>11036201</v>
      </c>
      <c r="AN71" s="17" t="b">
        <v>1</v>
      </c>
      <c r="AO71" s="17">
        <f>INT(2&amp;$L71&amp;TEXT(RIGHT($A71,3),"0000")&amp;"01")</f>
        <v>21036201</v>
      </c>
      <c r="AP71" s="17" t="b">
        <v>1</v>
      </c>
      <c r="AQ71" s="17">
        <f>INT(3&amp;$L71&amp;TEXT(RIGHT($A71,3),"0000")&amp;"01")</f>
        <v>31036201</v>
      </c>
      <c r="AR71" s="17" t="b">
        <v>1</v>
      </c>
      <c r="AS71" s="17">
        <f>INT(4&amp;$L71&amp;TEXT(RIGHT($A71,3),"0000")&amp;"01")</f>
        <v>41036201</v>
      </c>
      <c r="AT71" s="17" t="b">
        <v>1</v>
      </c>
    </row>
    <row r="72" spans="1:46" x14ac:dyDescent="0.3">
      <c r="A72" s="17">
        <v>10000464</v>
      </c>
      <c r="B72" s="17" t="s">
        <v>155</v>
      </c>
      <c r="C72" s="17">
        <v>146401</v>
      </c>
      <c r="D72" s="17" t="s">
        <v>475</v>
      </c>
      <c r="E72" s="17" t="str">
        <f>"character_name_"&amp;A72</f>
        <v>character_name_10000464</v>
      </c>
      <c r="F72" s="17" t="str">
        <f>D72&amp;"_profile"</f>
        <v>c464_profile</v>
      </c>
      <c r="G72" s="17" t="s">
        <v>36</v>
      </c>
      <c r="H72" s="17" t="s">
        <v>29</v>
      </c>
      <c r="I72" s="17" t="s">
        <v>37</v>
      </c>
      <c r="J72" s="17" t="b">
        <v>1</v>
      </c>
      <c r="K72" s="24" t="s">
        <v>38</v>
      </c>
      <c r="L72" s="17">
        <v>3</v>
      </c>
      <c r="M72" s="17" t="s">
        <v>91</v>
      </c>
      <c r="N72" s="17" t="s">
        <v>40</v>
      </c>
      <c r="O72" s="17">
        <f>100+L72</f>
        <v>103</v>
      </c>
      <c r="P72" s="17">
        <f t="array" ref="P72">_xlfn.IFS($N72="Attacker",6,$N72="Healer",3,$N72="Magician",4,$N72="Defender",3,$N72="Supporter",4)</f>
        <v>4</v>
      </c>
      <c r="Q72" s="17">
        <f t="array" ref="Q72">_xlfn.IFS($N72="Attacker",6,$N72="Healer",3,$N72="Magician",4,$N72="Defender",3,$N72="Supporter",4)</f>
        <v>4</v>
      </c>
      <c r="R72" s="17">
        <v>1</v>
      </c>
      <c r="S72" s="17">
        <v>0</v>
      </c>
      <c r="T72" s="17">
        <v>0</v>
      </c>
      <c r="U72" s="17" t="s">
        <v>41</v>
      </c>
      <c r="V72" s="17">
        <f t="array" ref="V72">_xlfn.IFS(N72="Attacker",80,N72="Healer",90,N72="Magician",100,N72="Defender",110,N72="Supporter",120)</f>
        <v>120</v>
      </c>
      <c r="W72" s="17" t="s">
        <v>42</v>
      </c>
      <c r="X72" s="17">
        <v>5909</v>
      </c>
      <c r="Y72" s="17" t="s">
        <v>43</v>
      </c>
      <c r="Z72" s="17">
        <v>198</v>
      </c>
      <c r="AA72" s="17" t="s">
        <v>44</v>
      </c>
      <c r="AB72" s="17">
        <v>142</v>
      </c>
      <c r="AC72" s="17" t="s">
        <v>45</v>
      </c>
      <c r="AD72" s="17">
        <v>187</v>
      </c>
      <c r="AE72" s="17" t="s">
        <v>46</v>
      </c>
      <c r="AF72" s="17">
        <v>100</v>
      </c>
      <c r="AG72" s="17" t="s">
        <v>47</v>
      </c>
      <c r="AH72" s="17">
        <v>100</v>
      </c>
      <c r="AI72" s="17" t="s">
        <v>48</v>
      </c>
      <c r="AJ72" s="17">
        <v>5000</v>
      </c>
      <c r="AK72" s="17" t="s">
        <v>49</v>
      </c>
      <c r="AL72" s="17">
        <v>150000</v>
      </c>
      <c r="AM72" s="17">
        <f>INT(1&amp;L72&amp;TEXT(RIGHT(A72,3),"0000")&amp;"01")</f>
        <v>13046401</v>
      </c>
      <c r="AN72" s="17" t="b">
        <v>1</v>
      </c>
      <c r="AO72" s="17">
        <f>INT(2&amp;$L72&amp;TEXT(RIGHT($A72,3),"0000")&amp;"01")</f>
        <v>23046401</v>
      </c>
      <c r="AP72" s="17" t="b">
        <v>1</v>
      </c>
      <c r="AQ72" s="17">
        <f>INT(3&amp;$L72&amp;TEXT(RIGHT($A72,3),"0000")&amp;"01")</f>
        <v>33046401</v>
      </c>
      <c r="AR72" s="17" t="b">
        <v>1</v>
      </c>
      <c r="AS72" s="17">
        <f>INT(4&amp;$L72&amp;TEXT(RIGHT($A72,3),"0000")&amp;"01")</f>
        <v>43046401</v>
      </c>
      <c r="AT72" s="17" t="b">
        <v>1</v>
      </c>
    </row>
    <row r="73" spans="1:46" x14ac:dyDescent="0.3">
      <c r="A73" s="17">
        <v>10000167</v>
      </c>
      <c r="B73" s="17" t="s">
        <v>160</v>
      </c>
      <c r="C73" s="17">
        <v>116701</v>
      </c>
      <c r="D73" s="17" t="s">
        <v>989</v>
      </c>
      <c r="E73" s="17" t="str">
        <f>"character_name_"&amp;A73</f>
        <v>character_name_10000167</v>
      </c>
      <c r="F73" s="17" t="str">
        <f>D73&amp;"_profile"</f>
        <v>c167_profile</v>
      </c>
      <c r="G73" s="17" t="s">
        <v>36</v>
      </c>
      <c r="H73" s="17" t="s">
        <v>29</v>
      </c>
      <c r="I73" s="17" t="s">
        <v>37</v>
      </c>
      <c r="J73" s="17" t="b">
        <v>1</v>
      </c>
      <c r="K73" s="24" t="s">
        <v>38</v>
      </c>
      <c r="L73" s="17">
        <v>3</v>
      </c>
      <c r="M73" s="17" t="s">
        <v>91</v>
      </c>
      <c r="N73" s="17" t="s">
        <v>40</v>
      </c>
      <c r="O73" s="17">
        <f>100+L73</f>
        <v>103</v>
      </c>
      <c r="P73" s="17">
        <f t="array" ref="P73">_xlfn.IFS($N73="Attacker",6,$N73="Healer",3,$N73="Magician",4,$N73="Defender",3,$N73="Supporter",4)</f>
        <v>4</v>
      </c>
      <c r="Q73" s="17">
        <f t="array" ref="Q73">_xlfn.IFS($N73="Attacker",6,$N73="Healer",3,$N73="Magician",4,$N73="Defender",3,$N73="Supporter",4)</f>
        <v>4</v>
      </c>
      <c r="R73" s="17">
        <v>1</v>
      </c>
      <c r="S73" s="17">
        <v>0</v>
      </c>
      <c r="T73" s="17">
        <v>0</v>
      </c>
      <c r="U73" s="17" t="s">
        <v>41</v>
      </c>
      <c r="V73" s="17">
        <f t="array" ref="V73">_xlfn.IFS(N73="Attacker",80,N73="Healer",90,N73="Magician",100,N73="Defender",110,N73="Supporter",120)</f>
        <v>120</v>
      </c>
      <c r="W73" s="17" t="s">
        <v>42</v>
      </c>
      <c r="X73" s="17">
        <v>5909</v>
      </c>
      <c r="Y73" s="17" t="s">
        <v>43</v>
      </c>
      <c r="Z73" s="17">
        <v>198</v>
      </c>
      <c r="AA73" s="17" t="s">
        <v>44</v>
      </c>
      <c r="AB73" s="17">
        <v>142</v>
      </c>
      <c r="AC73" s="17" t="s">
        <v>45</v>
      </c>
      <c r="AD73" s="17">
        <v>142</v>
      </c>
      <c r="AE73" s="17" t="s">
        <v>46</v>
      </c>
      <c r="AF73" s="17">
        <v>100</v>
      </c>
      <c r="AG73" s="17" t="s">
        <v>47</v>
      </c>
      <c r="AH73" s="17">
        <v>100</v>
      </c>
      <c r="AI73" s="17" t="s">
        <v>48</v>
      </c>
      <c r="AJ73" s="17">
        <v>5000</v>
      </c>
      <c r="AK73" s="17" t="s">
        <v>49</v>
      </c>
      <c r="AL73" s="17">
        <v>150000</v>
      </c>
      <c r="AM73" s="17">
        <f>INT(1&amp;L73&amp;TEXT(RIGHT(A73,3),"0000")&amp;"01")</f>
        <v>13016701</v>
      </c>
      <c r="AN73" s="17" t="b">
        <v>1</v>
      </c>
      <c r="AO73" s="17">
        <f>INT(2&amp;$L73&amp;TEXT(RIGHT($A73,3),"0000")&amp;"01")</f>
        <v>23016701</v>
      </c>
      <c r="AP73" s="17" t="b">
        <v>1</v>
      </c>
      <c r="AQ73" s="17">
        <f>INT(3&amp;$L73&amp;TEXT(RIGHT($A73,3),"0000")&amp;"01")</f>
        <v>33016701</v>
      </c>
      <c r="AR73" s="17" t="b">
        <v>1</v>
      </c>
      <c r="AS73" s="17">
        <f>INT(4&amp;$L73&amp;TEXT(RIGHT($A73,3),"0000")&amp;"01")</f>
        <v>43016701</v>
      </c>
      <c r="AT73" s="17" t="b">
        <v>1</v>
      </c>
    </row>
  </sheetData>
  <autoFilter ref="A3:AT37" xr:uid="{00000000-0009-0000-0000-000001000000}">
    <sortState xmlns:xlrd2="http://schemas.microsoft.com/office/spreadsheetml/2017/richdata2" ref="A4:AT73">
      <sortCondition ref="M3:M37"/>
    </sortState>
  </autoFilter>
  <phoneticPr fontId="1" type="noConversion"/>
  <conditionalFormatting sqref="M1:M1048576">
    <cfRule type="containsText" dxfId="52" priority="1" operator="containsText" text="Dark">
      <formula>NOT(ISERROR(SEARCH("Dark",M1)))</formula>
    </cfRule>
    <cfRule type="containsText" dxfId="51" priority="2" operator="containsText" text="Light">
      <formula>NOT(ISERROR(SEARCH("Light",M1)))</formula>
    </cfRule>
    <cfRule type="containsText" dxfId="50" priority="3" operator="containsText" text="Forest">
      <formula>NOT(ISERROR(SEARCH("Forest",M1)))</formula>
    </cfRule>
    <cfRule type="containsText" dxfId="49" priority="4" operator="containsText" text="Water">
      <formula>NOT(ISERROR(SEARCH("Water",M1)))</formula>
    </cfRule>
    <cfRule type="containsText" dxfId="48" priority="5" operator="containsText" text="Fire">
      <formula>NOT(ISERROR(SEARCH("Fire",M1)))</formula>
    </cfRule>
  </conditionalFormatting>
  <conditionalFormatting sqref="AM4:AM73 AO4:AO73 AQ4:AQ73 AS4:AS73">
    <cfRule type="duplicateValues" dxfId="47" priority="14"/>
  </conditionalFormatting>
  <conditionalFormatting sqref="AM5 AO5 AQ5 AS5">
    <cfRule type="duplicateValues" dxfId="46" priority="15"/>
  </conditionalFormatting>
  <conditionalFormatting sqref="AM6 AO6 AQ6 AS6">
    <cfRule type="duplicateValues" dxfId="45" priority="16"/>
  </conditionalFormatting>
  <conditionalFormatting sqref="AM7">
    <cfRule type="duplicateValues" dxfId="44" priority="18"/>
  </conditionalFormatting>
  <conditionalFormatting sqref="AM8 AO8 AQ8 AS8">
    <cfRule type="duplicateValues" dxfId="43" priority="19"/>
  </conditionalFormatting>
  <conditionalFormatting sqref="AM9">
    <cfRule type="duplicateValues" dxfId="42" priority="21"/>
  </conditionalFormatting>
  <conditionalFormatting sqref="AM10:AM11 AO10:AO11 AQ10:AQ11 AS10:AS11">
    <cfRule type="duplicateValues" dxfId="41" priority="67"/>
  </conditionalFormatting>
  <conditionalFormatting sqref="AM12 AO12 AQ12 AS12">
    <cfRule type="duplicateValues" dxfId="40" priority="12"/>
  </conditionalFormatting>
  <conditionalFormatting sqref="AM13:AM34 AO13:AO34 AQ13:AQ34 AS13:AS34">
    <cfRule type="duplicateValues" dxfId="39" priority="84"/>
  </conditionalFormatting>
  <conditionalFormatting sqref="AO7 AQ7 AS7">
    <cfRule type="duplicateValues" dxfId="38" priority="17"/>
  </conditionalFormatting>
  <conditionalFormatting sqref="AO9 AQ9 AS9">
    <cfRule type="duplicateValues" dxfId="37" priority="20"/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V176"/>
  <sheetViews>
    <sheetView topLeftCell="A4" zoomScaleNormal="100" workbookViewId="0">
      <pane xSplit="15" topLeftCell="P1" activePane="topRight" state="frozen"/>
      <selection pane="topRight" activeCell="W15" sqref="W15"/>
    </sheetView>
  </sheetViews>
  <sheetFormatPr defaultRowHeight="16.5" outlineLevelCol="1" x14ac:dyDescent="0.3"/>
  <cols>
    <col min="1" max="1" width="9.375" style="17" bestFit="1" customWidth="1"/>
    <col min="2" max="2" width="9.625" style="17" bestFit="1" customWidth="1"/>
    <col min="3" max="3" width="6.75" style="17" bestFit="1" customWidth="1"/>
    <col min="4" max="4" width="9.75" style="17" bestFit="1" customWidth="1"/>
    <col min="5" max="5" width="20.625" style="17" bestFit="1" customWidth="1"/>
    <col min="6" max="6" width="20.625" style="17" customWidth="1"/>
    <col min="7" max="7" width="11.5" style="17" bestFit="1" customWidth="1"/>
    <col min="8" max="8" width="9" style="17" customWidth="1"/>
    <col min="9" max="9" width="8" style="17" bestFit="1" customWidth="1"/>
    <col min="10" max="11" width="9" style="24" customWidth="1"/>
    <col min="12" max="12" width="9" style="17" customWidth="1"/>
    <col min="13" max="13" width="9" style="1" customWidth="1"/>
    <col min="14" max="14" width="9" style="17" customWidth="1"/>
    <col min="15" max="15" width="9" style="17" customWidth="1" outlineLevel="1"/>
    <col min="16" max="16" width="11.875" style="17" bestFit="1" customWidth="1" outlineLevel="1"/>
    <col min="17" max="23" width="11.875" style="17" customWidth="1" outlineLevel="1"/>
    <col min="24" max="24" width="9" style="17" customWidth="1" outlineLevel="1"/>
    <col min="25" max="25" width="10.25" style="17" bestFit="1" customWidth="1" outlineLevel="1"/>
    <col min="26" max="37" width="9" style="17" customWidth="1" outlineLevel="1"/>
    <col min="38" max="38" width="11.875" style="17" customWidth="1" outlineLevel="1"/>
    <col min="39" max="39" width="9" style="17" customWidth="1" outlineLevel="1"/>
    <col min="40" max="40" width="9" style="1" customWidth="1"/>
    <col min="41" max="41" width="11.25" style="1" bestFit="1" customWidth="1"/>
    <col min="42" max="46" width="9" style="1" customWidth="1"/>
  </cols>
  <sheetData>
    <row r="1" spans="1:48" s="12" customFormat="1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233</v>
      </c>
      <c r="J1" s="39" t="s">
        <v>8</v>
      </c>
      <c r="K1" s="39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20</v>
      </c>
      <c r="Y1" s="6" t="s">
        <v>21</v>
      </c>
      <c r="Z1" s="6" t="s">
        <v>20</v>
      </c>
      <c r="AA1" s="6" t="s">
        <v>21</v>
      </c>
      <c r="AB1" s="6" t="s">
        <v>20</v>
      </c>
      <c r="AC1" s="6" t="s">
        <v>21</v>
      </c>
      <c r="AD1" s="6" t="s">
        <v>20</v>
      </c>
      <c r="AE1" s="6" t="s">
        <v>21</v>
      </c>
      <c r="AF1" s="6" t="s">
        <v>20</v>
      </c>
      <c r="AG1" s="6" t="s">
        <v>21</v>
      </c>
      <c r="AH1" s="6" t="s">
        <v>20</v>
      </c>
      <c r="AI1" s="6" t="s">
        <v>21</v>
      </c>
      <c r="AJ1" s="6" t="s">
        <v>20</v>
      </c>
      <c r="AK1" s="6" t="s">
        <v>21</v>
      </c>
      <c r="AL1" s="6" t="s">
        <v>20</v>
      </c>
      <c r="AM1" s="6" t="s">
        <v>21</v>
      </c>
      <c r="AN1" s="6" t="s">
        <v>22</v>
      </c>
      <c r="AO1" s="6" t="s">
        <v>23</v>
      </c>
      <c r="AP1" s="6" t="s">
        <v>22</v>
      </c>
      <c r="AQ1" s="6" t="s">
        <v>23</v>
      </c>
      <c r="AR1" s="6" t="s">
        <v>22</v>
      </c>
      <c r="AS1" s="6" t="s">
        <v>23</v>
      </c>
      <c r="AT1" s="6" t="s">
        <v>22</v>
      </c>
      <c r="AU1" s="6" t="s">
        <v>23</v>
      </c>
    </row>
    <row r="2" spans="1:48" s="3" customFormat="1" x14ac:dyDescent="0.3">
      <c r="A2" s="14"/>
      <c r="B2" s="23"/>
      <c r="C2" s="23"/>
      <c r="D2" s="23"/>
      <c r="E2" s="23"/>
      <c r="F2" s="23"/>
      <c r="G2" s="23"/>
      <c r="H2" s="23"/>
      <c r="I2" s="23"/>
      <c r="J2" s="25"/>
      <c r="K2" s="25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</row>
    <row r="3" spans="1:48" s="3" customFormat="1" x14ac:dyDescent="0.3">
      <c r="A3" s="15"/>
      <c r="B3" s="16"/>
      <c r="C3" s="16"/>
      <c r="D3" s="16"/>
      <c r="E3" s="16"/>
      <c r="F3" s="16"/>
      <c r="G3" s="16" t="s">
        <v>24</v>
      </c>
      <c r="H3" s="16" t="s">
        <v>25</v>
      </c>
      <c r="I3" s="16" t="s">
        <v>234</v>
      </c>
      <c r="J3" s="28"/>
      <c r="K3" s="28"/>
      <c r="L3" s="16"/>
      <c r="M3" s="16" t="s">
        <v>26</v>
      </c>
      <c r="N3" s="16" t="s">
        <v>27</v>
      </c>
      <c r="O3" s="16" t="s">
        <v>28</v>
      </c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 t="s">
        <v>29</v>
      </c>
      <c r="AO3" s="16"/>
      <c r="AP3" s="16" t="s">
        <v>30</v>
      </c>
      <c r="AQ3" s="16"/>
      <c r="AR3" s="16" t="s">
        <v>31</v>
      </c>
      <c r="AS3" s="16"/>
      <c r="AT3" s="16" t="s">
        <v>32</v>
      </c>
      <c r="AU3" s="16"/>
    </row>
    <row r="4" spans="1:48" s="7" customFormat="1" x14ac:dyDescent="0.3">
      <c r="A4" s="30">
        <v>20130101</v>
      </c>
      <c r="B4" s="30" t="s">
        <v>235</v>
      </c>
      <c r="C4" s="30">
        <v>201301</v>
      </c>
      <c r="D4" s="30">
        <v>0</v>
      </c>
      <c r="E4" s="30" t="s">
        <v>236</v>
      </c>
      <c r="F4" s="30"/>
      <c r="G4" s="30" t="s">
        <v>29</v>
      </c>
      <c r="H4" s="30" t="s">
        <v>29</v>
      </c>
      <c r="I4" s="30">
        <v>1</v>
      </c>
      <c r="J4" s="38" t="s">
        <v>237</v>
      </c>
      <c r="K4" s="17" t="b">
        <v>1</v>
      </c>
      <c r="L4" s="38" t="s">
        <v>38</v>
      </c>
      <c r="M4" s="30">
        <v>2</v>
      </c>
      <c r="N4" s="30" t="s">
        <v>61</v>
      </c>
      <c r="O4" s="30" t="s">
        <v>62</v>
      </c>
      <c r="P4" s="30">
        <v>200</v>
      </c>
      <c r="Q4" s="30">
        <f t="array" ref="Q4">_xlfn.IFS($O4="Attacker",6,$O4="Healer",3,$O4="Magician",4,$O4="Defender",3,$O4="Supporter",4)</f>
        <v>3</v>
      </c>
      <c r="R4" s="1">
        <f t="array" ref="R4">_xlfn.IFS($O4="Attacker",6,$O4="Healer",3,$O4="Magician",4,$O4="Defender",3,$O4="Supporter",4)</f>
        <v>3</v>
      </c>
      <c r="S4" s="30">
        <v>1</v>
      </c>
      <c r="T4" s="30">
        <v>0</v>
      </c>
      <c r="U4" s="30">
        <v>0</v>
      </c>
      <c r="V4" s="30" t="s">
        <v>41</v>
      </c>
      <c r="W4" s="1">
        <f t="array" ref="W4">_xlfn.IFS(O4="Attacker",80,O4="Healer",90,O4="Magician",100,O4="Defender",110,O4="Supporter",120)</f>
        <v>110</v>
      </c>
      <c r="X4" s="30" t="s">
        <v>42</v>
      </c>
      <c r="Y4" s="30">
        <v>1000</v>
      </c>
      <c r="Z4" s="30" t="s">
        <v>43</v>
      </c>
      <c r="AA4" s="30">
        <v>500</v>
      </c>
      <c r="AB4" s="30" t="s">
        <v>44</v>
      </c>
      <c r="AC4" s="30">
        <v>20</v>
      </c>
      <c r="AD4" s="30" t="s">
        <v>45</v>
      </c>
      <c r="AE4" s="30">
        <f>AC4</f>
        <v>20</v>
      </c>
      <c r="AF4" s="30" t="s">
        <v>46</v>
      </c>
      <c r="AG4" s="30">
        <v>100</v>
      </c>
      <c r="AH4" s="30" t="s">
        <v>47</v>
      </c>
      <c r="AI4" s="30">
        <v>80</v>
      </c>
      <c r="AJ4" s="30" t="s">
        <v>48</v>
      </c>
      <c r="AK4" s="30">
        <v>0</v>
      </c>
      <c r="AL4" s="30" t="s">
        <v>49</v>
      </c>
      <c r="AM4" s="30">
        <v>150000</v>
      </c>
      <c r="AN4" s="30">
        <v>1842051</v>
      </c>
      <c r="AO4" s="30" t="b">
        <v>1</v>
      </c>
      <c r="AP4" s="30">
        <v>2842051</v>
      </c>
      <c r="AQ4" s="30" t="b">
        <v>1</v>
      </c>
      <c r="AR4" s="30">
        <v>0</v>
      </c>
      <c r="AS4" s="30" t="b">
        <v>0</v>
      </c>
      <c r="AT4" s="30">
        <v>0</v>
      </c>
      <c r="AU4" s="30" t="b">
        <v>0</v>
      </c>
    </row>
    <row r="5" spans="1:48" x14ac:dyDescent="0.3">
      <c r="A5" s="30">
        <v>20130201</v>
      </c>
      <c r="B5" s="30" t="s">
        <v>235</v>
      </c>
      <c r="C5" s="30">
        <v>201302</v>
      </c>
      <c r="D5" s="30">
        <v>0</v>
      </c>
      <c r="E5" s="30" t="s">
        <v>238</v>
      </c>
      <c r="F5" s="30"/>
      <c r="G5" s="30" t="s">
        <v>29</v>
      </c>
      <c r="H5" s="30" t="s">
        <v>29</v>
      </c>
      <c r="I5" s="30">
        <v>1</v>
      </c>
      <c r="J5" s="38" t="s">
        <v>237</v>
      </c>
      <c r="K5" s="17" t="b">
        <v>1</v>
      </c>
      <c r="L5" s="38" t="s">
        <v>38</v>
      </c>
      <c r="M5" s="30">
        <v>2</v>
      </c>
      <c r="N5" s="30" t="s">
        <v>61</v>
      </c>
      <c r="O5" s="30" t="s">
        <v>62</v>
      </c>
      <c r="P5" s="30">
        <v>200</v>
      </c>
      <c r="Q5" s="30">
        <f t="array" ref="Q5">_xlfn.IFS($O5="Attacker",6,$O5="Healer",3,$O5="Magician",4,$O5="Defender",3,$O5="Supporter",4)</f>
        <v>3</v>
      </c>
      <c r="R5" s="30">
        <f t="array" ref="R5">_xlfn.IFS($O5="Attacker",6,$O5="Healer",3,$O5="Magician",4,$O5="Defender",3,$O5="Supporter",4)</f>
        <v>3</v>
      </c>
      <c r="S5" s="30">
        <v>1</v>
      </c>
      <c r="T5" s="30">
        <v>0</v>
      </c>
      <c r="U5" s="30">
        <v>0</v>
      </c>
      <c r="V5" s="30" t="s">
        <v>41</v>
      </c>
      <c r="W5" s="30">
        <f t="array" ref="W5">_xlfn.IFS(O5="Attacker",80,O5="Healer",90,O5="Magician",100,O5="Defender",110,O5="Supporter",120)</f>
        <v>110</v>
      </c>
      <c r="X5" s="30" t="s">
        <v>42</v>
      </c>
      <c r="Y5" s="30">
        <v>1000</v>
      </c>
      <c r="Z5" s="30" t="s">
        <v>43</v>
      </c>
      <c r="AA5" s="30">
        <v>500</v>
      </c>
      <c r="AB5" s="30" t="s">
        <v>44</v>
      </c>
      <c r="AC5" s="30">
        <v>20</v>
      </c>
      <c r="AD5" s="30" t="s">
        <v>45</v>
      </c>
      <c r="AE5" s="30">
        <f>AC5</f>
        <v>20</v>
      </c>
      <c r="AF5" s="30" t="s">
        <v>46</v>
      </c>
      <c r="AG5" s="30">
        <v>100</v>
      </c>
      <c r="AH5" s="30" t="s">
        <v>47</v>
      </c>
      <c r="AI5" s="30">
        <v>80</v>
      </c>
      <c r="AJ5" s="30" t="s">
        <v>48</v>
      </c>
      <c r="AK5" s="30">
        <v>0</v>
      </c>
      <c r="AL5" s="30" t="s">
        <v>49</v>
      </c>
      <c r="AM5" s="30">
        <v>150000</v>
      </c>
      <c r="AN5" s="30">
        <v>1842051</v>
      </c>
      <c r="AO5" s="30" t="b">
        <v>1</v>
      </c>
      <c r="AP5" s="30">
        <v>2842051</v>
      </c>
      <c r="AQ5" s="30" t="b">
        <v>1</v>
      </c>
      <c r="AR5" s="30">
        <v>0</v>
      </c>
      <c r="AS5" s="30" t="b">
        <v>0</v>
      </c>
      <c r="AT5" s="30">
        <v>0</v>
      </c>
      <c r="AU5" s="30" t="b">
        <v>0</v>
      </c>
    </row>
    <row r="6" spans="1:48" x14ac:dyDescent="0.3">
      <c r="A6" s="30">
        <v>20130102</v>
      </c>
      <c r="B6" s="30" t="s">
        <v>235</v>
      </c>
      <c r="C6" s="30">
        <v>201301</v>
      </c>
      <c r="D6" s="30">
        <v>0</v>
      </c>
      <c r="E6" s="30" t="s">
        <v>239</v>
      </c>
      <c r="F6" s="30"/>
      <c r="G6" s="30" t="s">
        <v>29</v>
      </c>
      <c r="H6" s="30" t="s">
        <v>29</v>
      </c>
      <c r="I6" s="30">
        <v>2</v>
      </c>
      <c r="J6" s="38" t="s">
        <v>237</v>
      </c>
      <c r="K6" s="17" t="b">
        <v>1</v>
      </c>
      <c r="L6" s="38" t="s">
        <v>38</v>
      </c>
      <c r="M6" s="30">
        <v>2</v>
      </c>
      <c r="N6" s="30" t="s">
        <v>61</v>
      </c>
      <c r="O6" s="30" t="s">
        <v>62</v>
      </c>
      <c r="P6" s="30">
        <v>200</v>
      </c>
      <c r="Q6" s="30">
        <f t="array" ref="Q6">_xlfn.IFS($O6="Attacker",6,$O6="Healer",3,$O6="Magician",4,$O6="Defender",3,$O6="Supporter",4)</f>
        <v>3</v>
      </c>
      <c r="R6" s="30">
        <f t="array" ref="R6">_xlfn.IFS($O6="Attacker",6,$O6="Healer",3,$O6="Magician",4,$O6="Defender",3,$O6="Supporter",4)</f>
        <v>3</v>
      </c>
      <c r="S6" s="30">
        <v>1</v>
      </c>
      <c r="T6" s="30">
        <v>0</v>
      </c>
      <c r="U6" s="30">
        <v>0</v>
      </c>
      <c r="V6" s="30" t="s">
        <v>41</v>
      </c>
      <c r="W6" s="30">
        <f t="array" ref="W6">_xlfn.IFS(O6="Attacker",80,O6="Healer",90,O6="Magician",100,O6="Defender",110,O6="Supporter",120)</f>
        <v>110</v>
      </c>
      <c r="X6" s="30" t="s">
        <v>42</v>
      </c>
      <c r="Y6" s="30">
        <v>1000</v>
      </c>
      <c r="Z6" s="30" t="s">
        <v>43</v>
      </c>
      <c r="AA6" s="30">
        <v>500</v>
      </c>
      <c r="AB6" s="30" t="s">
        <v>44</v>
      </c>
      <c r="AC6" s="30">
        <v>20</v>
      </c>
      <c r="AD6" s="30" t="s">
        <v>45</v>
      </c>
      <c r="AE6" s="30">
        <f>AC6</f>
        <v>20</v>
      </c>
      <c r="AF6" s="30" t="s">
        <v>46</v>
      </c>
      <c r="AG6" s="30">
        <v>100</v>
      </c>
      <c r="AH6" s="30" t="s">
        <v>47</v>
      </c>
      <c r="AI6" s="30">
        <v>80</v>
      </c>
      <c r="AJ6" s="30" t="s">
        <v>48</v>
      </c>
      <c r="AK6" s="30">
        <v>0</v>
      </c>
      <c r="AL6" s="30" t="s">
        <v>49</v>
      </c>
      <c r="AM6" s="30">
        <v>150000</v>
      </c>
      <c r="AN6" s="30">
        <v>1842051</v>
      </c>
      <c r="AO6" s="30" t="b">
        <v>1</v>
      </c>
      <c r="AP6" s="30">
        <v>2842051</v>
      </c>
      <c r="AQ6" s="30" t="b">
        <v>1</v>
      </c>
      <c r="AR6" s="30">
        <v>0</v>
      </c>
      <c r="AS6" s="30" t="b">
        <v>0</v>
      </c>
      <c r="AT6" s="30">
        <v>0</v>
      </c>
      <c r="AU6" s="30" t="b">
        <v>0</v>
      </c>
    </row>
    <row r="7" spans="1:48" x14ac:dyDescent="0.3">
      <c r="A7" s="30">
        <v>20130202</v>
      </c>
      <c r="B7" s="30" t="s">
        <v>235</v>
      </c>
      <c r="C7" s="30">
        <v>201302</v>
      </c>
      <c r="D7" s="30">
        <v>0</v>
      </c>
      <c r="E7" s="30" t="s">
        <v>240</v>
      </c>
      <c r="F7" s="30"/>
      <c r="G7" s="30" t="s">
        <v>29</v>
      </c>
      <c r="H7" s="30" t="s">
        <v>29</v>
      </c>
      <c r="I7" s="30">
        <v>2</v>
      </c>
      <c r="J7" s="38" t="s">
        <v>237</v>
      </c>
      <c r="K7" s="17" t="b">
        <v>1</v>
      </c>
      <c r="L7" s="38" t="s">
        <v>38</v>
      </c>
      <c r="M7" s="30">
        <v>2</v>
      </c>
      <c r="N7" s="30" t="s">
        <v>61</v>
      </c>
      <c r="O7" s="30" t="s">
        <v>62</v>
      </c>
      <c r="P7" s="30">
        <v>200</v>
      </c>
      <c r="Q7" s="30">
        <f t="array" ref="Q7">_xlfn.IFS($O7="Attacker",6,$O7="Healer",3,$O7="Magician",4,$O7="Defender",3,$O7="Supporter",4)</f>
        <v>3</v>
      </c>
      <c r="R7" s="30">
        <f t="array" ref="R7">_xlfn.IFS($O7="Attacker",6,$O7="Healer",3,$O7="Magician",4,$O7="Defender",3,$O7="Supporter",4)</f>
        <v>3</v>
      </c>
      <c r="S7" s="30">
        <v>1</v>
      </c>
      <c r="T7" s="30">
        <v>0</v>
      </c>
      <c r="U7" s="30">
        <v>0</v>
      </c>
      <c r="V7" s="30" t="s">
        <v>41</v>
      </c>
      <c r="W7" s="30">
        <f t="array" ref="W7">_xlfn.IFS(O7="Attacker",80,O7="Healer",90,O7="Magician",100,O7="Defender",110,O7="Supporter",120)</f>
        <v>110</v>
      </c>
      <c r="X7" s="30" t="s">
        <v>42</v>
      </c>
      <c r="Y7" s="30">
        <v>1000</v>
      </c>
      <c r="Z7" s="30" t="s">
        <v>43</v>
      </c>
      <c r="AA7" s="30">
        <v>500</v>
      </c>
      <c r="AB7" s="30" t="s">
        <v>44</v>
      </c>
      <c r="AC7" s="30">
        <v>20</v>
      </c>
      <c r="AD7" s="30" t="s">
        <v>45</v>
      </c>
      <c r="AE7" s="30">
        <f>AC7</f>
        <v>20</v>
      </c>
      <c r="AF7" s="30" t="s">
        <v>46</v>
      </c>
      <c r="AG7" s="30">
        <v>100</v>
      </c>
      <c r="AH7" s="30" t="s">
        <v>47</v>
      </c>
      <c r="AI7" s="30">
        <v>80</v>
      </c>
      <c r="AJ7" s="30" t="s">
        <v>48</v>
      </c>
      <c r="AK7" s="30">
        <v>0</v>
      </c>
      <c r="AL7" s="30" t="s">
        <v>49</v>
      </c>
      <c r="AM7" s="30">
        <v>150000</v>
      </c>
      <c r="AN7" s="30">
        <v>1842051</v>
      </c>
      <c r="AO7" s="30" t="b">
        <v>1</v>
      </c>
      <c r="AP7" s="30">
        <v>2842051</v>
      </c>
      <c r="AQ7" s="30" t="b">
        <v>1</v>
      </c>
      <c r="AR7" s="30">
        <v>0</v>
      </c>
      <c r="AS7" s="30" t="b">
        <v>0</v>
      </c>
      <c r="AT7" s="30">
        <v>0</v>
      </c>
      <c r="AU7" s="30" t="b">
        <v>0</v>
      </c>
    </row>
    <row r="8" spans="1:48" x14ac:dyDescent="0.3">
      <c r="A8" s="17">
        <v>20730101</v>
      </c>
      <c r="B8" s="17" t="s">
        <v>241</v>
      </c>
      <c r="C8" s="17">
        <v>207301</v>
      </c>
      <c r="D8" s="17">
        <v>0</v>
      </c>
      <c r="E8" s="17" t="s">
        <v>242</v>
      </c>
      <c r="G8" s="17" t="s">
        <v>29</v>
      </c>
      <c r="H8" s="17" t="s">
        <v>29</v>
      </c>
      <c r="I8" s="17">
        <v>1</v>
      </c>
      <c r="J8" s="24" t="s">
        <v>237</v>
      </c>
      <c r="K8" s="17" t="b">
        <v>1</v>
      </c>
      <c r="L8" s="24" t="s">
        <v>38</v>
      </c>
      <c r="M8" s="17">
        <v>2</v>
      </c>
      <c r="N8" s="17" t="s">
        <v>61</v>
      </c>
      <c r="O8" s="17" t="s">
        <v>62</v>
      </c>
      <c r="P8" s="17">
        <v>200</v>
      </c>
      <c r="Q8" s="17">
        <f t="array" ref="Q8">_xlfn.IFS($O8="Attacker",6,$O8="Healer",3,$O8="Magician",4,$O8="Defender",3,$O8="Supporter",4)</f>
        <v>3</v>
      </c>
      <c r="R8" s="17">
        <f t="array" ref="R8">_xlfn.IFS($O8="Attacker",6,$O8="Healer",3,$O8="Magician",4,$O8="Defender",3,$O8="Supporter",4)</f>
        <v>3</v>
      </c>
      <c r="S8" s="17">
        <v>1</v>
      </c>
      <c r="T8" s="17">
        <v>0</v>
      </c>
      <c r="U8" s="17">
        <v>0</v>
      </c>
      <c r="V8" s="17" t="s">
        <v>41</v>
      </c>
      <c r="W8" s="17">
        <f t="array" ref="W8">_xlfn.IFS(O8="Attacker",80,O8="Healer",90,O8="Magician",100,O8="Defender",110,O8="Supporter",120)</f>
        <v>110</v>
      </c>
      <c r="X8" s="17" t="s">
        <v>42</v>
      </c>
      <c r="Y8" s="17">
        <v>300</v>
      </c>
      <c r="Z8" s="17" t="s">
        <v>43</v>
      </c>
      <c r="AA8" s="17">
        <v>200</v>
      </c>
      <c r="AB8" s="17" t="s">
        <v>44</v>
      </c>
      <c r="AC8" s="17">
        <v>0</v>
      </c>
      <c r="AD8" s="17" t="s">
        <v>45</v>
      </c>
      <c r="AE8" s="17">
        <v>0</v>
      </c>
      <c r="AF8" s="17" t="s">
        <v>46</v>
      </c>
      <c r="AG8" s="17">
        <v>100</v>
      </c>
      <c r="AH8" s="17" t="s">
        <v>47</v>
      </c>
      <c r="AI8" s="17">
        <v>100</v>
      </c>
      <c r="AJ8" s="17" t="s">
        <v>48</v>
      </c>
      <c r="AK8" s="17">
        <v>5000</v>
      </c>
      <c r="AL8" s="17" t="s">
        <v>49</v>
      </c>
      <c r="AM8" s="17">
        <v>150000</v>
      </c>
      <c r="AN8" s="17">
        <v>1811041</v>
      </c>
      <c r="AO8" s="17" t="b">
        <v>1</v>
      </c>
      <c r="AP8" s="17">
        <v>2811041</v>
      </c>
      <c r="AQ8" s="17" t="b">
        <v>1</v>
      </c>
      <c r="AR8" s="17">
        <v>0</v>
      </c>
      <c r="AS8" s="17" t="b">
        <v>0</v>
      </c>
      <c r="AT8" s="17">
        <v>0</v>
      </c>
      <c r="AU8" s="17" t="b">
        <v>0</v>
      </c>
    </row>
    <row r="9" spans="1:48" x14ac:dyDescent="0.3">
      <c r="A9" s="17">
        <v>20730201</v>
      </c>
      <c r="B9" s="17" t="s">
        <v>243</v>
      </c>
      <c r="C9" s="17">
        <v>207302</v>
      </c>
      <c r="D9" s="17">
        <v>0</v>
      </c>
      <c r="E9" s="17" t="s">
        <v>244</v>
      </c>
      <c r="G9" s="17" t="s">
        <v>29</v>
      </c>
      <c r="H9" s="17" t="s">
        <v>29</v>
      </c>
      <c r="I9" s="17">
        <v>1</v>
      </c>
      <c r="J9" s="24" t="s">
        <v>237</v>
      </c>
      <c r="K9" s="17" t="b">
        <v>1</v>
      </c>
      <c r="L9" s="24" t="s">
        <v>38</v>
      </c>
      <c r="M9" s="17">
        <v>2</v>
      </c>
      <c r="N9" s="17" t="s">
        <v>91</v>
      </c>
      <c r="O9" s="17" t="s">
        <v>62</v>
      </c>
      <c r="P9" s="17">
        <v>200</v>
      </c>
      <c r="Q9" s="17">
        <f t="array" ref="Q9">_xlfn.IFS($O9="Attacker",6,$O9="Healer",3,$O9="Magician",4,$O9="Defender",3,$O9="Supporter",4)</f>
        <v>3</v>
      </c>
      <c r="R9" s="17">
        <f t="array" ref="R9">_xlfn.IFS($O9="Attacker",6,$O9="Healer",3,$O9="Magician",4,$O9="Defender",3,$O9="Supporter",4)</f>
        <v>3</v>
      </c>
      <c r="S9" s="17">
        <v>1</v>
      </c>
      <c r="T9" s="17">
        <v>0</v>
      </c>
      <c r="U9" s="17">
        <v>0</v>
      </c>
      <c r="V9" s="17" t="s">
        <v>41</v>
      </c>
      <c r="W9" s="17">
        <f t="array" ref="W9">_xlfn.IFS(O9="Attacker",80,O9="Healer",90,O9="Magician",100,O9="Defender",110,O9="Supporter",120)</f>
        <v>110</v>
      </c>
      <c r="X9" s="17" t="s">
        <v>42</v>
      </c>
      <c r="Y9" s="17">
        <v>300</v>
      </c>
      <c r="Z9" s="17" t="s">
        <v>43</v>
      </c>
      <c r="AA9" s="17">
        <v>200</v>
      </c>
      <c r="AB9" s="17" t="s">
        <v>44</v>
      </c>
      <c r="AC9" s="17">
        <v>0</v>
      </c>
      <c r="AD9" s="17" t="s">
        <v>45</v>
      </c>
      <c r="AE9" s="17">
        <v>0</v>
      </c>
      <c r="AF9" s="17" t="s">
        <v>46</v>
      </c>
      <c r="AG9" s="17">
        <v>120</v>
      </c>
      <c r="AH9" s="17" t="s">
        <v>47</v>
      </c>
      <c r="AI9" s="17">
        <v>100</v>
      </c>
      <c r="AJ9" s="17" t="s">
        <v>48</v>
      </c>
      <c r="AK9" s="17">
        <v>5000</v>
      </c>
      <c r="AL9" s="17" t="s">
        <v>49</v>
      </c>
      <c r="AM9" s="17">
        <v>150000</v>
      </c>
      <c r="AN9" s="17">
        <v>1821041</v>
      </c>
      <c r="AO9" s="17" t="b">
        <v>1</v>
      </c>
      <c r="AP9" s="17">
        <v>2821041</v>
      </c>
      <c r="AQ9" s="17" t="b">
        <v>1</v>
      </c>
      <c r="AR9" s="17">
        <v>0</v>
      </c>
      <c r="AS9" s="17" t="b">
        <v>0</v>
      </c>
      <c r="AT9" s="17">
        <v>0</v>
      </c>
      <c r="AU9" s="17" t="b">
        <v>0</v>
      </c>
    </row>
    <row r="10" spans="1:48" x14ac:dyDescent="0.3">
      <c r="A10" s="17">
        <v>20730301</v>
      </c>
      <c r="B10" s="17" t="s">
        <v>245</v>
      </c>
      <c r="C10" s="17">
        <v>207303</v>
      </c>
      <c r="D10" s="17">
        <v>0</v>
      </c>
      <c r="E10" s="17" t="s">
        <v>246</v>
      </c>
      <c r="G10" s="17" t="s">
        <v>29</v>
      </c>
      <c r="H10" s="17" t="s">
        <v>29</v>
      </c>
      <c r="I10" s="17">
        <v>1</v>
      </c>
      <c r="J10" s="24" t="s">
        <v>237</v>
      </c>
      <c r="K10" s="17" t="b">
        <v>1</v>
      </c>
      <c r="L10" s="24" t="s">
        <v>38</v>
      </c>
      <c r="M10" s="17">
        <v>2</v>
      </c>
      <c r="N10" s="17" t="s">
        <v>72</v>
      </c>
      <c r="O10" s="17" t="s">
        <v>62</v>
      </c>
      <c r="P10" s="17">
        <v>200</v>
      </c>
      <c r="Q10" s="17">
        <f t="array" ref="Q10">_xlfn.IFS($O10="Attacker",6,$O10="Healer",3,$O10="Magician",4,$O10="Defender",3,$O10="Supporter",4)</f>
        <v>3</v>
      </c>
      <c r="R10" s="17">
        <f t="array" ref="R10">_xlfn.IFS($O10="Attacker",6,$O10="Healer",3,$O10="Magician",4,$O10="Defender",3,$O10="Supporter",4)</f>
        <v>3</v>
      </c>
      <c r="S10" s="17">
        <v>1</v>
      </c>
      <c r="T10" s="17">
        <v>0</v>
      </c>
      <c r="U10" s="17">
        <v>0</v>
      </c>
      <c r="V10" s="17" t="s">
        <v>41</v>
      </c>
      <c r="W10" s="17">
        <f t="array" ref="W10">_xlfn.IFS(O10="Attacker",80,O10="Healer",90,O10="Magician",100,O10="Defender",110,O10="Supporter",120)</f>
        <v>110</v>
      </c>
      <c r="X10" s="17" t="s">
        <v>42</v>
      </c>
      <c r="Y10" s="17">
        <v>300</v>
      </c>
      <c r="Z10" s="17" t="s">
        <v>43</v>
      </c>
      <c r="AA10" s="17">
        <v>200</v>
      </c>
      <c r="AB10" s="17" t="s">
        <v>44</v>
      </c>
      <c r="AC10" s="17">
        <v>0</v>
      </c>
      <c r="AD10" s="17" t="s">
        <v>45</v>
      </c>
      <c r="AE10" s="17">
        <v>0</v>
      </c>
      <c r="AF10" s="17" t="s">
        <v>46</v>
      </c>
      <c r="AG10" s="17">
        <v>100</v>
      </c>
      <c r="AH10" s="17" t="s">
        <v>47</v>
      </c>
      <c r="AI10" s="17">
        <v>100</v>
      </c>
      <c r="AJ10" s="17" t="s">
        <v>48</v>
      </c>
      <c r="AK10" s="17">
        <v>5000</v>
      </c>
      <c r="AL10" s="17" t="s">
        <v>49</v>
      </c>
      <c r="AM10" s="17">
        <v>150000</v>
      </c>
      <c r="AN10" s="17">
        <v>1831041</v>
      </c>
      <c r="AO10" s="17" t="b">
        <v>1</v>
      </c>
      <c r="AP10" s="17">
        <v>2831041</v>
      </c>
      <c r="AQ10" s="17" t="b">
        <v>1</v>
      </c>
      <c r="AR10" s="17">
        <v>0</v>
      </c>
      <c r="AS10" s="17" t="b">
        <v>0</v>
      </c>
      <c r="AT10" s="17">
        <v>0</v>
      </c>
      <c r="AU10" s="17" t="b">
        <v>0</v>
      </c>
    </row>
    <row r="11" spans="1:48" x14ac:dyDescent="0.3">
      <c r="A11" s="17">
        <v>20730401</v>
      </c>
      <c r="B11" s="17" t="s">
        <v>247</v>
      </c>
      <c r="C11" s="17">
        <v>207304</v>
      </c>
      <c r="D11" s="17">
        <v>0</v>
      </c>
      <c r="E11" s="17" t="s">
        <v>248</v>
      </c>
      <c r="G11" s="17" t="s">
        <v>29</v>
      </c>
      <c r="H11" s="17" t="s">
        <v>29</v>
      </c>
      <c r="I11" s="17">
        <v>1</v>
      </c>
      <c r="J11" s="24" t="s">
        <v>237</v>
      </c>
      <c r="K11" s="17" t="b">
        <v>1</v>
      </c>
      <c r="L11" s="24" t="s">
        <v>38</v>
      </c>
      <c r="M11" s="17">
        <v>2</v>
      </c>
      <c r="N11" s="17" t="s">
        <v>83</v>
      </c>
      <c r="O11" s="17" t="s">
        <v>62</v>
      </c>
      <c r="P11" s="17">
        <v>200</v>
      </c>
      <c r="Q11" s="17">
        <f t="array" ref="Q11">_xlfn.IFS($O11="Attacker",6,$O11="Healer",3,$O11="Magician",4,$O11="Defender",3,$O11="Supporter",4)</f>
        <v>3</v>
      </c>
      <c r="R11" s="17">
        <f t="array" ref="R11">_xlfn.IFS($O11="Attacker",6,$O11="Healer",3,$O11="Magician",4,$O11="Defender",3,$O11="Supporter",4)</f>
        <v>3</v>
      </c>
      <c r="S11" s="17">
        <v>1</v>
      </c>
      <c r="T11" s="17">
        <v>0</v>
      </c>
      <c r="U11" s="17">
        <v>0</v>
      </c>
      <c r="V11" s="17" t="s">
        <v>41</v>
      </c>
      <c r="W11" s="17">
        <f t="array" ref="W11">_xlfn.IFS(O11="Attacker",80,O11="Healer",90,O11="Magician",100,O11="Defender",110,O11="Supporter",120)</f>
        <v>110</v>
      </c>
      <c r="X11" s="17" t="s">
        <v>42</v>
      </c>
      <c r="Y11" s="17">
        <v>300</v>
      </c>
      <c r="Z11" s="17" t="s">
        <v>43</v>
      </c>
      <c r="AA11" s="17">
        <v>200</v>
      </c>
      <c r="AB11" s="17" t="s">
        <v>44</v>
      </c>
      <c r="AC11" s="17">
        <v>0</v>
      </c>
      <c r="AD11" s="17" t="s">
        <v>45</v>
      </c>
      <c r="AE11" s="17">
        <v>0</v>
      </c>
      <c r="AF11" s="17" t="s">
        <v>46</v>
      </c>
      <c r="AG11" s="17">
        <v>100</v>
      </c>
      <c r="AH11" s="17" t="s">
        <v>47</v>
      </c>
      <c r="AI11" s="17">
        <v>100</v>
      </c>
      <c r="AJ11" s="17" t="s">
        <v>48</v>
      </c>
      <c r="AK11" s="17">
        <v>5000</v>
      </c>
      <c r="AL11" s="17" t="s">
        <v>49</v>
      </c>
      <c r="AM11" s="17">
        <v>150000</v>
      </c>
      <c r="AN11" s="17">
        <v>1841041</v>
      </c>
      <c r="AO11" s="17" t="b">
        <v>1</v>
      </c>
      <c r="AP11" s="17">
        <v>2841041</v>
      </c>
      <c r="AQ11" s="17" t="b">
        <v>1</v>
      </c>
      <c r="AR11" s="17">
        <v>0</v>
      </c>
      <c r="AS11" s="17" t="b">
        <v>0</v>
      </c>
      <c r="AT11" s="17">
        <v>0</v>
      </c>
      <c r="AU11" s="17" t="b">
        <v>0</v>
      </c>
    </row>
    <row r="12" spans="1:48" x14ac:dyDescent="0.3">
      <c r="A12" s="29">
        <v>20730501</v>
      </c>
      <c r="B12" s="29" t="s">
        <v>249</v>
      </c>
      <c r="C12" s="29">
        <v>207305</v>
      </c>
      <c r="D12" s="29">
        <v>0</v>
      </c>
      <c r="E12" s="29" t="s">
        <v>250</v>
      </c>
      <c r="F12" s="29"/>
      <c r="G12" s="29" t="s">
        <v>29</v>
      </c>
      <c r="H12" s="29" t="s">
        <v>29</v>
      </c>
      <c r="I12" s="29">
        <v>1</v>
      </c>
      <c r="J12" s="27" t="s">
        <v>237</v>
      </c>
      <c r="K12" s="17" t="b">
        <v>1</v>
      </c>
      <c r="L12" s="27" t="s">
        <v>38</v>
      </c>
      <c r="M12" s="29">
        <v>2</v>
      </c>
      <c r="N12" s="29" t="s">
        <v>39</v>
      </c>
      <c r="O12" s="29" t="s">
        <v>62</v>
      </c>
      <c r="P12" s="29">
        <v>200</v>
      </c>
      <c r="Q12" s="29">
        <f t="array" ref="Q12">_xlfn.IFS($O12="Attacker",6,$O12="Healer",3,$O12="Magician",4,$O12="Defender",3,$O12="Supporter",4)</f>
        <v>3</v>
      </c>
      <c r="R12" s="29">
        <f t="array" ref="R12">_xlfn.IFS($O12="Attacker",6,$O12="Healer",3,$O12="Magician",4,$O12="Defender",3,$O12="Supporter",4)</f>
        <v>3</v>
      </c>
      <c r="S12" s="29">
        <v>1</v>
      </c>
      <c r="T12" s="29">
        <v>0</v>
      </c>
      <c r="U12" s="29">
        <v>0</v>
      </c>
      <c r="V12" s="29" t="s">
        <v>41</v>
      </c>
      <c r="W12" s="29">
        <f t="array" ref="W12">_xlfn.IFS(O12="Attacker",80,O12="Healer",90,O12="Magician",100,O12="Defender",110,O12="Supporter",120)</f>
        <v>110</v>
      </c>
      <c r="X12" s="29" t="s">
        <v>42</v>
      </c>
      <c r="Y12" s="29">
        <v>300</v>
      </c>
      <c r="Z12" s="29" t="s">
        <v>43</v>
      </c>
      <c r="AA12" s="29">
        <v>200</v>
      </c>
      <c r="AB12" s="29" t="s">
        <v>44</v>
      </c>
      <c r="AC12" s="29">
        <v>0</v>
      </c>
      <c r="AD12" s="29" t="s">
        <v>45</v>
      </c>
      <c r="AE12" s="29">
        <v>0</v>
      </c>
      <c r="AF12" s="29" t="s">
        <v>46</v>
      </c>
      <c r="AG12" s="29">
        <v>100</v>
      </c>
      <c r="AH12" s="29" t="s">
        <v>47</v>
      </c>
      <c r="AI12" s="29">
        <v>100</v>
      </c>
      <c r="AJ12" s="29" t="s">
        <v>48</v>
      </c>
      <c r="AK12" s="29">
        <v>5000</v>
      </c>
      <c r="AL12" s="29" t="s">
        <v>49</v>
      </c>
      <c r="AM12" s="29">
        <v>150000</v>
      </c>
      <c r="AN12" s="29">
        <v>1851041</v>
      </c>
      <c r="AO12" s="29" t="b">
        <v>1</v>
      </c>
      <c r="AP12" s="29">
        <v>2851041</v>
      </c>
      <c r="AQ12" s="29" t="b">
        <v>1</v>
      </c>
      <c r="AR12" s="29">
        <v>0</v>
      </c>
      <c r="AS12" s="29" t="b">
        <v>0</v>
      </c>
      <c r="AT12" s="29">
        <v>0</v>
      </c>
      <c r="AU12" s="29" t="b">
        <v>0</v>
      </c>
    </row>
    <row r="13" spans="1:48" s="11" customFormat="1" x14ac:dyDescent="0.3">
      <c r="A13" s="17">
        <v>20730102</v>
      </c>
      <c r="B13" s="17" t="s">
        <v>241</v>
      </c>
      <c r="C13" s="17">
        <v>207301</v>
      </c>
      <c r="D13" s="17">
        <v>0</v>
      </c>
      <c r="E13" s="17" t="s">
        <v>251</v>
      </c>
      <c r="F13" s="17"/>
      <c r="G13" s="17" t="s">
        <v>29</v>
      </c>
      <c r="H13" s="17" t="s">
        <v>29</v>
      </c>
      <c r="I13" s="17">
        <v>2</v>
      </c>
      <c r="J13" s="24" t="s">
        <v>237</v>
      </c>
      <c r="K13" s="17" t="b">
        <v>1</v>
      </c>
      <c r="L13" s="24" t="s">
        <v>38</v>
      </c>
      <c r="M13" s="17">
        <v>2</v>
      </c>
      <c r="N13" s="17" t="s">
        <v>61</v>
      </c>
      <c r="O13" s="17" t="s">
        <v>62</v>
      </c>
      <c r="P13" s="17">
        <v>200</v>
      </c>
      <c r="Q13" s="17">
        <f t="array" ref="Q13">_xlfn.IFS($O13="Attacker",6,$O13="Healer",3,$O13="Magician",4,$O13="Defender",3,$O13="Supporter",4)</f>
        <v>3</v>
      </c>
      <c r="R13" s="17">
        <f t="array" ref="R13">_xlfn.IFS($O13="Attacker",6,$O13="Healer",3,$O13="Magician",4,$O13="Defender",3,$O13="Supporter",4)</f>
        <v>3</v>
      </c>
      <c r="S13" s="17">
        <v>1</v>
      </c>
      <c r="T13" s="17">
        <v>0</v>
      </c>
      <c r="U13" s="17">
        <v>0</v>
      </c>
      <c r="V13" s="17" t="s">
        <v>41</v>
      </c>
      <c r="W13" s="17">
        <f t="array" ref="W13">_xlfn.IFS(O13="Attacker",80,O13="Healer",90,O13="Magician",100,O13="Defender",110,O13="Supporter",120)</f>
        <v>110</v>
      </c>
      <c r="X13" s="17" t="s">
        <v>42</v>
      </c>
      <c r="Y13" s="17">
        <v>300</v>
      </c>
      <c r="Z13" s="17" t="s">
        <v>43</v>
      </c>
      <c r="AA13" s="17">
        <v>200</v>
      </c>
      <c r="AB13" s="17" t="s">
        <v>44</v>
      </c>
      <c r="AC13" s="17">
        <v>20</v>
      </c>
      <c r="AD13" s="17" t="s">
        <v>45</v>
      </c>
      <c r="AE13" s="17">
        <v>0</v>
      </c>
      <c r="AF13" s="17" t="s">
        <v>46</v>
      </c>
      <c r="AG13" s="17">
        <v>100</v>
      </c>
      <c r="AH13" s="17" t="s">
        <v>47</v>
      </c>
      <c r="AI13" s="17">
        <v>100</v>
      </c>
      <c r="AJ13" s="17" t="s">
        <v>48</v>
      </c>
      <c r="AK13" s="17">
        <v>5000</v>
      </c>
      <c r="AL13" s="17" t="s">
        <v>49</v>
      </c>
      <c r="AM13" s="17">
        <v>150000</v>
      </c>
      <c r="AN13" s="17">
        <v>1811041</v>
      </c>
      <c r="AO13" s="17" t="b">
        <v>1</v>
      </c>
      <c r="AP13" s="17">
        <v>2811041</v>
      </c>
      <c r="AQ13" s="17" t="b">
        <v>1</v>
      </c>
      <c r="AR13" s="17">
        <v>0</v>
      </c>
      <c r="AS13" s="17" t="b">
        <v>0</v>
      </c>
      <c r="AT13" s="17">
        <v>0</v>
      </c>
      <c r="AU13" s="17" t="b">
        <v>0</v>
      </c>
    </row>
    <row r="14" spans="1:48" x14ac:dyDescent="0.3">
      <c r="A14" s="17">
        <v>20730202</v>
      </c>
      <c r="B14" s="17" t="s">
        <v>243</v>
      </c>
      <c r="C14" s="17">
        <v>207302</v>
      </c>
      <c r="D14" s="17">
        <v>0</v>
      </c>
      <c r="E14" s="17" t="s">
        <v>252</v>
      </c>
      <c r="G14" s="17" t="s">
        <v>29</v>
      </c>
      <c r="H14" s="17" t="s">
        <v>29</v>
      </c>
      <c r="I14" s="17">
        <v>2</v>
      </c>
      <c r="J14" s="24" t="s">
        <v>237</v>
      </c>
      <c r="K14" s="17" t="b">
        <v>1</v>
      </c>
      <c r="L14" s="24" t="s">
        <v>38</v>
      </c>
      <c r="M14" s="17">
        <v>2</v>
      </c>
      <c r="N14" s="17" t="s">
        <v>91</v>
      </c>
      <c r="O14" s="17" t="s">
        <v>62</v>
      </c>
      <c r="P14" s="17">
        <v>200</v>
      </c>
      <c r="Q14" s="17">
        <f t="array" ref="Q14">_xlfn.IFS($O14="Attacker",6,$O14="Healer",3,$O14="Magician",4,$O14="Defender",3,$O14="Supporter",4)</f>
        <v>3</v>
      </c>
      <c r="R14" s="17">
        <f t="array" ref="R14">_xlfn.IFS($O14="Attacker",6,$O14="Healer",3,$O14="Magician",4,$O14="Defender",3,$O14="Supporter",4)</f>
        <v>3</v>
      </c>
      <c r="S14" s="17">
        <v>1</v>
      </c>
      <c r="T14" s="17">
        <v>0</v>
      </c>
      <c r="U14" s="17">
        <v>0</v>
      </c>
      <c r="V14" s="17" t="s">
        <v>41</v>
      </c>
      <c r="W14" s="17">
        <f t="array" ref="W14">_xlfn.IFS(O14="Attacker",80,O14="Healer",90,O14="Magician",100,O14="Defender",110,O14="Supporter",120)</f>
        <v>110</v>
      </c>
      <c r="X14" s="17" t="s">
        <v>42</v>
      </c>
      <c r="Y14" s="17">
        <v>300</v>
      </c>
      <c r="Z14" s="17" t="s">
        <v>43</v>
      </c>
      <c r="AA14" s="17">
        <v>200</v>
      </c>
      <c r="AB14" s="17" t="s">
        <v>44</v>
      </c>
      <c r="AC14" s="17">
        <v>20</v>
      </c>
      <c r="AD14" s="17" t="s">
        <v>45</v>
      </c>
      <c r="AE14" s="17">
        <v>0</v>
      </c>
      <c r="AF14" s="17" t="s">
        <v>46</v>
      </c>
      <c r="AG14" s="17">
        <v>100</v>
      </c>
      <c r="AH14" s="17" t="s">
        <v>47</v>
      </c>
      <c r="AI14" s="17">
        <v>100</v>
      </c>
      <c r="AJ14" s="17" t="s">
        <v>48</v>
      </c>
      <c r="AK14" s="17">
        <v>5000</v>
      </c>
      <c r="AL14" s="17" t="s">
        <v>49</v>
      </c>
      <c r="AM14" s="17">
        <v>150000</v>
      </c>
      <c r="AN14" s="17">
        <v>1821041</v>
      </c>
      <c r="AO14" s="17" t="b">
        <v>1</v>
      </c>
      <c r="AP14" s="17">
        <v>2821041</v>
      </c>
      <c r="AQ14" s="17" t="b">
        <v>1</v>
      </c>
      <c r="AR14" s="17">
        <v>0</v>
      </c>
      <c r="AS14" s="17" t="b">
        <v>0</v>
      </c>
      <c r="AT14" s="17">
        <v>0</v>
      </c>
      <c r="AU14" s="17" t="b">
        <v>0</v>
      </c>
    </row>
    <row r="15" spans="1:48" x14ac:dyDescent="0.3">
      <c r="A15" s="17">
        <v>20730302</v>
      </c>
      <c r="B15" s="17" t="s">
        <v>245</v>
      </c>
      <c r="C15" s="17">
        <v>207303</v>
      </c>
      <c r="D15" s="17">
        <v>0</v>
      </c>
      <c r="E15" s="17" t="s">
        <v>253</v>
      </c>
      <c r="G15" s="17" t="s">
        <v>29</v>
      </c>
      <c r="H15" s="17" t="s">
        <v>29</v>
      </c>
      <c r="I15" s="17">
        <v>2</v>
      </c>
      <c r="J15" s="24" t="s">
        <v>237</v>
      </c>
      <c r="K15" s="17" t="b">
        <v>1</v>
      </c>
      <c r="L15" s="24" t="s">
        <v>38</v>
      </c>
      <c r="M15" s="17">
        <v>2</v>
      </c>
      <c r="N15" s="17" t="s">
        <v>72</v>
      </c>
      <c r="O15" s="17" t="s">
        <v>62</v>
      </c>
      <c r="P15" s="17">
        <v>200</v>
      </c>
      <c r="Q15" s="17">
        <f t="array" ref="Q15">_xlfn.IFS($O15="Attacker",6,$O15="Healer",3,$O15="Magician",4,$O15="Defender",3,$O15="Supporter",4)</f>
        <v>3</v>
      </c>
      <c r="R15" s="17">
        <f t="array" ref="R15">_xlfn.IFS($O15="Attacker",6,$O15="Healer",3,$O15="Magician",4,$O15="Defender",3,$O15="Supporter",4)</f>
        <v>3</v>
      </c>
      <c r="S15" s="17">
        <v>1</v>
      </c>
      <c r="T15" s="17">
        <v>0</v>
      </c>
      <c r="U15" s="17">
        <v>0</v>
      </c>
      <c r="V15" s="17" t="s">
        <v>41</v>
      </c>
      <c r="W15" s="17">
        <f t="array" ref="W15">_xlfn.IFS(O15="Attacker",80,O15="Healer",90,O15="Magician",100,O15="Defender",110,O15="Supporter",120)</f>
        <v>110</v>
      </c>
      <c r="X15" s="17" t="s">
        <v>42</v>
      </c>
      <c r="Y15" s="17">
        <v>300</v>
      </c>
      <c r="Z15" s="17" t="s">
        <v>43</v>
      </c>
      <c r="AA15" s="17">
        <v>200</v>
      </c>
      <c r="AB15" s="17" t="s">
        <v>44</v>
      </c>
      <c r="AC15" s="17">
        <v>20</v>
      </c>
      <c r="AD15" s="17" t="s">
        <v>45</v>
      </c>
      <c r="AE15" s="17">
        <v>0</v>
      </c>
      <c r="AF15" s="17" t="s">
        <v>46</v>
      </c>
      <c r="AG15" s="17">
        <v>100</v>
      </c>
      <c r="AH15" s="17" t="s">
        <v>47</v>
      </c>
      <c r="AI15" s="17">
        <v>100</v>
      </c>
      <c r="AJ15" s="17" t="s">
        <v>48</v>
      </c>
      <c r="AK15" s="17">
        <v>5000</v>
      </c>
      <c r="AL15" s="17" t="s">
        <v>49</v>
      </c>
      <c r="AM15" s="17">
        <v>150000</v>
      </c>
      <c r="AN15" s="17">
        <v>1831041</v>
      </c>
      <c r="AO15" s="17" t="b">
        <v>1</v>
      </c>
      <c r="AP15" s="17">
        <v>2831041</v>
      </c>
      <c r="AQ15" s="17" t="b">
        <v>1</v>
      </c>
      <c r="AR15" s="17">
        <v>0</v>
      </c>
      <c r="AS15" s="17" t="b">
        <v>0</v>
      </c>
      <c r="AT15" s="17">
        <v>0</v>
      </c>
      <c r="AU15" s="17" t="b">
        <v>0</v>
      </c>
    </row>
    <row r="16" spans="1:48" x14ac:dyDescent="0.3">
      <c r="A16" s="17">
        <v>20730402</v>
      </c>
      <c r="B16" s="17" t="s">
        <v>247</v>
      </c>
      <c r="C16" s="17">
        <v>207304</v>
      </c>
      <c r="D16" s="17">
        <v>0</v>
      </c>
      <c r="E16" s="17" t="s">
        <v>254</v>
      </c>
      <c r="G16" s="17" t="s">
        <v>29</v>
      </c>
      <c r="H16" s="17" t="s">
        <v>29</v>
      </c>
      <c r="I16" s="17">
        <v>2</v>
      </c>
      <c r="J16" s="24" t="s">
        <v>237</v>
      </c>
      <c r="K16" s="17" t="b">
        <v>1</v>
      </c>
      <c r="L16" s="24" t="s">
        <v>38</v>
      </c>
      <c r="M16" s="17">
        <v>2</v>
      </c>
      <c r="N16" s="17" t="s">
        <v>83</v>
      </c>
      <c r="O16" s="17" t="s">
        <v>62</v>
      </c>
      <c r="P16" s="17">
        <v>200</v>
      </c>
      <c r="Q16" s="17">
        <f t="array" ref="Q16">_xlfn.IFS($O16="Attacker",6,$O16="Healer",3,$O16="Magician",4,$O16="Defender",3,$O16="Supporter",4)</f>
        <v>3</v>
      </c>
      <c r="R16" s="17">
        <f t="array" ref="R16">_xlfn.IFS($O16="Attacker",6,$O16="Healer",3,$O16="Magician",4,$O16="Defender",3,$O16="Supporter",4)</f>
        <v>3</v>
      </c>
      <c r="S16" s="17">
        <v>1</v>
      </c>
      <c r="T16" s="17">
        <v>0</v>
      </c>
      <c r="U16" s="17">
        <v>0</v>
      </c>
      <c r="V16" s="17" t="s">
        <v>41</v>
      </c>
      <c r="W16" s="17">
        <f t="array" ref="W16">_xlfn.IFS(O16="Attacker",80,O16="Healer",90,O16="Magician",100,O16="Defender",110,O16="Supporter",120)</f>
        <v>110</v>
      </c>
      <c r="X16" s="17" t="s">
        <v>42</v>
      </c>
      <c r="Y16" s="17">
        <v>300</v>
      </c>
      <c r="Z16" s="17" t="s">
        <v>43</v>
      </c>
      <c r="AA16" s="17">
        <v>200</v>
      </c>
      <c r="AB16" s="17" t="s">
        <v>44</v>
      </c>
      <c r="AC16" s="17">
        <v>20</v>
      </c>
      <c r="AD16" s="17" t="s">
        <v>45</v>
      </c>
      <c r="AE16" s="17">
        <v>0</v>
      </c>
      <c r="AF16" s="17" t="s">
        <v>46</v>
      </c>
      <c r="AG16" s="17">
        <v>100</v>
      </c>
      <c r="AH16" s="17" t="s">
        <v>47</v>
      </c>
      <c r="AI16" s="17">
        <v>100</v>
      </c>
      <c r="AJ16" s="17" t="s">
        <v>48</v>
      </c>
      <c r="AK16" s="17">
        <v>5000</v>
      </c>
      <c r="AL16" s="17" t="s">
        <v>49</v>
      </c>
      <c r="AM16" s="17">
        <v>150000</v>
      </c>
      <c r="AN16" s="17">
        <v>1841041</v>
      </c>
      <c r="AO16" s="17" t="b">
        <v>1</v>
      </c>
      <c r="AP16" s="17">
        <v>2841041</v>
      </c>
      <c r="AQ16" s="17" t="b">
        <v>1</v>
      </c>
      <c r="AR16" s="17">
        <v>0</v>
      </c>
      <c r="AS16" s="17" t="b">
        <v>0</v>
      </c>
      <c r="AT16" s="17">
        <v>0</v>
      </c>
      <c r="AU16" s="17" t="b">
        <v>0</v>
      </c>
      <c r="AV16" s="1"/>
    </row>
    <row r="17" spans="1:48" x14ac:dyDescent="0.3">
      <c r="A17" s="29">
        <v>20730502</v>
      </c>
      <c r="B17" s="29" t="s">
        <v>249</v>
      </c>
      <c r="C17" s="29">
        <v>207305</v>
      </c>
      <c r="D17" s="29">
        <v>0</v>
      </c>
      <c r="E17" s="29" t="s">
        <v>255</v>
      </c>
      <c r="F17" s="29"/>
      <c r="G17" s="29" t="s">
        <v>29</v>
      </c>
      <c r="H17" s="29" t="s">
        <v>29</v>
      </c>
      <c r="I17" s="29">
        <v>2</v>
      </c>
      <c r="J17" s="27" t="s">
        <v>237</v>
      </c>
      <c r="K17" s="17" t="b">
        <v>1</v>
      </c>
      <c r="L17" s="27" t="s">
        <v>38</v>
      </c>
      <c r="M17" s="29">
        <v>2</v>
      </c>
      <c r="N17" s="29" t="s">
        <v>39</v>
      </c>
      <c r="O17" s="29" t="s">
        <v>62</v>
      </c>
      <c r="P17" s="29">
        <v>200</v>
      </c>
      <c r="Q17" s="29">
        <f t="array" ref="Q17">_xlfn.IFS($O17="Attacker",6,$O17="Healer",3,$O17="Magician",4,$O17="Defender",3,$O17="Supporter",4)</f>
        <v>3</v>
      </c>
      <c r="R17" s="29">
        <f t="array" ref="R17">_xlfn.IFS($O17="Attacker",6,$O17="Healer",3,$O17="Magician",4,$O17="Defender",3,$O17="Supporter",4)</f>
        <v>3</v>
      </c>
      <c r="S17" s="29">
        <v>1</v>
      </c>
      <c r="T17" s="29">
        <v>0</v>
      </c>
      <c r="U17" s="29">
        <v>0</v>
      </c>
      <c r="V17" s="29" t="s">
        <v>41</v>
      </c>
      <c r="W17" s="29">
        <f t="array" ref="W17">_xlfn.IFS(O17="Attacker",80,O17="Healer",90,O17="Magician",100,O17="Defender",110,O17="Supporter",120)</f>
        <v>110</v>
      </c>
      <c r="X17" s="29" t="s">
        <v>42</v>
      </c>
      <c r="Y17" s="29">
        <v>300</v>
      </c>
      <c r="Z17" s="29" t="s">
        <v>43</v>
      </c>
      <c r="AA17" s="29">
        <v>200</v>
      </c>
      <c r="AB17" s="29" t="s">
        <v>44</v>
      </c>
      <c r="AC17" s="29">
        <v>20</v>
      </c>
      <c r="AD17" s="29" t="s">
        <v>45</v>
      </c>
      <c r="AE17" s="17">
        <v>0</v>
      </c>
      <c r="AF17" s="29" t="s">
        <v>46</v>
      </c>
      <c r="AG17" s="29">
        <v>100</v>
      </c>
      <c r="AH17" s="29" t="s">
        <v>47</v>
      </c>
      <c r="AI17" s="29">
        <v>100</v>
      </c>
      <c r="AJ17" s="29" t="s">
        <v>48</v>
      </c>
      <c r="AK17" s="29">
        <v>5000</v>
      </c>
      <c r="AL17" s="29" t="s">
        <v>49</v>
      </c>
      <c r="AM17" s="29">
        <v>150000</v>
      </c>
      <c r="AN17" s="29">
        <v>1851041</v>
      </c>
      <c r="AO17" s="29" t="b">
        <v>1</v>
      </c>
      <c r="AP17" s="29">
        <v>2851041</v>
      </c>
      <c r="AQ17" s="29" t="b">
        <v>1</v>
      </c>
      <c r="AR17" s="29">
        <v>0</v>
      </c>
      <c r="AS17" s="29" t="b">
        <v>0</v>
      </c>
      <c r="AT17" s="29">
        <v>0</v>
      </c>
      <c r="AU17" s="29" t="b">
        <v>0</v>
      </c>
    </row>
    <row r="18" spans="1:48" s="11" customFormat="1" x14ac:dyDescent="0.3">
      <c r="A18" s="17">
        <v>20730103</v>
      </c>
      <c r="B18" s="17" t="s">
        <v>241</v>
      </c>
      <c r="C18" s="17">
        <v>207301</v>
      </c>
      <c r="D18" s="17">
        <v>0</v>
      </c>
      <c r="E18" s="17" t="s">
        <v>256</v>
      </c>
      <c r="F18" s="17"/>
      <c r="G18" s="17" t="s">
        <v>29</v>
      </c>
      <c r="H18" s="17" t="s">
        <v>29</v>
      </c>
      <c r="I18" s="17">
        <v>3</v>
      </c>
      <c r="J18" s="24" t="s">
        <v>237</v>
      </c>
      <c r="K18" s="17" t="b">
        <v>1</v>
      </c>
      <c r="L18" s="24" t="s">
        <v>38</v>
      </c>
      <c r="M18" s="17">
        <v>2</v>
      </c>
      <c r="N18" s="17" t="s">
        <v>61</v>
      </c>
      <c r="O18" s="17" t="s">
        <v>62</v>
      </c>
      <c r="P18" s="17">
        <v>200</v>
      </c>
      <c r="Q18" s="17">
        <f t="array" ref="Q18">_xlfn.IFS($O18="Attacker",6,$O18="Healer",3,$O18="Magician",4,$O18="Defender",3,$O18="Supporter",4)</f>
        <v>3</v>
      </c>
      <c r="R18" s="17">
        <f t="array" ref="R18">_xlfn.IFS($O18="Attacker",6,$O18="Healer",3,$O18="Magician",4,$O18="Defender",3,$O18="Supporter",4)</f>
        <v>3</v>
      </c>
      <c r="S18" s="17">
        <v>1</v>
      </c>
      <c r="T18" s="17">
        <v>0</v>
      </c>
      <c r="U18" s="17">
        <v>0</v>
      </c>
      <c r="V18" s="17" t="s">
        <v>41</v>
      </c>
      <c r="W18" s="17">
        <f t="array" ref="W18">_xlfn.IFS(O18="Attacker",80,O18="Healer",90,O18="Magician",100,O18="Defender",110,O18="Supporter",120)</f>
        <v>110</v>
      </c>
      <c r="X18" s="17" t="s">
        <v>42</v>
      </c>
      <c r="Y18" s="17">
        <v>36000</v>
      </c>
      <c r="Z18" s="17" t="s">
        <v>43</v>
      </c>
      <c r="AA18" s="17">
        <v>450</v>
      </c>
      <c r="AB18" s="17" t="s">
        <v>44</v>
      </c>
      <c r="AC18" s="17">
        <v>0</v>
      </c>
      <c r="AD18" s="17" t="s">
        <v>45</v>
      </c>
      <c r="AE18" s="17">
        <v>0</v>
      </c>
      <c r="AF18" s="17" t="s">
        <v>46</v>
      </c>
      <c r="AG18" s="17">
        <v>100</v>
      </c>
      <c r="AH18" s="17" t="s">
        <v>47</v>
      </c>
      <c r="AI18" s="17">
        <v>80</v>
      </c>
      <c r="AJ18" s="17" t="s">
        <v>48</v>
      </c>
      <c r="AK18" s="17">
        <v>0</v>
      </c>
      <c r="AL18" s="17" t="s">
        <v>49</v>
      </c>
      <c r="AM18" s="17">
        <v>150000</v>
      </c>
      <c r="AN18" s="17">
        <v>1811041</v>
      </c>
      <c r="AO18" s="17" t="b">
        <v>1</v>
      </c>
      <c r="AP18" s="17">
        <v>2811041</v>
      </c>
      <c r="AQ18" s="17" t="b">
        <v>1</v>
      </c>
      <c r="AR18" s="17">
        <v>0</v>
      </c>
      <c r="AS18" s="17" t="b">
        <v>0</v>
      </c>
      <c r="AT18" s="17">
        <v>0</v>
      </c>
      <c r="AU18" s="17" t="b">
        <v>0</v>
      </c>
    </row>
    <row r="19" spans="1:48" x14ac:dyDescent="0.3">
      <c r="A19" s="17">
        <v>20730203</v>
      </c>
      <c r="B19" s="17" t="s">
        <v>243</v>
      </c>
      <c r="C19" s="17">
        <v>207302</v>
      </c>
      <c r="D19" s="17">
        <v>0</v>
      </c>
      <c r="E19" s="17" t="s">
        <v>257</v>
      </c>
      <c r="G19" s="17" t="s">
        <v>29</v>
      </c>
      <c r="H19" s="17" t="s">
        <v>29</v>
      </c>
      <c r="I19" s="17">
        <v>3</v>
      </c>
      <c r="J19" s="24" t="s">
        <v>237</v>
      </c>
      <c r="K19" s="17" t="b">
        <v>1</v>
      </c>
      <c r="L19" s="24" t="s">
        <v>38</v>
      </c>
      <c r="M19" s="17">
        <v>2</v>
      </c>
      <c r="N19" s="17" t="s">
        <v>91</v>
      </c>
      <c r="O19" s="17" t="s">
        <v>62</v>
      </c>
      <c r="P19" s="17">
        <v>200</v>
      </c>
      <c r="Q19" s="17">
        <f t="array" ref="Q19">_xlfn.IFS($O19="Attacker",6,$O19="Healer",3,$O19="Magician",4,$O19="Defender",3,$O19="Supporter",4)</f>
        <v>3</v>
      </c>
      <c r="R19" s="17">
        <f t="array" ref="R19">_xlfn.IFS($O19="Attacker",6,$O19="Healer",3,$O19="Magician",4,$O19="Defender",3,$O19="Supporter",4)</f>
        <v>3</v>
      </c>
      <c r="S19" s="17">
        <v>1</v>
      </c>
      <c r="T19" s="17">
        <v>0</v>
      </c>
      <c r="U19" s="17">
        <v>0</v>
      </c>
      <c r="V19" s="17" t="s">
        <v>41</v>
      </c>
      <c r="W19" s="17">
        <f t="array" ref="W19">_xlfn.IFS(O19="Attacker",80,O19="Healer",90,O19="Magician",100,O19="Defender",110,O19="Supporter",120)</f>
        <v>110</v>
      </c>
      <c r="X19" s="17" t="s">
        <v>42</v>
      </c>
      <c r="Y19" s="17">
        <v>36000</v>
      </c>
      <c r="Z19" s="17" t="s">
        <v>43</v>
      </c>
      <c r="AA19" s="17">
        <v>450</v>
      </c>
      <c r="AB19" s="17" t="s">
        <v>44</v>
      </c>
      <c r="AC19" s="17">
        <v>0</v>
      </c>
      <c r="AD19" s="17" t="s">
        <v>45</v>
      </c>
      <c r="AE19" s="17">
        <v>0</v>
      </c>
      <c r="AF19" s="17" t="s">
        <v>46</v>
      </c>
      <c r="AG19" s="17">
        <v>120</v>
      </c>
      <c r="AH19" s="17" t="s">
        <v>47</v>
      </c>
      <c r="AI19" s="17">
        <v>80</v>
      </c>
      <c r="AJ19" s="17" t="s">
        <v>48</v>
      </c>
      <c r="AK19" s="17">
        <v>0</v>
      </c>
      <c r="AL19" s="17" t="s">
        <v>49</v>
      </c>
      <c r="AM19" s="17">
        <v>150000</v>
      </c>
      <c r="AN19" s="17">
        <v>1821041</v>
      </c>
      <c r="AO19" s="17" t="b">
        <v>1</v>
      </c>
      <c r="AP19" s="17">
        <v>2821041</v>
      </c>
      <c r="AQ19" s="17" t="b">
        <v>1</v>
      </c>
      <c r="AR19" s="17">
        <v>0</v>
      </c>
      <c r="AS19" s="17" t="b">
        <v>0</v>
      </c>
      <c r="AT19" s="17">
        <v>0</v>
      </c>
      <c r="AU19" s="17" t="b">
        <v>0</v>
      </c>
    </row>
    <row r="20" spans="1:48" x14ac:dyDescent="0.3">
      <c r="A20" s="17">
        <v>20730303</v>
      </c>
      <c r="B20" s="17" t="s">
        <v>245</v>
      </c>
      <c r="C20" s="17">
        <v>207303</v>
      </c>
      <c r="D20" s="17">
        <v>0</v>
      </c>
      <c r="E20" s="17" t="s">
        <v>258</v>
      </c>
      <c r="G20" s="17" t="s">
        <v>29</v>
      </c>
      <c r="H20" s="17" t="s">
        <v>29</v>
      </c>
      <c r="I20" s="17">
        <v>3</v>
      </c>
      <c r="J20" s="24" t="s">
        <v>237</v>
      </c>
      <c r="K20" s="17" t="b">
        <v>1</v>
      </c>
      <c r="L20" s="24" t="s">
        <v>38</v>
      </c>
      <c r="M20" s="17">
        <v>2</v>
      </c>
      <c r="N20" s="17" t="s">
        <v>72</v>
      </c>
      <c r="O20" s="17" t="s">
        <v>62</v>
      </c>
      <c r="P20" s="17">
        <v>200</v>
      </c>
      <c r="Q20" s="17">
        <f t="array" ref="Q20">_xlfn.IFS($O20="Attacker",6,$O20="Healer",3,$O20="Magician",4,$O20="Defender",3,$O20="Supporter",4)</f>
        <v>3</v>
      </c>
      <c r="R20" s="17">
        <f t="array" ref="R20">_xlfn.IFS($O20="Attacker",6,$O20="Healer",3,$O20="Magician",4,$O20="Defender",3,$O20="Supporter",4)</f>
        <v>3</v>
      </c>
      <c r="S20" s="17">
        <v>1</v>
      </c>
      <c r="T20" s="17">
        <v>0</v>
      </c>
      <c r="U20" s="17">
        <v>0</v>
      </c>
      <c r="V20" s="17" t="s">
        <v>41</v>
      </c>
      <c r="W20" s="17">
        <f t="array" ref="W20">_xlfn.IFS(O20="Attacker",80,O20="Healer",90,O20="Magician",100,O20="Defender",110,O20="Supporter",120)</f>
        <v>110</v>
      </c>
      <c r="X20" s="17" t="s">
        <v>42</v>
      </c>
      <c r="Y20" s="17">
        <v>39600</v>
      </c>
      <c r="Z20" s="17" t="s">
        <v>43</v>
      </c>
      <c r="AA20" s="17">
        <v>450</v>
      </c>
      <c r="AB20" s="17" t="s">
        <v>44</v>
      </c>
      <c r="AC20" s="17">
        <v>0</v>
      </c>
      <c r="AD20" s="17" t="s">
        <v>45</v>
      </c>
      <c r="AE20" s="17">
        <v>0</v>
      </c>
      <c r="AF20" s="17" t="s">
        <v>46</v>
      </c>
      <c r="AG20" s="17">
        <v>100</v>
      </c>
      <c r="AH20" s="17" t="s">
        <v>47</v>
      </c>
      <c r="AI20" s="17">
        <v>80</v>
      </c>
      <c r="AJ20" s="17" t="s">
        <v>48</v>
      </c>
      <c r="AK20" s="17">
        <v>0</v>
      </c>
      <c r="AL20" s="17" t="s">
        <v>49</v>
      </c>
      <c r="AM20" s="17">
        <v>150000</v>
      </c>
      <c r="AN20" s="17">
        <v>1831041</v>
      </c>
      <c r="AO20" s="17" t="b">
        <v>1</v>
      </c>
      <c r="AP20" s="17">
        <v>2831041</v>
      </c>
      <c r="AQ20" s="17" t="b">
        <v>1</v>
      </c>
      <c r="AR20" s="17">
        <v>0</v>
      </c>
      <c r="AS20" s="17" t="b">
        <v>0</v>
      </c>
      <c r="AT20" s="17">
        <v>0</v>
      </c>
      <c r="AU20" s="17" t="b">
        <v>0</v>
      </c>
    </row>
    <row r="21" spans="1:48" x14ac:dyDescent="0.3">
      <c r="A21" s="17">
        <v>20730403</v>
      </c>
      <c r="B21" s="17" t="s">
        <v>247</v>
      </c>
      <c r="C21" s="17">
        <v>207304</v>
      </c>
      <c r="D21" s="17">
        <v>0</v>
      </c>
      <c r="E21" s="17" t="s">
        <v>259</v>
      </c>
      <c r="G21" s="17" t="s">
        <v>29</v>
      </c>
      <c r="H21" s="17" t="s">
        <v>29</v>
      </c>
      <c r="I21" s="17">
        <v>3</v>
      </c>
      <c r="J21" s="24" t="s">
        <v>237</v>
      </c>
      <c r="K21" s="17" t="b">
        <v>1</v>
      </c>
      <c r="L21" s="24" t="s">
        <v>38</v>
      </c>
      <c r="M21" s="17">
        <v>2</v>
      </c>
      <c r="N21" s="17" t="s">
        <v>83</v>
      </c>
      <c r="O21" s="17" t="s">
        <v>62</v>
      </c>
      <c r="P21" s="17">
        <v>200</v>
      </c>
      <c r="Q21" s="17">
        <f t="array" ref="Q21">_xlfn.IFS($O21="Attacker",6,$O21="Healer",3,$O21="Magician",4,$O21="Defender",3,$O21="Supporter",4)</f>
        <v>3</v>
      </c>
      <c r="R21" s="17">
        <f t="array" ref="R21">_xlfn.IFS($O21="Attacker",6,$O21="Healer",3,$O21="Magician",4,$O21="Defender",3,$O21="Supporter",4)</f>
        <v>3</v>
      </c>
      <c r="S21" s="17">
        <v>1</v>
      </c>
      <c r="T21" s="17">
        <v>0</v>
      </c>
      <c r="U21" s="17">
        <v>0</v>
      </c>
      <c r="V21" s="17" t="s">
        <v>41</v>
      </c>
      <c r="W21" s="17">
        <f t="array" ref="W21">_xlfn.IFS(O21="Attacker",80,O21="Healer",90,O21="Magician",100,O21="Defender",110,O21="Supporter",120)</f>
        <v>110</v>
      </c>
      <c r="X21" s="17" t="s">
        <v>42</v>
      </c>
      <c r="Y21" s="17">
        <v>36000</v>
      </c>
      <c r="Z21" s="17" t="s">
        <v>43</v>
      </c>
      <c r="AA21" s="17">
        <v>450</v>
      </c>
      <c r="AB21" s="17" t="s">
        <v>44</v>
      </c>
      <c r="AC21" s="17">
        <v>0</v>
      </c>
      <c r="AD21" s="17" t="s">
        <v>45</v>
      </c>
      <c r="AE21" s="17">
        <v>0</v>
      </c>
      <c r="AF21" s="17" t="s">
        <v>46</v>
      </c>
      <c r="AG21" s="17">
        <v>100</v>
      </c>
      <c r="AH21" s="17" t="s">
        <v>47</v>
      </c>
      <c r="AI21" s="17">
        <v>104</v>
      </c>
      <c r="AJ21" s="17" t="s">
        <v>48</v>
      </c>
      <c r="AK21" s="17">
        <v>0</v>
      </c>
      <c r="AL21" s="17" t="s">
        <v>49</v>
      </c>
      <c r="AM21" s="17">
        <v>150000</v>
      </c>
      <c r="AN21" s="17">
        <v>1841041</v>
      </c>
      <c r="AO21" s="17" t="b">
        <v>1</v>
      </c>
      <c r="AP21" s="17">
        <v>2841041</v>
      </c>
      <c r="AQ21" s="17" t="b">
        <v>1</v>
      </c>
      <c r="AR21" s="17">
        <v>0</v>
      </c>
      <c r="AS21" s="17" t="b">
        <v>0</v>
      </c>
      <c r="AT21" s="17">
        <v>0</v>
      </c>
      <c r="AU21" s="17" t="b">
        <v>0</v>
      </c>
      <c r="AV21" s="1"/>
    </row>
    <row r="22" spans="1:48" x14ac:dyDescent="0.3">
      <c r="A22" s="29">
        <v>20730503</v>
      </c>
      <c r="B22" s="29" t="s">
        <v>249</v>
      </c>
      <c r="C22" s="29">
        <v>207305</v>
      </c>
      <c r="D22" s="29">
        <v>0</v>
      </c>
      <c r="E22" s="29" t="s">
        <v>260</v>
      </c>
      <c r="F22" s="29"/>
      <c r="G22" s="29" t="s">
        <v>29</v>
      </c>
      <c r="H22" s="29" t="s">
        <v>29</v>
      </c>
      <c r="I22" s="29">
        <v>3</v>
      </c>
      <c r="J22" s="27" t="s">
        <v>237</v>
      </c>
      <c r="K22" s="17" t="b">
        <v>1</v>
      </c>
      <c r="L22" s="27" t="s">
        <v>38</v>
      </c>
      <c r="M22" s="29">
        <v>2</v>
      </c>
      <c r="N22" s="29" t="s">
        <v>39</v>
      </c>
      <c r="O22" s="29" t="s">
        <v>62</v>
      </c>
      <c r="P22" s="29">
        <v>200</v>
      </c>
      <c r="Q22" s="29">
        <f t="array" ref="Q22">_xlfn.IFS($O22="Attacker",6,$O22="Healer",3,$O22="Magician",4,$O22="Defender",3,$O22="Supporter",4)</f>
        <v>3</v>
      </c>
      <c r="R22" s="29">
        <f t="array" ref="R22">_xlfn.IFS($O22="Attacker",6,$O22="Healer",3,$O22="Magician",4,$O22="Defender",3,$O22="Supporter",4)</f>
        <v>3</v>
      </c>
      <c r="S22" s="29">
        <v>1</v>
      </c>
      <c r="T22" s="29">
        <v>0</v>
      </c>
      <c r="U22" s="29">
        <v>0</v>
      </c>
      <c r="V22" s="29" t="s">
        <v>41</v>
      </c>
      <c r="W22" s="29">
        <f t="array" ref="W22">_xlfn.IFS(O22="Attacker",80,O22="Healer",90,O22="Magician",100,O22="Defender",110,O22="Supporter",120)</f>
        <v>110</v>
      </c>
      <c r="X22" s="29" t="s">
        <v>42</v>
      </c>
      <c r="Y22" s="17">
        <v>36000</v>
      </c>
      <c r="Z22" s="29" t="s">
        <v>43</v>
      </c>
      <c r="AA22" s="17">
        <v>450</v>
      </c>
      <c r="AB22" s="29" t="s">
        <v>44</v>
      </c>
      <c r="AC22" s="17">
        <v>0</v>
      </c>
      <c r="AD22" s="29" t="s">
        <v>45</v>
      </c>
      <c r="AE22" s="17">
        <v>0</v>
      </c>
      <c r="AF22" s="29" t="s">
        <v>46</v>
      </c>
      <c r="AG22" s="29">
        <v>100</v>
      </c>
      <c r="AH22" s="29" t="s">
        <v>47</v>
      </c>
      <c r="AI22" s="29">
        <v>80</v>
      </c>
      <c r="AJ22" s="29" t="s">
        <v>48</v>
      </c>
      <c r="AK22" s="29">
        <v>0</v>
      </c>
      <c r="AL22" s="29" t="s">
        <v>49</v>
      </c>
      <c r="AM22" s="29">
        <v>150000</v>
      </c>
      <c r="AN22" s="29">
        <v>1851041</v>
      </c>
      <c r="AO22" s="29" t="b">
        <v>1</v>
      </c>
      <c r="AP22" s="29">
        <v>2851041</v>
      </c>
      <c r="AQ22" s="29" t="b">
        <v>1</v>
      </c>
      <c r="AR22" s="29">
        <v>0</v>
      </c>
      <c r="AS22" s="29" t="b">
        <v>0</v>
      </c>
      <c r="AT22" s="29">
        <v>0</v>
      </c>
      <c r="AU22" s="29" t="b">
        <v>0</v>
      </c>
    </row>
    <row r="23" spans="1:48" s="11" customFormat="1" x14ac:dyDescent="0.3">
      <c r="A23" s="17">
        <v>20730104</v>
      </c>
      <c r="B23" s="17" t="s">
        <v>241</v>
      </c>
      <c r="C23" s="17">
        <v>207301</v>
      </c>
      <c r="D23" s="17">
        <v>0</v>
      </c>
      <c r="E23" s="17" t="s">
        <v>261</v>
      </c>
      <c r="F23" s="17"/>
      <c r="G23" s="17" t="s">
        <v>29</v>
      </c>
      <c r="H23" s="17" t="s">
        <v>29</v>
      </c>
      <c r="I23" s="17">
        <v>4</v>
      </c>
      <c r="J23" s="24" t="s">
        <v>237</v>
      </c>
      <c r="K23" s="17" t="b">
        <v>1</v>
      </c>
      <c r="L23" s="24" t="s">
        <v>38</v>
      </c>
      <c r="M23" s="17">
        <v>2</v>
      </c>
      <c r="N23" s="17" t="s">
        <v>61</v>
      </c>
      <c r="O23" s="17" t="s">
        <v>62</v>
      </c>
      <c r="P23" s="17">
        <v>200</v>
      </c>
      <c r="Q23" s="17">
        <f t="array" ref="Q23">_xlfn.IFS($O23="Attacker",6,$O23="Healer",3,$O23="Magician",4,$O23="Defender",3,$O23="Supporter",4)</f>
        <v>3</v>
      </c>
      <c r="R23" s="17">
        <f t="array" ref="R23">_xlfn.IFS($O23="Attacker",6,$O23="Healer",3,$O23="Magician",4,$O23="Defender",3,$O23="Supporter",4)</f>
        <v>3</v>
      </c>
      <c r="S23" s="17">
        <v>1</v>
      </c>
      <c r="T23" s="17">
        <v>0</v>
      </c>
      <c r="U23" s="17">
        <v>0</v>
      </c>
      <c r="V23" s="17" t="s">
        <v>41</v>
      </c>
      <c r="W23" s="17">
        <f t="array" ref="W23">_xlfn.IFS(O23="Attacker",80,O23="Healer",90,O23="Magician",100,O23="Defender",110,O23="Supporter",120)</f>
        <v>110</v>
      </c>
      <c r="X23" s="17" t="s">
        <v>42</v>
      </c>
      <c r="Y23" s="17">
        <v>90000</v>
      </c>
      <c r="Z23" s="17" t="s">
        <v>43</v>
      </c>
      <c r="AA23" s="17">
        <v>675</v>
      </c>
      <c r="AB23" s="17" t="s">
        <v>44</v>
      </c>
      <c r="AC23" s="17">
        <v>0</v>
      </c>
      <c r="AD23" s="17" t="s">
        <v>45</v>
      </c>
      <c r="AE23" s="17">
        <v>0</v>
      </c>
      <c r="AF23" s="17" t="s">
        <v>46</v>
      </c>
      <c r="AG23" s="17">
        <v>100</v>
      </c>
      <c r="AH23" s="17" t="s">
        <v>47</v>
      </c>
      <c r="AI23" s="17">
        <v>80</v>
      </c>
      <c r="AJ23" s="17" t="s">
        <v>48</v>
      </c>
      <c r="AK23" s="17">
        <v>0</v>
      </c>
      <c r="AL23" s="17" t="s">
        <v>49</v>
      </c>
      <c r="AM23" s="17">
        <v>150000</v>
      </c>
      <c r="AN23" s="17">
        <v>1811041</v>
      </c>
      <c r="AO23" s="17" t="b">
        <v>1</v>
      </c>
      <c r="AP23" s="17">
        <v>2811041</v>
      </c>
      <c r="AQ23" s="17" t="b">
        <v>1</v>
      </c>
      <c r="AR23" s="17">
        <v>0</v>
      </c>
      <c r="AS23" s="17" t="b">
        <v>0</v>
      </c>
      <c r="AT23" s="17">
        <v>0</v>
      </c>
      <c r="AU23" s="17" t="b">
        <v>0</v>
      </c>
    </row>
    <row r="24" spans="1:48" x14ac:dyDescent="0.3">
      <c r="A24" s="17">
        <v>20730204</v>
      </c>
      <c r="B24" s="17" t="s">
        <v>243</v>
      </c>
      <c r="C24" s="17">
        <v>207302</v>
      </c>
      <c r="D24" s="17">
        <v>0</v>
      </c>
      <c r="E24" s="17" t="s">
        <v>262</v>
      </c>
      <c r="G24" s="17" t="s">
        <v>29</v>
      </c>
      <c r="H24" s="17" t="s">
        <v>29</v>
      </c>
      <c r="I24" s="17">
        <v>4</v>
      </c>
      <c r="J24" s="24" t="s">
        <v>237</v>
      </c>
      <c r="K24" s="17" t="b">
        <v>1</v>
      </c>
      <c r="L24" s="24" t="s">
        <v>38</v>
      </c>
      <c r="M24" s="17">
        <v>2</v>
      </c>
      <c r="N24" s="17" t="s">
        <v>91</v>
      </c>
      <c r="O24" s="17" t="s">
        <v>62</v>
      </c>
      <c r="P24" s="17">
        <v>200</v>
      </c>
      <c r="Q24" s="17">
        <f t="array" ref="Q24">_xlfn.IFS($O24="Attacker",6,$O24="Healer",3,$O24="Magician",4,$O24="Defender",3,$O24="Supporter",4)</f>
        <v>3</v>
      </c>
      <c r="R24" s="17">
        <f t="array" ref="R24">_xlfn.IFS($O24="Attacker",6,$O24="Healer",3,$O24="Magician",4,$O24="Defender",3,$O24="Supporter",4)</f>
        <v>3</v>
      </c>
      <c r="S24" s="17">
        <v>1</v>
      </c>
      <c r="T24" s="17">
        <v>0</v>
      </c>
      <c r="U24" s="17">
        <v>0</v>
      </c>
      <c r="V24" s="17" t="s">
        <v>41</v>
      </c>
      <c r="W24" s="17">
        <f t="array" ref="W24">_xlfn.IFS(O24="Attacker",80,O24="Healer",90,O24="Magician",100,O24="Defender",110,O24="Supporter",120)</f>
        <v>110</v>
      </c>
      <c r="X24" s="17" t="s">
        <v>42</v>
      </c>
      <c r="Y24" s="17">
        <v>90000</v>
      </c>
      <c r="Z24" s="17" t="s">
        <v>43</v>
      </c>
      <c r="AA24" s="17">
        <v>675</v>
      </c>
      <c r="AB24" s="17" t="s">
        <v>44</v>
      </c>
      <c r="AC24" s="17">
        <v>0</v>
      </c>
      <c r="AD24" s="17" t="s">
        <v>45</v>
      </c>
      <c r="AE24" s="17">
        <v>0</v>
      </c>
      <c r="AF24" s="17" t="s">
        <v>46</v>
      </c>
      <c r="AG24" s="17">
        <v>120</v>
      </c>
      <c r="AH24" s="17" t="s">
        <v>47</v>
      </c>
      <c r="AI24" s="17">
        <v>80</v>
      </c>
      <c r="AJ24" s="17" t="s">
        <v>48</v>
      </c>
      <c r="AK24" s="17">
        <v>0</v>
      </c>
      <c r="AL24" s="17" t="s">
        <v>49</v>
      </c>
      <c r="AM24" s="17">
        <v>150000</v>
      </c>
      <c r="AN24" s="17">
        <v>1821041</v>
      </c>
      <c r="AO24" s="17" t="b">
        <v>1</v>
      </c>
      <c r="AP24" s="17">
        <v>2821041</v>
      </c>
      <c r="AQ24" s="17" t="b">
        <v>1</v>
      </c>
      <c r="AR24" s="17">
        <v>0</v>
      </c>
      <c r="AS24" s="17" t="b">
        <v>0</v>
      </c>
      <c r="AT24" s="17">
        <v>0</v>
      </c>
      <c r="AU24" s="17" t="b">
        <v>0</v>
      </c>
    </row>
    <row r="25" spans="1:48" x14ac:dyDescent="0.3">
      <c r="A25" s="17">
        <v>20730304</v>
      </c>
      <c r="B25" s="17" t="s">
        <v>245</v>
      </c>
      <c r="C25" s="17">
        <v>207303</v>
      </c>
      <c r="D25" s="17">
        <v>0</v>
      </c>
      <c r="E25" s="17" t="s">
        <v>263</v>
      </c>
      <c r="G25" s="17" t="s">
        <v>29</v>
      </c>
      <c r="H25" s="17" t="s">
        <v>29</v>
      </c>
      <c r="I25" s="17">
        <v>4</v>
      </c>
      <c r="J25" s="24" t="s">
        <v>237</v>
      </c>
      <c r="K25" s="17" t="b">
        <v>1</v>
      </c>
      <c r="L25" s="24" t="s">
        <v>38</v>
      </c>
      <c r="M25" s="17">
        <v>2</v>
      </c>
      <c r="N25" s="17" t="s">
        <v>72</v>
      </c>
      <c r="O25" s="17" t="s">
        <v>62</v>
      </c>
      <c r="P25" s="17">
        <v>200</v>
      </c>
      <c r="Q25" s="17">
        <f t="array" ref="Q25">_xlfn.IFS($O25="Attacker",6,$O25="Healer",3,$O25="Magician",4,$O25="Defender",3,$O25="Supporter",4)</f>
        <v>3</v>
      </c>
      <c r="R25" s="17">
        <f t="array" ref="R25">_xlfn.IFS($O25="Attacker",6,$O25="Healer",3,$O25="Magician",4,$O25="Defender",3,$O25="Supporter",4)</f>
        <v>3</v>
      </c>
      <c r="S25" s="17">
        <v>1</v>
      </c>
      <c r="T25" s="17">
        <v>0</v>
      </c>
      <c r="U25" s="17">
        <v>0</v>
      </c>
      <c r="V25" s="17" t="s">
        <v>41</v>
      </c>
      <c r="W25" s="17">
        <f t="array" ref="W25">_xlfn.IFS(O25="Attacker",80,O25="Healer",90,O25="Magician",100,O25="Defender",110,O25="Supporter",120)</f>
        <v>110</v>
      </c>
      <c r="X25" s="17" t="s">
        <v>42</v>
      </c>
      <c r="Y25" s="17">
        <v>99000</v>
      </c>
      <c r="Z25" s="17" t="s">
        <v>43</v>
      </c>
      <c r="AA25" s="17">
        <v>675</v>
      </c>
      <c r="AB25" s="17" t="s">
        <v>44</v>
      </c>
      <c r="AC25" s="17">
        <v>0</v>
      </c>
      <c r="AD25" s="17" t="s">
        <v>45</v>
      </c>
      <c r="AE25" s="17">
        <v>0</v>
      </c>
      <c r="AF25" s="17" t="s">
        <v>46</v>
      </c>
      <c r="AG25" s="17">
        <v>100</v>
      </c>
      <c r="AH25" s="17" t="s">
        <v>47</v>
      </c>
      <c r="AI25" s="17">
        <v>80</v>
      </c>
      <c r="AJ25" s="17" t="s">
        <v>48</v>
      </c>
      <c r="AK25" s="17">
        <v>0</v>
      </c>
      <c r="AL25" s="17" t="s">
        <v>49</v>
      </c>
      <c r="AM25" s="17">
        <v>150000</v>
      </c>
      <c r="AN25" s="17">
        <v>1831041</v>
      </c>
      <c r="AO25" s="17" t="b">
        <v>1</v>
      </c>
      <c r="AP25" s="17">
        <v>2831041</v>
      </c>
      <c r="AQ25" s="17" t="b">
        <v>1</v>
      </c>
      <c r="AR25" s="17">
        <v>0</v>
      </c>
      <c r="AS25" s="17" t="b">
        <v>0</v>
      </c>
      <c r="AT25" s="17">
        <v>0</v>
      </c>
      <c r="AU25" s="17" t="b">
        <v>0</v>
      </c>
    </row>
    <row r="26" spans="1:48" x14ac:dyDescent="0.3">
      <c r="A26" s="17">
        <v>20730404</v>
      </c>
      <c r="B26" s="17" t="s">
        <v>247</v>
      </c>
      <c r="C26" s="17">
        <v>207304</v>
      </c>
      <c r="D26" s="17">
        <v>0</v>
      </c>
      <c r="E26" s="17" t="s">
        <v>264</v>
      </c>
      <c r="G26" s="17" t="s">
        <v>29</v>
      </c>
      <c r="H26" s="17" t="s">
        <v>29</v>
      </c>
      <c r="I26" s="17">
        <v>4</v>
      </c>
      <c r="J26" s="24" t="s">
        <v>237</v>
      </c>
      <c r="K26" s="17" t="b">
        <v>1</v>
      </c>
      <c r="L26" s="24" t="s">
        <v>38</v>
      </c>
      <c r="M26" s="17">
        <v>2</v>
      </c>
      <c r="N26" s="17" t="s">
        <v>83</v>
      </c>
      <c r="O26" s="17" t="s">
        <v>62</v>
      </c>
      <c r="P26" s="17">
        <v>200</v>
      </c>
      <c r="Q26" s="17">
        <f t="array" ref="Q26">_xlfn.IFS($O26="Attacker",6,$O26="Healer",3,$O26="Magician",4,$O26="Defender",3,$O26="Supporter",4)</f>
        <v>3</v>
      </c>
      <c r="R26" s="17">
        <f t="array" ref="R26">_xlfn.IFS($O26="Attacker",6,$O26="Healer",3,$O26="Magician",4,$O26="Defender",3,$O26="Supporter",4)</f>
        <v>3</v>
      </c>
      <c r="S26" s="17">
        <v>1</v>
      </c>
      <c r="T26" s="17">
        <v>0</v>
      </c>
      <c r="U26" s="17">
        <v>0</v>
      </c>
      <c r="V26" s="17" t="s">
        <v>41</v>
      </c>
      <c r="W26" s="17">
        <f t="array" ref="W26">_xlfn.IFS(O26="Attacker",80,O26="Healer",90,O26="Magician",100,O26="Defender",110,O26="Supporter",120)</f>
        <v>110</v>
      </c>
      <c r="X26" s="17" t="s">
        <v>42</v>
      </c>
      <c r="Y26" s="17">
        <v>90000</v>
      </c>
      <c r="Z26" s="17" t="s">
        <v>43</v>
      </c>
      <c r="AA26" s="17">
        <v>675</v>
      </c>
      <c r="AB26" s="17" t="s">
        <v>44</v>
      </c>
      <c r="AC26" s="17">
        <v>0</v>
      </c>
      <c r="AD26" s="17" t="s">
        <v>45</v>
      </c>
      <c r="AE26" s="17">
        <v>0</v>
      </c>
      <c r="AF26" s="17" t="s">
        <v>46</v>
      </c>
      <c r="AG26" s="17">
        <v>100</v>
      </c>
      <c r="AH26" s="17" t="s">
        <v>47</v>
      </c>
      <c r="AI26" s="17">
        <v>104</v>
      </c>
      <c r="AJ26" s="17" t="s">
        <v>48</v>
      </c>
      <c r="AK26" s="17">
        <v>0</v>
      </c>
      <c r="AL26" s="17" t="s">
        <v>49</v>
      </c>
      <c r="AM26" s="17">
        <v>150000</v>
      </c>
      <c r="AN26" s="17">
        <v>1841041</v>
      </c>
      <c r="AO26" s="17" t="b">
        <v>1</v>
      </c>
      <c r="AP26" s="17">
        <v>2841041</v>
      </c>
      <c r="AQ26" s="17" t="b">
        <v>1</v>
      </c>
      <c r="AR26" s="17">
        <v>0</v>
      </c>
      <c r="AS26" s="17" t="b">
        <v>0</v>
      </c>
      <c r="AT26" s="17">
        <v>0</v>
      </c>
      <c r="AU26" s="17" t="b">
        <v>0</v>
      </c>
      <c r="AV26" s="1"/>
    </row>
    <row r="27" spans="1:48" x14ac:dyDescent="0.3">
      <c r="A27" s="29">
        <v>20730504</v>
      </c>
      <c r="B27" s="29" t="s">
        <v>249</v>
      </c>
      <c r="C27" s="29">
        <v>207305</v>
      </c>
      <c r="D27" s="29">
        <v>0</v>
      </c>
      <c r="E27" s="29" t="s">
        <v>265</v>
      </c>
      <c r="F27" s="29"/>
      <c r="G27" s="29" t="s">
        <v>29</v>
      </c>
      <c r="H27" s="29" t="s">
        <v>29</v>
      </c>
      <c r="I27" s="29">
        <v>4</v>
      </c>
      <c r="J27" s="27" t="s">
        <v>237</v>
      </c>
      <c r="K27" s="17" t="b">
        <v>1</v>
      </c>
      <c r="L27" s="27" t="s">
        <v>38</v>
      </c>
      <c r="M27" s="29">
        <v>2</v>
      </c>
      <c r="N27" s="29" t="s">
        <v>39</v>
      </c>
      <c r="O27" s="29" t="s">
        <v>62</v>
      </c>
      <c r="P27" s="29">
        <v>200</v>
      </c>
      <c r="Q27" s="29">
        <f t="array" ref="Q27">_xlfn.IFS($O27="Attacker",6,$O27="Healer",3,$O27="Magician",4,$O27="Defender",3,$O27="Supporter",4)</f>
        <v>3</v>
      </c>
      <c r="R27" s="29">
        <f t="array" ref="R27">_xlfn.IFS($O27="Attacker",6,$O27="Healer",3,$O27="Magician",4,$O27="Defender",3,$O27="Supporter",4)</f>
        <v>3</v>
      </c>
      <c r="S27" s="29">
        <v>1</v>
      </c>
      <c r="T27" s="29">
        <v>0</v>
      </c>
      <c r="U27" s="29">
        <v>0</v>
      </c>
      <c r="V27" s="29" t="s">
        <v>41</v>
      </c>
      <c r="W27" s="29">
        <f t="array" ref="W27">_xlfn.IFS(O27="Attacker",80,O27="Healer",90,O27="Magician",100,O27="Defender",110,O27="Supporter",120)</f>
        <v>110</v>
      </c>
      <c r="X27" s="29" t="s">
        <v>42</v>
      </c>
      <c r="Y27" s="17">
        <v>90000</v>
      </c>
      <c r="Z27" s="29" t="s">
        <v>43</v>
      </c>
      <c r="AA27" s="17">
        <v>675</v>
      </c>
      <c r="AB27" s="29" t="s">
        <v>44</v>
      </c>
      <c r="AC27" s="17">
        <v>0</v>
      </c>
      <c r="AD27" s="29" t="s">
        <v>45</v>
      </c>
      <c r="AE27" s="17">
        <v>0</v>
      </c>
      <c r="AF27" s="29" t="s">
        <v>46</v>
      </c>
      <c r="AG27" s="29">
        <v>100</v>
      </c>
      <c r="AH27" s="29" t="s">
        <v>47</v>
      </c>
      <c r="AI27" s="29">
        <v>80</v>
      </c>
      <c r="AJ27" s="29" t="s">
        <v>48</v>
      </c>
      <c r="AK27" s="29">
        <v>0</v>
      </c>
      <c r="AL27" s="29" t="s">
        <v>49</v>
      </c>
      <c r="AM27" s="29">
        <v>150000</v>
      </c>
      <c r="AN27" s="29">
        <v>1851041</v>
      </c>
      <c r="AO27" s="29" t="b">
        <v>1</v>
      </c>
      <c r="AP27" s="29">
        <v>2851041</v>
      </c>
      <c r="AQ27" s="29" t="b">
        <v>1</v>
      </c>
      <c r="AR27" s="29">
        <v>0</v>
      </c>
      <c r="AS27" s="29" t="b">
        <v>0</v>
      </c>
      <c r="AT27" s="29">
        <v>0</v>
      </c>
      <c r="AU27" s="29" t="b">
        <v>0</v>
      </c>
    </row>
    <row r="28" spans="1:48" s="11" customFormat="1" x14ac:dyDescent="0.3">
      <c r="A28" s="17">
        <v>20730105</v>
      </c>
      <c r="B28" s="17" t="s">
        <v>241</v>
      </c>
      <c r="C28" s="17">
        <v>207301</v>
      </c>
      <c r="D28" s="17">
        <v>0</v>
      </c>
      <c r="E28" s="17" t="s">
        <v>266</v>
      </c>
      <c r="F28" s="17"/>
      <c r="G28" s="17" t="s">
        <v>29</v>
      </c>
      <c r="H28" s="17" t="s">
        <v>29</v>
      </c>
      <c r="I28" s="17">
        <v>5</v>
      </c>
      <c r="J28" s="24" t="s">
        <v>237</v>
      </c>
      <c r="K28" s="17" t="b">
        <v>1</v>
      </c>
      <c r="L28" s="24" t="s">
        <v>38</v>
      </c>
      <c r="M28" s="17">
        <v>2</v>
      </c>
      <c r="N28" s="17" t="s">
        <v>61</v>
      </c>
      <c r="O28" s="17" t="s">
        <v>62</v>
      </c>
      <c r="P28" s="17">
        <v>200</v>
      </c>
      <c r="Q28" s="17">
        <f t="array" ref="Q28">_xlfn.IFS($O28="Attacker",6,$O28="Healer",3,$O28="Magician",4,$O28="Defender",3,$O28="Supporter",4)</f>
        <v>3</v>
      </c>
      <c r="R28" s="17">
        <f t="array" ref="R28">_xlfn.IFS($O28="Attacker",6,$O28="Healer",3,$O28="Magician",4,$O28="Defender",3,$O28="Supporter",4)</f>
        <v>3</v>
      </c>
      <c r="S28" s="17">
        <v>1</v>
      </c>
      <c r="T28" s="17">
        <v>0</v>
      </c>
      <c r="U28" s="17">
        <v>0</v>
      </c>
      <c r="V28" s="17" t="s">
        <v>41</v>
      </c>
      <c r="W28" s="17">
        <f t="array" ref="W28">_xlfn.IFS(O28="Attacker",80,O28="Healer",90,O28="Magician",100,O28="Defender",110,O28="Supporter",120)</f>
        <v>110</v>
      </c>
      <c r="X28" s="17" t="s">
        <v>42</v>
      </c>
      <c r="Y28" s="17">
        <v>225000</v>
      </c>
      <c r="Z28" s="17" t="s">
        <v>43</v>
      </c>
      <c r="AA28" s="17">
        <v>1012</v>
      </c>
      <c r="AB28" s="17" t="s">
        <v>44</v>
      </c>
      <c r="AC28" s="17">
        <v>0</v>
      </c>
      <c r="AD28" s="17" t="s">
        <v>45</v>
      </c>
      <c r="AE28" s="17">
        <v>0</v>
      </c>
      <c r="AF28" s="17" t="s">
        <v>46</v>
      </c>
      <c r="AG28" s="17">
        <v>100</v>
      </c>
      <c r="AH28" s="17" t="s">
        <v>47</v>
      </c>
      <c r="AI28" s="17">
        <v>80</v>
      </c>
      <c r="AJ28" s="17" t="s">
        <v>48</v>
      </c>
      <c r="AK28" s="17">
        <v>0</v>
      </c>
      <c r="AL28" s="17" t="s">
        <v>49</v>
      </c>
      <c r="AM28" s="17">
        <v>150000</v>
      </c>
      <c r="AN28" s="17">
        <v>1811041</v>
      </c>
      <c r="AO28" s="17" t="b">
        <v>1</v>
      </c>
      <c r="AP28" s="17">
        <v>2811041</v>
      </c>
      <c r="AQ28" s="17" t="b">
        <v>1</v>
      </c>
      <c r="AR28" s="17">
        <v>0</v>
      </c>
      <c r="AS28" s="17" t="b">
        <v>0</v>
      </c>
      <c r="AT28" s="17">
        <v>0</v>
      </c>
      <c r="AU28" s="17" t="b">
        <v>0</v>
      </c>
    </row>
    <row r="29" spans="1:48" x14ac:dyDescent="0.3">
      <c r="A29" s="17">
        <v>20730205</v>
      </c>
      <c r="B29" s="17" t="s">
        <v>243</v>
      </c>
      <c r="C29" s="17">
        <v>207302</v>
      </c>
      <c r="D29" s="17">
        <v>0</v>
      </c>
      <c r="E29" s="17" t="s">
        <v>267</v>
      </c>
      <c r="G29" s="17" t="s">
        <v>29</v>
      </c>
      <c r="H29" s="17" t="s">
        <v>29</v>
      </c>
      <c r="I29" s="17">
        <v>5</v>
      </c>
      <c r="J29" s="24" t="s">
        <v>237</v>
      </c>
      <c r="K29" s="17" t="b">
        <v>1</v>
      </c>
      <c r="L29" s="24" t="s">
        <v>38</v>
      </c>
      <c r="M29" s="17">
        <v>2</v>
      </c>
      <c r="N29" s="17" t="s">
        <v>91</v>
      </c>
      <c r="O29" s="17" t="s">
        <v>62</v>
      </c>
      <c r="P29" s="17">
        <v>200</v>
      </c>
      <c r="Q29" s="17">
        <f t="array" ref="Q29">_xlfn.IFS($O29="Attacker",6,$O29="Healer",3,$O29="Magician",4,$O29="Defender",3,$O29="Supporter",4)</f>
        <v>3</v>
      </c>
      <c r="R29" s="17">
        <f t="array" ref="R29">_xlfn.IFS($O29="Attacker",6,$O29="Healer",3,$O29="Magician",4,$O29="Defender",3,$O29="Supporter",4)</f>
        <v>3</v>
      </c>
      <c r="S29" s="17">
        <v>1</v>
      </c>
      <c r="T29" s="17">
        <v>0</v>
      </c>
      <c r="U29" s="17">
        <v>0</v>
      </c>
      <c r="V29" s="17" t="s">
        <v>41</v>
      </c>
      <c r="W29" s="17">
        <f t="array" ref="W29">_xlfn.IFS(O29="Attacker",80,O29="Healer",90,O29="Magician",100,O29="Defender",110,O29="Supporter",120)</f>
        <v>110</v>
      </c>
      <c r="X29" s="17" t="s">
        <v>42</v>
      </c>
      <c r="Y29" s="17">
        <v>225000</v>
      </c>
      <c r="Z29" s="17" t="s">
        <v>43</v>
      </c>
      <c r="AA29" s="17">
        <v>1012</v>
      </c>
      <c r="AB29" s="17" t="s">
        <v>44</v>
      </c>
      <c r="AC29" s="17">
        <v>0</v>
      </c>
      <c r="AD29" s="17" t="s">
        <v>45</v>
      </c>
      <c r="AE29" s="17">
        <v>0</v>
      </c>
      <c r="AF29" s="17" t="s">
        <v>46</v>
      </c>
      <c r="AG29" s="17">
        <v>120</v>
      </c>
      <c r="AH29" s="17" t="s">
        <v>47</v>
      </c>
      <c r="AI29" s="17">
        <v>80</v>
      </c>
      <c r="AJ29" s="17" t="s">
        <v>48</v>
      </c>
      <c r="AK29" s="17">
        <v>0</v>
      </c>
      <c r="AL29" s="17" t="s">
        <v>49</v>
      </c>
      <c r="AM29" s="17">
        <v>150000</v>
      </c>
      <c r="AN29" s="17">
        <v>1821041</v>
      </c>
      <c r="AO29" s="17" t="b">
        <v>1</v>
      </c>
      <c r="AP29" s="17">
        <v>2821041</v>
      </c>
      <c r="AQ29" s="17" t="b">
        <v>1</v>
      </c>
      <c r="AR29" s="17">
        <v>0</v>
      </c>
      <c r="AS29" s="17" t="b">
        <v>0</v>
      </c>
      <c r="AT29" s="17">
        <v>0</v>
      </c>
      <c r="AU29" s="17" t="b">
        <v>0</v>
      </c>
    </row>
    <row r="30" spans="1:48" x14ac:dyDescent="0.3">
      <c r="A30" s="17">
        <v>20730305</v>
      </c>
      <c r="B30" s="17" t="s">
        <v>245</v>
      </c>
      <c r="C30" s="17">
        <v>207303</v>
      </c>
      <c r="D30" s="17">
        <v>0</v>
      </c>
      <c r="E30" s="17" t="s">
        <v>268</v>
      </c>
      <c r="G30" s="17" t="s">
        <v>29</v>
      </c>
      <c r="H30" s="17" t="s">
        <v>29</v>
      </c>
      <c r="I30" s="17">
        <v>5</v>
      </c>
      <c r="J30" s="24" t="s">
        <v>237</v>
      </c>
      <c r="K30" s="17" t="b">
        <v>1</v>
      </c>
      <c r="L30" s="24" t="s">
        <v>38</v>
      </c>
      <c r="M30" s="17">
        <v>2</v>
      </c>
      <c r="N30" s="17" t="s">
        <v>72</v>
      </c>
      <c r="O30" s="17" t="s">
        <v>62</v>
      </c>
      <c r="P30" s="17">
        <v>200</v>
      </c>
      <c r="Q30" s="17">
        <f t="array" ref="Q30">_xlfn.IFS($O30="Attacker",6,$O30="Healer",3,$O30="Magician",4,$O30="Defender",3,$O30="Supporter",4)</f>
        <v>3</v>
      </c>
      <c r="R30" s="17">
        <f t="array" ref="R30">_xlfn.IFS($O30="Attacker",6,$O30="Healer",3,$O30="Magician",4,$O30="Defender",3,$O30="Supporter",4)</f>
        <v>3</v>
      </c>
      <c r="S30" s="17">
        <v>1</v>
      </c>
      <c r="T30" s="17">
        <v>0</v>
      </c>
      <c r="U30" s="17">
        <v>0</v>
      </c>
      <c r="V30" s="17" t="s">
        <v>41</v>
      </c>
      <c r="W30" s="17">
        <f t="array" ref="W30">_xlfn.IFS(O30="Attacker",80,O30="Healer",90,O30="Magician",100,O30="Defender",110,O30="Supporter",120)</f>
        <v>110</v>
      </c>
      <c r="X30" s="17" t="s">
        <v>42</v>
      </c>
      <c r="Y30" s="17">
        <v>247500</v>
      </c>
      <c r="Z30" s="17" t="s">
        <v>43</v>
      </c>
      <c r="AA30" s="17">
        <v>1012</v>
      </c>
      <c r="AB30" s="17" t="s">
        <v>44</v>
      </c>
      <c r="AC30" s="17">
        <v>0</v>
      </c>
      <c r="AD30" s="17" t="s">
        <v>45</v>
      </c>
      <c r="AE30" s="17">
        <v>0</v>
      </c>
      <c r="AF30" s="17" t="s">
        <v>46</v>
      </c>
      <c r="AG30" s="17">
        <v>100</v>
      </c>
      <c r="AH30" s="17" t="s">
        <v>47</v>
      </c>
      <c r="AI30" s="17">
        <v>80</v>
      </c>
      <c r="AJ30" s="17" t="s">
        <v>48</v>
      </c>
      <c r="AK30" s="17">
        <v>0</v>
      </c>
      <c r="AL30" s="17" t="s">
        <v>49</v>
      </c>
      <c r="AM30" s="17">
        <v>150000</v>
      </c>
      <c r="AN30" s="17">
        <v>1831041</v>
      </c>
      <c r="AO30" s="17" t="b">
        <v>1</v>
      </c>
      <c r="AP30" s="17">
        <v>2831041</v>
      </c>
      <c r="AQ30" s="17" t="b">
        <v>1</v>
      </c>
      <c r="AR30" s="17">
        <v>0</v>
      </c>
      <c r="AS30" s="17" t="b">
        <v>0</v>
      </c>
      <c r="AT30" s="17">
        <v>0</v>
      </c>
      <c r="AU30" s="17" t="b">
        <v>0</v>
      </c>
    </row>
    <row r="31" spans="1:48" x14ac:dyDescent="0.3">
      <c r="A31" s="17">
        <v>20730405</v>
      </c>
      <c r="B31" s="17" t="s">
        <v>247</v>
      </c>
      <c r="C31" s="17">
        <v>207304</v>
      </c>
      <c r="D31" s="17">
        <v>0</v>
      </c>
      <c r="E31" s="17" t="s">
        <v>269</v>
      </c>
      <c r="G31" s="17" t="s">
        <v>29</v>
      </c>
      <c r="H31" s="17" t="s">
        <v>29</v>
      </c>
      <c r="I31" s="17">
        <v>5</v>
      </c>
      <c r="J31" s="24" t="s">
        <v>237</v>
      </c>
      <c r="K31" s="17" t="b">
        <v>1</v>
      </c>
      <c r="L31" s="24" t="s">
        <v>38</v>
      </c>
      <c r="M31" s="17">
        <v>2</v>
      </c>
      <c r="N31" s="17" t="s">
        <v>83</v>
      </c>
      <c r="O31" s="17" t="s">
        <v>62</v>
      </c>
      <c r="P31" s="17">
        <v>200</v>
      </c>
      <c r="Q31" s="17">
        <f t="array" ref="Q31">_xlfn.IFS($O31="Attacker",6,$O31="Healer",3,$O31="Magician",4,$O31="Defender",3,$O31="Supporter",4)</f>
        <v>3</v>
      </c>
      <c r="R31" s="17">
        <f t="array" ref="R31">_xlfn.IFS($O31="Attacker",6,$O31="Healer",3,$O31="Magician",4,$O31="Defender",3,$O31="Supporter",4)</f>
        <v>3</v>
      </c>
      <c r="S31" s="17">
        <v>1</v>
      </c>
      <c r="T31" s="17">
        <v>0</v>
      </c>
      <c r="U31" s="17">
        <v>0</v>
      </c>
      <c r="V31" s="17" t="s">
        <v>41</v>
      </c>
      <c r="W31" s="17">
        <f t="array" ref="W31">_xlfn.IFS(O31="Attacker",80,O31="Healer",90,O31="Magician",100,O31="Defender",110,O31="Supporter",120)</f>
        <v>110</v>
      </c>
      <c r="X31" s="17" t="s">
        <v>42</v>
      </c>
      <c r="Y31" s="17">
        <v>225000</v>
      </c>
      <c r="Z31" s="17" t="s">
        <v>43</v>
      </c>
      <c r="AA31" s="17">
        <v>1012</v>
      </c>
      <c r="AB31" s="17" t="s">
        <v>44</v>
      </c>
      <c r="AC31" s="17">
        <v>0</v>
      </c>
      <c r="AD31" s="17" t="s">
        <v>45</v>
      </c>
      <c r="AE31" s="17">
        <v>0</v>
      </c>
      <c r="AF31" s="17" t="s">
        <v>46</v>
      </c>
      <c r="AG31" s="17">
        <v>100</v>
      </c>
      <c r="AH31" s="17" t="s">
        <v>47</v>
      </c>
      <c r="AI31" s="17">
        <v>104</v>
      </c>
      <c r="AJ31" s="17" t="s">
        <v>48</v>
      </c>
      <c r="AK31" s="17">
        <v>0</v>
      </c>
      <c r="AL31" s="17" t="s">
        <v>49</v>
      </c>
      <c r="AM31" s="17">
        <v>150000</v>
      </c>
      <c r="AN31" s="17">
        <v>1841041</v>
      </c>
      <c r="AO31" s="17" t="b">
        <v>1</v>
      </c>
      <c r="AP31" s="17">
        <v>2841041</v>
      </c>
      <c r="AQ31" s="17" t="b">
        <v>1</v>
      </c>
      <c r="AR31" s="17">
        <v>0</v>
      </c>
      <c r="AS31" s="17" t="b">
        <v>0</v>
      </c>
      <c r="AT31" s="17">
        <v>0</v>
      </c>
      <c r="AU31" s="17" t="b">
        <v>0</v>
      </c>
      <c r="AV31" s="1"/>
    </row>
    <row r="32" spans="1:48" x14ac:dyDescent="0.3">
      <c r="A32" s="29">
        <v>20730505</v>
      </c>
      <c r="B32" s="29" t="s">
        <v>249</v>
      </c>
      <c r="C32" s="29">
        <v>207305</v>
      </c>
      <c r="D32" s="29">
        <v>0</v>
      </c>
      <c r="E32" s="29" t="s">
        <v>270</v>
      </c>
      <c r="F32" s="29"/>
      <c r="G32" s="29" t="s">
        <v>29</v>
      </c>
      <c r="H32" s="29" t="s">
        <v>29</v>
      </c>
      <c r="I32" s="29">
        <v>5</v>
      </c>
      <c r="J32" s="27" t="s">
        <v>237</v>
      </c>
      <c r="K32" s="17" t="b">
        <v>1</v>
      </c>
      <c r="L32" s="27" t="s">
        <v>38</v>
      </c>
      <c r="M32" s="29">
        <v>2</v>
      </c>
      <c r="N32" s="29" t="s">
        <v>39</v>
      </c>
      <c r="O32" s="29" t="s">
        <v>62</v>
      </c>
      <c r="P32" s="29">
        <v>200</v>
      </c>
      <c r="Q32" s="29">
        <f t="array" ref="Q32">_xlfn.IFS($O32="Attacker",6,$O32="Healer",3,$O32="Magician",4,$O32="Defender",3,$O32="Supporter",4)</f>
        <v>3</v>
      </c>
      <c r="R32" s="29">
        <f t="array" ref="R32">_xlfn.IFS($O32="Attacker",6,$O32="Healer",3,$O32="Magician",4,$O32="Defender",3,$O32="Supporter",4)</f>
        <v>3</v>
      </c>
      <c r="S32" s="29">
        <v>1</v>
      </c>
      <c r="T32" s="29">
        <v>0</v>
      </c>
      <c r="U32" s="29">
        <v>0</v>
      </c>
      <c r="V32" s="29" t="s">
        <v>41</v>
      </c>
      <c r="W32" s="29">
        <f t="array" ref="W32">_xlfn.IFS(O32="Attacker",80,O32="Healer",90,O32="Magician",100,O32="Defender",110,O32="Supporter",120)</f>
        <v>110</v>
      </c>
      <c r="X32" s="29" t="s">
        <v>42</v>
      </c>
      <c r="Y32" s="17">
        <v>225000</v>
      </c>
      <c r="Z32" s="29" t="s">
        <v>43</v>
      </c>
      <c r="AA32" s="17">
        <v>1012</v>
      </c>
      <c r="AB32" s="29" t="s">
        <v>44</v>
      </c>
      <c r="AC32" s="17">
        <v>0</v>
      </c>
      <c r="AD32" s="29" t="s">
        <v>45</v>
      </c>
      <c r="AE32" s="17">
        <v>0</v>
      </c>
      <c r="AF32" s="29" t="s">
        <v>46</v>
      </c>
      <c r="AG32" s="29">
        <v>100</v>
      </c>
      <c r="AH32" s="29" t="s">
        <v>47</v>
      </c>
      <c r="AI32" s="29">
        <v>80</v>
      </c>
      <c r="AJ32" s="29" t="s">
        <v>48</v>
      </c>
      <c r="AK32" s="29">
        <v>0</v>
      </c>
      <c r="AL32" s="29" t="s">
        <v>49</v>
      </c>
      <c r="AM32" s="29">
        <v>150000</v>
      </c>
      <c r="AN32" s="29">
        <v>1851041</v>
      </c>
      <c r="AO32" s="29" t="b">
        <v>1</v>
      </c>
      <c r="AP32" s="29">
        <v>2851041</v>
      </c>
      <c r="AQ32" s="29" t="b">
        <v>1</v>
      </c>
      <c r="AR32" s="29">
        <v>0</v>
      </c>
      <c r="AS32" s="29" t="b">
        <v>0</v>
      </c>
      <c r="AT32" s="29">
        <v>0</v>
      </c>
      <c r="AU32" s="29" t="b">
        <v>0</v>
      </c>
    </row>
    <row r="33" spans="1:48" s="11" customFormat="1" x14ac:dyDescent="0.3">
      <c r="A33" s="17">
        <v>21550101</v>
      </c>
      <c r="B33" s="17" t="s">
        <v>271</v>
      </c>
      <c r="C33" s="17">
        <v>215501</v>
      </c>
      <c r="D33" s="17">
        <v>0</v>
      </c>
      <c r="E33" s="17" t="s">
        <v>272</v>
      </c>
      <c r="F33" s="17"/>
      <c r="G33" s="17" t="s">
        <v>29</v>
      </c>
      <c r="H33" s="17" t="s">
        <v>29</v>
      </c>
      <c r="I33" s="17">
        <v>1</v>
      </c>
      <c r="J33" s="24" t="s">
        <v>237</v>
      </c>
      <c r="K33" s="17" t="b">
        <v>1</v>
      </c>
      <c r="L33" s="24" t="s">
        <v>38</v>
      </c>
      <c r="M33" s="17">
        <v>2</v>
      </c>
      <c r="N33" s="17" t="s">
        <v>61</v>
      </c>
      <c r="O33" s="17" t="s">
        <v>62</v>
      </c>
      <c r="P33" s="17">
        <v>200</v>
      </c>
      <c r="Q33" s="17">
        <f t="array" ref="Q33">_xlfn.IFS($O33="Attacker",6,$O33="Healer",3,$O33="Magician",4,$O33="Defender",3,$O33="Supporter",4)</f>
        <v>3</v>
      </c>
      <c r="R33" s="17">
        <f t="array" ref="R33">_xlfn.IFS($O33="Attacker",6,$O33="Healer",3,$O33="Magician",4,$O33="Defender",3,$O33="Supporter",4)</f>
        <v>3</v>
      </c>
      <c r="S33" s="17">
        <v>1</v>
      </c>
      <c r="T33" s="17">
        <v>0</v>
      </c>
      <c r="U33" s="17">
        <v>0</v>
      </c>
      <c r="V33" s="17" t="s">
        <v>41</v>
      </c>
      <c r="W33" s="17">
        <f t="array" ref="W33">_xlfn.IFS(O33="Attacker",80,O33="Healer",90,O33="Magician",100,O33="Defender",110,O33="Supporter",120)</f>
        <v>110</v>
      </c>
      <c r="X33" s="17" t="s">
        <v>42</v>
      </c>
      <c r="Y33" s="17">
        <v>300</v>
      </c>
      <c r="Z33" s="17" t="s">
        <v>43</v>
      </c>
      <c r="AA33" s="17">
        <v>200</v>
      </c>
      <c r="AB33" s="17" t="s">
        <v>44</v>
      </c>
      <c r="AC33" s="17">
        <v>0</v>
      </c>
      <c r="AD33" s="17" t="s">
        <v>45</v>
      </c>
      <c r="AE33" s="17">
        <v>0</v>
      </c>
      <c r="AF33" s="17" t="s">
        <v>46</v>
      </c>
      <c r="AG33" s="17">
        <v>100</v>
      </c>
      <c r="AH33" s="17" t="s">
        <v>47</v>
      </c>
      <c r="AI33" s="17">
        <v>100</v>
      </c>
      <c r="AJ33" s="17" t="s">
        <v>48</v>
      </c>
      <c r="AK33" s="17">
        <v>5000</v>
      </c>
      <c r="AL33" s="17" t="s">
        <v>49</v>
      </c>
      <c r="AM33" s="17">
        <v>150000</v>
      </c>
      <c r="AN33" s="17">
        <v>1812011</v>
      </c>
      <c r="AO33" s="17" t="b">
        <v>1</v>
      </c>
      <c r="AP33" s="17">
        <v>2812011</v>
      </c>
      <c r="AQ33" s="17" t="b">
        <v>1</v>
      </c>
      <c r="AR33" s="17">
        <v>0</v>
      </c>
      <c r="AS33" s="17" t="b">
        <v>0</v>
      </c>
      <c r="AT33" s="17">
        <v>0</v>
      </c>
      <c r="AU33" s="17" t="b">
        <v>0</v>
      </c>
    </row>
    <row r="34" spans="1:48" x14ac:dyDescent="0.3">
      <c r="A34" s="17">
        <v>21550201</v>
      </c>
      <c r="B34" s="17" t="s">
        <v>273</v>
      </c>
      <c r="C34" s="17">
        <v>215502</v>
      </c>
      <c r="D34" s="17">
        <v>0</v>
      </c>
      <c r="E34" s="17" t="s">
        <v>274</v>
      </c>
      <c r="G34" s="17" t="s">
        <v>29</v>
      </c>
      <c r="H34" s="17" t="s">
        <v>29</v>
      </c>
      <c r="I34" s="17">
        <v>1</v>
      </c>
      <c r="J34" s="24" t="s">
        <v>237</v>
      </c>
      <c r="K34" s="17" t="b">
        <v>1</v>
      </c>
      <c r="L34" s="24" t="s">
        <v>38</v>
      </c>
      <c r="M34" s="17">
        <v>2</v>
      </c>
      <c r="N34" s="17" t="s">
        <v>91</v>
      </c>
      <c r="O34" s="17" t="s">
        <v>62</v>
      </c>
      <c r="P34" s="17">
        <v>200</v>
      </c>
      <c r="Q34" s="17">
        <f t="array" ref="Q34">_xlfn.IFS($O34="Attacker",6,$O34="Healer",3,$O34="Magician",4,$O34="Defender",3,$O34="Supporter",4)</f>
        <v>3</v>
      </c>
      <c r="R34" s="17">
        <f t="array" ref="R34">_xlfn.IFS($O34="Attacker",6,$O34="Healer",3,$O34="Magician",4,$O34="Defender",3,$O34="Supporter",4)</f>
        <v>3</v>
      </c>
      <c r="S34" s="17">
        <v>1</v>
      </c>
      <c r="T34" s="17">
        <v>0</v>
      </c>
      <c r="U34" s="17">
        <v>0</v>
      </c>
      <c r="V34" s="17" t="s">
        <v>41</v>
      </c>
      <c r="W34" s="17">
        <f t="array" ref="W34">_xlfn.IFS(O34="Attacker",80,O34="Healer",90,O34="Magician",100,O34="Defender",110,O34="Supporter",120)</f>
        <v>110</v>
      </c>
      <c r="X34" s="17" t="s">
        <v>42</v>
      </c>
      <c r="Y34" s="17">
        <v>300</v>
      </c>
      <c r="Z34" s="17" t="s">
        <v>43</v>
      </c>
      <c r="AA34" s="17">
        <v>200</v>
      </c>
      <c r="AB34" s="17" t="s">
        <v>44</v>
      </c>
      <c r="AC34" s="17">
        <v>0</v>
      </c>
      <c r="AD34" s="17" t="s">
        <v>45</v>
      </c>
      <c r="AE34" s="17">
        <v>0</v>
      </c>
      <c r="AF34" s="17" t="s">
        <v>46</v>
      </c>
      <c r="AG34" s="17">
        <v>120</v>
      </c>
      <c r="AH34" s="17" t="s">
        <v>47</v>
      </c>
      <c r="AI34" s="17">
        <v>100</v>
      </c>
      <c r="AJ34" s="17" t="s">
        <v>48</v>
      </c>
      <c r="AK34" s="17">
        <v>5000</v>
      </c>
      <c r="AL34" s="17" t="s">
        <v>49</v>
      </c>
      <c r="AM34" s="17">
        <v>150000</v>
      </c>
      <c r="AN34" s="17">
        <v>1832011</v>
      </c>
      <c r="AO34" s="17" t="b">
        <v>1</v>
      </c>
      <c r="AP34" s="17">
        <v>2832011</v>
      </c>
      <c r="AQ34" s="17" t="b">
        <v>1</v>
      </c>
      <c r="AR34" s="17">
        <v>0</v>
      </c>
      <c r="AS34" s="17" t="b">
        <v>0</v>
      </c>
      <c r="AT34" s="17">
        <v>0</v>
      </c>
      <c r="AU34" s="17" t="b">
        <v>0</v>
      </c>
    </row>
    <row r="35" spans="1:48" x14ac:dyDescent="0.3">
      <c r="A35" s="17">
        <v>21550301</v>
      </c>
      <c r="B35" s="17" t="s">
        <v>275</v>
      </c>
      <c r="C35" s="17">
        <v>215503</v>
      </c>
      <c r="D35" s="17">
        <v>0</v>
      </c>
      <c r="E35" s="17" t="s">
        <v>276</v>
      </c>
      <c r="G35" s="17" t="s">
        <v>29</v>
      </c>
      <c r="H35" s="17" t="s">
        <v>29</v>
      </c>
      <c r="I35" s="17">
        <v>1</v>
      </c>
      <c r="J35" s="24" t="s">
        <v>237</v>
      </c>
      <c r="K35" s="17" t="b">
        <v>1</v>
      </c>
      <c r="L35" s="24" t="s">
        <v>38</v>
      </c>
      <c r="M35" s="17">
        <v>2</v>
      </c>
      <c r="N35" s="17" t="s">
        <v>72</v>
      </c>
      <c r="O35" s="17" t="s">
        <v>62</v>
      </c>
      <c r="P35" s="17">
        <v>200</v>
      </c>
      <c r="Q35" s="17">
        <f t="array" ref="Q35">_xlfn.IFS($O35="Attacker",6,$O35="Healer",3,$O35="Magician",4,$O35="Defender",3,$O35="Supporter",4)</f>
        <v>3</v>
      </c>
      <c r="R35" s="17">
        <f t="array" ref="R35">_xlfn.IFS($O35="Attacker",6,$O35="Healer",3,$O35="Magician",4,$O35="Defender",3,$O35="Supporter",4)</f>
        <v>3</v>
      </c>
      <c r="S35" s="17">
        <v>1</v>
      </c>
      <c r="T35" s="17">
        <v>0</v>
      </c>
      <c r="U35" s="17">
        <v>0</v>
      </c>
      <c r="V35" s="17" t="s">
        <v>41</v>
      </c>
      <c r="W35" s="17">
        <f t="array" ref="W35">_xlfn.IFS(O35="Attacker",80,O35="Healer",90,O35="Magician",100,O35="Defender",110,O35="Supporter",120)</f>
        <v>110</v>
      </c>
      <c r="X35" s="17" t="s">
        <v>42</v>
      </c>
      <c r="Y35" s="17">
        <v>300</v>
      </c>
      <c r="Z35" s="17" t="s">
        <v>43</v>
      </c>
      <c r="AA35" s="17">
        <v>200</v>
      </c>
      <c r="AB35" s="17" t="s">
        <v>44</v>
      </c>
      <c r="AC35" s="17">
        <v>0</v>
      </c>
      <c r="AD35" s="17" t="s">
        <v>45</v>
      </c>
      <c r="AE35" s="17">
        <v>0</v>
      </c>
      <c r="AF35" s="17" t="s">
        <v>46</v>
      </c>
      <c r="AG35" s="17">
        <v>100</v>
      </c>
      <c r="AH35" s="17" t="s">
        <v>47</v>
      </c>
      <c r="AI35" s="17">
        <v>100</v>
      </c>
      <c r="AJ35" s="17" t="s">
        <v>48</v>
      </c>
      <c r="AK35" s="17">
        <v>5000</v>
      </c>
      <c r="AL35" s="17" t="s">
        <v>49</v>
      </c>
      <c r="AM35" s="17">
        <v>150000</v>
      </c>
      <c r="AN35" s="17">
        <v>1822011</v>
      </c>
      <c r="AO35" s="17" t="b">
        <v>1</v>
      </c>
      <c r="AP35" s="17">
        <v>2822011</v>
      </c>
      <c r="AQ35" s="17" t="b">
        <v>1</v>
      </c>
      <c r="AR35" s="17">
        <v>0</v>
      </c>
      <c r="AS35" s="17" t="b">
        <v>0</v>
      </c>
      <c r="AT35" s="17">
        <v>0</v>
      </c>
      <c r="AU35" s="17" t="b">
        <v>0</v>
      </c>
    </row>
    <row r="36" spans="1:48" x14ac:dyDescent="0.3">
      <c r="A36" s="17">
        <v>21550401</v>
      </c>
      <c r="B36" s="17" t="s">
        <v>277</v>
      </c>
      <c r="C36" s="17">
        <v>215504</v>
      </c>
      <c r="D36" s="17">
        <v>0</v>
      </c>
      <c r="E36" s="17" t="s">
        <v>278</v>
      </c>
      <c r="G36" s="17" t="s">
        <v>29</v>
      </c>
      <c r="H36" s="17" t="s">
        <v>29</v>
      </c>
      <c r="I36" s="17">
        <v>1</v>
      </c>
      <c r="J36" s="24" t="s">
        <v>237</v>
      </c>
      <c r="K36" s="17" t="b">
        <v>1</v>
      </c>
      <c r="L36" s="24" t="s">
        <v>38</v>
      </c>
      <c r="M36" s="17">
        <v>2</v>
      </c>
      <c r="N36" s="17" t="s">
        <v>83</v>
      </c>
      <c r="O36" s="17" t="s">
        <v>62</v>
      </c>
      <c r="P36" s="17">
        <v>200</v>
      </c>
      <c r="Q36" s="17">
        <f t="array" ref="Q36">_xlfn.IFS($O36="Attacker",6,$O36="Healer",3,$O36="Magician",4,$O36="Defender",3,$O36="Supporter",4)</f>
        <v>3</v>
      </c>
      <c r="R36" s="17">
        <f t="array" ref="R36">_xlfn.IFS($O36="Attacker",6,$O36="Healer",3,$O36="Magician",4,$O36="Defender",3,$O36="Supporter",4)</f>
        <v>3</v>
      </c>
      <c r="S36" s="17">
        <v>1</v>
      </c>
      <c r="T36" s="17">
        <v>0</v>
      </c>
      <c r="U36" s="17">
        <v>0</v>
      </c>
      <c r="V36" s="17" t="s">
        <v>41</v>
      </c>
      <c r="W36" s="17">
        <f t="array" ref="W36">_xlfn.IFS(O36="Attacker",80,O36="Healer",90,O36="Magician",100,O36="Defender",110,O36="Supporter",120)</f>
        <v>110</v>
      </c>
      <c r="X36" s="17" t="s">
        <v>42</v>
      </c>
      <c r="Y36" s="17">
        <v>300</v>
      </c>
      <c r="Z36" s="17" t="s">
        <v>43</v>
      </c>
      <c r="AA36" s="17">
        <v>200</v>
      </c>
      <c r="AB36" s="17" t="s">
        <v>44</v>
      </c>
      <c r="AC36" s="17">
        <v>0</v>
      </c>
      <c r="AD36" s="17" t="s">
        <v>45</v>
      </c>
      <c r="AE36" s="17">
        <v>0</v>
      </c>
      <c r="AF36" s="17" t="s">
        <v>46</v>
      </c>
      <c r="AG36" s="17">
        <v>100</v>
      </c>
      <c r="AH36" s="17" t="s">
        <v>47</v>
      </c>
      <c r="AI36" s="17">
        <v>100</v>
      </c>
      <c r="AJ36" s="17" t="s">
        <v>48</v>
      </c>
      <c r="AK36" s="17">
        <v>5000</v>
      </c>
      <c r="AL36" s="17" t="s">
        <v>49</v>
      </c>
      <c r="AM36" s="17">
        <v>150000</v>
      </c>
      <c r="AN36" s="17">
        <v>1842011</v>
      </c>
      <c r="AO36" s="17" t="b">
        <v>1</v>
      </c>
      <c r="AP36" s="17">
        <v>2842011</v>
      </c>
      <c r="AQ36" s="17" t="b">
        <v>1</v>
      </c>
      <c r="AR36" s="17">
        <v>0</v>
      </c>
      <c r="AS36" s="17" t="b">
        <v>0</v>
      </c>
      <c r="AT36" s="17">
        <v>0</v>
      </c>
      <c r="AU36" s="17" t="b">
        <v>0</v>
      </c>
      <c r="AV36" s="1"/>
    </row>
    <row r="37" spans="1:48" x14ac:dyDescent="0.3">
      <c r="A37" s="29">
        <v>21550501</v>
      </c>
      <c r="B37" s="29" t="s">
        <v>279</v>
      </c>
      <c r="C37" s="29">
        <v>215505</v>
      </c>
      <c r="D37" s="29">
        <v>0</v>
      </c>
      <c r="E37" s="29" t="s">
        <v>280</v>
      </c>
      <c r="F37" s="29"/>
      <c r="G37" s="29" t="s">
        <v>29</v>
      </c>
      <c r="H37" s="29" t="s">
        <v>29</v>
      </c>
      <c r="I37" s="29">
        <v>1</v>
      </c>
      <c r="J37" s="27" t="s">
        <v>237</v>
      </c>
      <c r="K37" s="17" t="b">
        <v>1</v>
      </c>
      <c r="L37" s="27" t="s">
        <v>38</v>
      </c>
      <c r="M37" s="29">
        <v>2</v>
      </c>
      <c r="N37" s="29" t="s">
        <v>39</v>
      </c>
      <c r="O37" s="29" t="s">
        <v>62</v>
      </c>
      <c r="P37" s="29">
        <v>200</v>
      </c>
      <c r="Q37" s="29">
        <f t="array" ref="Q37">_xlfn.IFS($O37="Attacker",6,$O37="Healer",3,$O37="Magician",4,$O37="Defender",3,$O37="Supporter",4)</f>
        <v>3</v>
      </c>
      <c r="R37" s="29">
        <f t="array" ref="R37">_xlfn.IFS($O37="Attacker",6,$O37="Healer",3,$O37="Magician",4,$O37="Defender",3,$O37="Supporter",4)</f>
        <v>3</v>
      </c>
      <c r="S37" s="29">
        <v>1</v>
      </c>
      <c r="T37" s="29">
        <v>0</v>
      </c>
      <c r="U37" s="29">
        <v>0</v>
      </c>
      <c r="V37" s="29" t="s">
        <v>41</v>
      </c>
      <c r="W37" s="29">
        <f t="array" ref="W37">_xlfn.IFS(O37="Attacker",80,O37="Healer",90,O37="Magician",100,O37="Defender",110,O37="Supporter",120)</f>
        <v>110</v>
      </c>
      <c r="X37" s="29" t="s">
        <v>42</v>
      </c>
      <c r="Y37" s="29">
        <v>300</v>
      </c>
      <c r="Z37" s="29" t="s">
        <v>43</v>
      </c>
      <c r="AA37" s="29">
        <v>200</v>
      </c>
      <c r="AB37" s="29" t="s">
        <v>44</v>
      </c>
      <c r="AC37" s="29">
        <v>0</v>
      </c>
      <c r="AD37" s="29" t="s">
        <v>45</v>
      </c>
      <c r="AE37" s="29">
        <v>0</v>
      </c>
      <c r="AF37" s="29" t="s">
        <v>46</v>
      </c>
      <c r="AG37" s="29">
        <v>100</v>
      </c>
      <c r="AH37" s="29" t="s">
        <v>47</v>
      </c>
      <c r="AI37" s="29">
        <v>100</v>
      </c>
      <c r="AJ37" s="29" t="s">
        <v>48</v>
      </c>
      <c r="AK37" s="29">
        <v>5000</v>
      </c>
      <c r="AL37" s="29" t="s">
        <v>49</v>
      </c>
      <c r="AM37" s="29">
        <v>150000</v>
      </c>
      <c r="AN37" s="29">
        <v>1852011</v>
      </c>
      <c r="AO37" s="29" t="b">
        <v>1</v>
      </c>
      <c r="AP37" s="29">
        <v>2852011</v>
      </c>
      <c r="AQ37" s="29" t="b">
        <v>1</v>
      </c>
      <c r="AR37" s="29">
        <v>0</v>
      </c>
      <c r="AS37" s="29" t="b">
        <v>0</v>
      </c>
      <c r="AT37" s="29">
        <v>0</v>
      </c>
      <c r="AU37" s="29" t="b">
        <v>0</v>
      </c>
    </row>
    <row r="38" spans="1:48" s="11" customFormat="1" x14ac:dyDescent="0.3">
      <c r="A38" s="17">
        <v>21550102</v>
      </c>
      <c r="B38" s="17" t="s">
        <v>271</v>
      </c>
      <c r="C38" s="17">
        <v>215501</v>
      </c>
      <c r="D38" s="17">
        <v>0</v>
      </c>
      <c r="E38" s="17" t="s">
        <v>281</v>
      </c>
      <c r="F38" s="17"/>
      <c r="G38" s="17" t="s">
        <v>29</v>
      </c>
      <c r="H38" s="17" t="s">
        <v>29</v>
      </c>
      <c r="I38" s="17">
        <v>2</v>
      </c>
      <c r="J38" s="24" t="s">
        <v>237</v>
      </c>
      <c r="K38" s="17" t="b">
        <v>1</v>
      </c>
      <c r="L38" s="24" t="s">
        <v>38</v>
      </c>
      <c r="M38" s="17">
        <v>2</v>
      </c>
      <c r="N38" s="17" t="s">
        <v>61</v>
      </c>
      <c r="O38" s="17" t="s">
        <v>62</v>
      </c>
      <c r="P38" s="17">
        <v>200</v>
      </c>
      <c r="Q38" s="17">
        <f t="array" ref="Q38">_xlfn.IFS($O38="Attacker",6,$O38="Healer",3,$O38="Magician",4,$O38="Defender",3,$O38="Supporter",4)</f>
        <v>3</v>
      </c>
      <c r="R38" s="17">
        <f t="array" ref="R38">_xlfn.IFS($O38="Attacker",6,$O38="Healer",3,$O38="Magician",4,$O38="Defender",3,$O38="Supporter",4)</f>
        <v>3</v>
      </c>
      <c r="S38" s="17">
        <v>1</v>
      </c>
      <c r="T38" s="17">
        <v>0</v>
      </c>
      <c r="U38" s="17">
        <v>0</v>
      </c>
      <c r="V38" s="17" t="s">
        <v>41</v>
      </c>
      <c r="W38" s="17">
        <f t="array" ref="W38">_xlfn.IFS(O38="Attacker",80,O38="Healer",90,O38="Magician",100,O38="Defender",110,O38="Supporter",120)</f>
        <v>110</v>
      </c>
      <c r="X38" s="17" t="s">
        <v>42</v>
      </c>
      <c r="Y38" s="17">
        <v>300</v>
      </c>
      <c r="Z38" s="17" t="s">
        <v>43</v>
      </c>
      <c r="AA38" s="17">
        <v>200</v>
      </c>
      <c r="AB38" s="17" t="s">
        <v>44</v>
      </c>
      <c r="AC38" s="17">
        <v>20</v>
      </c>
      <c r="AD38" s="17" t="s">
        <v>45</v>
      </c>
      <c r="AE38" s="17">
        <v>0</v>
      </c>
      <c r="AF38" s="17" t="s">
        <v>46</v>
      </c>
      <c r="AG38" s="17">
        <v>100</v>
      </c>
      <c r="AH38" s="17" t="s">
        <v>47</v>
      </c>
      <c r="AI38" s="17">
        <v>100</v>
      </c>
      <c r="AJ38" s="17" t="s">
        <v>48</v>
      </c>
      <c r="AK38" s="17">
        <v>5000</v>
      </c>
      <c r="AL38" s="17" t="s">
        <v>49</v>
      </c>
      <c r="AM38" s="17">
        <v>150000</v>
      </c>
      <c r="AN38" s="17">
        <v>1812011</v>
      </c>
      <c r="AO38" s="17" t="b">
        <v>1</v>
      </c>
      <c r="AP38" s="17">
        <v>2812011</v>
      </c>
      <c r="AQ38" s="17" t="b">
        <v>1</v>
      </c>
      <c r="AR38" s="17">
        <v>0</v>
      </c>
      <c r="AS38" s="17" t="b">
        <v>0</v>
      </c>
      <c r="AT38" s="17">
        <v>0</v>
      </c>
      <c r="AU38" s="17" t="b">
        <v>0</v>
      </c>
    </row>
    <row r="39" spans="1:48" x14ac:dyDescent="0.3">
      <c r="A39" s="17">
        <v>21550202</v>
      </c>
      <c r="B39" s="17" t="s">
        <v>273</v>
      </c>
      <c r="C39" s="17">
        <v>215502</v>
      </c>
      <c r="D39" s="17">
        <v>0</v>
      </c>
      <c r="E39" s="17" t="s">
        <v>282</v>
      </c>
      <c r="G39" s="17" t="s">
        <v>29</v>
      </c>
      <c r="H39" s="17" t="s">
        <v>29</v>
      </c>
      <c r="I39" s="17">
        <v>2</v>
      </c>
      <c r="J39" s="24" t="s">
        <v>237</v>
      </c>
      <c r="K39" s="17" t="b">
        <v>1</v>
      </c>
      <c r="L39" s="24" t="s">
        <v>38</v>
      </c>
      <c r="M39" s="17">
        <v>2</v>
      </c>
      <c r="N39" s="17" t="s">
        <v>91</v>
      </c>
      <c r="O39" s="17" t="s">
        <v>62</v>
      </c>
      <c r="P39" s="17">
        <v>200</v>
      </c>
      <c r="Q39" s="17">
        <f t="array" ref="Q39">_xlfn.IFS($O39="Attacker",6,$O39="Healer",3,$O39="Magician",4,$O39="Defender",3,$O39="Supporter",4)</f>
        <v>3</v>
      </c>
      <c r="R39" s="17">
        <f t="array" ref="R39">_xlfn.IFS($O39="Attacker",6,$O39="Healer",3,$O39="Magician",4,$O39="Defender",3,$O39="Supporter",4)</f>
        <v>3</v>
      </c>
      <c r="S39" s="17">
        <v>1</v>
      </c>
      <c r="T39" s="17">
        <v>0</v>
      </c>
      <c r="U39" s="17">
        <v>0</v>
      </c>
      <c r="V39" s="17" t="s">
        <v>41</v>
      </c>
      <c r="W39" s="17">
        <f t="array" ref="W39">_xlfn.IFS(O39="Attacker",80,O39="Healer",90,O39="Magician",100,O39="Defender",110,O39="Supporter",120)</f>
        <v>110</v>
      </c>
      <c r="X39" s="17" t="s">
        <v>42</v>
      </c>
      <c r="Y39" s="17">
        <v>300</v>
      </c>
      <c r="Z39" s="17" t="s">
        <v>43</v>
      </c>
      <c r="AA39" s="17">
        <v>200</v>
      </c>
      <c r="AB39" s="17" t="s">
        <v>44</v>
      </c>
      <c r="AC39" s="17">
        <v>20</v>
      </c>
      <c r="AD39" s="17" t="s">
        <v>45</v>
      </c>
      <c r="AE39" s="17">
        <v>0</v>
      </c>
      <c r="AF39" s="17" t="s">
        <v>46</v>
      </c>
      <c r="AG39" s="17">
        <v>100</v>
      </c>
      <c r="AH39" s="17" t="s">
        <v>47</v>
      </c>
      <c r="AI39" s="17">
        <v>100</v>
      </c>
      <c r="AJ39" s="17" t="s">
        <v>48</v>
      </c>
      <c r="AK39" s="17">
        <v>5000</v>
      </c>
      <c r="AL39" s="17" t="s">
        <v>49</v>
      </c>
      <c r="AM39" s="17">
        <v>150000</v>
      </c>
      <c r="AN39" s="17">
        <v>1832011</v>
      </c>
      <c r="AO39" s="17" t="b">
        <v>1</v>
      </c>
      <c r="AP39" s="17">
        <v>2832011</v>
      </c>
      <c r="AQ39" s="17" t="b">
        <v>1</v>
      </c>
      <c r="AR39" s="17">
        <v>0</v>
      </c>
      <c r="AS39" s="17" t="b">
        <v>0</v>
      </c>
      <c r="AT39" s="17">
        <v>0</v>
      </c>
      <c r="AU39" s="17" t="b">
        <v>0</v>
      </c>
    </row>
    <row r="40" spans="1:48" x14ac:dyDescent="0.3">
      <c r="A40" s="17">
        <v>21550302</v>
      </c>
      <c r="B40" s="17" t="s">
        <v>275</v>
      </c>
      <c r="C40" s="17">
        <v>215503</v>
      </c>
      <c r="D40" s="17">
        <v>0</v>
      </c>
      <c r="E40" s="17" t="s">
        <v>283</v>
      </c>
      <c r="G40" s="17" t="s">
        <v>29</v>
      </c>
      <c r="H40" s="17" t="s">
        <v>29</v>
      </c>
      <c r="I40" s="17">
        <v>2</v>
      </c>
      <c r="J40" s="24" t="s">
        <v>237</v>
      </c>
      <c r="K40" s="17" t="b">
        <v>1</v>
      </c>
      <c r="L40" s="24" t="s">
        <v>38</v>
      </c>
      <c r="M40" s="17">
        <v>2</v>
      </c>
      <c r="N40" s="17" t="s">
        <v>72</v>
      </c>
      <c r="O40" s="17" t="s">
        <v>62</v>
      </c>
      <c r="P40" s="17">
        <v>200</v>
      </c>
      <c r="Q40" s="17">
        <f t="array" ref="Q40">_xlfn.IFS($O40="Attacker",6,$O40="Healer",3,$O40="Magician",4,$O40="Defender",3,$O40="Supporter",4)</f>
        <v>3</v>
      </c>
      <c r="R40" s="17">
        <f t="array" ref="R40">_xlfn.IFS($O40="Attacker",6,$O40="Healer",3,$O40="Magician",4,$O40="Defender",3,$O40="Supporter",4)</f>
        <v>3</v>
      </c>
      <c r="S40" s="17">
        <v>1</v>
      </c>
      <c r="T40" s="17">
        <v>0</v>
      </c>
      <c r="U40" s="17">
        <v>0</v>
      </c>
      <c r="V40" s="17" t="s">
        <v>41</v>
      </c>
      <c r="W40" s="17">
        <f t="array" ref="W40">_xlfn.IFS(O40="Attacker",80,O40="Healer",90,O40="Magician",100,O40="Defender",110,O40="Supporter",120)</f>
        <v>110</v>
      </c>
      <c r="X40" s="17" t="s">
        <v>42</v>
      </c>
      <c r="Y40" s="17">
        <v>300</v>
      </c>
      <c r="Z40" s="17" t="s">
        <v>43</v>
      </c>
      <c r="AA40" s="17">
        <v>200</v>
      </c>
      <c r="AB40" s="17" t="s">
        <v>44</v>
      </c>
      <c r="AC40" s="17">
        <v>20</v>
      </c>
      <c r="AD40" s="17" t="s">
        <v>45</v>
      </c>
      <c r="AE40" s="17">
        <v>0</v>
      </c>
      <c r="AF40" s="17" t="s">
        <v>46</v>
      </c>
      <c r="AG40" s="17">
        <v>100</v>
      </c>
      <c r="AH40" s="17" t="s">
        <v>47</v>
      </c>
      <c r="AI40" s="17">
        <v>100</v>
      </c>
      <c r="AJ40" s="17" t="s">
        <v>48</v>
      </c>
      <c r="AK40" s="17">
        <v>5000</v>
      </c>
      <c r="AL40" s="17" t="s">
        <v>49</v>
      </c>
      <c r="AM40" s="17">
        <v>150000</v>
      </c>
      <c r="AN40" s="17">
        <v>1822011</v>
      </c>
      <c r="AO40" s="17" t="b">
        <v>1</v>
      </c>
      <c r="AP40" s="17">
        <v>2822011</v>
      </c>
      <c r="AQ40" s="17" t="b">
        <v>1</v>
      </c>
      <c r="AR40" s="17">
        <v>0</v>
      </c>
      <c r="AS40" s="17" t="b">
        <v>0</v>
      </c>
      <c r="AT40" s="17">
        <v>0</v>
      </c>
      <c r="AU40" s="17" t="b">
        <v>0</v>
      </c>
    </row>
    <row r="41" spans="1:48" x14ac:dyDescent="0.3">
      <c r="A41" s="17">
        <v>21550402</v>
      </c>
      <c r="B41" s="17" t="s">
        <v>277</v>
      </c>
      <c r="C41" s="17">
        <v>215504</v>
      </c>
      <c r="D41" s="17">
        <v>0</v>
      </c>
      <c r="E41" s="17" t="s">
        <v>284</v>
      </c>
      <c r="G41" s="17" t="s">
        <v>29</v>
      </c>
      <c r="H41" s="17" t="s">
        <v>29</v>
      </c>
      <c r="I41" s="17">
        <v>2</v>
      </c>
      <c r="J41" s="24" t="s">
        <v>237</v>
      </c>
      <c r="K41" s="17" t="b">
        <v>1</v>
      </c>
      <c r="L41" s="24" t="s">
        <v>38</v>
      </c>
      <c r="M41" s="17">
        <v>2</v>
      </c>
      <c r="N41" s="17" t="s">
        <v>83</v>
      </c>
      <c r="O41" s="17" t="s">
        <v>62</v>
      </c>
      <c r="P41" s="17">
        <v>200</v>
      </c>
      <c r="Q41" s="17">
        <f t="array" ref="Q41">_xlfn.IFS($O41="Attacker",6,$O41="Healer",3,$O41="Magician",4,$O41="Defender",3,$O41="Supporter",4)</f>
        <v>3</v>
      </c>
      <c r="R41" s="17">
        <f t="array" ref="R41">_xlfn.IFS($O41="Attacker",6,$O41="Healer",3,$O41="Magician",4,$O41="Defender",3,$O41="Supporter",4)</f>
        <v>3</v>
      </c>
      <c r="S41" s="17">
        <v>1</v>
      </c>
      <c r="T41" s="17">
        <v>0</v>
      </c>
      <c r="U41" s="17">
        <v>0</v>
      </c>
      <c r="V41" s="17" t="s">
        <v>41</v>
      </c>
      <c r="W41" s="17">
        <f t="array" ref="W41">_xlfn.IFS(O41="Attacker",80,O41="Healer",90,O41="Magician",100,O41="Defender",110,O41="Supporter",120)</f>
        <v>110</v>
      </c>
      <c r="X41" s="17" t="s">
        <v>42</v>
      </c>
      <c r="Y41" s="17">
        <v>300</v>
      </c>
      <c r="Z41" s="17" t="s">
        <v>43</v>
      </c>
      <c r="AA41" s="17">
        <v>200</v>
      </c>
      <c r="AB41" s="17" t="s">
        <v>44</v>
      </c>
      <c r="AC41" s="17">
        <v>20</v>
      </c>
      <c r="AD41" s="17" t="s">
        <v>45</v>
      </c>
      <c r="AE41" s="17">
        <v>0</v>
      </c>
      <c r="AF41" s="17" t="s">
        <v>46</v>
      </c>
      <c r="AG41" s="17">
        <v>100</v>
      </c>
      <c r="AH41" s="17" t="s">
        <v>47</v>
      </c>
      <c r="AI41" s="17">
        <v>100</v>
      </c>
      <c r="AJ41" s="17" t="s">
        <v>48</v>
      </c>
      <c r="AK41" s="17">
        <v>5000</v>
      </c>
      <c r="AL41" s="17" t="s">
        <v>49</v>
      </c>
      <c r="AM41" s="17">
        <v>150000</v>
      </c>
      <c r="AN41" s="17">
        <v>1852011</v>
      </c>
      <c r="AO41" s="17" t="b">
        <v>1</v>
      </c>
      <c r="AP41" s="17">
        <v>2852011</v>
      </c>
      <c r="AQ41" s="17" t="b">
        <v>1</v>
      </c>
      <c r="AR41" s="17">
        <v>0</v>
      </c>
      <c r="AS41" s="17" t="b">
        <v>0</v>
      </c>
      <c r="AT41" s="17">
        <v>0</v>
      </c>
      <c r="AU41" s="17" t="b">
        <v>0</v>
      </c>
    </row>
    <row r="42" spans="1:48" x14ac:dyDescent="0.3">
      <c r="A42" s="29">
        <v>21550502</v>
      </c>
      <c r="B42" s="29" t="s">
        <v>279</v>
      </c>
      <c r="C42" s="29">
        <v>215505</v>
      </c>
      <c r="D42" s="29">
        <v>0</v>
      </c>
      <c r="E42" s="29" t="s">
        <v>285</v>
      </c>
      <c r="F42" s="29"/>
      <c r="G42" s="29" t="s">
        <v>29</v>
      </c>
      <c r="H42" s="29" t="s">
        <v>29</v>
      </c>
      <c r="I42" s="29">
        <v>2</v>
      </c>
      <c r="J42" s="27" t="s">
        <v>237</v>
      </c>
      <c r="K42" s="17" t="b">
        <v>1</v>
      </c>
      <c r="L42" s="27" t="s">
        <v>38</v>
      </c>
      <c r="M42" s="29">
        <v>2</v>
      </c>
      <c r="N42" s="29" t="s">
        <v>39</v>
      </c>
      <c r="O42" s="29" t="s">
        <v>62</v>
      </c>
      <c r="P42" s="29">
        <v>200</v>
      </c>
      <c r="Q42" s="29">
        <f t="array" ref="Q42">_xlfn.IFS($O42="Attacker",6,$O42="Healer",3,$O42="Magician",4,$O42="Defender",3,$O42="Supporter",4)</f>
        <v>3</v>
      </c>
      <c r="R42" s="29">
        <f t="array" ref="R42">_xlfn.IFS($O42="Attacker",6,$O42="Healer",3,$O42="Magician",4,$O42="Defender",3,$O42="Supporter",4)</f>
        <v>3</v>
      </c>
      <c r="S42" s="29">
        <v>1</v>
      </c>
      <c r="T42" s="29">
        <v>0</v>
      </c>
      <c r="U42" s="29">
        <v>0</v>
      </c>
      <c r="V42" s="29" t="s">
        <v>41</v>
      </c>
      <c r="W42" s="29">
        <f t="array" ref="W42">_xlfn.IFS(O42="Attacker",80,O42="Healer",90,O42="Magician",100,O42="Defender",110,O42="Supporter",120)</f>
        <v>110</v>
      </c>
      <c r="X42" s="29" t="s">
        <v>42</v>
      </c>
      <c r="Y42" s="29">
        <v>300</v>
      </c>
      <c r="Z42" s="29" t="s">
        <v>43</v>
      </c>
      <c r="AA42" s="29">
        <v>200</v>
      </c>
      <c r="AB42" s="29" t="s">
        <v>44</v>
      </c>
      <c r="AC42" s="29">
        <v>20</v>
      </c>
      <c r="AD42" s="29" t="s">
        <v>45</v>
      </c>
      <c r="AE42" s="17">
        <v>0</v>
      </c>
      <c r="AF42" s="29" t="s">
        <v>46</v>
      </c>
      <c r="AG42" s="29">
        <v>100</v>
      </c>
      <c r="AH42" s="29" t="s">
        <v>47</v>
      </c>
      <c r="AI42" s="29">
        <v>100</v>
      </c>
      <c r="AJ42" s="29" t="s">
        <v>48</v>
      </c>
      <c r="AK42" s="29">
        <v>5000</v>
      </c>
      <c r="AL42" s="29" t="s">
        <v>49</v>
      </c>
      <c r="AM42" s="29">
        <v>150000</v>
      </c>
      <c r="AN42" s="29">
        <v>1852011</v>
      </c>
      <c r="AO42" s="29" t="b">
        <v>1</v>
      </c>
      <c r="AP42" s="29">
        <v>2852011</v>
      </c>
      <c r="AQ42" s="29" t="b">
        <v>1</v>
      </c>
      <c r="AR42" s="29">
        <v>0</v>
      </c>
      <c r="AS42" s="29" t="b">
        <v>0</v>
      </c>
      <c r="AT42" s="29">
        <v>0</v>
      </c>
      <c r="AU42" s="29" t="b">
        <v>0</v>
      </c>
    </row>
    <row r="43" spans="1:48" s="11" customFormat="1" x14ac:dyDescent="0.3">
      <c r="A43" s="17">
        <v>21550103</v>
      </c>
      <c r="B43" s="17" t="s">
        <v>271</v>
      </c>
      <c r="C43" s="17">
        <v>215501</v>
      </c>
      <c r="D43" s="17">
        <v>0</v>
      </c>
      <c r="E43" s="17" t="s">
        <v>286</v>
      </c>
      <c r="F43" s="17"/>
      <c r="G43" s="17" t="s">
        <v>29</v>
      </c>
      <c r="H43" s="17" t="s">
        <v>29</v>
      </c>
      <c r="I43" s="17">
        <v>3</v>
      </c>
      <c r="J43" s="24" t="s">
        <v>237</v>
      </c>
      <c r="K43" s="17" t="b">
        <v>1</v>
      </c>
      <c r="L43" s="24" t="s">
        <v>38</v>
      </c>
      <c r="M43" s="17">
        <v>2</v>
      </c>
      <c r="N43" s="17" t="s">
        <v>61</v>
      </c>
      <c r="O43" s="17" t="s">
        <v>62</v>
      </c>
      <c r="P43" s="17">
        <v>200</v>
      </c>
      <c r="Q43" s="17">
        <f t="array" ref="Q43">_xlfn.IFS($O43="Attacker",6,$O43="Healer",3,$O43="Magician",4,$O43="Defender",3,$O43="Supporter",4)</f>
        <v>3</v>
      </c>
      <c r="R43" s="17">
        <f t="array" ref="R43">_xlfn.IFS($O43="Attacker",6,$O43="Healer",3,$O43="Magician",4,$O43="Defender",3,$O43="Supporter",4)</f>
        <v>3</v>
      </c>
      <c r="S43" s="17">
        <v>1</v>
      </c>
      <c r="T43" s="17">
        <v>0</v>
      </c>
      <c r="U43" s="17">
        <v>0</v>
      </c>
      <c r="V43" s="17" t="s">
        <v>41</v>
      </c>
      <c r="W43" s="17">
        <f t="array" ref="W43">_xlfn.IFS(O43="Attacker",80,O43="Healer",90,O43="Magician",100,O43="Defender",110,O43="Supporter",120)</f>
        <v>110</v>
      </c>
      <c r="X43" s="17" t="s">
        <v>42</v>
      </c>
      <c r="Y43" s="17">
        <v>36000</v>
      </c>
      <c r="Z43" s="17" t="s">
        <v>43</v>
      </c>
      <c r="AA43" s="17">
        <v>450</v>
      </c>
      <c r="AB43" s="17" t="s">
        <v>44</v>
      </c>
      <c r="AC43" s="17">
        <v>0</v>
      </c>
      <c r="AD43" s="17" t="s">
        <v>45</v>
      </c>
      <c r="AE43" s="17">
        <v>0</v>
      </c>
      <c r="AF43" s="17" t="s">
        <v>46</v>
      </c>
      <c r="AG43" s="17">
        <v>100</v>
      </c>
      <c r="AH43" s="17" t="s">
        <v>47</v>
      </c>
      <c r="AI43" s="17">
        <v>80</v>
      </c>
      <c r="AJ43" s="17" t="s">
        <v>48</v>
      </c>
      <c r="AK43" s="17">
        <v>0</v>
      </c>
      <c r="AL43" s="17" t="s">
        <v>49</v>
      </c>
      <c r="AM43" s="17">
        <v>150000</v>
      </c>
      <c r="AN43" s="17">
        <v>1812011</v>
      </c>
      <c r="AO43" s="17" t="b">
        <v>1</v>
      </c>
      <c r="AP43" s="17">
        <v>2812011</v>
      </c>
      <c r="AQ43" s="17" t="b">
        <v>1</v>
      </c>
      <c r="AR43" s="17">
        <v>0</v>
      </c>
      <c r="AS43" s="17" t="b">
        <v>0</v>
      </c>
      <c r="AT43" s="17">
        <v>0</v>
      </c>
      <c r="AU43" s="17" t="b">
        <v>0</v>
      </c>
    </row>
    <row r="44" spans="1:48" x14ac:dyDescent="0.3">
      <c r="A44" s="17">
        <v>21550203</v>
      </c>
      <c r="B44" s="17" t="s">
        <v>273</v>
      </c>
      <c r="C44" s="17">
        <v>215502</v>
      </c>
      <c r="D44" s="17">
        <v>0</v>
      </c>
      <c r="E44" s="17" t="s">
        <v>287</v>
      </c>
      <c r="G44" s="17" t="s">
        <v>29</v>
      </c>
      <c r="H44" s="17" t="s">
        <v>29</v>
      </c>
      <c r="I44" s="17">
        <v>3</v>
      </c>
      <c r="J44" s="24" t="s">
        <v>237</v>
      </c>
      <c r="K44" s="17" t="b">
        <v>1</v>
      </c>
      <c r="L44" s="24" t="s">
        <v>38</v>
      </c>
      <c r="M44" s="17">
        <v>2</v>
      </c>
      <c r="N44" s="17" t="s">
        <v>91</v>
      </c>
      <c r="O44" s="17" t="s">
        <v>62</v>
      </c>
      <c r="P44" s="17">
        <v>200</v>
      </c>
      <c r="Q44" s="17">
        <f t="array" ref="Q44">_xlfn.IFS($O44="Attacker",6,$O44="Healer",3,$O44="Magician",4,$O44="Defender",3,$O44="Supporter",4)</f>
        <v>3</v>
      </c>
      <c r="R44" s="17">
        <f t="array" ref="R44">_xlfn.IFS($O44="Attacker",6,$O44="Healer",3,$O44="Magician",4,$O44="Defender",3,$O44="Supporter",4)</f>
        <v>3</v>
      </c>
      <c r="S44" s="17">
        <v>1</v>
      </c>
      <c r="T44" s="17">
        <v>0</v>
      </c>
      <c r="U44" s="17">
        <v>0</v>
      </c>
      <c r="V44" s="17" t="s">
        <v>41</v>
      </c>
      <c r="W44" s="17">
        <f t="array" ref="W44">_xlfn.IFS(O44="Attacker",80,O44="Healer",90,O44="Magician",100,O44="Defender",110,O44="Supporter",120)</f>
        <v>110</v>
      </c>
      <c r="X44" s="17" t="s">
        <v>42</v>
      </c>
      <c r="Y44" s="17">
        <v>36000</v>
      </c>
      <c r="Z44" s="17" t="s">
        <v>43</v>
      </c>
      <c r="AA44" s="17">
        <v>450</v>
      </c>
      <c r="AB44" s="17" t="s">
        <v>44</v>
      </c>
      <c r="AC44" s="17">
        <v>0</v>
      </c>
      <c r="AD44" s="17" t="s">
        <v>45</v>
      </c>
      <c r="AE44" s="17">
        <v>0</v>
      </c>
      <c r="AF44" s="17" t="s">
        <v>46</v>
      </c>
      <c r="AG44" s="17">
        <v>120</v>
      </c>
      <c r="AH44" s="17" t="s">
        <v>47</v>
      </c>
      <c r="AI44" s="17">
        <v>80</v>
      </c>
      <c r="AJ44" s="17" t="s">
        <v>48</v>
      </c>
      <c r="AK44" s="17">
        <v>0</v>
      </c>
      <c r="AL44" s="17" t="s">
        <v>49</v>
      </c>
      <c r="AM44" s="17">
        <v>150000</v>
      </c>
      <c r="AN44" s="17">
        <v>1832011</v>
      </c>
      <c r="AO44" s="17" t="b">
        <v>1</v>
      </c>
      <c r="AP44" s="17">
        <v>2832011</v>
      </c>
      <c r="AQ44" s="17" t="b">
        <v>1</v>
      </c>
      <c r="AR44" s="17">
        <v>0</v>
      </c>
      <c r="AS44" s="17" t="b">
        <v>0</v>
      </c>
      <c r="AT44" s="17">
        <v>0</v>
      </c>
      <c r="AU44" s="17" t="b">
        <v>0</v>
      </c>
    </row>
    <row r="45" spans="1:48" x14ac:dyDescent="0.3">
      <c r="A45" s="17">
        <v>21550303</v>
      </c>
      <c r="B45" s="17" t="s">
        <v>275</v>
      </c>
      <c r="C45" s="17">
        <v>215503</v>
      </c>
      <c r="D45" s="17">
        <v>0</v>
      </c>
      <c r="E45" s="17" t="s">
        <v>288</v>
      </c>
      <c r="G45" s="17" t="s">
        <v>29</v>
      </c>
      <c r="H45" s="17" t="s">
        <v>29</v>
      </c>
      <c r="I45" s="17">
        <v>3</v>
      </c>
      <c r="J45" s="24" t="s">
        <v>237</v>
      </c>
      <c r="K45" s="17" t="b">
        <v>1</v>
      </c>
      <c r="L45" s="24" t="s">
        <v>38</v>
      </c>
      <c r="M45" s="17">
        <v>2</v>
      </c>
      <c r="N45" s="17" t="s">
        <v>72</v>
      </c>
      <c r="O45" s="17" t="s">
        <v>62</v>
      </c>
      <c r="P45" s="17">
        <v>200</v>
      </c>
      <c r="Q45" s="17">
        <f t="array" ref="Q45">_xlfn.IFS($O45="Attacker",6,$O45="Healer",3,$O45="Magician",4,$O45="Defender",3,$O45="Supporter",4)</f>
        <v>3</v>
      </c>
      <c r="R45" s="17">
        <f t="array" ref="R45">_xlfn.IFS($O45="Attacker",6,$O45="Healer",3,$O45="Magician",4,$O45="Defender",3,$O45="Supporter",4)</f>
        <v>3</v>
      </c>
      <c r="S45" s="17">
        <v>1</v>
      </c>
      <c r="T45" s="17">
        <v>0</v>
      </c>
      <c r="U45" s="17">
        <v>0</v>
      </c>
      <c r="V45" s="17" t="s">
        <v>41</v>
      </c>
      <c r="W45" s="17">
        <f t="array" ref="W45">_xlfn.IFS(O45="Attacker",80,O45="Healer",90,O45="Magician",100,O45="Defender",110,O45="Supporter",120)</f>
        <v>110</v>
      </c>
      <c r="X45" s="17" t="s">
        <v>42</v>
      </c>
      <c r="Y45" s="17">
        <v>39600</v>
      </c>
      <c r="Z45" s="17" t="s">
        <v>43</v>
      </c>
      <c r="AA45" s="17">
        <v>450</v>
      </c>
      <c r="AB45" s="17" t="s">
        <v>44</v>
      </c>
      <c r="AC45" s="17">
        <v>0</v>
      </c>
      <c r="AD45" s="17" t="s">
        <v>45</v>
      </c>
      <c r="AE45" s="17">
        <v>0</v>
      </c>
      <c r="AF45" s="17" t="s">
        <v>46</v>
      </c>
      <c r="AG45" s="17">
        <v>100</v>
      </c>
      <c r="AH45" s="17" t="s">
        <v>47</v>
      </c>
      <c r="AI45" s="17">
        <v>80</v>
      </c>
      <c r="AJ45" s="17" t="s">
        <v>48</v>
      </c>
      <c r="AK45" s="17">
        <v>0</v>
      </c>
      <c r="AL45" s="17" t="s">
        <v>49</v>
      </c>
      <c r="AM45" s="17">
        <v>150000</v>
      </c>
      <c r="AN45" s="17">
        <v>1822011</v>
      </c>
      <c r="AO45" s="17" t="b">
        <v>1</v>
      </c>
      <c r="AP45" s="17">
        <v>2822011</v>
      </c>
      <c r="AQ45" s="17" t="b">
        <v>1</v>
      </c>
      <c r="AR45" s="17">
        <v>0</v>
      </c>
      <c r="AS45" s="17" t="b">
        <v>0</v>
      </c>
      <c r="AT45" s="17">
        <v>0</v>
      </c>
      <c r="AU45" s="17" t="b">
        <v>0</v>
      </c>
    </row>
    <row r="46" spans="1:48" x14ac:dyDescent="0.3">
      <c r="A46" s="17">
        <v>21550403</v>
      </c>
      <c r="B46" s="17" t="s">
        <v>277</v>
      </c>
      <c r="C46" s="17">
        <v>215504</v>
      </c>
      <c r="D46" s="17">
        <v>0</v>
      </c>
      <c r="E46" s="17" t="s">
        <v>289</v>
      </c>
      <c r="G46" s="17" t="s">
        <v>29</v>
      </c>
      <c r="H46" s="17" t="s">
        <v>29</v>
      </c>
      <c r="I46" s="17">
        <v>3</v>
      </c>
      <c r="J46" s="24" t="s">
        <v>237</v>
      </c>
      <c r="K46" s="17" t="b">
        <v>1</v>
      </c>
      <c r="L46" s="24" t="s">
        <v>38</v>
      </c>
      <c r="M46" s="17">
        <v>2</v>
      </c>
      <c r="N46" s="17" t="s">
        <v>83</v>
      </c>
      <c r="O46" s="17" t="s">
        <v>62</v>
      </c>
      <c r="P46" s="17">
        <v>200</v>
      </c>
      <c r="Q46" s="17">
        <f t="array" ref="Q46">_xlfn.IFS($O46="Attacker",6,$O46="Healer",3,$O46="Magician",4,$O46="Defender",3,$O46="Supporter",4)</f>
        <v>3</v>
      </c>
      <c r="R46" s="17">
        <f t="array" ref="R46">_xlfn.IFS($O46="Attacker",6,$O46="Healer",3,$O46="Magician",4,$O46="Defender",3,$O46="Supporter",4)</f>
        <v>3</v>
      </c>
      <c r="S46" s="17">
        <v>1</v>
      </c>
      <c r="T46" s="17">
        <v>0</v>
      </c>
      <c r="U46" s="17">
        <v>0</v>
      </c>
      <c r="V46" s="17" t="s">
        <v>41</v>
      </c>
      <c r="W46" s="17">
        <f t="array" ref="W46">_xlfn.IFS(O46="Attacker",80,O46="Healer",90,O46="Magician",100,O46="Defender",110,O46="Supporter",120)</f>
        <v>110</v>
      </c>
      <c r="X46" s="17" t="s">
        <v>42</v>
      </c>
      <c r="Y46" s="17">
        <v>36000</v>
      </c>
      <c r="Z46" s="17" t="s">
        <v>43</v>
      </c>
      <c r="AA46" s="17">
        <v>450</v>
      </c>
      <c r="AB46" s="17" t="s">
        <v>44</v>
      </c>
      <c r="AC46" s="17">
        <v>0</v>
      </c>
      <c r="AD46" s="17" t="s">
        <v>45</v>
      </c>
      <c r="AE46" s="17">
        <v>0</v>
      </c>
      <c r="AF46" s="17" t="s">
        <v>46</v>
      </c>
      <c r="AG46" s="17">
        <v>100</v>
      </c>
      <c r="AH46" s="17" t="s">
        <v>47</v>
      </c>
      <c r="AI46" s="17">
        <v>104</v>
      </c>
      <c r="AJ46" s="17" t="s">
        <v>48</v>
      </c>
      <c r="AK46" s="17">
        <v>0</v>
      </c>
      <c r="AL46" s="17" t="s">
        <v>49</v>
      </c>
      <c r="AM46" s="17">
        <v>150000</v>
      </c>
      <c r="AN46" s="17">
        <v>1852011</v>
      </c>
      <c r="AO46" s="17" t="b">
        <v>1</v>
      </c>
      <c r="AP46" s="17">
        <v>2852011</v>
      </c>
      <c r="AQ46" s="17" t="b">
        <v>1</v>
      </c>
      <c r="AR46" s="17">
        <v>0</v>
      </c>
      <c r="AS46" s="17" t="b">
        <v>0</v>
      </c>
      <c r="AT46" s="17">
        <v>0</v>
      </c>
      <c r="AU46" s="17" t="b">
        <v>0</v>
      </c>
    </row>
    <row r="47" spans="1:48" x14ac:dyDescent="0.3">
      <c r="A47" s="29">
        <v>21550503</v>
      </c>
      <c r="B47" s="29" t="s">
        <v>279</v>
      </c>
      <c r="C47" s="29">
        <v>215505</v>
      </c>
      <c r="D47" s="29">
        <v>0</v>
      </c>
      <c r="E47" s="29" t="s">
        <v>290</v>
      </c>
      <c r="F47" s="29"/>
      <c r="G47" s="29" t="s">
        <v>29</v>
      </c>
      <c r="H47" s="29" t="s">
        <v>29</v>
      </c>
      <c r="I47" s="29">
        <v>3</v>
      </c>
      <c r="J47" s="27" t="s">
        <v>237</v>
      </c>
      <c r="K47" s="17" t="b">
        <v>1</v>
      </c>
      <c r="L47" s="27" t="s">
        <v>38</v>
      </c>
      <c r="M47" s="29">
        <v>2</v>
      </c>
      <c r="N47" s="29" t="s">
        <v>39</v>
      </c>
      <c r="O47" s="29" t="s">
        <v>62</v>
      </c>
      <c r="P47" s="29">
        <v>200</v>
      </c>
      <c r="Q47" s="29">
        <f t="array" ref="Q47">_xlfn.IFS($O47="Attacker",6,$O47="Healer",3,$O47="Magician",4,$O47="Defender",3,$O47="Supporter",4)</f>
        <v>3</v>
      </c>
      <c r="R47" s="29">
        <f t="array" ref="R47">_xlfn.IFS($O47="Attacker",6,$O47="Healer",3,$O47="Magician",4,$O47="Defender",3,$O47="Supporter",4)</f>
        <v>3</v>
      </c>
      <c r="S47" s="29">
        <v>1</v>
      </c>
      <c r="T47" s="29">
        <v>0</v>
      </c>
      <c r="U47" s="29">
        <v>0</v>
      </c>
      <c r="V47" s="29" t="s">
        <v>41</v>
      </c>
      <c r="W47" s="29">
        <f t="array" ref="W47">_xlfn.IFS(O47="Attacker",80,O47="Healer",90,O47="Magician",100,O47="Defender",110,O47="Supporter",120)</f>
        <v>110</v>
      </c>
      <c r="X47" s="29" t="s">
        <v>42</v>
      </c>
      <c r="Y47" s="17">
        <v>36000</v>
      </c>
      <c r="Z47" s="29" t="s">
        <v>43</v>
      </c>
      <c r="AA47" s="17">
        <v>450</v>
      </c>
      <c r="AB47" s="29" t="s">
        <v>44</v>
      </c>
      <c r="AC47" s="17">
        <v>0</v>
      </c>
      <c r="AD47" s="29" t="s">
        <v>45</v>
      </c>
      <c r="AE47" s="29">
        <v>0</v>
      </c>
      <c r="AF47" s="29" t="s">
        <v>46</v>
      </c>
      <c r="AG47" s="29">
        <v>100</v>
      </c>
      <c r="AH47" s="29" t="s">
        <v>47</v>
      </c>
      <c r="AI47" s="29">
        <v>80</v>
      </c>
      <c r="AJ47" s="29" t="s">
        <v>48</v>
      </c>
      <c r="AK47" s="29">
        <v>0</v>
      </c>
      <c r="AL47" s="29" t="s">
        <v>49</v>
      </c>
      <c r="AM47" s="29">
        <v>150000</v>
      </c>
      <c r="AN47" s="29">
        <v>1852011</v>
      </c>
      <c r="AO47" s="29" t="b">
        <v>1</v>
      </c>
      <c r="AP47" s="29">
        <v>2852011</v>
      </c>
      <c r="AQ47" s="29" t="b">
        <v>1</v>
      </c>
      <c r="AR47" s="29">
        <v>0</v>
      </c>
      <c r="AS47" s="29" t="b">
        <v>0</v>
      </c>
      <c r="AT47" s="29">
        <v>0</v>
      </c>
      <c r="AU47" s="29" t="b">
        <v>0</v>
      </c>
    </row>
    <row r="48" spans="1:48" s="11" customFormat="1" x14ac:dyDescent="0.3">
      <c r="A48" s="17">
        <v>21550104</v>
      </c>
      <c r="B48" s="17" t="s">
        <v>271</v>
      </c>
      <c r="C48" s="17">
        <v>215501</v>
      </c>
      <c r="D48" s="17">
        <v>0</v>
      </c>
      <c r="E48" s="17" t="s">
        <v>291</v>
      </c>
      <c r="F48" s="17"/>
      <c r="G48" s="17" t="s">
        <v>29</v>
      </c>
      <c r="H48" s="17" t="s">
        <v>29</v>
      </c>
      <c r="I48" s="17">
        <v>4</v>
      </c>
      <c r="J48" s="24" t="s">
        <v>237</v>
      </c>
      <c r="K48" s="17" t="b">
        <v>1</v>
      </c>
      <c r="L48" s="24" t="s">
        <v>38</v>
      </c>
      <c r="M48" s="17">
        <v>2</v>
      </c>
      <c r="N48" s="17" t="s">
        <v>61</v>
      </c>
      <c r="O48" s="17" t="s">
        <v>62</v>
      </c>
      <c r="P48" s="17">
        <v>200</v>
      </c>
      <c r="Q48" s="17">
        <f t="array" ref="Q48">_xlfn.IFS($O48="Attacker",6,$O48="Healer",3,$O48="Magician",4,$O48="Defender",3,$O48="Supporter",4)</f>
        <v>3</v>
      </c>
      <c r="R48" s="17">
        <f t="array" ref="R48">_xlfn.IFS($O48="Attacker",6,$O48="Healer",3,$O48="Magician",4,$O48="Defender",3,$O48="Supporter",4)</f>
        <v>3</v>
      </c>
      <c r="S48" s="17">
        <v>1</v>
      </c>
      <c r="T48" s="17">
        <v>0</v>
      </c>
      <c r="U48" s="17">
        <v>0</v>
      </c>
      <c r="V48" s="17" t="s">
        <v>41</v>
      </c>
      <c r="W48" s="17">
        <f t="array" ref="W48">_xlfn.IFS(O48="Attacker",80,O48="Healer",90,O48="Magician",100,O48="Defender",110,O48="Supporter",120)</f>
        <v>110</v>
      </c>
      <c r="X48" s="17" t="s">
        <v>42</v>
      </c>
      <c r="Y48" s="17">
        <v>90000</v>
      </c>
      <c r="Z48" s="17" t="s">
        <v>43</v>
      </c>
      <c r="AA48" s="17">
        <v>675</v>
      </c>
      <c r="AB48" s="17" t="s">
        <v>44</v>
      </c>
      <c r="AC48" s="17">
        <v>0</v>
      </c>
      <c r="AD48" s="17" t="s">
        <v>45</v>
      </c>
      <c r="AE48" s="17">
        <v>0</v>
      </c>
      <c r="AF48" s="17" t="s">
        <v>46</v>
      </c>
      <c r="AG48" s="17">
        <v>100</v>
      </c>
      <c r="AH48" s="17" t="s">
        <v>47</v>
      </c>
      <c r="AI48" s="17">
        <v>80</v>
      </c>
      <c r="AJ48" s="17" t="s">
        <v>48</v>
      </c>
      <c r="AK48" s="17">
        <v>0</v>
      </c>
      <c r="AL48" s="17" t="s">
        <v>49</v>
      </c>
      <c r="AM48" s="17">
        <v>150000</v>
      </c>
      <c r="AN48" s="17">
        <v>1812011</v>
      </c>
      <c r="AO48" s="17" t="b">
        <v>1</v>
      </c>
      <c r="AP48" s="17">
        <v>2812011</v>
      </c>
      <c r="AQ48" s="17" t="b">
        <v>1</v>
      </c>
      <c r="AR48" s="17">
        <v>0</v>
      </c>
      <c r="AS48" s="17" t="b">
        <v>0</v>
      </c>
      <c r="AT48" s="17">
        <v>0</v>
      </c>
      <c r="AU48" s="17" t="b">
        <v>0</v>
      </c>
    </row>
    <row r="49" spans="1:47" x14ac:dyDescent="0.3">
      <c r="A49" s="17">
        <v>21550204</v>
      </c>
      <c r="B49" s="17" t="s">
        <v>273</v>
      </c>
      <c r="C49" s="17">
        <v>215502</v>
      </c>
      <c r="D49" s="17">
        <v>0</v>
      </c>
      <c r="E49" s="17" t="s">
        <v>292</v>
      </c>
      <c r="G49" s="17" t="s">
        <v>29</v>
      </c>
      <c r="H49" s="17" t="s">
        <v>29</v>
      </c>
      <c r="I49" s="17">
        <v>4</v>
      </c>
      <c r="J49" s="24" t="s">
        <v>237</v>
      </c>
      <c r="K49" s="17" t="b">
        <v>1</v>
      </c>
      <c r="L49" s="24" t="s">
        <v>38</v>
      </c>
      <c r="M49" s="17">
        <v>2</v>
      </c>
      <c r="N49" s="17" t="s">
        <v>91</v>
      </c>
      <c r="O49" s="17" t="s">
        <v>62</v>
      </c>
      <c r="P49" s="17">
        <v>200</v>
      </c>
      <c r="Q49" s="17">
        <f t="array" ref="Q49">_xlfn.IFS($O49="Attacker",6,$O49="Healer",3,$O49="Magician",4,$O49="Defender",3,$O49="Supporter",4)</f>
        <v>3</v>
      </c>
      <c r="R49" s="17">
        <f t="array" ref="R49">_xlfn.IFS($O49="Attacker",6,$O49="Healer",3,$O49="Magician",4,$O49="Defender",3,$O49="Supporter",4)</f>
        <v>3</v>
      </c>
      <c r="S49" s="17">
        <v>1</v>
      </c>
      <c r="T49" s="17">
        <v>0</v>
      </c>
      <c r="U49" s="17">
        <v>0</v>
      </c>
      <c r="V49" s="17" t="s">
        <v>41</v>
      </c>
      <c r="W49" s="17">
        <f t="array" ref="W49">_xlfn.IFS(O49="Attacker",80,O49="Healer",90,O49="Magician",100,O49="Defender",110,O49="Supporter",120)</f>
        <v>110</v>
      </c>
      <c r="X49" s="17" t="s">
        <v>42</v>
      </c>
      <c r="Y49" s="17">
        <v>90000</v>
      </c>
      <c r="Z49" s="17" t="s">
        <v>43</v>
      </c>
      <c r="AA49" s="17">
        <v>675</v>
      </c>
      <c r="AB49" s="17" t="s">
        <v>44</v>
      </c>
      <c r="AC49" s="17">
        <v>0</v>
      </c>
      <c r="AD49" s="17" t="s">
        <v>45</v>
      </c>
      <c r="AE49" s="17">
        <v>0</v>
      </c>
      <c r="AF49" s="17" t="s">
        <v>46</v>
      </c>
      <c r="AG49" s="17">
        <v>120</v>
      </c>
      <c r="AH49" s="17" t="s">
        <v>47</v>
      </c>
      <c r="AI49" s="17">
        <v>80</v>
      </c>
      <c r="AJ49" s="17" t="s">
        <v>48</v>
      </c>
      <c r="AK49" s="17">
        <v>0</v>
      </c>
      <c r="AL49" s="17" t="s">
        <v>49</v>
      </c>
      <c r="AM49" s="17">
        <v>150000</v>
      </c>
      <c r="AN49" s="17">
        <v>1832011</v>
      </c>
      <c r="AO49" s="17" t="b">
        <v>1</v>
      </c>
      <c r="AP49" s="17">
        <v>2832011</v>
      </c>
      <c r="AQ49" s="17" t="b">
        <v>1</v>
      </c>
      <c r="AR49" s="17">
        <v>0</v>
      </c>
      <c r="AS49" s="17" t="b">
        <v>0</v>
      </c>
      <c r="AT49" s="17">
        <v>0</v>
      </c>
      <c r="AU49" s="17" t="b">
        <v>0</v>
      </c>
    </row>
    <row r="50" spans="1:47" x14ac:dyDescent="0.3">
      <c r="A50" s="17">
        <v>21550304</v>
      </c>
      <c r="B50" s="17" t="s">
        <v>275</v>
      </c>
      <c r="C50" s="17">
        <v>215503</v>
      </c>
      <c r="D50" s="17">
        <v>0</v>
      </c>
      <c r="E50" s="17" t="s">
        <v>293</v>
      </c>
      <c r="G50" s="17" t="s">
        <v>29</v>
      </c>
      <c r="H50" s="17" t="s">
        <v>29</v>
      </c>
      <c r="I50" s="17">
        <v>4</v>
      </c>
      <c r="J50" s="24" t="s">
        <v>237</v>
      </c>
      <c r="K50" s="17" t="b">
        <v>1</v>
      </c>
      <c r="L50" s="24" t="s">
        <v>38</v>
      </c>
      <c r="M50" s="17">
        <v>2</v>
      </c>
      <c r="N50" s="17" t="s">
        <v>72</v>
      </c>
      <c r="O50" s="17" t="s">
        <v>62</v>
      </c>
      <c r="P50" s="17">
        <v>200</v>
      </c>
      <c r="Q50" s="17">
        <f t="array" ref="Q50">_xlfn.IFS($O50="Attacker",6,$O50="Healer",3,$O50="Magician",4,$O50="Defender",3,$O50="Supporter",4)</f>
        <v>3</v>
      </c>
      <c r="R50" s="17">
        <f t="array" ref="R50">_xlfn.IFS($O50="Attacker",6,$O50="Healer",3,$O50="Magician",4,$O50="Defender",3,$O50="Supporter",4)</f>
        <v>3</v>
      </c>
      <c r="S50" s="17">
        <v>1</v>
      </c>
      <c r="T50" s="17">
        <v>0</v>
      </c>
      <c r="U50" s="17">
        <v>0</v>
      </c>
      <c r="V50" s="17" t="s">
        <v>41</v>
      </c>
      <c r="W50" s="17">
        <f t="array" ref="W50">_xlfn.IFS(O50="Attacker",80,O50="Healer",90,O50="Magician",100,O50="Defender",110,O50="Supporter",120)</f>
        <v>110</v>
      </c>
      <c r="X50" s="17" t="s">
        <v>42</v>
      </c>
      <c r="Y50" s="17">
        <v>99000</v>
      </c>
      <c r="Z50" s="17" t="s">
        <v>43</v>
      </c>
      <c r="AA50" s="17">
        <v>675</v>
      </c>
      <c r="AB50" s="17" t="s">
        <v>44</v>
      </c>
      <c r="AC50" s="17">
        <v>0</v>
      </c>
      <c r="AD50" s="17" t="s">
        <v>45</v>
      </c>
      <c r="AE50" s="17">
        <v>0</v>
      </c>
      <c r="AF50" s="17" t="s">
        <v>46</v>
      </c>
      <c r="AG50" s="17">
        <v>100</v>
      </c>
      <c r="AH50" s="17" t="s">
        <v>47</v>
      </c>
      <c r="AI50" s="17">
        <v>80</v>
      </c>
      <c r="AJ50" s="17" t="s">
        <v>48</v>
      </c>
      <c r="AK50" s="17">
        <v>0</v>
      </c>
      <c r="AL50" s="17" t="s">
        <v>49</v>
      </c>
      <c r="AM50" s="17">
        <v>150000</v>
      </c>
      <c r="AN50" s="17">
        <v>1822011</v>
      </c>
      <c r="AO50" s="17" t="b">
        <v>1</v>
      </c>
      <c r="AP50" s="17">
        <v>2822011</v>
      </c>
      <c r="AQ50" s="17" t="b">
        <v>1</v>
      </c>
      <c r="AR50" s="17">
        <v>0</v>
      </c>
      <c r="AS50" s="17" t="b">
        <v>0</v>
      </c>
      <c r="AT50" s="17">
        <v>0</v>
      </c>
      <c r="AU50" s="17" t="b">
        <v>0</v>
      </c>
    </row>
    <row r="51" spans="1:47" x14ac:dyDescent="0.3">
      <c r="A51" s="17">
        <v>21550404</v>
      </c>
      <c r="B51" s="17" t="s">
        <v>277</v>
      </c>
      <c r="C51" s="17">
        <v>215504</v>
      </c>
      <c r="D51" s="17">
        <v>0</v>
      </c>
      <c r="E51" s="17" t="s">
        <v>294</v>
      </c>
      <c r="G51" s="17" t="s">
        <v>29</v>
      </c>
      <c r="H51" s="17" t="s">
        <v>29</v>
      </c>
      <c r="I51" s="17">
        <v>4</v>
      </c>
      <c r="J51" s="24" t="s">
        <v>237</v>
      </c>
      <c r="K51" s="17" t="b">
        <v>1</v>
      </c>
      <c r="L51" s="24" t="s">
        <v>38</v>
      </c>
      <c r="M51" s="17">
        <v>2</v>
      </c>
      <c r="N51" s="17" t="s">
        <v>83</v>
      </c>
      <c r="O51" s="17" t="s">
        <v>62</v>
      </c>
      <c r="P51" s="17">
        <v>200</v>
      </c>
      <c r="Q51" s="17">
        <f t="array" ref="Q51">_xlfn.IFS($O51="Attacker",6,$O51="Healer",3,$O51="Magician",4,$O51="Defender",3,$O51="Supporter",4)</f>
        <v>3</v>
      </c>
      <c r="R51" s="17">
        <f t="array" ref="R51">_xlfn.IFS($O51="Attacker",6,$O51="Healer",3,$O51="Magician",4,$O51="Defender",3,$O51="Supporter",4)</f>
        <v>3</v>
      </c>
      <c r="S51" s="17">
        <v>1</v>
      </c>
      <c r="T51" s="17">
        <v>0</v>
      </c>
      <c r="U51" s="17">
        <v>0</v>
      </c>
      <c r="V51" s="17" t="s">
        <v>41</v>
      </c>
      <c r="W51" s="17">
        <f t="array" ref="W51">_xlfn.IFS(O51="Attacker",80,O51="Healer",90,O51="Magician",100,O51="Defender",110,O51="Supporter",120)</f>
        <v>110</v>
      </c>
      <c r="X51" s="17" t="s">
        <v>42</v>
      </c>
      <c r="Y51" s="17">
        <v>90000</v>
      </c>
      <c r="Z51" s="17" t="s">
        <v>43</v>
      </c>
      <c r="AA51" s="17">
        <v>675</v>
      </c>
      <c r="AB51" s="17" t="s">
        <v>44</v>
      </c>
      <c r="AC51" s="17">
        <v>0</v>
      </c>
      <c r="AD51" s="17" t="s">
        <v>45</v>
      </c>
      <c r="AE51" s="17">
        <v>0</v>
      </c>
      <c r="AF51" s="17" t="s">
        <v>46</v>
      </c>
      <c r="AG51" s="17">
        <v>100</v>
      </c>
      <c r="AH51" s="17" t="s">
        <v>47</v>
      </c>
      <c r="AI51" s="17">
        <v>104</v>
      </c>
      <c r="AJ51" s="17" t="s">
        <v>48</v>
      </c>
      <c r="AK51" s="17">
        <v>0</v>
      </c>
      <c r="AL51" s="17" t="s">
        <v>49</v>
      </c>
      <c r="AM51" s="17">
        <v>150000</v>
      </c>
      <c r="AN51" s="17">
        <v>1852011</v>
      </c>
      <c r="AO51" s="17" t="b">
        <v>1</v>
      </c>
      <c r="AP51" s="17">
        <v>2852011</v>
      </c>
      <c r="AQ51" s="17" t="b">
        <v>1</v>
      </c>
      <c r="AR51" s="17">
        <v>0</v>
      </c>
      <c r="AS51" s="17" t="b">
        <v>0</v>
      </c>
      <c r="AT51" s="17">
        <v>0</v>
      </c>
      <c r="AU51" s="17" t="b">
        <v>0</v>
      </c>
    </row>
    <row r="52" spans="1:47" x14ac:dyDescent="0.3">
      <c r="A52" s="29">
        <v>21550504</v>
      </c>
      <c r="B52" s="29" t="s">
        <v>279</v>
      </c>
      <c r="C52" s="29">
        <v>215505</v>
      </c>
      <c r="D52" s="29">
        <v>0</v>
      </c>
      <c r="E52" s="29" t="s">
        <v>295</v>
      </c>
      <c r="F52" s="29"/>
      <c r="G52" s="29" t="s">
        <v>29</v>
      </c>
      <c r="H52" s="29" t="s">
        <v>29</v>
      </c>
      <c r="I52" s="29">
        <v>4</v>
      </c>
      <c r="J52" s="27" t="s">
        <v>237</v>
      </c>
      <c r="K52" s="17" t="b">
        <v>1</v>
      </c>
      <c r="L52" s="27" t="s">
        <v>38</v>
      </c>
      <c r="M52" s="29">
        <v>2</v>
      </c>
      <c r="N52" s="29" t="s">
        <v>39</v>
      </c>
      <c r="O52" s="29" t="s">
        <v>62</v>
      </c>
      <c r="P52" s="29">
        <v>200</v>
      </c>
      <c r="Q52" s="29">
        <f t="array" ref="Q52">_xlfn.IFS($O52="Attacker",6,$O52="Healer",3,$O52="Magician",4,$O52="Defender",3,$O52="Supporter",4)</f>
        <v>3</v>
      </c>
      <c r="R52" s="29">
        <f t="array" ref="R52">_xlfn.IFS($O52="Attacker",6,$O52="Healer",3,$O52="Magician",4,$O52="Defender",3,$O52="Supporter",4)</f>
        <v>3</v>
      </c>
      <c r="S52" s="29">
        <v>1</v>
      </c>
      <c r="T52" s="29">
        <v>0</v>
      </c>
      <c r="U52" s="29">
        <v>0</v>
      </c>
      <c r="V52" s="29" t="s">
        <v>41</v>
      </c>
      <c r="W52" s="29">
        <f t="array" ref="W52">_xlfn.IFS(O52="Attacker",80,O52="Healer",90,O52="Magician",100,O52="Defender",110,O52="Supporter",120)</f>
        <v>110</v>
      </c>
      <c r="X52" s="29" t="s">
        <v>42</v>
      </c>
      <c r="Y52" s="17">
        <v>90000</v>
      </c>
      <c r="Z52" s="29" t="s">
        <v>43</v>
      </c>
      <c r="AA52" s="17">
        <v>675</v>
      </c>
      <c r="AB52" s="29" t="s">
        <v>44</v>
      </c>
      <c r="AC52" s="17">
        <v>0</v>
      </c>
      <c r="AD52" s="29" t="s">
        <v>45</v>
      </c>
      <c r="AE52" s="29">
        <v>0</v>
      </c>
      <c r="AF52" s="29" t="s">
        <v>46</v>
      </c>
      <c r="AG52" s="29">
        <v>100</v>
      </c>
      <c r="AH52" s="29" t="s">
        <v>47</v>
      </c>
      <c r="AI52" s="29">
        <v>80</v>
      </c>
      <c r="AJ52" s="29" t="s">
        <v>48</v>
      </c>
      <c r="AK52" s="29">
        <v>0</v>
      </c>
      <c r="AL52" s="29" t="s">
        <v>49</v>
      </c>
      <c r="AM52" s="29">
        <v>150000</v>
      </c>
      <c r="AN52" s="29">
        <v>1852011</v>
      </c>
      <c r="AO52" s="29" t="b">
        <v>1</v>
      </c>
      <c r="AP52" s="29">
        <v>2852011</v>
      </c>
      <c r="AQ52" s="29" t="b">
        <v>1</v>
      </c>
      <c r="AR52" s="29">
        <v>0</v>
      </c>
      <c r="AS52" s="29" t="b">
        <v>0</v>
      </c>
      <c r="AT52" s="29">
        <v>0</v>
      </c>
      <c r="AU52" s="29" t="b">
        <v>0</v>
      </c>
    </row>
    <row r="53" spans="1:47" s="11" customFormat="1" x14ac:dyDescent="0.3">
      <c r="A53" s="17">
        <v>21550105</v>
      </c>
      <c r="B53" s="17" t="s">
        <v>271</v>
      </c>
      <c r="C53" s="17">
        <v>215501</v>
      </c>
      <c r="D53" s="17">
        <v>0</v>
      </c>
      <c r="E53" s="17" t="s">
        <v>296</v>
      </c>
      <c r="F53" s="17"/>
      <c r="G53" s="17" t="s">
        <v>29</v>
      </c>
      <c r="H53" s="17" t="s">
        <v>29</v>
      </c>
      <c r="I53" s="17">
        <v>5</v>
      </c>
      <c r="J53" s="24" t="s">
        <v>237</v>
      </c>
      <c r="K53" s="17" t="b">
        <v>1</v>
      </c>
      <c r="L53" s="24" t="s">
        <v>38</v>
      </c>
      <c r="M53" s="17">
        <v>2</v>
      </c>
      <c r="N53" s="17" t="s">
        <v>61</v>
      </c>
      <c r="O53" s="17" t="s">
        <v>62</v>
      </c>
      <c r="P53" s="17">
        <v>200</v>
      </c>
      <c r="Q53" s="17">
        <f t="array" ref="Q53">_xlfn.IFS($O53="Attacker",6,$O53="Healer",3,$O53="Magician",4,$O53="Defender",3,$O53="Supporter",4)</f>
        <v>3</v>
      </c>
      <c r="R53" s="17">
        <f t="array" ref="R53">_xlfn.IFS($O53="Attacker",6,$O53="Healer",3,$O53="Magician",4,$O53="Defender",3,$O53="Supporter",4)</f>
        <v>3</v>
      </c>
      <c r="S53" s="17">
        <v>1</v>
      </c>
      <c r="T53" s="17">
        <v>0</v>
      </c>
      <c r="U53" s="17">
        <v>0</v>
      </c>
      <c r="V53" s="17" t="s">
        <v>41</v>
      </c>
      <c r="W53" s="17">
        <f t="array" ref="W53">_xlfn.IFS(O53="Attacker",80,O53="Healer",90,O53="Magician",100,O53="Defender",110,O53="Supporter",120)</f>
        <v>110</v>
      </c>
      <c r="X53" s="17" t="s">
        <v>42</v>
      </c>
      <c r="Y53" s="17">
        <v>225000</v>
      </c>
      <c r="Z53" s="17" t="s">
        <v>43</v>
      </c>
      <c r="AA53" s="17">
        <v>1012</v>
      </c>
      <c r="AB53" s="17" t="s">
        <v>44</v>
      </c>
      <c r="AC53" s="17">
        <v>0</v>
      </c>
      <c r="AD53" s="17" t="s">
        <v>45</v>
      </c>
      <c r="AE53" s="17">
        <v>0</v>
      </c>
      <c r="AF53" s="17" t="s">
        <v>46</v>
      </c>
      <c r="AG53" s="17">
        <v>100</v>
      </c>
      <c r="AH53" s="17" t="s">
        <v>47</v>
      </c>
      <c r="AI53" s="17">
        <v>80</v>
      </c>
      <c r="AJ53" s="17" t="s">
        <v>48</v>
      </c>
      <c r="AK53" s="17">
        <v>0</v>
      </c>
      <c r="AL53" s="17" t="s">
        <v>49</v>
      </c>
      <c r="AM53" s="17">
        <v>150000</v>
      </c>
      <c r="AN53" s="17">
        <v>1812011</v>
      </c>
      <c r="AO53" s="17" t="b">
        <v>1</v>
      </c>
      <c r="AP53" s="17">
        <v>2812011</v>
      </c>
      <c r="AQ53" s="17" t="b">
        <v>1</v>
      </c>
      <c r="AR53" s="17">
        <v>0</v>
      </c>
      <c r="AS53" s="17" t="b">
        <v>0</v>
      </c>
      <c r="AT53" s="17">
        <v>0</v>
      </c>
      <c r="AU53" s="17" t="b">
        <v>0</v>
      </c>
    </row>
    <row r="54" spans="1:47" x14ac:dyDescent="0.3">
      <c r="A54" s="17">
        <v>21550205</v>
      </c>
      <c r="B54" s="17" t="s">
        <v>273</v>
      </c>
      <c r="C54" s="17">
        <v>215502</v>
      </c>
      <c r="D54" s="17">
        <v>0</v>
      </c>
      <c r="E54" s="17" t="s">
        <v>297</v>
      </c>
      <c r="G54" s="17" t="s">
        <v>29</v>
      </c>
      <c r="H54" s="17" t="s">
        <v>29</v>
      </c>
      <c r="I54" s="17">
        <v>5</v>
      </c>
      <c r="J54" s="24" t="s">
        <v>237</v>
      </c>
      <c r="K54" s="17" t="b">
        <v>1</v>
      </c>
      <c r="L54" s="24" t="s">
        <v>38</v>
      </c>
      <c r="M54" s="17">
        <v>2</v>
      </c>
      <c r="N54" s="17" t="s">
        <v>91</v>
      </c>
      <c r="O54" s="17" t="s">
        <v>62</v>
      </c>
      <c r="P54" s="17">
        <v>200</v>
      </c>
      <c r="Q54" s="17">
        <f t="array" ref="Q54">_xlfn.IFS($O54="Attacker",6,$O54="Healer",3,$O54="Magician",4,$O54="Defender",3,$O54="Supporter",4)</f>
        <v>3</v>
      </c>
      <c r="R54" s="17">
        <f t="array" ref="R54">_xlfn.IFS($O54="Attacker",6,$O54="Healer",3,$O54="Magician",4,$O54="Defender",3,$O54="Supporter",4)</f>
        <v>3</v>
      </c>
      <c r="S54" s="17">
        <v>1</v>
      </c>
      <c r="T54" s="17">
        <v>0</v>
      </c>
      <c r="U54" s="17">
        <v>0</v>
      </c>
      <c r="V54" s="17" t="s">
        <v>41</v>
      </c>
      <c r="W54" s="17">
        <f t="array" ref="W54">_xlfn.IFS(O54="Attacker",80,O54="Healer",90,O54="Magician",100,O54="Defender",110,O54="Supporter",120)</f>
        <v>110</v>
      </c>
      <c r="X54" s="17" t="s">
        <v>42</v>
      </c>
      <c r="Y54" s="17">
        <v>225000</v>
      </c>
      <c r="Z54" s="17" t="s">
        <v>43</v>
      </c>
      <c r="AA54" s="17">
        <v>1012</v>
      </c>
      <c r="AB54" s="17" t="s">
        <v>44</v>
      </c>
      <c r="AC54" s="17">
        <v>0</v>
      </c>
      <c r="AD54" s="17" t="s">
        <v>45</v>
      </c>
      <c r="AE54" s="17">
        <v>0</v>
      </c>
      <c r="AF54" s="17" t="s">
        <v>46</v>
      </c>
      <c r="AG54" s="17">
        <v>120</v>
      </c>
      <c r="AH54" s="17" t="s">
        <v>47</v>
      </c>
      <c r="AI54" s="17">
        <v>80</v>
      </c>
      <c r="AJ54" s="17" t="s">
        <v>48</v>
      </c>
      <c r="AK54" s="17">
        <v>0</v>
      </c>
      <c r="AL54" s="17" t="s">
        <v>49</v>
      </c>
      <c r="AM54" s="17">
        <v>150000</v>
      </c>
      <c r="AN54" s="17">
        <v>1832011</v>
      </c>
      <c r="AO54" s="17" t="b">
        <v>1</v>
      </c>
      <c r="AP54" s="17">
        <v>2832011</v>
      </c>
      <c r="AQ54" s="17" t="b">
        <v>1</v>
      </c>
      <c r="AR54" s="17">
        <v>0</v>
      </c>
      <c r="AS54" s="17" t="b">
        <v>0</v>
      </c>
      <c r="AT54" s="17">
        <v>0</v>
      </c>
      <c r="AU54" s="17" t="b">
        <v>0</v>
      </c>
    </row>
    <row r="55" spans="1:47" x14ac:dyDescent="0.3">
      <c r="A55" s="17">
        <v>21550305</v>
      </c>
      <c r="B55" s="17" t="s">
        <v>275</v>
      </c>
      <c r="C55" s="17">
        <v>215503</v>
      </c>
      <c r="D55" s="17">
        <v>0</v>
      </c>
      <c r="E55" s="17" t="s">
        <v>298</v>
      </c>
      <c r="G55" s="17" t="s">
        <v>29</v>
      </c>
      <c r="H55" s="17" t="s">
        <v>29</v>
      </c>
      <c r="I55" s="17">
        <v>5</v>
      </c>
      <c r="J55" s="24" t="s">
        <v>237</v>
      </c>
      <c r="K55" s="17" t="b">
        <v>1</v>
      </c>
      <c r="L55" s="24" t="s">
        <v>38</v>
      </c>
      <c r="M55" s="17">
        <v>2</v>
      </c>
      <c r="N55" s="17" t="s">
        <v>72</v>
      </c>
      <c r="O55" s="17" t="s">
        <v>62</v>
      </c>
      <c r="P55" s="17">
        <v>200</v>
      </c>
      <c r="Q55" s="17">
        <f t="array" ref="Q55">_xlfn.IFS($O55="Attacker",6,$O55="Healer",3,$O55="Magician",4,$O55="Defender",3,$O55="Supporter",4)</f>
        <v>3</v>
      </c>
      <c r="R55" s="17">
        <f t="array" ref="R55">_xlfn.IFS($O55="Attacker",6,$O55="Healer",3,$O55="Magician",4,$O55="Defender",3,$O55="Supporter",4)</f>
        <v>3</v>
      </c>
      <c r="S55" s="17">
        <v>1</v>
      </c>
      <c r="T55" s="17">
        <v>0</v>
      </c>
      <c r="U55" s="17">
        <v>0</v>
      </c>
      <c r="V55" s="17" t="s">
        <v>41</v>
      </c>
      <c r="W55" s="17">
        <f t="array" ref="W55">_xlfn.IFS(O55="Attacker",80,O55="Healer",90,O55="Magician",100,O55="Defender",110,O55="Supporter",120)</f>
        <v>110</v>
      </c>
      <c r="X55" s="17" t="s">
        <v>42</v>
      </c>
      <c r="Y55" s="17">
        <v>247500</v>
      </c>
      <c r="Z55" s="17" t="s">
        <v>43</v>
      </c>
      <c r="AA55" s="17">
        <v>1012</v>
      </c>
      <c r="AB55" s="17" t="s">
        <v>44</v>
      </c>
      <c r="AC55" s="17">
        <v>0</v>
      </c>
      <c r="AD55" s="17" t="s">
        <v>45</v>
      </c>
      <c r="AE55" s="17">
        <v>0</v>
      </c>
      <c r="AF55" s="17" t="s">
        <v>46</v>
      </c>
      <c r="AG55" s="17">
        <v>100</v>
      </c>
      <c r="AH55" s="17" t="s">
        <v>47</v>
      </c>
      <c r="AI55" s="17">
        <v>80</v>
      </c>
      <c r="AJ55" s="17" t="s">
        <v>48</v>
      </c>
      <c r="AK55" s="17">
        <v>0</v>
      </c>
      <c r="AL55" s="17" t="s">
        <v>49</v>
      </c>
      <c r="AM55" s="17">
        <v>150000</v>
      </c>
      <c r="AN55" s="17">
        <v>1822011</v>
      </c>
      <c r="AO55" s="17" t="b">
        <v>1</v>
      </c>
      <c r="AP55" s="17">
        <v>2822011</v>
      </c>
      <c r="AQ55" s="17" t="b">
        <v>1</v>
      </c>
      <c r="AR55" s="17">
        <v>0</v>
      </c>
      <c r="AS55" s="17" t="b">
        <v>0</v>
      </c>
      <c r="AT55" s="17">
        <v>0</v>
      </c>
      <c r="AU55" s="17" t="b">
        <v>0</v>
      </c>
    </row>
    <row r="56" spans="1:47" x14ac:dyDescent="0.3">
      <c r="A56" s="17">
        <v>21550405</v>
      </c>
      <c r="B56" s="17" t="s">
        <v>277</v>
      </c>
      <c r="C56" s="17">
        <v>215504</v>
      </c>
      <c r="D56" s="17">
        <v>0</v>
      </c>
      <c r="E56" s="17" t="s">
        <v>299</v>
      </c>
      <c r="G56" s="17" t="s">
        <v>29</v>
      </c>
      <c r="H56" s="17" t="s">
        <v>29</v>
      </c>
      <c r="I56" s="17">
        <v>5</v>
      </c>
      <c r="J56" s="24" t="s">
        <v>237</v>
      </c>
      <c r="K56" s="17" t="b">
        <v>1</v>
      </c>
      <c r="L56" s="24" t="s">
        <v>38</v>
      </c>
      <c r="M56" s="17">
        <v>2</v>
      </c>
      <c r="N56" s="17" t="s">
        <v>83</v>
      </c>
      <c r="O56" s="17" t="s">
        <v>62</v>
      </c>
      <c r="P56" s="17">
        <v>200</v>
      </c>
      <c r="Q56" s="17">
        <f t="array" ref="Q56">_xlfn.IFS($O56="Attacker",6,$O56="Healer",3,$O56="Magician",4,$O56="Defender",3,$O56="Supporter",4)</f>
        <v>3</v>
      </c>
      <c r="R56" s="17">
        <f t="array" ref="R56">_xlfn.IFS($O56="Attacker",6,$O56="Healer",3,$O56="Magician",4,$O56="Defender",3,$O56="Supporter",4)</f>
        <v>3</v>
      </c>
      <c r="S56" s="17">
        <v>1</v>
      </c>
      <c r="T56" s="17">
        <v>0</v>
      </c>
      <c r="U56" s="17">
        <v>0</v>
      </c>
      <c r="V56" s="17" t="s">
        <v>41</v>
      </c>
      <c r="W56" s="17">
        <f t="array" ref="W56">_xlfn.IFS(O56="Attacker",80,O56="Healer",90,O56="Magician",100,O56="Defender",110,O56="Supporter",120)</f>
        <v>110</v>
      </c>
      <c r="X56" s="17" t="s">
        <v>42</v>
      </c>
      <c r="Y56" s="17">
        <v>225000</v>
      </c>
      <c r="Z56" s="17" t="s">
        <v>43</v>
      </c>
      <c r="AA56" s="17">
        <v>1012</v>
      </c>
      <c r="AB56" s="17" t="s">
        <v>44</v>
      </c>
      <c r="AC56" s="17">
        <v>0</v>
      </c>
      <c r="AD56" s="17" t="s">
        <v>45</v>
      </c>
      <c r="AE56" s="17">
        <v>0</v>
      </c>
      <c r="AF56" s="17" t="s">
        <v>46</v>
      </c>
      <c r="AG56" s="17">
        <v>100</v>
      </c>
      <c r="AH56" s="17" t="s">
        <v>47</v>
      </c>
      <c r="AI56" s="17">
        <v>104</v>
      </c>
      <c r="AJ56" s="17" t="s">
        <v>48</v>
      </c>
      <c r="AK56" s="17">
        <v>0</v>
      </c>
      <c r="AL56" s="17" t="s">
        <v>49</v>
      </c>
      <c r="AM56" s="17">
        <v>150000</v>
      </c>
      <c r="AN56" s="17">
        <v>1852011</v>
      </c>
      <c r="AO56" s="17" t="b">
        <v>1</v>
      </c>
      <c r="AP56" s="17">
        <v>2852011</v>
      </c>
      <c r="AQ56" s="17" t="b">
        <v>1</v>
      </c>
      <c r="AR56" s="17">
        <v>0</v>
      </c>
      <c r="AS56" s="17" t="b">
        <v>0</v>
      </c>
      <c r="AT56" s="17">
        <v>0</v>
      </c>
      <c r="AU56" s="17" t="b">
        <v>0</v>
      </c>
    </row>
    <row r="57" spans="1:47" x14ac:dyDescent="0.3">
      <c r="A57" s="29">
        <v>21550505</v>
      </c>
      <c r="B57" s="29" t="s">
        <v>279</v>
      </c>
      <c r="C57" s="29">
        <v>215505</v>
      </c>
      <c r="D57" s="29">
        <v>0</v>
      </c>
      <c r="E57" s="29" t="s">
        <v>300</v>
      </c>
      <c r="F57" s="29"/>
      <c r="G57" s="29" t="s">
        <v>29</v>
      </c>
      <c r="H57" s="29" t="s">
        <v>29</v>
      </c>
      <c r="I57" s="29">
        <v>5</v>
      </c>
      <c r="J57" s="27" t="s">
        <v>237</v>
      </c>
      <c r="K57" s="17" t="b">
        <v>1</v>
      </c>
      <c r="L57" s="27" t="s">
        <v>38</v>
      </c>
      <c r="M57" s="29">
        <v>2</v>
      </c>
      <c r="N57" s="29" t="s">
        <v>39</v>
      </c>
      <c r="O57" s="29" t="s">
        <v>62</v>
      </c>
      <c r="P57" s="29">
        <v>200</v>
      </c>
      <c r="Q57" s="29">
        <f t="array" ref="Q57">_xlfn.IFS($O57="Attacker",6,$O57="Healer",3,$O57="Magician",4,$O57="Defender",3,$O57="Supporter",4)</f>
        <v>3</v>
      </c>
      <c r="R57" s="29">
        <f t="array" ref="R57">_xlfn.IFS($O57="Attacker",6,$O57="Healer",3,$O57="Magician",4,$O57="Defender",3,$O57="Supporter",4)</f>
        <v>3</v>
      </c>
      <c r="S57" s="29">
        <v>1</v>
      </c>
      <c r="T57" s="29">
        <v>0</v>
      </c>
      <c r="U57" s="29">
        <v>0</v>
      </c>
      <c r="V57" s="29" t="s">
        <v>41</v>
      </c>
      <c r="W57" s="29">
        <f t="array" ref="W57">_xlfn.IFS(O57="Attacker",80,O57="Healer",90,O57="Magician",100,O57="Defender",110,O57="Supporter",120)</f>
        <v>110</v>
      </c>
      <c r="X57" s="29" t="s">
        <v>42</v>
      </c>
      <c r="Y57" s="17">
        <v>225000</v>
      </c>
      <c r="Z57" s="29" t="s">
        <v>43</v>
      </c>
      <c r="AA57" s="17">
        <v>1012</v>
      </c>
      <c r="AB57" s="29" t="s">
        <v>44</v>
      </c>
      <c r="AC57" s="17">
        <v>0</v>
      </c>
      <c r="AD57" s="29" t="s">
        <v>45</v>
      </c>
      <c r="AE57" s="29">
        <v>0</v>
      </c>
      <c r="AF57" s="29" t="s">
        <v>46</v>
      </c>
      <c r="AG57" s="29">
        <v>100</v>
      </c>
      <c r="AH57" s="29" t="s">
        <v>47</v>
      </c>
      <c r="AI57" s="29">
        <v>80</v>
      </c>
      <c r="AJ57" s="29" t="s">
        <v>48</v>
      </c>
      <c r="AK57" s="29">
        <v>0</v>
      </c>
      <c r="AL57" s="29" t="s">
        <v>49</v>
      </c>
      <c r="AM57" s="29">
        <v>150000</v>
      </c>
      <c r="AN57" s="29">
        <v>1852011</v>
      </c>
      <c r="AO57" s="29" t="b">
        <v>1</v>
      </c>
      <c r="AP57" s="29">
        <v>2852011</v>
      </c>
      <c r="AQ57" s="29" t="b">
        <v>1</v>
      </c>
      <c r="AR57" s="29">
        <v>0</v>
      </c>
      <c r="AS57" s="29" t="b">
        <v>0</v>
      </c>
      <c r="AT57" s="29">
        <v>0</v>
      </c>
      <c r="AU57" s="29" t="b">
        <v>0</v>
      </c>
    </row>
    <row r="58" spans="1:47" s="11" customFormat="1" x14ac:dyDescent="0.3">
      <c r="A58" s="17">
        <v>22580101</v>
      </c>
      <c r="B58" s="17" t="s">
        <v>301</v>
      </c>
      <c r="C58" s="17">
        <v>225801</v>
      </c>
      <c r="D58" s="17">
        <v>0</v>
      </c>
      <c r="E58" s="17" t="s">
        <v>302</v>
      </c>
      <c r="F58" s="17"/>
      <c r="G58" s="17" t="s">
        <v>29</v>
      </c>
      <c r="H58" s="17" t="s">
        <v>29</v>
      </c>
      <c r="I58" s="17">
        <v>1</v>
      </c>
      <c r="J58" s="24" t="s">
        <v>237</v>
      </c>
      <c r="K58" s="17" t="b">
        <v>1</v>
      </c>
      <c r="L58" s="24" t="s">
        <v>38</v>
      </c>
      <c r="M58" s="17">
        <v>2</v>
      </c>
      <c r="N58" s="17" t="s">
        <v>61</v>
      </c>
      <c r="O58" s="17" t="s">
        <v>57</v>
      </c>
      <c r="P58" s="17">
        <v>200</v>
      </c>
      <c r="Q58" s="17">
        <f t="array" ref="Q58">_xlfn.IFS($O58="Attacker",6,$O58="Healer",3,$O58="Magician",4,$O58="Defender",3,$O58="Supporter",4)</f>
        <v>6</v>
      </c>
      <c r="R58" s="17">
        <f t="array" ref="R58">_xlfn.IFS($O58="Attacker",6,$O58="Healer",3,$O58="Magician",4,$O58="Defender",3,$O58="Supporter",4)</f>
        <v>6</v>
      </c>
      <c r="S58" s="17">
        <v>1</v>
      </c>
      <c r="T58" s="17">
        <v>0</v>
      </c>
      <c r="U58" s="17">
        <v>0</v>
      </c>
      <c r="V58" s="17" t="s">
        <v>41</v>
      </c>
      <c r="W58" s="17">
        <f t="array" ref="W58">_xlfn.IFS(O58="Attacker",80,O58="Healer",90,O58="Magician",100,O58="Defender",110,O58="Supporter",120)</f>
        <v>80</v>
      </c>
      <c r="X58" s="17" t="s">
        <v>42</v>
      </c>
      <c r="Y58" s="17">
        <v>600</v>
      </c>
      <c r="Z58" s="17" t="s">
        <v>43</v>
      </c>
      <c r="AA58" s="17">
        <v>300</v>
      </c>
      <c r="AB58" s="17" t="s">
        <v>44</v>
      </c>
      <c r="AC58" s="17">
        <v>0</v>
      </c>
      <c r="AD58" s="17" t="s">
        <v>45</v>
      </c>
      <c r="AE58" s="17">
        <v>0</v>
      </c>
      <c r="AF58" s="17" t="s">
        <v>46</v>
      </c>
      <c r="AG58" s="17">
        <v>100</v>
      </c>
      <c r="AH58" s="17" t="s">
        <v>47</v>
      </c>
      <c r="AI58" s="17">
        <v>100</v>
      </c>
      <c r="AJ58" s="17" t="s">
        <v>48</v>
      </c>
      <c r="AK58" s="17">
        <v>5000</v>
      </c>
      <c r="AL58" s="17" t="s">
        <v>49</v>
      </c>
      <c r="AM58" s="17">
        <v>150000</v>
      </c>
      <c r="AN58" s="17">
        <v>1811031</v>
      </c>
      <c r="AO58" s="17" t="b">
        <v>1</v>
      </c>
      <c r="AP58" s="17">
        <v>2811031</v>
      </c>
      <c r="AQ58" s="17" t="b">
        <v>1</v>
      </c>
      <c r="AR58" s="17">
        <v>0</v>
      </c>
      <c r="AS58" s="17" t="b">
        <v>0</v>
      </c>
      <c r="AT58" s="17">
        <v>0</v>
      </c>
      <c r="AU58" s="17" t="b">
        <v>0</v>
      </c>
    </row>
    <row r="59" spans="1:47" x14ac:dyDescent="0.3">
      <c r="A59" s="17">
        <v>22580201</v>
      </c>
      <c r="B59" s="17" t="s">
        <v>303</v>
      </c>
      <c r="C59" s="17">
        <v>225802</v>
      </c>
      <c r="D59" s="17">
        <v>0</v>
      </c>
      <c r="E59" s="17" t="s">
        <v>304</v>
      </c>
      <c r="G59" s="17" t="s">
        <v>29</v>
      </c>
      <c r="H59" s="17" t="s">
        <v>29</v>
      </c>
      <c r="I59" s="17">
        <v>1</v>
      </c>
      <c r="J59" s="24" t="s">
        <v>237</v>
      </c>
      <c r="K59" s="17" t="b">
        <v>1</v>
      </c>
      <c r="L59" s="24" t="s">
        <v>38</v>
      </c>
      <c r="M59" s="17">
        <v>2</v>
      </c>
      <c r="N59" s="17" t="s">
        <v>91</v>
      </c>
      <c r="O59" s="17" t="s">
        <v>57</v>
      </c>
      <c r="P59" s="17">
        <v>200</v>
      </c>
      <c r="Q59" s="17">
        <f t="array" ref="Q59">_xlfn.IFS($O59="Attacker",6,$O59="Healer",3,$O59="Magician",4,$O59="Defender",3,$O59="Supporter",4)</f>
        <v>6</v>
      </c>
      <c r="R59" s="17">
        <f t="array" ref="R59">_xlfn.IFS($O59="Attacker",6,$O59="Healer",3,$O59="Magician",4,$O59="Defender",3,$O59="Supporter",4)</f>
        <v>6</v>
      </c>
      <c r="S59" s="17">
        <v>1</v>
      </c>
      <c r="T59" s="17">
        <v>0</v>
      </c>
      <c r="U59" s="17">
        <v>0</v>
      </c>
      <c r="V59" s="17" t="s">
        <v>41</v>
      </c>
      <c r="W59" s="17">
        <f t="array" ref="W59">_xlfn.IFS(O59="Attacker",80,O59="Healer",90,O59="Magician",100,O59="Defender",110,O59="Supporter",120)</f>
        <v>80</v>
      </c>
      <c r="X59" s="17" t="s">
        <v>42</v>
      </c>
      <c r="Y59" s="17">
        <v>600</v>
      </c>
      <c r="Z59" s="17" t="s">
        <v>43</v>
      </c>
      <c r="AA59" s="17">
        <v>300</v>
      </c>
      <c r="AB59" s="17" t="s">
        <v>44</v>
      </c>
      <c r="AC59" s="17">
        <v>0</v>
      </c>
      <c r="AD59" s="17" t="s">
        <v>45</v>
      </c>
      <c r="AE59" s="17">
        <v>0</v>
      </c>
      <c r="AF59" s="17" t="s">
        <v>46</v>
      </c>
      <c r="AG59" s="17">
        <v>100</v>
      </c>
      <c r="AH59" s="17" t="s">
        <v>47</v>
      </c>
      <c r="AI59" s="17">
        <v>100</v>
      </c>
      <c r="AJ59" s="17" t="s">
        <v>48</v>
      </c>
      <c r="AK59" s="17">
        <v>5000</v>
      </c>
      <c r="AL59" s="17" t="s">
        <v>49</v>
      </c>
      <c r="AM59" s="17">
        <v>150000</v>
      </c>
      <c r="AN59" s="17">
        <v>1821031</v>
      </c>
      <c r="AO59" s="17" t="b">
        <v>1</v>
      </c>
      <c r="AP59" s="17">
        <v>2821031</v>
      </c>
      <c r="AQ59" s="17" t="b">
        <v>1</v>
      </c>
      <c r="AR59" s="17">
        <v>0</v>
      </c>
      <c r="AS59" s="17" t="b">
        <v>0</v>
      </c>
      <c r="AT59" s="17">
        <v>0</v>
      </c>
      <c r="AU59" s="17" t="b">
        <v>0</v>
      </c>
    </row>
    <row r="60" spans="1:47" x14ac:dyDescent="0.3">
      <c r="A60" s="17">
        <v>22580301</v>
      </c>
      <c r="B60" s="17" t="s">
        <v>305</v>
      </c>
      <c r="C60" s="17">
        <v>225803</v>
      </c>
      <c r="D60" s="17">
        <v>0</v>
      </c>
      <c r="E60" s="17" t="s">
        <v>306</v>
      </c>
      <c r="G60" s="17" t="s">
        <v>29</v>
      </c>
      <c r="H60" s="17" t="s">
        <v>29</v>
      </c>
      <c r="I60" s="17">
        <v>1</v>
      </c>
      <c r="J60" s="24" t="s">
        <v>237</v>
      </c>
      <c r="K60" s="17" t="b">
        <v>1</v>
      </c>
      <c r="L60" s="24" t="s">
        <v>38</v>
      </c>
      <c r="M60" s="17">
        <v>2</v>
      </c>
      <c r="N60" s="17" t="s">
        <v>72</v>
      </c>
      <c r="O60" s="17" t="s">
        <v>57</v>
      </c>
      <c r="P60" s="17">
        <v>200</v>
      </c>
      <c r="Q60" s="17">
        <f t="array" ref="Q60">_xlfn.IFS($O60="Attacker",6,$O60="Healer",3,$O60="Magician",4,$O60="Defender",3,$O60="Supporter",4)</f>
        <v>6</v>
      </c>
      <c r="R60" s="17">
        <f t="array" ref="R60">_xlfn.IFS($O60="Attacker",6,$O60="Healer",3,$O60="Magician",4,$O60="Defender",3,$O60="Supporter",4)</f>
        <v>6</v>
      </c>
      <c r="S60" s="17">
        <v>1</v>
      </c>
      <c r="T60" s="17">
        <v>0</v>
      </c>
      <c r="U60" s="17">
        <v>0</v>
      </c>
      <c r="V60" s="17" t="s">
        <v>41</v>
      </c>
      <c r="W60" s="17">
        <f t="array" ref="W60">_xlfn.IFS(O60="Attacker",80,O60="Healer",90,O60="Magician",100,O60="Defender",110,O60="Supporter",120)</f>
        <v>80</v>
      </c>
      <c r="X60" s="17" t="s">
        <v>42</v>
      </c>
      <c r="Y60" s="17">
        <v>600</v>
      </c>
      <c r="Z60" s="17" t="s">
        <v>43</v>
      </c>
      <c r="AA60" s="17">
        <v>300</v>
      </c>
      <c r="AB60" s="17" t="s">
        <v>44</v>
      </c>
      <c r="AC60" s="17">
        <v>0</v>
      </c>
      <c r="AD60" s="17" t="s">
        <v>45</v>
      </c>
      <c r="AE60" s="17">
        <v>0</v>
      </c>
      <c r="AF60" s="17" t="s">
        <v>46</v>
      </c>
      <c r="AG60" s="17">
        <v>100</v>
      </c>
      <c r="AH60" s="17" t="s">
        <v>47</v>
      </c>
      <c r="AI60" s="17">
        <v>100</v>
      </c>
      <c r="AJ60" s="17" t="s">
        <v>48</v>
      </c>
      <c r="AK60" s="17">
        <v>5000</v>
      </c>
      <c r="AL60" s="17" t="s">
        <v>49</v>
      </c>
      <c r="AM60" s="17">
        <v>150000</v>
      </c>
      <c r="AN60" s="17">
        <v>1831031</v>
      </c>
      <c r="AO60" s="17" t="b">
        <v>1</v>
      </c>
      <c r="AP60" s="17">
        <v>2831031</v>
      </c>
      <c r="AQ60" s="17" t="b">
        <v>1</v>
      </c>
      <c r="AR60" s="17">
        <v>0</v>
      </c>
      <c r="AS60" s="17" t="b">
        <v>0</v>
      </c>
      <c r="AT60" s="17">
        <v>0</v>
      </c>
      <c r="AU60" s="17" t="b">
        <v>0</v>
      </c>
    </row>
    <row r="61" spans="1:47" x14ac:dyDescent="0.3">
      <c r="A61" s="17">
        <v>22580401</v>
      </c>
      <c r="B61" s="17" t="s">
        <v>307</v>
      </c>
      <c r="C61" s="17">
        <v>225804</v>
      </c>
      <c r="D61" s="17">
        <v>0</v>
      </c>
      <c r="E61" s="17" t="s">
        <v>308</v>
      </c>
      <c r="G61" s="17" t="s">
        <v>29</v>
      </c>
      <c r="H61" s="17" t="s">
        <v>29</v>
      </c>
      <c r="I61" s="17">
        <v>1</v>
      </c>
      <c r="J61" s="24" t="s">
        <v>237</v>
      </c>
      <c r="K61" s="17" t="b">
        <v>1</v>
      </c>
      <c r="L61" s="24" t="s">
        <v>38</v>
      </c>
      <c r="M61" s="17">
        <v>2</v>
      </c>
      <c r="N61" s="17" t="s">
        <v>83</v>
      </c>
      <c r="O61" s="17" t="s">
        <v>57</v>
      </c>
      <c r="P61" s="17">
        <v>200</v>
      </c>
      <c r="Q61" s="17">
        <f t="array" ref="Q61">_xlfn.IFS($O61="Attacker",6,$O61="Healer",3,$O61="Magician",4,$O61="Defender",3,$O61="Supporter",4)</f>
        <v>6</v>
      </c>
      <c r="R61" s="17">
        <f t="array" ref="R61">_xlfn.IFS($O61="Attacker",6,$O61="Healer",3,$O61="Magician",4,$O61="Defender",3,$O61="Supporter",4)</f>
        <v>6</v>
      </c>
      <c r="S61" s="17">
        <v>1</v>
      </c>
      <c r="T61" s="17">
        <v>0</v>
      </c>
      <c r="U61" s="17">
        <v>0</v>
      </c>
      <c r="V61" s="17" t="s">
        <v>41</v>
      </c>
      <c r="W61" s="17">
        <f t="array" ref="W61">_xlfn.IFS(O61="Attacker",80,O61="Healer",90,O61="Magician",100,O61="Defender",110,O61="Supporter",120)</f>
        <v>80</v>
      </c>
      <c r="X61" s="17" t="s">
        <v>42</v>
      </c>
      <c r="Y61" s="17">
        <v>600</v>
      </c>
      <c r="Z61" s="17" t="s">
        <v>43</v>
      </c>
      <c r="AA61" s="17">
        <v>300</v>
      </c>
      <c r="AB61" s="17" t="s">
        <v>44</v>
      </c>
      <c r="AC61" s="17">
        <v>0</v>
      </c>
      <c r="AD61" s="17" t="s">
        <v>45</v>
      </c>
      <c r="AE61" s="17">
        <v>0</v>
      </c>
      <c r="AF61" s="17" t="s">
        <v>46</v>
      </c>
      <c r="AG61" s="17">
        <v>100</v>
      </c>
      <c r="AH61" s="17" t="s">
        <v>47</v>
      </c>
      <c r="AI61" s="17">
        <v>100</v>
      </c>
      <c r="AJ61" s="17" t="s">
        <v>48</v>
      </c>
      <c r="AK61" s="17">
        <v>5000</v>
      </c>
      <c r="AL61" s="17" t="s">
        <v>49</v>
      </c>
      <c r="AM61" s="17">
        <v>150000</v>
      </c>
      <c r="AN61" s="17">
        <v>1841031</v>
      </c>
      <c r="AO61" s="17" t="b">
        <v>1</v>
      </c>
      <c r="AP61" s="17">
        <v>2841031</v>
      </c>
      <c r="AQ61" s="17" t="b">
        <v>1</v>
      </c>
      <c r="AR61" s="17">
        <v>0</v>
      </c>
      <c r="AS61" s="17" t="b">
        <v>0</v>
      </c>
      <c r="AT61" s="17">
        <v>0</v>
      </c>
      <c r="AU61" s="17" t="b">
        <v>0</v>
      </c>
    </row>
    <row r="62" spans="1:47" x14ac:dyDescent="0.3">
      <c r="A62" s="29">
        <v>22580501</v>
      </c>
      <c r="B62" s="29" t="s">
        <v>309</v>
      </c>
      <c r="C62" s="29">
        <v>225805</v>
      </c>
      <c r="D62" s="29">
        <v>0</v>
      </c>
      <c r="E62" s="29" t="s">
        <v>310</v>
      </c>
      <c r="F62" s="29"/>
      <c r="G62" s="29" t="s">
        <v>29</v>
      </c>
      <c r="H62" s="29" t="s">
        <v>29</v>
      </c>
      <c r="I62" s="29">
        <v>1</v>
      </c>
      <c r="J62" s="27" t="s">
        <v>237</v>
      </c>
      <c r="K62" s="17" t="b">
        <v>1</v>
      </c>
      <c r="L62" s="27" t="s">
        <v>38</v>
      </c>
      <c r="M62" s="29">
        <v>2</v>
      </c>
      <c r="N62" s="29" t="s">
        <v>39</v>
      </c>
      <c r="O62" s="29" t="s">
        <v>57</v>
      </c>
      <c r="P62" s="29">
        <v>200</v>
      </c>
      <c r="Q62" s="29">
        <f t="array" ref="Q62">_xlfn.IFS($O62="Attacker",6,$O62="Healer",3,$O62="Magician",4,$O62="Defender",3,$O62="Supporter",4)</f>
        <v>6</v>
      </c>
      <c r="R62" s="29">
        <f t="array" ref="R62">_xlfn.IFS($O62="Attacker",6,$O62="Healer",3,$O62="Magician",4,$O62="Defender",3,$O62="Supporter",4)</f>
        <v>6</v>
      </c>
      <c r="S62" s="29">
        <v>1</v>
      </c>
      <c r="T62" s="29">
        <v>0</v>
      </c>
      <c r="U62" s="29">
        <v>0</v>
      </c>
      <c r="V62" s="29" t="s">
        <v>41</v>
      </c>
      <c r="W62" s="29">
        <f t="array" ref="W62">_xlfn.IFS(O62="Attacker",80,O62="Healer",90,O62="Magician",100,O62="Defender",110,O62="Supporter",120)</f>
        <v>80</v>
      </c>
      <c r="X62" s="29" t="s">
        <v>42</v>
      </c>
      <c r="Y62" s="29">
        <v>600</v>
      </c>
      <c r="Z62" s="29" t="s">
        <v>43</v>
      </c>
      <c r="AA62" s="29">
        <v>300</v>
      </c>
      <c r="AB62" s="29" t="s">
        <v>44</v>
      </c>
      <c r="AC62" s="29">
        <v>0</v>
      </c>
      <c r="AD62" s="29" t="s">
        <v>45</v>
      </c>
      <c r="AE62" s="29">
        <v>0</v>
      </c>
      <c r="AF62" s="29" t="s">
        <v>46</v>
      </c>
      <c r="AG62" s="29">
        <v>100</v>
      </c>
      <c r="AH62" s="29" t="s">
        <v>47</v>
      </c>
      <c r="AI62" s="29">
        <v>100</v>
      </c>
      <c r="AJ62" s="29" t="s">
        <v>48</v>
      </c>
      <c r="AK62" s="29">
        <v>5000</v>
      </c>
      <c r="AL62" s="29" t="s">
        <v>49</v>
      </c>
      <c r="AM62" s="29">
        <v>150000</v>
      </c>
      <c r="AN62" s="29">
        <v>1851031</v>
      </c>
      <c r="AO62" s="29" t="b">
        <v>1</v>
      </c>
      <c r="AP62" s="29">
        <v>2851031</v>
      </c>
      <c r="AQ62" s="29" t="b">
        <v>1</v>
      </c>
      <c r="AR62" s="29">
        <v>0</v>
      </c>
      <c r="AS62" s="29" t="b">
        <v>0</v>
      </c>
      <c r="AT62" s="29">
        <v>0</v>
      </c>
      <c r="AU62" s="29" t="b">
        <v>0</v>
      </c>
    </row>
    <row r="63" spans="1:47" s="11" customFormat="1" x14ac:dyDescent="0.3">
      <c r="A63" s="17">
        <v>22580102</v>
      </c>
      <c r="B63" s="17" t="s">
        <v>301</v>
      </c>
      <c r="C63" s="17">
        <v>225801</v>
      </c>
      <c r="D63" s="17">
        <v>0</v>
      </c>
      <c r="E63" s="17" t="s">
        <v>311</v>
      </c>
      <c r="F63" s="17"/>
      <c r="G63" s="17" t="s">
        <v>29</v>
      </c>
      <c r="H63" s="17" t="s">
        <v>29</v>
      </c>
      <c r="I63" s="17">
        <v>2</v>
      </c>
      <c r="J63" s="24" t="s">
        <v>237</v>
      </c>
      <c r="K63" s="17" t="b">
        <v>1</v>
      </c>
      <c r="L63" s="24" t="s">
        <v>38</v>
      </c>
      <c r="M63" s="17">
        <v>2</v>
      </c>
      <c r="N63" s="17" t="s">
        <v>61</v>
      </c>
      <c r="O63" s="17" t="s">
        <v>57</v>
      </c>
      <c r="P63" s="17">
        <v>200</v>
      </c>
      <c r="Q63" s="17">
        <f t="array" ref="Q63">_xlfn.IFS($O63="Attacker",6,$O63="Healer",3,$O63="Magician",4,$O63="Defender",3,$O63="Supporter",4)</f>
        <v>6</v>
      </c>
      <c r="R63" s="17">
        <f t="array" ref="R63">_xlfn.IFS($O63="Attacker",6,$O63="Healer",3,$O63="Magician",4,$O63="Defender",3,$O63="Supporter",4)</f>
        <v>6</v>
      </c>
      <c r="S63" s="17">
        <v>1</v>
      </c>
      <c r="T63" s="17">
        <v>0</v>
      </c>
      <c r="U63" s="17">
        <v>0</v>
      </c>
      <c r="V63" s="17" t="s">
        <v>41</v>
      </c>
      <c r="W63" s="17">
        <f t="array" ref="W63">_xlfn.IFS(O63="Attacker",80,O63="Healer",90,O63="Magician",100,O63="Defender",110,O63="Supporter",120)</f>
        <v>80</v>
      </c>
      <c r="X63" s="17" t="s">
        <v>42</v>
      </c>
      <c r="Y63" s="17">
        <v>600</v>
      </c>
      <c r="Z63" s="17" t="s">
        <v>43</v>
      </c>
      <c r="AA63" s="17">
        <v>300</v>
      </c>
      <c r="AB63" s="17" t="s">
        <v>44</v>
      </c>
      <c r="AC63" s="17">
        <v>20</v>
      </c>
      <c r="AD63" s="17" t="s">
        <v>45</v>
      </c>
      <c r="AE63" s="17">
        <v>0</v>
      </c>
      <c r="AF63" s="17" t="s">
        <v>46</v>
      </c>
      <c r="AG63" s="17">
        <v>100</v>
      </c>
      <c r="AH63" s="17" t="s">
        <v>47</v>
      </c>
      <c r="AI63" s="17">
        <v>100</v>
      </c>
      <c r="AJ63" s="17" t="s">
        <v>48</v>
      </c>
      <c r="AK63" s="17">
        <v>5000</v>
      </c>
      <c r="AL63" s="17" t="s">
        <v>49</v>
      </c>
      <c r="AM63" s="17">
        <v>150000</v>
      </c>
      <c r="AN63" s="17">
        <v>1811031</v>
      </c>
      <c r="AO63" s="17" t="b">
        <v>1</v>
      </c>
      <c r="AP63" s="17">
        <v>2811031</v>
      </c>
      <c r="AQ63" s="17" t="b">
        <v>1</v>
      </c>
      <c r="AR63" s="17">
        <v>0</v>
      </c>
      <c r="AS63" s="17" t="b">
        <v>0</v>
      </c>
      <c r="AT63" s="17">
        <v>0</v>
      </c>
      <c r="AU63" s="17" t="b">
        <v>0</v>
      </c>
    </row>
    <row r="64" spans="1:47" x14ac:dyDescent="0.3">
      <c r="A64" s="17">
        <v>22580202</v>
      </c>
      <c r="B64" s="17" t="s">
        <v>303</v>
      </c>
      <c r="C64" s="17">
        <v>225802</v>
      </c>
      <c r="D64" s="17">
        <v>0</v>
      </c>
      <c r="E64" s="17" t="s">
        <v>312</v>
      </c>
      <c r="G64" s="17" t="s">
        <v>29</v>
      </c>
      <c r="H64" s="17" t="s">
        <v>29</v>
      </c>
      <c r="I64" s="17">
        <v>2</v>
      </c>
      <c r="J64" s="24" t="s">
        <v>237</v>
      </c>
      <c r="K64" s="17" t="b">
        <v>1</v>
      </c>
      <c r="L64" s="24" t="s">
        <v>38</v>
      </c>
      <c r="M64" s="17">
        <v>2</v>
      </c>
      <c r="N64" s="17" t="s">
        <v>91</v>
      </c>
      <c r="O64" s="17" t="s">
        <v>57</v>
      </c>
      <c r="P64" s="17">
        <v>200</v>
      </c>
      <c r="Q64" s="17">
        <f t="array" ref="Q64">_xlfn.IFS($O64="Attacker",6,$O64="Healer",3,$O64="Magician",4,$O64="Defender",3,$O64="Supporter",4)</f>
        <v>6</v>
      </c>
      <c r="R64" s="17">
        <f t="array" ref="R64">_xlfn.IFS($O64="Attacker",6,$O64="Healer",3,$O64="Magician",4,$O64="Defender",3,$O64="Supporter",4)</f>
        <v>6</v>
      </c>
      <c r="S64" s="17">
        <v>1</v>
      </c>
      <c r="T64" s="17">
        <v>0</v>
      </c>
      <c r="U64" s="17">
        <v>0</v>
      </c>
      <c r="V64" s="17" t="s">
        <v>41</v>
      </c>
      <c r="W64" s="17">
        <f t="array" ref="W64">_xlfn.IFS(O64="Attacker",80,O64="Healer",90,O64="Magician",100,O64="Defender",110,O64="Supporter",120)</f>
        <v>80</v>
      </c>
      <c r="X64" s="17" t="s">
        <v>42</v>
      </c>
      <c r="Y64" s="17">
        <v>600</v>
      </c>
      <c r="Z64" s="17" t="s">
        <v>43</v>
      </c>
      <c r="AA64" s="17">
        <v>300</v>
      </c>
      <c r="AB64" s="17" t="s">
        <v>44</v>
      </c>
      <c r="AC64" s="17">
        <v>20</v>
      </c>
      <c r="AD64" s="17" t="s">
        <v>45</v>
      </c>
      <c r="AE64" s="17">
        <v>0</v>
      </c>
      <c r="AF64" s="17" t="s">
        <v>46</v>
      </c>
      <c r="AG64" s="17">
        <v>100</v>
      </c>
      <c r="AH64" s="17" t="s">
        <v>47</v>
      </c>
      <c r="AI64" s="17">
        <v>100</v>
      </c>
      <c r="AJ64" s="17" t="s">
        <v>48</v>
      </c>
      <c r="AK64" s="17">
        <v>5000</v>
      </c>
      <c r="AL64" s="17" t="s">
        <v>49</v>
      </c>
      <c r="AM64" s="17">
        <v>150000</v>
      </c>
      <c r="AN64" s="17">
        <v>1821031</v>
      </c>
      <c r="AO64" s="17" t="b">
        <v>1</v>
      </c>
      <c r="AP64" s="17">
        <v>2821031</v>
      </c>
      <c r="AQ64" s="17" t="b">
        <v>1</v>
      </c>
      <c r="AR64" s="17">
        <v>0</v>
      </c>
      <c r="AS64" s="17" t="b">
        <v>0</v>
      </c>
      <c r="AT64" s="17">
        <v>0</v>
      </c>
      <c r="AU64" s="17" t="b">
        <v>0</v>
      </c>
    </row>
    <row r="65" spans="1:47" x14ac:dyDescent="0.3">
      <c r="A65" s="17">
        <v>22580302</v>
      </c>
      <c r="B65" s="17" t="s">
        <v>305</v>
      </c>
      <c r="C65" s="17">
        <v>225803</v>
      </c>
      <c r="D65" s="17">
        <v>0</v>
      </c>
      <c r="E65" s="17" t="s">
        <v>313</v>
      </c>
      <c r="G65" s="17" t="s">
        <v>29</v>
      </c>
      <c r="H65" s="17" t="s">
        <v>29</v>
      </c>
      <c r="I65" s="17">
        <v>2</v>
      </c>
      <c r="J65" s="24" t="s">
        <v>237</v>
      </c>
      <c r="K65" s="17" t="b">
        <v>1</v>
      </c>
      <c r="L65" s="24" t="s">
        <v>38</v>
      </c>
      <c r="M65" s="17">
        <v>2</v>
      </c>
      <c r="N65" s="17" t="s">
        <v>72</v>
      </c>
      <c r="O65" s="17" t="s">
        <v>57</v>
      </c>
      <c r="P65" s="17">
        <v>200</v>
      </c>
      <c r="Q65" s="17">
        <f t="array" ref="Q65">_xlfn.IFS($O65="Attacker",6,$O65="Healer",3,$O65="Magician",4,$O65="Defender",3,$O65="Supporter",4)</f>
        <v>6</v>
      </c>
      <c r="R65" s="17">
        <f t="array" ref="R65">_xlfn.IFS($O65="Attacker",6,$O65="Healer",3,$O65="Magician",4,$O65="Defender",3,$O65="Supporter",4)</f>
        <v>6</v>
      </c>
      <c r="S65" s="17">
        <v>1</v>
      </c>
      <c r="T65" s="17">
        <v>0</v>
      </c>
      <c r="U65" s="17">
        <v>0</v>
      </c>
      <c r="V65" s="17" t="s">
        <v>41</v>
      </c>
      <c r="W65" s="17">
        <f t="array" ref="W65">_xlfn.IFS(O65="Attacker",80,O65="Healer",90,O65="Magician",100,O65="Defender",110,O65="Supporter",120)</f>
        <v>80</v>
      </c>
      <c r="X65" s="17" t="s">
        <v>42</v>
      </c>
      <c r="Y65" s="17">
        <v>600</v>
      </c>
      <c r="Z65" s="17" t="s">
        <v>43</v>
      </c>
      <c r="AA65" s="17">
        <v>300</v>
      </c>
      <c r="AB65" s="17" t="s">
        <v>44</v>
      </c>
      <c r="AC65" s="17">
        <v>20</v>
      </c>
      <c r="AD65" s="17" t="s">
        <v>45</v>
      </c>
      <c r="AE65" s="17">
        <v>0</v>
      </c>
      <c r="AF65" s="17" t="s">
        <v>46</v>
      </c>
      <c r="AG65" s="17">
        <v>100</v>
      </c>
      <c r="AH65" s="17" t="s">
        <v>47</v>
      </c>
      <c r="AI65" s="17">
        <v>100</v>
      </c>
      <c r="AJ65" s="17" t="s">
        <v>48</v>
      </c>
      <c r="AK65" s="17">
        <v>5000</v>
      </c>
      <c r="AL65" s="17" t="s">
        <v>49</v>
      </c>
      <c r="AM65" s="17">
        <v>150000</v>
      </c>
      <c r="AN65" s="17">
        <v>1831031</v>
      </c>
      <c r="AO65" s="17" t="b">
        <v>1</v>
      </c>
      <c r="AP65" s="17">
        <v>2831031</v>
      </c>
      <c r="AQ65" s="17" t="b">
        <v>1</v>
      </c>
      <c r="AR65" s="17">
        <v>0</v>
      </c>
      <c r="AS65" s="17" t="b">
        <v>0</v>
      </c>
      <c r="AT65" s="17">
        <v>0</v>
      </c>
      <c r="AU65" s="17" t="b">
        <v>0</v>
      </c>
    </row>
    <row r="66" spans="1:47" x14ac:dyDescent="0.3">
      <c r="A66" s="17">
        <v>22580402</v>
      </c>
      <c r="B66" s="17" t="s">
        <v>307</v>
      </c>
      <c r="C66" s="17">
        <v>225804</v>
      </c>
      <c r="D66" s="17">
        <v>0</v>
      </c>
      <c r="E66" s="17" t="s">
        <v>314</v>
      </c>
      <c r="G66" s="17" t="s">
        <v>29</v>
      </c>
      <c r="H66" s="17" t="s">
        <v>29</v>
      </c>
      <c r="I66" s="17">
        <v>2</v>
      </c>
      <c r="J66" s="24" t="s">
        <v>237</v>
      </c>
      <c r="K66" s="17" t="b">
        <v>1</v>
      </c>
      <c r="L66" s="24" t="s">
        <v>38</v>
      </c>
      <c r="M66" s="17">
        <v>2</v>
      </c>
      <c r="N66" s="17" t="s">
        <v>83</v>
      </c>
      <c r="O66" s="17" t="s">
        <v>57</v>
      </c>
      <c r="P66" s="17">
        <v>200</v>
      </c>
      <c r="Q66" s="17">
        <f t="array" ref="Q66">_xlfn.IFS($O66="Attacker",6,$O66="Healer",3,$O66="Magician",4,$O66="Defender",3,$O66="Supporter",4)</f>
        <v>6</v>
      </c>
      <c r="R66" s="17">
        <f t="array" ref="R66">_xlfn.IFS($O66="Attacker",6,$O66="Healer",3,$O66="Magician",4,$O66="Defender",3,$O66="Supporter",4)</f>
        <v>6</v>
      </c>
      <c r="S66" s="17">
        <v>1</v>
      </c>
      <c r="T66" s="17">
        <v>0</v>
      </c>
      <c r="U66" s="17">
        <v>0</v>
      </c>
      <c r="V66" s="17" t="s">
        <v>41</v>
      </c>
      <c r="W66" s="17">
        <f t="array" ref="W66">_xlfn.IFS(O66="Attacker",80,O66="Healer",90,O66="Magician",100,O66="Defender",110,O66="Supporter",120)</f>
        <v>80</v>
      </c>
      <c r="X66" s="17" t="s">
        <v>42</v>
      </c>
      <c r="Y66" s="17">
        <v>600</v>
      </c>
      <c r="Z66" s="17" t="s">
        <v>43</v>
      </c>
      <c r="AA66" s="17">
        <v>300</v>
      </c>
      <c r="AB66" s="17" t="s">
        <v>44</v>
      </c>
      <c r="AC66" s="17">
        <v>20</v>
      </c>
      <c r="AD66" s="17" t="s">
        <v>45</v>
      </c>
      <c r="AE66" s="17">
        <v>0</v>
      </c>
      <c r="AF66" s="17" t="s">
        <v>46</v>
      </c>
      <c r="AG66" s="17">
        <v>100</v>
      </c>
      <c r="AH66" s="17" t="s">
        <v>47</v>
      </c>
      <c r="AI66" s="17">
        <v>100</v>
      </c>
      <c r="AJ66" s="17" t="s">
        <v>48</v>
      </c>
      <c r="AK66" s="17">
        <v>5000</v>
      </c>
      <c r="AL66" s="17" t="s">
        <v>49</v>
      </c>
      <c r="AM66" s="17">
        <v>150000</v>
      </c>
      <c r="AN66" s="17">
        <v>1841031</v>
      </c>
      <c r="AO66" s="17" t="b">
        <v>1</v>
      </c>
      <c r="AP66" s="17">
        <v>2841031</v>
      </c>
      <c r="AQ66" s="17" t="b">
        <v>1</v>
      </c>
      <c r="AR66" s="17">
        <v>0</v>
      </c>
      <c r="AS66" s="17" t="b">
        <v>0</v>
      </c>
      <c r="AT66" s="17">
        <v>0</v>
      </c>
      <c r="AU66" s="17" t="b">
        <v>0</v>
      </c>
    </row>
    <row r="67" spans="1:47" x14ac:dyDescent="0.3">
      <c r="A67" s="29">
        <v>22580502</v>
      </c>
      <c r="B67" s="29" t="s">
        <v>309</v>
      </c>
      <c r="C67" s="29">
        <v>225805</v>
      </c>
      <c r="D67" s="29">
        <v>0</v>
      </c>
      <c r="E67" s="29" t="s">
        <v>315</v>
      </c>
      <c r="F67" s="29"/>
      <c r="G67" s="29" t="s">
        <v>29</v>
      </c>
      <c r="H67" s="29" t="s">
        <v>29</v>
      </c>
      <c r="I67" s="29">
        <v>2</v>
      </c>
      <c r="J67" s="27" t="s">
        <v>237</v>
      </c>
      <c r="K67" s="17" t="b">
        <v>1</v>
      </c>
      <c r="L67" s="27" t="s">
        <v>38</v>
      </c>
      <c r="M67" s="29">
        <v>2</v>
      </c>
      <c r="N67" s="29" t="s">
        <v>39</v>
      </c>
      <c r="O67" s="29" t="s">
        <v>57</v>
      </c>
      <c r="P67" s="29">
        <v>200</v>
      </c>
      <c r="Q67" s="29">
        <f t="array" ref="Q67">_xlfn.IFS($O67="Attacker",6,$O67="Healer",3,$O67="Magician",4,$O67="Defender",3,$O67="Supporter",4)</f>
        <v>6</v>
      </c>
      <c r="R67" s="29">
        <f t="array" ref="R67">_xlfn.IFS($O67="Attacker",6,$O67="Healer",3,$O67="Magician",4,$O67="Defender",3,$O67="Supporter",4)</f>
        <v>6</v>
      </c>
      <c r="S67" s="29">
        <v>1</v>
      </c>
      <c r="T67" s="29">
        <v>0</v>
      </c>
      <c r="U67" s="29">
        <v>0</v>
      </c>
      <c r="V67" s="29" t="s">
        <v>41</v>
      </c>
      <c r="W67" s="29">
        <f t="array" ref="W67">_xlfn.IFS(O67="Attacker",80,O67="Healer",90,O67="Magician",100,O67="Defender",110,O67="Supporter",120)</f>
        <v>80</v>
      </c>
      <c r="X67" s="29" t="s">
        <v>42</v>
      </c>
      <c r="Y67" s="29">
        <v>600</v>
      </c>
      <c r="Z67" s="29" t="s">
        <v>43</v>
      </c>
      <c r="AA67" s="29">
        <v>300</v>
      </c>
      <c r="AB67" s="29" t="s">
        <v>44</v>
      </c>
      <c r="AC67" s="29">
        <v>20</v>
      </c>
      <c r="AD67" s="29" t="s">
        <v>45</v>
      </c>
      <c r="AE67" s="29">
        <v>0</v>
      </c>
      <c r="AF67" s="29" t="s">
        <v>46</v>
      </c>
      <c r="AG67" s="29">
        <v>100</v>
      </c>
      <c r="AH67" s="29" t="s">
        <v>47</v>
      </c>
      <c r="AI67" s="29">
        <v>100</v>
      </c>
      <c r="AJ67" s="29" t="s">
        <v>48</v>
      </c>
      <c r="AK67" s="29">
        <v>5000</v>
      </c>
      <c r="AL67" s="29" t="s">
        <v>49</v>
      </c>
      <c r="AM67" s="29">
        <v>150000</v>
      </c>
      <c r="AN67" s="29">
        <v>1851031</v>
      </c>
      <c r="AO67" s="29" t="b">
        <v>1</v>
      </c>
      <c r="AP67" s="29">
        <v>2851031</v>
      </c>
      <c r="AQ67" s="29" t="b">
        <v>1</v>
      </c>
      <c r="AR67" s="29">
        <v>0</v>
      </c>
      <c r="AS67" s="29" t="b">
        <v>0</v>
      </c>
      <c r="AT67" s="29">
        <v>0</v>
      </c>
      <c r="AU67" s="29" t="b">
        <v>0</v>
      </c>
    </row>
    <row r="68" spans="1:47" s="11" customFormat="1" x14ac:dyDescent="0.3">
      <c r="A68" s="17">
        <v>22580103</v>
      </c>
      <c r="B68" s="17" t="s">
        <v>301</v>
      </c>
      <c r="C68" s="17">
        <v>225801</v>
      </c>
      <c r="D68" s="17">
        <v>0</v>
      </c>
      <c r="E68" s="17" t="s">
        <v>316</v>
      </c>
      <c r="F68" s="17"/>
      <c r="G68" s="17" t="s">
        <v>29</v>
      </c>
      <c r="H68" s="17" t="s">
        <v>29</v>
      </c>
      <c r="I68" s="17">
        <v>3</v>
      </c>
      <c r="J68" s="24" t="s">
        <v>237</v>
      </c>
      <c r="K68" s="17" t="b">
        <v>1</v>
      </c>
      <c r="L68" s="24" t="s">
        <v>38</v>
      </c>
      <c r="M68" s="17">
        <v>2</v>
      </c>
      <c r="N68" s="17" t="s">
        <v>61</v>
      </c>
      <c r="O68" s="17" t="s">
        <v>57</v>
      </c>
      <c r="P68" s="17">
        <v>200</v>
      </c>
      <c r="Q68" s="17">
        <f t="array" ref="Q68">_xlfn.IFS($O68="Attacker",6,$O68="Healer",3,$O68="Magician",4,$O68="Defender",3,$O68="Supporter",4)</f>
        <v>6</v>
      </c>
      <c r="R68" s="17">
        <f t="array" ref="R68">_xlfn.IFS($O68="Attacker",6,$O68="Healer",3,$O68="Magician",4,$O68="Defender",3,$O68="Supporter",4)</f>
        <v>6</v>
      </c>
      <c r="S68" s="17">
        <v>1</v>
      </c>
      <c r="T68" s="17">
        <v>0</v>
      </c>
      <c r="U68" s="17">
        <v>0</v>
      </c>
      <c r="V68" s="17" t="s">
        <v>41</v>
      </c>
      <c r="W68" s="17">
        <f t="array" ref="W68">_xlfn.IFS(O68="Attacker",80,O68="Healer",90,O68="Magician",100,O68="Defender",110,O68="Supporter",120)</f>
        <v>80</v>
      </c>
      <c r="X68" s="17" t="s">
        <v>42</v>
      </c>
      <c r="Y68" s="17">
        <v>36000</v>
      </c>
      <c r="Z68" s="17" t="s">
        <v>43</v>
      </c>
      <c r="AA68" s="17">
        <v>675</v>
      </c>
      <c r="AB68" s="17" t="s">
        <v>44</v>
      </c>
      <c r="AC68" s="17">
        <v>0</v>
      </c>
      <c r="AD68" s="17" t="s">
        <v>45</v>
      </c>
      <c r="AE68" s="17">
        <v>0</v>
      </c>
      <c r="AF68" s="17" t="s">
        <v>46</v>
      </c>
      <c r="AG68" s="17">
        <v>100</v>
      </c>
      <c r="AH68" s="17" t="s">
        <v>47</v>
      </c>
      <c r="AI68" s="17">
        <v>80</v>
      </c>
      <c r="AJ68" s="17" t="s">
        <v>48</v>
      </c>
      <c r="AK68" s="17">
        <v>0</v>
      </c>
      <c r="AL68" s="17" t="s">
        <v>49</v>
      </c>
      <c r="AM68" s="17">
        <v>150000</v>
      </c>
      <c r="AN68" s="17">
        <v>1811031</v>
      </c>
      <c r="AO68" s="17" t="b">
        <v>1</v>
      </c>
      <c r="AP68" s="17">
        <v>2811031</v>
      </c>
      <c r="AQ68" s="17" t="b">
        <v>1</v>
      </c>
      <c r="AR68" s="17">
        <v>0</v>
      </c>
      <c r="AS68" s="17" t="b">
        <v>0</v>
      </c>
      <c r="AT68" s="17">
        <v>0</v>
      </c>
      <c r="AU68" s="17" t="b">
        <v>0</v>
      </c>
    </row>
    <row r="69" spans="1:47" x14ac:dyDescent="0.3">
      <c r="A69" s="17">
        <v>22580203</v>
      </c>
      <c r="B69" s="17" t="s">
        <v>303</v>
      </c>
      <c r="C69" s="17">
        <v>225802</v>
      </c>
      <c r="D69" s="17">
        <v>0</v>
      </c>
      <c r="E69" s="17" t="s">
        <v>317</v>
      </c>
      <c r="G69" s="17" t="s">
        <v>29</v>
      </c>
      <c r="H69" s="17" t="s">
        <v>29</v>
      </c>
      <c r="I69" s="17">
        <v>3</v>
      </c>
      <c r="J69" s="24" t="s">
        <v>237</v>
      </c>
      <c r="K69" s="17" t="b">
        <v>1</v>
      </c>
      <c r="L69" s="24" t="s">
        <v>38</v>
      </c>
      <c r="M69" s="17">
        <v>2</v>
      </c>
      <c r="N69" s="17" t="s">
        <v>91</v>
      </c>
      <c r="O69" s="17" t="s">
        <v>57</v>
      </c>
      <c r="P69" s="17">
        <v>200</v>
      </c>
      <c r="Q69" s="17">
        <f t="array" ref="Q69">_xlfn.IFS($O69="Attacker",6,$O69="Healer",3,$O69="Magician",4,$O69="Defender",3,$O69="Supporter",4)</f>
        <v>6</v>
      </c>
      <c r="R69" s="17">
        <f t="array" ref="R69">_xlfn.IFS($O69="Attacker",6,$O69="Healer",3,$O69="Magician",4,$O69="Defender",3,$O69="Supporter",4)</f>
        <v>6</v>
      </c>
      <c r="S69" s="17">
        <v>1</v>
      </c>
      <c r="T69" s="17">
        <v>0</v>
      </c>
      <c r="U69" s="17">
        <v>0</v>
      </c>
      <c r="V69" s="17" t="s">
        <v>41</v>
      </c>
      <c r="W69" s="17">
        <f t="array" ref="W69">_xlfn.IFS(O69="Attacker",80,O69="Healer",90,O69="Magician",100,O69="Defender",110,O69="Supporter",120)</f>
        <v>80</v>
      </c>
      <c r="X69" s="17" t="s">
        <v>42</v>
      </c>
      <c r="Y69" s="17">
        <v>36000</v>
      </c>
      <c r="Z69" s="17" t="s">
        <v>43</v>
      </c>
      <c r="AA69" s="17">
        <v>675</v>
      </c>
      <c r="AB69" s="17" t="s">
        <v>44</v>
      </c>
      <c r="AC69" s="17">
        <v>0</v>
      </c>
      <c r="AD69" s="17" t="s">
        <v>45</v>
      </c>
      <c r="AE69" s="17">
        <v>0</v>
      </c>
      <c r="AF69" s="17" t="s">
        <v>46</v>
      </c>
      <c r="AG69" s="17">
        <v>120</v>
      </c>
      <c r="AH69" s="17" t="s">
        <v>47</v>
      </c>
      <c r="AI69" s="17">
        <v>80</v>
      </c>
      <c r="AJ69" s="17" t="s">
        <v>48</v>
      </c>
      <c r="AK69" s="17">
        <v>0</v>
      </c>
      <c r="AL69" s="17" t="s">
        <v>49</v>
      </c>
      <c r="AM69" s="17">
        <v>150000</v>
      </c>
      <c r="AN69" s="17">
        <v>1821031</v>
      </c>
      <c r="AO69" s="17" t="b">
        <v>1</v>
      </c>
      <c r="AP69" s="17">
        <v>2821031</v>
      </c>
      <c r="AQ69" s="17" t="b">
        <v>1</v>
      </c>
      <c r="AR69" s="17">
        <v>0</v>
      </c>
      <c r="AS69" s="17" t="b">
        <v>0</v>
      </c>
      <c r="AT69" s="17">
        <v>0</v>
      </c>
      <c r="AU69" s="17" t="b">
        <v>0</v>
      </c>
    </row>
    <row r="70" spans="1:47" x14ac:dyDescent="0.3">
      <c r="A70" s="17">
        <v>22580303</v>
      </c>
      <c r="B70" s="17" t="s">
        <v>305</v>
      </c>
      <c r="C70" s="17">
        <v>225803</v>
      </c>
      <c r="D70" s="17">
        <v>0</v>
      </c>
      <c r="E70" s="17" t="s">
        <v>318</v>
      </c>
      <c r="G70" s="17" t="s">
        <v>29</v>
      </c>
      <c r="H70" s="17" t="s">
        <v>29</v>
      </c>
      <c r="I70" s="17">
        <v>3</v>
      </c>
      <c r="J70" s="24" t="s">
        <v>237</v>
      </c>
      <c r="K70" s="17" t="b">
        <v>1</v>
      </c>
      <c r="L70" s="24" t="s">
        <v>38</v>
      </c>
      <c r="M70" s="17">
        <v>2</v>
      </c>
      <c r="N70" s="17" t="s">
        <v>72</v>
      </c>
      <c r="O70" s="17" t="s">
        <v>57</v>
      </c>
      <c r="P70" s="17">
        <v>200</v>
      </c>
      <c r="Q70" s="17">
        <f t="array" ref="Q70">_xlfn.IFS($O70="Attacker",6,$O70="Healer",3,$O70="Magician",4,$O70="Defender",3,$O70="Supporter",4)</f>
        <v>6</v>
      </c>
      <c r="R70" s="17">
        <f t="array" ref="R70">_xlfn.IFS($O70="Attacker",6,$O70="Healer",3,$O70="Magician",4,$O70="Defender",3,$O70="Supporter",4)</f>
        <v>6</v>
      </c>
      <c r="S70" s="17">
        <v>1</v>
      </c>
      <c r="T70" s="17">
        <v>0</v>
      </c>
      <c r="U70" s="17">
        <v>0</v>
      </c>
      <c r="V70" s="17" t="s">
        <v>41</v>
      </c>
      <c r="W70" s="17">
        <f t="array" ref="W70">_xlfn.IFS(O70="Attacker",80,O70="Healer",90,O70="Magician",100,O70="Defender",110,O70="Supporter",120)</f>
        <v>80</v>
      </c>
      <c r="X70" s="17" t="s">
        <v>42</v>
      </c>
      <c r="Y70" s="17">
        <v>39600</v>
      </c>
      <c r="Z70" s="17" t="s">
        <v>43</v>
      </c>
      <c r="AA70" s="17">
        <v>675</v>
      </c>
      <c r="AB70" s="17" t="s">
        <v>44</v>
      </c>
      <c r="AC70" s="17">
        <v>0</v>
      </c>
      <c r="AD70" s="17" t="s">
        <v>45</v>
      </c>
      <c r="AE70" s="17">
        <v>0</v>
      </c>
      <c r="AF70" s="17" t="s">
        <v>46</v>
      </c>
      <c r="AG70" s="17">
        <v>100</v>
      </c>
      <c r="AH70" s="17" t="s">
        <v>47</v>
      </c>
      <c r="AI70" s="17">
        <v>80</v>
      </c>
      <c r="AJ70" s="17" t="s">
        <v>48</v>
      </c>
      <c r="AK70" s="17">
        <v>0</v>
      </c>
      <c r="AL70" s="17" t="s">
        <v>49</v>
      </c>
      <c r="AM70" s="17">
        <v>150000</v>
      </c>
      <c r="AN70" s="17">
        <v>1831031</v>
      </c>
      <c r="AO70" s="17" t="b">
        <v>1</v>
      </c>
      <c r="AP70" s="17">
        <v>2831031</v>
      </c>
      <c r="AQ70" s="17" t="b">
        <v>1</v>
      </c>
      <c r="AR70" s="17">
        <v>0</v>
      </c>
      <c r="AS70" s="17" t="b">
        <v>0</v>
      </c>
      <c r="AT70" s="17">
        <v>0</v>
      </c>
      <c r="AU70" s="17" t="b">
        <v>0</v>
      </c>
    </row>
    <row r="71" spans="1:47" x14ac:dyDescent="0.3">
      <c r="A71" s="17">
        <v>22580403</v>
      </c>
      <c r="B71" s="17" t="s">
        <v>307</v>
      </c>
      <c r="C71" s="17">
        <v>225804</v>
      </c>
      <c r="D71" s="17">
        <v>0</v>
      </c>
      <c r="E71" s="17" t="s">
        <v>319</v>
      </c>
      <c r="G71" s="17" t="s">
        <v>29</v>
      </c>
      <c r="H71" s="17" t="s">
        <v>29</v>
      </c>
      <c r="I71" s="17">
        <v>3</v>
      </c>
      <c r="J71" s="24" t="s">
        <v>237</v>
      </c>
      <c r="K71" s="17" t="b">
        <v>1</v>
      </c>
      <c r="L71" s="24" t="s">
        <v>38</v>
      </c>
      <c r="M71" s="17">
        <v>2</v>
      </c>
      <c r="N71" s="17" t="s">
        <v>83</v>
      </c>
      <c r="O71" s="17" t="s">
        <v>57</v>
      </c>
      <c r="P71" s="17">
        <v>200</v>
      </c>
      <c r="Q71" s="17">
        <f t="array" ref="Q71">_xlfn.IFS($O71="Attacker",6,$O71="Healer",3,$O71="Magician",4,$O71="Defender",3,$O71="Supporter",4)</f>
        <v>6</v>
      </c>
      <c r="R71" s="17">
        <f t="array" ref="R71">_xlfn.IFS($O71="Attacker",6,$O71="Healer",3,$O71="Magician",4,$O71="Defender",3,$O71="Supporter",4)</f>
        <v>6</v>
      </c>
      <c r="S71" s="17">
        <v>1</v>
      </c>
      <c r="T71" s="17">
        <v>0</v>
      </c>
      <c r="U71" s="17">
        <v>0</v>
      </c>
      <c r="V71" s="17" t="s">
        <v>41</v>
      </c>
      <c r="W71" s="17">
        <f t="array" ref="W71">_xlfn.IFS(O71="Attacker",80,O71="Healer",90,O71="Magician",100,O71="Defender",110,O71="Supporter",120)</f>
        <v>80</v>
      </c>
      <c r="X71" s="17" t="s">
        <v>42</v>
      </c>
      <c r="Y71" s="17">
        <v>36000</v>
      </c>
      <c r="Z71" s="17" t="s">
        <v>43</v>
      </c>
      <c r="AA71" s="17">
        <v>675</v>
      </c>
      <c r="AB71" s="17" t="s">
        <v>44</v>
      </c>
      <c r="AC71" s="17">
        <v>0</v>
      </c>
      <c r="AD71" s="17" t="s">
        <v>45</v>
      </c>
      <c r="AE71" s="17">
        <v>0</v>
      </c>
      <c r="AF71" s="17" t="s">
        <v>46</v>
      </c>
      <c r="AG71" s="17">
        <v>100</v>
      </c>
      <c r="AH71" s="17" t="s">
        <v>47</v>
      </c>
      <c r="AI71" s="17">
        <v>104</v>
      </c>
      <c r="AJ71" s="17" t="s">
        <v>48</v>
      </c>
      <c r="AK71" s="17">
        <v>0</v>
      </c>
      <c r="AL71" s="17" t="s">
        <v>49</v>
      </c>
      <c r="AM71" s="17">
        <v>150000</v>
      </c>
      <c r="AN71" s="17">
        <v>1841031</v>
      </c>
      <c r="AO71" s="17" t="b">
        <v>1</v>
      </c>
      <c r="AP71" s="17">
        <v>2841031</v>
      </c>
      <c r="AQ71" s="17" t="b">
        <v>1</v>
      </c>
      <c r="AR71" s="17">
        <v>0</v>
      </c>
      <c r="AS71" s="17" t="b">
        <v>0</v>
      </c>
      <c r="AT71" s="17">
        <v>0</v>
      </c>
      <c r="AU71" s="17" t="b">
        <v>0</v>
      </c>
    </row>
    <row r="72" spans="1:47" x14ac:dyDescent="0.3">
      <c r="A72" s="29">
        <v>22580503</v>
      </c>
      <c r="B72" s="29" t="s">
        <v>309</v>
      </c>
      <c r="C72" s="29">
        <v>225805</v>
      </c>
      <c r="D72" s="29">
        <v>0</v>
      </c>
      <c r="E72" s="29" t="s">
        <v>320</v>
      </c>
      <c r="F72" s="29"/>
      <c r="G72" s="29" t="s">
        <v>29</v>
      </c>
      <c r="H72" s="29" t="s">
        <v>29</v>
      </c>
      <c r="I72" s="29">
        <v>3</v>
      </c>
      <c r="J72" s="27" t="s">
        <v>237</v>
      </c>
      <c r="K72" s="17" t="b">
        <v>1</v>
      </c>
      <c r="L72" s="27" t="s">
        <v>38</v>
      </c>
      <c r="M72" s="29">
        <v>2</v>
      </c>
      <c r="N72" s="29" t="s">
        <v>39</v>
      </c>
      <c r="O72" s="29" t="s">
        <v>57</v>
      </c>
      <c r="P72" s="29">
        <v>200</v>
      </c>
      <c r="Q72" s="29">
        <f t="array" ref="Q72">_xlfn.IFS($O72="Attacker",6,$O72="Healer",3,$O72="Magician",4,$O72="Defender",3,$O72="Supporter",4)</f>
        <v>6</v>
      </c>
      <c r="R72" s="29">
        <f t="array" ref="R72">_xlfn.IFS($O72="Attacker",6,$O72="Healer",3,$O72="Magician",4,$O72="Defender",3,$O72="Supporter",4)</f>
        <v>6</v>
      </c>
      <c r="S72" s="29">
        <v>1</v>
      </c>
      <c r="T72" s="29">
        <v>0</v>
      </c>
      <c r="U72" s="29">
        <v>0</v>
      </c>
      <c r="V72" s="29" t="s">
        <v>41</v>
      </c>
      <c r="W72" s="29">
        <f t="array" ref="W72">_xlfn.IFS(O72="Attacker",80,O72="Healer",90,O72="Magician",100,O72="Defender",110,O72="Supporter",120)</f>
        <v>80</v>
      </c>
      <c r="X72" s="29" t="s">
        <v>42</v>
      </c>
      <c r="Y72" s="17">
        <v>36000</v>
      </c>
      <c r="Z72" s="29" t="s">
        <v>43</v>
      </c>
      <c r="AA72" s="17">
        <v>675</v>
      </c>
      <c r="AB72" s="29" t="s">
        <v>44</v>
      </c>
      <c r="AC72" s="17">
        <v>0</v>
      </c>
      <c r="AD72" s="29" t="s">
        <v>45</v>
      </c>
      <c r="AE72" s="29">
        <v>0</v>
      </c>
      <c r="AF72" s="29" t="s">
        <v>46</v>
      </c>
      <c r="AG72" s="29">
        <v>100</v>
      </c>
      <c r="AH72" s="29" t="s">
        <v>47</v>
      </c>
      <c r="AI72" s="29">
        <v>80</v>
      </c>
      <c r="AJ72" s="29" t="s">
        <v>48</v>
      </c>
      <c r="AK72" s="29">
        <v>0</v>
      </c>
      <c r="AL72" s="29" t="s">
        <v>49</v>
      </c>
      <c r="AM72" s="29">
        <v>150000</v>
      </c>
      <c r="AN72" s="29">
        <v>1851031</v>
      </c>
      <c r="AO72" s="29" t="b">
        <v>1</v>
      </c>
      <c r="AP72" s="29">
        <v>2851031</v>
      </c>
      <c r="AQ72" s="29" t="b">
        <v>1</v>
      </c>
      <c r="AR72" s="29">
        <v>0</v>
      </c>
      <c r="AS72" s="29" t="b">
        <v>0</v>
      </c>
      <c r="AT72" s="29">
        <v>0</v>
      </c>
      <c r="AU72" s="29" t="b">
        <v>0</v>
      </c>
    </row>
    <row r="73" spans="1:47" s="11" customFormat="1" x14ac:dyDescent="0.3">
      <c r="A73" s="17">
        <v>22580104</v>
      </c>
      <c r="B73" s="17" t="s">
        <v>301</v>
      </c>
      <c r="C73" s="17">
        <v>225801</v>
      </c>
      <c r="D73" s="17">
        <v>0</v>
      </c>
      <c r="E73" s="17" t="s">
        <v>321</v>
      </c>
      <c r="F73" s="17"/>
      <c r="G73" s="17" t="s">
        <v>29</v>
      </c>
      <c r="H73" s="17" t="s">
        <v>29</v>
      </c>
      <c r="I73" s="17">
        <v>4</v>
      </c>
      <c r="J73" s="24" t="s">
        <v>237</v>
      </c>
      <c r="K73" s="17" t="b">
        <v>1</v>
      </c>
      <c r="L73" s="24" t="s">
        <v>38</v>
      </c>
      <c r="M73" s="17">
        <v>2</v>
      </c>
      <c r="N73" s="17" t="s">
        <v>61</v>
      </c>
      <c r="O73" s="17" t="s">
        <v>57</v>
      </c>
      <c r="P73" s="17">
        <v>200</v>
      </c>
      <c r="Q73" s="17">
        <f t="array" ref="Q73">_xlfn.IFS($O73="Attacker",6,$O73="Healer",3,$O73="Magician",4,$O73="Defender",3,$O73="Supporter",4)</f>
        <v>6</v>
      </c>
      <c r="R73" s="17">
        <f t="array" ref="R73">_xlfn.IFS($O73="Attacker",6,$O73="Healer",3,$O73="Magician",4,$O73="Defender",3,$O73="Supporter",4)</f>
        <v>6</v>
      </c>
      <c r="S73" s="17">
        <v>1</v>
      </c>
      <c r="T73" s="17">
        <v>0</v>
      </c>
      <c r="U73" s="17">
        <v>0</v>
      </c>
      <c r="V73" s="17" t="s">
        <v>41</v>
      </c>
      <c r="W73" s="17">
        <f t="array" ref="W73">_xlfn.IFS(O73="Attacker",80,O73="Healer",90,O73="Magician",100,O73="Defender",110,O73="Supporter",120)</f>
        <v>80</v>
      </c>
      <c r="X73" s="17" t="s">
        <v>42</v>
      </c>
      <c r="Y73" s="17">
        <v>90000</v>
      </c>
      <c r="Z73" s="17" t="s">
        <v>43</v>
      </c>
      <c r="AA73" s="17">
        <v>1012</v>
      </c>
      <c r="AB73" s="17" t="s">
        <v>44</v>
      </c>
      <c r="AC73" s="17">
        <v>0</v>
      </c>
      <c r="AD73" s="17" t="s">
        <v>45</v>
      </c>
      <c r="AE73" s="17">
        <v>0</v>
      </c>
      <c r="AF73" s="17" t="s">
        <v>46</v>
      </c>
      <c r="AG73" s="17">
        <v>100</v>
      </c>
      <c r="AH73" s="17" t="s">
        <v>47</v>
      </c>
      <c r="AI73" s="17">
        <v>80</v>
      </c>
      <c r="AJ73" s="17" t="s">
        <v>48</v>
      </c>
      <c r="AK73" s="17">
        <v>0</v>
      </c>
      <c r="AL73" s="17" t="s">
        <v>49</v>
      </c>
      <c r="AM73" s="17">
        <v>150000</v>
      </c>
      <c r="AN73" s="17">
        <v>1811031</v>
      </c>
      <c r="AO73" s="17" t="b">
        <v>1</v>
      </c>
      <c r="AP73" s="17">
        <v>2811031</v>
      </c>
      <c r="AQ73" s="17" t="b">
        <v>1</v>
      </c>
      <c r="AR73" s="17">
        <v>0</v>
      </c>
      <c r="AS73" s="17" t="b">
        <v>0</v>
      </c>
      <c r="AT73" s="17">
        <v>0</v>
      </c>
      <c r="AU73" s="17" t="b">
        <v>0</v>
      </c>
    </row>
    <row r="74" spans="1:47" x14ac:dyDescent="0.3">
      <c r="A74" s="17">
        <v>22580204</v>
      </c>
      <c r="B74" s="17" t="s">
        <v>303</v>
      </c>
      <c r="C74" s="17">
        <v>225802</v>
      </c>
      <c r="D74" s="17">
        <v>0</v>
      </c>
      <c r="E74" s="17" t="s">
        <v>322</v>
      </c>
      <c r="G74" s="17" t="s">
        <v>29</v>
      </c>
      <c r="H74" s="17" t="s">
        <v>29</v>
      </c>
      <c r="I74" s="17">
        <v>4</v>
      </c>
      <c r="J74" s="24" t="s">
        <v>237</v>
      </c>
      <c r="K74" s="17" t="b">
        <v>1</v>
      </c>
      <c r="L74" s="24" t="s">
        <v>38</v>
      </c>
      <c r="M74" s="17">
        <v>2</v>
      </c>
      <c r="N74" s="17" t="s">
        <v>91</v>
      </c>
      <c r="O74" s="17" t="s">
        <v>57</v>
      </c>
      <c r="P74" s="17">
        <v>200</v>
      </c>
      <c r="Q74" s="17">
        <f t="array" ref="Q74">_xlfn.IFS($O74="Attacker",6,$O74="Healer",3,$O74="Magician",4,$O74="Defender",3,$O74="Supporter",4)</f>
        <v>6</v>
      </c>
      <c r="R74" s="17">
        <f t="array" ref="R74">_xlfn.IFS($O74="Attacker",6,$O74="Healer",3,$O74="Magician",4,$O74="Defender",3,$O74="Supporter",4)</f>
        <v>6</v>
      </c>
      <c r="S74" s="17">
        <v>1</v>
      </c>
      <c r="T74" s="17">
        <v>0</v>
      </c>
      <c r="U74" s="17">
        <v>0</v>
      </c>
      <c r="V74" s="17" t="s">
        <v>41</v>
      </c>
      <c r="W74" s="17">
        <f t="array" ref="W74">_xlfn.IFS(O74="Attacker",80,O74="Healer",90,O74="Magician",100,O74="Defender",110,O74="Supporter",120)</f>
        <v>80</v>
      </c>
      <c r="X74" s="17" t="s">
        <v>42</v>
      </c>
      <c r="Y74" s="17">
        <v>90000</v>
      </c>
      <c r="Z74" s="17" t="s">
        <v>43</v>
      </c>
      <c r="AA74" s="17">
        <v>1012</v>
      </c>
      <c r="AB74" s="17" t="s">
        <v>44</v>
      </c>
      <c r="AC74" s="17">
        <v>0</v>
      </c>
      <c r="AD74" s="17" t="s">
        <v>45</v>
      </c>
      <c r="AE74" s="17">
        <v>0</v>
      </c>
      <c r="AF74" s="17" t="s">
        <v>46</v>
      </c>
      <c r="AG74" s="17">
        <v>120</v>
      </c>
      <c r="AH74" s="17" t="s">
        <v>47</v>
      </c>
      <c r="AI74" s="17">
        <v>80</v>
      </c>
      <c r="AJ74" s="17" t="s">
        <v>48</v>
      </c>
      <c r="AK74" s="17">
        <v>0</v>
      </c>
      <c r="AL74" s="17" t="s">
        <v>49</v>
      </c>
      <c r="AM74" s="17">
        <v>150000</v>
      </c>
      <c r="AN74" s="17">
        <v>1821031</v>
      </c>
      <c r="AO74" s="17" t="b">
        <v>1</v>
      </c>
      <c r="AP74" s="17">
        <v>2821031</v>
      </c>
      <c r="AQ74" s="17" t="b">
        <v>1</v>
      </c>
      <c r="AR74" s="17">
        <v>0</v>
      </c>
      <c r="AS74" s="17" t="b">
        <v>0</v>
      </c>
      <c r="AT74" s="17">
        <v>0</v>
      </c>
      <c r="AU74" s="17" t="b">
        <v>0</v>
      </c>
    </row>
    <row r="75" spans="1:47" x14ac:dyDescent="0.3">
      <c r="A75" s="17">
        <v>22580304</v>
      </c>
      <c r="B75" s="17" t="s">
        <v>305</v>
      </c>
      <c r="C75" s="17">
        <v>225803</v>
      </c>
      <c r="D75" s="17">
        <v>0</v>
      </c>
      <c r="E75" s="17" t="s">
        <v>323</v>
      </c>
      <c r="G75" s="17" t="s">
        <v>29</v>
      </c>
      <c r="H75" s="17" t="s">
        <v>29</v>
      </c>
      <c r="I75" s="17">
        <v>4</v>
      </c>
      <c r="J75" s="24" t="s">
        <v>237</v>
      </c>
      <c r="K75" s="17" t="b">
        <v>1</v>
      </c>
      <c r="L75" s="24" t="s">
        <v>38</v>
      </c>
      <c r="M75" s="17">
        <v>2</v>
      </c>
      <c r="N75" s="17" t="s">
        <v>72</v>
      </c>
      <c r="O75" s="17" t="s">
        <v>57</v>
      </c>
      <c r="P75" s="17">
        <v>200</v>
      </c>
      <c r="Q75" s="17">
        <f t="array" ref="Q75">_xlfn.IFS($O75="Attacker",6,$O75="Healer",3,$O75="Magician",4,$O75="Defender",3,$O75="Supporter",4)</f>
        <v>6</v>
      </c>
      <c r="R75" s="17">
        <f t="array" ref="R75">_xlfn.IFS($O75="Attacker",6,$O75="Healer",3,$O75="Magician",4,$O75="Defender",3,$O75="Supporter",4)</f>
        <v>6</v>
      </c>
      <c r="S75" s="17">
        <v>1</v>
      </c>
      <c r="T75" s="17">
        <v>0</v>
      </c>
      <c r="U75" s="17">
        <v>0</v>
      </c>
      <c r="V75" s="17" t="s">
        <v>41</v>
      </c>
      <c r="W75" s="17">
        <f t="array" ref="W75">_xlfn.IFS(O75="Attacker",80,O75="Healer",90,O75="Magician",100,O75="Defender",110,O75="Supporter",120)</f>
        <v>80</v>
      </c>
      <c r="X75" s="17" t="s">
        <v>42</v>
      </c>
      <c r="Y75" s="17">
        <v>99000</v>
      </c>
      <c r="Z75" s="17" t="s">
        <v>43</v>
      </c>
      <c r="AA75" s="17">
        <v>1012</v>
      </c>
      <c r="AB75" s="17" t="s">
        <v>44</v>
      </c>
      <c r="AC75" s="17">
        <v>0</v>
      </c>
      <c r="AD75" s="17" t="s">
        <v>45</v>
      </c>
      <c r="AE75" s="17">
        <v>0</v>
      </c>
      <c r="AF75" s="17" t="s">
        <v>46</v>
      </c>
      <c r="AG75" s="17">
        <v>100</v>
      </c>
      <c r="AH75" s="17" t="s">
        <v>47</v>
      </c>
      <c r="AI75" s="17">
        <v>80</v>
      </c>
      <c r="AJ75" s="17" t="s">
        <v>48</v>
      </c>
      <c r="AK75" s="17">
        <v>0</v>
      </c>
      <c r="AL75" s="17" t="s">
        <v>49</v>
      </c>
      <c r="AM75" s="17">
        <v>150000</v>
      </c>
      <c r="AN75" s="17">
        <v>1831031</v>
      </c>
      <c r="AO75" s="17" t="b">
        <v>1</v>
      </c>
      <c r="AP75" s="17">
        <v>2831031</v>
      </c>
      <c r="AQ75" s="17" t="b">
        <v>1</v>
      </c>
      <c r="AR75" s="17">
        <v>0</v>
      </c>
      <c r="AS75" s="17" t="b">
        <v>0</v>
      </c>
      <c r="AT75" s="17">
        <v>0</v>
      </c>
      <c r="AU75" s="17" t="b">
        <v>0</v>
      </c>
    </row>
    <row r="76" spans="1:47" x14ac:dyDescent="0.3">
      <c r="A76" s="17">
        <v>22580404</v>
      </c>
      <c r="B76" s="17" t="s">
        <v>307</v>
      </c>
      <c r="C76" s="17">
        <v>225804</v>
      </c>
      <c r="D76" s="17">
        <v>0</v>
      </c>
      <c r="E76" s="17" t="s">
        <v>324</v>
      </c>
      <c r="G76" s="17" t="s">
        <v>29</v>
      </c>
      <c r="H76" s="17" t="s">
        <v>29</v>
      </c>
      <c r="I76" s="17">
        <v>4</v>
      </c>
      <c r="J76" s="24" t="s">
        <v>237</v>
      </c>
      <c r="K76" s="17" t="b">
        <v>1</v>
      </c>
      <c r="L76" s="24" t="s">
        <v>38</v>
      </c>
      <c r="M76" s="17">
        <v>2</v>
      </c>
      <c r="N76" s="17" t="s">
        <v>83</v>
      </c>
      <c r="O76" s="17" t="s">
        <v>57</v>
      </c>
      <c r="P76" s="17">
        <v>200</v>
      </c>
      <c r="Q76" s="17">
        <f t="array" ref="Q76">_xlfn.IFS($O76="Attacker",6,$O76="Healer",3,$O76="Magician",4,$O76="Defender",3,$O76="Supporter",4)</f>
        <v>6</v>
      </c>
      <c r="R76" s="17">
        <f t="array" ref="R76">_xlfn.IFS($O76="Attacker",6,$O76="Healer",3,$O76="Magician",4,$O76="Defender",3,$O76="Supporter",4)</f>
        <v>6</v>
      </c>
      <c r="S76" s="17">
        <v>1</v>
      </c>
      <c r="T76" s="17">
        <v>0</v>
      </c>
      <c r="U76" s="17">
        <v>0</v>
      </c>
      <c r="V76" s="17" t="s">
        <v>41</v>
      </c>
      <c r="W76" s="17">
        <f t="array" ref="W76">_xlfn.IFS(O76="Attacker",80,O76="Healer",90,O76="Magician",100,O76="Defender",110,O76="Supporter",120)</f>
        <v>80</v>
      </c>
      <c r="X76" s="17" t="s">
        <v>42</v>
      </c>
      <c r="Y76" s="17">
        <v>90000</v>
      </c>
      <c r="Z76" s="17" t="s">
        <v>43</v>
      </c>
      <c r="AA76" s="17">
        <v>1012</v>
      </c>
      <c r="AB76" s="17" t="s">
        <v>44</v>
      </c>
      <c r="AC76" s="17">
        <v>0</v>
      </c>
      <c r="AD76" s="17" t="s">
        <v>45</v>
      </c>
      <c r="AE76" s="17">
        <v>0</v>
      </c>
      <c r="AF76" s="17" t="s">
        <v>46</v>
      </c>
      <c r="AG76" s="17">
        <v>100</v>
      </c>
      <c r="AH76" s="17" t="s">
        <v>47</v>
      </c>
      <c r="AI76" s="17">
        <v>104</v>
      </c>
      <c r="AJ76" s="17" t="s">
        <v>48</v>
      </c>
      <c r="AK76" s="17">
        <v>0</v>
      </c>
      <c r="AL76" s="17" t="s">
        <v>49</v>
      </c>
      <c r="AM76" s="17">
        <v>150000</v>
      </c>
      <c r="AN76" s="17">
        <v>1841031</v>
      </c>
      <c r="AO76" s="17" t="b">
        <v>1</v>
      </c>
      <c r="AP76" s="17">
        <v>2841031</v>
      </c>
      <c r="AQ76" s="17" t="b">
        <v>1</v>
      </c>
      <c r="AR76" s="17">
        <v>0</v>
      </c>
      <c r="AS76" s="17" t="b">
        <v>0</v>
      </c>
      <c r="AT76" s="17">
        <v>0</v>
      </c>
      <c r="AU76" s="17" t="b">
        <v>0</v>
      </c>
    </row>
    <row r="77" spans="1:47" x14ac:dyDescent="0.3">
      <c r="A77" s="29">
        <v>22580504</v>
      </c>
      <c r="B77" s="29" t="s">
        <v>309</v>
      </c>
      <c r="C77" s="29">
        <v>225805</v>
      </c>
      <c r="D77" s="29">
        <v>0</v>
      </c>
      <c r="E77" s="29" t="s">
        <v>325</v>
      </c>
      <c r="F77" s="29"/>
      <c r="G77" s="29" t="s">
        <v>29</v>
      </c>
      <c r="H77" s="29" t="s">
        <v>29</v>
      </c>
      <c r="I77" s="29">
        <v>4</v>
      </c>
      <c r="J77" s="27" t="s">
        <v>237</v>
      </c>
      <c r="K77" s="17" t="b">
        <v>1</v>
      </c>
      <c r="L77" s="27" t="s">
        <v>38</v>
      </c>
      <c r="M77" s="29">
        <v>2</v>
      </c>
      <c r="N77" s="29" t="s">
        <v>39</v>
      </c>
      <c r="O77" s="29" t="s">
        <v>57</v>
      </c>
      <c r="P77" s="29">
        <v>200</v>
      </c>
      <c r="Q77" s="29">
        <f t="array" ref="Q77">_xlfn.IFS($O77="Attacker",6,$O77="Healer",3,$O77="Magician",4,$O77="Defender",3,$O77="Supporter",4)</f>
        <v>6</v>
      </c>
      <c r="R77" s="29">
        <f t="array" ref="R77">_xlfn.IFS($O77="Attacker",6,$O77="Healer",3,$O77="Magician",4,$O77="Defender",3,$O77="Supporter",4)</f>
        <v>6</v>
      </c>
      <c r="S77" s="29">
        <v>1</v>
      </c>
      <c r="T77" s="29">
        <v>0</v>
      </c>
      <c r="U77" s="29">
        <v>0</v>
      </c>
      <c r="V77" s="29" t="s">
        <v>41</v>
      </c>
      <c r="W77" s="29">
        <f t="array" ref="W77">_xlfn.IFS(O77="Attacker",80,O77="Healer",90,O77="Magician",100,O77="Defender",110,O77="Supporter",120)</f>
        <v>80</v>
      </c>
      <c r="X77" s="29" t="s">
        <v>42</v>
      </c>
      <c r="Y77" s="17">
        <v>90000</v>
      </c>
      <c r="Z77" s="29" t="s">
        <v>43</v>
      </c>
      <c r="AA77" s="17">
        <v>1012</v>
      </c>
      <c r="AB77" s="29" t="s">
        <v>44</v>
      </c>
      <c r="AC77" s="17">
        <v>0</v>
      </c>
      <c r="AD77" s="29" t="s">
        <v>45</v>
      </c>
      <c r="AE77" s="29">
        <v>0</v>
      </c>
      <c r="AF77" s="29" t="s">
        <v>46</v>
      </c>
      <c r="AG77" s="29">
        <v>100</v>
      </c>
      <c r="AH77" s="29" t="s">
        <v>47</v>
      </c>
      <c r="AI77" s="29">
        <v>80</v>
      </c>
      <c r="AJ77" s="29" t="s">
        <v>48</v>
      </c>
      <c r="AK77" s="29">
        <v>0</v>
      </c>
      <c r="AL77" s="29" t="s">
        <v>49</v>
      </c>
      <c r="AM77" s="29">
        <v>150000</v>
      </c>
      <c r="AN77" s="29">
        <v>1851031</v>
      </c>
      <c r="AO77" s="29" t="b">
        <v>1</v>
      </c>
      <c r="AP77" s="29">
        <v>2851031</v>
      </c>
      <c r="AQ77" s="29" t="b">
        <v>1</v>
      </c>
      <c r="AR77" s="29">
        <v>0</v>
      </c>
      <c r="AS77" s="29" t="b">
        <v>0</v>
      </c>
      <c r="AT77" s="29">
        <v>0</v>
      </c>
      <c r="AU77" s="29" t="b">
        <v>0</v>
      </c>
    </row>
    <row r="78" spans="1:47" s="11" customFormat="1" x14ac:dyDescent="0.3">
      <c r="A78" s="17">
        <v>22580105</v>
      </c>
      <c r="B78" s="17" t="s">
        <v>301</v>
      </c>
      <c r="C78" s="17">
        <v>225801</v>
      </c>
      <c r="D78" s="17">
        <v>0</v>
      </c>
      <c r="E78" s="17" t="s">
        <v>326</v>
      </c>
      <c r="F78" s="17"/>
      <c r="G78" s="17" t="s">
        <v>29</v>
      </c>
      <c r="H78" s="17" t="s">
        <v>29</v>
      </c>
      <c r="I78" s="17">
        <v>5</v>
      </c>
      <c r="J78" s="24" t="s">
        <v>237</v>
      </c>
      <c r="K78" s="17" t="b">
        <v>1</v>
      </c>
      <c r="L78" s="24" t="s">
        <v>38</v>
      </c>
      <c r="M78" s="17">
        <v>2</v>
      </c>
      <c r="N78" s="17" t="s">
        <v>61</v>
      </c>
      <c r="O78" s="17" t="s">
        <v>57</v>
      </c>
      <c r="P78" s="17">
        <v>200</v>
      </c>
      <c r="Q78" s="17">
        <f t="array" ref="Q78">_xlfn.IFS($O78="Attacker",6,$O78="Healer",3,$O78="Magician",4,$O78="Defender",3,$O78="Supporter",4)</f>
        <v>6</v>
      </c>
      <c r="R78" s="17">
        <f t="array" ref="R78">_xlfn.IFS($O78="Attacker",6,$O78="Healer",3,$O78="Magician",4,$O78="Defender",3,$O78="Supporter",4)</f>
        <v>6</v>
      </c>
      <c r="S78" s="17">
        <v>1</v>
      </c>
      <c r="T78" s="17">
        <v>0</v>
      </c>
      <c r="U78" s="17">
        <v>0</v>
      </c>
      <c r="V78" s="17" t="s">
        <v>41</v>
      </c>
      <c r="W78" s="17">
        <f t="array" ref="W78">_xlfn.IFS(O78="Attacker",80,O78="Healer",90,O78="Magician",100,O78="Defender",110,O78="Supporter",120)</f>
        <v>80</v>
      </c>
      <c r="X78" s="17" t="s">
        <v>42</v>
      </c>
      <c r="Y78" s="17">
        <v>225000</v>
      </c>
      <c r="Z78" s="17" t="s">
        <v>43</v>
      </c>
      <c r="AA78" s="17">
        <v>1518</v>
      </c>
      <c r="AB78" s="17" t="s">
        <v>44</v>
      </c>
      <c r="AC78" s="17">
        <v>0</v>
      </c>
      <c r="AD78" s="17" t="s">
        <v>45</v>
      </c>
      <c r="AE78" s="17">
        <v>0</v>
      </c>
      <c r="AF78" s="17" t="s">
        <v>46</v>
      </c>
      <c r="AG78" s="17">
        <v>100</v>
      </c>
      <c r="AH78" s="17" t="s">
        <v>47</v>
      </c>
      <c r="AI78" s="17">
        <v>80</v>
      </c>
      <c r="AJ78" s="17" t="s">
        <v>48</v>
      </c>
      <c r="AK78" s="17">
        <v>0</v>
      </c>
      <c r="AL78" s="17" t="s">
        <v>49</v>
      </c>
      <c r="AM78" s="17">
        <v>150000</v>
      </c>
      <c r="AN78" s="17">
        <v>1811031</v>
      </c>
      <c r="AO78" s="17" t="b">
        <v>1</v>
      </c>
      <c r="AP78" s="17">
        <v>2811031</v>
      </c>
      <c r="AQ78" s="17" t="b">
        <v>1</v>
      </c>
      <c r="AR78" s="17">
        <v>0</v>
      </c>
      <c r="AS78" s="17" t="b">
        <v>0</v>
      </c>
      <c r="AT78" s="17">
        <v>0</v>
      </c>
      <c r="AU78" s="17" t="b">
        <v>0</v>
      </c>
    </row>
    <row r="79" spans="1:47" x14ac:dyDescent="0.3">
      <c r="A79" s="17">
        <v>22580205</v>
      </c>
      <c r="B79" s="17" t="s">
        <v>303</v>
      </c>
      <c r="C79" s="17">
        <v>225802</v>
      </c>
      <c r="D79" s="17">
        <v>0</v>
      </c>
      <c r="E79" s="17" t="s">
        <v>327</v>
      </c>
      <c r="G79" s="17" t="s">
        <v>29</v>
      </c>
      <c r="H79" s="17" t="s">
        <v>29</v>
      </c>
      <c r="I79" s="17">
        <v>5</v>
      </c>
      <c r="J79" s="24" t="s">
        <v>237</v>
      </c>
      <c r="K79" s="17" t="b">
        <v>1</v>
      </c>
      <c r="L79" s="24" t="s">
        <v>38</v>
      </c>
      <c r="M79" s="17">
        <v>2</v>
      </c>
      <c r="N79" s="17" t="s">
        <v>91</v>
      </c>
      <c r="O79" s="17" t="s">
        <v>57</v>
      </c>
      <c r="P79" s="17">
        <v>200</v>
      </c>
      <c r="Q79" s="17">
        <f t="array" ref="Q79">_xlfn.IFS($O79="Attacker",6,$O79="Healer",3,$O79="Magician",4,$O79="Defender",3,$O79="Supporter",4)</f>
        <v>6</v>
      </c>
      <c r="R79" s="17">
        <f t="array" ref="R79">_xlfn.IFS($O79="Attacker",6,$O79="Healer",3,$O79="Magician",4,$O79="Defender",3,$O79="Supporter",4)</f>
        <v>6</v>
      </c>
      <c r="S79" s="17">
        <v>1</v>
      </c>
      <c r="T79" s="17">
        <v>0</v>
      </c>
      <c r="U79" s="17">
        <v>0</v>
      </c>
      <c r="V79" s="17" t="s">
        <v>41</v>
      </c>
      <c r="W79" s="17">
        <f t="array" ref="W79">_xlfn.IFS(O79="Attacker",80,O79="Healer",90,O79="Magician",100,O79="Defender",110,O79="Supporter",120)</f>
        <v>80</v>
      </c>
      <c r="X79" s="17" t="s">
        <v>42</v>
      </c>
      <c r="Y79" s="17">
        <v>225000</v>
      </c>
      <c r="Z79" s="17" t="s">
        <v>43</v>
      </c>
      <c r="AA79" s="17">
        <v>1518</v>
      </c>
      <c r="AB79" s="17" t="s">
        <v>44</v>
      </c>
      <c r="AC79" s="17">
        <v>0</v>
      </c>
      <c r="AD79" s="17" t="s">
        <v>45</v>
      </c>
      <c r="AE79" s="17">
        <v>0</v>
      </c>
      <c r="AF79" s="17" t="s">
        <v>46</v>
      </c>
      <c r="AG79" s="17">
        <v>120</v>
      </c>
      <c r="AH79" s="17" t="s">
        <v>47</v>
      </c>
      <c r="AI79" s="17">
        <v>80</v>
      </c>
      <c r="AJ79" s="17" t="s">
        <v>48</v>
      </c>
      <c r="AK79" s="17">
        <v>0</v>
      </c>
      <c r="AL79" s="17" t="s">
        <v>49</v>
      </c>
      <c r="AM79" s="17">
        <v>150000</v>
      </c>
      <c r="AN79" s="17">
        <v>1821031</v>
      </c>
      <c r="AO79" s="17" t="b">
        <v>1</v>
      </c>
      <c r="AP79" s="17">
        <v>2821031</v>
      </c>
      <c r="AQ79" s="17" t="b">
        <v>1</v>
      </c>
      <c r="AR79" s="17">
        <v>0</v>
      </c>
      <c r="AS79" s="17" t="b">
        <v>0</v>
      </c>
      <c r="AT79" s="17">
        <v>0</v>
      </c>
      <c r="AU79" s="17" t="b">
        <v>0</v>
      </c>
    </row>
    <row r="80" spans="1:47" x14ac:dyDescent="0.3">
      <c r="A80" s="17">
        <v>22580305</v>
      </c>
      <c r="B80" s="17" t="s">
        <v>305</v>
      </c>
      <c r="C80" s="17">
        <v>225803</v>
      </c>
      <c r="D80" s="17">
        <v>0</v>
      </c>
      <c r="E80" s="17" t="s">
        <v>328</v>
      </c>
      <c r="G80" s="17" t="s">
        <v>29</v>
      </c>
      <c r="H80" s="17" t="s">
        <v>29</v>
      </c>
      <c r="I80" s="17">
        <v>5</v>
      </c>
      <c r="J80" s="24" t="s">
        <v>237</v>
      </c>
      <c r="K80" s="17" t="b">
        <v>1</v>
      </c>
      <c r="L80" s="24" t="s">
        <v>38</v>
      </c>
      <c r="M80" s="17">
        <v>2</v>
      </c>
      <c r="N80" s="17" t="s">
        <v>72</v>
      </c>
      <c r="O80" s="17" t="s">
        <v>57</v>
      </c>
      <c r="P80" s="17">
        <v>200</v>
      </c>
      <c r="Q80" s="17">
        <f t="array" ref="Q80">_xlfn.IFS($O80="Attacker",6,$O80="Healer",3,$O80="Magician",4,$O80="Defender",3,$O80="Supporter",4)</f>
        <v>6</v>
      </c>
      <c r="R80" s="17">
        <f t="array" ref="R80">_xlfn.IFS($O80="Attacker",6,$O80="Healer",3,$O80="Magician",4,$O80="Defender",3,$O80="Supporter",4)</f>
        <v>6</v>
      </c>
      <c r="S80" s="17">
        <v>1</v>
      </c>
      <c r="T80" s="17">
        <v>0</v>
      </c>
      <c r="U80" s="17">
        <v>0</v>
      </c>
      <c r="V80" s="17" t="s">
        <v>41</v>
      </c>
      <c r="W80" s="17">
        <f t="array" ref="W80">_xlfn.IFS(O80="Attacker",80,O80="Healer",90,O80="Magician",100,O80="Defender",110,O80="Supporter",120)</f>
        <v>80</v>
      </c>
      <c r="X80" s="17" t="s">
        <v>42</v>
      </c>
      <c r="Y80" s="17">
        <v>247500</v>
      </c>
      <c r="Z80" s="17" t="s">
        <v>43</v>
      </c>
      <c r="AA80" s="17">
        <v>1518</v>
      </c>
      <c r="AB80" s="17" t="s">
        <v>44</v>
      </c>
      <c r="AC80" s="17">
        <v>0</v>
      </c>
      <c r="AD80" s="17" t="s">
        <v>45</v>
      </c>
      <c r="AE80" s="17">
        <v>0</v>
      </c>
      <c r="AF80" s="17" t="s">
        <v>46</v>
      </c>
      <c r="AG80" s="17">
        <v>100</v>
      </c>
      <c r="AH80" s="17" t="s">
        <v>47</v>
      </c>
      <c r="AI80" s="17">
        <v>80</v>
      </c>
      <c r="AJ80" s="17" t="s">
        <v>48</v>
      </c>
      <c r="AK80" s="17">
        <v>0</v>
      </c>
      <c r="AL80" s="17" t="s">
        <v>49</v>
      </c>
      <c r="AM80" s="17">
        <v>150000</v>
      </c>
      <c r="AN80" s="17">
        <v>1831031</v>
      </c>
      <c r="AO80" s="17" t="b">
        <v>1</v>
      </c>
      <c r="AP80" s="17">
        <v>2831031</v>
      </c>
      <c r="AQ80" s="17" t="b">
        <v>1</v>
      </c>
      <c r="AR80" s="17">
        <v>0</v>
      </c>
      <c r="AS80" s="17" t="b">
        <v>0</v>
      </c>
      <c r="AT80" s="17">
        <v>0</v>
      </c>
      <c r="AU80" s="17" t="b">
        <v>0</v>
      </c>
    </row>
    <row r="81" spans="1:47" x14ac:dyDescent="0.3">
      <c r="A81" s="17">
        <v>22580405</v>
      </c>
      <c r="B81" s="17" t="s">
        <v>307</v>
      </c>
      <c r="C81" s="17">
        <v>225804</v>
      </c>
      <c r="D81" s="17">
        <v>0</v>
      </c>
      <c r="E81" s="17" t="s">
        <v>329</v>
      </c>
      <c r="G81" s="17" t="s">
        <v>29</v>
      </c>
      <c r="H81" s="17" t="s">
        <v>29</v>
      </c>
      <c r="I81" s="17">
        <v>5</v>
      </c>
      <c r="J81" s="24" t="s">
        <v>237</v>
      </c>
      <c r="K81" s="17" t="b">
        <v>1</v>
      </c>
      <c r="L81" s="24" t="s">
        <v>38</v>
      </c>
      <c r="M81" s="17">
        <v>2</v>
      </c>
      <c r="N81" s="17" t="s">
        <v>83</v>
      </c>
      <c r="O81" s="17" t="s">
        <v>57</v>
      </c>
      <c r="P81" s="17">
        <v>200</v>
      </c>
      <c r="Q81" s="17">
        <f t="array" ref="Q81">_xlfn.IFS($O81="Attacker",6,$O81="Healer",3,$O81="Magician",4,$O81="Defender",3,$O81="Supporter",4)</f>
        <v>6</v>
      </c>
      <c r="R81" s="17">
        <f t="array" ref="R81">_xlfn.IFS($O81="Attacker",6,$O81="Healer",3,$O81="Magician",4,$O81="Defender",3,$O81="Supporter",4)</f>
        <v>6</v>
      </c>
      <c r="S81" s="17">
        <v>1</v>
      </c>
      <c r="T81" s="17">
        <v>0</v>
      </c>
      <c r="U81" s="17">
        <v>0</v>
      </c>
      <c r="V81" s="17" t="s">
        <v>41</v>
      </c>
      <c r="W81" s="17">
        <f t="array" ref="W81">_xlfn.IFS(O81="Attacker",80,O81="Healer",90,O81="Magician",100,O81="Defender",110,O81="Supporter",120)</f>
        <v>80</v>
      </c>
      <c r="X81" s="17" t="s">
        <v>42</v>
      </c>
      <c r="Y81" s="17">
        <v>225000</v>
      </c>
      <c r="Z81" s="17" t="s">
        <v>43</v>
      </c>
      <c r="AA81" s="17">
        <v>1518</v>
      </c>
      <c r="AB81" s="17" t="s">
        <v>44</v>
      </c>
      <c r="AC81" s="17">
        <v>0</v>
      </c>
      <c r="AD81" s="17" t="s">
        <v>45</v>
      </c>
      <c r="AE81" s="17">
        <v>0</v>
      </c>
      <c r="AF81" s="17" t="s">
        <v>46</v>
      </c>
      <c r="AG81" s="17">
        <v>100</v>
      </c>
      <c r="AH81" s="17" t="s">
        <v>47</v>
      </c>
      <c r="AI81" s="17">
        <v>104</v>
      </c>
      <c r="AJ81" s="17" t="s">
        <v>48</v>
      </c>
      <c r="AK81" s="17">
        <v>0</v>
      </c>
      <c r="AL81" s="17" t="s">
        <v>49</v>
      </c>
      <c r="AM81" s="17">
        <v>150000</v>
      </c>
      <c r="AN81" s="17">
        <v>1841031</v>
      </c>
      <c r="AO81" s="17" t="b">
        <v>1</v>
      </c>
      <c r="AP81" s="17">
        <v>2841031</v>
      </c>
      <c r="AQ81" s="17" t="b">
        <v>1</v>
      </c>
      <c r="AR81" s="17">
        <v>0</v>
      </c>
      <c r="AS81" s="17" t="b">
        <v>0</v>
      </c>
      <c r="AT81" s="17">
        <v>0</v>
      </c>
      <c r="AU81" s="17" t="b">
        <v>0</v>
      </c>
    </row>
    <row r="82" spans="1:47" x14ac:dyDescent="0.3">
      <c r="A82" s="29">
        <v>22580505</v>
      </c>
      <c r="B82" s="29" t="s">
        <v>309</v>
      </c>
      <c r="C82" s="29">
        <v>225805</v>
      </c>
      <c r="D82" s="29">
        <v>0</v>
      </c>
      <c r="E82" s="29" t="s">
        <v>330</v>
      </c>
      <c r="F82" s="29"/>
      <c r="G82" s="29" t="s">
        <v>29</v>
      </c>
      <c r="H82" s="29" t="s">
        <v>29</v>
      </c>
      <c r="I82" s="29">
        <v>5</v>
      </c>
      <c r="J82" s="27" t="s">
        <v>237</v>
      </c>
      <c r="K82" s="17" t="b">
        <v>1</v>
      </c>
      <c r="L82" s="27" t="s">
        <v>38</v>
      </c>
      <c r="M82" s="29">
        <v>2</v>
      </c>
      <c r="N82" s="29" t="s">
        <v>39</v>
      </c>
      <c r="O82" s="29" t="s">
        <v>57</v>
      </c>
      <c r="P82" s="29">
        <v>200</v>
      </c>
      <c r="Q82" s="29">
        <f t="array" ref="Q82">_xlfn.IFS($O82="Attacker",6,$O82="Healer",3,$O82="Magician",4,$O82="Defender",3,$O82="Supporter",4)</f>
        <v>6</v>
      </c>
      <c r="R82" s="29">
        <f t="array" ref="R82">_xlfn.IFS($O82="Attacker",6,$O82="Healer",3,$O82="Magician",4,$O82="Defender",3,$O82="Supporter",4)</f>
        <v>6</v>
      </c>
      <c r="S82" s="29">
        <v>1</v>
      </c>
      <c r="T82" s="29">
        <v>0</v>
      </c>
      <c r="U82" s="29">
        <v>0</v>
      </c>
      <c r="V82" s="29" t="s">
        <v>41</v>
      </c>
      <c r="W82" s="29">
        <f t="array" ref="W82">_xlfn.IFS(O82="Attacker",80,O82="Healer",90,O82="Magician",100,O82="Defender",110,O82="Supporter",120)</f>
        <v>80</v>
      </c>
      <c r="X82" s="29" t="s">
        <v>42</v>
      </c>
      <c r="Y82" s="17">
        <v>225000</v>
      </c>
      <c r="Z82" s="29" t="s">
        <v>43</v>
      </c>
      <c r="AA82" s="17">
        <v>1518</v>
      </c>
      <c r="AB82" s="29" t="s">
        <v>44</v>
      </c>
      <c r="AC82" s="17">
        <v>0</v>
      </c>
      <c r="AD82" s="29" t="s">
        <v>45</v>
      </c>
      <c r="AE82" s="29">
        <v>0</v>
      </c>
      <c r="AF82" s="29" t="s">
        <v>46</v>
      </c>
      <c r="AG82" s="29">
        <v>100</v>
      </c>
      <c r="AH82" s="29" t="s">
        <v>47</v>
      </c>
      <c r="AI82" s="29">
        <v>80</v>
      </c>
      <c r="AJ82" s="29" t="s">
        <v>48</v>
      </c>
      <c r="AK82" s="29">
        <v>0</v>
      </c>
      <c r="AL82" s="29" t="s">
        <v>49</v>
      </c>
      <c r="AM82" s="29">
        <v>150000</v>
      </c>
      <c r="AN82" s="29">
        <v>1851031</v>
      </c>
      <c r="AO82" s="29" t="b">
        <v>1</v>
      </c>
      <c r="AP82" s="29">
        <v>2851031</v>
      </c>
      <c r="AQ82" s="29" t="b">
        <v>1</v>
      </c>
      <c r="AR82" s="29">
        <v>0</v>
      </c>
      <c r="AS82" s="29" t="b">
        <v>0</v>
      </c>
      <c r="AT82" s="29">
        <v>0</v>
      </c>
      <c r="AU82" s="29" t="b">
        <v>0</v>
      </c>
    </row>
    <row r="83" spans="1:47" s="11" customFormat="1" x14ac:dyDescent="0.3">
      <c r="A83" s="17">
        <v>29000101</v>
      </c>
      <c r="B83" s="17" t="s">
        <v>331</v>
      </c>
      <c r="C83" s="17">
        <v>290001</v>
      </c>
      <c r="D83" s="17">
        <v>0</v>
      </c>
      <c r="E83" s="17" t="s">
        <v>332</v>
      </c>
      <c r="F83" s="17"/>
      <c r="G83" s="17" t="s">
        <v>333</v>
      </c>
      <c r="H83" s="17" t="s">
        <v>29</v>
      </c>
      <c r="I83" s="17">
        <v>1</v>
      </c>
      <c r="J83" s="24" t="s">
        <v>237</v>
      </c>
      <c r="K83" s="17" t="b">
        <v>0</v>
      </c>
      <c r="L83" s="24" t="s">
        <v>38</v>
      </c>
      <c r="M83" s="17">
        <v>2</v>
      </c>
      <c r="N83" s="17" t="s">
        <v>61</v>
      </c>
      <c r="O83" s="17" t="s">
        <v>62</v>
      </c>
      <c r="P83" s="17">
        <v>200</v>
      </c>
      <c r="Q83" s="17">
        <f t="array" ref="Q83">_xlfn.IFS($O83="Attacker",6,$O83="Healer",3,$O83="Magician",4,$O83="Defender",3,$O83="Supporter",4)</f>
        <v>3</v>
      </c>
      <c r="R83" s="17">
        <f t="array" ref="R83">_xlfn.IFS($O83="Attacker",6,$O83="Healer",3,$O83="Magician",4,$O83="Defender",3,$O83="Supporter",4)</f>
        <v>3</v>
      </c>
      <c r="S83" s="17">
        <v>1</v>
      </c>
      <c r="T83" s="17">
        <v>0</v>
      </c>
      <c r="U83" s="17">
        <v>0</v>
      </c>
      <c r="V83" s="17" t="s">
        <v>41</v>
      </c>
      <c r="W83" s="17">
        <f t="array" ref="W83">_xlfn.IFS(O83="Attacker",80,O83="Healer",90,O83="Magician",100,O83="Defender",110,O83="Supporter",120)</f>
        <v>110</v>
      </c>
      <c r="X83" s="17" t="s">
        <v>42</v>
      </c>
      <c r="Y83" s="17">
        <v>1500</v>
      </c>
      <c r="Z83" s="17" t="s">
        <v>43</v>
      </c>
      <c r="AA83" s="17">
        <v>500</v>
      </c>
      <c r="AB83" s="17" t="s">
        <v>44</v>
      </c>
      <c r="AC83" s="17">
        <v>0</v>
      </c>
      <c r="AD83" s="17" t="s">
        <v>45</v>
      </c>
      <c r="AE83" s="17">
        <v>0</v>
      </c>
      <c r="AF83" s="17" t="s">
        <v>46</v>
      </c>
      <c r="AG83" s="17">
        <v>100</v>
      </c>
      <c r="AH83" s="17" t="s">
        <v>47</v>
      </c>
      <c r="AI83" s="17">
        <v>100</v>
      </c>
      <c r="AJ83" s="17" t="s">
        <v>48</v>
      </c>
      <c r="AK83" s="17">
        <v>5000</v>
      </c>
      <c r="AL83" s="17" t="s">
        <v>49</v>
      </c>
      <c r="AM83" s="17">
        <v>150000</v>
      </c>
      <c r="AN83" s="17">
        <v>1812021</v>
      </c>
      <c r="AO83" s="17" t="b">
        <v>1</v>
      </c>
      <c r="AP83" s="17">
        <v>0</v>
      </c>
      <c r="AQ83" s="17" t="b">
        <v>0</v>
      </c>
      <c r="AR83" s="17">
        <v>3812021</v>
      </c>
      <c r="AS83" s="17" t="b">
        <v>1</v>
      </c>
      <c r="AT83" s="17">
        <v>0</v>
      </c>
      <c r="AU83" s="17" t="b">
        <v>0</v>
      </c>
    </row>
    <row r="84" spans="1:47" x14ac:dyDescent="0.3">
      <c r="A84" s="17">
        <v>29000201</v>
      </c>
      <c r="B84" s="17" t="s">
        <v>334</v>
      </c>
      <c r="C84" s="17">
        <v>290002</v>
      </c>
      <c r="D84" s="17">
        <v>0</v>
      </c>
      <c r="E84" s="17" t="s">
        <v>335</v>
      </c>
      <c r="G84" s="17" t="s">
        <v>333</v>
      </c>
      <c r="H84" s="17" t="s">
        <v>29</v>
      </c>
      <c r="I84" s="17">
        <v>1</v>
      </c>
      <c r="J84" s="24" t="s">
        <v>237</v>
      </c>
      <c r="K84" s="17" t="b">
        <v>0</v>
      </c>
      <c r="L84" s="24" t="s">
        <v>38</v>
      </c>
      <c r="M84" s="17">
        <v>2</v>
      </c>
      <c r="N84" s="17" t="s">
        <v>91</v>
      </c>
      <c r="O84" s="17" t="s">
        <v>62</v>
      </c>
      <c r="P84" s="17">
        <v>200</v>
      </c>
      <c r="Q84" s="17">
        <f t="array" ref="Q84">_xlfn.IFS($O84="Attacker",6,$O84="Healer",3,$O84="Magician",4,$O84="Defender",3,$O84="Supporter",4)</f>
        <v>3</v>
      </c>
      <c r="R84" s="17">
        <f t="array" ref="R84">_xlfn.IFS($O84="Attacker",6,$O84="Healer",3,$O84="Magician",4,$O84="Defender",3,$O84="Supporter",4)</f>
        <v>3</v>
      </c>
      <c r="S84" s="17">
        <v>1</v>
      </c>
      <c r="T84" s="17">
        <v>0</v>
      </c>
      <c r="U84" s="17">
        <v>0</v>
      </c>
      <c r="V84" s="17" t="s">
        <v>41</v>
      </c>
      <c r="W84" s="17">
        <f t="array" ref="W84">_xlfn.IFS(O84="Attacker",80,O84="Healer",90,O84="Magician",100,O84="Defender",110,O84="Supporter",120)</f>
        <v>110</v>
      </c>
      <c r="X84" s="17" t="s">
        <v>42</v>
      </c>
      <c r="Y84" s="17">
        <v>1500</v>
      </c>
      <c r="Z84" s="17" t="s">
        <v>43</v>
      </c>
      <c r="AA84" s="17">
        <v>500</v>
      </c>
      <c r="AB84" s="17" t="s">
        <v>44</v>
      </c>
      <c r="AC84" s="17">
        <v>0</v>
      </c>
      <c r="AD84" s="17" t="s">
        <v>45</v>
      </c>
      <c r="AE84" s="17">
        <v>0</v>
      </c>
      <c r="AF84" s="17" t="s">
        <v>46</v>
      </c>
      <c r="AG84" s="17">
        <v>100</v>
      </c>
      <c r="AH84" s="17" t="s">
        <v>47</v>
      </c>
      <c r="AI84" s="17">
        <v>100</v>
      </c>
      <c r="AJ84" s="17" t="s">
        <v>48</v>
      </c>
      <c r="AK84" s="17">
        <v>5000</v>
      </c>
      <c r="AL84" s="17" t="s">
        <v>49</v>
      </c>
      <c r="AM84" s="17">
        <v>150000</v>
      </c>
      <c r="AN84" s="17">
        <v>1822021</v>
      </c>
      <c r="AO84" s="17" t="b">
        <v>1</v>
      </c>
      <c r="AP84" s="17">
        <v>0</v>
      </c>
      <c r="AQ84" s="17" t="b">
        <v>0</v>
      </c>
      <c r="AR84" s="17">
        <v>3822021</v>
      </c>
      <c r="AS84" s="17" t="b">
        <v>1</v>
      </c>
      <c r="AT84" s="17">
        <v>0</v>
      </c>
      <c r="AU84" s="17" t="b">
        <v>0</v>
      </c>
    </row>
    <row r="85" spans="1:47" x14ac:dyDescent="0.3">
      <c r="A85" s="17">
        <v>29000301</v>
      </c>
      <c r="B85" s="17" t="s">
        <v>336</v>
      </c>
      <c r="C85" s="17">
        <v>290003</v>
      </c>
      <c r="D85" s="17">
        <v>0</v>
      </c>
      <c r="E85" s="17" t="s">
        <v>337</v>
      </c>
      <c r="G85" s="17" t="s">
        <v>333</v>
      </c>
      <c r="H85" s="17" t="s">
        <v>29</v>
      </c>
      <c r="I85" s="17">
        <v>1</v>
      </c>
      <c r="J85" s="24" t="s">
        <v>237</v>
      </c>
      <c r="K85" s="17" t="b">
        <v>0</v>
      </c>
      <c r="L85" s="24" t="s">
        <v>38</v>
      </c>
      <c r="M85" s="17">
        <v>2</v>
      </c>
      <c r="N85" s="17" t="s">
        <v>72</v>
      </c>
      <c r="O85" s="17" t="s">
        <v>62</v>
      </c>
      <c r="P85" s="17">
        <v>200</v>
      </c>
      <c r="Q85" s="17">
        <f t="array" ref="Q85">_xlfn.IFS($O85="Attacker",6,$O85="Healer",3,$O85="Magician",4,$O85="Defender",3,$O85="Supporter",4)</f>
        <v>3</v>
      </c>
      <c r="R85" s="17">
        <f t="array" ref="R85">_xlfn.IFS($O85="Attacker",6,$O85="Healer",3,$O85="Magician",4,$O85="Defender",3,$O85="Supporter",4)</f>
        <v>3</v>
      </c>
      <c r="S85" s="17">
        <v>1</v>
      </c>
      <c r="T85" s="17">
        <v>0</v>
      </c>
      <c r="U85" s="17">
        <v>0</v>
      </c>
      <c r="V85" s="17" t="s">
        <v>41</v>
      </c>
      <c r="W85" s="17">
        <f t="array" ref="W85">_xlfn.IFS(O85="Attacker",80,O85="Healer",90,O85="Magician",100,O85="Defender",110,O85="Supporter",120)</f>
        <v>110</v>
      </c>
      <c r="X85" s="17" t="s">
        <v>42</v>
      </c>
      <c r="Y85" s="17">
        <v>1500</v>
      </c>
      <c r="Z85" s="17" t="s">
        <v>43</v>
      </c>
      <c r="AA85" s="17">
        <v>500</v>
      </c>
      <c r="AB85" s="17" t="s">
        <v>44</v>
      </c>
      <c r="AC85" s="17">
        <v>0</v>
      </c>
      <c r="AD85" s="17" t="s">
        <v>45</v>
      </c>
      <c r="AE85" s="17">
        <v>0</v>
      </c>
      <c r="AF85" s="17" t="s">
        <v>46</v>
      </c>
      <c r="AG85" s="17">
        <v>100</v>
      </c>
      <c r="AH85" s="17" t="s">
        <v>47</v>
      </c>
      <c r="AI85" s="17">
        <v>100</v>
      </c>
      <c r="AJ85" s="17" t="s">
        <v>48</v>
      </c>
      <c r="AK85" s="17">
        <v>5000</v>
      </c>
      <c r="AL85" s="17" t="s">
        <v>49</v>
      </c>
      <c r="AM85" s="17">
        <v>150000</v>
      </c>
      <c r="AN85" s="17">
        <v>1832021</v>
      </c>
      <c r="AO85" s="17" t="b">
        <v>1</v>
      </c>
      <c r="AP85" s="17">
        <v>0</v>
      </c>
      <c r="AQ85" s="17" t="b">
        <v>0</v>
      </c>
      <c r="AR85" s="17">
        <v>3832021</v>
      </c>
      <c r="AS85" s="17" t="b">
        <v>1</v>
      </c>
      <c r="AT85" s="17">
        <v>0</v>
      </c>
      <c r="AU85" s="17" t="b">
        <v>0</v>
      </c>
    </row>
    <row r="86" spans="1:47" x14ac:dyDescent="0.3">
      <c r="A86" s="17">
        <v>29000401</v>
      </c>
      <c r="B86" s="17" t="s">
        <v>338</v>
      </c>
      <c r="C86" s="17">
        <v>290004</v>
      </c>
      <c r="D86" s="17">
        <v>0</v>
      </c>
      <c r="E86" s="17" t="s">
        <v>339</v>
      </c>
      <c r="G86" s="17" t="s">
        <v>333</v>
      </c>
      <c r="H86" s="17" t="s">
        <v>29</v>
      </c>
      <c r="I86" s="17">
        <v>1</v>
      </c>
      <c r="J86" s="24" t="s">
        <v>237</v>
      </c>
      <c r="K86" s="17" t="b">
        <v>0</v>
      </c>
      <c r="L86" s="24" t="s">
        <v>38</v>
      </c>
      <c r="M86" s="17">
        <v>2</v>
      </c>
      <c r="N86" s="17" t="s">
        <v>83</v>
      </c>
      <c r="O86" s="17" t="s">
        <v>62</v>
      </c>
      <c r="P86" s="17">
        <v>200</v>
      </c>
      <c r="Q86" s="17">
        <f t="array" ref="Q86">_xlfn.IFS($O86="Attacker",6,$O86="Healer",3,$O86="Magician",4,$O86="Defender",3,$O86="Supporter",4)</f>
        <v>3</v>
      </c>
      <c r="R86" s="17">
        <f t="array" ref="R86">_xlfn.IFS($O86="Attacker",6,$O86="Healer",3,$O86="Magician",4,$O86="Defender",3,$O86="Supporter",4)</f>
        <v>3</v>
      </c>
      <c r="S86" s="17">
        <v>1</v>
      </c>
      <c r="T86" s="17">
        <v>0</v>
      </c>
      <c r="U86" s="17">
        <v>0</v>
      </c>
      <c r="V86" s="17" t="s">
        <v>41</v>
      </c>
      <c r="W86" s="17">
        <f t="array" ref="W86">_xlfn.IFS(O86="Attacker",80,O86="Healer",90,O86="Magician",100,O86="Defender",110,O86="Supporter",120)</f>
        <v>110</v>
      </c>
      <c r="X86" s="17" t="s">
        <v>42</v>
      </c>
      <c r="Y86" s="17">
        <v>1500</v>
      </c>
      <c r="Z86" s="17" t="s">
        <v>43</v>
      </c>
      <c r="AA86" s="17">
        <v>500</v>
      </c>
      <c r="AB86" s="17" t="s">
        <v>44</v>
      </c>
      <c r="AC86" s="17">
        <v>0</v>
      </c>
      <c r="AD86" s="17" t="s">
        <v>45</v>
      </c>
      <c r="AE86" s="17">
        <v>0</v>
      </c>
      <c r="AF86" s="17" t="s">
        <v>46</v>
      </c>
      <c r="AG86" s="17">
        <v>100</v>
      </c>
      <c r="AH86" s="17" t="s">
        <v>47</v>
      </c>
      <c r="AI86" s="17">
        <v>100</v>
      </c>
      <c r="AJ86" s="17" t="s">
        <v>48</v>
      </c>
      <c r="AK86" s="17">
        <v>5000</v>
      </c>
      <c r="AL86" s="17" t="s">
        <v>49</v>
      </c>
      <c r="AM86" s="17">
        <v>150000</v>
      </c>
      <c r="AN86" s="17">
        <v>1852021</v>
      </c>
      <c r="AO86" s="17" t="b">
        <v>1</v>
      </c>
      <c r="AP86" s="17">
        <v>0</v>
      </c>
      <c r="AQ86" s="17" t="b">
        <v>0</v>
      </c>
      <c r="AR86" s="17">
        <v>3852021</v>
      </c>
      <c r="AS86" s="17" t="b">
        <v>1</v>
      </c>
      <c r="AT86" s="17">
        <v>0</v>
      </c>
      <c r="AU86" s="17" t="b">
        <v>0</v>
      </c>
    </row>
    <row r="87" spans="1:47" x14ac:dyDescent="0.3">
      <c r="A87" s="29">
        <v>29000501</v>
      </c>
      <c r="B87" s="29" t="s">
        <v>340</v>
      </c>
      <c r="C87" s="29">
        <v>290005</v>
      </c>
      <c r="D87" s="29">
        <v>0</v>
      </c>
      <c r="E87" s="29" t="s">
        <v>341</v>
      </c>
      <c r="F87" s="29"/>
      <c r="G87" s="29" t="s">
        <v>333</v>
      </c>
      <c r="H87" s="29" t="s">
        <v>29</v>
      </c>
      <c r="I87" s="29">
        <v>1</v>
      </c>
      <c r="J87" s="27" t="s">
        <v>237</v>
      </c>
      <c r="K87" s="17" t="b">
        <v>0</v>
      </c>
      <c r="L87" s="27" t="s">
        <v>38</v>
      </c>
      <c r="M87" s="29">
        <v>2</v>
      </c>
      <c r="N87" s="29" t="s">
        <v>39</v>
      </c>
      <c r="O87" s="29" t="s">
        <v>62</v>
      </c>
      <c r="P87" s="29">
        <v>200</v>
      </c>
      <c r="Q87" s="29">
        <f t="array" ref="Q87">_xlfn.IFS($O87="Attacker",6,$O87="Healer",3,$O87="Magician",4,$O87="Defender",3,$O87="Supporter",4)</f>
        <v>3</v>
      </c>
      <c r="R87" s="29">
        <f t="array" ref="R87">_xlfn.IFS($O87="Attacker",6,$O87="Healer",3,$O87="Magician",4,$O87="Defender",3,$O87="Supporter",4)</f>
        <v>3</v>
      </c>
      <c r="S87" s="29">
        <v>1</v>
      </c>
      <c r="T87" s="29">
        <v>0</v>
      </c>
      <c r="U87" s="29">
        <v>0</v>
      </c>
      <c r="V87" s="29" t="s">
        <v>41</v>
      </c>
      <c r="W87" s="29">
        <f t="array" ref="W87">_xlfn.IFS(O87="Attacker",80,O87="Healer",90,O87="Magician",100,O87="Defender",110,O87="Supporter",120)</f>
        <v>110</v>
      </c>
      <c r="X87" s="29" t="s">
        <v>42</v>
      </c>
      <c r="Y87" s="29">
        <v>1500</v>
      </c>
      <c r="Z87" s="29" t="s">
        <v>43</v>
      </c>
      <c r="AA87" s="29">
        <v>500</v>
      </c>
      <c r="AB87" s="29" t="s">
        <v>44</v>
      </c>
      <c r="AC87" s="17">
        <v>0</v>
      </c>
      <c r="AD87" s="29" t="s">
        <v>45</v>
      </c>
      <c r="AE87" s="29">
        <v>0</v>
      </c>
      <c r="AF87" s="29" t="s">
        <v>46</v>
      </c>
      <c r="AG87" s="29">
        <v>100</v>
      </c>
      <c r="AH87" s="29" t="s">
        <v>47</v>
      </c>
      <c r="AI87" s="29">
        <v>100</v>
      </c>
      <c r="AJ87" s="29" t="s">
        <v>48</v>
      </c>
      <c r="AK87" s="29">
        <v>5000</v>
      </c>
      <c r="AL87" s="29" t="s">
        <v>49</v>
      </c>
      <c r="AM87" s="29">
        <v>150000</v>
      </c>
      <c r="AN87" s="29">
        <v>1852021</v>
      </c>
      <c r="AO87" s="29" t="b">
        <v>1</v>
      </c>
      <c r="AP87" s="29">
        <v>0</v>
      </c>
      <c r="AQ87" s="29" t="b">
        <v>0</v>
      </c>
      <c r="AR87" s="29">
        <v>3852021</v>
      </c>
      <c r="AS87" s="17" t="b">
        <v>1</v>
      </c>
      <c r="AT87" s="29">
        <v>0</v>
      </c>
      <c r="AU87" s="29" t="b">
        <v>0</v>
      </c>
    </row>
    <row r="88" spans="1:47" s="11" customFormat="1" x14ac:dyDescent="0.3">
      <c r="A88" s="17">
        <v>29000102</v>
      </c>
      <c r="B88" s="17" t="s">
        <v>331</v>
      </c>
      <c r="C88" s="17">
        <v>290001</v>
      </c>
      <c r="D88" s="17">
        <v>0</v>
      </c>
      <c r="E88" s="17" t="s">
        <v>342</v>
      </c>
      <c r="F88" s="17"/>
      <c r="G88" s="17" t="s">
        <v>333</v>
      </c>
      <c r="H88" s="17" t="s">
        <v>29</v>
      </c>
      <c r="I88" s="17">
        <v>2</v>
      </c>
      <c r="J88" s="24" t="s">
        <v>237</v>
      </c>
      <c r="K88" s="17" t="b">
        <v>0</v>
      </c>
      <c r="L88" s="24" t="s">
        <v>38</v>
      </c>
      <c r="M88" s="17">
        <v>2</v>
      </c>
      <c r="N88" s="17" t="s">
        <v>61</v>
      </c>
      <c r="O88" s="17" t="s">
        <v>62</v>
      </c>
      <c r="P88" s="17">
        <v>200</v>
      </c>
      <c r="Q88" s="17">
        <f t="array" ref="Q88">_xlfn.IFS($O88="Attacker",6,$O88="Healer",3,$O88="Magician",4,$O88="Defender",3,$O88="Supporter",4)</f>
        <v>3</v>
      </c>
      <c r="R88" s="17">
        <f t="array" ref="R88">_xlfn.IFS($O88="Attacker",6,$O88="Healer",3,$O88="Magician",4,$O88="Defender",3,$O88="Supporter",4)</f>
        <v>3</v>
      </c>
      <c r="S88" s="17">
        <v>1</v>
      </c>
      <c r="T88" s="17">
        <v>0</v>
      </c>
      <c r="U88" s="17">
        <v>0</v>
      </c>
      <c r="V88" s="17" t="s">
        <v>41</v>
      </c>
      <c r="W88" s="17">
        <f t="array" ref="W88">_xlfn.IFS(O88="Attacker",80,O88="Healer",90,O88="Magician",100,O88="Defender",110,O88="Supporter",120)</f>
        <v>110</v>
      </c>
      <c r="X88" s="17" t="s">
        <v>42</v>
      </c>
      <c r="Y88" s="17">
        <v>1500</v>
      </c>
      <c r="Z88" s="17" t="s">
        <v>43</v>
      </c>
      <c r="AA88" s="17">
        <v>500</v>
      </c>
      <c r="AB88" s="17" t="s">
        <v>44</v>
      </c>
      <c r="AC88" s="17">
        <v>20</v>
      </c>
      <c r="AD88" s="17" t="s">
        <v>45</v>
      </c>
      <c r="AE88" s="17">
        <v>0</v>
      </c>
      <c r="AF88" s="17" t="s">
        <v>46</v>
      </c>
      <c r="AG88" s="17">
        <v>100</v>
      </c>
      <c r="AH88" s="17" t="s">
        <v>47</v>
      </c>
      <c r="AI88" s="17">
        <v>100</v>
      </c>
      <c r="AJ88" s="17" t="s">
        <v>48</v>
      </c>
      <c r="AK88" s="17">
        <v>5000</v>
      </c>
      <c r="AL88" s="17" t="s">
        <v>49</v>
      </c>
      <c r="AM88" s="17">
        <v>150000</v>
      </c>
      <c r="AN88" s="17">
        <v>1812021</v>
      </c>
      <c r="AO88" s="17" t="b">
        <v>1</v>
      </c>
      <c r="AP88" s="17">
        <v>0</v>
      </c>
      <c r="AQ88" s="17" t="b">
        <v>0</v>
      </c>
      <c r="AR88" s="17">
        <v>3812021</v>
      </c>
      <c r="AS88" s="17" t="b">
        <v>1</v>
      </c>
      <c r="AT88" s="17">
        <v>0</v>
      </c>
      <c r="AU88" s="17" t="b">
        <v>0</v>
      </c>
    </row>
    <row r="89" spans="1:47" x14ac:dyDescent="0.3">
      <c r="A89" s="17">
        <v>29000202</v>
      </c>
      <c r="B89" s="17" t="s">
        <v>334</v>
      </c>
      <c r="C89" s="17">
        <v>290002</v>
      </c>
      <c r="D89" s="17">
        <v>0</v>
      </c>
      <c r="E89" s="17" t="s">
        <v>343</v>
      </c>
      <c r="G89" s="17" t="s">
        <v>333</v>
      </c>
      <c r="H89" s="17" t="s">
        <v>29</v>
      </c>
      <c r="I89" s="17">
        <v>2</v>
      </c>
      <c r="J89" s="24" t="s">
        <v>237</v>
      </c>
      <c r="K89" s="17" t="b">
        <v>0</v>
      </c>
      <c r="L89" s="24" t="s">
        <v>38</v>
      </c>
      <c r="M89" s="17">
        <v>2</v>
      </c>
      <c r="N89" s="17" t="s">
        <v>91</v>
      </c>
      <c r="O89" s="17" t="s">
        <v>62</v>
      </c>
      <c r="P89" s="17">
        <v>200</v>
      </c>
      <c r="Q89" s="17">
        <f t="array" ref="Q89">_xlfn.IFS($O89="Attacker",6,$O89="Healer",3,$O89="Magician",4,$O89="Defender",3,$O89="Supporter",4)</f>
        <v>3</v>
      </c>
      <c r="R89" s="17">
        <f t="array" ref="R89">_xlfn.IFS($O89="Attacker",6,$O89="Healer",3,$O89="Magician",4,$O89="Defender",3,$O89="Supporter",4)</f>
        <v>3</v>
      </c>
      <c r="S89" s="17">
        <v>1</v>
      </c>
      <c r="T89" s="17">
        <v>0</v>
      </c>
      <c r="U89" s="17">
        <v>0</v>
      </c>
      <c r="V89" s="17" t="s">
        <v>41</v>
      </c>
      <c r="W89" s="17">
        <f t="array" ref="W89">_xlfn.IFS(O89="Attacker",80,O89="Healer",90,O89="Magician",100,O89="Defender",110,O89="Supporter",120)</f>
        <v>110</v>
      </c>
      <c r="X89" s="17" t="s">
        <v>42</v>
      </c>
      <c r="Y89" s="17">
        <v>1500</v>
      </c>
      <c r="Z89" s="17" t="s">
        <v>43</v>
      </c>
      <c r="AA89" s="17">
        <v>500</v>
      </c>
      <c r="AB89" s="17" t="s">
        <v>44</v>
      </c>
      <c r="AC89" s="17">
        <v>20</v>
      </c>
      <c r="AD89" s="17" t="s">
        <v>45</v>
      </c>
      <c r="AE89" s="17">
        <v>0</v>
      </c>
      <c r="AF89" s="17" t="s">
        <v>46</v>
      </c>
      <c r="AG89" s="17">
        <v>100</v>
      </c>
      <c r="AH89" s="17" t="s">
        <v>47</v>
      </c>
      <c r="AI89" s="17">
        <v>100</v>
      </c>
      <c r="AJ89" s="17" t="s">
        <v>48</v>
      </c>
      <c r="AK89" s="17">
        <v>5000</v>
      </c>
      <c r="AL89" s="17" t="s">
        <v>49</v>
      </c>
      <c r="AM89" s="17">
        <v>150000</v>
      </c>
      <c r="AN89" s="17">
        <v>1822021</v>
      </c>
      <c r="AO89" s="17" t="b">
        <v>1</v>
      </c>
      <c r="AP89" s="17">
        <v>0</v>
      </c>
      <c r="AQ89" s="17" t="b">
        <v>0</v>
      </c>
      <c r="AR89" s="17">
        <v>3822021</v>
      </c>
      <c r="AS89" s="17" t="b">
        <v>1</v>
      </c>
      <c r="AT89" s="17">
        <v>0</v>
      </c>
      <c r="AU89" s="17" t="b">
        <v>0</v>
      </c>
    </row>
    <row r="90" spans="1:47" x14ac:dyDescent="0.3">
      <c r="A90" s="17">
        <v>29000302</v>
      </c>
      <c r="B90" s="17" t="s">
        <v>336</v>
      </c>
      <c r="C90" s="17">
        <v>290003</v>
      </c>
      <c r="D90" s="17">
        <v>0</v>
      </c>
      <c r="E90" s="17" t="s">
        <v>344</v>
      </c>
      <c r="G90" s="17" t="s">
        <v>333</v>
      </c>
      <c r="H90" s="17" t="s">
        <v>29</v>
      </c>
      <c r="I90" s="17">
        <v>2</v>
      </c>
      <c r="J90" s="24" t="s">
        <v>237</v>
      </c>
      <c r="K90" s="17" t="b">
        <v>0</v>
      </c>
      <c r="L90" s="24" t="s">
        <v>38</v>
      </c>
      <c r="M90" s="17">
        <v>2</v>
      </c>
      <c r="N90" s="17" t="s">
        <v>72</v>
      </c>
      <c r="O90" s="17" t="s">
        <v>62</v>
      </c>
      <c r="P90" s="17">
        <v>200</v>
      </c>
      <c r="Q90" s="17">
        <f t="array" ref="Q90">_xlfn.IFS($O90="Attacker",6,$O90="Healer",3,$O90="Magician",4,$O90="Defender",3,$O90="Supporter",4)</f>
        <v>3</v>
      </c>
      <c r="R90" s="17">
        <f t="array" ref="R90">_xlfn.IFS($O90="Attacker",6,$O90="Healer",3,$O90="Magician",4,$O90="Defender",3,$O90="Supporter",4)</f>
        <v>3</v>
      </c>
      <c r="S90" s="17">
        <v>1</v>
      </c>
      <c r="T90" s="17">
        <v>0</v>
      </c>
      <c r="U90" s="17">
        <v>0</v>
      </c>
      <c r="V90" s="17" t="s">
        <v>41</v>
      </c>
      <c r="W90" s="17">
        <f t="array" ref="W90">_xlfn.IFS(O90="Attacker",80,O90="Healer",90,O90="Magician",100,O90="Defender",110,O90="Supporter",120)</f>
        <v>110</v>
      </c>
      <c r="X90" s="17" t="s">
        <v>42</v>
      </c>
      <c r="Y90" s="17">
        <v>1500</v>
      </c>
      <c r="Z90" s="17" t="s">
        <v>43</v>
      </c>
      <c r="AA90" s="17">
        <v>500</v>
      </c>
      <c r="AB90" s="17" t="s">
        <v>44</v>
      </c>
      <c r="AC90" s="17">
        <v>20</v>
      </c>
      <c r="AD90" s="17" t="s">
        <v>45</v>
      </c>
      <c r="AE90" s="17">
        <v>0</v>
      </c>
      <c r="AF90" s="17" t="s">
        <v>46</v>
      </c>
      <c r="AG90" s="17">
        <v>100</v>
      </c>
      <c r="AH90" s="17" t="s">
        <v>47</v>
      </c>
      <c r="AI90" s="17">
        <v>100</v>
      </c>
      <c r="AJ90" s="17" t="s">
        <v>48</v>
      </c>
      <c r="AK90" s="17">
        <v>5000</v>
      </c>
      <c r="AL90" s="17" t="s">
        <v>49</v>
      </c>
      <c r="AM90" s="17">
        <v>150000</v>
      </c>
      <c r="AN90" s="17">
        <v>1832021</v>
      </c>
      <c r="AO90" s="17" t="b">
        <v>1</v>
      </c>
      <c r="AP90" s="17">
        <v>0</v>
      </c>
      <c r="AQ90" s="17" t="b">
        <v>0</v>
      </c>
      <c r="AR90" s="17">
        <v>3832021</v>
      </c>
      <c r="AS90" s="17" t="b">
        <v>1</v>
      </c>
      <c r="AT90" s="17">
        <v>0</v>
      </c>
      <c r="AU90" s="17" t="b">
        <v>0</v>
      </c>
    </row>
    <row r="91" spans="1:47" x14ac:dyDescent="0.3">
      <c r="A91" s="17">
        <v>29000402</v>
      </c>
      <c r="B91" s="17" t="s">
        <v>338</v>
      </c>
      <c r="C91" s="17">
        <v>290004</v>
      </c>
      <c r="D91" s="17">
        <v>0</v>
      </c>
      <c r="E91" s="17" t="s">
        <v>345</v>
      </c>
      <c r="G91" s="17" t="s">
        <v>333</v>
      </c>
      <c r="H91" s="17" t="s">
        <v>29</v>
      </c>
      <c r="I91" s="17">
        <v>2</v>
      </c>
      <c r="J91" s="24" t="s">
        <v>237</v>
      </c>
      <c r="K91" s="17" t="b">
        <v>0</v>
      </c>
      <c r="L91" s="24" t="s">
        <v>38</v>
      </c>
      <c r="M91" s="17">
        <v>2</v>
      </c>
      <c r="N91" s="17" t="s">
        <v>83</v>
      </c>
      <c r="O91" s="17" t="s">
        <v>62</v>
      </c>
      <c r="P91" s="17">
        <v>200</v>
      </c>
      <c r="Q91" s="17">
        <f t="array" ref="Q91">_xlfn.IFS($O91="Attacker",6,$O91="Healer",3,$O91="Magician",4,$O91="Defender",3,$O91="Supporter",4)</f>
        <v>3</v>
      </c>
      <c r="R91" s="17">
        <f t="array" ref="R91">_xlfn.IFS($O91="Attacker",6,$O91="Healer",3,$O91="Magician",4,$O91="Defender",3,$O91="Supporter",4)</f>
        <v>3</v>
      </c>
      <c r="S91" s="17">
        <v>1</v>
      </c>
      <c r="T91" s="17">
        <v>0</v>
      </c>
      <c r="U91" s="17">
        <v>0</v>
      </c>
      <c r="V91" s="17" t="s">
        <v>41</v>
      </c>
      <c r="W91" s="17">
        <f t="array" ref="W91">_xlfn.IFS(O91="Attacker",80,O91="Healer",90,O91="Magician",100,O91="Defender",110,O91="Supporter",120)</f>
        <v>110</v>
      </c>
      <c r="X91" s="17" t="s">
        <v>42</v>
      </c>
      <c r="Y91" s="17">
        <v>1500</v>
      </c>
      <c r="Z91" s="17" t="s">
        <v>43</v>
      </c>
      <c r="AA91" s="17">
        <v>500</v>
      </c>
      <c r="AB91" s="17" t="s">
        <v>44</v>
      </c>
      <c r="AC91" s="17">
        <v>20</v>
      </c>
      <c r="AD91" s="17" t="s">
        <v>45</v>
      </c>
      <c r="AE91" s="17">
        <v>0</v>
      </c>
      <c r="AF91" s="17" t="s">
        <v>46</v>
      </c>
      <c r="AG91" s="17">
        <v>100</v>
      </c>
      <c r="AH91" s="17" t="s">
        <v>47</v>
      </c>
      <c r="AI91" s="17">
        <v>100</v>
      </c>
      <c r="AJ91" s="17" t="s">
        <v>48</v>
      </c>
      <c r="AK91" s="17">
        <v>5000</v>
      </c>
      <c r="AL91" s="17" t="s">
        <v>49</v>
      </c>
      <c r="AM91" s="17">
        <v>150000</v>
      </c>
      <c r="AN91" s="17">
        <v>1842021</v>
      </c>
      <c r="AO91" s="17" t="b">
        <v>1</v>
      </c>
      <c r="AP91" s="17">
        <v>0</v>
      </c>
      <c r="AQ91" s="17" t="b">
        <v>0</v>
      </c>
      <c r="AR91" s="17">
        <v>3842021</v>
      </c>
      <c r="AS91" s="17" t="b">
        <v>1</v>
      </c>
      <c r="AT91" s="17">
        <v>0</v>
      </c>
      <c r="AU91" s="17" t="b">
        <v>0</v>
      </c>
    </row>
    <row r="92" spans="1:47" x14ac:dyDescent="0.3">
      <c r="A92" s="29">
        <v>29000502</v>
      </c>
      <c r="B92" s="29" t="s">
        <v>340</v>
      </c>
      <c r="C92" s="29">
        <v>290005</v>
      </c>
      <c r="D92" s="29">
        <v>0</v>
      </c>
      <c r="E92" s="29" t="s">
        <v>346</v>
      </c>
      <c r="F92" s="29"/>
      <c r="G92" s="29" t="s">
        <v>333</v>
      </c>
      <c r="H92" s="29" t="s">
        <v>29</v>
      </c>
      <c r="I92" s="29">
        <v>2</v>
      </c>
      <c r="J92" s="27" t="s">
        <v>237</v>
      </c>
      <c r="K92" s="17" t="b">
        <v>0</v>
      </c>
      <c r="L92" s="27" t="s">
        <v>38</v>
      </c>
      <c r="M92" s="29">
        <v>2</v>
      </c>
      <c r="N92" s="29" t="s">
        <v>39</v>
      </c>
      <c r="O92" s="29" t="s">
        <v>62</v>
      </c>
      <c r="P92" s="29">
        <v>200</v>
      </c>
      <c r="Q92" s="29">
        <f t="array" ref="Q92">_xlfn.IFS($O92="Attacker",6,$O92="Healer",3,$O92="Magician",4,$O92="Defender",3,$O92="Supporter",4)</f>
        <v>3</v>
      </c>
      <c r="R92" s="29">
        <f t="array" ref="R92">_xlfn.IFS($O92="Attacker",6,$O92="Healer",3,$O92="Magician",4,$O92="Defender",3,$O92="Supporter",4)</f>
        <v>3</v>
      </c>
      <c r="S92" s="29">
        <v>1</v>
      </c>
      <c r="T92" s="29">
        <v>0</v>
      </c>
      <c r="U92" s="29">
        <v>0</v>
      </c>
      <c r="V92" s="29" t="s">
        <v>41</v>
      </c>
      <c r="W92" s="29">
        <f t="array" ref="W92">_xlfn.IFS(O92="Attacker",80,O92="Healer",90,O92="Magician",100,O92="Defender",110,O92="Supporter",120)</f>
        <v>110</v>
      </c>
      <c r="X92" s="29" t="s">
        <v>42</v>
      </c>
      <c r="Y92" s="29">
        <v>1500</v>
      </c>
      <c r="Z92" s="29" t="s">
        <v>43</v>
      </c>
      <c r="AA92" s="29">
        <v>500</v>
      </c>
      <c r="AB92" s="29" t="s">
        <v>44</v>
      </c>
      <c r="AC92" s="17">
        <v>20</v>
      </c>
      <c r="AD92" s="29" t="s">
        <v>45</v>
      </c>
      <c r="AE92" s="29">
        <v>0</v>
      </c>
      <c r="AF92" s="29" t="s">
        <v>46</v>
      </c>
      <c r="AG92" s="29">
        <v>100</v>
      </c>
      <c r="AH92" s="29" t="s">
        <v>47</v>
      </c>
      <c r="AI92" s="29">
        <v>100</v>
      </c>
      <c r="AJ92" s="29" t="s">
        <v>48</v>
      </c>
      <c r="AK92" s="29">
        <v>5000</v>
      </c>
      <c r="AL92" s="29" t="s">
        <v>49</v>
      </c>
      <c r="AM92" s="29">
        <v>150000</v>
      </c>
      <c r="AN92" s="29">
        <v>1852021</v>
      </c>
      <c r="AO92" s="29" t="b">
        <v>1</v>
      </c>
      <c r="AP92" s="29">
        <v>0</v>
      </c>
      <c r="AQ92" s="29" t="b">
        <v>0</v>
      </c>
      <c r="AR92" s="29">
        <v>3852021</v>
      </c>
      <c r="AS92" s="17" t="b">
        <v>1</v>
      </c>
      <c r="AT92" s="29">
        <v>0</v>
      </c>
      <c r="AU92" s="29" t="b">
        <v>0</v>
      </c>
    </row>
    <row r="93" spans="1:47" s="11" customFormat="1" x14ac:dyDescent="0.3">
      <c r="A93" s="17">
        <v>29000103</v>
      </c>
      <c r="B93" s="17" t="s">
        <v>331</v>
      </c>
      <c r="C93" s="17">
        <v>290001</v>
      </c>
      <c r="D93" s="17">
        <v>0</v>
      </c>
      <c r="E93" s="17" t="s">
        <v>347</v>
      </c>
      <c r="F93" s="17"/>
      <c r="G93" s="17" t="s">
        <v>333</v>
      </c>
      <c r="H93" s="17" t="s">
        <v>29</v>
      </c>
      <c r="I93" s="17">
        <v>3</v>
      </c>
      <c r="J93" s="24" t="s">
        <v>237</v>
      </c>
      <c r="K93" s="17" t="b">
        <v>0</v>
      </c>
      <c r="L93" s="24" t="s">
        <v>38</v>
      </c>
      <c r="M93" s="17">
        <v>2</v>
      </c>
      <c r="N93" s="17" t="s">
        <v>61</v>
      </c>
      <c r="O93" s="17" t="s">
        <v>62</v>
      </c>
      <c r="P93" s="17">
        <v>200</v>
      </c>
      <c r="Q93" s="17">
        <f t="array" ref="Q93">_xlfn.IFS($O93="Attacker",6,$O93="Healer",3,$O93="Magician",4,$O93="Defender",3,$O93="Supporter",4)</f>
        <v>3</v>
      </c>
      <c r="R93" s="17">
        <f t="array" ref="R93">_xlfn.IFS($O93="Attacker",6,$O93="Healer",3,$O93="Magician",4,$O93="Defender",3,$O93="Supporter",4)</f>
        <v>3</v>
      </c>
      <c r="S93" s="17">
        <v>1</v>
      </c>
      <c r="T93" s="17">
        <v>0</v>
      </c>
      <c r="U93" s="17">
        <v>0</v>
      </c>
      <c r="V93" s="17" t="s">
        <v>41</v>
      </c>
      <c r="W93" s="17">
        <f t="array" ref="W93">_xlfn.IFS(O93="Attacker",80,O93="Healer",90,O93="Magician",100,O93="Defender",110,O93="Supporter",120)</f>
        <v>110</v>
      </c>
      <c r="X93" s="17" t="s">
        <v>42</v>
      </c>
      <c r="Y93" s="17">
        <v>281250</v>
      </c>
      <c r="Z93" s="17" t="s">
        <v>43</v>
      </c>
      <c r="AA93" s="17">
        <v>1125</v>
      </c>
      <c r="AB93" s="17" t="s">
        <v>44</v>
      </c>
      <c r="AC93" s="17">
        <v>0</v>
      </c>
      <c r="AD93" s="17" t="s">
        <v>45</v>
      </c>
      <c r="AE93" s="17">
        <v>0</v>
      </c>
      <c r="AF93" s="17" t="s">
        <v>46</v>
      </c>
      <c r="AG93" s="17">
        <v>100</v>
      </c>
      <c r="AH93" s="17" t="s">
        <v>47</v>
      </c>
      <c r="AI93" s="17">
        <v>80</v>
      </c>
      <c r="AJ93" s="17" t="s">
        <v>48</v>
      </c>
      <c r="AK93" s="17">
        <v>5000</v>
      </c>
      <c r="AL93" s="17" t="s">
        <v>49</v>
      </c>
      <c r="AM93" s="17">
        <v>150000</v>
      </c>
      <c r="AN93" s="17">
        <v>1812021</v>
      </c>
      <c r="AO93" s="17" t="b">
        <v>1</v>
      </c>
      <c r="AP93" s="17">
        <v>0</v>
      </c>
      <c r="AQ93" s="17" t="b">
        <v>0</v>
      </c>
      <c r="AR93" s="17">
        <v>3812021</v>
      </c>
      <c r="AS93" s="17" t="b">
        <v>1</v>
      </c>
      <c r="AT93" s="17">
        <v>0</v>
      </c>
      <c r="AU93" s="17" t="b">
        <v>0</v>
      </c>
    </row>
    <row r="94" spans="1:47" x14ac:dyDescent="0.3">
      <c r="A94" s="17">
        <v>29000203</v>
      </c>
      <c r="B94" s="17" t="s">
        <v>334</v>
      </c>
      <c r="C94" s="17">
        <v>290002</v>
      </c>
      <c r="D94" s="17">
        <v>0</v>
      </c>
      <c r="E94" s="17" t="s">
        <v>348</v>
      </c>
      <c r="G94" s="17" t="s">
        <v>333</v>
      </c>
      <c r="H94" s="17" t="s">
        <v>29</v>
      </c>
      <c r="I94" s="17">
        <v>3</v>
      </c>
      <c r="J94" s="24" t="s">
        <v>237</v>
      </c>
      <c r="K94" s="17" t="b">
        <v>0</v>
      </c>
      <c r="L94" s="24" t="s">
        <v>38</v>
      </c>
      <c r="M94" s="17">
        <v>2</v>
      </c>
      <c r="N94" s="17" t="s">
        <v>91</v>
      </c>
      <c r="O94" s="17" t="s">
        <v>62</v>
      </c>
      <c r="P94" s="17">
        <v>200</v>
      </c>
      <c r="Q94" s="17">
        <f t="array" ref="Q94">_xlfn.IFS($O94="Attacker",6,$O94="Healer",3,$O94="Magician",4,$O94="Defender",3,$O94="Supporter",4)</f>
        <v>3</v>
      </c>
      <c r="R94" s="17">
        <f t="array" ref="R94">_xlfn.IFS($O94="Attacker",6,$O94="Healer",3,$O94="Magician",4,$O94="Defender",3,$O94="Supporter",4)</f>
        <v>3</v>
      </c>
      <c r="S94" s="17">
        <v>1</v>
      </c>
      <c r="T94" s="17">
        <v>0</v>
      </c>
      <c r="U94" s="17">
        <v>0</v>
      </c>
      <c r="V94" s="17" t="s">
        <v>41</v>
      </c>
      <c r="W94" s="17">
        <f t="array" ref="W94">_xlfn.IFS(O94="Attacker",80,O94="Healer",90,O94="Magician",100,O94="Defender",110,O94="Supporter",120)</f>
        <v>110</v>
      </c>
      <c r="X94" s="17" t="s">
        <v>42</v>
      </c>
      <c r="Y94" s="17">
        <v>281250</v>
      </c>
      <c r="Z94" s="17" t="s">
        <v>43</v>
      </c>
      <c r="AA94" s="17">
        <v>1125</v>
      </c>
      <c r="AB94" s="17" t="s">
        <v>44</v>
      </c>
      <c r="AC94" s="17">
        <v>0</v>
      </c>
      <c r="AD94" s="17" t="s">
        <v>45</v>
      </c>
      <c r="AE94" s="17">
        <v>0</v>
      </c>
      <c r="AF94" s="17" t="s">
        <v>46</v>
      </c>
      <c r="AG94" s="17">
        <v>120</v>
      </c>
      <c r="AH94" s="17" t="s">
        <v>47</v>
      </c>
      <c r="AI94" s="17">
        <v>80</v>
      </c>
      <c r="AJ94" s="17" t="s">
        <v>48</v>
      </c>
      <c r="AK94" s="17">
        <v>5000</v>
      </c>
      <c r="AL94" s="17" t="s">
        <v>49</v>
      </c>
      <c r="AM94" s="17">
        <v>150000</v>
      </c>
      <c r="AN94" s="17">
        <v>1822021</v>
      </c>
      <c r="AO94" s="17" t="b">
        <v>1</v>
      </c>
      <c r="AP94" s="17">
        <v>0</v>
      </c>
      <c r="AQ94" s="17" t="b">
        <v>0</v>
      </c>
      <c r="AR94" s="17">
        <v>3822021</v>
      </c>
      <c r="AS94" s="17" t="b">
        <v>1</v>
      </c>
      <c r="AT94" s="17">
        <v>0</v>
      </c>
      <c r="AU94" s="17" t="b">
        <v>0</v>
      </c>
    </row>
    <row r="95" spans="1:47" x14ac:dyDescent="0.3">
      <c r="A95" s="17">
        <v>29000303</v>
      </c>
      <c r="B95" s="17" t="s">
        <v>336</v>
      </c>
      <c r="C95" s="17">
        <v>290003</v>
      </c>
      <c r="D95" s="17">
        <v>0</v>
      </c>
      <c r="E95" s="17" t="s">
        <v>349</v>
      </c>
      <c r="G95" s="17" t="s">
        <v>333</v>
      </c>
      <c r="H95" s="17" t="s">
        <v>29</v>
      </c>
      <c r="I95" s="17">
        <v>3</v>
      </c>
      <c r="J95" s="24" t="s">
        <v>237</v>
      </c>
      <c r="K95" s="17" t="b">
        <v>0</v>
      </c>
      <c r="L95" s="24" t="s">
        <v>38</v>
      </c>
      <c r="M95" s="17">
        <v>2</v>
      </c>
      <c r="N95" s="17" t="s">
        <v>72</v>
      </c>
      <c r="O95" s="17" t="s">
        <v>62</v>
      </c>
      <c r="P95" s="17">
        <v>200</v>
      </c>
      <c r="Q95" s="17">
        <f t="array" ref="Q95">_xlfn.IFS($O95="Attacker",6,$O95="Healer",3,$O95="Magician",4,$O95="Defender",3,$O95="Supporter",4)</f>
        <v>3</v>
      </c>
      <c r="R95" s="17">
        <f t="array" ref="R95">_xlfn.IFS($O95="Attacker",6,$O95="Healer",3,$O95="Magician",4,$O95="Defender",3,$O95="Supporter",4)</f>
        <v>3</v>
      </c>
      <c r="S95" s="17">
        <v>1</v>
      </c>
      <c r="T95" s="17">
        <v>0</v>
      </c>
      <c r="U95" s="17">
        <v>0</v>
      </c>
      <c r="V95" s="17" t="s">
        <v>41</v>
      </c>
      <c r="W95" s="17">
        <f t="array" ref="W95">_xlfn.IFS(O95="Attacker",80,O95="Healer",90,O95="Magician",100,O95="Defender",110,O95="Supporter",120)</f>
        <v>110</v>
      </c>
      <c r="X95" s="17" t="s">
        <v>42</v>
      </c>
      <c r="Y95" s="17">
        <v>363750</v>
      </c>
      <c r="Z95" s="17" t="s">
        <v>43</v>
      </c>
      <c r="AA95" s="17">
        <v>1125</v>
      </c>
      <c r="AB95" s="17" t="s">
        <v>44</v>
      </c>
      <c r="AC95" s="17">
        <v>0</v>
      </c>
      <c r="AD95" s="17" t="s">
        <v>45</v>
      </c>
      <c r="AE95" s="17">
        <v>0</v>
      </c>
      <c r="AF95" s="17" t="s">
        <v>46</v>
      </c>
      <c r="AG95" s="17">
        <v>100</v>
      </c>
      <c r="AH95" s="17" t="s">
        <v>47</v>
      </c>
      <c r="AI95" s="17">
        <v>80</v>
      </c>
      <c r="AJ95" s="17" t="s">
        <v>48</v>
      </c>
      <c r="AK95" s="17">
        <v>5000</v>
      </c>
      <c r="AL95" s="17" t="s">
        <v>49</v>
      </c>
      <c r="AM95" s="17">
        <v>150000</v>
      </c>
      <c r="AN95" s="17">
        <v>1832021</v>
      </c>
      <c r="AO95" s="17" t="b">
        <v>1</v>
      </c>
      <c r="AP95" s="17">
        <v>0</v>
      </c>
      <c r="AQ95" s="17" t="b">
        <v>0</v>
      </c>
      <c r="AR95" s="17">
        <v>3832021</v>
      </c>
      <c r="AS95" s="17" t="b">
        <v>1</v>
      </c>
      <c r="AT95" s="17">
        <v>0</v>
      </c>
      <c r="AU95" s="17" t="b">
        <v>0</v>
      </c>
    </row>
    <row r="96" spans="1:47" x14ac:dyDescent="0.3">
      <c r="A96" s="17">
        <v>29000403</v>
      </c>
      <c r="B96" s="17" t="s">
        <v>338</v>
      </c>
      <c r="C96" s="17">
        <v>290004</v>
      </c>
      <c r="D96" s="17">
        <v>0</v>
      </c>
      <c r="E96" s="17" t="s">
        <v>350</v>
      </c>
      <c r="G96" s="17" t="s">
        <v>333</v>
      </c>
      <c r="H96" s="17" t="s">
        <v>29</v>
      </c>
      <c r="I96" s="17">
        <v>3</v>
      </c>
      <c r="J96" s="24" t="s">
        <v>237</v>
      </c>
      <c r="K96" s="17" t="b">
        <v>0</v>
      </c>
      <c r="L96" s="24" t="s">
        <v>38</v>
      </c>
      <c r="M96" s="17">
        <v>2</v>
      </c>
      <c r="N96" s="17" t="s">
        <v>83</v>
      </c>
      <c r="O96" s="17" t="s">
        <v>62</v>
      </c>
      <c r="P96" s="17">
        <v>200</v>
      </c>
      <c r="Q96" s="17">
        <f t="array" ref="Q96">_xlfn.IFS($O96="Attacker",6,$O96="Healer",3,$O96="Magician",4,$O96="Defender",3,$O96="Supporter",4)</f>
        <v>3</v>
      </c>
      <c r="R96" s="17">
        <f t="array" ref="R96">_xlfn.IFS($O96="Attacker",6,$O96="Healer",3,$O96="Magician",4,$O96="Defender",3,$O96="Supporter",4)</f>
        <v>3</v>
      </c>
      <c r="S96" s="17">
        <v>1</v>
      </c>
      <c r="T96" s="17">
        <v>0</v>
      </c>
      <c r="U96" s="17">
        <v>0</v>
      </c>
      <c r="V96" s="17" t="s">
        <v>41</v>
      </c>
      <c r="W96" s="17">
        <f t="array" ref="W96">_xlfn.IFS(O96="Attacker",80,O96="Healer",90,O96="Magician",100,O96="Defender",110,O96="Supporter",120)</f>
        <v>110</v>
      </c>
      <c r="X96" s="17" t="s">
        <v>42</v>
      </c>
      <c r="Y96" s="17">
        <v>281250</v>
      </c>
      <c r="Z96" s="17" t="s">
        <v>43</v>
      </c>
      <c r="AA96" s="17">
        <v>1125</v>
      </c>
      <c r="AB96" s="17" t="s">
        <v>44</v>
      </c>
      <c r="AC96" s="17">
        <v>0</v>
      </c>
      <c r="AD96" s="17" t="s">
        <v>45</v>
      </c>
      <c r="AE96" s="17">
        <v>0</v>
      </c>
      <c r="AF96" s="17" t="s">
        <v>46</v>
      </c>
      <c r="AG96" s="17">
        <v>100</v>
      </c>
      <c r="AH96" s="17" t="s">
        <v>47</v>
      </c>
      <c r="AI96" s="17">
        <v>104</v>
      </c>
      <c r="AJ96" s="17" t="s">
        <v>48</v>
      </c>
      <c r="AK96" s="17">
        <v>5000</v>
      </c>
      <c r="AL96" s="17" t="s">
        <v>49</v>
      </c>
      <c r="AM96" s="17">
        <v>150000</v>
      </c>
      <c r="AN96" s="17">
        <v>1842021</v>
      </c>
      <c r="AO96" s="17" t="b">
        <v>1</v>
      </c>
      <c r="AP96" s="17">
        <v>0</v>
      </c>
      <c r="AQ96" s="17" t="b">
        <v>0</v>
      </c>
      <c r="AR96" s="17">
        <v>3842021</v>
      </c>
      <c r="AS96" s="17" t="b">
        <v>1</v>
      </c>
      <c r="AT96" s="17">
        <v>0</v>
      </c>
      <c r="AU96" s="17" t="b">
        <v>0</v>
      </c>
    </row>
    <row r="97" spans="1:47" x14ac:dyDescent="0.3">
      <c r="A97" s="29">
        <v>29000503</v>
      </c>
      <c r="B97" s="29" t="s">
        <v>340</v>
      </c>
      <c r="C97" s="29">
        <v>290005</v>
      </c>
      <c r="D97" s="29">
        <v>0</v>
      </c>
      <c r="E97" s="29" t="s">
        <v>351</v>
      </c>
      <c r="F97" s="29"/>
      <c r="G97" s="29" t="s">
        <v>333</v>
      </c>
      <c r="H97" s="29" t="s">
        <v>29</v>
      </c>
      <c r="I97" s="29">
        <v>3</v>
      </c>
      <c r="J97" s="27" t="s">
        <v>237</v>
      </c>
      <c r="K97" s="17" t="b">
        <v>0</v>
      </c>
      <c r="L97" s="27" t="s">
        <v>38</v>
      </c>
      <c r="M97" s="29">
        <v>2</v>
      </c>
      <c r="N97" s="29" t="s">
        <v>39</v>
      </c>
      <c r="O97" s="29" t="s">
        <v>62</v>
      </c>
      <c r="P97" s="29">
        <v>200</v>
      </c>
      <c r="Q97" s="29">
        <f t="array" ref="Q97">_xlfn.IFS($O97="Attacker",6,$O97="Healer",3,$O97="Magician",4,$O97="Defender",3,$O97="Supporter",4)</f>
        <v>3</v>
      </c>
      <c r="R97" s="29">
        <f t="array" ref="R97">_xlfn.IFS($O97="Attacker",6,$O97="Healer",3,$O97="Magician",4,$O97="Defender",3,$O97="Supporter",4)</f>
        <v>3</v>
      </c>
      <c r="S97" s="29">
        <v>1</v>
      </c>
      <c r="T97" s="29">
        <v>0</v>
      </c>
      <c r="U97" s="29">
        <v>0</v>
      </c>
      <c r="V97" s="29" t="s">
        <v>41</v>
      </c>
      <c r="W97" s="29">
        <f t="array" ref="W97">_xlfn.IFS(O97="Attacker",80,O97="Healer",90,O97="Magician",100,O97="Defender",110,O97="Supporter",120)</f>
        <v>110</v>
      </c>
      <c r="X97" s="29" t="s">
        <v>42</v>
      </c>
      <c r="Y97" s="17">
        <v>281250</v>
      </c>
      <c r="Z97" s="29" t="s">
        <v>43</v>
      </c>
      <c r="AA97" s="17">
        <v>1125</v>
      </c>
      <c r="AB97" s="29" t="s">
        <v>44</v>
      </c>
      <c r="AC97" s="29">
        <v>0</v>
      </c>
      <c r="AD97" s="29" t="s">
        <v>45</v>
      </c>
      <c r="AE97" s="29">
        <v>0</v>
      </c>
      <c r="AF97" s="29" t="s">
        <v>46</v>
      </c>
      <c r="AG97" s="29">
        <v>100</v>
      </c>
      <c r="AH97" s="29" t="s">
        <v>47</v>
      </c>
      <c r="AI97" s="29">
        <v>80</v>
      </c>
      <c r="AJ97" s="29" t="s">
        <v>48</v>
      </c>
      <c r="AK97" s="29">
        <v>20000</v>
      </c>
      <c r="AL97" s="29" t="s">
        <v>49</v>
      </c>
      <c r="AM97" s="29">
        <v>150000</v>
      </c>
      <c r="AN97" s="29">
        <v>1852021</v>
      </c>
      <c r="AO97" s="29" t="b">
        <v>1</v>
      </c>
      <c r="AP97" s="29">
        <v>0</v>
      </c>
      <c r="AQ97" s="29" t="b">
        <v>0</v>
      </c>
      <c r="AR97" s="29">
        <v>3852021</v>
      </c>
      <c r="AS97" s="17" t="b">
        <v>1</v>
      </c>
      <c r="AT97" s="29">
        <v>0</v>
      </c>
      <c r="AU97" s="29" t="b">
        <v>0</v>
      </c>
    </row>
    <row r="98" spans="1:47" s="11" customFormat="1" x14ac:dyDescent="0.3">
      <c r="A98" s="17">
        <v>29000104</v>
      </c>
      <c r="B98" s="17" t="s">
        <v>331</v>
      </c>
      <c r="C98" s="17">
        <v>290001</v>
      </c>
      <c r="D98" s="17">
        <v>0</v>
      </c>
      <c r="E98" s="17" t="s">
        <v>352</v>
      </c>
      <c r="F98" s="17"/>
      <c r="G98" s="17" t="s">
        <v>333</v>
      </c>
      <c r="H98" s="17" t="s">
        <v>29</v>
      </c>
      <c r="I98" s="17">
        <v>4</v>
      </c>
      <c r="J98" s="24" t="s">
        <v>237</v>
      </c>
      <c r="K98" s="17" t="b">
        <v>0</v>
      </c>
      <c r="L98" s="24" t="s">
        <v>38</v>
      </c>
      <c r="M98" s="17">
        <v>2</v>
      </c>
      <c r="N98" s="17" t="s">
        <v>61</v>
      </c>
      <c r="O98" s="17" t="s">
        <v>62</v>
      </c>
      <c r="P98" s="17">
        <v>200</v>
      </c>
      <c r="Q98" s="17">
        <f t="array" ref="Q98">_xlfn.IFS($O98="Attacker",6,$O98="Healer",3,$O98="Magician",4,$O98="Defender",3,$O98="Supporter",4)</f>
        <v>3</v>
      </c>
      <c r="R98" s="17">
        <f t="array" ref="R98">_xlfn.IFS($O98="Attacker",6,$O98="Healer",3,$O98="Magician",4,$O98="Defender",3,$O98="Supporter",4)</f>
        <v>3</v>
      </c>
      <c r="S98" s="17">
        <v>1</v>
      </c>
      <c r="T98" s="17">
        <v>0</v>
      </c>
      <c r="U98" s="17">
        <v>0</v>
      </c>
      <c r="V98" s="17" t="s">
        <v>41</v>
      </c>
      <c r="W98" s="17">
        <f t="array" ref="W98">_xlfn.IFS(O98="Attacker",80,O98="Healer",90,O98="Magician",100,O98="Defender",110,O98="Supporter",120)</f>
        <v>110</v>
      </c>
      <c r="X98" s="17" t="s">
        <v>42</v>
      </c>
      <c r="Y98" s="17">
        <v>703125</v>
      </c>
      <c r="Z98" s="17" t="s">
        <v>43</v>
      </c>
      <c r="AA98" s="17">
        <v>1687</v>
      </c>
      <c r="AB98" s="17" t="s">
        <v>44</v>
      </c>
      <c r="AC98" s="17">
        <v>0</v>
      </c>
      <c r="AD98" s="17" t="s">
        <v>45</v>
      </c>
      <c r="AE98" s="17">
        <v>0</v>
      </c>
      <c r="AF98" s="17" t="s">
        <v>46</v>
      </c>
      <c r="AG98" s="17">
        <v>100</v>
      </c>
      <c r="AH98" s="17" t="s">
        <v>47</v>
      </c>
      <c r="AI98" s="17">
        <v>80</v>
      </c>
      <c r="AJ98" s="17" t="s">
        <v>48</v>
      </c>
      <c r="AK98" s="17">
        <v>5000</v>
      </c>
      <c r="AL98" s="17" t="s">
        <v>49</v>
      </c>
      <c r="AM98" s="17">
        <v>150000</v>
      </c>
      <c r="AN98" s="17">
        <v>1812021</v>
      </c>
      <c r="AO98" s="17" t="b">
        <v>1</v>
      </c>
      <c r="AP98" s="17">
        <v>0</v>
      </c>
      <c r="AQ98" s="17" t="b">
        <v>0</v>
      </c>
      <c r="AR98" s="17">
        <v>3812021</v>
      </c>
      <c r="AS98" s="17" t="b">
        <v>1</v>
      </c>
      <c r="AT98" s="17">
        <v>0</v>
      </c>
      <c r="AU98" s="17" t="b">
        <v>0</v>
      </c>
    </row>
    <row r="99" spans="1:47" x14ac:dyDescent="0.3">
      <c r="A99" s="17">
        <v>29000204</v>
      </c>
      <c r="B99" s="17" t="s">
        <v>334</v>
      </c>
      <c r="C99" s="17">
        <v>290002</v>
      </c>
      <c r="D99" s="17">
        <v>0</v>
      </c>
      <c r="E99" s="17" t="s">
        <v>353</v>
      </c>
      <c r="G99" s="17" t="s">
        <v>333</v>
      </c>
      <c r="H99" s="17" t="s">
        <v>29</v>
      </c>
      <c r="I99" s="17">
        <v>4</v>
      </c>
      <c r="J99" s="24" t="s">
        <v>237</v>
      </c>
      <c r="K99" s="17" t="b">
        <v>0</v>
      </c>
      <c r="L99" s="24" t="s">
        <v>38</v>
      </c>
      <c r="M99" s="17">
        <v>2</v>
      </c>
      <c r="N99" s="17" t="s">
        <v>91</v>
      </c>
      <c r="O99" s="17" t="s">
        <v>62</v>
      </c>
      <c r="P99" s="17">
        <v>200</v>
      </c>
      <c r="Q99" s="17">
        <f t="array" ref="Q99">_xlfn.IFS($O99="Attacker",6,$O99="Healer",3,$O99="Magician",4,$O99="Defender",3,$O99="Supporter",4)</f>
        <v>3</v>
      </c>
      <c r="R99" s="17">
        <f t="array" ref="R99">_xlfn.IFS($O99="Attacker",6,$O99="Healer",3,$O99="Magician",4,$O99="Defender",3,$O99="Supporter",4)</f>
        <v>3</v>
      </c>
      <c r="S99" s="17">
        <v>1</v>
      </c>
      <c r="T99" s="17">
        <v>0</v>
      </c>
      <c r="U99" s="17">
        <v>0</v>
      </c>
      <c r="V99" s="17" t="s">
        <v>41</v>
      </c>
      <c r="W99" s="17">
        <f t="array" ref="W99">_xlfn.IFS(O99="Attacker",80,O99="Healer",90,O99="Magician",100,O99="Defender",110,O99="Supporter",120)</f>
        <v>110</v>
      </c>
      <c r="X99" s="17" t="s">
        <v>42</v>
      </c>
      <c r="Y99" s="17">
        <v>703125</v>
      </c>
      <c r="Z99" s="17" t="s">
        <v>43</v>
      </c>
      <c r="AA99" s="17">
        <v>1687</v>
      </c>
      <c r="AB99" s="17" t="s">
        <v>44</v>
      </c>
      <c r="AC99" s="17">
        <v>0</v>
      </c>
      <c r="AD99" s="17" t="s">
        <v>45</v>
      </c>
      <c r="AE99" s="17">
        <v>0</v>
      </c>
      <c r="AF99" s="17" t="s">
        <v>46</v>
      </c>
      <c r="AG99" s="17">
        <v>120</v>
      </c>
      <c r="AH99" s="17" t="s">
        <v>47</v>
      </c>
      <c r="AI99" s="17">
        <v>80</v>
      </c>
      <c r="AJ99" s="17" t="s">
        <v>48</v>
      </c>
      <c r="AK99" s="17">
        <v>5000</v>
      </c>
      <c r="AL99" s="17" t="s">
        <v>49</v>
      </c>
      <c r="AM99" s="17">
        <v>150000</v>
      </c>
      <c r="AN99" s="17">
        <v>1822021</v>
      </c>
      <c r="AO99" s="17" t="b">
        <v>1</v>
      </c>
      <c r="AP99" s="17">
        <v>0</v>
      </c>
      <c r="AQ99" s="17" t="b">
        <v>0</v>
      </c>
      <c r="AR99" s="17">
        <v>3822021</v>
      </c>
      <c r="AS99" s="17" t="b">
        <v>1</v>
      </c>
      <c r="AT99" s="17">
        <v>0</v>
      </c>
      <c r="AU99" s="17" t="b">
        <v>0</v>
      </c>
    </row>
    <row r="100" spans="1:47" x14ac:dyDescent="0.3">
      <c r="A100" s="17">
        <v>29000304</v>
      </c>
      <c r="B100" s="17" t="s">
        <v>336</v>
      </c>
      <c r="C100" s="17">
        <v>290003</v>
      </c>
      <c r="D100" s="17">
        <v>0</v>
      </c>
      <c r="E100" s="17" t="s">
        <v>354</v>
      </c>
      <c r="G100" s="17" t="s">
        <v>333</v>
      </c>
      <c r="H100" s="17" t="s">
        <v>29</v>
      </c>
      <c r="I100" s="17">
        <v>4</v>
      </c>
      <c r="J100" s="24" t="s">
        <v>237</v>
      </c>
      <c r="K100" s="17" t="b">
        <v>0</v>
      </c>
      <c r="L100" s="24" t="s">
        <v>38</v>
      </c>
      <c r="M100" s="17">
        <v>2</v>
      </c>
      <c r="N100" s="17" t="s">
        <v>72</v>
      </c>
      <c r="O100" s="17" t="s">
        <v>62</v>
      </c>
      <c r="P100" s="17">
        <v>200</v>
      </c>
      <c r="Q100" s="17">
        <f t="array" ref="Q100">_xlfn.IFS($O100="Attacker",6,$O100="Healer",3,$O100="Magician",4,$O100="Defender",3,$O100="Supporter",4)</f>
        <v>3</v>
      </c>
      <c r="R100" s="17">
        <f t="array" ref="R100">_xlfn.IFS($O100="Attacker",6,$O100="Healer",3,$O100="Magician",4,$O100="Defender",3,$O100="Supporter",4)</f>
        <v>3</v>
      </c>
      <c r="S100" s="17">
        <v>1</v>
      </c>
      <c r="T100" s="17">
        <v>0</v>
      </c>
      <c r="U100" s="17">
        <v>0</v>
      </c>
      <c r="V100" s="17" t="s">
        <v>41</v>
      </c>
      <c r="W100" s="17">
        <f t="array" ref="W100">_xlfn.IFS(O100="Attacker",80,O100="Healer",90,O100="Magician",100,O100="Defender",110,O100="Supporter",120)</f>
        <v>110</v>
      </c>
      <c r="X100" s="17" t="s">
        <v>42</v>
      </c>
      <c r="Y100" s="17">
        <v>909375</v>
      </c>
      <c r="Z100" s="17" t="s">
        <v>43</v>
      </c>
      <c r="AA100" s="17">
        <v>1687</v>
      </c>
      <c r="AB100" s="17" t="s">
        <v>44</v>
      </c>
      <c r="AC100" s="17">
        <v>0</v>
      </c>
      <c r="AD100" s="17" t="s">
        <v>45</v>
      </c>
      <c r="AE100" s="17">
        <v>0</v>
      </c>
      <c r="AF100" s="17" t="s">
        <v>46</v>
      </c>
      <c r="AG100" s="17">
        <v>100</v>
      </c>
      <c r="AH100" s="17" t="s">
        <v>47</v>
      </c>
      <c r="AI100" s="17">
        <v>80</v>
      </c>
      <c r="AJ100" s="17" t="s">
        <v>48</v>
      </c>
      <c r="AK100" s="17">
        <v>5000</v>
      </c>
      <c r="AL100" s="17" t="s">
        <v>49</v>
      </c>
      <c r="AM100" s="17">
        <v>150000</v>
      </c>
      <c r="AN100" s="17">
        <v>1832021</v>
      </c>
      <c r="AO100" s="17" t="b">
        <v>1</v>
      </c>
      <c r="AP100" s="17">
        <v>0</v>
      </c>
      <c r="AQ100" s="17" t="b">
        <v>0</v>
      </c>
      <c r="AR100" s="17">
        <v>3832021</v>
      </c>
      <c r="AS100" s="17" t="b">
        <v>1</v>
      </c>
      <c r="AT100" s="17">
        <v>0</v>
      </c>
      <c r="AU100" s="17" t="b">
        <v>0</v>
      </c>
    </row>
    <row r="101" spans="1:47" x14ac:dyDescent="0.3">
      <c r="A101" s="17">
        <v>29000404</v>
      </c>
      <c r="B101" s="17" t="s">
        <v>338</v>
      </c>
      <c r="C101" s="17">
        <v>290004</v>
      </c>
      <c r="D101" s="17">
        <v>0</v>
      </c>
      <c r="E101" s="17" t="s">
        <v>355</v>
      </c>
      <c r="G101" s="17" t="s">
        <v>333</v>
      </c>
      <c r="H101" s="17" t="s">
        <v>29</v>
      </c>
      <c r="I101" s="17">
        <v>4</v>
      </c>
      <c r="J101" s="24" t="s">
        <v>237</v>
      </c>
      <c r="K101" s="17" t="b">
        <v>0</v>
      </c>
      <c r="L101" s="24" t="s">
        <v>38</v>
      </c>
      <c r="M101" s="17">
        <v>2</v>
      </c>
      <c r="N101" s="17" t="s">
        <v>83</v>
      </c>
      <c r="O101" s="17" t="s">
        <v>62</v>
      </c>
      <c r="P101" s="17">
        <v>200</v>
      </c>
      <c r="Q101" s="17">
        <f t="array" ref="Q101">_xlfn.IFS($O101="Attacker",6,$O101="Healer",3,$O101="Magician",4,$O101="Defender",3,$O101="Supporter",4)</f>
        <v>3</v>
      </c>
      <c r="R101" s="17">
        <f t="array" ref="R101">_xlfn.IFS($O101="Attacker",6,$O101="Healer",3,$O101="Magician",4,$O101="Defender",3,$O101="Supporter",4)</f>
        <v>3</v>
      </c>
      <c r="S101" s="17">
        <v>1</v>
      </c>
      <c r="T101" s="17">
        <v>0</v>
      </c>
      <c r="U101" s="17">
        <v>0</v>
      </c>
      <c r="V101" s="17" t="s">
        <v>41</v>
      </c>
      <c r="W101" s="17">
        <f t="array" ref="W101">_xlfn.IFS(O101="Attacker",80,O101="Healer",90,O101="Magician",100,O101="Defender",110,O101="Supporter",120)</f>
        <v>110</v>
      </c>
      <c r="X101" s="17" t="s">
        <v>42</v>
      </c>
      <c r="Y101" s="17">
        <v>703125</v>
      </c>
      <c r="Z101" s="17" t="s">
        <v>43</v>
      </c>
      <c r="AA101" s="17">
        <v>1687</v>
      </c>
      <c r="AB101" s="17" t="s">
        <v>44</v>
      </c>
      <c r="AC101" s="17">
        <v>0</v>
      </c>
      <c r="AD101" s="17" t="s">
        <v>45</v>
      </c>
      <c r="AE101" s="17">
        <v>0</v>
      </c>
      <c r="AF101" s="17" t="s">
        <v>46</v>
      </c>
      <c r="AG101" s="17">
        <v>100</v>
      </c>
      <c r="AH101" s="17" t="s">
        <v>47</v>
      </c>
      <c r="AI101" s="17">
        <v>104</v>
      </c>
      <c r="AJ101" s="17" t="s">
        <v>48</v>
      </c>
      <c r="AK101" s="17">
        <v>5000</v>
      </c>
      <c r="AL101" s="17" t="s">
        <v>49</v>
      </c>
      <c r="AM101" s="17">
        <v>150000</v>
      </c>
      <c r="AN101" s="17">
        <v>1842021</v>
      </c>
      <c r="AO101" s="17" t="b">
        <v>1</v>
      </c>
      <c r="AP101" s="17">
        <v>0</v>
      </c>
      <c r="AQ101" s="17" t="b">
        <v>0</v>
      </c>
      <c r="AR101" s="17">
        <v>3842021</v>
      </c>
      <c r="AS101" s="17" t="b">
        <v>1</v>
      </c>
      <c r="AT101" s="17">
        <v>0</v>
      </c>
      <c r="AU101" s="17" t="b">
        <v>0</v>
      </c>
    </row>
    <row r="102" spans="1:47" x14ac:dyDescent="0.3">
      <c r="A102" s="29">
        <v>29000504</v>
      </c>
      <c r="B102" s="29" t="s">
        <v>340</v>
      </c>
      <c r="C102" s="29">
        <v>290005</v>
      </c>
      <c r="D102" s="29">
        <v>0</v>
      </c>
      <c r="E102" s="29" t="s">
        <v>356</v>
      </c>
      <c r="F102" s="29"/>
      <c r="G102" s="29" t="s">
        <v>333</v>
      </c>
      <c r="H102" s="29" t="s">
        <v>29</v>
      </c>
      <c r="I102" s="29">
        <v>4</v>
      </c>
      <c r="J102" s="27" t="s">
        <v>237</v>
      </c>
      <c r="K102" s="17" t="b">
        <v>0</v>
      </c>
      <c r="L102" s="27" t="s">
        <v>38</v>
      </c>
      <c r="M102" s="29">
        <v>2</v>
      </c>
      <c r="N102" s="29" t="s">
        <v>39</v>
      </c>
      <c r="O102" s="29" t="s">
        <v>62</v>
      </c>
      <c r="P102" s="29">
        <v>200</v>
      </c>
      <c r="Q102" s="29">
        <f t="array" ref="Q102">_xlfn.IFS($O102="Attacker",6,$O102="Healer",3,$O102="Magician",4,$O102="Defender",3,$O102="Supporter",4)</f>
        <v>3</v>
      </c>
      <c r="R102" s="29">
        <f t="array" ref="R102">_xlfn.IFS($O102="Attacker",6,$O102="Healer",3,$O102="Magician",4,$O102="Defender",3,$O102="Supporter",4)</f>
        <v>3</v>
      </c>
      <c r="S102" s="29">
        <v>1</v>
      </c>
      <c r="T102" s="29">
        <v>0</v>
      </c>
      <c r="U102" s="29">
        <v>0</v>
      </c>
      <c r="V102" s="29" t="s">
        <v>41</v>
      </c>
      <c r="W102" s="29">
        <f t="array" ref="W102">_xlfn.IFS(O102="Attacker",80,O102="Healer",90,O102="Magician",100,O102="Defender",110,O102="Supporter",120)</f>
        <v>110</v>
      </c>
      <c r="X102" s="29" t="s">
        <v>42</v>
      </c>
      <c r="Y102" s="17">
        <v>703125</v>
      </c>
      <c r="Z102" s="29" t="s">
        <v>43</v>
      </c>
      <c r="AA102" s="17">
        <v>1687</v>
      </c>
      <c r="AB102" s="29" t="s">
        <v>44</v>
      </c>
      <c r="AC102" s="29">
        <v>0</v>
      </c>
      <c r="AD102" s="29" t="s">
        <v>45</v>
      </c>
      <c r="AE102" s="29">
        <v>0</v>
      </c>
      <c r="AF102" s="29" t="s">
        <v>46</v>
      </c>
      <c r="AG102" s="29">
        <v>100</v>
      </c>
      <c r="AH102" s="29" t="s">
        <v>47</v>
      </c>
      <c r="AI102" s="29">
        <v>104</v>
      </c>
      <c r="AJ102" s="29" t="s">
        <v>48</v>
      </c>
      <c r="AK102" s="29">
        <v>20000</v>
      </c>
      <c r="AL102" s="29" t="s">
        <v>49</v>
      </c>
      <c r="AM102" s="29">
        <v>150000</v>
      </c>
      <c r="AN102" s="29">
        <v>1852021</v>
      </c>
      <c r="AO102" s="29" t="b">
        <v>1</v>
      </c>
      <c r="AP102" s="29">
        <v>0</v>
      </c>
      <c r="AQ102" s="29" t="b">
        <v>0</v>
      </c>
      <c r="AR102" s="29">
        <v>3852021</v>
      </c>
      <c r="AS102" s="17" t="b">
        <v>1</v>
      </c>
      <c r="AT102" s="29">
        <v>0</v>
      </c>
      <c r="AU102" s="29" t="b">
        <v>0</v>
      </c>
    </row>
    <row r="103" spans="1:47" s="11" customFormat="1" x14ac:dyDescent="0.3">
      <c r="A103" s="17">
        <v>29000105</v>
      </c>
      <c r="B103" s="17" t="s">
        <v>331</v>
      </c>
      <c r="C103" s="17">
        <v>290001</v>
      </c>
      <c r="D103" s="17">
        <v>0</v>
      </c>
      <c r="E103" s="17" t="s">
        <v>357</v>
      </c>
      <c r="F103" s="17"/>
      <c r="G103" s="17" t="s">
        <v>333</v>
      </c>
      <c r="H103" s="17" t="s">
        <v>29</v>
      </c>
      <c r="I103" s="17">
        <v>5</v>
      </c>
      <c r="J103" s="24" t="s">
        <v>237</v>
      </c>
      <c r="K103" s="17" t="b">
        <v>0</v>
      </c>
      <c r="L103" s="24" t="s">
        <v>38</v>
      </c>
      <c r="M103" s="17">
        <v>2</v>
      </c>
      <c r="N103" s="17" t="s">
        <v>61</v>
      </c>
      <c r="O103" s="17" t="s">
        <v>62</v>
      </c>
      <c r="P103" s="17">
        <v>200</v>
      </c>
      <c r="Q103" s="17">
        <f t="array" ref="Q103">_xlfn.IFS($O103="Attacker",6,$O103="Healer",3,$O103="Magician",4,$O103="Defender",3,$O103="Supporter",4)</f>
        <v>3</v>
      </c>
      <c r="R103" s="17">
        <f t="array" ref="R103">_xlfn.IFS($O103="Attacker",6,$O103="Healer",3,$O103="Magician",4,$O103="Defender",3,$O103="Supporter",4)</f>
        <v>3</v>
      </c>
      <c r="S103" s="17">
        <v>1</v>
      </c>
      <c r="T103" s="17">
        <v>0</v>
      </c>
      <c r="U103" s="17">
        <v>0</v>
      </c>
      <c r="V103" s="17" t="s">
        <v>41</v>
      </c>
      <c r="W103" s="17">
        <f t="array" ref="W103">_xlfn.IFS(O103="Attacker",80,O103="Healer",90,O103="Magician",100,O103="Defender",110,O103="Supporter",120)</f>
        <v>110</v>
      </c>
      <c r="X103" s="17" t="s">
        <v>42</v>
      </c>
      <c r="Y103" s="17">
        <v>1757812</v>
      </c>
      <c r="Z103" s="17" t="s">
        <v>43</v>
      </c>
      <c r="AA103" s="17">
        <v>2530</v>
      </c>
      <c r="AB103" s="17" t="s">
        <v>44</v>
      </c>
      <c r="AC103" s="17">
        <v>0</v>
      </c>
      <c r="AD103" s="17" t="s">
        <v>45</v>
      </c>
      <c r="AE103" s="17">
        <v>0</v>
      </c>
      <c r="AF103" s="17" t="s">
        <v>46</v>
      </c>
      <c r="AG103" s="17">
        <v>100</v>
      </c>
      <c r="AH103" s="17" t="s">
        <v>47</v>
      </c>
      <c r="AI103" s="17">
        <v>104</v>
      </c>
      <c r="AJ103" s="17" t="s">
        <v>48</v>
      </c>
      <c r="AK103" s="17">
        <v>5000</v>
      </c>
      <c r="AL103" s="17" t="s">
        <v>49</v>
      </c>
      <c r="AM103" s="17">
        <v>150000</v>
      </c>
      <c r="AN103" s="17">
        <v>1812021</v>
      </c>
      <c r="AO103" s="17" t="b">
        <v>1</v>
      </c>
      <c r="AP103" s="17">
        <v>0</v>
      </c>
      <c r="AQ103" s="17" t="b">
        <v>0</v>
      </c>
      <c r="AR103" s="17">
        <v>3812021</v>
      </c>
      <c r="AS103" s="17" t="b">
        <v>1</v>
      </c>
      <c r="AT103" s="17">
        <v>0</v>
      </c>
      <c r="AU103" s="17" t="b">
        <v>0</v>
      </c>
    </row>
    <row r="104" spans="1:47" x14ac:dyDescent="0.3">
      <c r="A104" s="17">
        <v>29000205</v>
      </c>
      <c r="B104" s="17" t="s">
        <v>334</v>
      </c>
      <c r="C104" s="17">
        <v>290002</v>
      </c>
      <c r="D104" s="17">
        <v>0</v>
      </c>
      <c r="E104" s="17" t="s">
        <v>358</v>
      </c>
      <c r="G104" s="17" t="s">
        <v>333</v>
      </c>
      <c r="H104" s="17" t="s">
        <v>29</v>
      </c>
      <c r="I104" s="17">
        <v>5</v>
      </c>
      <c r="J104" s="24" t="s">
        <v>237</v>
      </c>
      <c r="K104" s="17" t="b">
        <v>0</v>
      </c>
      <c r="L104" s="24" t="s">
        <v>38</v>
      </c>
      <c r="M104" s="17">
        <v>2</v>
      </c>
      <c r="N104" s="17" t="s">
        <v>91</v>
      </c>
      <c r="O104" s="17" t="s">
        <v>62</v>
      </c>
      <c r="P104" s="17">
        <v>200</v>
      </c>
      <c r="Q104" s="17">
        <f t="array" ref="Q104">_xlfn.IFS($O104="Attacker",6,$O104="Healer",3,$O104="Magician",4,$O104="Defender",3,$O104="Supporter",4)</f>
        <v>3</v>
      </c>
      <c r="R104" s="17">
        <f t="array" ref="R104">_xlfn.IFS($O104="Attacker",6,$O104="Healer",3,$O104="Magician",4,$O104="Defender",3,$O104="Supporter",4)</f>
        <v>3</v>
      </c>
      <c r="S104" s="17">
        <v>1</v>
      </c>
      <c r="T104" s="17">
        <v>0</v>
      </c>
      <c r="U104" s="17">
        <v>0</v>
      </c>
      <c r="V104" s="17" t="s">
        <v>41</v>
      </c>
      <c r="W104" s="17">
        <f t="array" ref="W104">_xlfn.IFS(O104="Attacker",80,O104="Healer",90,O104="Magician",100,O104="Defender",110,O104="Supporter",120)</f>
        <v>110</v>
      </c>
      <c r="X104" s="17" t="s">
        <v>42</v>
      </c>
      <c r="Y104" s="17">
        <v>1757812</v>
      </c>
      <c r="Z104" s="17" t="s">
        <v>43</v>
      </c>
      <c r="AA104" s="17">
        <v>2530</v>
      </c>
      <c r="AB104" s="17" t="s">
        <v>44</v>
      </c>
      <c r="AC104" s="17">
        <v>0</v>
      </c>
      <c r="AD104" s="17" t="s">
        <v>45</v>
      </c>
      <c r="AE104" s="17">
        <v>0</v>
      </c>
      <c r="AF104" s="17" t="s">
        <v>46</v>
      </c>
      <c r="AG104" s="17">
        <v>120</v>
      </c>
      <c r="AH104" s="17" t="s">
        <v>47</v>
      </c>
      <c r="AI104" s="17">
        <v>104</v>
      </c>
      <c r="AJ104" s="17" t="s">
        <v>48</v>
      </c>
      <c r="AK104" s="17">
        <v>5000</v>
      </c>
      <c r="AL104" s="17" t="s">
        <v>49</v>
      </c>
      <c r="AM104" s="17">
        <v>150000</v>
      </c>
      <c r="AN104" s="17">
        <v>1822021</v>
      </c>
      <c r="AO104" s="17" t="b">
        <v>1</v>
      </c>
      <c r="AP104" s="17">
        <v>0</v>
      </c>
      <c r="AQ104" s="17" t="b">
        <v>0</v>
      </c>
      <c r="AR104" s="17">
        <v>3822021</v>
      </c>
      <c r="AS104" s="17" t="b">
        <v>1</v>
      </c>
      <c r="AT104" s="17">
        <v>0</v>
      </c>
      <c r="AU104" s="17" t="b">
        <v>0</v>
      </c>
    </row>
    <row r="105" spans="1:47" x14ac:dyDescent="0.3">
      <c r="A105" s="17">
        <v>29000305</v>
      </c>
      <c r="B105" s="17" t="s">
        <v>336</v>
      </c>
      <c r="C105" s="17">
        <v>290003</v>
      </c>
      <c r="D105" s="17">
        <v>0</v>
      </c>
      <c r="E105" s="17" t="s">
        <v>359</v>
      </c>
      <c r="G105" s="17" t="s">
        <v>333</v>
      </c>
      <c r="H105" s="17" t="s">
        <v>29</v>
      </c>
      <c r="I105" s="17">
        <v>5</v>
      </c>
      <c r="J105" s="24" t="s">
        <v>237</v>
      </c>
      <c r="K105" s="17" t="b">
        <v>0</v>
      </c>
      <c r="L105" s="24" t="s">
        <v>38</v>
      </c>
      <c r="M105" s="17">
        <v>2</v>
      </c>
      <c r="N105" s="17" t="s">
        <v>72</v>
      </c>
      <c r="O105" s="17" t="s">
        <v>62</v>
      </c>
      <c r="P105" s="17">
        <v>200</v>
      </c>
      <c r="Q105" s="17">
        <f t="array" ref="Q105">_xlfn.IFS($O105="Attacker",6,$O105="Healer",3,$O105="Magician",4,$O105="Defender",3,$O105="Supporter",4)</f>
        <v>3</v>
      </c>
      <c r="R105" s="17">
        <f t="array" ref="R105">_xlfn.IFS($O105="Attacker",6,$O105="Healer",3,$O105="Magician",4,$O105="Defender",3,$O105="Supporter",4)</f>
        <v>3</v>
      </c>
      <c r="S105" s="17">
        <v>1</v>
      </c>
      <c r="T105" s="17">
        <v>0</v>
      </c>
      <c r="U105" s="17">
        <v>0</v>
      </c>
      <c r="V105" s="17" t="s">
        <v>41</v>
      </c>
      <c r="W105" s="17">
        <f t="array" ref="W105">_xlfn.IFS(O105="Attacker",80,O105="Healer",90,O105="Magician",100,O105="Defender",110,O105="Supporter",120)</f>
        <v>110</v>
      </c>
      <c r="X105" s="17" t="s">
        <v>42</v>
      </c>
      <c r="Y105" s="17">
        <v>2273437</v>
      </c>
      <c r="Z105" s="17" t="s">
        <v>43</v>
      </c>
      <c r="AA105" s="17">
        <v>2530</v>
      </c>
      <c r="AB105" s="17" t="s">
        <v>44</v>
      </c>
      <c r="AC105" s="17">
        <v>0</v>
      </c>
      <c r="AD105" s="17" t="s">
        <v>45</v>
      </c>
      <c r="AE105" s="17">
        <v>0</v>
      </c>
      <c r="AF105" s="17" t="s">
        <v>46</v>
      </c>
      <c r="AG105" s="17">
        <v>100</v>
      </c>
      <c r="AH105" s="17" t="s">
        <v>47</v>
      </c>
      <c r="AI105" s="17">
        <v>104</v>
      </c>
      <c r="AJ105" s="17" t="s">
        <v>48</v>
      </c>
      <c r="AK105" s="17">
        <v>5000</v>
      </c>
      <c r="AL105" s="17" t="s">
        <v>49</v>
      </c>
      <c r="AM105" s="17">
        <v>150000</v>
      </c>
      <c r="AN105" s="17">
        <v>1832021</v>
      </c>
      <c r="AO105" s="17" t="b">
        <v>1</v>
      </c>
      <c r="AP105" s="17">
        <v>0</v>
      </c>
      <c r="AQ105" s="17" t="b">
        <v>0</v>
      </c>
      <c r="AR105" s="17">
        <v>3832021</v>
      </c>
      <c r="AS105" s="17" t="b">
        <v>1</v>
      </c>
      <c r="AT105" s="17">
        <v>0</v>
      </c>
      <c r="AU105" s="17" t="b">
        <v>0</v>
      </c>
    </row>
    <row r="106" spans="1:47" x14ac:dyDescent="0.3">
      <c r="A106" s="17">
        <v>29000405</v>
      </c>
      <c r="B106" s="17" t="s">
        <v>338</v>
      </c>
      <c r="C106" s="17">
        <v>290004</v>
      </c>
      <c r="D106" s="17">
        <v>0</v>
      </c>
      <c r="E106" s="17" t="s">
        <v>360</v>
      </c>
      <c r="G106" s="17" t="s">
        <v>333</v>
      </c>
      <c r="H106" s="17" t="s">
        <v>29</v>
      </c>
      <c r="I106" s="17">
        <v>5</v>
      </c>
      <c r="J106" s="24" t="s">
        <v>237</v>
      </c>
      <c r="K106" s="17" t="b">
        <v>0</v>
      </c>
      <c r="L106" s="24" t="s">
        <v>38</v>
      </c>
      <c r="M106" s="17">
        <v>2</v>
      </c>
      <c r="N106" s="17" t="s">
        <v>83</v>
      </c>
      <c r="O106" s="17" t="s">
        <v>62</v>
      </c>
      <c r="P106" s="17">
        <v>200</v>
      </c>
      <c r="Q106" s="17">
        <f t="array" ref="Q106">_xlfn.IFS($O106="Attacker",6,$O106="Healer",3,$O106="Magician",4,$O106="Defender",3,$O106="Supporter",4)</f>
        <v>3</v>
      </c>
      <c r="R106" s="17">
        <f t="array" ref="R106">_xlfn.IFS($O106="Attacker",6,$O106="Healer",3,$O106="Magician",4,$O106="Defender",3,$O106="Supporter",4)</f>
        <v>3</v>
      </c>
      <c r="S106" s="17">
        <v>1</v>
      </c>
      <c r="T106" s="17">
        <v>0</v>
      </c>
      <c r="U106" s="17">
        <v>0</v>
      </c>
      <c r="V106" s="17" t="s">
        <v>41</v>
      </c>
      <c r="W106" s="17">
        <f t="array" ref="W106">_xlfn.IFS(O106="Attacker",80,O106="Healer",90,O106="Magician",100,O106="Defender",110,O106="Supporter",120)</f>
        <v>110</v>
      </c>
      <c r="X106" s="17" t="s">
        <v>42</v>
      </c>
      <c r="Y106" s="17">
        <v>1757812</v>
      </c>
      <c r="Z106" s="17" t="s">
        <v>43</v>
      </c>
      <c r="AA106" s="17">
        <v>2530</v>
      </c>
      <c r="AB106" s="17" t="s">
        <v>44</v>
      </c>
      <c r="AC106" s="17">
        <v>0</v>
      </c>
      <c r="AD106" s="17" t="s">
        <v>45</v>
      </c>
      <c r="AE106" s="17">
        <v>0</v>
      </c>
      <c r="AF106" s="17" t="s">
        <v>46</v>
      </c>
      <c r="AG106" s="17">
        <v>100</v>
      </c>
      <c r="AH106" s="17" t="s">
        <v>47</v>
      </c>
      <c r="AI106" s="17">
        <v>104</v>
      </c>
      <c r="AJ106" s="17" t="s">
        <v>48</v>
      </c>
      <c r="AK106" s="17">
        <v>5000</v>
      </c>
      <c r="AL106" s="17" t="s">
        <v>49</v>
      </c>
      <c r="AM106" s="17">
        <v>150000</v>
      </c>
      <c r="AN106" s="17">
        <v>1842021</v>
      </c>
      <c r="AO106" s="17" t="b">
        <v>1</v>
      </c>
      <c r="AP106" s="17">
        <v>0</v>
      </c>
      <c r="AQ106" s="17" t="b">
        <v>0</v>
      </c>
      <c r="AR106" s="17">
        <v>3842021</v>
      </c>
      <c r="AS106" s="17" t="b">
        <v>1</v>
      </c>
      <c r="AT106" s="17">
        <v>0</v>
      </c>
      <c r="AU106" s="17" t="b">
        <v>0</v>
      </c>
    </row>
    <row r="107" spans="1:47" x14ac:dyDescent="0.3">
      <c r="A107" s="29">
        <v>29000505</v>
      </c>
      <c r="B107" s="29" t="s">
        <v>340</v>
      </c>
      <c r="C107" s="29">
        <v>290005</v>
      </c>
      <c r="D107" s="29">
        <v>0</v>
      </c>
      <c r="E107" s="29" t="s">
        <v>361</v>
      </c>
      <c r="F107" s="29"/>
      <c r="G107" s="29" t="s">
        <v>333</v>
      </c>
      <c r="H107" s="29" t="s">
        <v>29</v>
      </c>
      <c r="I107" s="29">
        <v>5</v>
      </c>
      <c r="J107" s="27" t="s">
        <v>237</v>
      </c>
      <c r="K107" s="17" t="b">
        <v>0</v>
      </c>
      <c r="L107" s="27" t="s">
        <v>38</v>
      </c>
      <c r="M107" s="29">
        <v>2</v>
      </c>
      <c r="N107" s="29" t="s">
        <v>39</v>
      </c>
      <c r="O107" s="29" t="s">
        <v>62</v>
      </c>
      <c r="P107" s="29">
        <v>200</v>
      </c>
      <c r="Q107" s="29">
        <f t="array" ref="Q107">_xlfn.IFS($O107="Attacker",6,$O107="Healer",3,$O107="Magician",4,$O107="Defender",3,$O107="Supporter",4)</f>
        <v>3</v>
      </c>
      <c r="R107" s="29">
        <f t="array" ref="R107">_xlfn.IFS($O107="Attacker",6,$O107="Healer",3,$O107="Magician",4,$O107="Defender",3,$O107="Supporter",4)</f>
        <v>3</v>
      </c>
      <c r="S107" s="29">
        <v>1</v>
      </c>
      <c r="T107" s="29">
        <v>0</v>
      </c>
      <c r="U107" s="29">
        <v>0</v>
      </c>
      <c r="V107" s="29" t="s">
        <v>41</v>
      </c>
      <c r="W107" s="29">
        <f t="array" ref="W107">_xlfn.IFS(O107="Attacker",80,O107="Healer",90,O107="Magician",100,O107="Defender",110,O107="Supporter",120)</f>
        <v>110</v>
      </c>
      <c r="X107" s="29" t="s">
        <v>42</v>
      </c>
      <c r="Y107" s="17">
        <v>1757812</v>
      </c>
      <c r="Z107" s="29" t="s">
        <v>43</v>
      </c>
      <c r="AA107" s="17">
        <v>2530</v>
      </c>
      <c r="AB107" s="29" t="s">
        <v>44</v>
      </c>
      <c r="AC107" s="29">
        <v>0</v>
      </c>
      <c r="AD107" s="29" t="s">
        <v>45</v>
      </c>
      <c r="AE107" s="29">
        <v>0</v>
      </c>
      <c r="AF107" s="29" t="s">
        <v>46</v>
      </c>
      <c r="AG107" s="29">
        <v>100</v>
      </c>
      <c r="AH107" s="29" t="s">
        <v>47</v>
      </c>
      <c r="AI107" s="29">
        <v>80</v>
      </c>
      <c r="AJ107" s="29" t="s">
        <v>48</v>
      </c>
      <c r="AK107" s="29">
        <v>20000</v>
      </c>
      <c r="AL107" s="29" t="s">
        <v>49</v>
      </c>
      <c r="AM107" s="29">
        <v>150000</v>
      </c>
      <c r="AN107" s="29">
        <v>1852021</v>
      </c>
      <c r="AO107" s="29" t="b">
        <v>1</v>
      </c>
      <c r="AP107" s="29">
        <v>0</v>
      </c>
      <c r="AQ107" s="29" t="b">
        <v>0</v>
      </c>
      <c r="AR107" s="29">
        <v>3852021</v>
      </c>
      <c r="AS107" s="17" t="b">
        <v>1</v>
      </c>
      <c r="AT107" s="29">
        <v>0</v>
      </c>
      <c r="AU107" s="29" t="b">
        <v>0</v>
      </c>
    </row>
    <row r="108" spans="1:47" s="11" customFormat="1" x14ac:dyDescent="0.3">
      <c r="A108" s="29">
        <v>12240199</v>
      </c>
      <c r="B108" s="29" t="s">
        <v>362</v>
      </c>
      <c r="C108" s="29">
        <v>122401</v>
      </c>
      <c r="D108" s="29">
        <v>0</v>
      </c>
      <c r="E108" s="29" t="s">
        <v>363</v>
      </c>
      <c r="F108" s="29"/>
      <c r="G108" s="29" t="s">
        <v>333</v>
      </c>
      <c r="H108" s="29" t="s">
        <v>29</v>
      </c>
      <c r="I108" s="29">
        <v>99</v>
      </c>
      <c r="J108" s="27" t="s">
        <v>237</v>
      </c>
      <c r="K108" s="17" t="b">
        <v>0</v>
      </c>
      <c r="L108" s="27" t="s">
        <v>38</v>
      </c>
      <c r="M108" s="29">
        <v>2</v>
      </c>
      <c r="N108" s="29" t="s">
        <v>39</v>
      </c>
      <c r="O108" s="29" t="s">
        <v>76</v>
      </c>
      <c r="P108" s="29">
        <v>200</v>
      </c>
      <c r="Q108" s="29">
        <f t="array" ref="Q108">_xlfn.IFS($O108="Attacker",6,$O108="Healer",3,$O108="Magician",4,$O108="Defender",3,$O108="Supporter",4)</f>
        <v>4</v>
      </c>
      <c r="R108" s="29">
        <f t="array" ref="R108">_xlfn.IFS($O108="Attacker",6,$O108="Healer",3,$O108="Magician",4,$O108="Defender",3,$O108="Supporter",4)</f>
        <v>4</v>
      </c>
      <c r="S108" s="29">
        <v>1</v>
      </c>
      <c r="T108" s="29">
        <v>0</v>
      </c>
      <c r="U108" s="29">
        <v>0</v>
      </c>
      <c r="V108" s="29" t="s">
        <v>41</v>
      </c>
      <c r="W108" s="29">
        <f t="array" ref="W108">_xlfn.IFS(O108="Attacker",80,O108="Healer",90,O108="Magician",100,O108="Defender",110,O108="Supporter",120)</f>
        <v>100</v>
      </c>
      <c r="X108" s="29" t="s">
        <v>42</v>
      </c>
      <c r="Y108" s="29">
        <v>9999100000</v>
      </c>
      <c r="Z108" s="29" t="s">
        <v>43</v>
      </c>
      <c r="AA108" s="29">
        <v>99200000</v>
      </c>
      <c r="AB108" s="29" t="s">
        <v>44</v>
      </c>
      <c r="AC108" s="29">
        <v>99200000</v>
      </c>
      <c r="AD108" s="29" t="s">
        <v>45</v>
      </c>
      <c r="AE108" s="29">
        <v>3000</v>
      </c>
      <c r="AF108" s="29" t="s">
        <v>46</v>
      </c>
      <c r="AG108" s="29">
        <v>500</v>
      </c>
      <c r="AH108" s="29" t="s">
        <v>47</v>
      </c>
      <c r="AI108" s="29">
        <v>80</v>
      </c>
      <c r="AJ108" s="29" t="s">
        <v>48</v>
      </c>
      <c r="AK108" s="29">
        <v>5000</v>
      </c>
      <c r="AL108" s="29" t="s">
        <v>49</v>
      </c>
      <c r="AM108" s="29">
        <v>150000</v>
      </c>
      <c r="AN108" s="29">
        <v>1942041</v>
      </c>
      <c r="AO108" s="29" t="b">
        <v>1</v>
      </c>
      <c r="AP108" s="29">
        <v>0</v>
      </c>
      <c r="AQ108" s="29" t="b">
        <v>0</v>
      </c>
      <c r="AR108" s="29">
        <v>3942041</v>
      </c>
      <c r="AS108" s="29" t="b">
        <v>1</v>
      </c>
      <c r="AT108" s="29">
        <v>0</v>
      </c>
      <c r="AU108" s="29" t="b">
        <v>0</v>
      </c>
    </row>
    <row r="109" spans="1:47" x14ac:dyDescent="0.3">
      <c r="A109" s="30">
        <v>10510201</v>
      </c>
      <c r="B109" s="30" t="s">
        <v>125</v>
      </c>
      <c r="C109" s="30">
        <v>105102</v>
      </c>
      <c r="D109" s="30">
        <v>0</v>
      </c>
      <c r="E109" s="30" t="s">
        <v>364</v>
      </c>
      <c r="F109" s="30"/>
      <c r="G109" s="30" t="s">
        <v>333</v>
      </c>
      <c r="H109" s="30" t="s">
        <v>29</v>
      </c>
      <c r="I109" s="30">
        <v>1</v>
      </c>
      <c r="J109" s="38" t="s">
        <v>365</v>
      </c>
      <c r="K109" s="17" t="b">
        <v>0</v>
      </c>
      <c r="L109" s="38" t="s">
        <v>38</v>
      </c>
      <c r="M109" s="30">
        <v>2</v>
      </c>
      <c r="N109" s="30" t="s">
        <v>72</v>
      </c>
      <c r="O109" s="30" t="s">
        <v>62</v>
      </c>
      <c r="P109" s="30">
        <v>200</v>
      </c>
      <c r="Q109" s="30">
        <f t="array" ref="Q109">_xlfn.IFS($O109="Attacker",6,$O109="Healer",3,$O109="Magician",4,$O109="Defender",3,$O109="Supporter",4)</f>
        <v>3</v>
      </c>
      <c r="R109" s="30">
        <f t="array" ref="R109">_xlfn.IFS($O109="Attacker",6,$O109="Healer",3,$O109="Magician",4,$O109="Defender",3,$O109="Supporter",4)</f>
        <v>3</v>
      </c>
      <c r="S109" s="30">
        <v>1</v>
      </c>
      <c r="T109" s="30">
        <v>0</v>
      </c>
      <c r="U109" s="30">
        <v>0</v>
      </c>
      <c r="V109" s="30" t="s">
        <v>41</v>
      </c>
      <c r="W109" s="30">
        <f t="array" ref="W109">_xlfn.IFS(O109="Attacker",80,O109="Healer",90,O109="Magician",100,O109="Defender",110,O109="Supporter",120)</f>
        <v>110</v>
      </c>
      <c r="X109" s="30" t="s">
        <v>42</v>
      </c>
      <c r="Y109" s="17">
        <v>123000</v>
      </c>
      <c r="Z109" s="30" t="s">
        <v>43</v>
      </c>
      <c r="AA109" s="17">
        <v>3500</v>
      </c>
      <c r="AB109" s="30" t="s">
        <v>44</v>
      </c>
      <c r="AC109" s="30">
        <v>1800</v>
      </c>
      <c r="AD109" s="30" t="s">
        <v>45</v>
      </c>
      <c r="AE109" s="30">
        <v>1800</v>
      </c>
      <c r="AF109" s="30" t="s">
        <v>46</v>
      </c>
      <c r="AG109" s="30">
        <v>100</v>
      </c>
      <c r="AH109" s="30" t="s">
        <v>47</v>
      </c>
      <c r="AI109" s="30">
        <v>88</v>
      </c>
      <c r="AJ109" s="30" t="s">
        <v>48</v>
      </c>
      <c r="AK109" s="30">
        <v>75000</v>
      </c>
      <c r="AL109" s="30" t="s">
        <v>49</v>
      </c>
      <c r="AM109" s="30">
        <v>150000</v>
      </c>
      <c r="AN109" s="30">
        <v>1551091</v>
      </c>
      <c r="AO109" s="30" t="b">
        <v>1</v>
      </c>
      <c r="AP109" s="30">
        <v>2551091</v>
      </c>
      <c r="AQ109" s="30" t="b">
        <v>1</v>
      </c>
      <c r="AR109" s="30">
        <v>3551091</v>
      </c>
      <c r="AS109" s="30" t="b">
        <v>1</v>
      </c>
      <c r="AT109" s="30">
        <v>0</v>
      </c>
      <c r="AU109" s="30" t="b">
        <v>0</v>
      </c>
    </row>
    <row r="110" spans="1:47" x14ac:dyDescent="0.3">
      <c r="A110" s="17">
        <v>21890101</v>
      </c>
      <c r="B110" s="17" t="s">
        <v>366</v>
      </c>
      <c r="C110" s="17">
        <v>218901</v>
      </c>
      <c r="D110" s="17">
        <v>0</v>
      </c>
      <c r="E110" s="17" t="s">
        <v>367</v>
      </c>
      <c r="G110" s="17" t="s">
        <v>29</v>
      </c>
      <c r="H110" s="17" t="s">
        <v>29</v>
      </c>
      <c r="I110" s="17">
        <v>1</v>
      </c>
      <c r="J110" s="24" t="s">
        <v>237</v>
      </c>
      <c r="K110" s="17" t="b">
        <v>1</v>
      </c>
      <c r="L110" s="24" t="s">
        <v>38</v>
      </c>
      <c r="M110" s="17">
        <v>2</v>
      </c>
      <c r="N110" s="17" t="s">
        <v>61</v>
      </c>
      <c r="O110" s="17" t="s">
        <v>62</v>
      </c>
      <c r="P110" s="17">
        <v>200</v>
      </c>
      <c r="Q110" s="17">
        <f t="array" ref="Q110">_xlfn.IFS($O110="Attacker",6,$O110="Healer",3,$O110="Magician",4,$O110="Defender",3,$O110="Supporter",4)</f>
        <v>3</v>
      </c>
      <c r="R110" s="17">
        <f t="array" ref="R110">_xlfn.IFS($O110="Attacker",6,$O110="Healer",3,$O110="Magician",4,$O110="Defender",3,$O110="Supporter",4)</f>
        <v>3</v>
      </c>
      <c r="S110" s="17">
        <v>1</v>
      </c>
      <c r="T110" s="17">
        <v>0</v>
      </c>
      <c r="U110" s="17">
        <v>0</v>
      </c>
      <c r="V110" s="17" t="s">
        <v>41</v>
      </c>
      <c r="W110" s="17">
        <f t="array" ref="W110">_xlfn.IFS(O110="Attacker",80,O110="Healer",90,O110="Magician",100,O110="Defender",110,O110="Supporter",120)</f>
        <v>110</v>
      </c>
      <c r="X110" s="17" t="s">
        <v>42</v>
      </c>
      <c r="Y110" s="17">
        <v>30000</v>
      </c>
      <c r="Z110" s="17" t="s">
        <v>43</v>
      </c>
      <c r="AA110" s="17">
        <v>500</v>
      </c>
      <c r="AB110" s="17" t="s">
        <v>44</v>
      </c>
      <c r="AC110" s="17">
        <v>2000</v>
      </c>
      <c r="AD110" s="17" t="s">
        <v>45</v>
      </c>
      <c r="AE110" s="17">
        <v>2000</v>
      </c>
      <c r="AF110" s="17" t="s">
        <v>46</v>
      </c>
      <c r="AG110" s="17">
        <v>100</v>
      </c>
      <c r="AH110" s="17" t="s">
        <v>47</v>
      </c>
      <c r="AI110" s="17">
        <v>80</v>
      </c>
      <c r="AJ110" s="17" t="s">
        <v>48</v>
      </c>
      <c r="AK110" s="17">
        <v>5000</v>
      </c>
      <c r="AL110" s="17" t="s">
        <v>49</v>
      </c>
      <c r="AM110" s="17">
        <v>150000</v>
      </c>
      <c r="AN110" s="17">
        <v>1842061</v>
      </c>
      <c r="AO110" s="17" t="b">
        <v>1</v>
      </c>
      <c r="AP110" s="17">
        <v>2842061</v>
      </c>
      <c r="AQ110" s="17" t="b">
        <v>1</v>
      </c>
      <c r="AR110" s="17">
        <v>0</v>
      </c>
      <c r="AS110" s="17" t="b">
        <v>0</v>
      </c>
      <c r="AT110" s="17">
        <v>0</v>
      </c>
      <c r="AU110" s="17" t="b">
        <v>0</v>
      </c>
    </row>
    <row r="111" spans="1:47" x14ac:dyDescent="0.3">
      <c r="A111" s="30">
        <v>21890102</v>
      </c>
      <c r="B111" s="30" t="s">
        <v>366</v>
      </c>
      <c r="C111" s="30">
        <v>218901</v>
      </c>
      <c r="D111" s="30">
        <v>0</v>
      </c>
      <c r="E111" s="30" t="s">
        <v>368</v>
      </c>
      <c r="F111" s="30"/>
      <c r="G111" s="30" t="s">
        <v>29</v>
      </c>
      <c r="H111" s="30" t="s">
        <v>29</v>
      </c>
      <c r="I111" s="30">
        <v>2</v>
      </c>
      <c r="J111" s="38" t="s">
        <v>237</v>
      </c>
      <c r="K111" s="17" t="b">
        <v>1</v>
      </c>
      <c r="L111" s="38" t="s">
        <v>38</v>
      </c>
      <c r="M111" s="30">
        <v>2</v>
      </c>
      <c r="N111" s="30" t="s">
        <v>61</v>
      </c>
      <c r="O111" s="30" t="s">
        <v>62</v>
      </c>
      <c r="P111" s="30">
        <v>200</v>
      </c>
      <c r="Q111" s="30">
        <f t="array" ref="Q111">_xlfn.IFS($O111="Attacker",6,$O111="Healer",3,$O111="Magician",4,$O111="Defender",3,$O111="Supporter",4)</f>
        <v>3</v>
      </c>
      <c r="R111" s="30">
        <f t="array" ref="R111">_xlfn.IFS($O111="Attacker",6,$O111="Healer",3,$O111="Magician",4,$O111="Defender",3,$O111="Supporter",4)</f>
        <v>3</v>
      </c>
      <c r="S111" s="30">
        <v>1</v>
      </c>
      <c r="T111" s="30">
        <v>0</v>
      </c>
      <c r="U111" s="30">
        <v>0</v>
      </c>
      <c r="V111" s="30" t="s">
        <v>41</v>
      </c>
      <c r="W111" s="30">
        <f t="array" ref="W111">_xlfn.IFS(O111="Attacker",80,O111="Healer",90,O111="Magician",100,O111="Defender",110,O111="Supporter",120)</f>
        <v>110</v>
      </c>
      <c r="X111" s="30" t="s">
        <v>42</v>
      </c>
      <c r="Y111" s="30">
        <v>30000</v>
      </c>
      <c r="Z111" s="30" t="s">
        <v>43</v>
      </c>
      <c r="AA111" s="30">
        <v>500</v>
      </c>
      <c r="AB111" s="30" t="s">
        <v>44</v>
      </c>
      <c r="AC111" s="30">
        <v>5000</v>
      </c>
      <c r="AD111" s="30" t="s">
        <v>45</v>
      </c>
      <c r="AE111" s="30">
        <v>5000</v>
      </c>
      <c r="AF111" s="30" t="s">
        <v>46</v>
      </c>
      <c r="AG111" s="30">
        <v>100</v>
      </c>
      <c r="AH111" s="30" t="s">
        <v>47</v>
      </c>
      <c r="AI111" s="30">
        <v>80</v>
      </c>
      <c r="AJ111" s="30" t="s">
        <v>48</v>
      </c>
      <c r="AK111" s="30">
        <v>5000</v>
      </c>
      <c r="AL111" s="30" t="s">
        <v>49</v>
      </c>
      <c r="AM111" s="30">
        <v>150000</v>
      </c>
      <c r="AN111" s="30">
        <v>1842061</v>
      </c>
      <c r="AO111" s="30" t="b">
        <v>1</v>
      </c>
      <c r="AP111" s="30">
        <v>2842061</v>
      </c>
      <c r="AQ111" s="30" t="b">
        <v>1</v>
      </c>
      <c r="AR111" s="30">
        <v>0</v>
      </c>
      <c r="AS111" s="30" t="b">
        <v>0</v>
      </c>
      <c r="AT111" s="30">
        <v>0</v>
      </c>
      <c r="AU111" s="30" t="b">
        <v>0</v>
      </c>
    </row>
    <row r="112" spans="1:47" x14ac:dyDescent="0.3">
      <c r="A112" s="29">
        <v>21800101</v>
      </c>
      <c r="B112" s="50" t="s">
        <v>369</v>
      </c>
      <c r="C112" s="29">
        <v>218001</v>
      </c>
      <c r="D112" s="29">
        <v>0</v>
      </c>
      <c r="E112" s="29" t="s">
        <v>370</v>
      </c>
      <c r="F112" s="29"/>
      <c r="G112" s="29" t="s">
        <v>333</v>
      </c>
      <c r="H112" s="29" t="s">
        <v>29</v>
      </c>
      <c r="I112" s="29">
        <v>1</v>
      </c>
      <c r="J112" s="24" t="s">
        <v>237</v>
      </c>
      <c r="K112" s="17" t="b">
        <v>0</v>
      </c>
      <c r="L112" s="27" t="s">
        <v>38</v>
      </c>
      <c r="M112" s="29">
        <v>3</v>
      </c>
      <c r="N112" s="29" t="s">
        <v>72</v>
      </c>
      <c r="O112" s="29" t="s">
        <v>62</v>
      </c>
      <c r="P112" s="29">
        <v>200</v>
      </c>
      <c r="Q112" s="29">
        <f t="array" ref="Q112">_xlfn.IFS($O112="Attacker",6,$O112="Healer",3,$O112="Magician",4,$O112="Defender",3,$O112="Supporter",4)</f>
        <v>3</v>
      </c>
      <c r="R112" s="29">
        <f t="array" ref="R112">_xlfn.IFS($O112="Attacker",6,$O112="Healer",3,$O112="Magician",4,$O112="Defender",3,$O112="Supporter",4)</f>
        <v>3</v>
      </c>
      <c r="S112" s="29">
        <v>1</v>
      </c>
      <c r="T112" s="29">
        <v>0</v>
      </c>
      <c r="U112" s="29">
        <v>0</v>
      </c>
      <c r="V112" s="29" t="s">
        <v>41</v>
      </c>
      <c r="W112" s="29">
        <f t="array" ref="W112">_xlfn.IFS(O112="Attacker",80,O112="Healer",90,O112="Magician",100,O112="Defender",110,O112="Supporter",120)</f>
        <v>110</v>
      </c>
      <c r="X112" s="29" t="s">
        <v>42</v>
      </c>
      <c r="Y112" s="17">
        <v>3000</v>
      </c>
      <c r="Z112" s="29" t="s">
        <v>43</v>
      </c>
      <c r="AA112" s="29">
        <v>800</v>
      </c>
      <c r="AB112" s="29" t="s">
        <v>44</v>
      </c>
      <c r="AC112" s="29">
        <v>200</v>
      </c>
      <c r="AD112" s="29" t="s">
        <v>45</v>
      </c>
      <c r="AE112" s="29">
        <v>0</v>
      </c>
      <c r="AF112" s="29" t="s">
        <v>46</v>
      </c>
      <c r="AG112" s="29">
        <v>100</v>
      </c>
      <c r="AH112" s="29" t="s">
        <v>47</v>
      </c>
      <c r="AI112" s="29">
        <v>100</v>
      </c>
      <c r="AJ112" s="29" t="s">
        <v>48</v>
      </c>
      <c r="AK112" s="29">
        <v>5000</v>
      </c>
      <c r="AL112" s="29" t="s">
        <v>49</v>
      </c>
      <c r="AM112" s="29">
        <v>150000</v>
      </c>
      <c r="AN112" s="29">
        <v>1532071</v>
      </c>
      <c r="AO112" s="29" t="b">
        <v>1</v>
      </c>
      <c r="AP112" s="29">
        <v>2532071</v>
      </c>
      <c r="AQ112" s="29" t="b">
        <v>1</v>
      </c>
      <c r="AR112" s="29">
        <v>3532071</v>
      </c>
      <c r="AS112" s="29" t="b">
        <v>1</v>
      </c>
      <c r="AT112" s="29">
        <v>0</v>
      </c>
      <c r="AU112" s="29" t="b">
        <v>0</v>
      </c>
    </row>
    <row r="113" spans="1:47" s="11" customFormat="1" x14ac:dyDescent="0.3">
      <c r="A113" s="17">
        <v>21800102</v>
      </c>
      <c r="B113" s="17" t="s">
        <v>369</v>
      </c>
      <c r="C113" s="17">
        <v>218001</v>
      </c>
      <c r="D113" s="17">
        <v>0</v>
      </c>
      <c r="E113" s="17" t="s">
        <v>371</v>
      </c>
      <c r="F113" s="17"/>
      <c r="G113" s="17" t="s">
        <v>333</v>
      </c>
      <c r="H113" s="17" t="s">
        <v>29</v>
      </c>
      <c r="I113" s="17">
        <v>2</v>
      </c>
      <c r="J113" s="38" t="s">
        <v>237</v>
      </c>
      <c r="K113" s="17" t="b">
        <v>0</v>
      </c>
      <c r="L113" s="24" t="s">
        <v>38</v>
      </c>
      <c r="M113" s="17">
        <v>3</v>
      </c>
      <c r="N113" s="17" t="s">
        <v>72</v>
      </c>
      <c r="O113" s="17" t="s">
        <v>62</v>
      </c>
      <c r="P113" s="17">
        <v>200</v>
      </c>
      <c r="Q113" s="17">
        <f t="array" ref="Q113">_xlfn.IFS($O113="Attacker",6,$O113="Healer",3,$O113="Magician",4,$O113="Defender",3,$O113="Supporter",4)</f>
        <v>3</v>
      </c>
      <c r="R113" s="17">
        <f t="array" ref="R113">_xlfn.IFS($O113="Attacker",6,$O113="Healer",3,$O113="Magician",4,$O113="Defender",3,$O113="Supporter",4)</f>
        <v>3</v>
      </c>
      <c r="S113" s="17">
        <v>1</v>
      </c>
      <c r="T113" s="17">
        <v>0</v>
      </c>
      <c r="U113" s="17">
        <v>0</v>
      </c>
      <c r="V113" s="17" t="s">
        <v>41</v>
      </c>
      <c r="W113" s="17">
        <f t="array" ref="W113">_xlfn.IFS(O113="Attacker",80,O113="Healer",90,O113="Magician",100,O113="Defender",110,O113="Supporter",120)</f>
        <v>110</v>
      </c>
      <c r="X113" s="17" t="s">
        <v>42</v>
      </c>
      <c r="Y113" s="17">
        <v>170400</v>
      </c>
      <c r="Z113" s="17" t="s">
        <v>43</v>
      </c>
      <c r="AA113" s="17">
        <v>2100</v>
      </c>
      <c r="AB113" s="17" t="s">
        <v>44</v>
      </c>
      <c r="AC113" s="17">
        <v>2100</v>
      </c>
      <c r="AD113" s="17" t="s">
        <v>45</v>
      </c>
      <c r="AE113" s="17">
        <v>2100</v>
      </c>
      <c r="AF113" s="17" t="s">
        <v>46</v>
      </c>
      <c r="AG113" s="17">
        <v>100</v>
      </c>
      <c r="AH113" s="17" t="s">
        <v>47</v>
      </c>
      <c r="AI113" s="17">
        <v>80</v>
      </c>
      <c r="AJ113" s="17" t="s">
        <v>48</v>
      </c>
      <c r="AK113" s="17">
        <v>5000</v>
      </c>
      <c r="AL113" s="17" t="s">
        <v>49</v>
      </c>
      <c r="AM113" s="17">
        <v>150000</v>
      </c>
      <c r="AN113" s="17">
        <v>1532071</v>
      </c>
      <c r="AO113" s="17" t="b">
        <v>1</v>
      </c>
      <c r="AP113" s="17">
        <v>2532071</v>
      </c>
      <c r="AQ113" s="17" t="b">
        <v>1</v>
      </c>
      <c r="AR113" s="17">
        <v>3532071</v>
      </c>
      <c r="AS113" s="17" t="b">
        <v>1</v>
      </c>
      <c r="AT113" s="17">
        <v>0</v>
      </c>
      <c r="AU113" s="17" t="b">
        <v>0</v>
      </c>
    </row>
    <row r="114" spans="1:47" s="11" customFormat="1" x14ac:dyDescent="0.3">
      <c r="A114" s="30">
        <v>20380199</v>
      </c>
      <c r="B114" s="30" t="s">
        <v>372</v>
      </c>
      <c r="C114" s="30">
        <v>203801</v>
      </c>
      <c r="D114" s="30">
        <v>0</v>
      </c>
      <c r="E114" s="30" t="s">
        <v>373</v>
      </c>
      <c r="F114" s="30"/>
      <c r="G114" s="30" t="s">
        <v>333</v>
      </c>
      <c r="H114" s="30" t="s">
        <v>29</v>
      </c>
      <c r="I114" s="30">
        <v>99</v>
      </c>
      <c r="J114" s="38" t="s">
        <v>237</v>
      </c>
      <c r="K114" s="17" t="b">
        <v>0</v>
      </c>
      <c r="L114" s="38" t="s">
        <v>38</v>
      </c>
      <c r="M114" s="30">
        <v>2</v>
      </c>
      <c r="N114" s="30" t="s">
        <v>83</v>
      </c>
      <c r="O114" s="30" t="s">
        <v>62</v>
      </c>
      <c r="P114" s="30">
        <v>200</v>
      </c>
      <c r="Q114" s="30">
        <f t="array" ref="Q114">_xlfn.IFS($O114="Attacker",6,$O114="Healer",3,$O114="Magician",4,$O114="Defender",3,$O114="Supporter",4)</f>
        <v>3</v>
      </c>
      <c r="R114" s="30">
        <f t="array" ref="R114">_xlfn.IFS($O114="Attacker",6,$O114="Healer",3,$O114="Magician",4,$O114="Defender",3,$O114="Supporter",4)</f>
        <v>3</v>
      </c>
      <c r="S114" s="30">
        <v>1</v>
      </c>
      <c r="T114" s="30">
        <v>0</v>
      </c>
      <c r="U114" s="30">
        <v>0</v>
      </c>
      <c r="V114" s="30" t="s">
        <v>41</v>
      </c>
      <c r="W114" s="30">
        <f t="array" ref="W114">_xlfn.IFS(O114="Attacker",80,O114="Healer",90,O114="Magician",100,O114="Defender",110,O114="Supporter",120)</f>
        <v>110</v>
      </c>
      <c r="X114" s="30" t="s">
        <v>42</v>
      </c>
      <c r="Y114" s="30">
        <v>400000</v>
      </c>
      <c r="Z114" s="30" t="s">
        <v>43</v>
      </c>
      <c r="AA114" s="30">
        <v>2500</v>
      </c>
      <c r="AB114" s="30" t="s">
        <v>44</v>
      </c>
      <c r="AC114" s="30">
        <v>15000</v>
      </c>
      <c r="AD114" s="30" t="s">
        <v>45</v>
      </c>
      <c r="AE114" s="30">
        <v>15000</v>
      </c>
      <c r="AF114" s="30" t="s">
        <v>46</v>
      </c>
      <c r="AG114" s="30">
        <v>100</v>
      </c>
      <c r="AH114" s="30" t="s">
        <v>47</v>
      </c>
      <c r="AI114" s="30">
        <v>80</v>
      </c>
      <c r="AJ114" s="30" t="s">
        <v>48</v>
      </c>
      <c r="AK114" s="30">
        <v>5000</v>
      </c>
      <c r="AL114" s="30" t="s">
        <v>49</v>
      </c>
      <c r="AM114" s="30">
        <v>150000</v>
      </c>
      <c r="AN114" s="30">
        <v>1942011</v>
      </c>
      <c r="AO114" s="30" t="b">
        <v>1</v>
      </c>
      <c r="AP114" s="30">
        <v>0</v>
      </c>
      <c r="AQ114" s="30" t="b">
        <v>0</v>
      </c>
      <c r="AR114" s="30">
        <v>3942011</v>
      </c>
      <c r="AS114" s="30" t="b">
        <v>1</v>
      </c>
      <c r="AT114" s="30">
        <v>0</v>
      </c>
      <c r="AU114" s="30" t="b">
        <v>0</v>
      </c>
    </row>
    <row r="115" spans="1:47" s="31" customFormat="1" x14ac:dyDescent="0.3">
      <c r="A115" s="41">
        <v>20400199</v>
      </c>
      <c r="B115" s="17" t="s">
        <v>374</v>
      </c>
      <c r="C115" s="17">
        <v>204001</v>
      </c>
      <c r="D115" s="17">
        <v>0</v>
      </c>
      <c r="E115" s="17" t="s">
        <v>375</v>
      </c>
      <c r="F115" s="17"/>
      <c r="G115" s="17" t="s">
        <v>333</v>
      </c>
      <c r="H115" s="17" t="s">
        <v>29</v>
      </c>
      <c r="I115" s="17">
        <v>99</v>
      </c>
      <c r="J115" s="24" t="s">
        <v>237</v>
      </c>
      <c r="K115" s="17" t="b">
        <v>0</v>
      </c>
      <c r="L115" s="24" t="s">
        <v>38</v>
      </c>
      <c r="M115" s="17">
        <v>2</v>
      </c>
      <c r="N115" s="17" t="s">
        <v>61</v>
      </c>
      <c r="O115" s="17" t="s">
        <v>62</v>
      </c>
      <c r="P115" s="17">
        <v>201</v>
      </c>
      <c r="Q115" s="17">
        <f t="array" ref="Q115">_xlfn.IFS($O115="Attacker",6,$O115="Healer",3,$O115="Magician",4,$O115="Defender",3,$O115="Supporter",4)</f>
        <v>3</v>
      </c>
      <c r="R115" s="17">
        <f t="array" ref="R115">_xlfn.IFS($O115="Attacker",6,$O115="Healer",3,$O115="Magician",4,$O115="Defender",3,$O115="Supporter",4)</f>
        <v>3</v>
      </c>
      <c r="S115" s="17">
        <v>1</v>
      </c>
      <c r="T115" s="17">
        <v>0</v>
      </c>
      <c r="U115" s="17">
        <v>0</v>
      </c>
      <c r="V115" s="17" t="s">
        <v>41</v>
      </c>
      <c r="W115" s="17">
        <f t="array" ref="W115">_xlfn.IFS(O115="Attacker",80,O115="Healer",90,O115="Magician",100,O115="Defender",110,O115="Supporter",120)</f>
        <v>110</v>
      </c>
      <c r="X115" s="17" t="s">
        <v>42</v>
      </c>
      <c r="Y115" s="17">
        <v>1</v>
      </c>
      <c r="Z115" s="17" t="s">
        <v>43</v>
      </c>
      <c r="AA115" s="17">
        <v>2500</v>
      </c>
      <c r="AB115" s="17" t="s">
        <v>44</v>
      </c>
      <c r="AC115" s="17">
        <v>15000</v>
      </c>
      <c r="AD115" s="17" t="s">
        <v>45</v>
      </c>
      <c r="AE115" s="17">
        <v>15000</v>
      </c>
      <c r="AF115" s="17" t="s">
        <v>46</v>
      </c>
      <c r="AG115" s="17">
        <v>100</v>
      </c>
      <c r="AH115" s="17" t="s">
        <v>47</v>
      </c>
      <c r="AI115" s="17">
        <v>80</v>
      </c>
      <c r="AJ115" s="17" t="s">
        <v>48</v>
      </c>
      <c r="AK115" s="17">
        <v>5000</v>
      </c>
      <c r="AL115" s="17" t="s">
        <v>49</v>
      </c>
      <c r="AM115" s="17">
        <v>150000</v>
      </c>
      <c r="AN115" s="17">
        <v>1942021</v>
      </c>
      <c r="AO115" s="17" t="b">
        <v>1</v>
      </c>
      <c r="AP115" s="17">
        <v>0</v>
      </c>
      <c r="AQ115" s="17" t="b">
        <v>0</v>
      </c>
      <c r="AR115" s="17">
        <v>3942021</v>
      </c>
      <c r="AS115" s="17" t="b">
        <v>1</v>
      </c>
      <c r="AT115" s="17">
        <v>4942021</v>
      </c>
      <c r="AU115" s="17" t="b">
        <v>1</v>
      </c>
    </row>
    <row r="116" spans="1:47" x14ac:dyDescent="0.3">
      <c r="A116" s="30">
        <v>20510199</v>
      </c>
      <c r="B116" s="30" t="s">
        <v>376</v>
      </c>
      <c r="C116" s="30">
        <v>205101</v>
      </c>
      <c r="D116" s="30">
        <v>0</v>
      </c>
      <c r="E116" s="30" t="s">
        <v>377</v>
      </c>
      <c r="F116" s="30"/>
      <c r="G116" s="30" t="s">
        <v>333</v>
      </c>
      <c r="H116" s="30" t="s">
        <v>29</v>
      </c>
      <c r="I116" s="30">
        <v>99</v>
      </c>
      <c r="J116" s="38" t="s">
        <v>237</v>
      </c>
      <c r="K116" s="17" t="b">
        <v>0</v>
      </c>
      <c r="L116" s="38" t="s">
        <v>38</v>
      </c>
      <c r="M116" s="30">
        <v>2</v>
      </c>
      <c r="N116" s="30" t="s">
        <v>61</v>
      </c>
      <c r="O116" s="30" t="s">
        <v>62</v>
      </c>
      <c r="P116" s="30">
        <v>200</v>
      </c>
      <c r="Q116" s="30">
        <f t="array" ref="Q116">_xlfn.IFS($O116="Attacker",6,$O116="Healer",3,$O116="Magician",4,$O116="Defender",3,$O116="Supporter",4)</f>
        <v>3</v>
      </c>
      <c r="R116" s="30">
        <f t="array" ref="R116">_xlfn.IFS($O116="Attacker",6,$O116="Healer",3,$O116="Magician",4,$O116="Defender",3,$O116="Supporter",4)</f>
        <v>3</v>
      </c>
      <c r="S116" s="30">
        <v>1</v>
      </c>
      <c r="T116" s="30">
        <v>0</v>
      </c>
      <c r="U116" s="30">
        <v>0</v>
      </c>
      <c r="V116" s="30" t="s">
        <v>41</v>
      </c>
      <c r="W116" s="30">
        <f t="array" ref="W116">_xlfn.IFS(O116="Attacker",80,O116="Healer",90,O116="Magician",100,O116="Defender",110,O116="Supporter",120)</f>
        <v>110</v>
      </c>
      <c r="X116" s="30" t="s">
        <v>42</v>
      </c>
      <c r="Y116" s="30">
        <v>400000</v>
      </c>
      <c r="Z116" s="30" t="s">
        <v>43</v>
      </c>
      <c r="AA116" s="30">
        <v>2500</v>
      </c>
      <c r="AB116" s="30" t="s">
        <v>44</v>
      </c>
      <c r="AC116" s="30">
        <v>15000</v>
      </c>
      <c r="AD116" s="30" t="s">
        <v>45</v>
      </c>
      <c r="AE116" s="30">
        <v>15000</v>
      </c>
      <c r="AF116" s="30" t="s">
        <v>46</v>
      </c>
      <c r="AG116" s="30">
        <v>100</v>
      </c>
      <c r="AH116" s="30" t="s">
        <v>47</v>
      </c>
      <c r="AI116" s="30">
        <v>80</v>
      </c>
      <c r="AJ116" s="30" t="s">
        <v>48</v>
      </c>
      <c r="AK116" s="30">
        <v>5000</v>
      </c>
      <c r="AL116" s="30" t="s">
        <v>49</v>
      </c>
      <c r="AM116" s="30">
        <v>150000</v>
      </c>
      <c r="AN116" s="30">
        <v>1942031</v>
      </c>
      <c r="AO116" s="30" t="b">
        <v>1</v>
      </c>
      <c r="AP116" s="30">
        <v>0</v>
      </c>
      <c r="AQ116" s="30" t="b">
        <v>0</v>
      </c>
      <c r="AR116" s="30">
        <v>3942031</v>
      </c>
      <c r="AS116" s="30" t="b">
        <v>1</v>
      </c>
      <c r="AT116" s="30">
        <v>0</v>
      </c>
      <c r="AU116" s="30" t="b">
        <v>0</v>
      </c>
    </row>
    <row r="117" spans="1:47" s="31" customFormat="1" x14ac:dyDescent="0.3">
      <c r="A117" s="1">
        <v>13540102</v>
      </c>
      <c r="B117" s="1" t="s">
        <v>101</v>
      </c>
      <c r="C117" s="1">
        <v>135411</v>
      </c>
      <c r="D117" s="1">
        <v>0</v>
      </c>
      <c r="E117" s="17" t="s">
        <v>378</v>
      </c>
      <c r="F117" s="17"/>
      <c r="G117" s="17" t="s">
        <v>29</v>
      </c>
      <c r="H117" s="17" t="s">
        <v>29</v>
      </c>
      <c r="I117" s="17">
        <v>2</v>
      </c>
      <c r="J117" s="17" t="s">
        <v>37</v>
      </c>
      <c r="K117" s="17" t="b">
        <v>1</v>
      </c>
      <c r="L117" s="40" t="s">
        <v>38</v>
      </c>
      <c r="M117" s="1">
        <v>2</v>
      </c>
      <c r="N117" s="33" t="s">
        <v>61</v>
      </c>
      <c r="O117" s="1" t="s">
        <v>57</v>
      </c>
      <c r="P117" s="1">
        <v>200</v>
      </c>
      <c r="Q117" s="1">
        <f t="array" ref="Q117">_xlfn.IFS($O117="Attacker",6,$O117="Healer",3,$O117="Magician",4,$O117="Defender",3,$O117="Supporter",4)</f>
        <v>6</v>
      </c>
      <c r="R117" s="1">
        <f t="array" ref="R117">_xlfn.IFS($O117="Attacker",6,$O117="Healer",3,$O117="Magician",4,$O117="Defender",3,$O117="Supporter",4)</f>
        <v>6</v>
      </c>
      <c r="S117" s="1">
        <v>1</v>
      </c>
      <c r="T117" s="1">
        <v>0</v>
      </c>
      <c r="U117" s="1">
        <v>0</v>
      </c>
      <c r="V117" s="1" t="s">
        <v>41</v>
      </c>
      <c r="W117" s="1">
        <f t="array" ref="W117">_xlfn.IFS(O117="Attacker",80,O117="Healer",90,O117="Magician",100,O117="Defender",110,O117="Supporter",120)</f>
        <v>80</v>
      </c>
      <c r="X117" s="1" t="s">
        <v>42</v>
      </c>
      <c r="Y117" s="1">
        <v>1700</v>
      </c>
      <c r="Z117" s="1" t="s">
        <v>43</v>
      </c>
      <c r="AA117" s="1">
        <v>163</v>
      </c>
      <c r="AB117" s="1" t="s">
        <v>44</v>
      </c>
      <c r="AC117" s="1">
        <v>130</v>
      </c>
      <c r="AD117" s="1" t="s">
        <v>45</v>
      </c>
      <c r="AE117" s="1">
        <v>130</v>
      </c>
      <c r="AF117" s="1" t="s">
        <v>46</v>
      </c>
      <c r="AG117" s="1">
        <v>100</v>
      </c>
      <c r="AH117" s="1" t="s">
        <v>47</v>
      </c>
      <c r="AI117" s="1">
        <v>80</v>
      </c>
      <c r="AJ117" s="1" t="s">
        <v>48</v>
      </c>
      <c r="AK117" s="1">
        <v>5000</v>
      </c>
      <c r="AL117" s="1" t="s">
        <v>49</v>
      </c>
      <c r="AM117" s="1">
        <v>150000</v>
      </c>
      <c r="AN117" s="1">
        <v>1513011</v>
      </c>
      <c r="AO117" s="1" t="b">
        <v>1</v>
      </c>
      <c r="AP117" s="1">
        <v>2513011</v>
      </c>
      <c r="AQ117" s="1" t="b">
        <v>1</v>
      </c>
      <c r="AR117" s="1">
        <v>3513011</v>
      </c>
      <c r="AS117" s="1" t="b">
        <v>1</v>
      </c>
      <c r="AT117" s="1">
        <v>4513011</v>
      </c>
      <c r="AU117" s="1" t="b">
        <v>1</v>
      </c>
    </row>
    <row r="118" spans="1:47" s="11" customFormat="1" x14ac:dyDescent="0.3">
      <c r="A118" s="1">
        <v>12960102</v>
      </c>
      <c r="B118" s="1" t="s">
        <v>114</v>
      </c>
      <c r="C118" s="1">
        <v>129611</v>
      </c>
      <c r="D118" s="1">
        <v>0</v>
      </c>
      <c r="E118" s="17" t="s">
        <v>379</v>
      </c>
      <c r="F118" s="17"/>
      <c r="G118" s="17" t="s">
        <v>29</v>
      </c>
      <c r="H118" s="17" t="s">
        <v>29</v>
      </c>
      <c r="I118" s="17">
        <v>2</v>
      </c>
      <c r="J118" s="17" t="s">
        <v>37</v>
      </c>
      <c r="K118" s="17" t="b">
        <v>1</v>
      </c>
      <c r="L118" s="24" t="s">
        <v>38</v>
      </c>
      <c r="M118" s="1">
        <v>2</v>
      </c>
      <c r="N118" s="37" t="s">
        <v>83</v>
      </c>
      <c r="O118" s="1" t="s">
        <v>57</v>
      </c>
      <c r="P118" s="1">
        <v>200</v>
      </c>
      <c r="Q118" s="1">
        <f t="array" ref="Q118">_xlfn.IFS($O118="Attacker",6,$O118="Healer",3,$O118="Magician",4,$O118="Defender",3,$O118="Supporter",4)</f>
        <v>6</v>
      </c>
      <c r="R118" s="1">
        <f t="array" ref="R118">_xlfn.IFS($O118="Attacker",6,$O118="Healer",3,$O118="Magician",4,$O118="Defender",3,$O118="Supporter",4)</f>
        <v>6</v>
      </c>
      <c r="S118" s="1">
        <v>1</v>
      </c>
      <c r="T118" s="1">
        <v>0</v>
      </c>
      <c r="U118" s="1">
        <v>0</v>
      </c>
      <c r="V118" s="1" t="s">
        <v>41</v>
      </c>
      <c r="W118" s="1">
        <f t="array" ref="W118">_xlfn.IFS(O118="Attacker",80,O118="Healer",90,O118="Magician",100,O118="Defender",110,O118="Supporter",120)</f>
        <v>80</v>
      </c>
      <c r="X118" s="1" t="s">
        <v>42</v>
      </c>
      <c r="Y118" s="1">
        <v>3570</v>
      </c>
      <c r="Z118" s="1" t="s">
        <v>43</v>
      </c>
      <c r="AA118" s="1">
        <v>359</v>
      </c>
      <c r="AB118" s="1" t="s">
        <v>44</v>
      </c>
      <c r="AC118" s="1">
        <v>187</v>
      </c>
      <c r="AD118" s="1" t="s">
        <v>45</v>
      </c>
      <c r="AE118" s="1">
        <v>187</v>
      </c>
      <c r="AF118" s="1" t="s">
        <v>46</v>
      </c>
      <c r="AG118" s="1">
        <v>100</v>
      </c>
      <c r="AH118" s="1" t="s">
        <v>47</v>
      </c>
      <c r="AI118" s="1">
        <v>80</v>
      </c>
      <c r="AJ118" s="1" t="s">
        <v>48</v>
      </c>
      <c r="AK118" s="1">
        <v>5000</v>
      </c>
      <c r="AL118" s="1" t="s">
        <v>49</v>
      </c>
      <c r="AM118" s="1">
        <v>150000</v>
      </c>
      <c r="AN118" s="1">
        <v>1541021</v>
      </c>
      <c r="AO118" s="1" t="b">
        <v>1</v>
      </c>
      <c r="AP118" s="1">
        <v>2541021</v>
      </c>
      <c r="AQ118" s="1" t="b">
        <v>1</v>
      </c>
      <c r="AR118" s="1">
        <v>3541021</v>
      </c>
      <c r="AS118" s="1" t="b">
        <v>1</v>
      </c>
      <c r="AT118" s="1">
        <v>4541021</v>
      </c>
      <c r="AU118" s="1" t="b">
        <v>1</v>
      </c>
    </row>
    <row r="119" spans="1:47" x14ac:dyDescent="0.3">
      <c r="A119" s="1">
        <v>10030102</v>
      </c>
      <c r="B119" s="1" t="s">
        <v>102</v>
      </c>
      <c r="C119" s="1">
        <v>100311</v>
      </c>
      <c r="D119" s="1">
        <v>0</v>
      </c>
      <c r="E119" s="17" t="s">
        <v>380</v>
      </c>
      <c r="G119" s="17" t="s">
        <v>29</v>
      </c>
      <c r="H119" s="17" t="s">
        <v>29</v>
      </c>
      <c r="I119" s="17">
        <v>2</v>
      </c>
      <c r="J119" s="17" t="s">
        <v>37</v>
      </c>
      <c r="K119" s="17" t="b">
        <v>1</v>
      </c>
      <c r="L119" s="24" t="s">
        <v>38</v>
      </c>
      <c r="M119" s="1">
        <v>2</v>
      </c>
      <c r="N119" s="33" t="s">
        <v>61</v>
      </c>
      <c r="O119" s="1" t="s">
        <v>76</v>
      </c>
      <c r="P119" s="1">
        <v>200</v>
      </c>
      <c r="Q119" s="1">
        <f t="array" ref="Q119">_xlfn.IFS($O119="Attacker",6,$O119="Healer",3,$O119="Magician",4,$O119="Defender",3,$O119="Supporter",4)</f>
        <v>4</v>
      </c>
      <c r="R119" s="1">
        <f t="array" ref="R119">_xlfn.IFS($O119="Attacker",6,$O119="Healer",3,$O119="Magician",4,$O119="Defender",3,$O119="Supporter",4)</f>
        <v>4</v>
      </c>
      <c r="S119" s="1">
        <v>1</v>
      </c>
      <c r="T119" s="1">
        <v>0</v>
      </c>
      <c r="U119" s="1">
        <v>0</v>
      </c>
      <c r="V119" s="1" t="s">
        <v>41</v>
      </c>
      <c r="W119" s="1">
        <f t="array" ref="W119">_xlfn.IFS(O119="Attacker",80,O119="Healer",90,O119="Magician",100,O119="Defender",110,O119="Supporter",120)</f>
        <v>100</v>
      </c>
      <c r="X119" s="1" t="s">
        <v>42</v>
      </c>
      <c r="Y119" s="1">
        <v>1530</v>
      </c>
      <c r="Z119" s="1" t="s">
        <v>43</v>
      </c>
      <c r="AA119" s="1">
        <v>130</v>
      </c>
      <c r="AB119" s="1" t="s">
        <v>44</v>
      </c>
      <c r="AC119" s="1">
        <v>130</v>
      </c>
      <c r="AD119" s="1" t="s">
        <v>45</v>
      </c>
      <c r="AE119" s="1">
        <v>130</v>
      </c>
      <c r="AF119" s="1" t="s">
        <v>46</v>
      </c>
      <c r="AG119" s="1">
        <v>100</v>
      </c>
      <c r="AH119" s="1" t="s">
        <v>47</v>
      </c>
      <c r="AI119" s="1">
        <v>80</v>
      </c>
      <c r="AJ119" s="1" t="s">
        <v>48</v>
      </c>
      <c r="AK119" s="1">
        <v>5000</v>
      </c>
      <c r="AL119" s="1" t="s">
        <v>49</v>
      </c>
      <c r="AM119" s="1">
        <v>150000</v>
      </c>
      <c r="AN119" s="1">
        <v>1511031</v>
      </c>
      <c r="AO119" s="1" t="b">
        <v>1</v>
      </c>
      <c r="AP119" s="1">
        <v>2511031</v>
      </c>
      <c r="AQ119" s="1" t="b">
        <v>1</v>
      </c>
      <c r="AR119" s="1">
        <v>3511031</v>
      </c>
      <c r="AS119" s="1" t="b">
        <v>1</v>
      </c>
      <c r="AT119" s="1">
        <v>4511031</v>
      </c>
      <c r="AU119" s="1" t="b">
        <v>1</v>
      </c>
    </row>
    <row r="120" spans="1:47" s="31" customFormat="1" x14ac:dyDescent="0.3">
      <c r="A120" s="1">
        <v>14640102</v>
      </c>
      <c r="B120" s="1" t="s">
        <v>155</v>
      </c>
      <c r="C120" s="1">
        <v>146411</v>
      </c>
      <c r="D120" s="1">
        <v>0</v>
      </c>
      <c r="E120" s="17" t="s">
        <v>381</v>
      </c>
      <c r="F120" s="17"/>
      <c r="G120" s="17" t="s">
        <v>29</v>
      </c>
      <c r="H120" s="17" t="s">
        <v>29</v>
      </c>
      <c r="I120" s="17">
        <v>2</v>
      </c>
      <c r="J120" s="17" t="s">
        <v>37</v>
      </c>
      <c r="K120" s="17" t="b">
        <v>1</v>
      </c>
      <c r="L120" s="24" t="s">
        <v>38</v>
      </c>
      <c r="M120" s="1">
        <v>3</v>
      </c>
      <c r="N120" s="36" t="s">
        <v>91</v>
      </c>
      <c r="O120" s="1" t="s">
        <v>53</v>
      </c>
      <c r="P120" s="1">
        <v>200</v>
      </c>
      <c r="Q120" s="1">
        <f t="array" ref="Q120">_xlfn.IFS($O120="Attacker",6,$O120="Healer",3,$O120="Magician",4,$O120="Defender",3,$O120="Supporter",4)</f>
        <v>3</v>
      </c>
      <c r="R120" s="1">
        <f t="array" ref="R120">_xlfn.IFS($O120="Attacker",6,$O120="Healer",3,$O120="Magician",4,$O120="Defender",3,$O120="Supporter",4)</f>
        <v>3</v>
      </c>
      <c r="S120" s="1">
        <v>1</v>
      </c>
      <c r="T120" s="1">
        <v>0</v>
      </c>
      <c r="U120" s="1">
        <v>0</v>
      </c>
      <c r="V120" s="1" t="s">
        <v>41</v>
      </c>
      <c r="W120" s="1">
        <f t="array" ref="W120">_xlfn.IFS(O120="Attacker",80,O120="Healer",90,O120="Magician",100,O120="Defender",110,O120="Supporter",120)</f>
        <v>90</v>
      </c>
      <c r="X120" s="1" t="s">
        <v>42</v>
      </c>
      <c r="Y120" s="1">
        <v>3213</v>
      </c>
      <c r="Z120" s="1" t="s">
        <v>43</v>
      </c>
      <c r="AA120" s="1">
        <v>287</v>
      </c>
      <c r="AB120" s="1" t="s">
        <v>44</v>
      </c>
      <c r="AC120" s="1">
        <v>187</v>
      </c>
      <c r="AD120" s="1" t="s">
        <v>45</v>
      </c>
      <c r="AE120" s="1">
        <v>187</v>
      </c>
      <c r="AF120" s="1" t="s">
        <v>46</v>
      </c>
      <c r="AG120" s="1">
        <v>100</v>
      </c>
      <c r="AH120" s="1" t="s">
        <v>47</v>
      </c>
      <c r="AI120" s="1">
        <v>80</v>
      </c>
      <c r="AJ120" s="1" t="s">
        <v>48</v>
      </c>
      <c r="AK120" s="1">
        <v>5000</v>
      </c>
      <c r="AL120" s="1" t="s">
        <v>49</v>
      </c>
      <c r="AM120" s="1">
        <v>150000</v>
      </c>
      <c r="AN120" s="1">
        <v>1524041</v>
      </c>
      <c r="AO120" s="1" t="b">
        <v>1</v>
      </c>
      <c r="AP120" s="1">
        <v>2524041</v>
      </c>
      <c r="AQ120" s="1" t="b">
        <v>1</v>
      </c>
      <c r="AR120" s="1">
        <v>3524041</v>
      </c>
      <c r="AS120" s="1" t="b">
        <v>1</v>
      </c>
      <c r="AT120" s="1">
        <v>4524041</v>
      </c>
      <c r="AU120" s="1" t="b">
        <v>1</v>
      </c>
    </row>
    <row r="121" spans="1:47" x14ac:dyDescent="0.3">
      <c r="A121" s="1">
        <v>13530102</v>
      </c>
      <c r="B121" s="1" t="s">
        <v>87</v>
      </c>
      <c r="C121" s="1">
        <v>135311</v>
      </c>
      <c r="D121" s="1">
        <v>0</v>
      </c>
      <c r="E121" s="17" t="s">
        <v>382</v>
      </c>
      <c r="G121" s="17" t="s">
        <v>29</v>
      </c>
      <c r="H121" s="17" t="s">
        <v>29</v>
      </c>
      <c r="I121" s="17">
        <v>2</v>
      </c>
      <c r="J121" s="17" t="s">
        <v>37</v>
      </c>
      <c r="K121" s="17" t="b">
        <v>1</v>
      </c>
      <c r="L121" s="24" t="s">
        <v>38</v>
      </c>
      <c r="M121" s="1">
        <v>3</v>
      </c>
      <c r="N121" s="37" t="s">
        <v>83</v>
      </c>
      <c r="O121" s="1" t="s">
        <v>62</v>
      </c>
      <c r="P121" s="1">
        <v>200</v>
      </c>
      <c r="Q121" s="1">
        <f t="array" ref="Q121">_xlfn.IFS($O121="Attacker",6,$O121="Healer",3,$O121="Magician",4,$O121="Defender",3,$O121="Supporter",4)</f>
        <v>3</v>
      </c>
      <c r="R121" s="1">
        <f t="array" ref="R121">_xlfn.IFS($O121="Attacker",6,$O121="Healer",3,$O121="Magician",4,$O121="Defender",3,$O121="Supporter",4)</f>
        <v>3</v>
      </c>
      <c r="S121" s="1">
        <v>1</v>
      </c>
      <c r="T121" s="1">
        <v>0</v>
      </c>
      <c r="U121" s="1">
        <v>0</v>
      </c>
      <c r="V121" s="1" t="s">
        <v>41</v>
      </c>
      <c r="W121" s="1">
        <f t="array" ref="W121">_xlfn.IFS(O121="Attacker",80,O121="Healer",90,O121="Magician",100,O121="Defender",110,O121="Supporter",120)</f>
        <v>110</v>
      </c>
      <c r="X121" s="1" t="s">
        <v>42</v>
      </c>
      <c r="Y121" s="1">
        <v>2856</v>
      </c>
      <c r="Z121" s="1" t="s">
        <v>43</v>
      </c>
      <c r="AA121" s="1">
        <v>221</v>
      </c>
      <c r="AB121" s="1" t="s">
        <v>44</v>
      </c>
      <c r="AC121" s="1">
        <v>195</v>
      </c>
      <c r="AD121" s="1" t="s">
        <v>45</v>
      </c>
      <c r="AE121" s="1">
        <v>195</v>
      </c>
      <c r="AF121" s="1" t="s">
        <v>46</v>
      </c>
      <c r="AG121" s="1">
        <v>100</v>
      </c>
      <c r="AH121" s="1" t="s">
        <v>47</v>
      </c>
      <c r="AI121" s="1">
        <v>80</v>
      </c>
      <c r="AJ121" s="1" t="s">
        <v>48</v>
      </c>
      <c r="AK121" s="1">
        <v>5000</v>
      </c>
      <c r="AL121" s="1" t="s">
        <v>49</v>
      </c>
      <c r="AM121" s="1">
        <v>150000</v>
      </c>
      <c r="AN121" s="1">
        <v>1542051</v>
      </c>
      <c r="AO121" s="1" t="b">
        <v>1</v>
      </c>
      <c r="AP121" s="1">
        <v>2542051</v>
      </c>
      <c r="AQ121" s="1" t="b">
        <v>1</v>
      </c>
      <c r="AR121" s="1">
        <v>3542051</v>
      </c>
      <c r="AS121" s="1" t="b">
        <v>1</v>
      </c>
      <c r="AT121" s="1">
        <v>4542051</v>
      </c>
      <c r="AU121" s="1" t="b">
        <v>1</v>
      </c>
    </row>
    <row r="122" spans="1:47" s="31" customFormat="1" x14ac:dyDescent="0.3">
      <c r="A122" s="1">
        <v>12290102</v>
      </c>
      <c r="B122" s="1" t="s">
        <v>138</v>
      </c>
      <c r="C122" s="1">
        <v>122911</v>
      </c>
      <c r="D122" s="1">
        <v>0</v>
      </c>
      <c r="E122" s="17" t="s">
        <v>383</v>
      </c>
      <c r="F122" s="17"/>
      <c r="G122" s="17" t="s">
        <v>29</v>
      </c>
      <c r="H122" s="17" t="s">
        <v>29</v>
      </c>
      <c r="I122" s="17">
        <v>2</v>
      </c>
      <c r="J122" s="17" t="s">
        <v>37</v>
      </c>
      <c r="K122" s="17" t="b">
        <v>1</v>
      </c>
      <c r="L122" s="24" t="s">
        <v>38</v>
      </c>
      <c r="M122" s="1">
        <v>3</v>
      </c>
      <c r="N122" s="35" t="s">
        <v>72</v>
      </c>
      <c r="O122" s="1" t="s">
        <v>40</v>
      </c>
      <c r="P122" s="1">
        <v>200</v>
      </c>
      <c r="Q122" s="1">
        <f t="array" ref="Q122">_xlfn.IFS($O122="Attacker",6,$O122="Healer",3,$O122="Magician",4,$O122="Defender",3,$O122="Supporter",4)</f>
        <v>4</v>
      </c>
      <c r="R122" s="1">
        <f t="array" ref="R122">_xlfn.IFS($O122="Attacker",6,$O122="Healer",3,$O122="Magician",4,$O122="Defender",3,$O122="Supporter",4)</f>
        <v>4</v>
      </c>
      <c r="S122" s="1">
        <v>1</v>
      </c>
      <c r="T122" s="1">
        <v>0</v>
      </c>
      <c r="U122" s="1">
        <v>0</v>
      </c>
      <c r="V122" s="1" t="s">
        <v>41</v>
      </c>
      <c r="W122" s="1">
        <f t="array" ref="W122">_xlfn.IFS(O122="Attacker",80,O122="Healer",90,O122="Magician",100,O122="Defender",110,O122="Supporter",120)</f>
        <v>120</v>
      </c>
      <c r="X122" s="1" t="s">
        <v>42</v>
      </c>
      <c r="Y122" s="1">
        <v>1904</v>
      </c>
      <c r="Z122" s="1" t="s">
        <v>43</v>
      </c>
      <c r="AA122" s="1">
        <v>221</v>
      </c>
      <c r="AB122" s="1" t="s">
        <v>44</v>
      </c>
      <c r="AC122" s="1">
        <v>156</v>
      </c>
      <c r="AD122" s="1" t="s">
        <v>45</v>
      </c>
      <c r="AE122" s="1">
        <v>156</v>
      </c>
      <c r="AF122" s="1" t="s">
        <v>46</v>
      </c>
      <c r="AG122" s="1">
        <v>100</v>
      </c>
      <c r="AH122" s="1" t="s">
        <v>47</v>
      </c>
      <c r="AI122" s="1">
        <v>80</v>
      </c>
      <c r="AJ122" s="1" t="s">
        <v>48</v>
      </c>
      <c r="AK122" s="1">
        <v>5000</v>
      </c>
      <c r="AL122" s="1" t="s">
        <v>49</v>
      </c>
      <c r="AM122" s="1">
        <v>150000</v>
      </c>
      <c r="AN122" s="1">
        <v>1534061</v>
      </c>
      <c r="AO122" s="1" t="b">
        <v>1</v>
      </c>
      <c r="AP122" s="1">
        <v>2534061</v>
      </c>
      <c r="AQ122" s="1" t="b">
        <v>1</v>
      </c>
      <c r="AR122" s="1">
        <v>3534061</v>
      </c>
      <c r="AS122" s="1" t="b">
        <v>1</v>
      </c>
      <c r="AT122" s="1">
        <v>4534061</v>
      </c>
      <c r="AU122" s="1" t="b">
        <v>1</v>
      </c>
    </row>
    <row r="123" spans="1:47" x14ac:dyDescent="0.3">
      <c r="A123" s="1">
        <v>11800102</v>
      </c>
      <c r="B123" s="1" t="s">
        <v>104</v>
      </c>
      <c r="C123" s="1">
        <v>118011</v>
      </c>
      <c r="D123" s="1">
        <v>0</v>
      </c>
      <c r="E123" s="17" t="s">
        <v>384</v>
      </c>
      <c r="G123" s="17" t="s">
        <v>29</v>
      </c>
      <c r="H123" s="17" t="s">
        <v>29</v>
      </c>
      <c r="I123" s="17">
        <v>2</v>
      </c>
      <c r="J123" s="17" t="s">
        <v>37</v>
      </c>
      <c r="K123" s="17" t="b">
        <v>1</v>
      </c>
      <c r="L123" s="24" t="s">
        <v>38</v>
      </c>
      <c r="M123" s="1">
        <v>3</v>
      </c>
      <c r="N123" s="35" t="s">
        <v>72</v>
      </c>
      <c r="O123" s="1" t="s">
        <v>62</v>
      </c>
      <c r="P123" s="1">
        <v>200</v>
      </c>
      <c r="Q123" s="1">
        <f t="array" ref="Q123">_xlfn.IFS($O123="Attacker",6,$O123="Healer",3,$O123="Magician",4,$O123="Defender",3,$O123="Supporter",4)</f>
        <v>3</v>
      </c>
      <c r="R123" s="1">
        <f t="array" ref="R123">_xlfn.IFS($O123="Attacker",6,$O123="Healer",3,$O123="Magician",4,$O123="Defender",3,$O123="Supporter",4)</f>
        <v>3</v>
      </c>
      <c r="S123" s="1">
        <v>1</v>
      </c>
      <c r="T123" s="1">
        <v>0</v>
      </c>
      <c r="U123" s="1">
        <v>0</v>
      </c>
      <c r="V123" s="1" t="s">
        <v>41</v>
      </c>
      <c r="W123" s="1">
        <f t="array" ref="W123">_xlfn.IFS(O123="Attacker",80,O123="Healer",90,O123="Magician",100,O123="Defender",110,O123="Supporter",120)</f>
        <v>110</v>
      </c>
      <c r="X123" s="1" t="s">
        <v>42</v>
      </c>
      <c r="Y123" s="1">
        <v>2040</v>
      </c>
      <c r="Z123" s="1" t="s">
        <v>43</v>
      </c>
      <c r="AA123" s="1">
        <v>130</v>
      </c>
      <c r="AB123" s="1" t="s">
        <v>44</v>
      </c>
      <c r="AC123" s="1">
        <v>163</v>
      </c>
      <c r="AD123" s="1" t="s">
        <v>45</v>
      </c>
      <c r="AE123" s="1">
        <v>163</v>
      </c>
      <c r="AF123" s="1" t="s">
        <v>46</v>
      </c>
      <c r="AG123" s="1">
        <v>100</v>
      </c>
      <c r="AH123" s="1" t="s">
        <v>47</v>
      </c>
      <c r="AI123" s="1">
        <v>80</v>
      </c>
      <c r="AJ123" s="1" t="s">
        <v>48</v>
      </c>
      <c r="AK123" s="1">
        <v>5000</v>
      </c>
      <c r="AL123" s="1" t="s">
        <v>49</v>
      </c>
      <c r="AM123" s="1">
        <v>150000</v>
      </c>
      <c r="AN123" s="1">
        <v>1532071</v>
      </c>
      <c r="AO123" s="1" t="b">
        <v>1</v>
      </c>
      <c r="AP123" s="1">
        <v>2532071</v>
      </c>
      <c r="AQ123" s="1" t="b">
        <v>1</v>
      </c>
      <c r="AR123" s="1">
        <v>3532071</v>
      </c>
      <c r="AS123" s="1" t="b">
        <v>1</v>
      </c>
      <c r="AT123" s="1">
        <v>4532071</v>
      </c>
      <c r="AU123" s="1" t="b">
        <v>1</v>
      </c>
    </row>
    <row r="124" spans="1:47" x14ac:dyDescent="0.3">
      <c r="A124" s="1">
        <v>11830102</v>
      </c>
      <c r="B124" s="1" t="s">
        <v>115</v>
      </c>
      <c r="C124" s="1">
        <v>118311</v>
      </c>
      <c r="D124" s="1">
        <v>0</v>
      </c>
      <c r="E124" s="17" t="s">
        <v>385</v>
      </c>
      <c r="G124" s="17" t="s">
        <v>29</v>
      </c>
      <c r="H124" s="17" t="s">
        <v>29</v>
      </c>
      <c r="I124" s="17">
        <v>2</v>
      </c>
      <c r="J124" s="17" t="s">
        <v>37</v>
      </c>
      <c r="K124" s="17" t="b">
        <v>1</v>
      </c>
      <c r="L124" s="24" t="s">
        <v>38</v>
      </c>
      <c r="M124" s="1">
        <v>3</v>
      </c>
      <c r="N124" s="37" t="s">
        <v>83</v>
      </c>
      <c r="O124" s="1" t="s">
        <v>53</v>
      </c>
      <c r="P124" s="1">
        <v>200</v>
      </c>
      <c r="Q124" s="1">
        <f t="array" ref="Q124">_xlfn.IFS($O124="Attacker",6,$O124="Healer",3,$O124="Magician",4,$O124="Defender",3,$O124="Supporter",4)</f>
        <v>3</v>
      </c>
      <c r="R124" s="1">
        <f t="array" ref="R124">_xlfn.IFS($O124="Attacker",6,$O124="Healer",3,$O124="Magician",4,$O124="Defender",3,$O124="Supporter",4)</f>
        <v>3</v>
      </c>
      <c r="S124" s="1">
        <v>1</v>
      </c>
      <c r="T124" s="1">
        <v>0</v>
      </c>
      <c r="U124" s="1">
        <v>0</v>
      </c>
      <c r="V124" s="1" t="s">
        <v>41</v>
      </c>
      <c r="W124" s="1">
        <f t="array" ref="W124">_xlfn.IFS(O124="Attacker",80,O124="Healer",90,O124="Magician",100,O124="Defender",110,O124="Supporter",120)</f>
        <v>90</v>
      </c>
      <c r="X124" s="1" t="s">
        <v>42</v>
      </c>
      <c r="Y124" s="1">
        <v>2856</v>
      </c>
      <c r="Z124" s="1" t="s">
        <v>43</v>
      </c>
      <c r="AA124" s="1">
        <v>287</v>
      </c>
      <c r="AB124" s="1" t="s">
        <v>44</v>
      </c>
      <c r="AC124" s="1">
        <v>187</v>
      </c>
      <c r="AD124" s="1" t="s">
        <v>45</v>
      </c>
      <c r="AE124" s="1">
        <v>187</v>
      </c>
      <c r="AF124" s="1" t="s">
        <v>46</v>
      </c>
      <c r="AG124" s="1">
        <v>100</v>
      </c>
      <c r="AH124" s="1" t="s">
        <v>47</v>
      </c>
      <c r="AI124" s="1">
        <v>80</v>
      </c>
      <c r="AJ124" s="1" t="s">
        <v>48</v>
      </c>
      <c r="AK124" s="1">
        <v>5000</v>
      </c>
      <c r="AL124" s="1" t="s">
        <v>49</v>
      </c>
      <c r="AM124" s="1">
        <v>150000</v>
      </c>
      <c r="AN124" s="1">
        <v>1555081</v>
      </c>
      <c r="AO124" s="1" t="b">
        <v>1</v>
      </c>
      <c r="AP124" s="1">
        <v>2555081</v>
      </c>
      <c r="AQ124" s="1" t="b">
        <v>1</v>
      </c>
      <c r="AR124" s="1">
        <v>3555081</v>
      </c>
      <c r="AS124" s="1" t="b">
        <v>1</v>
      </c>
      <c r="AT124" s="1">
        <v>4555081</v>
      </c>
      <c r="AU124" s="1" t="b">
        <v>1</v>
      </c>
    </row>
    <row r="125" spans="1:47" x14ac:dyDescent="0.3">
      <c r="A125" s="1">
        <v>10510202</v>
      </c>
      <c r="B125" s="1" t="s">
        <v>125</v>
      </c>
      <c r="C125" s="1">
        <v>105111</v>
      </c>
      <c r="D125" s="1">
        <v>0</v>
      </c>
      <c r="E125" s="17" t="s">
        <v>386</v>
      </c>
      <c r="G125" s="17" t="s">
        <v>29</v>
      </c>
      <c r="H125" s="17" t="s">
        <v>29</v>
      </c>
      <c r="I125" s="17">
        <v>2</v>
      </c>
      <c r="J125" s="17" t="s">
        <v>37</v>
      </c>
      <c r="K125" s="17" t="b">
        <v>1</v>
      </c>
      <c r="L125" s="24" t="s">
        <v>38</v>
      </c>
      <c r="M125" s="1">
        <v>3</v>
      </c>
      <c r="N125" s="34" t="s">
        <v>39</v>
      </c>
      <c r="O125" s="1" t="s">
        <v>57</v>
      </c>
      <c r="P125" s="1">
        <v>200</v>
      </c>
      <c r="Q125" s="1">
        <f t="array" ref="Q125">_xlfn.IFS($O125="Attacker",6,$O125="Healer",3,$O125="Magician",4,$O125="Defender",3,$O125="Supporter",4)</f>
        <v>6</v>
      </c>
      <c r="R125" s="1">
        <f t="array" ref="R125">_xlfn.IFS($O125="Attacker",6,$O125="Healer",3,$O125="Magician",4,$O125="Defender",3,$O125="Supporter",4)</f>
        <v>6</v>
      </c>
      <c r="S125" s="1">
        <v>1</v>
      </c>
      <c r="T125" s="1">
        <v>0</v>
      </c>
      <c r="U125" s="1">
        <v>0</v>
      </c>
      <c r="V125" s="1" t="s">
        <v>41</v>
      </c>
      <c r="W125" s="1">
        <f t="array" ref="W125">_xlfn.IFS(O125="Attacker",80,O125="Healer",90,O125="Magician",100,O125="Defender",110,O125="Supporter",120)</f>
        <v>80</v>
      </c>
      <c r="X125" s="1" t="s">
        <v>42</v>
      </c>
      <c r="Y125" s="1">
        <v>4284</v>
      </c>
      <c r="Z125" s="1" t="s">
        <v>43</v>
      </c>
      <c r="AA125" s="1">
        <v>287</v>
      </c>
      <c r="AB125" s="1" t="s">
        <v>44</v>
      </c>
      <c r="AC125" s="1">
        <v>234</v>
      </c>
      <c r="AD125" s="1" t="s">
        <v>45</v>
      </c>
      <c r="AE125" s="1">
        <v>234</v>
      </c>
      <c r="AF125" s="1" t="s">
        <v>46</v>
      </c>
      <c r="AG125" s="1">
        <v>100</v>
      </c>
      <c r="AH125" s="1" t="s">
        <v>47</v>
      </c>
      <c r="AI125" s="1">
        <v>80</v>
      </c>
      <c r="AJ125" s="1" t="s">
        <v>48</v>
      </c>
      <c r="AK125" s="1">
        <v>5000</v>
      </c>
      <c r="AL125" s="1" t="s">
        <v>49</v>
      </c>
      <c r="AM125" s="1">
        <v>150000</v>
      </c>
      <c r="AN125" s="1">
        <v>1551091</v>
      </c>
      <c r="AO125" s="1" t="b">
        <v>1</v>
      </c>
      <c r="AP125" s="1">
        <v>2551091</v>
      </c>
      <c r="AQ125" s="1" t="b">
        <v>1</v>
      </c>
      <c r="AR125" s="1">
        <v>3551091</v>
      </c>
      <c r="AS125" s="1" t="b">
        <v>1</v>
      </c>
      <c r="AT125" s="1">
        <v>4551091</v>
      </c>
      <c r="AU125" s="1" t="b">
        <v>1</v>
      </c>
    </row>
    <row r="126" spans="1:47" x14ac:dyDescent="0.3">
      <c r="A126" s="1">
        <v>13640102</v>
      </c>
      <c r="B126" s="1" t="s">
        <v>147</v>
      </c>
      <c r="C126" s="1">
        <v>136411</v>
      </c>
      <c r="D126" s="1">
        <v>0</v>
      </c>
      <c r="E126" s="17" t="s">
        <v>387</v>
      </c>
      <c r="G126" s="17" t="s">
        <v>29</v>
      </c>
      <c r="H126" s="17" t="s">
        <v>29</v>
      </c>
      <c r="I126" s="17">
        <v>2</v>
      </c>
      <c r="J126" s="17" t="s">
        <v>37</v>
      </c>
      <c r="K126" s="17" t="b">
        <v>1</v>
      </c>
      <c r="L126" s="24" t="s">
        <v>38</v>
      </c>
      <c r="M126" s="1">
        <v>3</v>
      </c>
      <c r="N126" s="37" t="s">
        <v>83</v>
      </c>
      <c r="O126" s="1" t="s">
        <v>40</v>
      </c>
      <c r="P126" s="1">
        <v>200</v>
      </c>
      <c r="Q126" s="1">
        <f t="array" ref="Q126">_xlfn.IFS($O126="Attacker",6,$O126="Healer",3,$O126="Magician",4,$O126="Defender",3,$O126="Supporter",4)</f>
        <v>4</v>
      </c>
      <c r="R126" s="1">
        <f t="array" ref="R126">_xlfn.IFS($O126="Attacker",6,$O126="Healer",3,$O126="Magician",4,$O126="Defender",3,$O126="Supporter",4)</f>
        <v>4</v>
      </c>
      <c r="S126" s="1">
        <v>1</v>
      </c>
      <c r="T126" s="1">
        <v>0</v>
      </c>
      <c r="U126" s="1">
        <v>0</v>
      </c>
      <c r="V126" s="1" t="s">
        <v>41</v>
      </c>
      <c r="W126" s="1">
        <f t="array" ref="W126">_xlfn.IFS(O126="Attacker",80,O126="Healer",90,O126="Magician",100,O126="Defender",110,O126="Supporter",120)</f>
        <v>120</v>
      </c>
      <c r="X126" s="1" t="s">
        <v>42</v>
      </c>
      <c r="Y126" s="1">
        <v>3213</v>
      </c>
      <c r="Z126" s="1" t="s">
        <v>43</v>
      </c>
      <c r="AA126" s="1">
        <v>287</v>
      </c>
      <c r="AB126" s="1" t="s">
        <v>44</v>
      </c>
      <c r="AC126" s="1">
        <v>187</v>
      </c>
      <c r="AD126" s="1" t="s">
        <v>45</v>
      </c>
      <c r="AE126" s="1">
        <v>187</v>
      </c>
      <c r="AF126" s="1" t="s">
        <v>46</v>
      </c>
      <c r="AG126" s="1">
        <v>100</v>
      </c>
      <c r="AH126" s="1" t="s">
        <v>47</v>
      </c>
      <c r="AI126" s="1">
        <v>80</v>
      </c>
      <c r="AJ126" s="1" t="s">
        <v>48</v>
      </c>
      <c r="AK126" s="1">
        <v>5000</v>
      </c>
      <c r="AL126" s="1" t="s">
        <v>49</v>
      </c>
      <c r="AM126" s="1">
        <v>150000</v>
      </c>
      <c r="AN126" s="1">
        <v>1554101</v>
      </c>
      <c r="AO126" s="1" t="b">
        <v>1</v>
      </c>
      <c r="AP126" s="1">
        <v>2554101</v>
      </c>
      <c r="AQ126" s="1" t="b">
        <v>1</v>
      </c>
      <c r="AR126" s="1">
        <v>3554101</v>
      </c>
      <c r="AS126" s="1" t="b">
        <v>1</v>
      </c>
      <c r="AT126" s="1">
        <v>4554101</v>
      </c>
      <c r="AU126" s="1" t="b">
        <v>1</v>
      </c>
    </row>
    <row r="127" spans="1:47" x14ac:dyDescent="0.3">
      <c r="A127" s="1">
        <v>10020102</v>
      </c>
      <c r="B127" s="1" t="s">
        <v>116</v>
      </c>
      <c r="C127" s="1">
        <v>100211</v>
      </c>
      <c r="D127" s="1">
        <v>0</v>
      </c>
      <c r="E127" s="17" t="s">
        <v>388</v>
      </c>
      <c r="G127" s="17" t="s">
        <v>29</v>
      </c>
      <c r="H127" s="17" t="s">
        <v>29</v>
      </c>
      <c r="I127" s="17">
        <v>2</v>
      </c>
      <c r="J127" s="17" t="s">
        <v>37</v>
      </c>
      <c r="K127" s="17" t="b">
        <v>1</v>
      </c>
      <c r="L127" s="24" t="s">
        <v>38</v>
      </c>
      <c r="M127" s="1">
        <v>2</v>
      </c>
      <c r="N127" s="36" t="s">
        <v>91</v>
      </c>
      <c r="O127" s="1" t="s">
        <v>40</v>
      </c>
      <c r="P127" s="1">
        <v>200</v>
      </c>
      <c r="Q127" s="1">
        <f t="array" ref="Q127">_xlfn.IFS($O127="Attacker",6,$O127="Healer",3,$O127="Magician",4,$O127="Defender",3,$O127="Supporter",4)</f>
        <v>4</v>
      </c>
      <c r="R127" s="1">
        <f t="array" ref="R127">_xlfn.IFS($O127="Attacker",6,$O127="Healer",3,$O127="Magician",4,$O127="Defender",3,$O127="Supporter",4)</f>
        <v>4</v>
      </c>
      <c r="S127" s="1">
        <v>1</v>
      </c>
      <c r="T127" s="1">
        <v>0</v>
      </c>
      <c r="U127" s="1">
        <v>0</v>
      </c>
      <c r="V127" s="1" t="s">
        <v>41</v>
      </c>
      <c r="W127" s="1">
        <f t="array" ref="W127">_xlfn.IFS(O127="Attacker",80,O127="Healer",90,O127="Magician",100,O127="Defender",110,O127="Supporter",120)</f>
        <v>120</v>
      </c>
      <c r="X127" s="1" t="s">
        <v>42</v>
      </c>
      <c r="Y127" s="1">
        <v>1530</v>
      </c>
      <c r="Z127" s="1" t="s">
        <v>43</v>
      </c>
      <c r="AA127" s="1">
        <v>130</v>
      </c>
      <c r="AB127" s="1" t="s">
        <v>44</v>
      </c>
      <c r="AC127" s="1">
        <v>130</v>
      </c>
      <c r="AD127" s="1" t="s">
        <v>45</v>
      </c>
      <c r="AE127" s="1">
        <v>130</v>
      </c>
      <c r="AF127" s="1" t="s">
        <v>46</v>
      </c>
      <c r="AG127" s="1">
        <v>100</v>
      </c>
      <c r="AH127" s="1" t="s">
        <v>47</v>
      </c>
      <c r="AI127" s="1">
        <v>80</v>
      </c>
      <c r="AJ127" s="1" t="s">
        <v>48</v>
      </c>
      <c r="AK127" s="1">
        <v>5000</v>
      </c>
      <c r="AL127" s="1" t="s">
        <v>49</v>
      </c>
      <c r="AM127" s="1">
        <v>150000</v>
      </c>
      <c r="AN127" s="1">
        <v>1325111</v>
      </c>
      <c r="AO127" s="1" t="b">
        <v>1</v>
      </c>
      <c r="AP127" s="1">
        <v>2325111</v>
      </c>
      <c r="AQ127" s="1" t="b">
        <v>1</v>
      </c>
      <c r="AR127" s="1">
        <v>3325111</v>
      </c>
      <c r="AS127" s="1" t="b">
        <v>1</v>
      </c>
      <c r="AT127" s="1">
        <v>4325111</v>
      </c>
      <c r="AU127" s="1" t="b">
        <v>1</v>
      </c>
    </row>
    <row r="128" spans="1:47" x14ac:dyDescent="0.3">
      <c r="A128" s="1">
        <v>14170102</v>
      </c>
      <c r="B128" s="1" t="s">
        <v>131</v>
      </c>
      <c r="C128" s="1">
        <v>141711</v>
      </c>
      <c r="D128" s="1">
        <v>0</v>
      </c>
      <c r="E128" s="17" t="s">
        <v>389</v>
      </c>
      <c r="G128" s="17" t="s">
        <v>29</v>
      </c>
      <c r="H128" s="17" t="s">
        <v>29</v>
      </c>
      <c r="I128" s="17">
        <v>2</v>
      </c>
      <c r="J128" s="17" t="s">
        <v>37</v>
      </c>
      <c r="K128" s="17" t="b">
        <v>1</v>
      </c>
      <c r="L128" s="24" t="s">
        <v>38</v>
      </c>
      <c r="M128" s="1">
        <v>3</v>
      </c>
      <c r="N128" s="33" t="s">
        <v>61</v>
      </c>
      <c r="O128" s="1" t="s">
        <v>76</v>
      </c>
      <c r="P128" s="1">
        <v>200</v>
      </c>
      <c r="Q128" s="1">
        <f t="array" ref="Q128">_xlfn.IFS($O128="Attacker",6,$O128="Healer",3,$O128="Magician",4,$O128="Defender",3,$O128="Supporter",4)</f>
        <v>4</v>
      </c>
      <c r="R128" s="1">
        <f t="array" ref="R128">_xlfn.IFS($O128="Attacker",6,$O128="Healer",3,$O128="Magician",4,$O128="Defender",3,$O128="Supporter",4)</f>
        <v>4</v>
      </c>
      <c r="S128" s="1">
        <v>1</v>
      </c>
      <c r="T128" s="1">
        <v>0</v>
      </c>
      <c r="U128" s="1">
        <v>0</v>
      </c>
      <c r="V128" s="1" t="s">
        <v>41</v>
      </c>
      <c r="W128" s="1">
        <f t="array" ref="W128">_xlfn.IFS(O128="Attacker",80,O128="Healer",90,O128="Magician",100,O128="Defender",110,O128="Supporter",120)</f>
        <v>100</v>
      </c>
      <c r="X128" s="1" t="s">
        <v>42</v>
      </c>
      <c r="Y128" s="1">
        <v>3570</v>
      </c>
      <c r="Z128" s="1" t="s">
        <v>43</v>
      </c>
      <c r="AA128" s="1">
        <v>359</v>
      </c>
      <c r="AB128" s="1" t="s">
        <v>44</v>
      </c>
      <c r="AC128" s="1">
        <v>187</v>
      </c>
      <c r="AD128" s="1" t="s">
        <v>45</v>
      </c>
      <c r="AE128" s="1">
        <v>187</v>
      </c>
      <c r="AF128" s="1" t="s">
        <v>46</v>
      </c>
      <c r="AG128" s="1">
        <v>100</v>
      </c>
      <c r="AH128" s="1" t="s">
        <v>47</v>
      </c>
      <c r="AI128" s="1">
        <v>80</v>
      </c>
      <c r="AJ128" s="1" t="s">
        <v>48</v>
      </c>
      <c r="AK128" s="1">
        <v>5000</v>
      </c>
      <c r="AL128" s="1" t="s">
        <v>49</v>
      </c>
      <c r="AM128" s="1">
        <v>150000</v>
      </c>
      <c r="AN128" s="1">
        <v>1313121</v>
      </c>
      <c r="AO128" s="1" t="b">
        <v>1</v>
      </c>
      <c r="AP128" s="1">
        <v>2313121</v>
      </c>
      <c r="AQ128" s="1" t="b">
        <v>1</v>
      </c>
      <c r="AR128" s="1">
        <v>3313121</v>
      </c>
      <c r="AS128" s="1" t="b">
        <v>1</v>
      </c>
      <c r="AT128" s="1">
        <v>4313121</v>
      </c>
      <c r="AU128" s="1" t="b">
        <v>1</v>
      </c>
    </row>
    <row r="129" spans="1:47" x14ac:dyDescent="0.3">
      <c r="A129" s="1">
        <v>14320102</v>
      </c>
      <c r="B129" s="1" t="s">
        <v>123</v>
      </c>
      <c r="C129" s="1">
        <v>143211</v>
      </c>
      <c r="D129" s="1">
        <v>0</v>
      </c>
      <c r="E129" s="17" t="s">
        <v>390</v>
      </c>
      <c r="G129" s="17" t="s">
        <v>29</v>
      </c>
      <c r="H129" s="17" t="s">
        <v>29</v>
      </c>
      <c r="I129" s="17">
        <v>2</v>
      </c>
      <c r="J129" s="17" t="s">
        <v>37</v>
      </c>
      <c r="K129" s="17" t="b">
        <v>1</v>
      </c>
      <c r="L129" s="24" t="s">
        <v>38</v>
      </c>
      <c r="M129" s="1">
        <v>3</v>
      </c>
      <c r="N129" s="34" t="s">
        <v>39</v>
      </c>
      <c r="O129" s="1" t="s">
        <v>57</v>
      </c>
      <c r="P129" s="1">
        <v>200</v>
      </c>
      <c r="Q129" s="1">
        <f t="array" ref="Q129">_xlfn.IFS($O129="Attacker",6,$O129="Healer",3,$O129="Magician",4,$O129="Defender",3,$O129="Supporter",4)</f>
        <v>6</v>
      </c>
      <c r="R129" s="1">
        <f t="array" ref="R129">_xlfn.IFS($O129="Attacker",6,$O129="Healer",3,$O129="Magician",4,$O129="Defender",3,$O129="Supporter",4)</f>
        <v>6</v>
      </c>
      <c r="S129" s="1">
        <v>1</v>
      </c>
      <c r="T129" s="1">
        <v>0</v>
      </c>
      <c r="U129" s="1">
        <v>0</v>
      </c>
      <c r="V129" s="1" t="s">
        <v>41</v>
      </c>
      <c r="W129" s="1">
        <f t="array" ref="W129">_xlfn.IFS(O129="Attacker",80,O129="Healer",90,O129="Magician",100,O129="Defender",110,O129="Supporter",120)</f>
        <v>80</v>
      </c>
      <c r="X129" s="1" t="s">
        <v>42</v>
      </c>
      <c r="Y129" s="1">
        <v>2380</v>
      </c>
      <c r="Z129" s="1" t="s">
        <v>43</v>
      </c>
      <c r="AA129" s="1">
        <v>276</v>
      </c>
      <c r="AB129" s="1" t="s">
        <v>44</v>
      </c>
      <c r="AC129" s="1">
        <v>156</v>
      </c>
      <c r="AD129" s="1" t="s">
        <v>45</v>
      </c>
      <c r="AE129" s="1">
        <v>156</v>
      </c>
      <c r="AF129" s="1" t="s">
        <v>46</v>
      </c>
      <c r="AG129" s="1">
        <v>100</v>
      </c>
      <c r="AH129" s="1" t="s">
        <v>47</v>
      </c>
      <c r="AI129" s="1">
        <v>80</v>
      </c>
      <c r="AJ129" s="1" t="s">
        <v>48</v>
      </c>
      <c r="AK129" s="1">
        <v>5000</v>
      </c>
      <c r="AL129" s="1" t="s">
        <v>49</v>
      </c>
      <c r="AM129" s="1">
        <v>150000</v>
      </c>
      <c r="AN129" s="1">
        <v>1351161</v>
      </c>
      <c r="AO129" s="1" t="b">
        <v>1</v>
      </c>
      <c r="AP129" s="1">
        <v>2351161</v>
      </c>
      <c r="AQ129" s="1" t="b">
        <v>1</v>
      </c>
      <c r="AR129" s="1">
        <v>3351161</v>
      </c>
      <c r="AS129" s="1" t="b">
        <v>1</v>
      </c>
      <c r="AT129" s="1">
        <v>4351161</v>
      </c>
      <c r="AU129" s="1" t="b">
        <v>1</v>
      </c>
    </row>
    <row r="130" spans="1:47" x14ac:dyDescent="0.3">
      <c r="A130" s="1">
        <v>14860102</v>
      </c>
      <c r="B130" s="1" t="s">
        <v>126</v>
      </c>
      <c r="C130" s="1">
        <v>148611</v>
      </c>
      <c r="D130" s="1">
        <v>0</v>
      </c>
      <c r="E130" s="17" t="s">
        <v>391</v>
      </c>
      <c r="G130" s="17" t="s">
        <v>29</v>
      </c>
      <c r="H130" s="17" t="s">
        <v>29</v>
      </c>
      <c r="I130" s="17">
        <v>2</v>
      </c>
      <c r="J130" s="17" t="s">
        <v>37</v>
      </c>
      <c r="K130" s="17" t="b">
        <v>1</v>
      </c>
      <c r="L130" s="24" t="s">
        <v>38</v>
      </c>
      <c r="M130" s="1">
        <v>3</v>
      </c>
      <c r="N130" s="34" t="s">
        <v>39</v>
      </c>
      <c r="O130" s="1" t="s">
        <v>57</v>
      </c>
      <c r="P130" s="1">
        <v>200</v>
      </c>
      <c r="Q130" s="1">
        <f t="array" ref="Q130">_xlfn.IFS($O130="Attacker",6,$O130="Healer",3,$O130="Magician",4,$O130="Defender",3,$O130="Supporter",4)</f>
        <v>6</v>
      </c>
      <c r="R130" s="1">
        <f t="array" ref="R130">_xlfn.IFS($O130="Attacker",6,$O130="Healer",3,$O130="Magician",4,$O130="Defender",3,$O130="Supporter",4)</f>
        <v>6</v>
      </c>
      <c r="S130" s="1">
        <v>1</v>
      </c>
      <c r="T130" s="1">
        <v>0</v>
      </c>
      <c r="U130" s="1">
        <v>0</v>
      </c>
      <c r="V130" s="1" t="s">
        <v>41</v>
      </c>
      <c r="W130" s="1">
        <f t="array" ref="W130">_xlfn.IFS(O130="Attacker",80,O130="Healer",90,O130="Magician",100,O130="Defender",110,O130="Supporter",120)</f>
        <v>80</v>
      </c>
      <c r="X130" s="1" t="s">
        <v>42</v>
      </c>
      <c r="Y130" s="1">
        <v>3570</v>
      </c>
      <c r="Z130" s="1" t="s">
        <v>43</v>
      </c>
      <c r="AA130" s="1">
        <v>359</v>
      </c>
      <c r="AB130" s="1" t="s">
        <v>44</v>
      </c>
      <c r="AC130" s="1">
        <v>187</v>
      </c>
      <c r="AD130" s="1" t="s">
        <v>45</v>
      </c>
      <c r="AE130" s="1">
        <v>187</v>
      </c>
      <c r="AF130" s="1" t="s">
        <v>46</v>
      </c>
      <c r="AG130" s="1">
        <v>100</v>
      </c>
      <c r="AH130" s="1" t="s">
        <v>47</v>
      </c>
      <c r="AI130" s="1">
        <v>80</v>
      </c>
      <c r="AJ130" s="1" t="s">
        <v>48</v>
      </c>
      <c r="AK130" s="1">
        <v>5000</v>
      </c>
      <c r="AL130" s="1" t="s">
        <v>49</v>
      </c>
      <c r="AM130" s="1">
        <v>150000</v>
      </c>
      <c r="AN130" s="1">
        <v>1353141</v>
      </c>
      <c r="AO130" s="1" t="b">
        <v>1</v>
      </c>
      <c r="AP130" s="1">
        <v>2353141</v>
      </c>
      <c r="AQ130" s="1" t="b">
        <v>1</v>
      </c>
      <c r="AR130" s="1">
        <v>3353141</v>
      </c>
      <c r="AS130" s="1" t="b">
        <v>1</v>
      </c>
      <c r="AT130" s="1">
        <v>4353141</v>
      </c>
      <c r="AU130" s="1" t="b">
        <v>1</v>
      </c>
    </row>
    <row r="131" spans="1:47" x14ac:dyDescent="0.3">
      <c r="A131" s="1">
        <v>12940102</v>
      </c>
      <c r="B131" s="1" t="s">
        <v>124</v>
      </c>
      <c r="C131" s="1">
        <v>129411</v>
      </c>
      <c r="D131" s="1">
        <v>0</v>
      </c>
      <c r="E131" s="17" t="s">
        <v>392</v>
      </c>
      <c r="G131" s="17" t="s">
        <v>29</v>
      </c>
      <c r="H131" s="17" t="s">
        <v>29</v>
      </c>
      <c r="I131" s="17">
        <v>2</v>
      </c>
      <c r="J131" s="17" t="s">
        <v>37</v>
      </c>
      <c r="K131" s="17" t="b">
        <v>1</v>
      </c>
      <c r="L131" s="24" t="s">
        <v>38</v>
      </c>
      <c r="M131" s="1">
        <v>3</v>
      </c>
      <c r="N131" s="35" t="s">
        <v>72</v>
      </c>
      <c r="O131" s="1" t="s">
        <v>76</v>
      </c>
      <c r="P131" s="1">
        <v>200</v>
      </c>
      <c r="Q131" s="1">
        <f t="array" ref="Q131">_xlfn.IFS($O131="Attacker",6,$O131="Healer",3,$O131="Magician",4,$O131="Defender",3,$O131="Supporter",4)</f>
        <v>4</v>
      </c>
      <c r="R131" s="1">
        <f t="array" ref="R131">_xlfn.IFS($O131="Attacker",6,$O131="Healer",3,$O131="Magician",4,$O131="Defender",3,$O131="Supporter",4)</f>
        <v>4</v>
      </c>
      <c r="S131" s="1">
        <v>1</v>
      </c>
      <c r="T131" s="1">
        <v>0</v>
      </c>
      <c r="U131" s="1">
        <v>0</v>
      </c>
      <c r="V131" s="1" t="s">
        <v>41</v>
      </c>
      <c r="W131" s="1">
        <f t="array" ref="W131">_xlfn.IFS(O131="Attacker",80,O131="Healer",90,O131="Magician",100,O131="Defender",110,O131="Supporter",120)</f>
        <v>100</v>
      </c>
      <c r="X131" s="1" t="s">
        <v>42</v>
      </c>
      <c r="Y131" s="1">
        <v>2142</v>
      </c>
      <c r="Z131" s="1" t="s">
        <v>43</v>
      </c>
      <c r="AA131" s="1">
        <v>221</v>
      </c>
      <c r="AB131" s="1" t="s">
        <v>44</v>
      </c>
      <c r="AC131" s="1">
        <v>156</v>
      </c>
      <c r="AD131" s="1" t="s">
        <v>45</v>
      </c>
      <c r="AE131" s="1">
        <v>156</v>
      </c>
      <c r="AF131" s="1" t="s">
        <v>46</v>
      </c>
      <c r="AG131" s="1">
        <v>100</v>
      </c>
      <c r="AH131" s="1" t="s">
        <v>47</v>
      </c>
      <c r="AI131" s="1">
        <v>80</v>
      </c>
      <c r="AJ131" s="1" t="s">
        <v>48</v>
      </c>
      <c r="AK131" s="1">
        <v>5000</v>
      </c>
      <c r="AL131" s="1" t="s">
        <v>49</v>
      </c>
      <c r="AM131" s="1">
        <v>150000</v>
      </c>
      <c r="AN131" s="1">
        <v>1333131</v>
      </c>
      <c r="AO131" s="1" t="b">
        <v>1</v>
      </c>
      <c r="AP131" s="1">
        <v>2333131</v>
      </c>
      <c r="AQ131" s="1" t="b">
        <v>1</v>
      </c>
      <c r="AR131" s="1">
        <v>3333131</v>
      </c>
      <c r="AS131" s="1" t="b">
        <v>1</v>
      </c>
      <c r="AT131" s="1">
        <v>4333131</v>
      </c>
      <c r="AU131" s="1" t="b">
        <v>1</v>
      </c>
    </row>
    <row r="132" spans="1:47" x14ac:dyDescent="0.3">
      <c r="A132" s="1">
        <v>15010102</v>
      </c>
      <c r="B132" s="1" t="s">
        <v>132</v>
      </c>
      <c r="C132" s="1">
        <v>150111</v>
      </c>
      <c r="D132" s="1">
        <v>0</v>
      </c>
      <c r="E132" s="17" t="s">
        <v>393</v>
      </c>
      <c r="G132" s="17" t="s">
        <v>29</v>
      </c>
      <c r="H132" s="17" t="s">
        <v>29</v>
      </c>
      <c r="I132" s="17">
        <v>2</v>
      </c>
      <c r="J132" s="17" t="s">
        <v>37</v>
      </c>
      <c r="K132" s="17" t="b">
        <v>1</v>
      </c>
      <c r="L132" s="24" t="s">
        <v>38</v>
      </c>
      <c r="M132" s="1">
        <v>3</v>
      </c>
      <c r="N132" s="33" t="s">
        <v>61</v>
      </c>
      <c r="O132" s="1" t="s">
        <v>57</v>
      </c>
      <c r="P132" s="1">
        <v>200</v>
      </c>
      <c r="Q132" s="1">
        <f t="array" ref="Q132">_xlfn.IFS($O132="Attacker",6,$O132="Healer",3,$O132="Magician",4,$O132="Defender",3,$O132="Supporter",4)</f>
        <v>6</v>
      </c>
      <c r="R132" s="1">
        <f t="array" ref="R132">_xlfn.IFS($O132="Attacker",6,$O132="Healer",3,$O132="Magician",4,$O132="Defender",3,$O132="Supporter",4)</f>
        <v>6</v>
      </c>
      <c r="S132" s="1">
        <v>1</v>
      </c>
      <c r="T132" s="1">
        <v>0</v>
      </c>
      <c r="U132" s="1">
        <v>0</v>
      </c>
      <c r="V132" s="1" t="s">
        <v>41</v>
      </c>
      <c r="W132" s="1">
        <f t="array" ref="W132">_xlfn.IFS(O132="Attacker",80,O132="Healer",90,O132="Magician",100,O132="Defender",110,O132="Supporter",120)</f>
        <v>80</v>
      </c>
      <c r="X132" s="1" t="s">
        <v>42</v>
      </c>
      <c r="Y132" s="1">
        <v>4284</v>
      </c>
      <c r="Z132" s="1" t="s">
        <v>43</v>
      </c>
      <c r="AA132" s="1">
        <v>287</v>
      </c>
      <c r="AB132" s="1" t="s">
        <v>44</v>
      </c>
      <c r="AC132" s="1">
        <v>234</v>
      </c>
      <c r="AD132" s="1" t="s">
        <v>45</v>
      </c>
      <c r="AE132" s="1">
        <v>234</v>
      </c>
      <c r="AF132" s="1" t="s">
        <v>46</v>
      </c>
      <c r="AG132" s="1">
        <v>100</v>
      </c>
      <c r="AH132" s="1" t="s">
        <v>47</v>
      </c>
      <c r="AI132" s="1">
        <v>80</v>
      </c>
      <c r="AJ132" s="1" t="s">
        <v>48</v>
      </c>
      <c r="AK132" s="1">
        <v>5000</v>
      </c>
      <c r="AL132" s="1" t="s">
        <v>49</v>
      </c>
      <c r="AM132" s="1">
        <v>150000</v>
      </c>
      <c r="AN132" s="1">
        <v>1311151</v>
      </c>
      <c r="AO132" s="1" t="b">
        <v>1</v>
      </c>
      <c r="AP132" s="1">
        <v>2311151</v>
      </c>
      <c r="AQ132" s="1" t="b">
        <v>1</v>
      </c>
      <c r="AR132" s="1">
        <v>3311151</v>
      </c>
      <c r="AS132" s="1" t="b">
        <v>1</v>
      </c>
      <c r="AT132" s="1">
        <v>4311151</v>
      </c>
      <c r="AU132" s="1" t="b">
        <v>1</v>
      </c>
    </row>
    <row r="133" spans="1:47" x14ac:dyDescent="0.3">
      <c r="A133" s="1">
        <v>10010102</v>
      </c>
      <c r="B133" s="1" t="s">
        <v>98</v>
      </c>
      <c r="C133" s="1">
        <v>100111</v>
      </c>
      <c r="D133" s="1">
        <v>0</v>
      </c>
      <c r="E133" s="17" t="s">
        <v>394</v>
      </c>
      <c r="G133" s="17" t="s">
        <v>29</v>
      </c>
      <c r="H133" s="17" t="s">
        <v>29</v>
      </c>
      <c r="I133" s="17">
        <v>2</v>
      </c>
      <c r="J133" s="17" t="s">
        <v>37</v>
      </c>
      <c r="K133" s="17" t="b">
        <v>1</v>
      </c>
      <c r="L133" s="24" t="s">
        <v>38</v>
      </c>
      <c r="M133" s="1">
        <v>2</v>
      </c>
      <c r="N133" s="34" t="s">
        <v>39</v>
      </c>
      <c r="O133" s="1" t="s">
        <v>62</v>
      </c>
      <c r="P133" s="1">
        <v>200</v>
      </c>
      <c r="Q133" s="1">
        <f t="array" ref="Q133">_xlfn.IFS($O133="Attacker",6,$O133="Healer",3,$O133="Magician",4,$O133="Defender",3,$O133="Supporter",4)</f>
        <v>3</v>
      </c>
      <c r="R133" s="1">
        <f t="array" ref="R133">_xlfn.IFS($O133="Attacker",6,$O133="Healer",3,$O133="Magician",4,$O133="Defender",3,$O133="Supporter",4)</f>
        <v>3</v>
      </c>
      <c r="S133" s="1">
        <v>1</v>
      </c>
      <c r="T133" s="1">
        <v>0</v>
      </c>
      <c r="U133" s="1">
        <v>0</v>
      </c>
      <c r="V133" s="1" t="s">
        <v>41</v>
      </c>
      <c r="W133" s="1">
        <f t="array" ref="W133">_xlfn.IFS(O133="Attacker",80,O133="Healer",90,O133="Magician",100,O133="Defender",110,O133="Supporter",120)</f>
        <v>110</v>
      </c>
      <c r="X133" s="1" t="s">
        <v>42</v>
      </c>
      <c r="Y133" s="1">
        <v>2040</v>
      </c>
      <c r="Z133" s="1" t="s">
        <v>43</v>
      </c>
      <c r="AA133" s="1">
        <v>130</v>
      </c>
      <c r="AB133" s="1" t="s">
        <v>44</v>
      </c>
      <c r="AC133" s="1">
        <v>163</v>
      </c>
      <c r="AD133" s="1" t="s">
        <v>45</v>
      </c>
      <c r="AE133" s="1">
        <v>163</v>
      </c>
      <c r="AF133" s="1" t="s">
        <v>46</v>
      </c>
      <c r="AG133" s="1">
        <v>100</v>
      </c>
      <c r="AH133" s="1" t="s">
        <v>47</v>
      </c>
      <c r="AI133" s="1">
        <v>80</v>
      </c>
      <c r="AJ133" s="1" t="s">
        <v>48</v>
      </c>
      <c r="AK133" s="1">
        <v>5000</v>
      </c>
      <c r="AL133" s="1" t="s">
        <v>49</v>
      </c>
      <c r="AM133" s="1">
        <v>150000</v>
      </c>
      <c r="AN133" s="1">
        <v>1552111</v>
      </c>
      <c r="AO133" s="1" t="b">
        <v>1</v>
      </c>
      <c r="AP133" s="1">
        <v>2552111</v>
      </c>
      <c r="AQ133" s="1" t="b">
        <v>1</v>
      </c>
      <c r="AR133" s="1">
        <v>3552111</v>
      </c>
      <c r="AS133" s="1" t="b">
        <v>1</v>
      </c>
      <c r="AT133" s="1">
        <v>4552111</v>
      </c>
      <c r="AU133" s="1" t="b">
        <v>1</v>
      </c>
    </row>
    <row r="134" spans="1:47" x14ac:dyDescent="0.3">
      <c r="A134" s="1">
        <v>15020102</v>
      </c>
      <c r="B134" s="1" t="s">
        <v>153</v>
      </c>
      <c r="C134" s="1">
        <v>150211</v>
      </c>
      <c r="D134" s="1">
        <v>0</v>
      </c>
      <c r="E134" s="17" t="s">
        <v>395</v>
      </c>
      <c r="G134" s="17" t="s">
        <v>29</v>
      </c>
      <c r="H134" s="17" t="s">
        <v>29</v>
      </c>
      <c r="I134" s="17">
        <v>2</v>
      </c>
      <c r="J134" s="17" t="s">
        <v>37</v>
      </c>
      <c r="K134" s="17" t="b">
        <v>1</v>
      </c>
      <c r="L134" s="24" t="s">
        <v>38</v>
      </c>
      <c r="M134" s="1">
        <v>3</v>
      </c>
      <c r="N134" s="36" t="s">
        <v>91</v>
      </c>
      <c r="O134" s="1" t="s">
        <v>57</v>
      </c>
      <c r="P134" s="1">
        <v>200</v>
      </c>
      <c r="Q134" s="1">
        <f t="array" ref="Q134">_xlfn.IFS($O134="Attacker",6,$O134="Healer",3,$O134="Magician",4,$O134="Defender",3,$O134="Supporter",4)</f>
        <v>6</v>
      </c>
      <c r="R134" s="1">
        <f t="array" ref="R134">_xlfn.IFS($O134="Attacker",6,$O134="Healer",3,$O134="Magician",4,$O134="Defender",3,$O134="Supporter",4)</f>
        <v>6</v>
      </c>
      <c r="S134" s="1">
        <v>1</v>
      </c>
      <c r="T134" s="1">
        <v>0</v>
      </c>
      <c r="U134" s="1">
        <v>0</v>
      </c>
      <c r="V134" s="1" t="s">
        <v>41</v>
      </c>
      <c r="W134" s="1">
        <f t="array" ref="W134">_xlfn.IFS(O134="Attacker",80,O134="Healer",90,O134="Magician",100,O134="Defender",110,O134="Supporter",120)</f>
        <v>80</v>
      </c>
      <c r="X134" s="1" t="s">
        <v>42</v>
      </c>
      <c r="Y134" s="1">
        <v>2380</v>
      </c>
      <c r="Z134" s="1" t="s">
        <v>43</v>
      </c>
      <c r="AA134" s="1">
        <v>276</v>
      </c>
      <c r="AB134" s="1" t="s">
        <v>44</v>
      </c>
      <c r="AC134" s="1">
        <v>156</v>
      </c>
      <c r="AD134" s="1" t="s">
        <v>45</v>
      </c>
      <c r="AE134" s="1">
        <v>156</v>
      </c>
      <c r="AF134" s="1" t="s">
        <v>46</v>
      </c>
      <c r="AG134" s="1">
        <v>100</v>
      </c>
      <c r="AH134" s="1" t="s">
        <v>47</v>
      </c>
      <c r="AI134" s="1">
        <v>80</v>
      </c>
      <c r="AJ134" s="1" t="s">
        <v>48</v>
      </c>
      <c r="AK134" s="1">
        <v>5000</v>
      </c>
      <c r="AL134" s="1" t="s">
        <v>49</v>
      </c>
      <c r="AM134" s="1">
        <v>150000</v>
      </c>
      <c r="AN134" s="1">
        <v>1321171</v>
      </c>
      <c r="AO134" s="1" t="b">
        <v>1</v>
      </c>
      <c r="AP134" s="1">
        <v>2321171</v>
      </c>
      <c r="AQ134" s="1" t="b">
        <v>1</v>
      </c>
      <c r="AR134" s="1">
        <v>3321171</v>
      </c>
      <c r="AS134" s="1" t="b">
        <v>1</v>
      </c>
      <c r="AT134" s="1">
        <v>4321171</v>
      </c>
      <c r="AU134" s="1" t="b">
        <v>1</v>
      </c>
    </row>
    <row r="135" spans="1:47" x14ac:dyDescent="0.3">
      <c r="A135" s="1">
        <v>14120102</v>
      </c>
      <c r="B135" s="1" t="s">
        <v>103</v>
      </c>
      <c r="C135" s="1">
        <v>141211</v>
      </c>
      <c r="D135" s="1">
        <v>0</v>
      </c>
      <c r="E135" s="17" t="s">
        <v>396</v>
      </c>
      <c r="G135" s="17" t="s">
        <v>29</v>
      </c>
      <c r="H135" s="17" t="s">
        <v>29</v>
      </c>
      <c r="I135" s="17">
        <v>2</v>
      </c>
      <c r="J135" s="17" t="s">
        <v>37</v>
      </c>
      <c r="K135" s="17" t="b">
        <v>1</v>
      </c>
      <c r="L135" s="24" t="s">
        <v>38</v>
      </c>
      <c r="M135" s="1">
        <v>3</v>
      </c>
      <c r="N135" s="33" t="s">
        <v>61</v>
      </c>
      <c r="O135" s="1" t="s">
        <v>57</v>
      </c>
      <c r="P135" s="1">
        <v>200</v>
      </c>
      <c r="Q135" s="1">
        <f t="array" ref="Q135">_xlfn.IFS($O135="Attacker",6,$O135="Healer",3,$O135="Magician",4,$O135="Defender",3,$O135="Supporter",4)</f>
        <v>6</v>
      </c>
      <c r="R135" s="1">
        <f t="array" ref="R135">_xlfn.IFS($O135="Attacker",6,$O135="Healer",3,$O135="Magician",4,$O135="Defender",3,$O135="Supporter",4)</f>
        <v>6</v>
      </c>
      <c r="S135" s="1">
        <v>1</v>
      </c>
      <c r="T135" s="1">
        <v>0</v>
      </c>
      <c r="U135" s="1">
        <v>0</v>
      </c>
      <c r="V135" s="1" t="s">
        <v>41</v>
      </c>
      <c r="W135" s="1">
        <f t="array" ref="W135">_xlfn.IFS(O135="Attacker",80,O135="Healer",90,O135="Magician",100,O135="Defender",110,O135="Supporter",120)</f>
        <v>80</v>
      </c>
      <c r="X135" s="1" t="s">
        <v>42</v>
      </c>
      <c r="Y135" s="1">
        <v>1700</v>
      </c>
      <c r="Z135" s="1" t="s">
        <v>43</v>
      </c>
      <c r="AA135" s="1">
        <v>163</v>
      </c>
      <c r="AB135" s="1" t="s">
        <v>44</v>
      </c>
      <c r="AC135" s="1">
        <v>130</v>
      </c>
      <c r="AD135" s="1" t="s">
        <v>45</v>
      </c>
      <c r="AE135" s="1">
        <v>130</v>
      </c>
      <c r="AF135" s="1" t="s">
        <v>46</v>
      </c>
      <c r="AG135" s="1">
        <v>100</v>
      </c>
      <c r="AH135" s="1" t="s">
        <v>47</v>
      </c>
      <c r="AI135" s="1">
        <v>80</v>
      </c>
      <c r="AJ135" s="1" t="s">
        <v>48</v>
      </c>
      <c r="AK135" s="1">
        <v>5000</v>
      </c>
      <c r="AL135" s="1" t="s">
        <v>49</v>
      </c>
      <c r="AM135" s="1">
        <v>150000</v>
      </c>
      <c r="AN135" s="1">
        <v>1311181</v>
      </c>
      <c r="AO135" s="1" t="b">
        <v>1</v>
      </c>
      <c r="AP135" s="1">
        <v>2311181</v>
      </c>
      <c r="AQ135" s="1" t="b">
        <v>1</v>
      </c>
      <c r="AR135" s="1">
        <v>3311181</v>
      </c>
      <c r="AS135" s="1" t="b">
        <v>1</v>
      </c>
      <c r="AT135" s="1">
        <v>4311181</v>
      </c>
      <c r="AU135" s="1" t="b">
        <v>1</v>
      </c>
    </row>
    <row r="136" spans="1:47" x14ac:dyDescent="0.3">
      <c r="A136" s="1">
        <v>11560102</v>
      </c>
      <c r="B136" s="1" t="s">
        <v>100</v>
      </c>
      <c r="C136" s="1">
        <v>115611</v>
      </c>
      <c r="D136" s="1">
        <v>0</v>
      </c>
      <c r="E136" s="17" t="s">
        <v>397</v>
      </c>
      <c r="G136" s="17" t="s">
        <v>29</v>
      </c>
      <c r="H136" s="17" t="s">
        <v>29</v>
      </c>
      <c r="I136" s="17">
        <v>2</v>
      </c>
      <c r="J136" s="17" t="s">
        <v>37</v>
      </c>
      <c r="K136" s="17" t="b">
        <v>1</v>
      </c>
      <c r="L136" s="24" t="s">
        <v>38</v>
      </c>
      <c r="M136" s="1">
        <v>3</v>
      </c>
      <c r="N136" s="34" t="s">
        <v>39</v>
      </c>
      <c r="O136" s="1" t="s">
        <v>57</v>
      </c>
      <c r="P136" s="1">
        <v>200</v>
      </c>
      <c r="Q136" s="1">
        <f t="array" ref="Q136">_xlfn.IFS($O136="Attacker",6,$O136="Healer",3,$O136="Magician",4,$O136="Defender",3,$O136="Supporter",4)</f>
        <v>6</v>
      </c>
      <c r="R136" s="1">
        <f t="array" ref="R136">_xlfn.IFS($O136="Attacker",6,$O136="Healer",3,$O136="Magician",4,$O136="Defender",3,$O136="Supporter",4)</f>
        <v>6</v>
      </c>
      <c r="S136" s="1">
        <v>1</v>
      </c>
      <c r="T136" s="1">
        <v>0</v>
      </c>
      <c r="U136" s="1">
        <v>0</v>
      </c>
      <c r="V136" s="1" t="s">
        <v>41</v>
      </c>
      <c r="W136" s="1">
        <f t="array" ref="W136">_xlfn.IFS(O136="Attacker",80,O136="Healer",90,O136="Magician",100,O136="Defender",110,O136="Supporter",120)</f>
        <v>80</v>
      </c>
      <c r="X136" s="1" t="s">
        <v>42</v>
      </c>
      <c r="Y136" s="1">
        <v>3570</v>
      </c>
      <c r="Z136" s="1" t="s">
        <v>43</v>
      </c>
      <c r="AA136" s="1">
        <v>359</v>
      </c>
      <c r="AB136" s="1" t="s">
        <v>44</v>
      </c>
      <c r="AC136" s="1">
        <v>187</v>
      </c>
      <c r="AD136" s="1" t="s">
        <v>45</v>
      </c>
      <c r="AE136" s="1">
        <v>187</v>
      </c>
      <c r="AF136" s="1" t="s">
        <v>46</v>
      </c>
      <c r="AG136" s="1">
        <v>100</v>
      </c>
      <c r="AH136" s="1" t="s">
        <v>47</v>
      </c>
      <c r="AI136" s="1">
        <v>80</v>
      </c>
      <c r="AJ136" s="1" t="s">
        <v>48</v>
      </c>
      <c r="AK136" s="1">
        <v>5000</v>
      </c>
      <c r="AL136" s="1" t="s">
        <v>49</v>
      </c>
      <c r="AM136" s="1">
        <v>150000</v>
      </c>
      <c r="AN136" s="1">
        <v>1351191</v>
      </c>
      <c r="AO136" s="1" t="b">
        <v>1</v>
      </c>
      <c r="AP136" s="1">
        <v>2351191</v>
      </c>
      <c r="AQ136" s="1" t="b">
        <v>1</v>
      </c>
      <c r="AR136" s="1">
        <v>3351191</v>
      </c>
      <c r="AS136" s="1" t="b">
        <v>1</v>
      </c>
      <c r="AT136" s="1">
        <v>4351191</v>
      </c>
      <c r="AU136" s="1" t="b">
        <v>1</v>
      </c>
    </row>
    <row r="137" spans="1:47" x14ac:dyDescent="0.3">
      <c r="A137" s="1">
        <v>13180102</v>
      </c>
      <c r="B137" s="1" t="s">
        <v>156</v>
      </c>
      <c r="C137" s="1">
        <v>131811</v>
      </c>
      <c r="D137" s="1">
        <v>0</v>
      </c>
      <c r="E137" s="17" t="s">
        <v>398</v>
      </c>
      <c r="G137" s="17" t="s">
        <v>29</v>
      </c>
      <c r="H137" s="17" t="s">
        <v>29</v>
      </c>
      <c r="I137" s="17">
        <v>2</v>
      </c>
      <c r="J137" s="17" t="s">
        <v>37</v>
      </c>
      <c r="K137" s="17" t="b">
        <v>1</v>
      </c>
      <c r="L137" s="24" t="s">
        <v>38</v>
      </c>
      <c r="M137" s="1">
        <v>3</v>
      </c>
      <c r="N137" s="36" t="s">
        <v>91</v>
      </c>
      <c r="O137" s="1" t="s">
        <v>57</v>
      </c>
      <c r="P137" s="1">
        <v>200</v>
      </c>
      <c r="Q137" s="1">
        <f t="array" ref="Q137">_xlfn.IFS($O137="Attacker",6,$O137="Healer",3,$O137="Magician",4,$O137="Defender",3,$O137="Supporter",4)</f>
        <v>6</v>
      </c>
      <c r="R137" s="1">
        <f t="array" ref="R137">_xlfn.IFS($O137="Attacker",6,$O137="Healer",3,$O137="Magician",4,$O137="Defender",3,$O137="Supporter",4)</f>
        <v>6</v>
      </c>
      <c r="S137" s="1">
        <v>1</v>
      </c>
      <c r="T137" s="1">
        <v>0</v>
      </c>
      <c r="U137" s="1">
        <v>0</v>
      </c>
      <c r="V137" s="1" t="s">
        <v>41</v>
      </c>
      <c r="W137" s="1">
        <f t="array" ref="W137">_xlfn.IFS(O137="Attacker",80,O137="Healer",90,O137="Magician",100,O137="Defender",110,O137="Supporter",120)</f>
        <v>80</v>
      </c>
      <c r="X137" s="1" t="s">
        <v>42</v>
      </c>
      <c r="Y137" s="1">
        <v>2856</v>
      </c>
      <c r="Z137" s="1" t="s">
        <v>43</v>
      </c>
      <c r="AA137" s="1">
        <v>287</v>
      </c>
      <c r="AB137" s="1" t="s">
        <v>44</v>
      </c>
      <c r="AC137" s="1">
        <v>187</v>
      </c>
      <c r="AD137" s="1" t="s">
        <v>45</v>
      </c>
      <c r="AE137" s="1">
        <v>187</v>
      </c>
      <c r="AF137" s="1" t="s">
        <v>46</v>
      </c>
      <c r="AG137" s="1">
        <v>100</v>
      </c>
      <c r="AH137" s="1" t="s">
        <v>47</v>
      </c>
      <c r="AI137" s="1">
        <v>80</v>
      </c>
      <c r="AJ137" s="1" t="s">
        <v>48</v>
      </c>
      <c r="AK137" s="1">
        <v>5000</v>
      </c>
      <c r="AL137" s="1" t="s">
        <v>49</v>
      </c>
      <c r="AM137" s="1">
        <v>150000</v>
      </c>
      <c r="AN137" s="1">
        <v>1321201</v>
      </c>
      <c r="AO137" s="1" t="b">
        <v>1</v>
      </c>
      <c r="AP137" s="1">
        <v>2321201</v>
      </c>
      <c r="AQ137" s="1" t="b">
        <v>1</v>
      </c>
      <c r="AR137" s="1">
        <v>3321201</v>
      </c>
      <c r="AS137" s="1" t="b">
        <v>1</v>
      </c>
      <c r="AT137" s="1">
        <v>4321201</v>
      </c>
      <c r="AU137" s="1" t="b">
        <v>1</v>
      </c>
    </row>
    <row r="138" spans="1:47" x14ac:dyDescent="0.3">
      <c r="A138" s="1">
        <v>15250102</v>
      </c>
      <c r="B138" s="1" t="s">
        <v>139</v>
      </c>
      <c r="C138" s="1">
        <v>152511</v>
      </c>
      <c r="D138" s="1">
        <v>0</v>
      </c>
      <c r="E138" s="17" t="s">
        <v>399</v>
      </c>
      <c r="G138" s="17" t="s">
        <v>29</v>
      </c>
      <c r="H138" s="17" t="s">
        <v>29</v>
      </c>
      <c r="I138" s="17">
        <v>2</v>
      </c>
      <c r="J138" s="17" t="s">
        <v>37</v>
      </c>
      <c r="K138" s="17" t="b">
        <v>1</v>
      </c>
      <c r="L138" s="24" t="s">
        <v>38</v>
      </c>
      <c r="M138" s="1">
        <v>3</v>
      </c>
      <c r="N138" s="35" t="s">
        <v>72</v>
      </c>
      <c r="O138" s="1" t="s">
        <v>40</v>
      </c>
      <c r="P138" s="1">
        <v>200</v>
      </c>
      <c r="Q138" s="1">
        <f t="array" ref="Q138">_xlfn.IFS($O138="Attacker",6,$O138="Healer",3,$O138="Magician",4,$O138="Defender",3,$O138="Supporter",4)</f>
        <v>4</v>
      </c>
      <c r="R138" s="1">
        <f t="array" ref="R138">_xlfn.IFS($O138="Attacker",6,$O138="Healer",3,$O138="Magician",4,$O138="Defender",3,$O138="Supporter",4)</f>
        <v>4</v>
      </c>
      <c r="S138" s="1">
        <v>1</v>
      </c>
      <c r="T138" s="1">
        <v>0</v>
      </c>
      <c r="U138" s="1">
        <v>0</v>
      </c>
      <c r="V138" s="1" t="s">
        <v>41</v>
      </c>
      <c r="W138" s="1">
        <f t="array" ref="W138">_xlfn.IFS(O138="Attacker",80,O138="Healer",90,O138="Magician",100,O138="Defender",110,O138="Supporter",120)</f>
        <v>120</v>
      </c>
      <c r="X138" s="1" t="s">
        <v>42</v>
      </c>
      <c r="Y138" s="1">
        <v>1904</v>
      </c>
      <c r="Z138" s="1" t="s">
        <v>43</v>
      </c>
      <c r="AA138" s="1">
        <v>221</v>
      </c>
      <c r="AB138" s="1" t="s">
        <v>44</v>
      </c>
      <c r="AC138" s="1">
        <v>156</v>
      </c>
      <c r="AD138" s="1" t="s">
        <v>45</v>
      </c>
      <c r="AE138" s="1">
        <v>156</v>
      </c>
      <c r="AF138" s="1" t="s">
        <v>46</v>
      </c>
      <c r="AG138" s="1">
        <v>100</v>
      </c>
      <c r="AH138" s="1" t="s">
        <v>47</v>
      </c>
      <c r="AI138" s="1">
        <v>80</v>
      </c>
      <c r="AJ138" s="1" t="s">
        <v>48</v>
      </c>
      <c r="AK138" s="1">
        <v>5000</v>
      </c>
      <c r="AL138" s="1" t="s">
        <v>49</v>
      </c>
      <c r="AM138" s="1">
        <v>150000</v>
      </c>
      <c r="AN138" s="1">
        <v>1334211</v>
      </c>
      <c r="AO138" s="1" t="b">
        <v>1</v>
      </c>
      <c r="AP138" s="1">
        <v>2334211</v>
      </c>
      <c r="AQ138" s="1" t="b">
        <v>1</v>
      </c>
      <c r="AR138" s="1">
        <v>3334211</v>
      </c>
      <c r="AS138" s="1" t="b">
        <v>1</v>
      </c>
      <c r="AT138" s="1">
        <v>4334211</v>
      </c>
      <c r="AU138" s="1" t="b">
        <v>1</v>
      </c>
    </row>
    <row r="139" spans="1:47" x14ac:dyDescent="0.3">
      <c r="A139" s="1">
        <v>14420102</v>
      </c>
      <c r="B139" s="1" t="s">
        <v>157</v>
      </c>
      <c r="C139" s="1">
        <v>144211</v>
      </c>
      <c r="D139" s="1">
        <v>0</v>
      </c>
      <c r="E139" s="17" t="s">
        <v>400</v>
      </c>
      <c r="G139" s="17" t="s">
        <v>29</v>
      </c>
      <c r="H139" s="17" t="s">
        <v>29</v>
      </c>
      <c r="I139" s="17">
        <v>2</v>
      </c>
      <c r="J139" s="17" t="s">
        <v>37</v>
      </c>
      <c r="K139" s="17" t="b">
        <v>1</v>
      </c>
      <c r="L139" s="24" t="s">
        <v>38</v>
      </c>
      <c r="M139" s="1">
        <v>3</v>
      </c>
      <c r="N139" s="36" t="s">
        <v>91</v>
      </c>
      <c r="O139" s="1" t="s">
        <v>57</v>
      </c>
      <c r="P139" s="1">
        <v>200</v>
      </c>
      <c r="Q139" s="1">
        <f t="array" ref="Q139">_xlfn.IFS($O139="Attacker",6,$O139="Healer",3,$O139="Magician",4,$O139="Defender",3,$O139="Supporter",4)</f>
        <v>6</v>
      </c>
      <c r="R139" s="1">
        <f t="array" ref="R139">_xlfn.IFS($O139="Attacker",6,$O139="Healer",3,$O139="Magician",4,$O139="Defender",3,$O139="Supporter",4)</f>
        <v>6</v>
      </c>
      <c r="S139" s="1">
        <v>1</v>
      </c>
      <c r="T139" s="1">
        <v>0</v>
      </c>
      <c r="U139" s="1">
        <v>0</v>
      </c>
      <c r="V139" s="1" t="s">
        <v>41</v>
      </c>
      <c r="W139" s="1">
        <f t="array" ref="W139">_xlfn.IFS(O139="Attacker",80,O139="Healer",90,O139="Magician",100,O139="Defender",110,O139="Supporter",120)</f>
        <v>80</v>
      </c>
      <c r="X139" s="1" t="s">
        <v>42</v>
      </c>
      <c r="Y139" s="1">
        <v>3570</v>
      </c>
      <c r="Z139" s="1" t="s">
        <v>43</v>
      </c>
      <c r="AA139" s="1">
        <v>359</v>
      </c>
      <c r="AB139" s="1" t="s">
        <v>44</v>
      </c>
      <c r="AC139" s="1">
        <v>187</v>
      </c>
      <c r="AD139" s="1" t="s">
        <v>45</v>
      </c>
      <c r="AE139" s="1">
        <v>187</v>
      </c>
      <c r="AF139" s="1" t="s">
        <v>46</v>
      </c>
      <c r="AG139" s="1">
        <v>100</v>
      </c>
      <c r="AH139" s="1" t="s">
        <v>47</v>
      </c>
      <c r="AI139" s="1">
        <v>80</v>
      </c>
      <c r="AJ139" s="1" t="s">
        <v>48</v>
      </c>
      <c r="AK139" s="1">
        <v>5000</v>
      </c>
      <c r="AL139" s="1" t="s">
        <v>49</v>
      </c>
      <c r="AM139" s="1">
        <v>150000</v>
      </c>
      <c r="AN139" s="1">
        <v>1321221</v>
      </c>
      <c r="AO139" s="1" t="b">
        <v>1</v>
      </c>
      <c r="AP139" s="1">
        <v>2321221</v>
      </c>
      <c r="AQ139" s="1" t="b">
        <v>1</v>
      </c>
      <c r="AR139" s="1">
        <v>3321221</v>
      </c>
      <c r="AS139" s="1" t="b">
        <v>1</v>
      </c>
      <c r="AT139" s="1">
        <v>4321221</v>
      </c>
      <c r="AU139" s="1" t="b">
        <v>1</v>
      </c>
    </row>
    <row r="140" spans="1:47" x14ac:dyDescent="0.3">
      <c r="A140" s="1">
        <v>11940102</v>
      </c>
      <c r="B140" s="1" t="s">
        <v>146</v>
      </c>
      <c r="C140" s="1">
        <v>119411</v>
      </c>
      <c r="D140" s="1">
        <v>0</v>
      </c>
      <c r="E140" s="17" t="s">
        <v>401</v>
      </c>
      <c r="G140" s="17" t="s">
        <v>29</v>
      </c>
      <c r="H140" s="17" t="s">
        <v>29</v>
      </c>
      <c r="I140" s="17">
        <v>2</v>
      </c>
      <c r="J140" s="17" t="s">
        <v>37</v>
      </c>
      <c r="K140" s="17" t="b">
        <v>1</v>
      </c>
      <c r="L140" s="24" t="s">
        <v>38</v>
      </c>
      <c r="M140" s="1">
        <v>3</v>
      </c>
      <c r="N140" s="37" t="s">
        <v>83</v>
      </c>
      <c r="O140" s="1" t="s">
        <v>57</v>
      </c>
      <c r="P140" s="1">
        <v>200</v>
      </c>
      <c r="Q140" s="1">
        <f t="array" ref="Q140">_xlfn.IFS($O140="Attacker",6,$O140="Healer",3,$O140="Magician",4,$O140="Defender",3,$O140="Supporter",4)</f>
        <v>6</v>
      </c>
      <c r="R140" s="1">
        <f t="array" ref="R140">_xlfn.IFS($O140="Attacker",6,$O140="Healer",3,$O140="Magician",4,$O140="Defender",3,$O140="Supporter",4)</f>
        <v>6</v>
      </c>
      <c r="S140" s="1">
        <v>1</v>
      </c>
      <c r="T140" s="1">
        <v>0</v>
      </c>
      <c r="U140" s="1">
        <v>0</v>
      </c>
      <c r="V140" s="1" t="s">
        <v>41</v>
      </c>
      <c r="W140" s="1">
        <f t="array" ref="W140">_xlfn.IFS(O140="Attacker",80,O140="Healer",90,O140="Magician",100,O140="Defender",110,O140="Supporter",120)</f>
        <v>80</v>
      </c>
      <c r="X140" s="1" t="s">
        <v>42</v>
      </c>
      <c r="Y140" s="1">
        <v>1700</v>
      </c>
      <c r="Z140" s="1" t="s">
        <v>43</v>
      </c>
      <c r="AA140" s="1">
        <v>163</v>
      </c>
      <c r="AB140" s="1" t="s">
        <v>44</v>
      </c>
      <c r="AC140" s="1">
        <v>130</v>
      </c>
      <c r="AD140" s="1" t="s">
        <v>45</v>
      </c>
      <c r="AE140" s="1">
        <v>130</v>
      </c>
      <c r="AF140" s="1" t="s">
        <v>46</v>
      </c>
      <c r="AG140" s="1">
        <v>100</v>
      </c>
      <c r="AH140" s="1" t="s">
        <v>47</v>
      </c>
      <c r="AI140" s="1">
        <v>80</v>
      </c>
      <c r="AJ140" s="1" t="s">
        <v>48</v>
      </c>
      <c r="AK140" s="1">
        <v>5000</v>
      </c>
      <c r="AL140" s="1" t="s">
        <v>49</v>
      </c>
      <c r="AM140" s="1">
        <v>150000</v>
      </c>
      <c r="AN140" s="1">
        <v>1341231</v>
      </c>
      <c r="AO140" s="1" t="b">
        <v>1</v>
      </c>
      <c r="AP140" s="1">
        <v>2341231</v>
      </c>
      <c r="AQ140" s="1" t="b">
        <v>1</v>
      </c>
      <c r="AR140" s="1">
        <v>3341231</v>
      </c>
      <c r="AS140" s="1" t="b">
        <v>1</v>
      </c>
      <c r="AT140" s="1">
        <v>4341231</v>
      </c>
      <c r="AU140" s="1" t="b">
        <v>1</v>
      </c>
    </row>
    <row r="141" spans="1:47" x14ac:dyDescent="0.3">
      <c r="A141" s="1">
        <v>11240102</v>
      </c>
      <c r="B141" s="1" t="s">
        <v>154</v>
      </c>
      <c r="C141" s="1">
        <v>112411</v>
      </c>
      <c r="D141" s="1">
        <v>0</v>
      </c>
      <c r="E141" s="17" t="s">
        <v>402</v>
      </c>
      <c r="G141" s="17" t="s">
        <v>29</v>
      </c>
      <c r="H141" s="17" t="s">
        <v>29</v>
      </c>
      <c r="I141" s="17">
        <v>2</v>
      </c>
      <c r="J141" s="17" t="s">
        <v>37</v>
      </c>
      <c r="K141" s="17" t="b">
        <v>1</v>
      </c>
      <c r="L141" s="24" t="s">
        <v>38</v>
      </c>
      <c r="M141" s="1">
        <v>3</v>
      </c>
      <c r="N141" s="36" t="s">
        <v>91</v>
      </c>
      <c r="O141" s="1" t="s">
        <v>57</v>
      </c>
      <c r="P141" s="1">
        <v>200</v>
      </c>
      <c r="Q141" s="1">
        <f t="array" ref="Q141">_xlfn.IFS($O141="Attacker",6,$O141="Healer",3,$O141="Magician",4,$O141="Defender",3,$O141="Supporter",4)</f>
        <v>6</v>
      </c>
      <c r="R141" s="1">
        <f t="array" ref="R141">_xlfn.IFS($O141="Attacker",6,$O141="Healer",3,$O141="Magician",4,$O141="Defender",3,$O141="Supporter",4)</f>
        <v>6</v>
      </c>
      <c r="S141" s="1">
        <v>1</v>
      </c>
      <c r="T141" s="1">
        <v>0</v>
      </c>
      <c r="U141" s="1">
        <v>0</v>
      </c>
      <c r="V141" s="1" t="s">
        <v>41</v>
      </c>
      <c r="W141" s="1">
        <f t="array" ref="W141">_xlfn.IFS(O141="Attacker",80,O141="Healer",90,O141="Magician",100,O141="Defender",110,O141="Supporter",120)</f>
        <v>80</v>
      </c>
      <c r="X141" s="1" t="s">
        <v>42</v>
      </c>
      <c r="Y141" s="1">
        <v>2142</v>
      </c>
      <c r="Z141" s="1" t="s">
        <v>43</v>
      </c>
      <c r="AA141" s="1">
        <v>221</v>
      </c>
      <c r="AB141" s="1" t="s">
        <v>44</v>
      </c>
      <c r="AC141" s="1">
        <v>156</v>
      </c>
      <c r="AD141" s="1" t="s">
        <v>45</v>
      </c>
      <c r="AE141" s="1">
        <v>156</v>
      </c>
      <c r="AF141" s="1" t="s">
        <v>46</v>
      </c>
      <c r="AG141" s="1">
        <v>100</v>
      </c>
      <c r="AH141" s="1" t="s">
        <v>47</v>
      </c>
      <c r="AI141" s="1">
        <v>80</v>
      </c>
      <c r="AJ141" s="1" t="s">
        <v>48</v>
      </c>
      <c r="AK141" s="1">
        <v>5000</v>
      </c>
      <c r="AL141" s="1" t="s">
        <v>49</v>
      </c>
      <c r="AM141" s="1">
        <v>150000</v>
      </c>
      <c r="AN141" s="1">
        <v>1321241</v>
      </c>
      <c r="AO141" s="1" t="b">
        <v>1</v>
      </c>
      <c r="AP141" s="1">
        <v>2321241</v>
      </c>
      <c r="AQ141" s="1" t="b">
        <v>1</v>
      </c>
      <c r="AR141" s="1">
        <v>3321241</v>
      </c>
      <c r="AS141" s="1" t="b">
        <v>1</v>
      </c>
      <c r="AT141" s="1">
        <v>4321241</v>
      </c>
      <c r="AU141" s="1" t="b">
        <v>1</v>
      </c>
    </row>
    <row r="142" spans="1:47" x14ac:dyDescent="0.3">
      <c r="A142" s="1">
        <v>13360102</v>
      </c>
      <c r="B142" s="1" t="s">
        <v>140</v>
      </c>
      <c r="C142" s="1">
        <v>133611</v>
      </c>
      <c r="D142" s="1">
        <v>0</v>
      </c>
      <c r="E142" s="17" t="str">
        <f t="shared" ref="E142:E150" si="0">"character_name_"&amp;A142</f>
        <v>character_name_13360102</v>
      </c>
      <c r="G142" s="17" t="s">
        <v>29</v>
      </c>
      <c r="H142" s="17" t="s">
        <v>29</v>
      </c>
      <c r="I142" s="17">
        <v>2</v>
      </c>
      <c r="J142" s="17" t="s">
        <v>37</v>
      </c>
      <c r="K142" s="17" t="b">
        <v>1</v>
      </c>
      <c r="L142" s="24" t="s">
        <v>38</v>
      </c>
      <c r="M142" s="1">
        <v>3</v>
      </c>
      <c r="N142" s="35" t="s">
        <v>72</v>
      </c>
      <c r="O142" s="1" t="s">
        <v>40</v>
      </c>
      <c r="P142" s="1">
        <f t="shared" ref="P142:P150" si="1">100+M142</f>
        <v>103</v>
      </c>
      <c r="Q142" s="1">
        <f t="array" ref="Q142">_xlfn.IFS($O142="Attacker",6,$O142="Healer",3,$O142="Magician",4,$O142="Defender",3,$O142="Supporter",4)</f>
        <v>4</v>
      </c>
      <c r="R142" s="1">
        <f t="array" ref="R142">_xlfn.IFS($O142="Attacker",6,$O142="Healer",3,$O142="Magician",4,$O142="Defender",3,$O142="Supporter",4)</f>
        <v>4</v>
      </c>
      <c r="S142" s="1">
        <v>1</v>
      </c>
      <c r="T142" s="1">
        <v>0</v>
      </c>
      <c r="U142" s="1">
        <v>0</v>
      </c>
      <c r="V142" s="1" t="s">
        <v>41</v>
      </c>
      <c r="W142" s="1">
        <f t="array" ref="W142">_xlfn.IFS(O142="Attacker",80,O142="Healer",90,O142="Magician",100,O142="Defender",110,O142="Supporter",120)</f>
        <v>120</v>
      </c>
      <c r="X142" s="1" t="s">
        <v>42</v>
      </c>
      <c r="Y142" s="1">
        <f t="shared" ref="Y142:Y150" si="2">ROUND($Y$16*0.9, 0)</f>
        <v>270</v>
      </c>
      <c r="Z142" s="1" t="s">
        <v>43</v>
      </c>
      <c r="AA142" s="1">
        <v>221</v>
      </c>
      <c r="AB142" s="1" t="s">
        <v>44</v>
      </c>
      <c r="AC142" s="1">
        <v>156</v>
      </c>
      <c r="AD142" s="1" t="s">
        <v>45</v>
      </c>
      <c r="AE142" s="1">
        <f t="shared" ref="AE142:AE150" si="3">AC142</f>
        <v>156</v>
      </c>
      <c r="AF142" s="1" t="s">
        <v>46</v>
      </c>
      <c r="AG142" s="1">
        <v>100</v>
      </c>
      <c r="AH142" s="1" t="s">
        <v>47</v>
      </c>
      <c r="AI142" s="1">
        <v>100</v>
      </c>
      <c r="AJ142" s="1" t="s">
        <v>48</v>
      </c>
      <c r="AK142" s="1">
        <v>5000</v>
      </c>
      <c r="AL142" s="1" t="s">
        <v>49</v>
      </c>
      <c r="AM142" s="1">
        <v>150000</v>
      </c>
      <c r="AN142" s="1">
        <v>1535261</v>
      </c>
      <c r="AO142" s="1" t="b">
        <v>1</v>
      </c>
      <c r="AP142" s="1">
        <v>2535261</v>
      </c>
      <c r="AQ142" s="1" t="b">
        <v>1</v>
      </c>
      <c r="AR142" s="1">
        <v>3535261</v>
      </c>
      <c r="AS142" s="1" t="b">
        <v>1</v>
      </c>
      <c r="AT142" s="1">
        <v>4535261</v>
      </c>
      <c r="AU142" s="1" t="b">
        <v>1</v>
      </c>
    </row>
    <row r="143" spans="1:47" x14ac:dyDescent="0.3">
      <c r="A143" s="1">
        <v>14450102</v>
      </c>
      <c r="B143" s="1" t="s">
        <v>133</v>
      </c>
      <c r="C143" s="1">
        <v>144511</v>
      </c>
      <c r="D143" s="1">
        <v>0</v>
      </c>
      <c r="E143" s="17" t="str">
        <f t="shared" si="0"/>
        <v>character_name_14450102</v>
      </c>
      <c r="G143" s="17" t="s">
        <v>29</v>
      </c>
      <c r="H143" s="17" t="s">
        <v>29</v>
      </c>
      <c r="I143" s="17">
        <v>2</v>
      </c>
      <c r="J143" s="17" t="s">
        <v>37</v>
      </c>
      <c r="K143" s="17" t="b">
        <v>1</v>
      </c>
      <c r="L143" s="24" t="s">
        <v>38</v>
      </c>
      <c r="M143" s="1">
        <v>3</v>
      </c>
      <c r="N143" s="33" t="s">
        <v>61</v>
      </c>
      <c r="O143" s="1" t="s">
        <v>57</v>
      </c>
      <c r="P143" s="1">
        <f t="shared" si="1"/>
        <v>103</v>
      </c>
      <c r="Q143" s="1">
        <f t="array" ref="Q143">_xlfn.IFS($O143="Attacker",6,$O143="Healer",3,$O143="Magician",4,$O143="Defender",3,$O143="Supporter",4)</f>
        <v>6</v>
      </c>
      <c r="R143" s="1">
        <f t="array" ref="R143">_xlfn.IFS($O143="Attacker",6,$O143="Healer",3,$O143="Magician",4,$O143="Defender",3,$O143="Supporter",4)</f>
        <v>6</v>
      </c>
      <c r="S143" s="1">
        <v>1</v>
      </c>
      <c r="T143" s="1">
        <v>0</v>
      </c>
      <c r="U143" s="1">
        <v>0</v>
      </c>
      <c r="V143" s="1" t="s">
        <v>41</v>
      </c>
      <c r="W143" s="1">
        <f t="array" ref="W143">_xlfn.IFS(O143="Attacker",80,O143="Healer",90,O143="Magician",100,O143="Defender",110,O143="Supporter",120)</f>
        <v>80</v>
      </c>
      <c r="X143" s="1" t="s">
        <v>42</v>
      </c>
      <c r="Y143" s="1">
        <f t="shared" si="2"/>
        <v>270</v>
      </c>
      <c r="Z143" s="1" t="s">
        <v>43</v>
      </c>
      <c r="AA143" s="1">
        <v>221</v>
      </c>
      <c r="AB143" s="1" t="s">
        <v>44</v>
      </c>
      <c r="AC143" s="1">
        <v>156</v>
      </c>
      <c r="AD143" s="1" t="s">
        <v>45</v>
      </c>
      <c r="AE143" s="1">
        <f t="shared" si="3"/>
        <v>156</v>
      </c>
      <c r="AF143" s="1" t="s">
        <v>46</v>
      </c>
      <c r="AG143" s="1">
        <v>100</v>
      </c>
      <c r="AH143" s="1" t="s">
        <v>47</v>
      </c>
      <c r="AI143" s="1">
        <v>100</v>
      </c>
      <c r="AJ143" s="1" t="s">
        <v>48</v>
      </c>
      <c r="AK143" s="1">
        <v>5000</v>
      </c>
      <c r="AL143" s="1" t="s">
        <v>49</v>
      </c>
      <c r="AM143" s="1">
        <v>150000</v>
      </c>
      <c r="AN143" s="1">
        <v>1513271</v>
      </c>
      <c r="AO143" s="1" t="b">
        <v>1</v>
      </c>
      <c r="AP143" s="1">
        <v>2513271</v>
      </c>
      <c r="AQ143" s="1" t="b">
        <v>1</v>
      </c>
      <c r="AR143" s="1">
        <v>3513271</v>
      </c>
      <c r="AS143" s="1" t="b">
        <v>1</v>
      </c>
      <c r="AT143" s="1">
        <v>4513271</v>
      </c>
      <c r="AU143" s="1" t="b">
        <v>1</v>
      </c>
    </row>
    <row r="144" spans="1:47" x14ac:dyDescent="0.3">
      <c r="A144" s="1">
        <v>14610102</v>
      </c>
      <c r="B144" s="1" t="s">
        <v>141</v>
      </c>
      <c r="C144" s="1">
        <v>146111</v>
      </c>
      <c r="D144" s="1">
        <v>0</v>
      </c>
      <c r="E144" s="17" t="str">
        <f t="shared" si="0"/>
        <v>character_name_14610102</v>
      </c>
      <c r="G144" s="17" t="s">
        <v>29</v>
      </c>
      <c r="H144" s="17" t="s">
        <v>29</v>
      </c>
      <c r="I144" s="17">
        <v>2</v>
      </c>
      <c r="J144" s="17" t="s">
        <v>37</v>
      </c>
      <c r="K144" s="17" t="b">
        <v>1</v>
      </c>
      <c r="L144" s="24" t="s">
        <v>38</v>
      </c>
      <c r="M144" s="1">
        <v>3</v>
      </c>
      <c r="N144" s="35" t="s">
        <v>72</v>
      </c>
      <c r="O144" s="1" t="s">
        <v>40</v>
      </c>
      <c r="P144" s="1">
        <f t="shared" si="1"/>
        <v>103</v>
      </c>
      <c r="Q144" s="1">
        <f t="array" ref="Q144">_xlfn.IFS($O144="Attacker",6,$O144="Healer",3,$O144="Magician",4,$O144="Defender",3,$O144="Supporter",4)</f>
        <v>4</v>
      </c>
      <c r="R144" s="1">
        <f t="array" ref="R144">_xlfn.IFS($O144="Attacker",6,$O144="Healer",3,$O144="Magician",4,$O144="Defender",3,$O144="Supporter",4)</f>
        <v>4</v>
      </c>
      <c r="S144" s="1">
        <v>1</v>
      </c>
      <c r="T144" s="1">
        <v>0</v>
      </c>
      <c r="U144" s="1">
        <v>0</v>
      </c>
      <c r="V144" s="1" t="s">
        <v>41</v>
      </c>
      <c r="W144" s="1">
        <f t="array" ref="W144">_xlfn.IFS(O144="Attacker",80,O144="Healer",90,O144="Magician",100,O144="Defender",110,O144="Supporter",120)</f>
        <v>120</v>
      </c>
      <c r="X144" s="1" t="s">
        <v>42</v>
      </c>
      <c r="Y144" s="1">
        <f t="shared" si="2"/>
        <v>270</v>
      </c>
      <c r="Z144" s="1" t="s">
        <v>43</v>
      </c>
      <c r="AA144" s="1">
        <v>221</v>
      </c>
      <c r="AB144" s="1" t="s">
        <v>44</v>
      </c>
      <c r="AC144" s="1">
        <v>156</v>
      </c>
      <c r="AD144" s="1" t="s">
        <v>45</v>
      </c>
      <c r="AE144" s="1">
        <f t="shared" si="3"/>
        <v>156</v>
      </c>
      <c r="AF144" s="1" t="s">
        <v>46</v>
      </c>
      <c r="AG144" s="1">
        <v>100</v>
      </c>
      <c r="AH144" s="1" t="s">
        <v>47</v>
      </c>
      <c r="AI144" s="1">
        <v>100</v>
      </c>
      <c r="AJ144" s="1" t="s">
        <v>48</v>
      </c>
      <c r="AK144" s="1">
        <v>5000</v>
      </c>
      <c r="AL144" s="1" t="s">
        <v>49</v>
      </c>
      <c r="AM144" s="1">
        <v>150000</v>
      </c>
      <c r="AN144" s="1">
        <v>1534281</v>
      </c>
      <c r="AO144" s="1" t="b">
        <v>1</v>
      </c>
      <c r="AP144" s="1">
        <v>2534281</v>
      </c>
      <c r="AQ144" s="1" t="b">
        <v>1</v>
      </c>
      <c r="AR144" s="1">
        <v>3534281</v>
      </c>
      <c r="AS144" s="1" t="b">
        <v>1</v>
      </c>
      <c r="AT144" s="1">
        <v>4534281</v>
      </c>
      <c r="AU144" s="1" t="b">
        <v>1</v>
      </c>
    </row>
    <row r="145" spans="1:47" x14ac:dyDescent="0.3">
      <c r="A145" s="1">
        <v>12830102</v>
      </c>
      <c r="B145" s="1" t="s">
        <v>134</v>
      </c>
      <c r="C145" s="1">
        <v>128311</v>
      </c>
      <c r="D145" s="1">
        <v>0</v>
      </c>
      <c r="E145" s="17" t="str">
        <f t="shared" si="0"/>
        <v>character_name_12830102</v>
      </c>
      <c r="G145" s="17" t="s">
        <v>29</v>
      </c>
      <c r="H145" s="17" t="s">
        <v>29</v>
      </c>
      <c r="I145" s="17">
        <v>2</v>
      </c>
      <c r="J145" s="17" t="s">
        <v>37</v>
      </c>
      <c r="K145" s="17" t="b">
        <v>1</v>
      </c>
      <c r="L145" s="24" t="s">
        <v>38</v>
      </c>
      <c r="M145" s="1">
        <v>3</v>
      </c>
      <c r="N145" s="35" t="s">
        <v>72</v>
      </c>
      <c r="O145" s="1" t="s">
        <v>40</v>
      </c>
      <c r="P145" s="1">
        <f t="shared" si="1"/>
        <v>103</v>
      </c>
      <c r="Q145" s="1">
        <f t="array" ref="Q145">_xlfn.IFS($O145="Attacker",6,$O145="Healer",3,$O145="Magician",4,$O145="Defender",3,$O145="Supporter",4)</f>
        <v>4</v>
      </c>
      <c r="R145" s="1">
        <f t="array" ref="R145">_xlfn.IFS($O145="Attacker",6,$O145="Healer",3,$O145="Magician",4,$O145="Defender",3,$O145="Supporter",4)</f>
        <v>4</v>
      </c>
      <c r="S145" s="1">
        <v>1</v>
      </c>
      <c r="T145" s="1">
        <v>0</v>
      </c>
      <c r="U145" s="1">
        <v>0</v>
      </c>
      <c r="V145" s="1" t="s">
        <v>41</v>
      </c>
      <c r="W145" s="1">
        <f t="array" ref="W145">_xlfn.IFS(O145="Attacker",80,O145="Healer",90,O145="Magician",100,O145="Defender",110,O145="Supporter",120)</f>
        <v>120</v>
      </c>
      <c r="X145" s="1" t="s">
        <v>42</v>
      </c>
      <c r="Y145" s="1">
        <f t="shared" si="2"/>
        <v>270</v>
      </c>
      <c r="Z145" s="1" t="s">
        <v>43</v>
      </c>
      <c r="AA145" s="1">
        <v>221</v>
      </c>
      <c r="AB145" s="1" t="s">
        <v>44</v>
      </c>
      <c r="AC145" s="1">
        <v>156</v>
      </c>
      <c r="AD145" s="1" t="s">
        <v>45</v>
      </c>
      <c r="AE145" s="1">
        <f t="shared" si="3"/>
        <v>156</v>
      </c>
      <c r="AF145" s="1" t="s">
        <v>46</v>
      </c>
      <c r="AG145" s="1">
        <v>100</v>
      </c>
      <c r="AH145" s="1" t="s">
        <v>47</v>
      </c>
      <c r="AI145" s="1">
        <v>100</v>
      </c>
      <c r="AJ145" s="1" t="s">
        <v>48</v>
      </c>
      <c r="AK145" s="1">
        <v>5000</v>
      </c>
      <c r="AL145" s="1" t="s">
        <v>49</v>
      </c>
      <c r="AM145" s="1">
        <v>150000</v>
      </c>
      <c r="AN145" s="1">
        <v>1534281</v>
      </c>
      <c r="AO145" s="1" t="b">
        <v>1</v>
      </c>
      <c r="AP145" s="1">
        <v>2534281</v>
      </c>
      <c r="AQ145" s="1" t="b">
        <v>1</v>
      </c>
      <c r="AR145" s="1">
        <v>3534281</v>
      </c>
      <c r="AS145" s="1" t="b">
        <v>1</v>
      </c>
      <c r="AT145" s="1">
        <v>4534281</v>
      </c>
      <c r="AU145" s="1" t="b">
        <v>1</v>
      </c>
    </row>
    <row r="146" spans="1:47" x14ac:dyDescent="0.3">
      <c r="A146" s="1">
        <v>14000102</v>
      </c>
      <c r="B146" s="1" t="s">
        <v>127</v>
      </c>
      <c r="C146" s="1">
        <v>140011</v>
      </c>
      <c r="D146" s="1">
        <v>0</v>
      </c>
      <c r="E146" s="17" t="str">
        <f t="shared" si="0"/>
        <v>character_name_14000102</v>
      </c>
      <c r="G146" s="17" t="s">
        <v>29</v>
      </c>
      <c r="H146" s="17" t="s">
        <v>29</v>
      </c>
      <c r="I146" s="17">
        <v>2</v>
      </c>
      <c r="J146" s="17" t="s">
        <v>37</v>
      </c>
      <c r="K146" s="17" t="b">
        <v>1</v>
      </c>
      <c r="L146" s="24" t="s">
        <v>38</v>
      </c>
      <c r="M146" s="1">
        <v>3</v>
      </c>
      <c r="N146" s="35" t="s">
        <v>72</v>
      </c>
      <c r="O146" s="1" t="s">
        <v>40</v>
      </c>
      <c r="P146" s="1">
        <f t="shared" si="1"/>
        <v>103</v>
      </c>
      <c r="Q146" s="1">
        <f t="array" ref="Q146">_xlfn.IFS($O146="Attacker",6,$O146="Healer",3,$O146="Magician",4,$O146="Defender",3,$O146="Supporter",4)</f>
        <v>4</v>
      </c>
      <c r="R146" s="1">
        <f t="array" ref="R146">_xlfn.IFS($O146="Attacker",6,$O146="Healer",3,$O146="Magician",4,$O146="Defender",3,$O146="Supporter",4)</f>
        <v>4</v>
      </c>
      <c r="S146" s="1">
        <v>1</v>
      </c>
      <c r="T146" s="1">
        <v>0</v>
      </c>
      <c r="U146" s="1">
        <v>0</v>
      </c>
      <c r="V146" s="1" t="s">
        <v>41</v>
      </c>
      <c r="W146" s="1">
        <f t="array" ref="W146">_xlfn.IFS(O146="Attacker",80,O146="Healer",90,O146="Magician",100,O146="Defender",110,O146="Supporter",120)</f>
        <v>120</v>
      </c>
      <c r="X146" s="1" t="s">
        <v>42</v>
      </c>
      <c r="Y146" s="1">
        <f t="shared" si="2"/>
        <v>270</v>
      </c>
      <c r="Z146" s="1" t="s">
        <v>43</v>
      </c>
      <c r="AA146" s="1">
        <v>221</v>
      </c>
      <c r="AB146" s="1" t="s">
        <v>44</v>
      </c>
      <c r="AC146" s="1">
        <v>156</v>
      </c>
      <c r="AD146" s="1" t="s">
        <v>45</v>
      </c>
      <c r="AE146" s="1">
        <f t="shared" si="3"/>
        <v>156</v>
      </c>
      <c r="AF146" s="1" t="s">
        <v>46</v>
      </c>
      <c r="AG146" s="1">
        <v>100</v>
      </c>
      <c r="AH146" s="1" t="s">
        <v>47</v>
      </c>
      <c r="AI146" s="1">
        <v>100</v>
      </c>
      <c r="AJ146" s="1" t="s">
        <v>48</v>
      </c>
      <c r="AK146" s="1">
        <v>5000</v>
      </c>
      <c r="AL146" s="1" t="s">
        <v>49</v>
      </c>
      <c r="AM146" s="1">
        <v>150000</v>
      </c>
      <c r="AN146" s="1">
        <v>1534281</v>
      </c>
      <c r="AO146" s="1" t="b">
        <v>1</v>
      </c>
      <c r="AP146" s="1">
        <v>2534281</v>
      </c>
      <c r="AQ146" s="1" t="b">
        <v>1</v>
      </c>
      <c r="AR146" s="1">
        <v>3534281</v>
      </c>
      <c r="AS146" s="1" t="b">
        <v>1</v>
      </c>
      <c r="AT146" s="1">
        <v>4534281</v>
      </c>
      <c r="AU146" s="1" t="b">
        <v>1</v>
      </c>
    </row>
    <row r="147" spans="1:47" x14ac:dyDescent="0.3">
      <c r="A147" s="1">
        <v>14470102</v>
      </c>
      <c r="B147" s="1" t="s">
        <v>142</v>
      </c>
      <c r="C147" s="1">
        <v>144711</v>
      </c>
      <c r="D147" s="1">
        <v>0</v>
      </c>
      <c r="E147" s="17" t="str">
        <f t="shared" si="0"/>
        <v>character_name_14470102</v>
      </c>
      <c r="G147" s="17" t="s">
        <v>29</v>
      </c>
      <c r="H147" s="17" t="s">
        <v>29</v>
      </c>
      <c r="I147" s="17">
        <v>2</v>
      </c>
      <c r="J147" s="17" t="s">
        <v>37</v>
      </c>
      <c r="K147" s="17" t="b">
        <v>1</v>
      </c>
      <c r="L147" s="24" t="s">
        <v>38</v>
      </c>
      <c r="M147" s="1">
        <v>3</v>
      </c>
      <c r="N147" s="35" t="s">
        <v>72</v>
      </c>
      <c r="O147" s="1" t="s">
        <v>40</v>
      </c>
      <c r="P147" s="1">
        <f t="shared" si="1"/>
        <v>103</v>
      </c>
      <c r="Q147" s="1">
        <f t="array" ref="Q147">_xlfn.IFS($O147="Attacker",6,$O147="Healer",3,$O147="Magician",4,$O147="Defender",3,$O147="Supporter",4)</f>
        <v>4</v>
      </c>
      <c r="R147" s="1">
        <f t="array" ref="R147">_xlfn.IFS($O147="Attacker",6,$O147="Healer",3,$O147="Magician",4,$O147="Defender",3,$O147="Supporter",4)</f>
        <v>4</v>
      </c>
      <c r="S147" s="1">
        <v>1</v>
      </c>
      <c r="T147" s="1">
        <v>0</v>
      </c>
      <c r="U147" s="1">
        <v>0</v>
      </c>
      <c r="V147" s="1" t="s">
        <v>41</v>
      </c>
      <c r="W147" s="1">
        <f t="array" ref="W147">_xlfn.IFS(O147="Attacker",80,O147="Healer",90,O147="Magician",100,O147="Defender",110,O147="Supporter",120)</f>
        <v>120</v>
      </c>
      <c r="X147" s="1" t="s">
        <v>42</v>
      </c>
      <c r="Y147" s="1">
        <f t="shared" si="2"/>
        <v>270</v>
      </c>
      <c r="Z147" s="1" t="s">
        <v>43</v>
      </c>
      <c r="AA147" s="1">
        <v>221</v>
      </c>
      <c r="AB147" s="1" t="s">
        <v>44</v>
      </c>
      <c r="AC147" s="1">
        <v>156</v>
      </c>
      <c r="AD147" s="1" t="s">
        <v>45</v>
      </c>
      <c r="AE147" s="1">
        <f t="shared" si="3"/>
        <v>156</v>
      </c>
      <c r="AF147" s="1" t="s">
        <v>46</v>
      </c>
      <c r="AG147" s="1">
        <v>100</v>
      </c>
      <c r="AH147" s="1" t="s">
        <v>47</v>
      </c>
      <c r="AI147" s="1">
        <v>100</v>
      </c>
      <c r="AJ147" s="1" t="s">
        <v>48</v>
      </c>
      <c r="AK147" s="1">
        <v>5000</v>
      </c>
      <c r="AL147" s="1" t="s">
        <v>49</v>
      </c>
      <c r="AM147" s="1">
        <v>150000</v>
      </c>
      <c r="AN147" s="1">
        <v>1534281</v>
      </c>
      <c r="AO147" s="1" t="b">
        <v>1</v>
      </c>
      <c r="AP147" s="1">
        <v>2534281</v>
      </c>
      <c r="AQ147" s="1" t="b">
        <v>1</v>
      </c>
      <c r="AR147" s="1">
        <v>3534281</v>
      </c>
      <c r="AS147" s="1" t="b">
        <v>1</v>
      </c>
      <c r="AT147" s="1">
        <v>4534281</v>
      </c>
      <c r="AU147" s="1" t="b">
        <v>1</v>
      </c>
    </row>
    <row r="148" spans="1:47" x14ac:dyDescent="0.3">
      <c r="A148" s="1">
        <v>14620102</v>
      </c>
      <c r="B148" s="1" t="s">
        <v>135</v>
      </c>
      <c r="C148" s="1">
        <v>146211</v>
      </c>
      <c r="D148" s="1">
        <v>0</v>
      </c>
      <c r="E148" s="17" t="str">
        <f t="shared" si="0"/>
        <v>character_name_14620102</v>
      </c>
      <c r="G148" s="17" t="s">
        <v>29</v>
      </c>
      <c r="H148" s="17" t="s">
        <v>29</v>
      </c>
      <c r="I148" s="17">
        <v>2</v>
      </c>
      <c r="J148" s="17" t="s">
        <v>37</v>
      </c>
      <c r="K148" s="17" t="b">
        <v>1</v>
      </c>
      <c r="L148" s="24" t="s">
        <v>38</v>
      </c>
      <c r="M148" s="1">
        <v>3</v>
      </c>
      <c r="N148" s="35" t="s">
        <v>72</v>
      </c>
      <c r="O148" s="1" t="s">
        <v>40</v>
      </c>
      <c r="P148" s="1">
        <f t="shared" si="1"/>
        <v>103</v>
      </c>
      <c r="Q148" s="1">
        <f t="array" ref="Q148">_xlfn.IFS($O148="Attacker",6,$O148="Healer",3,$O148="Magician",4,$O148="Defender",3,$O148="Supporter",4)</f>
        <v>4</v>
      </c>
      <c r="R148" s="1">
        <f t="array" ref="R148">_xlfn.IFS($O148="Attacker",6,$O148="Healer",3,$O148="Magician",4,$O148="Defender",3,$O148="Supporter",4)</f>
        <v>4</v>
      </c>
      <c r="S148" s="1">
        <v>1</v>
      </c>
      <c r="T148" s="1">
        <v>0</v>
      </c>
      <c r="U148" s="1">
        <v>0</v>
      </c>
      <c r="V148" s="1" t="s">
        <v>41</v>
      </c>
      <c r="W148" s="1">
        <f t="array" ref="W148">_xlfn.IFS(O148="Attacker",80,O148="Healer",90,O148="Magician",100,O148="Defender",110,O148="Supporter",120)</f>
        <v>120</v>
      </c>
      <c r="X148" s="1" t="s">
        <v>42</v>
      </c>
      <c r="Y148" s="1">
        <f t="shared" si="2"/>
        <v>270</v>
      </c>
      <c r="Z148" s="1" t="s">
        <v>43</v>
      </c>
      <c r="AA148" s="1">
        <v>221</v>
      </c>
      <c r="AB148" s="1" t="s">
        <v>44</v>
      </c>
      <c r="AC148" s="1">
        <v>156</v>
      </c>
      <c r="AD148" s="1" t="s">
        <v>45</v>
      </c>
      <c r="AE148" s="1">
        <f t="shared" si="3"/>
        <v>156</v>
      </c>
      <c r="AF148" s="1" t="s">
        <v>46</v>
      </c>
      <c r="AG148" s="1">
        <v>100</v>
      </c>
      <c r="AH148" s="1" t="s">
        <v>47</v>
      </c>
      <c r="AI148" s="1">
        <v>100</v>
      </c>
      <c r="AJ148" s="1" t="s">
        <v>48</v>
      </c>
      <c r="AK148" s="1">
        <v>5000</v>
      </c>
      <c r="AL148" s="1" t="s">
        <v>49</v>
      </c>
      <c r="AM148" s="1">
        <v>150000</v>
      </c>
      <c r="AN148" s="1">
        <v>1534281</v>
      </c>
      <c r="AO148" s="1" t="b">
        <v>1</v>
      </c>
      <c r="AP148" s="1">
        <v>2534281</v>
      </c>
      <c r="AQ148" s="1" t="b">
        <v>1</v>
      </c>
      <c r="AR148" s="1">
        <v>3534281</v>
      </c>
      <c r="AS148" s="1" t="b">
        <v>1</v>
      </c>
      <c r="AT148" s="1">
        <v>4534281</v>
      </c>
      <c r="AU148" s="1" t="b">
        <v>1</v>
      </c>
    </row>
    <row r="149" spans="1:47" x14ac:dyDescent="0.3">
      <c r="A149" s="1">
        <v>12810102</v>
      </c>
      <c r="B149" s="1" t="s">
        <v>158</v>
      </c>
      <c r="C149" s="1">
        <v>128101</v>
      </c>
      <c r="D149" s="1">
        <v>0</v>
      </c>
      <c r="E149" s="17" t="str">
        <f t="shared" si="0"/>
        <v>character_name_12810102</v>
      </c>
      <c r="G149" s="17" t="s">
        <v>29</v>
      </c>
      <c r="H149" s="17" t="s">
        <v>29</v>
      </c>
      <c r="I149" s="17">
        <v>2</v>
      </c>
      <c r="J149" s="17" t="s">
        <v>37</v>
      </c>
      <c r="K149" s="17" t="b">
        <v>1</v>
      </c>
      <c r="L149" s="24" t="s">
        <v>38</v>
      </c>
      <c r="M149" s="1">
        <v>3</v>
      </c>
      <c r="N149" s="36" t="s">
        <v>91</v>
      </c>
      <c r="O149" s="1" t="s">
        <v>40</v>
      </c>
      <c r="P149" s="1">
        <f t="shared" si="1"/>
        <v>103</v>
      </c>
      <c r="Q149" s="1">
        <f t="array" ref="Q149">_xlfn.IFS($O149="Attacker",6,$O149="Healer",3,$O149="Magician",4,$O149="Defender",3,$O149="Supporter",4)</f>
        <v>4</v>
      </c>
      <c r="R149" s="1">
        <f t="array" ref="R149">_xlfn.IFS($O149="Attacker",6,$O149="Healer",3,$O149="Magician",4,$O149="Defender",3,$O149="Supporter",4)</f>
        <v>4</v>
      </c>
      <c r="S149" s="1">
        <v>1</v>
      </c>
      <c r="T149" s="1">
        <v>0</v>
      </c>
      <c r="U149" s="1">
        <v>0</v>
      </c>
      <c r="V149" s="1" t="s">
        <v>41</v>
      </c>
      <c r="W149" s="1">
        <f t="array" ref="W149">_xlfn.IFS(O149="Attacker",80,O149="Healer",90,O149="Magician",100,O149="Defender",110,O149="Supporter",120)</f>
        <v>120</v>
      </c>
      <c r="X149" s="1" t="s">
        <v>42</v>
      </c>
      <c r="Y149" s="1">
        <f t="shared" si="2"/>
        <v>270</v>
      </c>
      <c r="Z149" s="1" t="s">
        <v>43</v>
      </c>
      <c r="AA149" s="1">
        <v>221</v>
      </c>
      <c r="AB149" s="1" t="s">
        <v>44</v>
      </c>
      <c r="AC149" s="1">
        <v>156</v>
      </c>
      <c r="AD149" s="1" t="s">
        <v>45</v>
      </c>
      <c r="AE149" s="1">
        <f t="shared" si="3"/>
        <v>156</v>
      </c>
      <c r="AF149" s="1" t="s">
        <v>46</v>
      </c>
      <c r="AG149" s="1">
        <v>100</v>
      </c>
      <c r="AH149" s="1" t="s">
        <v>47</v>
      </c>
      <c r="AI149" s="1">
        <v>100</v>
      </c>
      <c r="AJ149" s="1" t="s">
        <v>48</v>
      </c>
      <c r="AK149" s="1">
        <v>5000</v>
      </c>
      <c r="AL149" s="1" t="s">
        <v>49</v>
      </c>
      <c r="AM149" s="1">
        <v>150000</v>
      </c>
      <c r="AN149" s="1">
        <v>1534281</v>
      </c>
      <c r="AO149" s="1" t="b">
        <v>1</v>
      </c>
      <c r="AP149" s="1">
        <v>2534281</v>
      </c>
      <c r="AQ149" s="1" t="b">
        <v>1</v>
      </c>
      <c r="AR149" s="1">
        <v>3534281</v>
      </c>
      <c r="AS149" s="1" t="b">
        <v>1</v>
      </c>
      <c r="AT149" s="1">
        <v>4534281</v>
      </c>
      <c r="AU149" s="1" t="b">
        <v>1</v>
      </c>
    </row>
    <row r="150" spans="1:47" x14ac:dyDescent="0.3">
      <c r="A150" s="1">
        <v>15140102</v>
      </c>
      <c r="B150" s="1" t="s">
        <v>99</v>
      </c>
      <c r="C150" s="1">
        <v>151401</v>
      </c>
      <c r="D150" s="1">
        <v>0</v>
      </c>
      <c r="E150" s="17" t="str">
        <f t="shared" si="0"/>
        <v>character_name_15140102</v>
      </c>
      <c r="G150" s="17" t="s">
        <v>29</v>
      </c>
      <c r="H150" s="17" t="s">
        <v>29</v>
      </c>
      <c r="I150" s="17">
        <v>2</v>
      </c>
      <c r="J150" s="17" t="s">
        <v>37</v>
      </c>
      <c r="K150" s="17" t="b">
        <v>1</v>
      </c>
      <c r="L150" s="24" t="s">
        <v>38</v>
      </c>
      <c r="M150" s="1">
        <v>2</v>
      </c>
      <c r="N150" s="34" t="s">
        <v>39</v>
      </c>
      <c r="O150" s="1" t="s">
        <v>57</v>
      </c>
      <c r="P150" s="1">
        <f t="shared" si="1"/>
        <v>102</v>
      </c>
      <c r="Q150" s="1">
        <f t="array" ref="Q150">_xlfn.IFS($O150="Attacker",6,$O150="Healer",3,$O150="Magician",4,$O150="Defender",3,$O150="Supporter",4)</f>
        <v>6</v>
      </c>
      <c r="R150" s="1">
        <f t="array" ref="R150">_xlfn.IFS($O150="Attacker",6,$O150="Healer",3,$O150="Magician",4,$O150="Defender",3,$O150="Supporter",4)</f>
        <v>6</v>
      </c>
      <c r="S150" s="1">
        <v>1</v>
      </c>
      <c r="T150" s="1">
        <v>0</v>
      </c>
      <c r="U150" s="1">
        <v>0</v>
      </c>
      <c r="V150" s="1" t="s">
        <v>41</v>
      </c>
      <c r="W150" s="1">
        <f t="array" ref="W150">_xlfn.IFS(O150="Attacker",80,O150="Healer",90,O150="Magician",100,O150="Defender",110,O150="Supporter",120)</f>
        <v>80</v>
      </c>
      <c r="X150" s="1" t="s">
        <v>42</v>
      </c>
      <c r="Y150" s="1">
        <f t="shared" si="2"/>
        <v>270</v>
      </c>
      <c r="Z150" s="1" t="s">
        <v>43</v>
      </c>
      <c r="AA150" s="1">
        <v>221</v>
      </c>
      <c r="AB150" s="1" t="s">
        <v>44</v>
      </c>
      <c r="AC150" s="1">
        <v>156</v>
      </c>
      <c r="AD150" s="1" t="s">
        <v>45</v>
      </c>
      <c r="AE150" s="1">
        <f t="shared" si="3"/>
        <v>156</v>
      </c>
      <c r="AF150" s="1" t="s">
        <v>46</v>
      </c>
      <c r="AG150" s="1">
        <v>100</v>
      </c>
      <c r="AH150" s="1" t="s">
        <v>47</v>
      </c>
      <c r="AI150" s="1">
        <v>100</v>
      </c>
      <c r="AJ150" s="1" t="s">
        <v>48</v>
      </c>
      <c r="AK150" s="1">
        <v>5000</v>
      </c>
      <c r="AL150" s="1" t="s">
        <v>49</v>
      </c>
      <c r="AM150" s="1">
        <v>150000</v>
      </c>
      <c r="AN150" s="1">
        <v>1534281</v>
      </c>
      <c r="AO150" s="1" t="b">
        <v>1</v>
      </c>
      <c r="AP150" s="1">
        <v>2534281</v>
      </c>
      <c r="AQ150" s="1" t="b">
        <v>1</v>
      </c>
      <c r="AR150" s="1">
        <v>3534281</v>
      </c>
      <c r="AS150" s="1" t="b">
        <v>1</v>
      </c>
      <c r="AT150" s="1">
        <v>4534281</v>
      </c>
      <c r="AU150" s="1" t="b">
        <v>1</v>
      </c>
    </row>
    <row r="151" spans="1:47" x14ac:dyDescent="0.3">
      <c r="A151" s="30">
        <v>29010199</v>
      </c>
      <c r="B151" s="30" t="s">
        <v>403</v>
      </c>
      <c r="C151" s="30">
        <v>290101</v>
      </c>
      <c r="D151" s="30">
        <v>0</v>
      </c>
      <c r="E151" s="30" t="s">
        <v>404</v>
      </c>
      <c r="F151" s="30"/>
      <c r="G151" s="30" t="s">
        <v>333</v>
      </c>
      <c r="H151" s="30" t="s">
        <v>29</v>
      </c>
      <c r="I151" s="30">
        <v>99</v>
      </c>
      <c r="J151" s="38" t="s">
        <v>405</v>
      </c>
      <c r="K151" s="17" t="b">
        <v>0</v>
      </c>
      <c r="L151" s="38" t="s">
        <v>38</v>
      </c>
      <c r="M151" s="30">
        <v>2</v>
      </c>
      <c r="N151" s="30" t="s">
        <v>61</v>
      </c>
      <c r="O151" s="30" t="s">
        <v>62</v>
      </c>
      <c r="P151" s="30">
        <v>201</v>
      </c>
      <c r="Q151" s="30">
        <f t="array" ref="Q151">_xlfn.IFS($O151="Attacker",6,$O151="Healer",3,$O151="Magician",4,$O151="Defender",3,$O151="Supporter",4)</f>
        <v>3</v>
      </c>
      <c r="R151" s="30">
        <f t="array" ref="R151">_xlfn.IFS($O151="Attacker",6,$O151="Healer",3,$O151="Magician",4,$O151="Defender",3,$O151="Supporter",4)</f>
        <v>3</v>
      </c>
      <c r="S151" s="30">
        <v>1</v>
      </c>
      <c r="T151" s="30">
        <v>0</v>
      </c>
      <c r="U151" s="30">
        <v>0</v>
      </c>
      <c r="V151" s="30" t="s">
        <v>41</v>
      </c>
      <c r="W151" s="30">
        <f t="array" ref="W151">_xlfn.IFS(O151="Attacker",80,O151="Healer",90,O151="Magician",100,O151="Defender",110,O151="Supporter",120)</f>
        <v>110</v>
      </c>
      <c r="X151" s="30" t="s">
        <v>42</v>
      </c>
      <c r="Y151" s="30">
        <v>1</v>
      </c>
      <c r="Z151" s="30" t="s">
        <v>43</v>
      </c>
      <c r="AA151" s="30">
        <v>2500</v>
      </c>
      <c r="AB151" s="30" t="s">
        <v>44</v>
      </c>
      <c r="AC151" s="30">
        <v>25000</v>
      </c>
      <c r="AD151" s="30" t="s">
        <v>45</v>
      </c>
      <c r="AE151" s="30">
        <v>0</v>
      </c>
      <c r="AF151" s="30" t="s">
        <v>46</v>
      </c>
      <c r="AG151" s="30">
        <v>100</v>
      </c>
      <c r="AH151" s="30" t="s">
        <v>47</v>
      </c>
      <c r="AI151" s="30">
        <v>80</v>
      </c>
      <c r="AJ151" s="30" t="s">
        <v>48</v>
      </c>
      <c r="AK151" s="30">
        <v>5000</v>
      </c>
      <c r="AL151" s="30" t="s">
        <v>49</v>
      </c>
      <c r="AM151" s="30">
        <v>150000</v>
      </c>
      <c r="AN151" s="30">
        <v>0</v>
      </c>
      <c r="AO151" s="30" t="b">
        <v>0</v>
      </c>
      <c r="AP151" s="30">
        <v>2966011</v>
      </c>
      <c r="AQ151" s="30" t="b">
        <v>1</v>
      </c>
      <c r="AR151" s="30">
        <v>0</v>
      </c>
      <c r="AS151" s="30" t="b">
        <v>0</v>
      </c>
      <c r="AT151" s="30">
        <v>4966011</v>
      </c>
      <c r="AU151" s="30" t="b">
        <v>1</v>
      </c>
    </row>
    <row r="152" spans="1:47" x14ac:dyDescent="0.3">
      <c r="A152" s="32">
        <v>20400101</v>
      </c>
      <c r="B152" s="32" t="s">
        <v>374</v>
      </c>
      <c r="C152" s="32">
        <v>204001</v>
      </c>
      <c r="D152" s="32">
        <v>0</v>
      </c>
      <c r="E152" s="32" t="s">
        <v>406</v>
      </c>
      <c r="F152" s="32"/>
      <c r="G152" s="32" t="s">
        <v>333</v>
      </c>
      <c r="H152" s="32" t="s">
        <v>29</v>
      </c>
      <c r="I152" s="32">
        <v>1</v>
      </c>
      <c r="J152" s="42" t="s">
        <v>237</v>
      </c>
      <c r="K152" s="17" t="b">
        <v>0</v>
      </c>
      <c r="L152" s="42" t="s">
        <v>38</v>
      </c>
      <c r="M152" s="32">
        <v>2</v>
      </c>
      <c r="N152" s="32" t="s">
        <v>61</v>
      </c>
      <c r="O152" s="32" t="s">
        <v>62</v>
      </c>
      <c r="P152" s="32">
        <v>200</v>
      </c>
      <c r="Q152" s="32">
        <f t="array" ref="Q152">_xlfn.IFS($O152="Attacker",6,$O152="Healer",3,$O152="Magician",4,$O152="Defender",3,$O152="Supporter",4)</f>
        <v>3</v>
      </c>
      <c r="R152" s="32">
        <f t="array" ref="R152">_xlfn.IFS($O152="Attacker",6,$O152="Healer",3,$O152="Magician",4,$O152="Defender",3,$O152="Supporter",4)</f>
        <v>3</v>
      </c>
      <c r="S152" s="32">
        <v>1</v>
      </c>
      <c r="T152" s="32">
        <v>0</v>
      </c>
      <c r="U152" s="32">
        <v>0</v>
      </c>
      <c r="V152" s="32" t="s">
        <v>41</v>
      </c>
      <c r="W152" s="32">
        <f t="array" ref="W152">_xlfn.IFS(O152="Attacker",80,O152="Healer",90,O152="Magician",100,O152="Defender",110,O152="Supporter",120)</f>
        <v>110</v>
      </c>
      <c r="X152" s="32" t="s">
        <v>42</v>
      </c>
      <c r="Y152" s="32">
        <v>7500</v>
      </c>
      <c r="Z152" s="32" t="s">
        <v>43</v>
      </c>
      <c r="AA152" s="32">
        <v>700</v>
      </c>
      <c r="AB152" s="32" t="s">
        <v>44</v>
      </c>
      <c r="AC152" s="32">
        <v>0</v>
      </c>
      <c r="AD152" s="32" t="s">
        <v>45</v>
      </c>
      <c r="AE152" s="32">
        <v>0</v>
      </c>
      <c r="AF152" s="32" t="s">
        <v>46</v>
      </c>
      <c r="AG152" s="32">
        <v>100</v>
      </c>
      <c r="AH152" s="32" t="s">
        <v>47</v>
      </c>
      <c r="AI152" s="32">
        <v>100</v>
      </c>
      <c r="AJ152" s="32" t="s">
        <v>48</v>
      </c>
      <c r="AK152" s="32">
        <v>5000</v>
      </c>
      <c r="AL152" s="32" t="s">
        <v>49</v>
      </c>
      <c r="AM152" s="32">
        <v>150000</v>
      </c>
      <c r="AN152" s="32">
        <v>1942021</v>
      </c>
      <c r="AO152" s="32" t="b">
        <v>1</v>
      </c>
      <c r="AP152" s="32">
        <v>0</v>
      </c>
      <c r="AQ152" s="32" t="b">
        <v>0</v>
      </c>
      <c r="AR152" s="32">
        <v>3942021</v>
      </c>
      <c r="AS152" s="32" t="b">
        <v>1</v>
      </c>
      <c r="AT152" s="32">
        <v>0</v>
      </c>
      <c r="AU152" s="32" t="b">
        <v>0</v>
      </c>
    </row>
    <row r="153" spans="1:47" x14ac:dyDescent="0.3">
      <c r="A153" s="48">
        <v>20540101</v>
      </c>
      <c r="B153" s="48" t="s">
        <v>407</v>
      </c>
      <c r="C153" s="48">
        <v>205401</v>
      </c>
      <c r="D153" s="48">
        <v>0</v>
      </c>
      <c r="E153" s="48" t="s">
        <v>408</v>
      </c>
      <c r="F153" s="48"/>
      <c r="G153" s="48" t="s">
        <v>333</v>
      </c>
      <c r="H153" s="48" t="s">
        <v>29</v>
      </c>
      <c r="I153" s="48">
        <v>1</v>
      </c>
      <c r="J153" s="46" t="s">
        <v>237</v>
      </c>
      <c r="K153" s="17" t="b">
        <v>0</v>
      </c>
      <c r="L153" s="49" t="s">
        <v>38</v>
      </c>
      <c r="M153" s="48">
        <v>2</v>
      </c>
      <c r="N153" s="48" t="s">
        <v>61</v>
      </c>
      <c r="O153" s="48" t="s">
        <v>62</v>
      </c>
      <c r="P153" s="48">
        <v>200</v>
      </c>
      <c r="Q153" s="48">
        <f t="array" ref="Q153">_xlfn.IFS($O153="Attacker",6,$O153="Healer",3,$O153="Magician",4,$O153="Defender",3,$O153="Supporter",4)</f>
        <v>3</v>
      </c>
      <c r="R153" s="48">
        <f t="array" ref="R153">_xlfn.IFS($O153="Attacker",6,$O153="Healer",3,$O153="Magician",4,$O153="Defender",3,$O153="Supporter",4)</f>
        <v>3</v>
      </c>
      <c r="S153" s="48">
        <v>1</v>
      </c>
      <c r="T153" s="48">
        <v>0</v>
      </c>
      <c r="U153" s="48">
        <v>0</v>
      </c>
      <c r="V153" s="48" t="s">
        <v>41</v>
      </c>
      <c r="W153" s="48">
        <f t="array" ref="W153">_xlfn.IFS(O153="Attacker",80,O153="Healer",90,O153="Magician",100,O153="Defender",110,O153="Supporter",120)</f>
        <v>110</v>
      </c>
      <c r="X153" s="48" t="s">
        <v>42</v>
      </c>
      <c r="Y153" s="32">
        <v>7500</v>
      </c>
      <c r="Z153" s="32" t="s">
        <v>43</v>
      </c>
      <c r="AA153" s="32">
        <v>700</v>
      </c>
      <c r="AB153" s="32" t="s">
        <v>44</v>
      </c>
      <c r="AC153" s="32">
        <v>0</v>
      </c>
      <c r="AD153" s="32" t="s">
        <v>45</v>
      </c>
      <c r="AE153" s="32">
        <v>0</v>
      </c>
      <c r="AF153" s="48" t="s">
        <v>46</v>
      </c>
      <c r="AG153" s="48">
        <v>100</v>
      </c>
      <c r="AH153" s="48" t="s">
        <v>47</v>
      </c>
      <c r="AI153" s="48">
        <v>100</v>
      </c>
      <c r="AJ153" s="48" t="s">
        <v>48</v>
      </c>
      <c r="AK153" s="48">
        <v>5000</v>
      </c>
      <c r="AL153" s="48" t="s">
        <v>49</v>
      </c>
      <c r="AM153" s="48">
        <v>150000</v>
      </c>
      <c r="AN153" s="48">
        <v>1942051</v>
      </c>
      <c r="AO153" s="48" t="b">
        <v>1</v>
      </c>
      <c r="AP153" s="48">
        <v>2942051</v>
      </c>
      <c r="AQ153" s="48" t="b">
        <v>1</v>
      </c>
      <c r="AR153" s="48">
        <v>3942051</v>
      </c>
      <c r="AS153" s="48" t="b">
        <v>1</v>
      </c>
      <c r="AT153" s="48">
        <v>0</v>
      </c>
      <c r="AU153" s="48" t="b">
        <v>0</v>
      </c>
    </row>
    <row r="154" spans="1:47" x14ac:dyDescent="0.3">
      <c r="A154" s="48">
        <v>20380101</v>
      </c>
      <c r="B154" s="48" t="s">
        <v>372</v>
      </c>
      <c r="C154" s="48">
        <v>203801</v>
      </c>
      <c r="D154" s="48">
        <v>0</v>
      </c>
      <c r="E154" s="48" t="s">
        <v>409</v>
      </c>
      <c r="F154" s="48"/>
      <c r="G154" s="48" t="s">
        <v>333</v>
      </c>
      <c r="H154" s="48" t="s">
        <v>29</v>
      </c>
      <c r="I154" s="48">
        <v>1</v>
      </c>
      <c r="J154" s="49" t="s">
        <v>237</v>
      </c>
      <c r="K154" s="17" t="b">
        <v>0</v>
      </c>
      <c r="L154" s="49" t="s">
        <v>38</v>
      </c>
      <c r="M154" s="48">
        <v>2</v>
      </c>
      <c r="N154" s="48" t="s">
        <v>83</v>
      </c>
      <c r="O154" s="48" t="s">
        <v>62</v>
      </c>
      <c r="P154" s="48">
        <v>200</v>
      </c>
      <c r="Q154" s="48">
        <f t="array" ref="Q154">_xlfn.IFS($O154="Attacker",6,$O154="Healer",3,$O154="Magician",4,$O154="Defender",3,$O154="Supporter",4)</f>
        <v>3</v>
      </c>
      <c r="R154" s="48">
        <f t="array" ref="R154">_xlfn.IFS($O154="Attacker",6,$O154="Healer",3,$O154="Magician",4,$O154="Defender",3,$O154="Supporter",4)</f>
        <v>3</v>
      </c>
      <c r="S154" s="48">
        <v>1</v>
      </c>
      <c r="T154" s="48">
        <v>0</v>
      </c>
      <c r="U154" s="48">
        <v>0</v>
      </c>
      <c r="V154" s="48" t="s">
        <v>41</v>
      </c>
      <c r="W154" s="48">
        <f t="array" ref="W154">_xlfn.IFS(O154="Attacker",80,O154="Healer",90,O154="Magician",100,O154="Defender",110,O154="Supporter",120)</f>
        <v>110</v>
      </c>
      <c r="X154" s="48" t="s">
        <v>42</v>
      </c>
      <c r="Y154" s="32">
        <v>7500</v>
      </c>
      <c r="Z154" s="32" t="s">
        <v>43</v>
      </c>
      <c r="AA154" s="32">
        <v>700</v>
      </c>
      <c r="AB154" s="32" t="s">
        <v>44</v>
      </c>
      <c r="AC154" s="32">
        <v>0</v>
      </c>
      <c r="AD154" s="32" t="s">
        <v>45</v>
      </c>
      <c r="AE154" s="32">
        <v>0</v>
      </c>
      <c r="AF154" s="48" t="s">
        <v>46</v>
      </c>
      <c r="AG154" s="48">
        <v>100</v>
      </c>
      <c r="AH154" s="48" t="s">
        <v>47</v>
      </c>
      <c r="AI154" s="48">
        <v>100</v>
      </c>
      <c r="AJ154" s="48" t="s">
        <v>48</v>
      </c>
      <c r="AK154" s="48">
        <v>5000</v>
      </c>
      <c r="AL154" s="48" t="s">
        <v>49</v>
      </c>
      <c r="AM154" s="48">
        <v>150000</v>
      </c>
      <c r="AN154" s="48">
        <v>1942011</v>
      </c>
      <c r="AO154" s="48" t="b">
        <v>1</v>
      </c>
      <c r="AP154" s="48">
        <v>0</v>
      </c>
      <c r="AQ154" s="48" t="b">
        <v>0</v>
      </c>
      <c r="AR154" s="48">
        <v>3942011</v>
      </c>
      <c r="AS154" s="48" t="b">
        <v>1</v>
      </c>
      <c r="AT154" s="48">
        <v>0</v>
      </c>
      <c r="AU154" s="48" t="b">
        <v>0</v>
      </c>
    </row>
    <row r="155" spans="1:47" x14ac:dyDescent="0.3">
      <c r="A155" s="45">
        <v>20510101</v>
      </c>
      <c r="B155" s="45" t="s">
        <v>376</v>
      </c>
      <c r="C155" s="45">
        <v>205101</v>
      </c>
      <c r="D155" s="45">
        <v>0</v>
      </c>
      <c r="E155" s="45" t="s">
        <v>410</v>
      </c>
      <c r="F155" s="45"/>
      <c r="G155" s="45" t="s">
        <v>333</v>
      </c>
      <c r="H155" s="45" t="s">
        <v>29</v>
      </c>
      <c r="I155" s="45">
        <v>1</v>
      </c>
      <c r="J155" s="46" t="s">
        <v>237</v>
      </c>
      <c r="K155" s="17" t="b">
        <v>0</v>
      </c>
      <c r="L155" s="46" t="s">
        <v>38</v>
      </c>
      <c r="M155" s="45">
        <v>2</v>
      </c>
      <c r="N155" s="45" t="s">
        <v>61</v>
      </c>
      <c r="O155" s="45" t="s">
        <v>62</v>
      </c>
      <c r="P155" s="45">
        <v>200</v>
      </c>
      <c r="Q155" s="45">
        <f t="array" ref="Q155">_xlfn.IFS($O155="Attacker",6,$O155="Healer",3,$O155="Magician",4,$O155="Defender",3,$O155="Supporter",4)</f>
        <v>3</v>
      </c>
      <c r="R155" s="45">
        <f t="array" ref="R155">_xlfn.IFS($O155="Attacker",6,$O155="Healer",3,$O155="Magician",4,$O155="Defender",3,$O155="Supporter",4)</f>
        <v>3</v>
      </c>
      <c r="S155" s="45">
        <v>1</v>
      </c>
      <c r="T155" s="45">
        <v>0</v>
      </c>
      <c r="U155" s="45">
        <v>0</v>
      </c>
      <c r="V155" s="45" t="s">
        <v>41</v>
      </c>
      <c r="W155" s="45">
        <f t="array" ref="W155">_xlfn.IFS(O155="Attacker",80,O155="Healer",90,O155="Magician",100,O155="Defender",110,O155="Supporter",120)</f>
        <v>110</v>
      </c>
      <c r="X155" s="45" t="s">
        <v>42</v>
      </c>
      <c r="Y155" s="32">
        <v>7500</v>
      </c>
      <c r="Z155" s="32" t="s">
        <v>43</v>
      </c>
      <c r="AA155" s="32">
        <v>700</v>
      </c>
      <c r="AB155" s="32" t="s">
        <v>44</v>
      </c>
      <c r="AC155" s="32">
        <v>0</v>
      </c>
      <c r="AD155" s="32" t="s">
        <v>45</v>
      </c>
      <c r="AE155" s="32">
        <v>0</v>
      </c>
      <c r="AF155" s="45" t="s">
        <v>46</v>
      </c>
      <c r="AG155" s="45">
        <v>100</v>
      </c>
      <c r="AH155" s="45" t="s">
        <v>47</v>
      </c>
      <c r="AI155" s="45">
        <v>100</v>
      </c>
      <c r="AJ155" s="45" t="s">
        <v>48</v>
      </c>
      <c r="AK155" s="45">
        <v>5000</v>
      </c>
      <c r="AL155" s="45" t="s">
        <v>49</v>
      </c>
      <c r="AM155" s="45">
        <v>150000</v>
      </c>
      <c r="AN155" s="45">
        <v>1942031</v>
      </c>
      <c r="AO155" s="45" t="b">
        <v>1</v>
      </c>
      <c r="AP155" s="45">
        <v>0</v>
      </c>
      <c r="AQ155" s="45" t="b">
        <v>0</v>
      </c>
      <c r="AR155" s="45">
        <v>3942031</v>
      </c>
      <c r="AS155" s="45" t="b">
        <v>1</v>
      </c>
      <c r="AT155" s="45">
        <v>0</v>
      </c>
      <c r="AU155" s="45" t="b">
        <v>0</v>
      </c>
    </row>
    <row r="156" spans="1:47" x14ac:dyDescent="0.3">
      <c r="A156" s="45">
        <v>12240101</v>
      </c>
      <c r="B156" s="45" t="s">
        <v>362</v>
      </c>
      <c r="C156" s="45">
        <v>122401</v>
      </c>
      <c r="D156" s="45">
        <v>0</v>
      </c>
      <c r="E156" s="45" t="s">
        <v>411</v>
      </c>
      <c r="F156" s="45"/>
      <c r="G156" s="45" t="s">
        <v>333</v>
      </c>
      <c r="H156" s="45" t="s">
        <v>29</v>
      </c>
      <c r="I156" s="45">
        <v>1</v>
      </c>
      <c r="J156" s="46" t="s">
        <v>237</v>
      </c>
      <c r="K156" s="17" t="b">
        <v>0</v>
      </c>
      <c r="L156" s="46" t="s">
        <v>38</v>
      </c>
      <c r="M156" s="45">
        <v>2</v>
      </c>
      <c r="N156" s="45" t="s">
        <v>39</v>
      </c>
      <c r="O156" s="45" t="s">
        <v>76</v>
      </c>
      <c r="P156" s="45">
        <v>200</v>
      </c>
      <c r="Q156" s="45">
        <f t="array" ref="Q156">_xlfn.IFS($O156="Attacker",6,$O156="Healer",3,$O156="Magician",4,$O156="Defender",3,$O156="Supporter",4)</f>
        <v>4</v>
      </c>
      <c r="R156" s="45">
        <f t="array" ref="R156">_xlfn.IFS($O156="Attacker",6,$O156="Healer",3,$O156="Magician",4,$O156="Defender",3,$O156="Supporter",4)</f>
        <v>4</v>
      </c>
      <c r="S156" s="45">
        <v>1</v>
      </c>
      <c r="T156" s="45">
        <v>0</v>
      </c>
      <c r="U156" s="45">
        <v>0</v>
      </c>
      <c r="V156" s="45" t="s">
        <v>41</v>
      </c>
      <c r="W156" s="45">
        <f t="array" ref="W156">_xlfn.IFS(O156="Attacker",80,O156="Healer",90,O156="Magician",100,O156="Defender",110,O156="Supporter",120)</f>
        <v>100</v>
      </c>
      <c r="X156" s="45" t="s">
        <v>42</v>
      </c>
      <c r="Y156" s="32">
        <v>7500</v>
      </c>
      <c r="Z156" s="32" t="s">
        <v>43</v>
      </c>
      <c r="AA156" s="32">
        <v>700</v>
      </c>
      <c r="AB156" s="32" t="s">
        <v>44</v>
      </c>
      <c r="AC156" s="32">
        <v>0</v>
      </c>
      <c r="AD156" s="32" t="s">
        <v>45</v>
      </c>
      <c r="AE156" s="32">
        <v>0</v>
      </c>
      <c r="AF156" s="45" t="s">
        <v>46</v>
      </c>
      <c r="AG156" s="45">
        <v>100</v>
      </c>
      <c r="AH156" s="45" t="s">
        <v>47</v>
      </c>
      <c r="AI156" s="45">
        <v>100</v>
      </c>
      <c r="AJ156" s="45" t="s">
        <v>48</v>
      </c>
      <c r="AK156" s="45">
        <v>5000</v>
      </c>
      <c r="AL156" s="45" t="s">
        <v>49</v>
      </c>
      <c r="AM156" s="45">
        <v>150000</v>
      </c>
      <c r="AN156" s="45">
        <v>1942041</v>
      </c>
      <c r="AO156" s="45" t="b">
        <v>1</v>
      </c>
      <c r="AP156" s="45">
        <v>0</v>
      </c>
      <c r="AQ156" s="45" t="b">
        <v>0</v>
      </c>
      <c r="AR156" s="45">
        <v>3942041</v>
      </c>
      <c r="AS156" s="45" t="b">
        <v>1</v>
      </c>
      <c r="AT156" s="45">
        <v>0</v>
      </c>
      <c r="AU156" s="45" t="b">
        <v>0</v>
      </c>
    </row>
    <row r="157" spans="1:47" s="31" customFormat="1" x14ac:dyDescent="0.3">
      <c r="A157" s="17">
        <v>20400102</v>
      </c>
      <c r="B157" s="17" t="s">
        <v>374</v>
      </c>
      <c r="C157" s="17">
        <v>204001</v>
      </c>
      <c r="D157" s="17">
        <v>0</v>
      </c>
      <c r="E157" s="17" t="s">
        <v>412</v>
      </c>
      <c r="F157" s="17"/>
      <c r="G157" s="17" t="s">
        <v>333</v>
      </c>
      <c r="H157" s="17" t="s">
        <v>29</v>
      </c>
      <c r="I157" s="17">
        <v>2</v>
      </c>
      <c r="J157" s="24" t="s">
        <v>237</v>
      </c>
      <c r="K157" s="17" t="b">
        <v>0</v>
      </c>
      <c r="L157" s="24" t="s">
        <v>38</v>
      </c>
      <c r="M157" s="17">
        <v>2</v>
      </c>
      <c r="N157" s="17" t="s">
        <v>61</v>
      </c>
      <c r="O157" s="17" t="s">
        <v>62</v>
      </c>
      <c r="P157" s="17">
        <v>200</v>
      </c>
      <c r="Q157" s="17">
        <f t="array" ref="Q157">_xlfn.IFS($O157="Attacker",6,$O157="Healer",3,$O157="Magician",4,$O157="Defender",3,$O157="Supporter",4)</f>
        <v>3</v>
      </c>
      <c r="R157" s="17">
        <f t="array" ref="R157">_xlfn.IFS($O157="Attacker",6,$O157="Healer",3,$O157="Magician",4,$O157="Defender",3,$O157="Supporter",4)</f>
        <v>3</v>
      </c>
      <c r="S157" s="17">
        <v>1</v>
      </c>
      <c r="T157" s="17">
        <v>0</v>
      </c>
      <c r="U157" s="17">
        <v>0</v>
      </c>
      <c r="V157" s="17" t="s">
        <v>41</v>
      </c>
      <c r="W157" s="17">
        <f t="array" ref="W157">_xlfn.IFS(O157="Attacker",80,O157="Healer",90,O157="Magician",100,O157="Defender",110,O157="Supporter",120)</f>
        <v>110</v>
      </c>
      <c r="X157" s="17" t="s">
        <v>42</v>
      </c>
      <c r="Y157" s="17">
        <v>7500</v>
      </c>
      <c r="Z157" s="17" t="s">
        <v>43</v>
      </c>
      <c r="AA157" s="17">
        <v>700</v>
      </c>
      <c r="AB157" s="17" t="s">
        <v>44</v>
      </c>
      <c r="AC157" s="17">
        <v>20</v>
      </c>
      <c r="AD157" s="17" t="s">
        <v>45</v>
      </c>
      <c r="AE157" s="17">
        <v>0</v>
      </c>
      <c r="AF157" s="17" t="s">
        <v>46</v>
      </c>
      <c r="AG157" s="17">
        <v>100</v>
      </c>
      <c r="AH157" s="17" t="s">
        <v>47</v>
      </c>
      <c r="AI157" s="17">
        <v>100</v>
      </c>
      <c r="AJ157" s="17" t="s">
        <v>48</v>
      </c>
      <c r="AK157" s="17">
        <v>5000</v>
      </c>
      <c r="AL157" s="17" t="s">
        <v>49</v>
      </c>
      <c r="AM157" s="17">
        <v>150000</v>
      </c>
      <c r="AN157" s="17">
        <v>1942021</v>
      </c>
      <c r="AO157" s="17" t="b">
        <v>1</v>
      </c>
      <c r="AP157" s="17">
        <v>0</v>
      </c>
      <c r="AQ157" s="17" t="b">
        <v>0</v>
      </c>
      <c r="AR157" s="17">
        <v>3942021</v>
      </c>
      <c r="AS157" s="17" t="b">
        <v>1</v>
      </c>
      <c r="AT157" s="17">
        <v>0</v>
      </c>
      <c r="AU157" s="17" t="b">
        <v>0</v>
      </c>
    </row>
    <row r="158" spans="1:47" s="43" customFormat="1" x14ac:dyDescent="0.3">
      <c r="A158" s="30">
        <v>20540102</v>
      </c>
      <c r="B158" s="30" t="s">
        <v>407</v>
      </c>
      <c r="C158" s="30">
        <v>205401</v>
      </c>
      <c r="D158" s="30">
        <v>0</v>
      </c>
      <c r="E158" s="30" t="s">
        <v>413</v>
      </c>
      <c r="F158" s="30"/>
      <c r="G158" s="30" t="s">
        <v>333</v>
      </c>
      <c r="H158" s="30" t="s">
        <v>29</v>
      </c>
      <c r="I158" s="30">
        <v>2</v>
      </c>
      <c r="J158" s="27" t="s">
        <v>237</v>
      </c>
      <c r="K158" s="17" t="b">
        <v>0</v>
      </c>
      <c r="L158" s="38" t="s">
        <v>38</v>
      </c>
      <c r="M158" s="30">
        <v>2</v>
      </c>
      <c r="N158" s="30" t="s">
        <v>83</v>
      </c>
      <c r="O158" s="30" t="s">
        <v>62</v>
      </c>
      <c r="P158" s="30">
        <v>200</v>
      </c>
      <c r="Q158" s="30">
        <f t="array" ref="Q158">_xlfn.IFS($O158="Attacker",6,$O158="Healer",3,$O158="Magician",4,$O158="Defender",3,$O158="Supporter",4)</f>
        <v>3</v>
      </c>
      <c r="R158" s="30">
        <f t="array" ref="R158">_xlfn.IFS($O158="Attacker",6,$O158="Healer",3,$O158="Magician",4,$O158="Defender",3,$O158="Supporter",4)</f>
        <v>3</v>
      </c>
      <c r="S158" s="30">
        <v>1</v>
      </c>
      <c r="T158" s="30">
        <v>0</v>
      </c>
      <c r="U158" s="30">
        <v>0</v>
      </c>
      <c r="V158" s="30" t="s">
        <v>41</v>
      </c>
      <c r="W158" s="30">
        <f t="array" ref="W158">_xlfn.IFS(O158="Attacker",80,O158="Healer",90,O158="Magician",100,O158="Defender",110,O158="Supporter",120)</f>
        <v>110</v>
      </c>
      <c r="X158" s="30" t="s">
        <v>42</v>
      </c>
      <c r="Y158" s="17">
        <v>7500</v>
      </c>
      <c r="Z158" s="17" t="s">
        <v>43</v>
      </c>
      <c r="AA158" s="17">
        <v>700</v>
      </c>
      <c r="AB158" s="17" t="s">
        <v>44</v>
      </c>
      <c r="AC158" s="17">
        <v>20</v>
      </c>
      <c r="AD158" s="17" t="s">
        <v>45</v>
      </c>
      <c r="AE158" s="17">
        <v>0</v>
      </c>
      <c r="AF158" s="30" t="s">
        <v>46</v>
      </c>
      <c r="AG158" s="30">
        <v>100</v>
      </c>
      <c r="AH158" s="30" t="s">
        <v>47</v>
      </c>
      <c r="AI158" s="30">
        <v>100</v>
      </c>
      <c r="AJ158" s="30" t="s">
        <v>48</v>
      </c>
      <c r="AK158" s="30">
        <v>5000</v>
      </c>
      <c r="AL158" s="30" t="s">
        <v>49</v>
      </c>
      <c r="AM158" s="30">
        <v>150000</v>
      </c>
      <c r="AN158" s="30">
        <v>1942051</v>
      </c>
      <c r="AO158" s="30" t="b">
        <v>1</v>
      </c>
      <c r="AP158" s="30">
        <v>2942051</v>
      </c>
      <c r="AQ158" s="30" t="b">
        <v>1</v>
      </c>
      <c r="AR158" s="30">
        <v>3942051</v>
      </c>
      <c r="AS158" s="30" t="b">
        <v>1</v>
      </c>
      <c r="AT158" s="30">
        <v>0</v>
      </c>
      <c r="AU158" s="30" t="b">
        <v>0</v>
      </c>
    </row>
    <row r="159" spans="1:47" s="44" customFormat="1" x14ac:dyDescent="0.3">
      <c r="A159" s="30">
        <v>20380102</v>
      </c>
      <c r="B159" s="30" t="s">
        <v>372</v>
      </c>
      <c r="C159" s="30">
        <v>203801</v>
      </c>
      <c r="D159" s="30">
        <v>0</v>
      </c>
      <c r="E159" s="30" t="s">
        <v>414</v>
      </c>
      <c r="F159" s="30"/>
      <c r="G159" s="30" t="s">
        <v>333</v>
      </c>
      <c r="H159" s="30" t="s">
        <v>29</v>
      </c>
      <c r="I159" s="30">
        <v>2</v>
      </c>
      <c r="J159" s="38" t="s">
        <v>237</v>
      </c>
      <c r="K159" s="17" t="b">
        <v>0</v>
      </c>
      <c r="L159" s="38" t="s">
        <v>38</v>
      </c>
      <c r="M159" s="30">
        <v>2</v>
      </c>
      <c r="N159" s="30" t="s">
        <v>83</v>
      </c>
      <c r="O159" s="30" t="s">
        <v>62</v>
      </c>
      <c r="P159" s="30">
        <v>200</v>
      </c>
      <c r="Q159" s="30">
        <f t="array" ref="Q159">_xlfn.IFS($O159="Attacker",6,$O159="Healer",3,$O159="Magician",4,$O159="Defender",3,$O159="Supporter",4)</f>
        <v>3</v>
      </c>
      <c r="R159" s="30">
        <f t="array" ref="R159">_xlfn.IFS($O159="Attacker",6,$O159="Healer",3,$O159="Magician",4,$O159="Defender",3,$O159="Supporter",4)</f>
        <v>3</v>
      </c>
      <c r="S159" s="30">
        <v>1</v>
      </c>
      <c r="T159" s="30">
        <v>0</v>
      </c>
      <c r="U159" s="30">
        <v>0</v>
      </c>
      <c r="V159" s="30" t="s">
        <v>41</v>
      </c>
      <c r="W159" s="30">
        <f t="array" ref="W159">_xlfn.IFS(O159="Attacker",80,O159="Healer",90,O159="Magician",100,O159="Defender",110,O159="Supporter",120)</f>
        <v>110</v>
      </c>
      <c r="X159" s="30" t="s">
        <v>42</v>
      </c>
      <c r="Y159" s="17">
        <v>7500</v>
      </c>
      <c r="Z159" s="17" t="s">
        <v>43</v>
      </c>
      <c r="AA159" s="17">
        <v>700</v>
      </c>
      <c r="AB159" s="17" t="s">
        <v>44</v>
      </c>
      <c r="AC159" s="17">
        <v>20</v>
      </c>
      <c r="AD159" s="17" t="s">
        <v>45</v>
      </c>
      <c r="AE159" s="17">
        <v>0</v>
      </c>
      <c r="AF159" s="30" t="s">
        <v>46</v>
      </c>
      <c r="AG159" s="30">
        <v>100</v>
      </c>
      <c r="AH159" s="30" t="s">
        <v>47</v>
      </c>
      <c r="AI159" s="30">
        <v>100</v>
      </c>
      <c r="AJ159" s="30" t="s">
        <v>48</v>
      </c>
      <c r="AK159" s="30">
        <v>5000</v>
      </c>
      <c r="AL159" s="30" t="s">
        <v>49</v>
      </c>
      <c r="AM159" s="30">
        <v>150000</v>
      </c>
      <c r="AN159" s="30">
        <v>1942011</v>
      </c>
      <c r="AO159" s="30" t="b">
        <v>1</v>
      </c>
      <c r="AP159" s="30">
        <v>0</v>
      </c>
      <c r="AQ159" s="30" t="b">
        <v>0</v>
      </c>
      <c r="AR159" s="30">
        <v>3942011</v>
      </c>
      <c r="AS159" s="30" t="b">
        <v>1</v>
      </c>
      <c r="AT159" s="30">
        <v>0</v>
      </c>
      <c r="AU159" s="30" t="b">
        <v>0</v>
      </c>
    </row>
    <row r="160" spans="1:47" s="44" customFormat="1" x14ac:dyDescent="0.3">
      <c r="A160" s="29">
        <v>20510102</v>
      </c>
      <c r="B160" s="29" t="s">
        <v>376</v>
      </c>
      <c r="C160" s="29">
        <v>205101</v>
      </c>
      <c r="D160" s="29">
        <v>0</v>
      </c>
      <c r="E160" s="29" t="s">
        <v>415</v>
      </c>
      <c r="F160" s="29"/>
      <c r="G160" s="29" t="s">
        <v>333</v>
      </c>
      <c r="H160" s="29" t="s">
        <v>29</v>
      </c>
      <c r="I160" s="29">
        <v>2</v>
      </c>
      <c r="J160" s="27" t="s">
        <v>237</v>
      </c>
      <c r="K160" s="17" t="b">
        <v>0</v>
      </c>
      <c r="L160" s="27" t="s">
        <v>38</v>
      </c>
      <c r="M160" s="29">
        <v>2</v>
      </c>
      <c r="N160" s="29" t="s">
        <v>61</v>
      </c>
      <c r="O160" s="29" t="s">
        <v>62</v>
      </c>
      <c r="P160" s="29">
        <v>200</v>
      </c>
      <c r="Q160" s="29">
        <f t="array" ref="Q160">_xlfn.IFS($O160="Attacker",6,$O160="Healer",3,$O160="Magician",4,$O160="Defender",3,$O160="Supporter",4)</f>
        <v>3</v>
      </c>
      <c r="R160" s="29">
        <f t="array" ref="R160">_xlfn.IFS($O160="Attacker",6,$O160="Healer",3,$O160="Magician",4,$O160="Defender",3,$O160="Supporter",4)</f>
        <v>3</v>
      </c>
      <c r="S160" s="29">
        <v>1</v>
      </c>
      <c r="T160" s="29">
        <v>0</v>
      </c>
      <c r="U160" s="29">
        <v>0</v>
      </c>
      <c r="V160" s="29" t="s">
        <v>41</v>
      </c>
      <c r="W160" s="29">
        <f t="array" ref="W160">_xlfn.IFS(O160="Attacker",80,O160="Healer",90,O160="Magician",100,O160="Defender",110,O160="Supporter",120)</f>
        <v>110</v>
      </c>
      <c r="X160" s="29" t="s">
        <v>42</v>
      </c>
      <c r="Y160" s="17">
        <v>7500</v>
      </c>
      <c r="Z160" s="17" t="s">
        <v>43</v>
      </c>
      <c r="AA160" s="17">
        <v>700</v>
      </c>
      <c r="AB160" s="17" t="s">
        <v>44</v>
      </c>
      <c r="AC160" s="17">
        <v>20</v>
      </c>
      <c r="AD160" s="17" t="s">
        <v>45</v>
      </c>
      <c r="AE160" s="17">
        <v>0</v>
      </c>
      <c r="AF160" s="29" t="s">
        <v>46</v>
      </c>
      <c r="AG160" s="29">
        <v>100</v>
      </c>
      <c r="AH160" s="29" t="s">
        <v>47</v>
      </c>
      <c r="AI160" s="29">
        <v>100</v>
      </c>
      <c r="AJ160" s="29" t="s">
        <v>48</v>
      </c>
      <c r="AK160" s="29">
        <v>5000</v>
      </c>
      <c r="AL160" s="29" t="s">
        <v>49</v>
      </c>
      <c r="AM160" s="29">
        <v>150000</v>
      </c>
      <c r="AN160" s="29">
        <v>1942031</v>
      </c>
      <c r="AO160" s="29" t="b">
        <v>1</v>
      </c>
      <c r="AP160" s="29">
        <v>0</v>
      </c>
      <c r="AQ160" s="29" t="b">
        <v>0</v>
      </c>
      <c r="AR160" s="29">
        <v>3942031</v>
      </c>
      <c r="AS160" s="29" t="b">
        <v>1</v>
      </c>
      <c r="AT160" s="29">
        <v>0</v>
      </c>
      <c r="AU160" s="29" t="b">
        <v>0</v>
      </c>
    </row>
    <row r="161" spans="1:47" s="47" customFormat="1" x14ac:dyDescent="0.3">
      <c r="A161" s="29">
        <v>12240102</v>
      </c>
      <c r="B161" s="29" t="s">
        <v>362</v>
      </c>
      <c r="C161" s="29">
        <v>122401</v>
      </c>
      <c r="D161" s="29">
        <v>0</v>
      </c>
      <c r="E161" s="29" t="s">
        <v>416</v>
      </c>
      <c r="F161" s="29"/>
      <c r="G161" s="29" t="s">
        <v>333</v>
      </c>
      <c r="H161" s="29" t="s">
        <v>29</v>
      </c>
      <c r="I161" s="29">
        <v>2</v>
      </c>
      <c r="J161" s="27" t="s">
        <v>237</v>
      </c>
      <c r="K161" s="17" t="b">
        <v>0</v>
      </c>
      <c r="L161" s="27" t="s">
        <v>38</v>
      </c>
      <c r="M161" s="29">
        <v>2</v>
      </c>
      <c r="N161" s="29" t="s">
        <v>39</v>
      </c>
      <c r="O161" s="29" t="s">
        <v>76</v>
      </c>
      <c r="P161" s="29">
        <v>200</v>
      </c>
      <c r="Q161" s="29">
        <f t="array" ref="Q161">_xlfn.IFS($O161="Attacker",6,$O161="Healer",3,$O161="Magician",4,$O161="Defender",3,$O161="Supporter",4)</f>
        <v>4</v>
      </c>
      <c r="R161" s="29">
        <f t="array" ref="R161">_xlfn.IFS($O161="Attacker",6,$O161="Healer",3,$O161="Magician",4,$O161="Defender",3,$O161="Supporter",4)</f>
        <v>4</v>
      </c>
      <c r="S161" s="29">
        <v>1</v>
      </c>
      <c r="T161" s="29">
        <v>0</v>
      </c>
      <c r="U161" s="29">
        <v>0</v>
      </c>
      <c r="V161" s="29" t="s">
        <v>41</v>
      </c>
      <c r="W161" s="29">
        <f t="array" ref="W161">_xlfn.IFS(O161="Attacker",80,O161="Healer",90,O161="Magician",100,O161="Defender",110,O161="Supporter",120)</f>
        <v>100</v>
      </c>
      <c r="X161" s="29" t="s">
        <v>42</v>
      </c>
      <c r="Y161" s="17">
        <v>7500</v>
      </c>
      <c r="Z161" s="17" t="s">
        <v>43</v>
      </c>
      <c r="AA161" s="17">
        <v>700</v>
      </c>
      <c r="AB161" s="17" t="s">
        <v>44</v>
      </c>
      <c r="AC161" s="17">
        <v>20</v>
      </c>
      <c r="AD161" s="17" t="s">
        <v>45</v>
      </c>
      <c r="AE161" s="17">
        <v>0</v>
      </c>
      <c r="AF161" s="29" t="s">
        <v>46</v>
      </c>
      <c r="AG161" s="29">
        <v>100</v>
      </c>
      <c r="AH161" s="29" t="s">
        <v>47</v>
      </c>
      <c r="AI161" s="29">
        <v>100</v>
      </c>
      <c r="AJ161" s="29" t="s">
        <v>48</v>
      </c>
      <c r="AK161" s="29">
        <v>5000</v>
      </c>
      <c r="AL161" s="29" t="s">
        <v>49</v>
      </c>
      <c r="AM161" s="29">
        <v>150000</v>
      </c>
      <c r="AN161" s="29">
        <v>1942041</v>
      </c>
      <c r="AO161" s="29" t="b">
        <v>1</v>
      </c>
      <c r="AP161" s="29">
        <v>0</v>
      </c>
      <c r="AQ161" s="29" t="b">
        <v>0</v>
      </c>
      <c r="AR161" s="29">
        <v>3942041</v>
      </c>
      <c r="AS161" s="29" t="b">
        <v>1</v>
      </c>
      <c r="AT161" s="29">
        <v>0</v>
      </c>
      <c r="AU161" s="29" t="b">
        <v>0</v>
      </c>
    </row>
    <row r="162" spans="1:47" s="47" customFormat="1" x14ac:dyDescent="0.3">
      <c r="A162" s="48">
        <v>20380103</v>
      </c>
      <c r="B162" s="48" t="s">
        <v>372</v>
      </c>
      <c r="C162" s="48">
        <v>203801</v>
      </c>
      <c r="D162" s="48">
        <v>0</v>
      </c>
      <c r="E162" s="48" t="s">
        <v>417</v>
      </c>
      <c r="F162" s="48"/>
      <c r="G162" s="48" t="s">
        <v>333</v>
      </c>
      <c r="H162" s="48" t="s">
        <v>29</v>
      </c>
      <c r="I162" s="48">
        <v>3</v>
      </c>
      <c r="J162" s="49" t="s">
        <v>237</v>
      </c>
      <c r="K162" s="17" t="b">
        <v>0</v>
      </c>
      <c r="L162" s="49" t="s">
        <v>38</v>
      </c>
      <c r="M162" s="48">
        <v>2</v>
      </c>
      <c r="N162" s="48" t="s">
        <v>83</v>
      </c>
      <c r="O162" s="48" t="s">
        <v>62</v>
      </c>
      <c r="P162" s="48">
        <v>200</v>
      </c>
      <c r="Q162" s="48">
        <f t="array" ref="Q162">_xlfn.IFS($O162="Attacker",6,$O162="Healer",3,$O162="Magician",4,$O162="Defender",3,$O162="Supporter",4)</f>
        <v>3</v>
      </c>
      <c r="R162" s="48">
        <f t="array" ref="R162">_xlfn.IFS($O162="Attacker",6,$O162="Healer",3,$O162="Magician",4,$O162="Defender",3,$O162="Supporter",4)</f>
        <v>3</v>
      </c>
      <c r="S162" s="48">
        <v>1</v>
      </c>
      <c r="T162" s="48">
        <v>0</v>
      </c>
      <c r="U162" s="48">
        <v>0</v>
      </c>
      <c r="V162" s="48" t="s">
        <v>41</v>
      </c>
      <c r="W162" s="48">
        <f t="array" ref="W162">_xlfn.IFS(O162="Attacker",80,O162="Healer",90,O162="Magician",100,O162="Defender",110,O162="Supporter",120)</f>
        <v>110</v>
      </c>
      <c r="X162" s="48" t="s">
        <v>42</v>
      </c>
      <c r="Y162" s="32">
        <v>20000</v>
      </c>
      <c r="Z162" s="32" t="s">
        <v>43</v>
      </c>
      <c r="AA162" s="32">
        <v>1125</v>
      </c>
      <c r="AB162" s="32" t="s">
        <v>44</v>
      </c>
      <c r="AC162" s="32">
        <v>0</v>
      </c>
      <c r="AD162" s="32" t="s">
        <v>45</v>
      </c>
      <c r="AE162" s="32">
        <v>0</v>
      </c>
      <c r="AF162" s="48" t="s">
        <v>46</v>
      </c>
      <c r="AG162" s="48">
        <v>100</v>
      </c>
      <c r="AH162" s="48" t="s">
        <v>47</v>
      </c>
      <c r="AI162" s="48">
        <v>80</v>
      </c>
      <c r="AJ162" s="48" t="s">
        <v>48</v>
      </c>
      <c r="AK162" s="48">
        <v>5000</v>
      </c>
      <c r="AL162" s="48" t="s">
        <v>49</v>
      </c>
      <c r="AM162" s="48">
        <v>150000</v>
      </c>
      <c r="AN162" s="48">
        <v>1942011</v>
      </c>
      <c r="AO162" s="48" t="b">
        <v>1</v>
      </c>
      <c r="AP162" s="48">
        <v>0</v>
      </c>
      <c r="AQ162" s="48" t="b">
        <v>0</v>
      </c>
      <c r="AR162" s="48">
        <v>3942011</v>
      </c>
      <c r="AS162" s="48" t="b">
        <v>1</v>
      </c>
      <c r="AT162" s="48">
        <v>0</v>
      </c>
      <c r="AU162" s="48" t="b">
        <v>0</v>
      </c>
    </row>
    <row r="163" spans="1:47" x14ac:dyDescent="0.3">
      <c r="A163" s="32">
        <v>20400103</v>
      </c>
      <c r="B163" s="32" t="s">
        <v>374</v>
      </c>
      <c r="C163" s="32">
        <v>204001</v>
      </c>
      <c r="D163" s="32">
        <v>0</v>
      </c>
      <c r="E163" s="32" t="s">
        <v>418</v>
      </c>
      <c r="F163" s="32"/>
      <c r="G163" s="32" t="s">
        <v>333</v>
      </c>
      <c r="H163" s="32" t="s">
        <v>29</v>
      </c>
      <c r="I163" s="32">
        <v>3</v>
      </c>
      <c r="J163" s="42" t="s">
        <v>237</v>
      </c>
      <c r="K163" s="17" t="b">
        <v>0</v>
      </c>
      <c r="L163" s="42" t="s">
        <v>38</v>
      </c>
      <c r="M163" s="32">
        <v>2</v>
      </c>
      <c r="N163" s="32" t="s">
        <v>61</v>
      </c>
      <c r="O163" s="32" t="s">
        <v>62</v>
      </c>
      <c r="P163" s="32">
        <v>200</v>
      </c>
      <c r="Q163" s="32">
        <f t="array" ref="Q163">_xlfn.IFS($O163="Attacker",6,$O163="Healer",3,$O163="Magician",4,$O163="Defender",3,$O163="Supporter",4)</f>
        <v>3</v>
      </c>
      <c r="R163" s="32">
        <f t="array" ref="R163">_xlfn.IFS($O163="Attacker",6,$O163="Healer",3,$O163="Magician",4,$O163="Defender",3,$O163="Supporter",4)</f>
        <v>3</v>
      </c>
      <c r="S163" s="32">
        <v>1</v>
      </c>
      <c r="T163" s="32">
        <v>0</v>
      </c>
      <c r="U163" s="32">
        <v>0</v>
      </c>
      <c r="V163" s="32" t="s">
        <v>41</v>
      </c>
      <c r="W163" s="32">
        <f t="array" ref="W163">_xlfn.IFS(O163="Attacker",80,O163="Healer",90,O163="Magician",100,O163="Defender",110,O163="Supporter",120)</f>
        <v>110</v>
      </c>
      <c r="X163" s="32" t="s">
        <v>42</v>
      </c>
      <c r="Y163" s="32">
        <v>20000</v>
      </c>
      <c r="Z163" s="32" t="s">
        <v>43</v>
      </c>
      <c r="AA163" s="32">
        <v>1125</v>
      </c>
      <c r="AB163" s="32" t="s">
        <v>44</v>
      </c>
      <c r="AC163" s="32">
        <v>0</v>
      </c>
      <c r="AD163" s="32" t="s">
        <v>45</v>
      </c>
      <c r="AE163" s="32">
        <v>0</v>
      </c>
      <c r="AF163" s="32" t="s">
        <v>46</v>
      </c>
      <c r="AG163" s="32">
        <v>100</v>
      </c>
      <c r="AH163" s="32" t="s">
        <v>47</v>
      </c>
      <c r="AI163" s="32">
        <v>80</v>
      </c>
      <c r="AJ163" s="32" t="s">
        <v>48</v>
      </c>
      <c r="AK163" s="32">
        <v>5000</v>
      </c>
      <c r="AL163" s="32" t="s">
        <v>49</v>
      </c>
      <c r="AM163" s="32">
        <v>150000</v>
      </c>
      <c r="AN163" s="32">
        <v>1942021</v>
      </c>
      <c r="AO163" s="32" t="b">
        <v>1</v>
      </c>
      <c r="AP163" s="32">
        <v>0</v>
      </c>
      <c r="AQ163" s="32" t="b">
        <v>0</v>
      </c>
      <c r="AR163" s="32">
        <v>3942021</v>
      </c>
      <c r="AS163" s="32" t="b">
        <v>1</v>
      </c>
      <c r="AT163" s="32">
        <v>0</v>
      </c>
      <c r="AU163" s="32" t="b">
        <v>0</v>
      </c>
    </row>
    <row r="164" spans="1:47" s="31" customFormat="1" x14ac:dyDescent="0.3">
      <c r="A164" s="45">
        <v>20510103</v>
      </c>
      <c r="B164" s="45" t="s">
        <v>376</v>
      </c>
      <c r="C164" s="45">
        <v>205101</v>
      </c>
      <c r="D164" s="45">
        <v>0</v>
      </c>
      <c r="E164" s="45" t="s">
        <v>419</v>
      </c>
      <c r="F164" s="45"/>
      <c r="G164" s="45" t="s">
        <v>333</v>
      </c>
      <c r="H164" s="45" t="s">
        <v>29</v>
      </c>
      <c r="I164" s="45">
        <v>3</v>
      </c>
      <c r="J164" s="46" t="s">
        <v>237</v>
      </c>
      <c r="K164" s="17" t="b">
        <v>0</v>
      </c>
      <c r="L164" s="46" t="s">
        <v>38</v>
      </c>
      <c r="M164" s="45">
        <v>2</v>
      </c>
      <c r="N164" s="45" t="s">
        <v>61</v>
      </c>
      <c r="O164" s="45" t="s">
        <v>62</v>
      </c>
      <c r="P164" s="45">
        <v>200</v>
      </c>
      <c r="Q164" s="45">
        <f t="array" ref="Q164">_xlfn.IFS($O164="Attacker",6,$O164="Healer",3,$O164="Magician",4,$O164="Defender",3,$O164="Supporter",4)</f>
        <v>3</v>
      </c>
      <c r="R164" s="45">
        <f t="array" ref="R164">_xlfn.IFS($O164="Attacker",6,$O164="Healer",3,$O164="Magician",4,$O164="Defender",3,$O164="Supporter",4)</f>
        <v>3</v>
      </c>
      <c r="S164" s="45">
        <v>1</v>
      </c>
      <c r="T164" s="45">
        <v>0</v>
      </c>
      <c r="U164" s="45">
        <v>0</v>
      </c>
      <c r="V164" s="45" t="s">
        <v>41</v>
      </c>
      <c r="W164" s="45">
        <f t="array" ref="W164">_xlfn.IFS(O164="Attacker",80,O164="Healer",90,O164="Magician",100,O164="Defender",110,O164="Supporter",120)</f>
        <v>110</v>
      </c>
      <c r="X164" s="45" t="s">
        <v>42</v>
      </c>
      <c r="Y164" s="32">
        <v>20000</v>
      </c>
      <c r="Z164" s="32" t="s">
        <v>43</v>
      </c>
      <c r="AA164" s="32">
        <v>1125</v>
      </c>
      <c r="AB164" s="32" t="s">
        <v>44</v>
      </c>
      <c r="AC164" s="32">
        <v>0</v>
      </c>
      <c r="AD164" s="32" t="s">
        <v>45</v>
      </c>
      <c r="AE164" s="32">
        <v>0</v>
      </c>
      <c r="AF164" s="45" t="s">
        <v>46</v>
      </c>
      <c r="AG164" s="45">
        <v>100</v>
      </c>
      <c r="AH164" s="45" t="s">
        <v>47</v>
      </c>
      <c r="AI164" s="45">
        <v>80</v>
      </c>
      <c r="AJ164" s="45" t="s">
        <v>48</v>
      </c>
      <c r="AK164" s="45">
        <v>5000</v>
      </c>
      <c r="AL164" s="45" t="s">
        <v>49</v>
      </c>
      <c r="AM164" s="45">
        <v>150000</v>
      </c>
      <c r="AN164" s="45">
        <v>1942031</v>
      </c>
      <c r="AO164" s="45" t="b">
        <v>1</v>
      </c>
      <c r="AP164" s="45">
        <v>0</v>
      </c>
      <c r="AQ164" s="45" t="b">
        <v>0</v>
      </c>
      <c r="AR164" s="45">
        <v>3942031</v>
      </c>
      <c r="AS164" s="45" t="b">
        <v>1</v>
      </c>
      <c r="AT164" s="45">
        <v>0</v>
      </c>
      <c r="AU164" s="45" t="b">
        <v>0</v>
      </c>
    </row>
    <row r="165" spans="1:47" s="31" customFormat="1" x14ac:dyDescent="0.3">
      <c r="A165" s="48">
        <v>20540103</v>
      </c>
      <c r="B165" s="48" t="s">
        <v>407</v>
      </c>
      <c r="C165" s="48">
        <v>205401</v>
      </c>
      <c r="D165" s="48">
        <v>0</v>
      </c>
      <c r="E165" s="48" t="s">
        <v>420</v>
      </c>
      <c r="F165" s="48"/>
      <c r="G165" s="48" t="s">
        <v>333</v>
      </c>
      <c r="H165" s="48" t="s">
        <v>29</v>
      </c>
      <c r="I165" s="48">
        <v>3</v>
      </c>
      <c r="J165" s="46" t="s">
        <v>237</v>
      </c>
      <c r="K165" s="17" t="b">
        <v>0</v>
      </c>
      <c r="L165" s="49" t="s">
        <v>38</v>
      </c>
      <c r="M165" s="48">
        <v>2</v>
      </c>
      <c r="N165" s="48" t="s">
        <v>61</v>
      </c>
      <c r="O165" s="48" t="s">
        <v>62</v>
      </c>
      <c r="P165" s="48">
        <v>200</v>
      </c>
      <c r="Q165" s="48">
        <f t="array" ref="Q165">_xlfn.IFS($O165="Attacker",6,$O165="Healer",3,$O165="Magician",4,$O165="Defender",3,$O165="Supporter",4)</f>
        <v>3</v>
      </c>
      <c r="R165" s="48">
        <f t="array" ref="R165">_xlfn.IFS($O165="Attacker",6,$O165="Healer",3,$O165="Magician",4,$O165="Defender",3,$O165="Supporter",4)</f>
        <v>3</v>
      </c>
      <c r="S165" s="48">
        <v>1</v>
      </c>
      <c r="T165" s="48">
        <v>0</v>
      </c>
      <c r="U165" s="48">
        <v>0</v>
      </c>
      <c r="V165" s="48" t="s">
        <v>41</v>
      </c>
      <c r="W165" s="48">
        <f t="array" ref="W165">_xlfn.IFS(O165="Attacker",80,O165="Healer",90,O165="Magician",100,O165="Defender",110,O165="Supporter",120)</f>
        <v>110</v>
      </c>
      <c r="X165" s="48" t="s">
        <v>42</v>
      </c>
      <c r="Y165" s="32">
        <v>20000</v>
      </c>
      <c r="Z165" s="32" t="s">
        <v>43</v>
      </c>
      <c r="AA165" s="32">
        <v>1125</v>
      </c>
      <c r="AB165" s="32" t="s">
        <v>44</v>
      </c>
      <c r="AC165" s="32">
        <v>0</v>
      </c>
      <c r="AD165" s="32" t="s">
        <v>45</v>
      </c>
      <c r="AE165" s="32">
        <v>0</v>
      </c>
      <c r="AF165" s="48" t="s">
        <v>46</v>
      </c>
      <c r="AG165" s="48">
        <v>100</v>
      </c>
      <c r="AH165" s="48" t="s">
        <v>47</v>
      </c>
      <c r="AI165" s="48">
        <v>80</v>
      </c>
      <c r="AJ165" s="48" t="s">
        <v>48</v>
      </c>
      <c r="AK165" s="48">
        <v>5000</v>
      </c>
      <c r="AL165" s="48" t="s">
        <v>49</v>
      </c>
      <c r="AM165" s="48">
        <v>150000</v>
      </c>
      <c r="AN165" s="48">
        <v>1942051</v>
      </c>
      <c r="AO165" s="48" t="b">
        <v>1</v>
      </c>
      <c r="AP165" s="48">
        <v>2942051</v>
      </c>
      <c r="AQ165" s="48" t="b">
        <v>1</v>
      </c>
      <c r="AR165" s="48">
        <v>3942051</v>
      </c>
      <c r="AS165" s="48" t="b">
        <v>1</v>
      </c>
      <c r="AT165" s="48">
        <v>0</v>
      </c>
      <c r="AU165" s="48" t="b">
        <v>0</v>
      </c>
    </row>
    <row r="166" spans="1:47" s="11" customFormat="1" x14ac:dyDescent="0.3">
      <c r="A166" s="45">
        <v>12240103</v>
      </c>
      <c r="B166" s="45" t="s">
        <v>362</v>
      </c>
      <c r="C166" s="45">
        <v>122401</v>
      </c>
      <c r="D166" s="45">
        <v>0</v>
      </c>
      <c r="E166" s="45" t="s">
        <v>421</v>
      </c>
      <c r="F166" s="45"/>
      <c r="G166" s="45" t="s">
        <v>333</v>
      </c>
      <c r="H166" s="45" t="s">
        <v>29</v>
      </c>
      <c r="I166" s="45">
        <v>3</v>
      </c>
      <c r="J166" s="46" t="s">
        <v>237</v>
      </c>
      <c r="K166" s="17" t="b">
        <v>0</v>
      </c>
      <c r="L166" s="46" t="s">
        <v>38</v>
      </c>
      <c r="M166" s="45">
        <v>2</v>
      </c>
      <c r="N166" s="45" t="s">
        <v>39</v>
      </c>
      <c r="O166" s="45" t="s">
        <v>76</v>
      </c>
      <c r="P166" s="45">
        <v>200</v>
      </c>
      <c r="Q166" s="45">
        <f t="array" ref="Q166">_xlfn.IFS($O166="Attacker",6,$O166="Healer",3,$O166="Magician",4,$O166="Defender",3,$O166="Supporter",4)</f>
        <v>4</v>
      </c>
      <c r="R166" s="45">
        <f t="array" ref="R166">_xlfn.IFS($O166="Attacker",6,$O166="Healer",3,$O166="Magician",4,$O166="Defender",3,$O166="Supporter",4)</f>
        <v>4</v>
      </c>
      <c r="S166" s="45">
        <v>1</v>
      </c>
      <c r="T166" s="45">
        <v>0</v>
      </c>
      <c r="U166" s="45">
        <v>0</v>
      </c>
      <c r="V166" s="45" t="s">
        <v>41</v>
      </c>
      <c r="W166" s="45">
        <f t="array" ref="W166">_xlfn.IFS(O166="Attacker",80,O166="Healer",90,O166="Magician",100,O166="Defender",110,O166="Supporter",120)</f>
        <v>100</v>
      </c>
      <c r="X166" s="45" t="s">
        <v>42</v>
      </c>
      <c r="Y166" s="32">
        <v>20000</v>
      </c>
      <c r="Z166" s="32" t="s">
        <v>43</v>
      </c>
      <c r="AA166" s="32">
        <v>1125</v>
      </c>
      <c r="AB166" s="32" t="s">
        <v>44</v>
      </c>
      <c r="AC166" s="32">
        <v>0</v>
      </c>
      <c r="AD166" s="32" t="s">
        <v>45</v>
      </c>
      <c r="AE166" s="32">
        <v>0</v>
      </c>
      <c r="AF166" s="45" t="s">
        <v>46</v>
      </c>
      <c r="AG166" s="45">
        <v>100</v>
      </c>
      <c r="AH166" s="45" t="s">
        <v>47</v>
      </c>
      <c r="AI166" s="45">
        <v>80</v>
      </c>
      <c r="AJ166" s="45" t="s">
        <v>48</v>
      </c>
      <c r="AK166" s="45">
        <v>5000</v>
      </c>
      <c r="AL166" s="45" t="s">
        <v>49</v>
      </c>
      <c r="AM166" s="45">
        <v>150000</v>
      </c>
      <c r="AN166" s="45">
        <v>1942041</v>
      </c>
      <c r="AO166" s="45" t="b">
        <v>1</v>
      </c>
      <c r="AP166" s="45">
        <v>0</v>
      </c>
      <c r="AQ166" s="45" t="b">
        <v>0</v>
      </c>
      <c r="AR166" s="45">
        <v>3942041</v>
      </c>
      <c r="AS166" s="45" t="b">
        <v>1</v>
      </c>
      <c r="AT166" s="45">
        <v>0</v>
      </c>
      <c r="AU166" s="45" t="b">
        <v>0</v>
      </c>
    </row>
    <row r="167" spans="1:47" s="11" customFormat="1" x14ac:dyDescent="0.3">
      <c r="A167" s="17">
        <v>20400104</v>
      </c>
      <c r="B167" s="17" t="s">
        <v>374</v>
      </c>
      <c r="C167" s="17">
        <v>204001</v>
      </c>
      <c r="D167" s="17">
        <v>0</v>
      </c>
      <c r="E167" s="17" t="s">
        <v>422</v>
      </c>
      <c r="F167" s="17"/>
      <c r="G167" s="17" t="s">
        <v>333</v>
      </c>
      <c r="H167" s="17" t="s">
        <v>29</v>
      </c>
      <c r="I167" s="17">
        <v>4</v>
      </c>
      <c r="J167" s="24" t="s">
        <v>237</v>
      </c>
      <c r="K167" s="17" t="b">
        <v>0</v>
      </c>
      <c r="L167" s="24" t="s">
        <v>38</v>
      </c>
      <c r="M167" s="17">
        <v>2</v>
      </c>
      <c r="N167" s="17" t="s">
        <v>61</v>
      </c>
      <c r="O167" s="17" t="s">
        <v>62</v>
      </c>
      <c r="P167" s="17">
        <v>200</v>
      </c>
      <c r="Q167" s="17">
        <f t="array" ref="Q167">_xlfn.IFS($O167="Attacker",6,$O167="Healer",3,$O167="Magician",4,$O167="Defender",3,$O167="Supporter",4)</f>
        <v>3</v>
      </c>
      <c r="R167" s="17">
        <f t="array" ref="R167">_xlfn.IFS($O167="Attacker",6,$O167="Healer",3,$O167="Magician",4,$O167="Defender",3,$O167="Supporter",4)</f>
        <v>3</v>
      </c>
      <c r="S167" s="17">
        <v>1</v>
      </c>
      <c r="T167" s="17">
        <v>0</v>
      </c>
      <c r="U167" s="17">
        <v>0</v>
      </c>
      <c r="V167" s="17" t="s">
        <v>41</v>
      </c>
      <c r="W167" s="17">
        <f t="array" ref="W167">_xlfn.IFS(O167="Attacker",80,O167="Healer",90,O167="Magician",100,O167="Defender",110,O167="Supporter",120)</f>
        <v>110</v>
      </c>
      <c r="X167" s="17" t="s">
        <v>42</v>
      </c>
      <c r="Y167" s="17">
        <v>40000</v>
      </c>
      <c r="Z167" s="17" t="s">
        <v>43</v>
      </c>
      <c r="AA167" s="17">
        <v>1687</v>
      </c>
      <c r="AB167" s="17" t="s">
        <v>44</v>
      </c>
      <c r="AC167" s="17">
        <v>0</v>
      </c>
      <c r="AD167" s="17" t="s">
        <v>45</v>
      </c>
      <c r="AE167" s="17">
        <v>0</v>
      </c>
      <c r="AF167" s="17" t="s">
        <v>46</v>
      </c>
      <c r="AG167" s="17">
        <v>100</v>
      </c>
      <c r="AH167" s="17" t="s">
        <v>47</v>
      </c>
      <c r="AI167" s="17">
        <v>80</v>
      </c>
      <c r="AJ167" s="17" t="s">
        <v>48</v>
      </c>
      <c r="AK167" s="17">
        <v>5000</v>
      </c>
      <c r="AL167" s="17" t="s">
        <v>49</v>
      </c>
      <c r="AM167" s="17">
        <v>150000</v>
      </c>
      <c r="AN167" s="17">
        <v>1942021</v>
      </c>
      <c r="AO167" s="17" t="b">
        <v>1</v>
      </c>
      <c r="AP167" s="17">
        <v>0</v>
      </c>
      <c r="AQ167" s="17" t="b">
        <v>0</v>
      </c>
      <c r="AR167" s="17">
        <v>3942021</v>
      </c>
      <c r="AS167" s="17" t="b">
        <v>1</v>
      </c>
      <c r="AT167" s="17">
        <v>0</v>
      </c>
      <c r="AU167" s="17" t="b">
        <v>0</v>
      </c>
    </row>
    <row r="168" spans="1:47" s="44" customFormat="1" x14ac:dyDescent="0.3">
      <c r="A168" s="30">
        <v>20540104</v>
      </c>
      <c r="B168" s="30" t="s">
        <v>407</v>
      </c>
      <c r="C168" s="30">
        <v>205401</v>
      </c>
      <c r="D168" s="30">
        <v>0</v>
      </c>
      <c r="E168" s="30" t="s">
        <v>423</v>
      </c>
      <c r="F168" s="30"/>
      <c r="G168" s="30" t="s">
        <v>333</v>
      </c>
      <c r="H168" s="30" t="s">
        <v>29</v>
      </c>
      <c r="I168" s="30">
        <v>4</v>
      </c>
      <c r="J168" s="27" t="s">
        <v>237</v>
      </c>
      <c r="K168" s="17" t="b">
        <v>0</v>
      </c>
      <c r="L168" s="38" t="s">
        <v>38</v>
      </c>
      <c r="M168" s="30">
        <v>2</v>
      </c>
      <c r="N168" s="30" t="s">
        <v>83</v>
      </c>
      <c r="O168" s="30" t="s">
        <v>62</v>
      </c>
      <c r="P168" s="30">
        <v>200</v>
      </c>
      <c r="Q168" s="30">
        <f t="array" ref="Q168">_xlfn.IFS($O168="Attacker",6,$O168="Healer",3,$O168="Magician",4,$O168="Defender",3,$O168="Supporter",4)</f>
        <v>3</v>
      </c>
      <c r="R168" s="30">
        <f t="array" ref="R168">_xlfn.IFS($O168="Attacker",6,$O168="Healer",3,$O168="Magician",4,$O168="Defender",3,$O168="Supporter",4)</f>
        <v>3</v>
      </c>
      <c r="S168" s="30">
        <v>1</v>
      </c>
      <c r="T168" s="30">
        <v>0</v>
      </c>
      <c r="U168" s="30">
        <v>0</v>
      </c>
      <c r="V168" s="30" t="s">
        <v>41</v>
      </c>
      <c r="W168" s="30">
        <f t="array" ref="W168">_xlfn.IFS(O168="Attacker",80,O168="Healer",90,O168="Magician",100,O168="Defender",110,O168="Supporter",120)</f>
        <v>110</v>
      </c>
      <c r="X168" s="30" t="s">
        <v>42</v>
      </c>
      <c r="Y168" s="17">
        <v>40000</v>
      </c>
      <c r="Z168" s="17" t="s">
        <v>43</v>
      </c>
      <c r="AA168" s="17">
        <v>1687</v>
      </c>
      <c r="AB168" s="17" t="s">
        <v>44</v>
      </c>
      <c r="AC168" s="17">
        <v>0</v>
      </c>
      <c r="AD168" s="17" t="s">
        <v>45</v>
      </c>
      <c r="AE168" s="17">
        <v>0</v>
      </c>
      <c r="AF168" s="30" t="s">
        <v>46</v>
      </c>
      <c r="AG168" s="30">
        <v>100</v>
      </c>
      <c r="AH168" s="30" t="s">
        <v>47</v>
      </c>
      <c r="AI168" s="30">
        <v>80</v>
      </c>
      <c r="AJ168" s="30" t="s">
        <v>48</v>
      </c>
      <c r="AK168" s="30">
        <v>5000</v>
      </c>
      <c r="AL168" s="30" t="s">
        <v>49</v>
      </c>
      <c r="AM168" s="30">
        <v>150000</v>
      </c>
      <c r="AN168" s="30">
        <v>1942051</v>
      </c>
      <c r="AO168" s="30" t="b">
        <v>1</v>
      </c>
      <c r="AP168" s="30">
        <v>2942051</v>
      </c>
      <c r="AQ168" s="30" t="b">
        <v>1</v>
      </c>
      <c r="AR168" s="30">
        <v>3942051</v>
      </c>
      <c r="AS168" s="30" t="b">
        <v>1</v>
      </c>
      <c r="AT168" s="30">
        <v>0</v>
      </c>
      <c r="AU168" s="30" t="b">
        <v>0</v>
      </c>
    </row>
    <row r="169" spans="1:47" s="43" customFormat="1" x14ac:dyDescent="0.3">
      <c r="A169" s="30">
        <v>20380104</v>
      </c>
      <c r="B169" s="30" t="s">
        <v>372</v>
      </c>
      <c r="C169" s="30">
        <v>203801</v>
      </c>
      <c r="D169" s="30">
        <v>0</v>
      </c>
      <c r="E169" s="30" t="s">
        <v>424</v>
      </c>
      <c r="F169" s="30"/>
      <c r="G169" s="30" t="s">
        <v>333</v>
      </c>
      <c r="H169" s="30" t="s">
        <v>29</v>
      </c>
      <c r="I169" s="30">
        <v>4</v>
      </c>
      <c r="J169" s="38" t="s">
        <v>237</v>
      </c>
      <c r="K169" s="17" t="b">
        <v>0</v>
      </c>
      <c r="L169" s="38" t="s">
        <v>38</v>
      </c>
      <c r="M169" s="30">
        <v>2</v>
      </c>
      <c r="N169" s="30" t="s">
        <v>83</v>
      </c>
      <c r="O169" s="30" t="s">
        <v>62</v>
      </c>
      <c r="P169" s="30">
        <v>200</v>
      </c>
      <c r="Q169" s="30">
        <f t="array" ref="Q169">_xlfn.IFS($O169="Attacker",6,$O169="Healer",3,$O169="Magician",4,$O169="Defender",3,$O169="Supporter",4)</f>
        <v>3</v>
      </c>
      <c r="R169" s="30">
        <f t="array" ref="R169">_xlfn.IFS($O169="Attacker",6,$O169="Healer",3,$O169="Magician",4,$O169="Defender",3,$O169="Supporter",4)</f>
        <v>3</v>
      </c>
      <c r="S169" s="30">
        <v>1</v>
      </c>
      <c r="T169" s="30">
        <v>0</v>
      </c>
      <c r="U169" s="30">
        <v>0</v>
      </c>
      <c r="V169" s="30" t="s">
        <v>41</v>
      </c>
      <c r="W169" s="30">
        <f t="array" ref="W169">_xlfn.IFS(O169="Attacker",80,O169="Healer",90,O169="Magician",100,O169="Defender",110,O169="Supporter",120)</f>
        <v>110</v>
      </c>
      <c r="X169" s="30" t="s">
        <v>42</v>
      </c>
      <c r="Y169" s="17">
        <v>40000</v>
      </c>
      <c r="Z169" s="17" t="s">
        <v>43</v>
      </c>
      <c r="AA169" s="17">
        <v>1687</v>
      </c>
      <c r="AB169" s="17" t="s">
        <v>44</v>
      </c>
      <c r="AC169" s="17">
        <v>0</v>
      </c>
      <c r="AD169" s="17" t="s">
        <v>45</v>
      </c>
      <c r="AE169" s="17">
        <v>0</v>
      </c>
      <c r="AF169" s="30" t="s">
        <v>46</v>
      </c>
      <c r="AG169" s="30">
        <v>100</v>
      </c>
      <c r="AH169" s="30" t="s">
        <v>47</v>
      </c>
      <c r="AI169" s="30">
        <v>80</v>
      </c>
      <c r="AJ169" s="30" t="s">
        <v>48</v>
      </c>
      <c r="AK169" s="30">
        <v>5000</v>
      </c>
      <c r="AL169" s="30" t="s">
        <v>49</v>
      </c>
      <c r="AM169" s="30">
        <v>150000</v>
      </c>
      <c r="AN169" s="30">
        <v>1942011</v>
      </c>
      <c r="AO169" s="30" t="b">
        <v>1</v>
      </c>
      <c r="AP169" s="30">
        <v>0</v>
      </c>
      <c r="AQ169" s="30" t="b">
        <v>0</v>
      </c>
      <c r="AR169" s="30">
        <v>3942011</v>
      </c>
      <c r="AS169" s="30" t="b">
        <v>1</v>
      </c>
      <c r="AT169" s="30">
        <v>0</v>
      </c>
      <c r="AU169" s="30" t="b">
        <v>0</v>
      </c>
    </row>
    <row r="170" spans="1:47" s="47" customFormat="1" x14ac:dyDescent="0.3">
      <c r="A170" s="29">
        <v>20510104</v>
      </c>
      <c r="B170" s="29" t="s">
        <v>376</v>
      </c>
      <c r="C170" s="29">
        <v>205101</v>
      </c>
      <c r="D170" s="29">
        <v>0</v>
      </c>
      <c r="E170" s="29" t="s">
        <v>425</v>
      </c>
      <c r="F170" s="29"/>
      <c r="G170" s="29" t="s">
        <v>333</v>
      </c>
      <c r="H170" s="29" t="s">
        <v>29</v>
      </c>
      <c r="I170" s="29">
        <v>4</v>
      </c>
      <c r="J170" s="27" t="s">
        <v>237</v>
      </c>
      <c r="K170" s="17" t="b">
        <v>0</v>
      </c>
      <c r="L170" s="27" t="s">
        <v>38</v>
      </c>
      <c r="M170" s="29">
        <v>2</v>
      </c>
      <c r="N170" s="29" t="s">
        <v>61</v>
      </c>
      <c r="O170" s="29" t="s">
        <v>62</v>
      </c>
      <c r="P170" s="29">
        <v>200</v>
      </c>
      <c r="Q170" s="29">
        <f t="array" ref="Q170">_xlfn.IFS($O170="Attacker",6,$O170="Healer",3,$O170="Magician",4,$O170="Defender",3,$O170="Supporter",4)</f>
        <v>3</v>
      </c>
      <c r="R170" s="29">
        <f t="array" ref="R170">_xlfn.IFS($O170="Attacker",6,$O170="Healer",3,$O170="Magician",4,$O170="Defender",3,$O170="Supporter",4)</f>
        <v>3</v>
      </c>
      <c r="S170" s="29">
        <v>1</v>
      </c>
      <c r="T170" s="29">
        <v>0</v>
      </c>
      <c r="U170" s="29">
        <v>0</v>
      </c>
      <c r="V170" s="29" t="s">
        <v>41</v>
      </c>
      <c r="W170" s="29">
        <f t="array" ref="W170">_xlfn.IFS(O170="Attacker",80,O170="Healer",90,O170="Magician",100,O170="Defender",110,O170="Supporter",120)</f>
        <v>110</v>
      </c>
      <c r="X170" s="29" t="s">
        <v>42</v>
      </c>
      <c r="Y170" s="17">
        <v>40000</v>
      </c>
      <c r="Z170" s="17" t="s">
        <v>43</v>
      </c>
      <c r="AA170" s="17">
        <v>1687</v>
      </c>
      <c r="AB170" s="17" t="s">
        <v>44</v>
      </c>
      <c r="AC170" s="17">
        <v>0</v>
      </c>
      <c r="AD170" s="17" t="s">
        <v>45</v>
      </c>
      <c r="AE170" s="17">
        <v>0</v>
      </c>
      <c r="AF170" s="29" t="s">
        <v>46</v>
      </c>
      <c r="AG170" s="29">
        <v>100</v>
      </c>
      <c r="AH170" s="29" t="s">
        <v>47</v>
      </c>
      <c r="AI170" s="29">
        <v>80</v>
      </c>
      <c r="AJ170" s="29" t="s">
        <v>48</v>
      </c>
      <c r="AK170" s="29">
        <v>5000</v>
      </c>
      <c r="AL170" s="29" t="s">
        <v>49</v>
      </c>
      <c r="AM170" s="29">
        <v>150000</v>
      </c>
      <c r="AN170" s="29">
        <v>1942031</v>
      </c>
      <c r="AO170" s="29" t="b">
        <v>1</v>
      </c>
      <c r="AP170" s="29">
        <v>0</v>
      </c>
      <c r="AQ170" s="29" t="b">
        <v>0</v>
      </c>
      <c r="AR170" s="29">
        <v>3942031</v>
      </c>
      <c r="AS170" s="29" t="b">
        <v>1</v>
      </c>
      <c r="AT170" s="29">
        <v>0</v>
      </c>
      <c r="AU170" s="29" t="b">
        <v>0</v>
      </c>
    </row>
    <row r="171" spans="1:47" s="44" customFormat="1" x14ac:dyDescent="0.3">
      <c r="A171" s="29">
        <v>12240104</v>
      </c>
      <c r="B171" s="29" t="s">
        <v>362</v>
      </c>
      <c r="C171" s="29">
        <v>122401</v>
      </c>
      <c r="D171" s="29">
        <v>0</v>
      </c>
      <c r="E171" s="29" t="s">
        <v>426</v>
      </c>
      <c r="F171" s="29"/>
      <c r="G171" s="29" t="s">
        <v>333</v>
      </c>
      <c r="H171" s="29" t="s">
        <v>29</v>
      </c>
      <c r="I171" s="29">
        <v>4</v>
      </c>
      <c r="J171" s="27" t="s">
        <v>237</v>
      </c>
      <c r="K171" s="17" t="b">
        <v>0</v>
      </c>
      <c r="L171" s="27" t="s">
        <v>38</v>
      </c>
      <c r="M171" s="29">
        <v>2</v>
      </c>
      <c r="N171" s="29" t="s">
        <v>39</v>
      </c>
      <c r="O171" s="29" t="s">
        <v>76</v>
      </c>
      <c r="P171" s="29">
        <v>200</v>
      </c>
      <c r="Q171" s="29">
        <f t="array" ref="Q171">_xlfn.IFS($O171="Attacker",6,$O171="Healer",3,$O171="Magician",4,$O171="Defender",3,$O171="Supporter",4)</f>
        <v>4</v>
      </c>
      <c r="R171" s="29">
        <f t="array" ref="R171">_xlfn.IFS($O171="Attacker",6,$O171="Healer",3,$O171="Magician",4,$O171="Defender",3,$O171="Supporter",4)</f>
        <v>4</v>
      </c>
      <c r="S171" s="29">
        <v>1</v>
      </c>
      <c r="T171" s="29">
        <v>0</v>
      </c>
      <c r="U171" s="29">
        <v>0</v>
      </c>
      <c r="V171" s="29" t="s">
        <v>41</v>
      </c>
      <c r="W171" s="29">
        <f t="array" ref="W171">_xlfn.IFS(O171="Attacker",80,O171="Healer",90,O171="Magician",100,O171="Defender",110,O171="Supporter",120)</f>
        <v>100</v>
      </c>
      <c r="X171" s="29" t="s">
        <v>42</v>
      </c>
      <c r="Y171" s="17">
        <v>40000</v>
      </c>
      <c r="Z171" s="17" t="s">
        <v>43</v>
      </c>
      <c r="AA171" s="17">
        <v>1687</v>
      </c>
      <c r="AB171" s="17" t="s">
        <v>44</v>
      </c>
      <c r="AC171" s="17">
        <v>0</v>
      </c>
      <c r="AD171" s="17" t="s">
        <v>45</v>
      </c>
      <c r="AE171" s="17">
        <v>0</v>
      </c>
      <c r="AF171" s="29" t="s">
        <v>46</v>
      </c>
      <c r="AG171" s="29">
        <v>100</v>
      </c>
      <c r="AH171" s="29" t="s">
        <v>47</v>
      </c>
      <c r="AI171" s="29">
        <v>80</v>
      </c>
      <c r="AJ171" s="29" t="s">
        <v>48</v>
      </c>
      <c r="AK171" s="29">
        <v>5000</v>
      </c>
      <c r="AL171" s="29" t="s">
        <v>49</v>
      </c>
      <c r="AM171" s="29">
        <v>150000</v>
      </c>
      <c r="AN171" s="29">
        <v>1942041</v>
      </c>
      <c r="AO171" s="29" t="b">
        <v>1</v>
      </c>
      <c r="AP171" s="29">
        <v>0</v>
      </c>
      <c r="AQ171" s="29" t="b">
        <v>0</v>
      </c>
      <c r="AR171" s="29">
        <v>3942041</v>
      </c>
      <c r="AS171" s="29" t="b">
        <v>1</v>
      </c>
      <c r="AT171" s="29">
        <v>0</v>
      </c>
      <c r="AU171" s="29" t="b">
        <v>0</v>
      </c>
    </row>
    <row r="172" spans="1:47" s="47" customFormat="1" x14ac:dyDescent="0.3">
      <c r="A172" s="32">
        <v>20400105</v>
      </c>
      <c r="B172" s="32" t="s">
        <v>374</v>
      </c>
      <c r="C172" s="32">
        <v>204001</v>
      </c>
      <c r="D172" s="32">
        <v>0</v>
      </c>
      <c r="E172" s="32" t="s">
        <v>427</v>
      </c>
      <c r="F172" s="32"/>
      <c r="G172" s="32" t="s">
        <v>333</v>
      </c>
      <c r="H172" s="32" t="s">
        <v>29</v>
      </c>
      <c r="I172" s="32">
        <v>5</v>
      </c>
      <c r="J172" s="42" t="s">
        <v>237</v>
      </c>
      <c r="K172" s="17" t="b">
        <v>0</v>
      </c>
      <c r="L172" s="42" t="s">
        <v>38</v>
      </c>
      <c r="M172" s="32">
        <v>2</v>
      </c>
      <c r="N172" s="32" t="s">
        <v>61</v>
      </c>
      <c r="O172" s="32" t="s">
        <v>62</v>
      </c>
      <c r="P172" s="32">
        <v>200</v>
      </c>
      <c r="Q172" s="32">
        <f t="array" ref="Q172">_xlfn.IFS($O172="Attacker",6,$O172="Healer",3,$O172="Magician",4,$O172="Defender",3,$O172="Supporter",4)</f>
        <v>3</v>
      </c>
      <c r="R172" s="32">
        <f t="array" ref="R172">_xlfn.IFS($O172="Attacker",6,$O172="Healer",3,$O172="Magician",4,$O172="Defender",3,$O172="Supporter",4)</f>
        <v>3</v>
      </c>
      <c r="S172" s="32">
        <v>1</v>
      </c>
      <c r="T172" s="32">
        <v>0</v>
      </c>
      <c r="U172" s="32">
        <v>0</v>
      </c>
      <c r="V172" s="32" t="s">
        <v>41</v>
      </c>
      <c r="W172" s="32">
        <f t="array" ref="W172">_xlfn.IFS(O172="Attacker",80,O172="Healer",90,O172="Magician",100,O172="Defender",110,O172="Supporter",120)</f>
        <v>110</v>
      </c>
      <c r="X172" s="32" t="s">
        <v>42</v>
      </c>
      <c r="Y172" s="32">
        <v>80000</v>
      </c>
      <c r="Z172" s="32" t="s">
        <v>43</v>
      </c>
      <c r="AA172" s="32">
        <v>2530</v>
      </c>
      <c r="AB172" s="32" t="s">
        <v>44</v>
      </c>
      <c r="AC172" s="32">
        <v>0</v>
      </c>
      <c r="AD172" s="32" t="s">
        <v>45</v>
      </c>
      <c r="AE172" s="32">
        <v>0</v>
      </c>
      <c r="AF172" s="32" t="s">
        <v>46</v>
      </c>
      <c r="AG172" s="32">
        <v>100</v>
      </c>
      <c r="AH172" s="32" t="s">
        <v>47</v>
      </c>
      <c r="AI172" s="32">
        <v>80</v>
      </c>
      <c r="AJ172" s="32" t="s">
        <v>48</v>
      </c>
      <c r="AK172" s="32">
        <v>5000</v>
      </c>
      <c r="AL172" s="32" t="s">
        <v>49</v>
      </c>
      <c r="AM172" s="32">
        <v>150000</v>
      </c>
      <c r="AN172" s="32">
        <v>1942021</v>
      </c>
      <c r="AO172" s="32" t="b">
        <v>1</v>
      </c>
      <c r="AP172" s="32">
        <v>0</v>
      </c>
      <c r="AQ172" s="32" t="b">
        <v>0</v>
      </c>
      <c r="AR172" s="32">
        <v>3942021</v>
      </c>
      <c r="AS172" s="32" t="b">
        <v>1</v>
      </c>
      <c r="AT172" s="32">
        <v>0</v>
      </c>
      <c r="AU172" s="32" t="b">
        <v>0</v>
      </c>
    </row>
    <row r="173" spans="1:47" x14ac:dyDescent="0.3">
      <c r="A173" s="48">
        <v>20540105</v>
      </c>
      <c r="B173" s="48" t="s">
        <v>407</v>
      </c>
      <c r="C173" s="48">
        <v>205401</v>
      </c>
      <c r="D173" s="48">
        <v>0</v>
      </c>
      <c r="E173" s="48" t="s">
        <v>428</v>
      </c>
      <c r="F173" s="48"/>
      <c r="G173" s="48" t="s">
        <v>333</v>
      </c>
      <c r="H173" s="48" t="s">
        <v>29</v>
      </c>
      <c r="I173" s="48">
        <v>5</v>
      </c>
      <c r="J173" s="46" t="s">
        <v>237</v>
      </c>
      <c r="K173" s="17" t="b">
        <v>0</v>
      </c>
      <c r="L173" s="49" t="s">
        <v>38</v>
      </c>
      <c r="M173" s="48">
        <v>2</v>
      </c>
      <c r="N173" s="48" t="s">
        <v>61</v>
      </c>
      <c r="O173" s="48" t="s">
        <v>62</v>
      </c>
      <c r="P173" s="48">
        <v>200</v>
      </c>
      <c r="Q173" s="48">
        <f t="array" ref="Q173">_xlfn.IFS($O173="Attacker",6,$O173="Healer",3,$O173="Magician",4,$O173="Defender",3,$O173="Supporter",4)</f>
        <v>3</v>
      </c>
      <c r="R173" s="48">
        <f t="array" ref="R173">_xlfn.IFS($O173="Attacker",6,$O173="Healer",3,$O173="Magician",4,$O173="Defender",3,$O173="Supporter",4)</f>
        <v>3</v>
      </c>
      <c r="S173" s="48">
        <v>1</v>
      </c>
      <c r="T173" s="48">
        <v>0</v>
      </c>
      <c r="U173" s="48">
        <v>0</v>
      </c>
      <c r="V173" s="48" t="s">
        <v>41</v>
      </c>
      <c r="W173" s="48">
        <f t="array" ref="W173">_xlfn.IFS(O173="Attacker",80,O173="Healer",90,O173="Magician",100,O173="Defender",110,O173="Supporter",120)</f>
        <v>110</v>
      </c>
      <c r="X173" s="48" t="s">
        <v>42</v>
      </c>
      <c r="Y173" s="32">
        <v>80000</v>
      </c>
      <c r="Z173" s="32" t="s">
        <v>43</v>
      </c>
      <c r="AA173" s="32">
        <v>2530</v>
      </c>
      <c r="AB173" s="32" t="s">
        <v>44</v>
      </c>
      <c r="AC173" s="32">
        <v>0</v>
      </c>
      <c r="AD173" s="32" t="s">
        <v>45</v>
      </c>
      <c r="AE173" s="32">
        <v>0</v>
      </c>
      <c r="AF173" s="48" t="s">
        <v>46</v>
      </c>
      <c r="AG173" s="48">
        <v>100</v>
      </c>
      <c r="AH173" s="48" t="s">
        <v>47</v>
      </c>
      <c r="AI173" s="48">
        <v>80</v>
      </c>
      <c r="AJ173" s="48" t="s">
        <v>48</v>
      </c>
      <c r="AK173" s="48">
        <v>5000</v>
      </c>
      <c r="AL173" s="48" t="s">
        <v>49</v>
      </c>
      <c r="AM173" s="48">
        <v>150000</v>
      </c>
      <c r="AN173" s="48">
        <v>1942051</v>
      </c>
      <c r="AO173" s="48" t="b">
        <v>1</v>
      </c>
      <c r="AP173" s="48">
        <v>2942051</v>
      </c>
      <c r="AQ173" s="48" t="b">
        <v>1</v>
      </c>
      <c r="AR173" s="48">
        <v>3942051</v>
      </c>
      <c r="AS173" s="48" t="b">
        <v>1</v>
      </c>
      <c r="AT173" s="48">
        <v>0</v>
      </c>
      <c r="AU173" s="48" t="b">
        <v>0</v>
      </c>
    </row>
    <row r="174" spans="1:47" s="31" customFormat="1" x14ac:dyDescent="0.3">
      <c r="A174" s="48">
        <v>20380105</v>
      </c>
      <c r="B174" s="48" t="s">
        <v>372</v>
      </c>
      <c r="C174" s="48">
        <v>203801</v>
      </c>
      <c r="D174" s="48">
        <v>0</v>
      </c>
      <c r="E174" s="48" t="s">
        <v>429</v>
      </c>
      <c r="F174" s="48"/>
      <c r="G174" s="48" t="s">
        <v>333</v>
      </c>
      <c r="H174" s="48" t="s">
        <v>29</v>
      </c>
      <c r="I174" s="48">
        <v>5</v>
      </c>
      <c r="J174" s="49" t="s">
        <v>237</v>
      </c>
      <c r="K174" s="17" t="b">
        <v>0</v>
      </c>
      <c r="L174" s="49" t="s">
        <v>38</v>
      </c>
      <c r="M174" s="48">
        <v>2</v>
      </c>
      <c r="N174" s="48" t="s">
        <v>83</v>
      </c>
      <c r="O174" s="48" t="s">
        <v>62</v>
      </c>
      <c r="P174" s="48">
        <v>200</v>
      </c>
      <c r="Q174" s="48">
        <f t="array" ref="Q174">_xlfn.IFS($O174="Attacker",6,$O174="Healer",3,$O174="Magician",4,$O174="Defender",3,$O174="Supporter",4)</f>
        <v>3</v>
      </c>
      <c r="R174" s="48">
        <f t="array" ref="R174">_xlfn.IFS($O174="Attacker",6,$O174="Healer",3,$O174="Magician",4,$O174="Defender",3,$O174="Supporter",4)</f>
        <v>3</v>
      </c>
      <c r="S174" s="48">
        <v>1</v>
      </c>
      <c r="T174" s="48">
        <v>0</v>
      </c>
      <c r="U174" s="48">
        <v>0</v>
      </c>
      <c r="V174" s="48" t="s">
        <v>41</v>
      </c>
      <c r="W174" s="48">
        <f t="array" ref="W174">_xlfn.IFS(O174="Attacker",80,O174="Healer",90,O174="Magician",100,O174="Defender",110,O174="Supporter",120)</f>
        <v>110</v>
      </c>
      <c r="X174" s="48" t="s">
        <v>42</v>
      </c>
      <c r="Y174" s="32">
        <v>80000</v>
      </c>
      <c r="Z174" s="32" t="s">
        <v>43</v>
      </c>
      <c r="AA174" s="32">
        <v>2530</v>
      </c>
      <c r="AB174" s="32" t="s">
        <v>44</v>
      </c>
      <c r="AC174" s="32">
        <v>0</v>
      </c>
      <c r="AD174" s="32" t="s">
        <v>45</v>
      </c>
      <c r="AE174" s="32">
        <v>0</v>
      </c>
      <c r="AF174" s="48" t="s">
        <v>46</v>
      </c>
      <c r="AG174" s="48">
        <v>100</v>
      </c>
      <c r="AH174" s="48" t="s">
        <v>47</v>
      </c>
      <c r="AI174" s="48">
        <v>80</v>
      </c>
      <c r="AJ174" s="48" t="s">
        <v>48</v>
      </c>
      <c r="AK174" s="48">
        <v>5000</v>
      </c>
      <c r="AL174" s="48" t="s">
        <v>49</v>
      </c>
      <c r="AM174" s="48">
        <v>150000</v>
      </c>
      <c r="AN174" s="48">
        <v>1942011</v>
      </c>
      <c r="AO174" s="48" t="b">
        <v>1</v>
      </c>
      <c r="AP174" s="48">
        <v>0</v>
      </c>
      <c r="AQ174" s="48" t="b">
        <v>0</v>
      </c>
      <c r="AR174" s="48">
        <v>3942011</v>
      </c>
      <c r="AS174" s="48" t="b">
        <v>1</v>
      </c>
      <c r="AT174" s="48">
        <v>0</v>
      </c>
      <c r="AU174" s="48" t="b">
        <v>0</v>
      </c>
    </row>
    <row r="175" spans="1:47" s="31" customFormat="1" x14ac:dyDescent="0.3">
      <c r="A175" s="45">
        <v>20510105</v>
      </c>
      <c r="B175" s="45" t="s">
        <v>376</v>
      </c>
      <c r="C175" s="45">
        <v>205101</v>
      </c>
      <c r="D175" s="45">
        <v>0</v>
      </c>
      <c r="E175" s="45" t="s">
        <v>430</v>
      </c>
      <c r="F175" s="45"/>
      <c r="G175" s="45" t="s">
        <v>333</v>
      </c>
      <c r="H175" s="45" t="s">
        <v>29</v>
      </c>
      <c r="I175" s="45">
        <v>5</v>
      </c>
      <c r="J175" s="46" t="s">
        <v>237</v>
      </c>
      <c r="K175" s="17" t="b">
        <v>0</v>
      </c>
      <c r="L175" s="46" t="s">
        <v>38</v>
      </c>
      <c r="M175" s="45">
        <v>2</v>
      </c>
      <c r="N175" s="45" t="s">
        <v>61</v>
      </c>
      <c r="O175" s="45" t="s">
        <v>62</v>
      </c>
      <c r="P175" s="45">
        <v>200</v>
      </c>
      <c r="Q175" s="45">
        <f t="array" ref="Q175">_xlfn.IFS($O175="Attacker",6,$O175="Healer",3,$O175="Magician",4,$O175="Defender",3,$O175="Supporter",4)</f>
        <v>3</v>
      </c>
      <c r="R175" s="45">
        <f t="array" ref="R175">_xlfn.IFS($O175="Attacker",6,$O175="Healer",3,$O175="Magician",4,$O175="Defender",3,$O175="Supporter",4)</f>
        <v>3</v>
      </c>
      <c r="S175" s="45">
        <v>1</v>
      </c>
      <c r="T175" s="45">
        <v>0</v>
      </c>
      <c r="U175" s="45">
        <v>0</v>
      </c>
      <c r="V175" s="45" t="s">
        <v>41</v>
      </c>
      <c r="W175" s="45">
        <f t="array" ref="W175">_xlfn.IFS(O175="Attacker",80,O175="Healer",90,O175="Magician",100,O175="Defender",110,O175="Supporter",120)</f>
        <v>110</v>
      </c>
      <c r="X175" s="45" t="s">
        <v>42</v>
      </c>
      <c r="Y175" s="32">
        <v>80000</v>
      </c>
      <c r="Z175" s="32" t="s">
        <v>43</v>
      </c>
      <c r="AA175" s="32">
        <v>2530</v>
      </c>
      <c r="AB175" s="32" t="s">
        <v>44</v>
      </c>
      <c r="AC175" s="32">
        <v>0</v>
      </c>
      <c r="AD175" s="32" t="s">
        <v>45</v>
      </c>
      <c r="AE175" s="32">
        <v>0</v>
      </c>
      <c r="AF175" s="45" t="s">
        <v>46</v>
      </c>
      <c r="AG175" s="45">
        <v>100</v>
      </c>
      <c r="AH175" s="45" t="s">
        <v>47</v>
      </c>
      <c r="AI175" s="45">
        <v>80</v>
      </c>
      <c r="AJ175" s="45" t="s">
        <v>48</v>
      </c>
      <c r="AK175" s="45">
        <v>5000</v>
      </c>
      <c r="AL175" s="45" t="s">
        <v>49</v>
      </c>
      <c r="AM175" s="45">
        <v>150000</v>
      </c>
      <c r="AN175" s="45">
        <v>1942031</v>
      </c>
      <c r="AO175" s="45" t="b">
        <v>1</v>
      </c>
      <c r="AP175" s="45">
        <v>0</v>
      </c>
      <c r="AQ175" s="45" t="b">
        <v>0</v>
      </c>
      <c r="AR175" s="45">
        <v>3942031</v>
      </c>
      <c r="AS175" s="45" t="b">
        <v>1</v>
      </c>
      <c r="AT175" s="45">
        <v>0</v>
      </c>
      <c r="AU175" s="45" t="b">
        <v>0</v>
      </c>
    </row>
    <row r="176" spans="1:47" s="11" customFormat="1" x14ac:dyDescent="0.3">
      <c r="A176" s="45">
        <v>12240105</v>
      </c>
      <c r="B176" s="45" t="s">
        <v>362</v>
      </c>
      <c r="C176" s="45">
        <v>122401</v>
      </c>
      <c r="D176" s="45">
        <v>0</v>
      </c>
      <c r="E176" s="45" t="s">
        <v>431</v>
      </c>
      <c r="F176" s="45"/>
      <c r="G176" s="45" t="s">
        <v>333</v>
      </c>
      <c r="H176" s="45" t="s">
        <v>29</v>
      </c>
      <c r="I176" s="45">
        <v>5</v>
      </c>
      <c r="J176" s="46" t="s">
        <v>237</v>
      </c>
      <c r="K176" s="17" t="b">
        <v>0</v>
      </c>
      <c r="L176" s="46" t="s">
        <v>38</v>
      </c>
      <c r="M176" s="45">
        <v>2</v>
      </c>
      <c r="N176" s="45" t="s">
        <v>39</v>
      </c>
      <c r="O176" s="45" t="s">
        <v>76</v>
      </c>
      <c r="P176" s="45">
        <v>200</v>
      </c>
      <c r="Q176" s="45">
        <f t="array" ref="Q176">_xlfn.IFS($O176="Attacker",6,$O176="Healer",3,$O176="Magician",4,$O176="Defender",3,$O176="Supporter",4)</f>
        <v>4</v>
      </c>
      <c r="R176" s="45">
        <f t="array" ref="R176">_xlfn.IFS($O176="Attacker",6,$O176="Healer",3,$O176="Magician",4,$O176="Defender",3,$O176="Supporter",4)</f>
        <v>4</v>
      </c>
      <c r="S176" s="45">
        <v>1</v>
      </c>
      <c r="T176" s="45">
        <v>0</v>
      </c>
      <c r="U176" s="45">
        <v>0</v>
      </c>
      <c r="V176" s="45" t="s">
        <v>41</v>
      </c>
      <c r="W176" s="45">
        <f t="array" ref="W176">_xlfn.IFS(O176="Attacker",80,O176="Healer",90,O176="Magician",100,O176="Defender",110,O176="Supporter",120)</f>
        <v>100</v>
      </c>
      <c r="X176" s="45" t="s">
        <v>42</v>
      </c>
      <c r="Y176" s="32">
        <v>80000</v>
      </c>
      <c r="Z176" s="32" t="s">
        <v>43</v>
      </c>
      <c r="AA176" s="32">
        <v>2530</v>
      </c>
      <c r="AB176" s="32" t="s">
        <v>44</v>
      </c>
      <c r="AC176" s="32">
        <v>0</v>
      </c>
      <c r="AD176" s="32" t="s">
        <v>45</v>
      </c>
      <c r="AE176" s="32">
        <v>0</v>
      </c>
      <c r="AF176" s="45" t="s">
        <v>46</v>
      </c>
      <c r="AG176" s="45">
        <v>100</v>
      </c>
      <c r="AH176" s="45" t="s">
        <v>47</v>
      </c>
      <c r="AI176" s="45">
        <v>80</v>
      </c>
      <c r="AJ176" s="45" t="s">
        <v>48</v>
      </c>
      <c r="AK176" s="45">
        <v>5000</v>
      </c>
      <c r="AL176" s="45" t="s">
        <v>49</v>
      </c>
      <c r="AM176" s="45">
        <v>150000</v>
      </c>
      <c r="AN176" s="45">
        <v>1942041</v>
      </c>
      <c r="AO176" s="45" t="b">
        <v>1</v>
      </c>
      <c r="AP176" s="45">
        <v>0</v>
      </c>
      <c r="AQ176" s="45" t="b">
        <v>0</v>
      </c>
      <c r="AR176" s="45">
        <v>3942041</v>
      </c>
      <c r="AS176" s="45" t="b">
        <v>1</v>
      </c>
      <c r="AT176" s="45">
        <v>0</v>
      </c>
      <c r="AU176" s="45" t="b">
        <v>0</v>
      </c>
    </row>
  </sheetData>
  <autoFilter ref="A3:AV157" xr:uid="{00000000-0009-0000-0000-000002000000}"/>
  <phoneticPr fontId="1" type="noConversion"/>
  <conditionalFormatting sqref="A1:A110 A112 A114:A116 A151:A1048576">
    <cfRule type="duplicateValues" dxfId="36" priority="18"/>
    <cfRule type="duplicateValues" dxfId="35" priority="19"/>
  </conditionalFormatting>
  <conditionalFormatting sqref="A111">
    <cfRule type="duplicateValues" dxfId="34" priority="14"/>
    <cfRule type="duplicateValues" dxfId="33" priority="15"/>
  </conditionalFormatting>
  <conditionalFormatting sqref="A113">
    <cfRule type="duplicateValues" dxfId="32" priority="16"/>
    <cfRule type="duplicateValues" dxfId="31" priority="17"/>
  </conditionalFormatting>
  <conditionalFormatting sqref="AN117 AP117 AR117 AT117">
    <cfRule type="duplicateValues" dxfId="30" priority="4"/>
  </conditionalFormatting>
  <conditionalFormatting sqref="AN118 AP118 AR118 AT118">
    <cfRule type="duplicateValues" dxfId="29" priority="5"/>
  </conditionalFormatting>
  <conditionalFormatting sqref="AN119 AP119 AR119 AT119">
    <cfRule type="duplicateValues" dxfId="28" priority="6"/>
  </conditionalFormatting>
  <conditionalFormatting sqref="AN120">
    <cfRule type="duplicateValues" dxfId="27" priority="8"/>
  </conditionalFormatting>
  <conditionalFormatting sqref="AN121 AP121 AR121 AT121">
    <cfRule type="duplicateValues" dxfId="26" priority="9"/>
  </conditionalFormatting>
  <conditionalFormatting sqref="AN122">
    <cfRule type="duplicateValues" dxfId="25" priority="11"/>
  </conditionalFormatting>
  <conditionalFormatting sqref="AN123:AN124 AP123:AP124 AR123:AR124 AT123:AT124">
    <cfRule type="duplicateValues" dxfId="24" priority="12"/>
  </conditionalFormatting>
  <conditionalFormatting sqref="AN125 AP125 AR125 AT125">
    <cfRule type="duplicateValues" dxfId="23" priority="3"/>
  </conditionalFormatting>
  <conditionalFormatting sqref="AN126:AN141 AP126:AP141 AR126:AR141 AT126:AT141">
    <cfRule type="duplicateValues" dxfId="22" priority="13"/>
  </conditionalFormatting>
  <conditionalFormatting sqref="AN142:AN143 AP142:AP143 AR142:AR143 AT142:AT143">
    <cfRule type="duplicateValues" dxfId="21" priority="2"/>
  </conditionalFormatting>
  <conditionalFormatting sqref="AN144:AN150 AP144:AP150 AR144:AR150 AT144:AT150">
    <cfRule type="duplicateValues" dxfId="20" priority="1"/>
  </conditionalFormatting>
  <conditionalFormatting sqref="AP120 AR120 AT120">
    <cfRule type="duplicateValues" dxfId="19" priority="7"/>
  </conditionalFormatting>
  <conditionalFormatting sqref="AP122 AR122 AT122">
    <cfRule type="duplicateValues" dxfId="18" priority="10"/>
  </conditionalFormatting>
  <conditionalFormatting sqref="AV16">
    <cfRule type="duplicateValues" dxfId="17" priority="116"/>
    <cfRule type="duplicateValues" dxfId="16" priority="117"/>
  </conditionalFormatting>
  <conditionalFormatting sqref="AV21">
    <cfRule type="duplicateValues" dxfId="15" priority="68"/>
    <cfRule type="duplicateValues" dxfId="14" priority="69"/>
  </conditionalFormatting>
  <conditionalFormatting sqref="AV26">
    <cfRule type="duplicateValues" dxfId="13" priority="66"/>
    <cfRule type="duplicateValues" dxfId="12" priority="67"/>
  </conditionalFormatting>
  <conditionalFormatting sqref="AV31">
    <cfRule type="duplicateValues" dxfId="11" priority="64"/>
    <cfRule type="duplicateValues" dxfId="10" priority="65"/>
  </conditionalFormatting>
  <conditionalFormatting sqref="AV36">
    <cfRule type="duplicateValues" dxfId="9" priority="62"/>
    <cfRule type="duplicateValues" dxfId="8" priority="63"/>
  </conditionalFormatting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102"/>
  <sheetViews>
    <sheetView topLeftCell="A85" workbookViewId="0">
      <selection activeCell="D49" sqref="D49"/>
    </sheetView>
  </sheetViews>
  <sheetFormatPr defaultRowHeight="12" x14ac:dyDescent="0.3"/>
  <cols>
    <col min="1" max="1" width="10.25" style="24" bestFit="1" customWidth="1"/>
    <col min="2" max="2" width="9" style="23" customWidth="1"/>
    <col min="3" max="3" width="14.25" style="25" customWidth="1"/>
    <col min="4" max="4" width="9" style="25" customWidth="1"/>
    <col min="5" max="5" width="12.5" style="17" customWidth="1"/>
    <col min="6" max="9" width="12.5" style="23" customWidth="1"/>
    <col min="10" max="10" width="11.25" style="17" bestFit="1" customWidth="1"/>
    <col min="11" max="11" width="11.125" style="17" bestFit="1" customWidth="1"/>
    <col min="12" max="13" width="11.125" style="17" customWidth="1"/>
    <col min="14" max="14" width="10.375" style="17" bestFit="1" customWidth="1"/>
    <col min="15" max="15" width="10.875" style="17" bestFit="1" customWidth="1"/>
    <col min="16" max="16" width="8.75" style="17" bestFit="1" customWidth="1"/>
    <col min="17" max="17" width="13" style="17" bestFit="1" customWidth="1"/>
    <col min="18" max="18" width="17.25" style="17" bestFit="1" customWidth="1"/>
    <col min="19" max="19" width="13" style="17" bestFit="1" customWidth="1"/>
    <col min="20" max="20" width="28" style="17" bestFit="1" customWidth="1"/>
    <col min="21" max="21" width="9.875" style="17" bestFit="1" customWidth="1"/>
    <col min="22" max="22" width="27.75" style="17" bestFit="1" customWidth="1"/>
    <col min="23" max="28" width="9" style="17" customWidth="1"/>
    <col min="29" max="16384" width="9" style="17"/>
  </cols>
  <sheetData>
    <row r="1" spans="1:31" x14ac:dyDescent="0.3">
      <c r="A1" s="24" t="s">
        <v>0</v>
      </c>
      <c r="B1" s="23" t="s">
        <v>432</v>
      </c>
      <c r="C1" s="25" t="s">
        <v>433</v>
      </c>
      <c r="D1" s="25" t="s">
        <v>434</v>
      </c>
      <c r="E1" s="17" t="s">
        <v>435</v>
      </c>
      <c r="F1" s="23" t="s">
        <v>436</v>
      </c>
      <c r="G1" s="23" t="s">
        <v>437</v>
      </c>
      <c r="H1" s="23" t="s">
        <v>438</v>
      </c>
      <c r="I1" s="23" t="s">
        <v>439</v>
      </c>
      <c r="J1" s="17" t="s">
        <v>440</v>
      </c>
      <c r="K1" s="17" t="s">
        <v>441</v>
      </c>
      <c r="L1" s="17" t="s">
        <v>442</v>
      </c>
      <c r="M1" s="17" t="s">
        <v>443</v>
      </c>
      <c r="N1" s="17" t="s">
        <v>180</v>
      </c>
      <c r="O1" s="17" t="s">
        <v>444</v>
      </c>
      <c r="P1" s="17" t="s">
        <v>445</v>
      </c>
      <c r="Q1" s="17" t="s">
        <v>446</v>
      </c>
      <c r="R1" s="17" t="s">
        <v>447</v>
      </c>
      <c r="S1" s="17" t="s">
        <v>448</v>
      </c>
      <c r="T1" s="17" t="s">
        <v>449</v>
      </c>
      <c r="U1" s="17" t="s">
        <v>2</v>
      </c>
      <c r="V1" s="17" t="s">
        <v>450</v>
      </c>
      <c r="W1" s="17" t="s">
        <v>451</v>
      </c>
      <c r="X1" s="17" t="s">
        <v>452</v>
      </c>
      <c r="Y1" s="17" t="s">
        <v>451</v>
      </c>
      <c r="Z1" s="17" t="s">
        <v>452</v>
      </c>
      <c r="AA1" s="17" t="s">
        <v>451</v>
      </c>
      <c r="AB1" s="17" t="s">
        <v>452</v>
      </c>
      <c r="AC1" s="17" t="s">
        <v>451</v>
      </c>
      <c r="AD1" s="17" t="s">
        <v>452</v>
      </c>
    </row>
    <row r="2" spans="1:31" x14ac:dyDescent="0.3">
      <c r="G2" s="23" t="s">
        <v>453</v>
      </c>
    </row>
    <row r="4" spans="1:31" x14ac:dyDescent="0.3">
      <c r="A4" s="24">
        <f t="shared" ref="A4:A35" si="0">INT(TEXT(IF(LEFT(B4,1)="c",1,2)&amp;MID(B4,2,3),"000")&amp;TEXT(C4,"00"))</f>
        <v>100001</v>
      </c>
      <c r="B4" s="23" t="s">
        <v>454</v>
      </c>
      <c r="C4" s="25">
        <v>1</v>
      </c>
      <c r="D4" s="25" t="s">
        <v>455</v>
      </c>
      <c r="E4" s="17">
        <v>0</v>
      </c>
      <c r="F4" s="23" t="s">
        <v>456</v>
      </c>
      <c r="G4" s="23" t="s">
        <v>457</v>
      </c>
      <c r="H4" s="23" t="s">
        <v>458</v>
      </c>
      <c r="J4" s="17" t="str">
        <f>$B4&amp;"_"&amp;TEXT($C4,"00")&amp;"_F"</f>
        <v>c000_01_F</v>
      </c>
      <c r="K4" s="17" t="str">
        <f>$B4&amp;"_"&amp;TEXT($C4,"00")&amp;"_L"</f>
        <v>c000_01_L</v>
      </c>
      <c r="L4" s="17" t="str">
        <f>LEFT(J4, 7)&amp;"_Desc"</f>
        <v>c000_01_Desc</v>
      </c>
      <c r="M4" s="17" t="str">
        <f t="shared" ref="M4:M35" si="1">$B4&amp;"_"&amp;TEXT($C4,"00")&amp;"_CV"</f>
        <v>c000_01_CV</v>
      </c>
      <c r="N4" s="17" t="str">
        <f>LEFT(J4, 7)&amp;"_ci_F"</f>
        <v>c000_01_ci_F</v>
      </c>
      <c r="O4" s="17" t="s">
        <v>459</v>
      </c>
      <c r="T4" s="17" t="str">
        <f t="shared" ref="T4:T35" si="2">B4&amp;"_"&amp;D4&amp;"_SkeletonData.asset"</f>
        <v>c000_a_SkeletonData.asset</v>
      </c>
      <c r="U4" s="17" t="str">
        <f t="shared" ref="U4:U35" si="3">B4&amp;"_"&amp;TEXT(C4,"00")&amp;"_"&amp;D4</f>
        <v>c000_01_a</v>
      </c>
      <c r="V4" s="17" t="str">
        <f t="shared" ref="V4:V38" si="4">"Naninovel/Characters/"&amp;B4&amp;"_"&amp;TEXT(C4,"00")&amp;""</f>
        <v>Naninovel/Characters/c000_01</v>
      </c>
      <c r="W4" s="17" t="s">
        <v>29</v>
      </c>
      <c r="X4" s="17">
        <v>0</v>
      </c>
      <c r="Y4" s="17" t="s">
        <v>30</v>
      </c>
      <c r="Z4" s="17">
        <v>0</v>
      </c>
      <c r="AA4" s="17" t="s">
        <v>31</v>
      </c>
      <c r="AB4" s="17">
        <v>0</v>
      </c>
      <c r="AC4" s="17" t="s">
        <v>32</v>
      </c>
      <c r="AD4" s="17">
        <v>0</v>
      </c>
    </row>
    <row r="5" spans="1:31" x14ac:dyDescent="0.3">
      <c r="A5" s="24">
        <f t="shared" si="0"/>
        <v>135401</v>
      </c>
      <c r="B5" s="23" t="s">
        <v>460</v>
      </c>
      <c r="C5" s="25">
        <v>1</v>
      </c>
      <c r="D5" s="25" t="s">
        <v>455</v>
      </c>
      <c r="E5" s="17">
        <f>_xlfn.XLOOKUP(A5,'Detail&lt;Child&gt;'!C:C,'Detail&lt;Child&gt;'!A:A)</f>
        <v>10000354</v>
      </c>
      <c r="F5" s="23" t="s">
        <v>461</v>
      </c>
      <c r="G5" s="23" t="s">
        <v>457</v>
      </c>
      <c r="H5" s="23" t="s">
        <v>462</v>
      </c>
      <c r="J5" s="17" t="s">
        <v>463</v>
      </c>
      <c r="K5" s="17" t="s">
        <v>464</v>
      </c>
      <c r="L5" s="17" t="s">
        <v>465</v>
      </c>
      <c r="M5" s="17" t="str">
        <f t="shared" si="1"/>
        <v>c354_01_CV</v>
      </c>
      <c r="N5" s="17" t="s">
        <v>466</v>
      </c>
      <c r="O5" s="17" t="s">
        <v>459</v>
      </c>
      <c r="P5" s="17" t="s">
        <v>467</v>
      </c>
      <c r="Q5" s="17" t="s">
        <v>468</v>
      </c>
      <c r="R5" s="17" t="str">
        <f t="shared" ref="R5:R38" si="5">"Promotion_"&amp;P5</f>
        <v>Promotion_c010_01_p</v>
      </c>
      <c r="S5" s="17" t="s">
        <v>469</v>
      </c>
      <c r="T5" s="17" t="str">
        <f t="shared" si="2"/>
        <v>c354_a_SkeletonData.asset</v>
      </c>
      <c r="U5" s="17" t="str">
        <f t="shared" si="3"/>
        <v>c354_01_a</v>
      </c>
      <c r="V5" s="17" t="str">
        <f t="shared" si="4"/>
        <v>Naninovel/Characters/c354_01</v>
      </c>
      <c r="W5" s="17" t="s">
        <v>29</v>
      </c>
      <c r="X5" s="1">
        <v>1513011</v>
      </c>
      <c r="Y5" s="17" t="s">
        <v>30</v>
      </c>
      <c r="Z5" s="1">
        <v>2513011</v>
      </c>
      <c r="AA5" s="17" t="s">
        <v>31</v>
      </c>
      <c r="AB5" s="1">
        <v>3513011</v>
      </c>
      <c r="AC5" s="17" t="s">
        <v>32</v>
      </c>
      <c r="AD5" s="1">
        <v>4513011</v>
      </c>
      <c r="AE5" s="1"/>
    </row>
    <row r="6" spans="1:31" x14ac:dyDescent="0.3">
      <c r="A6" s="24">
        <f t="shared" si="0"/>
        <v>129601</v>
      </c>
      <c r="B6" s="23" t="s">
        <v>470</v>
      </c>
      <c r="C6" s="25">
        <v>1</v>
      </c>
      <c r="D6" s="25" t="s">
        <v>455</v>
      </c>
      <c r="E6" s="17">
        <f>_xlfn.XLOOKUP(A6,'Detail&lt;Child&gt;'!C:C,'Detail&lt;Child&gt;'!A:A)</f>
        <v>10000296</v>
      </c>
      <c r="F6" s="23" t="s">
        <v>471</v>
      </c>
      <c r="G6" s="23" t="s">
        <v>457</v>
      </c>
      <c r="H6" s="23" t="s">
        <v>472</v>
      </c>
      <c r="J6" s="17" t="str">
        <f t="shared" ref="J6:J37" si="6">$B6&amp;"_"&amp;TEXT($C6,"00")&amp;"_F"</f>
        <v>c296_01_F</v>
      </c>
      <c r="K6" s="17" t="str">
        <f t="shared" ref="K6:K37" si="7">$B6&amp;"_"&amp;TEXT($C6,"00")&amp;"_L"</f>
        <v>c296_01_L</v>
      </c>
      <c r="L6" s="17" t="str">
        <f t="shared" ref="L6:L37" si="8">LEFT(J6, 7)&amp;"_Desc"</f>
        <v>c296_01_Desc</v>
      </c>
      <c r="M6" s="17" t="str">
        <f t="shared" si="1"/>
        <v>c296_01_CV</v>
      </c>
      <c r="N6" s="17" t="str">
        <f t="shared" ref="N6:N12" si="9">LEFT(J6, 7)&amp;"_ci_F"</f>
        <v>c296_01_ci_F</v>
      </c>
      <c r="O6" s="17" t="s">
        <v>459</v>
      </c>
      <c r="P6" s="17" t="str">
        <f>B6&amp;"_"&amp;TEXT(C6,"00")&amp;"_p"</f>
        <v>c296_01_p</v>
      </c>
      <c r="Q6" s="17" t="s">
        <v>468</v>
      </c>
      <c r="R6" s="17" t="str">
        <f t="shared" si="5"/>
        <v>Promotion_c296_01_p</v>
      </c>
      <c r="S6" s="17" t="s">
        <v>469</v>
      </c>
      <c r="T6" s="17" t="str">
        <f t="shared" si="2"/>
        <v>c296_a_SkeletonData.asset</v>
      </c>
      <c r="U6" s="17" t="str">
        <f t="shared" si="3"/>
        <v>c296_01_a</v>
      </c>
      <c r="V6" s="17" t="str">
        <f t="shared" si="4"/>
        <v>Naninovel/Characters/c296_01</v>
      </c>
      <c r="W6" s="17" t="s">
        <v>29</v>
      </c>
      <c r="X6" s="1">
        <v>1541021</v>
      </c>
      <c r="Y6" s="17" t="s">
        <v>30</v>
      </c>
      <c r="Z6" s="1">
        <v>2541021</v>
      </c>
      <c r="AA6" s="17" t="s">
        <v>31</v>
      </c>
      <c r="AB6" s="1">
        <v>3541021</v>
      </c>
      <c r="AC6" s="17" t="s">
        <v>32</v>
      </c>
      <c r="AD6" s="1">
        <v>4541021</v>
      </c>
      <c r="AE6" s="1"/>
    </row>
    <row r="7" spans="1:31" x14ac:dyDescent="0.3">
      <c r="A7" s="24">
        <f t="shared" si="0"/>
        <v>100301</v>
      </c>
      <c r="B7" s="23" t="s">
        <v>473</v>
      </c>
      <c r="C7" s="25">
        <v>1</v>
      </c>
      <c r="D7" s="25" t="s">
        <v>455</v>
      </c>
      <c r="E7" s="17">
        <f>_xlfn.XLOOKUP(A7,'Detail&lt;Child&gt;'!C:C,'Detail&lt;Child&gt;'!A:A)</f>
        <v>10000003</v>
      </c>
      <c r="F7" s="23" t="s">
        <v>474</v>
      </c>
      <c r="G7" s="23" t="s">
        <v>457</v>
      </c>
      <c r="H7" s="23" t="s">
        <v>102</v>
      </c>
      <c r="J7" s="17" t="str">
        <f t="shared" si="6"/>
        <v>c003_01_F</v>
      </c>
      <c r="K7" s="17" t="str">
        <f t="shared" si="7"/>
        <v>c003_01_L</v>
      </c>
      <c r="L7" s="17" t="str">
        <f t="shared" si="8"/>
        <v>c003_01_Desc</v>
      </c>
      <c r="M7" s="17" t="str">
        <f t="shared" si="1"/>
        <v>c003_01_CV</v>
      </c>
      <c r="N7" s="17" t="str">
        <f t="shared" si="9"/>
        <v>c003_01_ci_F</v>
      </c>
      <c r="O7" s="17" t="s">
        <v>459</v>
      </c>
      <c r="P7" s="17" t="str">
        <f>B7&amp;"_"&amp;TEXT(C7,"00")&amp;"_p"</f>
        <v>c003_01_p</v>
      </c>
      <c r="Q7" s="17" t="s">
        <v>468</v>
      </c>
      <c r="R7" s="17" t="str">
        <f t="shared" si="5"/>
        <v>Promotion_c003_01_p</v>
      </c>
      <c r="S7" s="17" t="s">
        <v>469</v>
      </c>
      <c r="T7" s="17" t="str">
        <f t="shared" si="2"/>
        <v>c003_a_SkeletonData.asset</v>
      </c>
      <c r="U7" s="17" t="str">
        <f t="shared" si="3"/>
        <v>c003_01_a</v>
      </c>
      <c r="V7" s="17" t="str">
        <f t="shared" si="4"/>
        <v>Naninovel/Characters/c003_01</v>
      </c>
      <c r="W7" s="17" t="s">
        <v>29</v>
      </c>
      <c r="X7" s="1">
        <v>1511031</v>
      </c>
      <c r="Y7" s="17" t="s">
        <v>30</v>
      </c>
      <c r="Z7" s="1">
        <v>2511031</v>
      </c>
      <c r="AA7" s="17" t="s">
        <v>31</v>
      </c>
      <c r="AB7" s="1">
        <v>3511031</v>
      </c>
      <c r="AC7" s="17" t="s">
        <v>32</v>
      </c>
      <c r="AD7" s="1">
        <v>4511031</v>
      </c>
      <c r="AE7" s="1"/>
    </row>
    <row r="8" spans="1:31" x14ac:dyDescent="0.3">
      <c r="A8" s="24">
        <f t="shared" si="0"/>
        <v>146401</v>
      </c>
      <c r="B8" s="23" t="s">
        <v>475</v>
      </c>
      <c r="C8" s="25">
        <v>1</v>
      </c>
      <c r="D8" s="25" t="s">
        <v>455</v>
      </c>
      <c r="E8" s="17">
        <f>_xlfn.XLOOKUP(A8,'Detail&lt;Child&gt;'!C:C,'Detail&lt;Child&gt;'!A:A)</f>
        <v>10000464</v>
      </c>
      <c r="F8" s="23" t="s">
        <v>476</v>
      </c>
      <c r="G8" s="23" t="s">
        <v>457</v>
      </c>
      <c r="H8" s="23" t="s">
        <v>477</v>
      </c>
      <c r="J8" s="17" t="str">
        <f t="shared" si="6"/>
        <v>c464_01_F</v>
      </c>
      <c r="K8" s="17" t="str">
        <f t="shared" si="7"/>
        <v>c464_01_L</v>
      </c>
      <c r="L8" s="17" t="str">
        <f t="shared" si="8"/>
        <v>c464_01_Desc</v>
      </c>
      <c r="M8" s="17" t="str">
        <f t="shared" si="1"/>
        <v>c464_01_CV</v>
      </c>
      <c r="N8" s="17" t="str">
        <f t="shared" si="9"/>
        <v>c464_01_ci_F</v>
      </c>
      <c r="O8" s="17" t="s">
        <v>459</v>
      </c>
      <c r="P8" s="17" t="s">
        <v>478</v>
      </c>
      <c r="Q8" s="17" t="s">
        <v>468</v>
      </c>
      <c r="R8" s="17" t="str">
        <f t="shared" si="5"/>
        <v>Promotion_c464_02_p</v>
      </c>
      <c r="S8" s="17" t="s">
        <v>469</v>
      </c>
      <c r="T8" s="17" t="str">
        <f t="shared" si="2"/>
        <v>c464_a_SkeletonData.asset</v>
      </c>
      <c r="U8" s="17" t="str">
        <f t="shared" si="3"/>
        <v>c464_01_a</v>
      </c>
      <c r="V8" s="17" t="str">
        <f t="shared" si="4"/>
        <v>Naninovel/Characters/c464_01</v>
      </c>
      <c r="W8" s="17" t="s">
        <v>29</v>
      </c>
      <c r="X8" s="1">
        <v>1524041</v>
      </c>
      <c r="Y8" s="17" t="s">
        <v>30</v>
      </c>
      <c r="Z8" s="1">
        <v>2524041</v>
      </c>
      <c r="AA8" s="17" t="s">
        <v>31</v>
      </c>
      <c r="AB8" s="1">
        <v>3524041</v>
      </c>
      <c r="AC8" s="17" t="s">
        <v>32</v>
      </c>
      <c r="AD8" s="1">
        <v>4524041</v>
      </c>
      <c r="AE8" s="1"/>
    </row>
    <row r="9" spans="1:31" x14ac:dyDescent="0.3">
      <c r="A9" s="24">
        <f t="shared" si="0"/>
        <v>135301</v>
      </c>
      <c r="B9" s="23" t="s">
        <v>479</v>
      </c>
      <c r="C9" s="25">
        <v>1</v>
      </c>
      <c r="D9" s="25" t="s">
        <v>455</v>
      </c>
      <c r="E9" s="17">
        <f>_xlfn.XLOOKUP(A9,'Detail&lt;Child&gt;'!C:C,'Detail&lt;Child&gt;'!A:A)</f>
        <v>10000353</v>
      </c>
      <c r="F9" s="23" t="s">
        <v>480</v>
      </c>
      <c r="G9" s="23" t="s">
        <v>457</v>
      </c>
      <c r="H9" s="23" t="s">
        <v>481</v>
      </c>
      <c r="J9" s="17" t="str">
        <f t="shared" si="6"/>
        <v>c353_01_F</v>
      </c>
      <c r="K9" s="17" t="str">
        <f t="shared" si="7"/>
        <v>c353_01_L</v>
      </c>
      <c r="L9" s="17" t="str">
        <f t="shared" si="8"/>
        <v>c353_01_Desc</v>
      </c>
      <c r="M9" s="17" t="str">
        <f t="shared" si="1"/>
        <v>c353_01_CV</v>
      </c>
      <c r="N9" s="17" t="str">
        <f t="shared" si="9"/>
        <v>c353_01_ci_F</v>
      </c>
      <c r="O9" s="17" t="s">
        <v>459</v>
      </c>
      <c r="P9" s="17" t="str">
        <f t="shared" ref="P9:P38" si="10">B9&amp;"_"&amp;TEXT(C9,"00")&amp;"_p"</f>
        <v>c353_01_p</v>
      </c>
      <c r="Q9" s="17" t="s">
        <v>468</v>
      </c>
      <c r="R9" s="17" t="str">
        <f t="shared" si="5"/>
        <v>Promotion_c353_01_p</v>
      </c>
      <c r="S9" s="17" t="s">
        <v>469</v>
      </c>
      <c r="T9" s="17" t="str">
        <f t="shared" si="2"/>
        <v>c353_a_SkeletonData.asset</v>
      </c>
      <c r="U9" s="17" t="str">
        <f t="shared" si="3"/>
        <v>c353_01_a</v>
      </c>
      <c r="V9" s="17" t="str">
        <f t="shared" si="4"/>
        <v>Naninovel/Characters/c353_01</v>
      </c>
      <c r="W9" s="17" t="s">
        <v>29</v>
      </c>
      <c r="X9" s="1">
        <v>1542051</v>
      </c>
      <c r="Y9" s="17" t="s">
        <v>30</v>
      </c>
      <c r="Z9" s="1">
        <v>2542051</v>
      </c>
      <c r="AA9" s="17" t="s">
        <v>31</v>
      </c>
      <c r="AB9" s="1">
        <v>3542051</v>
      </c>
      <c r="AC9" s="17" t="s">
        <v>32</v>
      </c>
      <c r="AD9" s="1">
        <v>4542051</v>
      </c>
      <c r="AE9" s="1"/>
    </row>
    <row r="10" spans="1:31" x14ac:dyDescent="0.3">
      <c r="A10" s="24">
        <f t="shared" si="0"/>
        <v>122901</v>
      </c>
      <c r="B10" s="23" t="s">
        <v>482</v>
      </c>
      <c r="C10" s="25">
        <v>1</v>
      </c>
      <c r="D10" s="25" t="s">
        <v>455</v>
      </c>
      <c r="E10" s="17">
        <f>_xlfn.XLOOKUP(A10,'Detail&lt;Child&gt;'!C:C,'Detail&lt;Child&gt;'!A:A)</f>
        <v>10000229</v>
      </c>
      <c r="F10" s="23" t="s">
        <v>483</v>
      </c>
      <c r="G10" s="23" t="s">
        <v>457</v>
      </c>
      <c r="H10" s="23" t="s">
        <v>484</v>
      </c>
      <c r="J10" s="17" t="str">
        <f t="shared" si="6"/>
        <v>c229_01_F</v>
      </c>
      <c r="K10" s="17" t="str">
        <f t="shared" si="7"/>
        <v>c229_01_L</v>
      </c>
      <c r="L10" s="17" t="str">
        <f t="shared" si="8"/>
        <v>c229_01_Desc</v>
      </c>
      <c r="M10" s="17" t="str">
        <f t="shared" si="1"/>
        <v>c229_01_CV</v>
      </c>
      <c r="N10" s="17" t="str">
        <f t="shared" si="9"/>
        <v>c229_01_ci_F</v>
      </c>
      <c r="O10" s="17" t="s">
        <v>459</v>
      </c>
      <c r="P10" s="17" t="str">
        <f t="shared" si="10"/>
        <v>c229_01_p</v>
      </c>
      <c r="Q10" s="17" t="s">
        <v>468</v>
      </c>
      <c r="R10" s="17" t="str">
        <f t="shared" si="5"/>
        <v>Promotion_c229_01_p</v>
      </c>
      <c r="S10" s="17" t="s">
        <v>469</v>
      </c>
      <c r="T10" s="17" t="str">
        <f t="shared" si="2"/>
        <v>c229_a_SkeletonData.asset</v>
      </c>
      <c r="U10" s="17" t="str">
        <f t="shared" si="3"/>
        <v>c229_01_a</v>
      </c>
      <c r="V10" s="17" t="str">
        <f t="shared" si="4"/>
        <v>Naninovel/Characters/c229_01</v>
      </c>
      <c r="W10" s="17" t="s">
        <v>29</v>
      </c>
      <c r="X10" s="1">
        <v>1534061</v>
      </c>
      <c r="Y10" s="17" t="s">
        <v>30</v>
      </c>
      <c r="Z10" s="1">
        <v>2534061</v>
      </c>
      <c r="AA10" s="17" t="s">
        <v>31</v>
      </c>
      <c r="AB10" s="1">
        <v>3534061</v>
      </c>
      <c r="AC10" s="17" t="s">
        <v>32</v>
      </c>
      <c r="AD10" s="1">
        <v>4534061</v>
      </c>
      <c r="AE10" s="1"/>
    </row>
    <row r="11" spans="1:31" x14ac:dyDescent="0.3">
      <c r="A11" s="24">
        <f t="shared" si="0"/>
        <v>118001</v>
      </c>
      <c r="B11" s="23" t="s">
        <v>485</v>
      </c>
      <c r="C11" s="25">
        <v>1</v>
      </c>
      <c r="D11" s="25" t="s">
        <v>455</v>
      </c>
      <c r="E11" s="17">
        <f>_xlfn.XLOOKUP(A11,'Detail&lt;Child&gt;'!C:C,'Detail&lt;Child&gt;'!A:A)</f>
        <v>10000180</v>
      </c>
      <c r="F11" s="23" t="s">
        <v>486</v>
      </c>
      <c r="G11" s="23" t="s">
        <v>457</v>
      </c>
      <c r="H11" s="23" t="s">
        <v>369</v>
      </c>
      <c r="J11" s="17" t="str">
        <f t="shared" si="6"/>
        <v>c180_01_F</v>
      </c>
      <c r="K11" s="17" t="str">
        <f t="shared" si="7"/>
        <v>c180_01_L</v>
      </c>
      <c r="L11" s="17" t="str">
        <f t="shared" si="8"/>
        <v>c180_01_Desc</v>
      </c>
      <c r="M11" s="17" t="str">
        <f t="shared" si="1"/>
        <v>c180_01_CV</v>
      </c>
      <c r="N11" s="17" t="str">
        <f t="shared" si="9"/>
        <v>c180_01_ci_F</v>
      </c>
      <c r="O11" s="17" t="s">
        <v>459</v>
      </c>
      <c r="P11" s="17" t="str">
        <f t="shared" si="10"/>
        <v>c180_01_p</v>
      </c>
      <c r="Q11" s="17" t="s">
        <v>468</v>
      </c>
      <c r="R11" s="17" t="str">
        <f t="shared" si="5"/>
        <v>Promotion_c180_01_p</v>
      </c>
      <c r="S11" s="17" t="s">
        <v>469</v>
      </c>
      <c r="T11" s="17" t="str">
        <f t="shared" si="2"/>
        <v>c180_a_SkeletonData.asset</v>
      </c>
      <c r="U11" s="17" t="str">
        <f t="shared" si="3"/>
        <v>c180_01_a</v>
      </c>
      <c r="V11" s="17" t="str">
        <f t="shared" si="4"/>
        <v>Naninovel/Characters/c180_01</v>
      </c>
      <c r="W11" s="17" t="s">
        <v>29</v>
      </c>
      <c r="X11" s="1">
        <v>1532071</v>
      </c>
      <c r="Y11" s="17" t="s">
        <v>30</v>
      </c>
      <c r="Z11" s="1">
        <v>2532071</v>
      </c>
      <c r="AA11" s="17" t="s">
        <v>31</v>
      </c>
      <c r="AB11" s="1">
        <v>3532071</v>
      </c>
      <c r="AC11" s="17" t="s">
        <v>32</v>
      </c>
      <c r="AD11" s="1">
        <v>4532071</v>
      </c>
      <c r="AE11" s="1"/>
    </row>
    <row r="12" spans="1:31" x14ac:dyDescent="0.3">
      <c r="A12" s="24">
        <f t="shared" si="0"/>
        <v>118301</v>
      </c>
      <c r="B12" s="23" t="s">
        <v>487</v>
      </c>
      <c r="C12" s="25">
        <v>1</v>
      </c>
      <c r="D12" s="25" t="s">
        <v>455</v>
      </c>
      <c r="E12" s="17">
        <f>_xlfn.XLOOKUP(A12,'Detail&lt;Child&gt;'!C:C,'Detail&lt;Child&gt;'!A:A)</f>
        <v>10000183</v>
      </c>
      <c r="F12" s="23" t="s">
        <v>488</v>
      </c>
      <c r="G12" s="23" t="s">
        <v>457</v>
      </c>
      <c r="H12" s="23" t="s">
        <v>489</v>
      </c>
      <c r="J12" s="17" t="str">
        <f t="shared" si="6"/>
        <v>c183_01_F</v>
      </c>
      <c r="K12" s="17" t="str">
        <f t="shared" si="7"/>
        <v>c183_01_L</v>
      </c>
      <c r="L12" s="17" t="str">
        <f t="shared" si="8"/>
        <v>c183_01_Desc</v>
      </c>
      <c r="M12" s="17" t="str">
        <f t="shared" si="1"/>
        <v>c183_01_CV</v>
      </c>
      <c r="N12" s="17" t="str">
        <f t="shared" si="9"/>
        <v>c183_01_ci_F</v>
      </c>
      <c r="O12" s="17" t="s">
        <v>459</v>
      </c>
      <c r="P12" s="17" t="str">
        <f t="shared" si="10"/>
        <v>c183_01_p</v>
      </c>
      <c r="Q12" s="17" t="s">
        <v>468</v>
      </c>
      <c r="R12" s="17" t="str">
        <f t="shared" si="5"/>
        <v>Promotion_c183_01_p</v>
      </c>
      <c r="S12" s="17" t="s">
        <v>469</v>
      </c>
      <c r="T12" s="17" t="str">
        <f t="shared" si="2"/>
        <v>c183_a_SkeletonData.asset</v>
      </c>
      <c r="U12" s="17" t="str">
        <f t="shared" si="3"/>
        <v>c183_01_a</v>
      </c>
      <c r="V12" s="17" t="str">
        <f t="shared" si="4"/>
        <v>Naninovel/Characters/c183_01</v>
      </c>
      <c r="W12" s="17" t="s">
        <v>29</v>
      </c>
      <c r="X12" s="1">
        <v>1555081</v>
      </c>
      <c r="Y12" s="17" t="s">
        <v>30</v>
      </c>
      <c r="Z12" s="1">
        <v>2555081</v>
      </c>
      <c r="AA12" s="17" t="s">
        <v>31</v>
      </c>
      <c r="AB12" s="1">
        <v>3555081</v>
      </c>
      <c r="AC12" s="17" t="s">
        <v>32</v>
      </c>
      <c r="AD12" s="1">
        <v>4555081</v>
      </c>
      <c r="AE12" s="1"/>
    </row>
    <row r="13" spans="1:31" x14ac:dyDescent="0.3">
      <c r="A13" s="24">
        <f t="shared" si="0"/>
        <v>105102</v>
      </c>
      <c r="B13" s="23" t="s">
        <v>490</v>
      </c>
      <c r="C13" s="25">
        <v>2</v>
      </c>
      <c r="D13" s="25" t="s">
        <v>455</v>
      </c>
      <c r="E13" s="17" t="e">
        <f>_xlfn.XLOOKUP(A13,'Detail&lt;Child&gt;'!C:C,'Detail&lt;Child&gt;'!A:A)</f>
        <v>#N/A</v>
      </c>
      <c r="F13" s="23" t="s">
        <v>491</v>
      </c>
      <c r="G13" s="23" t="s">
        <v>457</v>
      </c>
      <c r="H13" s="23" t="s">
        <v>125</v>
      </c>
      <c r="J13" s="17" t="str">
        <f t="shared" si="6"/>
        <v>c051_02_F</v>
      </c>
      <c r="K13" s="17" t="str">
        <f t="shared" si="7"/>
        <v>c051_02_L</v>
      </c>
      <c r="L13" s="17" t="str">
        <f t="shared" si="8"/>
        <v>c051_02_Desc</v>
      </c>
      <c r="M13" s="17" t="str">
        <f t="shared" si="1"/>
        <v>c051_02_CV</v>
      </c>
      <c r="N13" s="17" t="s">
        <v>492</v>
      </c>
      <c r="O13" s="17" t="s">
        <v>459</v>
      </c>
      <c r="P13" s="17" t="str">
        <f t="shared" si="10"/>
        <v>c051_02_p</v>
      </c>
      <c r="Q13" s="17" t="s">
        <v>468</v>
      </c>
      <c r="R13" s="17" t="str">
        <f t="shared" si="5"/>
        <v>Promotion_c051_02_p</v>
      </c>
      <c r="S13" s="17" t="s">
        <v>469</v>
      </c>
      <c r="T13" s="17" t="str">
        <f t="shared" si="2"/>
        <v>c051_a_SkeletonData.asset</v>
      </c>
      <c r="U13" s="17" t="str">
        <f t="shared" si="3"/>
        <v>c051_02_a</v>
      </c>
      <c r="V13" s="17" t="str">
        <f t="shared" si="4"/>
        <v>Naninovel/Characters/c051_02</v>
      </c>
      <c r="W13" s="17" t="s">
        <v>29</v>
      </c>
      <c r="X13" s="17">
        <v>1551091</v>
      </c>
      <c r="Y13" s="17" t="s">
        <v>30</v>
      </c>
      <c r="Z13" s="17">
        <v>2551091</v>
      </c>
      <c r="AA13" s="17" t="s">
        <v>31</v>
      </c>
      <c r="AB13" s="17">
        <v>3551091</v>
      </c>
      <c r="AC13" s="17" t="s">
        <v>32</v>
      </c>
      <c r="AD13" s="17">
        <v>4551091</v>
      </c>
    </row>
    <row r="14" spans="1:31" x14ac:dyDescent="0.3">
      <c r="A14" s="24">
        <f t="shared" si="0"/>
        <v>136401</v>
      </c>
      <c r="B14" s="23" t="s">
        <v>493</v>
      </c>
      <c r="C14" s="25">
        <v>1</v>
      </c>
      <c r="D14" s="25" t="s">
        <v>455</v>
      </c>
      <c r="E14" s="17">
        <f>_xlfn.XLOOKUP(A14,'Detail&lt;Child&gt;'!C:C,'Detail&lt;Child&gt;'!A:A)</f>
        <v>10000364</v>
      </c>
      <c r="F14" s="23" t="s">
        <v>494</v>
      </c>
      <c r="G14" s="23" t="s">
        <v>457</v>
      </c>
      <c r="H14" s="23" t="s">
        <v>495</v>
      </c>
      <c r="J14" s="17" t="str">
        <f t="shared" si="6"/>
        <v>c364_01_F</v>
      </c>
      <c r="K14" s="17" t="str">
        <f t="shared" si="7"/>
        <v>c364_01_L</v>
      </c>
      <c r="L14" s="17" t="str">
        <f t="shared" si="8"/>
        <v>c364_01_Desc</v>
      </c>
      <c r="M14" s="17" t="str">
        <f t="shared" si="1"/>
        <v>c364_01_CV</v>
      </c>
      <c r="N14" s="17" t="str">
        <f t="shared" ref="N14:N45" si="11">LEFT(J14, 7)&amp;"_ci_F"</f>
        <v>c364_01_ci_F</v>
      </c>
      <c r="O14" s="17" t="s">
        <v>459</v>
      </c>
      <c r="P14" s="17" t="str">
        <f t="shared" si="10"/>
        <v>c364_01_p</v>
      </c>
      <c r="Q14" s="17" t="s">
        <v>468</v>
      </c>
      <c r="R14" s="17" t="str">
        <f t="shared" si="5"/>
        <v>Promotion_c364_01_p</v>
      </c>
      <c r="S14" s="17" t="s">
        <v>469</v>
      </c>
      <c r="T14" s="17" t="str">
        <f t="shared" si="2"/>
        <v>c364_a_SkeletonData.asset</v>
      </c>
      <c r="U14" s="17" t="str">
        <f t="shared" si="3"/>
        <v>c364_01_a</v>
      </c>
      <c r="V14" s="17" t="str">
        <f t="shared" si="4"/>
        <v>Naninovel/Characters/c364_01</v>
      </c>
      <c r="W14" s="17" t="s">
        <v>29</v>
      </c>
      <c r="X14" s="17">
        <v>1554101</v>
      </c>
      <c r="Y14" s="17" t="s">
        <v>30</v>
      </c>
      <c r="Z14" s="17">
        <v>2554101</v>
      </c>
      <c r="AA14" s="17" t="s">
        <v>31</v>
      </c>
      <c r="AB14" s="17">
        <v>3554101</v>
      </c>
      <c r="AC14" s="17" t="s">
        <v>32</v>
      </c>
      <c r="AD14" s="17">
        <v>4554101</v>
      </c>
    </row>
    <row r="15" spans="1:31" x14ac:dyDescent="0.3">
      <c r="A15" s="24">
        <f t="shared" si="0"/>
        <v>100201</v>
      </c>
      <c r="B15" s="23" t="s">
        <v>496</v>
      </c>
      <c r="C15" s="25">
        <v>1</v>
      </c>
      <c r="D15" s="25" t="s">
        <v>455</v>
      </c>
      <c r="E15" s="17">
        <f>_xlfn.XLOOKUP(A15,'Detail&lt;Child&gt;'!C:C,'Detail&lt;Child&gt;'!A:A)</f>
        <v>10000002</v>
      </c>
      <c r="F15" s="23" t="s">
        <v>497</v>
      </c>
      <c r="G15" s="23" t="s">
        <v>457</v>
      </c>
      <c r="H15" s="23" t="s">
        <v>116</v>
      </c>
      <c r="J15" s="17" t="str">
        <f t="shared" si="6"/>
        <v>c002_01_F</v>
      </c>
      <c r="K15" s="17" t="str">
        <f t="shared" si="7"/>
        <v>c002_01_L</v>
      </c>
      <c r="L15" s="17" t="str">
        <f t="shared" si="8"/>
        <v>c002_01_Desc</v>
      </c>
      <c r="M15" s="17" t="str">
        <f t="shared" si="1"/>
        <v>c002_01_CV</v>
      </c>
      <c r="N15" s="17" t="str">
        <f t="shared" si="11"/>
        <v>c002_01_ci_F</v>
      </c>
      <c r="O15" s="17" t="s">
        <v>459</v>
      </c>
      <c r="P15" s="17" t="str">
        <f t="shared" si="10"/>
        <v>c002_01_p</v>
      </c>
      <c r="Q15" s="17" t="s">
        <v>468</v>
      </c>
      <c r="R15" s="17" t="str">
        <f t="shared" si="5"/>
        <v>Promotion_c002_01_p</v>
      </c>
      <c r="S15" s="17" t="s">
        <v>469</v>
      </c>
      <c r="T15" s="17" t="str">
        <f t="shared" si="2"/>
        <v>c002_a_SkeletonData.asset</v>
      </c>
      <c r="U15" s="17" t="str">
        <f t="shared" si="3"/>
        <v>c002_01_a</v>
      </c>
      <c r="V15" s="17" t="str">
        <f t="shared" si="4"/>
        <v>Naninovel/Characters/c002_01</v>
      </c>
      <c r="W15" s="17" t="s">
        <v>29</v>
      </c>
      <c r="X15" s="17">
        <v>1325111</v>
      </c>
      <c r="Y15" s="17" t="s">
        <v>30</v>
      </c>
      <c r="Z15" s="17">
        <v>2325111</v>
      </c>
      <c r="AA15" s="17" t="s">
        <v>31</v>
      </c>
      <c r="AB15" s="17">
        <v>3325111</v>
      </c>
      <c r="AC15" s="17" t="s">
        <v>32</v>
      </c>
      <c r="AD15" s="17">
        <v>4325111</v>
      </c>
    </row>
    <row r="16" spans="1:31" x14ac:dyDescent="0.3">
      <c r="A16" s="24">
        <f t="shared" si="0"/>
        <v>141701</v>
      </c>
      <c r="B16" s="23" t="s">
        <v>498</v>
      </c>
      <c r="C16" s="25">
        <v>1</v>
      </c>
      <c r="D16" s="25" t="s">
        <v>455</v>
      </c>
      <c r="E16" s="17">
        <f>_xlfn.XLOOKUP(A16,'Detail&lt;Child&gt;'!C:C,'Detail&lt;Child&gt;'!A:A)</f>
        <v>10000417</v>
      </c>
      <c r="F16" s="23" t="s">
        <v>499</v>
      </c>
      <c r="G16" s="23" t="s">
        <v>457</v>
      </c>
      <c r="H16" s="23" t="s">
        <v>131</v>
      </c>
      <c r="J16" s="17" t="str">
        <f t="shared" si="6"/>
        <v>c417_01_F</v>
      </c>
      <c r="K16" s="17" t="str">
        <f t="shared" si="7"/>
        <v>c417_01_L</v>
      </c>
      <c r="L16" s="17" t="str">
        <f t="shared" si="8"/>
        <v>c417_01_Desc</v>
      </c>
      <c r="M16" s="17" t="str">
        <f t="shared" si="1"/>
        <v>c417_01_CV</v>
      </c>
      <c r="N16" s="17" t="str">
        <f t="shared" si="11"/>
        <v>c417_01_ci_F</v>
      </c>
      <c r="O16" s="17" t="s">
        <v>459</v>
      </c>
      <c r="P16" s="17" t="str">
        <f t="shared" si="10"/>
        <v>c417_01_p</v>
      </c>
      <c r="Q16" s="17" t="s">
        <v>468</v>
      </c>
      <c r="R16" s="17" t="str">
        <f t="shared" si="5"/>
        <v>Promotion_c417_01_p</v>
      </c>
      <c r="S16" s="17" t="s">
        <v>469</v>
      </c>
      <c r="T16" s="17" t="str">
        <f t="shared" si="2"/>
        <v>c417_a_SkeletonData.asset</v>
      </c>
      <c r="U16" s="17" t="str">
        <f t="shared" si="3"/>
        <v>c417_01_a</v>
      </c>
      <c r="V16" s="17" t="str">
        <f t="shared" si="4"/>
        <v>Naninovel/Characters/c417_01</v>
      </c>
      <c r="W16" s="17" t="s">
        <v>29</v>
      </c>
      <c r="X16" s="17">
        <v>1313121</v>
      </c>
      <c r="Y16" s="17" t="s">
        <v>30</v>
      </c>
      <c r="Z16" s="17">
        <v>2313121</v>
      </c>
      <c r="AA16" s="17" t="s">
        <v>31</v>
      </c>
      <c r="AB16" s="17">
        <v>3313121</v>
      </c>
      <c r="AC16" s="17" t="s">
        <v>32</v>
      </c>
      <c r="AD16" s="17">
        <v>4313121</v>
      </c>
    </row>
    <row r="17" spans="1:30" x14ac:dyDescent="0.3">
      <c r="A17" s="24">
        <f t="shared" si="0"/>
        <v>143201</v>
      </c>
      <c r="B17" s="23" t="s">
        <v>500</v>
      </c>
      <c r="C17" s="25">
        <v>1</v>
      </c>
      <c r="D17" s="25" t="s">
        <v>455</v>
      </c>
      <c r="E17" s="17">
        <f>_xlfn.XLOOKUP(A17,'Detail&lt;Child&gt;'!C:C,'Detail&lt;Child&gt;'!A:A)</f>
        <v>10000432</v>
      </c>
      <c r="F17" s="23" t="s">
        <v>501</v>
      </c>
      <c r="G17" s="23" t="s">
        <v>457</v>
      </c>
      <c r="H17" s="23" t="s">
        <v>123</v>
      </c>
      <c r="J17" s="17" t="str">
        <f t="shared" si="6"/>
        <v>c432_01_F</v>
      </c>
      <c r="K17" s="17" t="str">
        <f t="shared" si="7"/>
        <v>c432_01_L</v>
      </c>
      <c r="L17" s="17" t="str">
        <f t="shared" si="8"/>
        <v>c432_01_Desc</v>
      </c>
      <c r="M17" s="17" t="str">
        <f t="shared" si="1"/>
        <v>c432_01_CV</v>
      </c>
      <c r="N17" s="17" t="str">
        <f t="shared" si="11"/>
        <v>c432_01_ci_F</v>
      </c>
      <c r="O17" s="17" t="s">
        <v>459</v>
      </c>
      <c r="P17" s="17" t="str">
        <f t="shared" si="10"/>
        <v>c432_01_p</v>
      </c>
      <c r="Q17" s="17" t="s">
        <v>468</v>
      </c>
      <c r="R17" s="17" t="str">
        <f t="shared" si="5"/>
        <v>Promotion_c432_01_p</v>
      </c>
      <c r="S17" s="17" t="s">
        <v>469</v>
      </c>
      <c r="T17" s="17" t="str">
        <f t="shared" si="2"/>
        <v>c432_a_SkeletonData.asset</v>
      </c>
      <c r="U17" s="17" t="str">
        <f t="shared" si="3"/>
        <v>c432_01_a</v>
      </c>
      <c r="V17" s="17" t="str">
        <f t="shared" si="4"/>
        <v>Naninovel/Characters/c432_01</v>
      </c>
      <c r="W17" s="17" t="s">
        <v>29</v>
      </c>
      <c r="X17" s="17">
        <v>1351161</v>
      </c>
      <c r="Y17" s="17" t="s">
        <v>30</v>
      </c>
      <c r="Z17" s="17">
        <v>2351161</v>
      </c>
      <c r="AA17" s="17" t="s">
        <v>31</v>
      </c>
      <c r="AB17" s="17">
        <v>3351161</v>
      </c>
      <c r="AC17" s="17" t="s">
        <v>32</v>
      </c>
      <c r="AD17" s="17">
        <v>4351161</v>
      </c>
    </row>
    <row r="18" spans="1:30" x14ac:dyDescent="0.3">
      <c r="A18" s="24">
        <f t="shared" si="0"/>
        <v>148601</v>
      </c>
      <c r="B18" s="23" t="s">
        <v>502</v>
      </c>
      <c r="C18" s="25">
        <v>1</v>
      </c>
      <c r="D18" s="25" t="s">
        <v>455</v>
      </c>
      <c r="E18" s="17">
        <f>_xlfn.XLOOKUP(A18,'Detail&lt;Child&gt;'!C:C,'Detail&lt;Child&gt;'!A:A)</f>
        <v>10000486</v>
      </c>
      <c r="F18" s="23" t="s">
        <v>503</v>
      </c>
      <c r="G18" s="23" t="s">
        <v>457</v>
      </c>
      <c r="H18" s="23" t="s">
        <v>126</v>
      </c>
      <c r="J18" s="17" t="str">
        <f t="shared" si="6"/>
        <v>c486_01_F</v>
      </c>
      <c r="K18" s="17" t="str">
        <f t="shared" si="7"/>
        <v>c486_01_L</v>
      </c>
      <c r="L18" s="17" t="str">
        <f t="shared" si="8"/>
        <v>c486_01_Desc</v>
      </c>
      <c r="M18" s="17" t="str">
        <f t="shared" si="1"/>
        <v>c486_01_CV</v>
      </c>
      <c r="N18" s="17" t="str">
        <f t="shared" si="11"/>
        <v>c486_01_ci_F</v>
      </c>
      <c r="O18" s="17" t="s">
        <v>459</v>
      </c>
      <c r="P18" s="17" t="str">
        <f t="shared" si="10"/>
        <v>c486_01_p</v>
      </c>
      <c r="Q18" s="17" t="s">
        <v>468</v>
      </c>
      <c r="R18" s="17" t="str">
        <f t="shared" si="5"/>
        <v>Promotion_c486_01_p</v>
      </c>
      <c r="S18" s="17" t="s">
        <v>469</v>
      </c>
      <c r="T18" s="17" t="str">
        <f t="shared" si="2"/>
        <v>c486_a_SkeletonData.asset</v>
      </c>
      <c r="U18" s="17" t="str">
        <f t="shared" si="3"/>
        <v>c486_01_a</v>
      </c>
      <c r="V18" s="17" t="str">
        <f t="shared" si="4"/>
        <v>Naninovel/Characters/c486_01</v>
      </c>
      <c r="W18" s="17" t="s">
        <v>29</v>
      </c>
      <c r="X18" s="17">
        <v>1353141</v>
      </c>
      <c r="Y18" s="17" t="s">
        <v>30</v>
      </c>
      <c r="Z18" s="17">
        <v>2353141</v>
      </c>
      <c r="AA18" s="17" t="s">
        <v>31</v>
      </c>
      <c r="AB18" s="17">
        <v>3353141</v>
      </c>
      <c r="AC18" s="17" t="s">
        <v>32</v>
      </c>
      <c r="AD18" s="17">
        <v>4353141</v>
      </c>
    </row>
    <row r="19" spans="1:30" x14ac:dyDescent="0.3">
      <c r="A19" s="24">
        <f t="shared" si="0"/>
        <v>129401</v>
      </c>
      <c r="B19" s="23" t="s">
        <v>504</v>
      </c>
      <c r="C19" s="25">
        <v>1</v>
      </c>
      <c r="D19" s="25" t="s">
        <v>455</v>
      </c>
      <c r="E19" s="17">
        <f>_xlfn.XLOOKUP(A19,'Detail&lt;Child&gt;'!C:C,'Detail&lt;Child&gt;'!A:A)</f>
        <v>10000294</v>
      </c>
      <c r="F19" s="23" t="s">
        <v>505</v>
      </c>
      <c r="G19" s="23" t="s">
        <v>457</v>
      </c>
      <c r="H19" s="23" t="s">
        <v>124</v>
      </c>
      <c r="J19" s="17" t="str">
        <f t="shared" si="6"/>
        <v>c294_01_F</v>
      </c>
      <c r="K19" s="17" t="str">
        <f t="shared" si="7"/>
        <v>c294_01_L</v>
      </c>
      <c r="L19" s="17" t="str">
        <f t="shared" si="8"/>
        <v>c294_01_Desc</v>
      </c>
      <c r="M19" s="17" t="str">
        <f t="shared" si="1"/>
        <v>c294_01_CV</v>
      </c>
      <c r="N19" s="17" t="str">
        <f t="shared" si="11"/>
        <v>c294_01_ci_F</v>
      </c>
      <c r="O19" s="17" t="s">
        <v>459</v>
      </c>
      <c r="P19" s="17" t="str">
        <f t="shared" si="10"/>
        <v>c294_01_p</v>
      </c>
      <c r="Q19" s="17" t="s">
        <v>468</v>
      </c>
      <c r="R19" s="17" t="str">
        <f t="shared" si="5"/>
        <v>Promotion_c294_01_p</v>
      </c>
      <c r="S19" s="17" t="s">
        <v>469</v>
      </c>
      <c r="T19" s="17" t="str">
        <f t="shared" si="2"/>
        <v>c294_a_SkeletonData.asset</v>
      </c>
      <c r="U19" s="17" t="str">
        <f t="shared" si="3"/>
        <v>c294_01_a</v>
      </c>
      <c r="V19" s="17" t="str">
        <f t="shared" si="4"/>
        <v>Naninovel/Characters/c294_01</v>
      </c>
      <c r="W19" s="17" t="s">
        <v>29</v>
      </c>
      <c r="X19" s="17">
        <v>1333131</v>
      </c>
      <c r="Y19" s="17" t="s">
        <v>30</v>
      </c>
      <c r="Z19" s="17">
        <v>2333131</v>
      </c>
      <c r="AA19" s="17" t="s">
        <v>31</v>
      </c>
      <c r="AB19" s="17">
        <v>3333131</v>
      </c>
      <c r="AC19" s="17" t="s">
        <v>32</v>
      </c>
      <c r="AD19" s="17">
        <v>4333131</v>
      </c>
    </row>
    <row r="20" spans="1:30" x14ac:dyDescent="0.3">
      <c r="A20" s="24">
        <f t="shared" si="0"/>
        <v>150101</v>
      </c>
      <c r="B20" s="23" t="s">
        <v>506</v>
      </c>
      <c r="C20" s="25">
        <v>1</v>
      </c>
      <c r="D20" s="25" t="s">
        <v>455</v>
      </c>
      <c r="E20" s="17">
        <f>_xlfn.XLOOKUP(A20,'Detail&lt;Child&gt;'!C:C,'Detail&lt;Child&gt;'!A:A)</f>
        <v>10000501</v>
      </c>
      <c r="F20" s="23" t="s">
        <v>507</v>
      </c>
      <c r="G20" s="23" t="s">
        <v>457</v>
      </c>
      <c r="H20" s="23" t="s">
        <v>132</v>
      </c>
      <c r="J20" s="17" t="str">
        <f t="shared" si="6"/>
        <v>c501_01_F</v>
      </c>
      <c r="K20" s="17" t="str">
        <f t="shared" si="7"/>
        <v>c501_01_L</v>
      </c>
      <c r="L20" s="17" t="str">
        <f t="shared" si="8"/>
        <v>c501_01_Desc</v>
      </c>
      <c r="M20" s="17" t="str">
        <f t="shared" si="1"/>
        <v>c501_01_CV</v>
      </c>
      <c r="N20" s="17" t="str">
        <f t="shared" si="11"/>
        <v>c501_01_ci_F</v>
      </c>
      <c r="O20" s="17" t="s">
        <v>459</v>
      </c>
      <c r="P20" s="17" t="str">
        <f t="shared" si="10"/>
        <v>c501_01_p</v>
      </c>
      <c r="Q20" s="17" t="s">
        <v>468</v>
      </c>
      <c r="R20" s="17" t="str">
        <f t="shared" si="5"/>
        <v>Promotion_c501_01_p</v>
      </c>
      <c r="S20" s="17" t="s">
        <v>469</v>
      </c>
      <c r="T20" s="17" t="str">
        <f t="shared" si="2"/>
        <v>c501_a_SkeletonData.asset</v>
      </c>
      <c r="U20" s="17" t="str">
        <f t="shared" si="3"/>
        <v>c501_01_a</v>
      </c>
      <c r="V20" s="17" t="str">
        <f t="shared" si="4"/>
        <v>Naninovel/Characters/c501_01</v>
      </c>
      <c r="W20" s="17" t="s">
        <v>29</v>
      </c>
      <c r="X20" s="17">
        <v>1311151</v>
      </c>
      <c r="Y20" s="17" t="s">
        <v>30</v>
      </c>
      <c r="Z20" s="17">
        <v>2311151</v>
      </c>
      <c r="AA20" s="17" t="s">
        <v>31</v>
      </c>
      <c r="AB20" s="17">
        <v>3311151</v>
      </c>
      <c r="AC20" s="17" t="s">
        <v>32</v>
      </c>
      <c r="AD20" s="17">
        <v>4311151</v>
      </c>
    </row>
    <row r="21" spans="1:30" x14ac:dyDescent="0.3">
      <c r="A21" s="24">
        <f t="shared" si="0"/>
        <v>100101</v>
      </c>
      <c r="B21" s="23" t="s">
        <v>508</v>
      </c>
      <c r="C21" s="25">
        <v>1</v>
      </c>
      <c r="D21" s="25" t="s">
        <v>455</v>
      </c>
      <c r="E21" s="17">
        <f>_xlfn.XLOOKUP(A21,'Detail&lt;Child&gt;'!C:C,'Detail&lt;Child&gt;'!A:A)</f>
        <v>10000001</v>
      </c>
      <c r="F21" s="23" t="s">
        <v>509</v>
      </c>
      <c r="G21" s="23" t="s">
        <v>457</v>
      </c>
      <c r="H21" s="23" t="s">
        <v>98</v>
      </c>
      <c r="J21" s="17" t="str">
        <f t="shared" si="6"/>
        <v>c001_01_F</v>
      </c>
      <c r="K21" s="17" t="str">
        <f t="shared" si="7"/>
        <v>c001_01_L</v>
      </c>
      <c r="L21" s="17" t="str">
        <f t="shared" si="8"/>
        <v>c001_01_Desc</v>
      </c>
      <c r="M21" s="17" t="str">
        <f t="shared" si="1"/>
        <v>c001_01_CV</v>
      </c>
      <c r="N21" s="17" t="str">
        <f t="shared" si="11"/>
        <v>c001_01_ci_F</v>
      </c>
      <c r="O21" s="17" t="s">
        <v>459</v>
      </c>
      <c r="P21" s="17" t="str">
        <f t="shared" si="10"/>
        <v>c001_01_p</v>
      </c>
      <c r="Q21" s="17" t="s">
        <v>468</v>
      </c>
      <c r="R21" s="17" t="str">
        <f t="shared" si="5"/>
        <v>Promotion_c001_01_p</v>
      </c>
      <c r="S21" s="17" t="s">
        <v>469</v>
      </c>
      <c r="T21" s="17" t="str">
        <f t="shared" si="2"/>
        <v>c001_a_SkeletonData.asset</v>
      </c>
      <c r="U21" s="17" t="str">
        <f t="shared" si="3"/>
        <v>c001_01_a</v>
      </c>
      <c r="V21" s="17" t="str">
        <f t="shared" si="4"/>
        <v>Naninovel/Characters/c001_01</v>
      </c>
      <c r="W21" s="17" t="s">
        <v>29</v>
      </c>
      <c r="X21" s="17">
        <v>1552111</v>
      </c>
      <c r="Y21" s="17" t="s">
        <v>30</v>
      </c>
      <c r="Z21" s="17">
        <v>2552111</v>
      </c>
      <c r="AA21" s="17" t="s">
        <v>31</v>
      </c>
      <c r="AB21" s="17">
        <v>3552111</v>
      </c>
      <c r="AC21" s="17" t="s">
        <v>32</v>
      </c>
      <c r="AD21" s="17">
        <v>4552111</v>
      </c>
    </row>
    <row r="22" spans="1:30" x14ac:dyDescent="0.3">
      <c r="A22" s="24">
        <f t="shared" si="0"/>
        <v>150201</v>
      </c>
      <c r="B22" s="23" t="s">
        <v>510</v>
      </c>
      <c r="C22" s="25">
        <v>1</v>
      </c>
      <c r="D22" s="25" t="s">
        <v>455</v>
      </c>
      <c r="E22" s="17">
        <f>_xlfn.XLOOKUP(A22,'Detail&lt;Child&gt;'!C:C,'Detail&lt;Child&gt;'!A:A)</f>
        <v>10000502</v>
      </c>
      <c r="F22" s="23" t="s">
        <v>511</v>
      </c>
      <c r="G22" s="23" t="s">
        <v>457</v>
      </c>
      <c r="H22" s="23" t="s">
        <v>153</v>
      </c>
      <c r="J22" s="17" t="str">
        <f t="shared" si="6"/>
        <v>c502_01_F</v>
      </c>
      <c r="K22" s="17" t="str">
        <f t="shared" si="7"/>
        <v>c502_01_L</v>
      </c>
      <c r="L22" s="17" t="str">
        <f t="shared" si="8"/>
        <v>c502_01_Desc</v>
      </c>
      <c r="M22" s="17" t="str">
        <f t="shared" si="1"/>
        <v>c502_01_CV</v>
      </c>
      <c r="N22" s="17" t="str">
        <f t="shared" si="11"/>
        <v>c502_01_ci_F</v>
      </c>
      <c r="O22" s="17" t="s">
        <v>459</v>
      </c>
      <c r="P22" s="17" t="str">
        <f t="shared" si="10"/>
        <v>c502_01_p</v>
      </c>
      <c r="Q22" s="17" t="s">
        <v>468</v>
      </c>
      <c r="R22" s="17" t="str">
        <f t="shared" si="5"/>
        <v>Promotion_c502_01_p</v>
      </c>
      <c r="S22" s="17" t="s">
        <v>469</v>
      </c>
      <c r="T22" s="17" t="str">
        <f t="shared" si="2"/>
        <v>c502_a_SkeletonData.asset</v>
      </c>
      <c r="U22" s="17" t="str">
        <f t="shared" si="3"/>
        <v>c502_01_a</v>
      </c>
      <c r="V22" s="17" t="str">
        <f t="shared" si="4"/>
        <v>Naninovel/Characters/c502_01</v>
      </c>
      <c r="W22" s="17" t="s">
        <v>29</v>
      </c>
      <c r="X22" s="17">
        <v>1321171</v>
      </c>
      <c r="Y22" s="17" t="s">
        <v>30</v>
      </c>
      <c r="Z22" s="17">
        <v>2321171</v>
      </c>
      <c r="AA22" s="17" t="s">
        <v>31</v>
      </c>
      <c r="AB22" s="17">
        <v>3321171</v>
      </c>
      <c r="AC22" s="17" t="s">
        <v>32</v>
      </c>
      <c r="AD22" s="17">
        <v>4321171</v>
      </c>
    </row>
    <row r="23" spans="1:30" x14ac:dyDescent="0.3">
      <c r="A23" s="24">
        <f t="shared" si="0"/>
        <v>141201</v>
      </c>
      <c r="B23" s="23" t="s">
        <v>512</v>
      </c>
      <c r="C23" s="25">
        <v>1</v>
      </c>
      <c r="D23" s="25" t="s">
        <v>455</v>
      </c>
      <c r="E23" s="17">
        <f>_xlfn.XLOOKUP(A23,'Detail&lt;Child&gt;'!C:C,'Detail&lt;Child&gt;'!A:A)</f>
        <v>10000412</v>
      </c>
      <c r="F23" s="23" t="s">
        <v>513</v>
      </c>
      <c r="G23" s="23" t="s">
        <v>457</v>
      </c>
      <c r="H23" s="23" t="s">
        <v>103</v>
      </c>
      <c r="J23" s="17" t="str">
        <f t="shared" si="6"/>
        <v>c412_01_F</v>
      </c>
      <c r="K23" s="17" t="str">
        <f t="shared" si="7"/>
        <v>c412_01_L</v>
      </c>
      <c r="L23" s="17" t="str">
        <f t="shared" si="8"/>
        <v>c412_01_Desc</v>
      </c>
      <c r="M23" s="17" t="str">
        <f t="shared" si="1"/>
        <v>c412_01_CV</v>
      </c>
      <c r="N23" s="17" t="str">
        <f t="shared" si="11"/>
        <v>c412_01_ci_F</v>
      </c>
      <c r="O23" s="17" t="s">
        <v>459</v>
      </c>
      <c r="P23" s="17" t="str">
        <f t="shared" si="10"/>
        <v>c412_01_p</v>
      </c>
      <c r="Q23" s="17" t="s">
        <v>468</v>
      </c>
      <c r="R23" s="17" t="str">
        <f t="shared" si="5"/>
        <v>Promotion_c412_01_p</v>
      </c>
      <c r="S23" s="17" t="s">
        <v>469</v>
      </c>
      <c r="T23" s="17" t="str">
        <f t="shared" si="2"/>
        <v>c412_a_SkeletonData.asset</v>
      </c>
      <c r="U23" s="17" t="str">
        <f t="shared" si="3"/>
        <v>c412_01_a</v>
      </c>
      <c r="V23" s="17" t="str">
        <f t="shared" si="4"/>
        <v>Naninovel/Characters/c412_01</v>
      </c>
      <c r="W23" s="17" t="s">
        <v>29</v>
      </c>
      <c r="X23" s="17">
        <v>1311181</v>
      </c>
      <c r="Y23" s="17" t="s">
        <v>30</v>
      </c>
      <c r="Z23" s="17">
        <v>2311181</v>
      </c>
      <c r="AA23" s="17" t="s">
        <v>31</v>
      </c>
      <c r="AB23" s="17">
        <v>3311181</v>
      </c>
      <c r="AC23" s="17" t="s">
        <v>32</v>
      </c>
      <c r="AD23" s="17">
        <v>4311181</v>
      </c>
    </row>
    <row r="24" spans="1:30" x14ac:dyDescent="0.3">
      <c r="A24" s="24">
        <f t="shared" si="0"/>
        <v>115601</v>
      </c>
      <c r="B24" s="23" t="s">
        <v>514</v>
      </c>
      <c r="C24" s="25">
        <v>1</v>
      </c>
      <c r="D24" s="25" t="s">
        <v>455</v>
      </c>
      <c r="E24" s="17">
        <f>_xlfn.XLOOKUP(A24,'Detail&lt;Child&gt;'!C:C,'Detail&lt;Child&gt;'!A:A)</f>
        <v>10000156</v>
      </c>
      <c r="F24" s="23" t="s">
        <v>515</v>
      </c>
      <c r="G24" s="23" t="s">
        <v>457</v>
      </c>
      <c r="H24" s="23" t="s">
        <v>100</v>
      </c>
      <c r="J24" s="17" t="str">
        <f t="shared" si="6"/>
        <v>c156_01_F</v>
      </c>
      <c r="K24" s="17" t="str">
        <f t="shared" si="7"/>
        <v>c156_01_L</v>
      </c>
      <c r="L24" s="17" t="str">
        <f t="shared" si="8"/>
        <v>c156_01_Desc</v>
      </c>
      <c r="M24" s="17" t="str">
        <f t="shared" si="1"/>
        <v>c156_01_CV</v>
      </c>
      <c r="N24" s="17" t="str">
        <f t="shared" si="11"/>
        <v>c156_01_ci_F</v>
      </c>
      <c r="O24" s="17" t="s">
        <v>459</v>
      </c>
      <c r="P24" s="17" t="str">
        <f t="shared" si="10"/>
        <v>c156_01_p</v>
      </c>
      <c r="Q24" s="17" t="s">
        <v>468</v>
      </c>
      <c r="R24" s="17" t="str">
        <f t="shared" si="5"/>
        <v>Promotion_c156_01_p</v>
      </c>
      <c r="S24" s="17" t="s">
        <v>469</v>
      </c>
      <c r="T24" s="17" t="str">
        <f t="shared" si="2"/>
        <v>c156_a_SkeletonData.asset</v>
      </c>
      <c r="U24" s="17" t="str">
        <f t="shared" si="3"/>
        <v>c156_01_a</v>
      </c>
      <c r="V24" s="17" t="str">
        <f t="shared" si="4"/>
        <v>Naninovel/Characters/c156_01</v>
      </c>
      <c r="W24" s="17" t="s">
        <v>29</v>
      </c>
      <c r="X24" s="17">
        <v>1351191</v>
      </c>
      <c r="Y24" s="17" t="s">
        <v>30</v>
      </c>
      <c r="Z24" s="17">
        <v>2351191</v>
      </c>
      <c r="AA24" s="17" t="s">
        <v>31</v>
      </c>
      <c r="AB24" s="17">
        <v>3351191</v>
      </c>
      <c r="AC24" s="17" t="s">
        <v>32</v>
      </c>
      <c r="AD24" s="17">
        <v>4351191</v>
      </c>
    </row>
    <row r="25" spans="1:30" x14ac:dyDescent="0.3">
      <c r="A25" s="24">
        <f t="shared" si="0"/>
        <v>131801</v>
      </c>
      <c r="B25" s="23" t="s">
        <v>516</v>
      </c>
      <c r="C25" s="25">
        <v>1</v>
      </c>
      <c r="D25" s="25" t="s">
        <v>455</v>
      </c>
      <c r="E25" s="17">
        <f>_xlfn.XLOOKUP(A25,'Detail&lt;Child&gt;'!C:C,'Detail&lt;Child&gt;'!A:A)</f>
        <v>10000318</v>
      </c>
      <c r="F25" s="23" t="s">
        <v>517</v>
      </c>
      <c r="G25" s="23" t="s">
        <v>457</v>
      </c>
      <c r="H25" s="23" t="s">
        <v>156</v>
      </c>
      <c r="J25" s="17" t="str">
        <f t="shared" si="6"/>
        <v>c318_01_F</v>
      </c>
      <c r="K25" s="17" t="str">
        <f t="shared" si="7"/>
        <v>c318_01_L</v>
      </c>
      <c r="L25" s="17" t="str">
        <f t="shared" si="8"/>
        <v>c318_01_Desc</v>
      </c>
      <c r="M25" s="17" t="str">
        <f t="shared" si="1"/>
        <v>c318_01_CV</v>
      </c>
      <c r="N25" s="17" t="str">
        <f t="shared" si="11"/>
        <v>c318_01_ci_F</v>
      </c>
      <c r="O25" s="17" t="s">
        <v>459</v>
      </c>
      <c r="P25" s="17" t="str">
        <f t="shared" si="10"/>
        <v>c318_01_p</v>
      </c>
      <c r="Q25" s="17" t="s">
        <v>468</v>
      </c>
      <c r="R25" s="17" t="str">
        <f t="shared" si="5"/>
        <v>Promotion_c318_01_p</v>
      </c>
      <c r="S25" s="17" t="s">
        <v>469</v>
      </c>
      <c r="T25" s="17" t="str">
        <f t="shared" si="2"/>
        <v>c318_a_SkeletonData.asset</v>
      </c>
      <c r="U25" s="17" t="str">
        <f t="shared" si="3"/>
        <v>c318_01_a</v>
      </c>
      <c r="V25" s="17" t="str">
        <f t="shared" si="4"/>
        <v>Naninovel/Characters/c318_01</v>
      </c>
      <c r="W25" s="17" t="s">
        <v>29</v>
      </c>
      <c r="X25" s="17">
        <v>1321201</v>
      </c>
      <c r="Y25" s="17" t="s">
        <v>30</v>
      </c>
      <c r="Z25" s="17">
        <v>2321201</v>
      </c>
      <c r="AA25" s="17" t="s">
        <v>31</v>
      </c>
      <c r="AB25" s="17">
        <v>3321201</v>
      </c>
      <c r="AC25" s="17" t="s">
        <v>32</v>
      </c>
      <c r="AD25" s="17">
        <v>4321201</v>
      </c>
    </row>
    <row r="26" spans="1:30" x14ac:dyDescent="0.3">
      <c r="A26" s="24">
        <f t="shared" si="0"/>
        <v>152501</v>
      </c>
      <c r="B26" s="23" t="s">
        <v>518</v>
      </c>
      <c r="C26" s="25">
        <v>1</v>
      </c>
      <c r="D26" s="25" t="s">
        <v>455</v>
      </c>
      <c r="E26" s="17">
        <f>_xlfn.XLOOKUP(A26,'Detail&lt;Child&gt;'!C:C,'Detail&lt;Child&gt;'!A:A)</f>
        <v>10000525</v>
      </c>
      <c r="F26" s="23" t="s">
        <v>519</v>
      </c>
      <c r="G26" s="23" t="s">
        <v>457</v>
      </c>
      <c r="H26" s="23" t="s">
        <v>139</v>
      </c>
      <c r="J26" s="17" t="str">
        <f t="shared" si="6"/>
        <v>c525_01_F</v>
      </c>
      <c r="K26" s="17" t="str">
        <f t="shared" si="7"/>
        <v>c525_01_L</v>
      </c>
      <c r="L26" s="17" t="str">
        <f t="shared" si="8"/>
        <v>c525_01_Desc</v>
      </c>
      <c r="M26" s="17" t="str">
        <f t="shared" si="1"/>
        <v>c525_01_CV</v>
      </c>
      <c r="N26" s="17" t="str">
        <f t="shared" si="11"/>
        <v>c525_01_ci_F</v>
      </c>
      <c r="O26" s="17" t="s">
        <v>459</v>
      </c>
      <c r="P26" s="17" t="str">
        <f t="shared" si="10"/>
        <v>c525_01_p</v>
      </c>
      <c r="Q26" s="17" t="s">
        <v>468</v>
      </c>
      <c r="R26" s="17" t="str">
        <f t="shared" si="5"/>
        <v>Promotion_c525_01_p</v>
      </c>
      <c r="S26" s="17" t="s">
        <v>469</v>
      </c>
      <c r="T26" s="17" t="str">
        <f t="shared" si="2"/>
        <v>c525_a_SkeletonData.asset</v>
      </c>
      <c r="U26" s="17" t="str">
        <f t="shared" si="3"/>
        <v>c525_01_a</v>
      </c>
      <c r="V26" s="17" t="str">
        <f t="shared" si="4"/>
        <v>Naninovel/Characters/c525_01</v>
      </c>
      <c r="W26" s="17" t="s">
        <v>29</v>
      </c>
      <c r="X26" s="17">
        <v>1334211</v>
      </c>
      <c r="Y26" s="17" t="s">
        <v>30</v>
      </c>
      <c r="Z26" s="17">
        <v>2334211</v>
      </c>
      <c r="AA26" s="17" t="s">
        <v>31</v>
      </c>
      <c r="AB26" s="17">
        <v>3334211</v>
      </c>
      <c r="AC26" s="17" t="s">
        <v>32</v>
      </c>
      <c r="AD26" s="17">
        <v>4334211</v>
      </c>
    </row>
    <row r="27" spans="1:30" x14ac:dyDescent="0.3">
      <c r="A27" s="24">
        <f t="shared" si="0"/>
        <v>144201</v>
      </c>
      <c r="B27" s="23" t="s">
        <v>520</v>
      </c>
      <c r="C27" s="25">
        <v>1</v>
      </c>
      <c r="D27" s="25" t="s">
        <v>455</v>
      </c>
      <c r="E27" s="17">
        <f>_xlfn.XLOOKUP(A27,'Detail&lt;Child&gt;'!C:C,'Detail&lt;Child&gt;'!A:A)</f>
        <v>10000442</v>
      </c>
      <c r="F27" s="23" t="s">
        <v>521</v>
      </c>
      <c r="G27" s="23" t="s">
        <v>457</v>
      </c>
      <c r="H27" s="23" t="s">
        <v>157</v>
      </c>
      <c r="J27" s="17" t="str">
        <f t="shared" si="6"/>
        <v>c442_01_F</v>
      </c>
      <c r="K27" s="17" t="str">
        <f t="shared" si="7"/>
        <v>c442_01_L</v>
      </c>
      <c r="L27" s="17" t="str">
        <f t="shared" si="8"/>
        <v>c442_01_Desc</v>
      </c>
      <c r="M27" s="17" t="str">
        <f t="shared" si="1"/>
        <v>c442_01_CV</v>
      </c>
      <c r="N27" s="17" t="str">
        <f t="shared" si="11"/>
        <v>c442_01_ci_F</v>
      </c>
      <c r="O27" s="17" t="s">
        <v>459</v>
      </c>
      <c r="P27" s="17" t="str">
        <f t="shared" si="10"/>
        <v>c442_01_p</v>
      </c>
      <c r="Q27" s="17" t="s">
        <v>468</v>
      </c>
      <c r="R27" s="17" t="str">
        <f t="shared" si="5"/>
        <v>Promotion_c442_01_p</v>
      </c>
      <c r="S27" s="17" t="s">
        <v>469</v>
      </c>
      <c r="T27" s="17" t="str">
        <f t="shared" si="2"/>
        <v>c442_a_SkeletonData.asset</v>
      </c>
      <c r="U27" s="17" t="str">
        <f t="shared" si="3"/>
        <v>c442_01_a</v>
      </c>
      <c r="V27" s="17" t="str">
        <f t="shared" si="4"/>
        <v>Naninovel/Characters/c442_01</v>
      </c>
      <c r="W27" s="17" t="s">
        <v>29</v>
      </c>
      <c r="X27" s="17">
        <v>1321221</v>
      </c>
      <c r="Y27" s="17" t="s">
        <v>30</v>
      </c>
      <c r="Z27" s="17">
        <v>2321221</v>
      </c>
      <c r="AA27" s="17" t="s">
        <v>31</v>
      </c>
      <c r="AB27" s="17">
        <v>3321221</v>
      </c>
      <c r="AC27" s="17" t="s">
        <v>32</v>
      </c>
      <c r="AD27" s="17">
        <v>4321221</v>
      </c>
    </row>
    <row r="28" spans="1:30" x14ac:dyDescent="0.3">
      <c r="A28" s="24">
        <f t="shared" si="0"/>
        <v>119401</v>
      </c>
      <c r="B28" s="23" t="s">
        <v>522</v>
      </c>
      <c r="C28" s="25">
        <v>1</v>
      </c>
      <c r="D28" s="25" t="s">
        <v>455</v>
      </c>
      <c r="E28" s="17">
        <f>_xlfn.XLOOKUP(A28,'Detail&lt;Child&gt;'!C:C,'Detail&lt;Child&gt;'!A:A)</f>
        <v>10000194</v>
      </c>
      <c r="F28" s="23" t="s">
        <v>523</v>
      </c>
      <c r="G28" s="23" t="s">
        <v>457</v>
      </c>
      <c r="H28" s="23" t="s">
        <v>146</v>
      </c>
      <c r="J28" s="17" t="str">
        <f t="shared" si="6"/>
        <v>c194_01_F</v>
      </c>
      <c r="K28" s="17" t="str">
        <f t="shared" si="7"/>
        <v>c194_01_L</v>
      </c>
      <c r="L28" s="17" t="str">
        <f t="shared" si="8"/>
        <v>c194_01_Desc</v>
      </c>
      <c r="M28" s="17" t="str">
        <f t="shared" si="1"/>
        <v>c194_01_CV</v>
      </c>
      <c r="N28" s="17" t="str">
        <f t="shared" si="11"/>
        <v>c194_01_ci_F</v>
      </c>
      <c r="O28" s="17" t="s">
        <v>459</v>
      </c>
      <c r="P28" s="17" t="str">
        <f t="shared" si="10"/>
        <v>c194_01_p</v>
      </c>
      <c r="Q28" s="17" t="s">
        <v>468</v>
      </c>
      <c r="R28" s="17" t="str">
        <f t="shared" si="5"/>
        <v>Promotion_c194_01_p</v>
      </c>
      <c r="S28" s="17" t="s">
        <v>469</v>
      </c>
      <c r="T28" s="17" t="str">
        <f t="shared" si="2"/>
        <v>c194_a_SkeletonData.asset</v>
      </c>
      <c r="U28" s="17" t="str">
        <f t="shared" si="3"/>
        <v>c194_01_a</v>
      </c>
      <c r="V28" s="17" t="str">
        <f t="shared" si="4"/>
        <v>Naninovel/Characters/c194_01</v>
      </c>
      <c r="W28" s="17" t="s">
        <v>29</v>
      </c>
      <c r="X28" s="17">
        <v>1341231</v>
      </c>
      <c r="Y28" s="17" t="s">
        <v>30</v>
      </c>
      <c r="Z28" s="17">
        <v>2341231</v>
      </c>
      <c r="AA28" s="17" t="s">
        <v>31</v>
      </c>
      <c r="AB28" s="17">
        <v>3341231</v>
      </c>
      <c r="AC28" s="17" t="s">
        <v>32</v>
      </c>
      <c r="AD28" s="17">
        <v>4341231</v>
      </c>
    </row>
    <row r="29" spans="1:30" x14ac:dyDescent="0.3">
      <c r="A29" s="24">
        <f t="shared" si="0"/>
        <v>112401</v>
      </c>
      <c r="B29" s="23" t="s">
        <v>524</v>
      </c>
      <c r="C29" s="25">
        <v>1</v>
      </c>
      <c r="D29" s="25" t="s">
        <v>455</v>
      </c>
      <c r="E29" s="17">
        <f>_xlfn.XLOOKUP(A29,'Detail&lt;Child&gt;'!C:C,'Detail&lt;Child&gt;'!A:A)</f>
        <v>10000124</v>
      </c>
      <c r="F29" s="23" t="s">
        <v>525</v>
      </c>
      <c r="G29" s="23" t="s">
        <v>457</v>
      </c>
      <c r="H29" s="23" t="s">
        <v>154</v>
      </c>
      <c r="J29" s="17" t="str">
        <f t="shared" si="6"/>
        <v>c124_01_F</v>
      </c>
      <c r="K29" s="17" t="str">
        <f t="shared" si="7"/>
        <v>c124_01_L</v>
      </c>
      <c r="L29" s="17" t="str">
        <f t="shared" si="8"/>
        <v>c124_01_Desc</v>
      </c>
      <c r="M29" s="17" t="str">
        <f t="shared" si="1"/>
        <v>c124_01_CV</v>
      </c>
      <c r="N29" s="17" t="str">
        <f t="shared" si="11"/>
        <v>c124_01_ci_F</v>
      </c>
      <c r="O29" s="17" t="s">
        <v>459</v>
      </c>
      <c r="P29" s="17" t="str">
        <f t="shared" si="10"/>
        <v>c124_01_p</v>
      </c>
      <c r="Q29" s="17" t="s">
        <v>468</v>
      </c>
      <c r="R29" s="17" t="str">
        <f t="shared" si="5"/>
        <v>Promotion_c124_01_p</v>
      </c>
      <c r="S29" s="17" t="s">
        <v>469</v>
      </c>
      <c r="T29" s="17" t="str">
        <f t="shared" si="2"/>
        <v>c124_a_SkeletonData.asset</v>
      </c>
      <c r="U29" s="17" t="str">
        <f t="shared" si="3"/>
        <v>c124_01_a</v>
      </c>
      <c r="V29" s="17" t="str">
        <f t="shared" si="4"/>
        <v>Naninovel/Characters/c124_01</v>
      </c>
      <c r="W29" s="17" t="s">
        <v>29</v>
      </c>
      <c r="X29" s="17">
        <v>1321241</v>
      </c>
      <c r="Y29" s="17" t="s">
        <v>30</v>
      </c>
      <c r="Z29" s="17">
        <v>2321241</v>
      </c>
      <c r="AA29" s="17" t="s">
        <v>31</v>
      </c>
      <c r="AB29" s="17">
        <v>3321241</v>
      </c>
      <c r="AC29" s="17" t="s">
        <v>32</v>
      </c>
      <c r="AD29" s="17">
        <v>4321241</v>
      </c>
    </row>
    <row r="30" spans="1:30" x14ac:dyDescent="0.3">
      <c r="A30" s="24">
        <f t="shared" si="0"/>
        <v>133601</v>
      </c>
      <c r="B30" s="23" t="s">
        <v>526</v>
      </c>
      <c r="C30" s="25">
        <v>1</v>
      </c>
      <c r="D30" s="25" t="s">
        <v>455</v>
      </c>
      <c r="E30" s="17">
        <f>_xlfn.XLOOKUP(A30,'Detail&lt;Child&gt;'!C:C,'Detail&lt;Child&gt;'!A:A)</f>
        <v>10000336</v>
      </c>
      <c r="F30" s="23" t="s">
        <v>527</v>
      </c>
      <c r="G30" s="23" t="s">
        <v>457</v>
      </c>
      <c r="H30" s="23" t="s">
        <v>140</v>
      </c>
      <c r="J30" s="17" t="str">
        <f t="shared" si="6"/>
        <v>c336_01_F</v>
      </c>
      <c r="K30" s="17" t="str">
        <f t="shared" si="7"/>
        <v>c336_01_L</v>
      </c>
      <c r="L30" s="17" t="str">
        <f t="shared" si="8"/>
        <v>c336_01_Desc</v>
      </c>
      <c r="M30" s="17" t="str">
        <f t="shared" si="1"/>
        <v>c336_01_CV</v>
      </c>
      <c r="N30" s="17" t="str">
        <f t="shared" si="11"/>
        <v>c336_01_ci_F</v>
      </c>
      <c r="O30" s="17" t="s">
        <v>459</v>
      </c>
      <c r="P30" s="17" t="str">
        <f t="shared" si="10"/>
        <v>c336_01_p</v>
      </c>
      <c r="Q30" s="17" t="s">
        <v>468</v>
      </c>
      <c r="R30" s="17" t="str">
        <f t="shared" si="5"/>
        <v>Promotion_c336_01_p</v>
      </c>
      <c r="S30" s="17" t="s">
        <v>469</v>
      </c>
      <c r="T30" s="17" t="str">
        <f t="shared" si="2"/>
        <v>c336_a_SkeletonData.asset</v>
      </c>
      <c r="U30" s="17" t="str">
        <f t="shared" si="3"/>
        <v>c336_01_a</v>
      </c>
      <c r="V30" s="17" t="str">
        <f t="shared" si="4"/>
        <v>Naninovel/Characters/c336_01</v>
      </c>
      <c r="W30" s="17" t="s">
        <v>29</v>
      </c>
      <c r="X30" s="17">
        <v>1535261</v>
      </c>
      <c r="Y30" s="17" t="s">
        <v>30</v>
      </c>
      <c r="Z30" s="17">
        <v>2535261</v>
      </c>
      <c r="AA30" s="17" t="s">
        <v>31</v>
      </c>
      <c r="AB30" s="17">
        <v>3535261</v>
      </c>
      <c r="AC30" s="17" t="s">
        <v>32</v>
      </c>
      <c r="AD30" s="17">
        <v>4535261</v>
      </c>
    </row>
    <row r="31" spans="1:30" x14ac:dyDescent="0.3">
      <c r="A31" s="24">
        <f t="shared" si="0"/>
        <v>144501</v>
      </c>
      <c r="B31" s="23" t="s">
        <v>528</v>
      </c>
      <c r="C31" s="25">
        <v>1</v>
      </c>
      <c r="D31" s="25" t="s">
        <v>455</v>
      </c>
      <c r="E31" s="17">
        <f>_xlfn.XLOOKUP(A31,'Detail&lt;Child&gt;'!C:C,'Detail&lt;Child&gt;'!A:A)</f>
        <v>10000445</v>
      </c>
      <c r="F31" s="23" t="s">
        <v>529</v>
      </c>
      <c r="G31" s="23" t="s">
        <v>457</v>
      </c>
      <c r="H31" s="23" t="s">
        <v>133</v>
      </c>
      <c r="J31" s="17" t="str">
        <f t="shared" si="6"/>
        <v>c445_01_F</v>
      </c>
      <c r="K31" s="17" t="str">
        <f t="shared" si="7"/>
        <v>c445_01_L</v>
      </c>
      <c r="L31" s="17" t="str">
        <f t="shared" si="8"/>
        <v>c445_01_Desc</v>
      </c>
      <c r="M31" s="17" t="str">
        <f t="shared" si="1"/>
        <v>c445_01_CV</v>
      </c>
      <c r="N31" s="17" t="str">
        <f t="shared" si="11"/>
        <v>c445_01_ci_F</v>
      </c>
      <c r="O31" s="17" t="s">
        <v>459</v>
      </c>
      <c r="P31" s="17" t="str">
        <f t="shared" si="10"/>
        <v>c445_01_p</v>
      </c>
      <c r="Q31" s="17" t="s">
        <v>468</v>
      </c>
      <c r="R31" s="17" t="str">
        <f t="shared" si="5"/>
        <v>Promotion_c445_01_p</v>
      </c>
      <c r="S31" s="17" t="s">
        <v>469</v>
      </c>
      <c r="T31" s="17" t="str">
        <f t="shared" si="2"/>
        <v>c445_a_SkeletonData.asset</v>
      </c>
      <c r="U31" s="17" t="str">
        <f t="shared" si="3"/>
        <v>c445_01_a</v>
      </c>
      <c r="V31" s="17" t="str">
        <f t="shared" si="4"/>
        <v>Naninovel/Characters/c445_01</v>
      </c>
      <c r="W31" s="17" t="s">
        <v>29</v>
      </c>
      <c r="X31" s="17">
        <v>1513271</v>
      </c>
      <c r="Y31" s="17" t="s">
        <v>30</v>
      </c>
      <c r="Z31" s="17">
        <v>2513271</v>
      </c>
      <c r="AA31" s="17" t="s">
        <v>31</v>
      </c>
      <c r="AB31" s="17">
        <v>3513271</v>
      </c>
      <c r="AC31" s="17" t="s">
        <v>32</v>
      </c>
      <c r="AD31" s="17">
        <v>4513271</v>
      </c>
    </row>
    <row r="32" spans="1:30" x14ac:dyDescent="0.3">
      <c r="A32" s="24">
        <f t="shared" si="0"/>
        <v>146101</v>
      </c>
      <c r="B32" s="23" t="s">
        <v>530</v>
      </c>
      <c r="C32" s="25">
        <v>1</v>
      </c>
      <c r="D32" s="25" t="s">
        <v>455</v>
      </c>
      <c r="E32" s="17">
        <f>_xlfn.XLOOKUP(A32,'Detail&lt;Child&gt;'!C:C,'Detail&lt;Child&gt;'!A:A)</f>
        <v>10000461</v>
      </c>
      <c r="F32" s="23" t="s">
        <v>531</v>
      </c>
      <c r="G32" s="23" t="s">
        <v>457</v>
      </c>
      <c r="H32" s="23" t="s">
        <v>141</v>
      </c>
      <c r="J32" s="17" t="str">
        <f t="shared" si="6"/>
        <v>c461_01_F</v>
      </c>
      <c r="K32" s="17" t="str">
        <f t="shared" si="7"/>
        <v>c461_01_L</v>
      </c>
      <c r="L32" s="17" t="str">
        <f t="shared" si="8"/>
        <v>c461_01_Desc</v>
      </c>
      <c r="M32" s="17" t="str">
        <f t="shared" si="1"/>
        <v>c461_01_CV</v>
      </c>
      <c r="N32" s="17" t="str">
        <f t="shared" si="11"/>
        <v>c461_01_ci_F</v>
      </c>
      <c r="O32" s="17" t="s">
        <v>459</v>
      </c>
      <c r="P32" s="17" t="str">
        <f t="shared" si="10"/>
        <v>c461_01_p</v>
      </c>
      <c r="Q32" s="17" t="s">
        <v>468</v>
      </c>
      <c r="R32" s="17" t="str">
        <f t="shared" si="5"/>
        <v>Promotion_c461_01_p</v>
      </c>
      <c r="S32" s="17" t="s">
        <v>469</v>
      </c>
      <c r="T32" s="17" t="str">
        <f t="shared" si="2"/>
        <v>c461_a_SkeletonData.asset</v>
      </c>
      <c r="U32" s="17" t="str">
        <f t="shared" si="3"/>
        <v>c461_01_a</v>
      </c>
      <c r="V32" s="17" t="str">
        <f t="shared" si="4"/>
        <v>Naninovel/Characters/c461_01</v>
      </c>
      <c r="W32" s="17" t="s">
        <v>29</v>
      </c>
      <c r="X32" s="17">
        <v>1534281</v>
      </c>
      <c r="Y32" s="17" t="s">
        <v>30</v>
      </c>
      <c r="Z32" s="17">
        <v>2534281</v>
      </c>
      <c r="AA32" s="17" t="s">
        <v>31</v>
      </c>
      <c r="AB32" s="17">
        <v>3534281</v>
      </c>
      <c r="AC32" s="17" t="s">
        <v>32</v>
      </c>
      <c r="AD32" s="17">
        <v>4534281</v>
      </c>
    </row>
    <row r="33" spans="1:30" x14ac:dyDescent="0.3">
      <c r="A33" s="24">
        <f t="shared" si="0"/>
        <v>128301</v>
      </c>
      <c r="B33" s="23" t="s">
        <v>532</v>
      </c>
      <c r="C33" s="25">
        <v>1</v>
      </c>
      <c r="D33" s="25" t="s">
        <v>455</v>
      </c>
      <c r="E33" s="17">
        <f>_xlfn.XLOOKUP(A33,'Detail&lt;Child&gt;'!C:C,'Detail&lt;Child&gt;'!A:A)</f>
        <v>10000283</v>
      </c>
      <c r="F33" s="23" t="s">
        <v>533</v>
      </c>
      <c r="G33" s="23" t="s">
        <v>457</v>
      </c>
      <c r="H33" s="23" t="s">
        <v>134</v>
      </c>
      <c r="J33" s="17" t="str">
        <f t="shared" si="6"/>
        <v>c283_01_F</v>
      </c>
      <c r="K33" s="17" t="str">
        <f t="shared" si="7"/>
        <v>c283_01_L</v>
      </c>
      <c r="L33" s="17" t="str">
        <f t="shared" si="8"/>
        <v>c283_01_Desc</v>
      </c>
      <c r="M33" s="17" t="str">
        <f t="shared" si="1"/>
        <v>c283_01_CV</v>
      </c>
      <c r="N33" s="17" t="str">
        <f t="shared" si="11"/>
        <v>c283_01_ci_F</v>
      </c>
      <c r="O33" s="17" t="s">
        <v>459</v>
      </c>
      <c r="P33" s="17" t="str">
        <f t="shared" si="10"/>
        <v>c283_01_p</v>
      </c>
      <c r="Q33" s="17" t="s">
        <v>468</v>
      </c>
      <c r="R33" s="17" t="str">
        <f t="shared" si="5"/>
        <v>Promotion_c283_01_p</v>
      </c>
      <c r="S33" s="17" t="s">
        <v>469</v>
      </c>
      <c r="T33" s="17" t="str">
        <f t="shared" si="2"/>
        <v>c283_a_SkeletonData.asset</v>
      </c>
      <c r="U33" s="17" t="str">
        <f t="shared" si="3"/>
        <v>c283_01_a</v>
      </c>
      <c r="V33" s="17" t="str">
        <f t="shared" si="4"/>
        <v>Naninovel/Characters/c283_01</v>
      </c>
      <c r="W33" s="17" t="s">
        <v>29</v>
      </c>
      <c r="X33" s="17">
        <v>1511291</v>
      </c>
      <c r="Y33" s="17" t="s">
        <v>30</v>
      </c>
      <c r="Z33" s="17">
        <v>2511291</v>
      </c>
      <c r="AA33" s="17" t="s">
        <v>31</v>
      </c>
      <c r="AB33" s="17">
        <v>3511291</v>
      </c>
      <c r="AC33" s="17" t="s">
        <v>32</v>
      </c>
      <c r="AD33" s="17">
        <v>4511291</v>
      </c>
    </row>
    <row r="34" spans="1:30" x14ac:dyDescent="0.3">
      <c r="A34" s="24">
        <f t="shared" si="0"/>
        <v>140001</v>
      </c>
      <c r="B34" s="23" t="s">
        <v>534</v>
      </c>
      <c r="C34" s="25">
        <v>1</v>
      </c>
      <c r="D34" s="25" t="s">
        <v>455</v>
      </c>
      <c r="E34" s="17">
        <f>_xlfn.XLOOKUP(A34,'Detail&lt;Child&gt;'!C:C,'Detail&lt;Child&gt;'!A:A)</f>
        <v>10000400</v>
      </c>
      <c r="F34" s="23" t="s">
        <v>535</v>
      </c>
      <c r="G34" s="23" t="s">
        <v>457</v>
      </c>
      <c r="H34" s="23" t="s">
        <v>127</v>
      </c>
      <c r="J34" s="17" t="str">
        <f t="shared" si="6"/>
        <v>c400_01_F</v>
      </c>
      <c r="K34" s="17" t="str">
        <f t="shared" si="7"/>
        <v>c400_01_L</v>
      </c>
      <c r="L34" s="17" t="str">
        <f t="shared" si="8"/>
        <v>c400_01_Desc</v>
      </c>
      <c r="M34" s="17" t="str">
        <f t="shared" si="1"/>
        <v>c400_01_CV</v>
      </c>
      <c r="N34" s="17" t="str">
        <f t="shared" si="11"/>
        <v>c400_01_ci_F</v>
      </c>
      <c r="O34" s="17" t="s">
        <v>459</v>
      </c>
      <c r="P34" s="17" t="str">
        <f t="shared" si="10"/>
        <v>c400_01_p</v>
      </c>
      <c r="Q34" s="17" t="s">
        <v>468</v>
      </c>
      <c r="R34" s="17" t="str">
        <f t="shared" si="5"/>
        <v>Promotion_c400_01_p</v>
      </c>
      <c r="S34" s="17" t="s">
        <v>469</v>
      </c>
      <c r="T34" s="17" t="str">
        <f t="shared" si="2"/>
        <v>c400_a_SkeletonData.asset</v>
      </c>
      <c r="U34" s="17" t="str">
        <f t="shared" si="3"/>
        <v>c400_01_a</v>
      </c>
      <c r="V34" s="17" t="str">
        <f t="shared" si="4"/>
        <v>Naninovel/Characters/c400_01</v>
      </c>
      <c r="W34" s="17" t="s">
        <v>29</v>
      </c>
      <c r="X34" s="17">
        <v>1551301</v>
      </c>
      <c r="Y34" s="17" t="s">
        <v>30</v>
      </c>
      <c r="Z34" s="17">
        <v>2551301</v>
      </c>
      <c r="AA34" s="17" t="s">
        <v>31</v>
      </c>
      <c r="AB34" s="17">
        <v>3551301</v>
      </c>
      <c r="AC34" s="17" t="s">
        <v>32</v>
      </c>
      <c r="AD34" s="17">
        <v>4551301</v>
      </c>
    </row>
    <row r="35" spans="1:30" x14ac:dyDescent="0.3">
      <c r="A35" s="24">
        <f t="shared" si="0"/>
        <v>144701</v>
      </c>
      <c r="B35" s="23" t="s">
        <v>536</v>
      </c>
      <c r="C35" s="25">
        <v>1</v>
      </c>
      <c r="D35" s="25" t="s">
        <v>455</v>
      </c>
      <c r="E35" s="17">
        <f>_xlfn.XLOOKUP(A35,'Detail&lt;Child&gt;'!C:C,'Detail&lt;Child&gt;'!A:A)</f>
        <v>10000447</v>
      </c>
      <c r="F35" s="23" t="s">
        <v>537</v>
      </c>
      <c r="G35" s="23" t="s">
        <v>457</v>
      </c>
      <c r="H35" s="23" t="s">
        <v>142</v>
      </c>
      <c r="J35" s="17" t="str">
        <f t="shared" si="6"/>
        <v>c447_01_F</v>
      </c>
      <c r="K35" s="17" t="str">
        <f t="shared" si="7"/>
        <v>c447_01_L</v>
      </c>
      <c r="L35" s="17" t="str">
        <f t="shared" si="8"/>
        <v>c447_01_Desc</v>
      </c>
      <c r="M35" s="17" t="str">
        <f t="shared" si="1"/>
        <v>c447_01_CV</v>
      </c>
      <c r="N35" s="17" t="str">
        <f t="shared" si="11"/>
        <v>c447_01_ci_F</v>
      </c>
      <c r="O35" s="17" t="s">
        <v>459</v>
      </c>
      <c r="P35" s="17" t="str">
        <f t="shared" si="10"/>
        <v>c447_01_p</v>
      </c>
      <c r="Q35" s="17" t="s">
        <v>468</v>
      </c>
      <c r="R35" s="17" t="str">
        <f t="shared" si="5"/>
        <v>Promotion_c447_01_p</v>
      </c>
      <c r="S35" s="17" t="s">
        <v>469</v>
      </c>
      <c r="T35" s="17" t="str">
        <f t="shared" si="2"/>
        <v>c447_a_SkeletonData.asset</v>
      </c>
      <c r="U35" s="17" t="str">
        <f t="shared" si="3"/>
        <v>c447_01_a</v>
      </c>
      <c r="V35" s="17" t="str">
        <f t="shared" si="4"/>
        <v>Naninovel/Characters/c447_01</v>
      </c>
      <c r="W35" s="17" t="s">
        <v>29</v>
      </c>
      <c r="X35" s="17">
        <v>1531311</v>
      </c>
      <c r="Y35" s="17" t="s">
        <v>30</v>
      </c>
      <c r="Z35" s="17">
        <v>2531311</v>
      </c>
      <c r="AA35" s="17" t="s">
        <v>31</v>
      </c>
      <c r="AB35" s="17">
        <v>3531311</v>
      </c>
      <c r="AC35" s="17" t="s">
        <v>32</v>
      </c>
      <c r="AD35" s="17">
        <v>4531311</v>
      </c>
    </row>
    <row r="36" spans="1:30" x14ac:dyDescent="0.3">
      <c r="A36" s="24">
        <f t="shared" ref="A36:A65" si="12">INT(TEXT(IF(LEFT(B36,1)="c",1,2)&amp;MID(B36,2,3),"000")&amp;TEXT(C36,"00"))</f>
        <v>146201</v>
      </c>
      <c r="B36" s="23" t="s">
        <v>538</v>
      </c>
      <c r="C36" s="25">
        <v>1</v>
      </c>
      <c r="D36" s="25" t="s">
        <v>455</v>
      </c>
      <c r="E36" s="17">
        <f>_xlfn.XLOOKUP(A36,'Detail&lt;Child&gt;'!C:C,'Detail&lt;Child&gt;'!A:A)</f>
        <v>10000462</v>
      </c>
      <c r="F36" s="23" t="s">
        <v>539</v>
      </c>
      <c r="G36" s="23" t="s">
        <v>457</v>
      </c>
      <c r="H36" s="23" t="s">
        <v>135</v>
      </c>
      <c r="J36" s="17" t="str">
        <f t="shared" si="6"/>
        <v>c462_01_F</v>
      </c>
      <c r="K36" s="17" t="str">
        <f t="shared" si="7"/>
        <v>c462_01_L</v>
      </c>
      <c r="L36" s="17" t="str">
        <f t="shared" si="8"/>
        <v>c462_01_Desc</v>
      </c>
      <c r="M36" s="17" t="str">
        <f t="shared" ref="M36:M67" si="13">$B36&amp;"_"&amp;TEXT($C36,"00")&amp;"_CV"</f>
        <v>c462_01_CV</v>
      </c>
      <c r="N36" s="17" t="str">
        <f t="shared" si="11"/>
        <v>c462_01_ci_F</v>
      </c>
      <c r="O36" s="17" t="s">
        <v>459</v>
      </c>
      <c r="P36" s="17" t="str">
        <f t="shared" si="10"/>
        <v>c462_01_p</v>
      </c>
      <c r="Q36" s="17" t="s">
        <v>468</v>
      </c>
      <c r="R36" s="17" t="str">
        <f t="shared" si="5"/>
        <v>Promotion_c462_01_p</v>
      </c>
      <c r="S36" s="17" t="s">
        <v>469</v>
      </c>
      <c r="T36" s="17" t="str">
        <f t="shared" ref="T36:T67" si="14">B36&amp;"_"&amp;D36&amp;"_SkeletonData.asset"</f>
        <v>c462_a_SkeletonData.asset</v>
      </c>
      <c r="U36" s="17" t="str">
        <f t="shared" ref="U36:U68" si="15">B36&amp;"_"&amp;TEXT(C36,"00")&amp;"_"&amp;D36</f>
        <v>c462_01_a</v>
      </c>
      <c r="V36" s="17" t="str">
        <f t="shared" si="4"/>
        <v>Naninovel/Characters/c462_01</v>
      </c>
      <c r="W36" s="17" t="s">
        <v>29</v>
      </c>
      <c r="X36" s="1">
        <v>1512321</v>
      </c>
      <c r="Y36" s="17" t="s">
        <v>30</v>
      </c>
      <c r="Z36" s="1">
        <v>2512321</v>
      </c>
      <c r="AA36" s="17" t="s">
        <v>31</v>
      </c>
      <c r="AB36" s="1">
        <v>3512321</v>
      </c>
      <c r="AC36" s="17" t="s">
        <v>32</v>
      </c>
      <c r="AD36" s="1">
        <v>4512321</v>
      </c>
    </row>
    <row r="37" spans="1:30" x14ac:dyDescent="0.3">
      <c r="A37" s="24">
        <f t="shared" si="12"/>
        <v>128101</v>
      </c>
      <c r="B37" s="23" t="s">
        <v>540</v>
      </c>
      <c r="C37" s="25">
        <v>1</v>
      </c>
      <c r="D37" s="25" t="s">
        <v>455</v>
      </c>
      <c r="E37" s="17">
        <f>_xlfn.XLOOKUP(A37,'Detail&lt;Child&gt;'!C:C,'Detail&lt;Child&gt;'!A:A)</f>
        <v>10000281</v>
      </c>
      <c r="F37" s="23" t="s">
        <v>541</v>
      </c>
      <c r="G37" s="23" t="s">
        <v>457</v>
      </c>
      <c r="H37" s="23" t="s">
        <v>158</v>
      </c>
      <c r="J37" s="17" t="str">
        <f t="shared" si="6"/>
        <v>c281_01_F</v>
      </c>
      <c r="K37" s="17" t="str">
        <f t="shared" si="7"/>
        <v>c281_01_L</v>
      </c>
      <c r="L37" s="17" t="str">
        <f t="shared" si="8"/>
        <v>c281_01_Desc</v>
      </c>
      <c r="M37" s="17" t="str">
        <f t="shared" si="13"/>
        <v>c281_01_CV</v>
      </c>
      <c r="N37" s="17" t="str">
        <f t="shared" si="11"/>
        <v>c281_01_ci_F</v>
      </c>
      <c r="O37" s="17" t="s">
        <v>459</v>
      </c>
      <c r="P37" s="17" t="str">
        <f t="shared" si="10"/>
        <v>c281_01_p</v>
      </c>
      <c r="Q37" s="17" t="s">
        <v>468</v>
      </c>
      <c r="R37" s="17" t="str">
        <f t="shared" si="5"/>
        <v>Promotion_c281_01_p</v>
      </c>
      <c r="S37" s="17" t="s">
        <v>469</v>
      </c>
      <c r="T37" s="17" t="str">
        <f t="shared" si="14"/>
        <v>c281_a_SkeletonData.asset</v>
      </c>
      <c r="U37" s="17" t="str">
        <f t="shared" si="15"/>
        <v>c281_01_a</v>
      </c>
      <c r="V37" s="17" t="str">
        <f t="shared" si="4"/>
        <v>Naninovel/Characters/c281_01</v>
      </c>
      <c r="W37" s="17" t="s">
        <v>29</v>
      </c>
      <c r="X37" s="17">
        <v>1524331</v>
      </c>
      <c r="Y37" s="17" t="s">
        <v>30</v>
      </c>
      <c r="Z37" s="17">
        <v>2524331</v>
      </c>
      <c r="AA37" s="17" t="s">
        <v>31</v>
      </c>
      <c r="AB37" s="17">
        <v>3524331</v>
      </c>
      <c r="AC37" s="17" t="s">
        <v>32</v>
      </c>
      <c r="AD37" s="17">
        <v>4524331</v>
      </c>
    </row>
    <row r="38" spans="1:30" x14ac:dyDescent="0.3">
      <c r="A38" s="24">
        <f t="shared" si="12"/>
        <v>151401</v>
      </c>
      <c r="B38" s="23" t="s">
        <v>542</v>
      </c>
      <c r="C38" s="25">
        <v>1</v>
      </c>
      <c r="D38" s="25" t="s">
        <v>455</v>
      </c>
      <c r="E38" s="17">
        <f>_xlfn.XLOOKUP(A38,'Detail&lt;Child&gt;'!C:C,'Detail&lt;Child&gt;'!A:A)</f>
        <v>10000514</v>
      </c>
      <c r="F38" s="23" t="s">
        <v>543</v>
      </c>
      <c r="G38" s="23" t="s">
        <v>457</v>
      </c>
      <c r="H38" s="23" t="s">
        <v>99</v>
      </c>
      <c r="J38" s="17" t="str">
        <f t="shared" ref="J38:J68" si="16">$B38&amp;"_"&amp;TEXT($C38,"00")&amp;"_F"</f>
        <v>c514_01_F</v>
      </c>
      <c r="K38" s="17" t="str">
        <f t="shared" ref="K38:K68" si="17">$B38&amp;"_"&amp;TEXT($C38,"00")&amp;"_L"</f>
        <v>c514_01_L</v>
      </c>
      <c r="L38" s="17" t="str">
        <f t="shared" ref="L38:L68" si="18">LEFT(J38, 7)&amp;"_Desc"</f>
        <v>c514_01_Desc</v>
      </c>
      <c r="M38" s="17" t="str">
        <f t="shared" si="13"/>
        <v>c514_01_CV</v>
      </c>
      <c r="N38" s="17" t="str">
        <f t="shared" si="11"/>
        <v>c514_01_ci_F</v>
      </c>
      <c r="O38" s="17" t="s">
        <v>459</v>
      </c>
      <c r="P38" s="17" t="str">
        <f t="shared" si="10"/>
        <v>c514_01_p</v>
      </c>
      <c r="Q38" s="17" t="s">
        <v>468</v>
      </c>
      <c r="R38" s="17" t="str">
        <f t="shared" si="5"/>
        <v>Promotion_c514_01_p</v>
      </c>
      <c r="S38" s="17" t="s">
        <v>469</v>
      </c>
      <c r="T38" s="17" t="str">
        <f t="shared" si="14"/>
        <v>c514_a_SkeletonData.asset</v>
      </c>
      <c r="U38" s="17" t="str">
        <f t="shared" si="15"/>
        <v>c514_01_a</v>
      </c>
      <c r="V38" s="17" t="str">
        <f t="shared" si="4"/>
        <v>Naninovel/Characters/c514_01</v>
      </c>
      <c r="W38" s="17" t="s">
        <v>29</v>
      </c>
      <c r="X38" s="17">
        <v>1451341</v>
      </c>
      <c r="Y38" s="17" t="s">
        <v>30</v>
      </c>
      <c r="Z38" s="17">
        <v>2451341</v>
      </c>
      <c r="AA38" s="17" t="s">
        <v>31</v>
      </c>
      <c r="AB38" s="17">
        <v>3451341</v>
      </c>
      <c r="AC38" s="17" t="s">
        <v>32</v>
      </c>
      <c r="AD38" s="17">
        <v>4451341</v>
      </c>
    </row>
    <row r="39" spans="1:30" s="41" customFormat="1" x14ac:dyDescent="0.3">
      <c r="A39" s="40">
        <f t="shared" si="12"/>
        <v>215501</v>
      </c>
      <c r="B39" s="63" t="s">
        <v>544</v>
      </c>
      <c r="C39" s="64">
        <v>1</v>
      </c>
      <c r="D39" s="64" t="s">
        <v>455</v>
      </c>
      <c r="E39" s="41">
        <f>_xlfn.XLOOKUP(A39,'Detail&lt;Monster&gt;'!C:C,'Detail&lt;Monster&gt;'!A:A)</f>
        <v>21550101</v>
      </c>
      <c r="F39" s="63" t="s">
        <v>545</v>
      </c>
      <c r="G39" s="63" t="s">
        <v>457</v>
      </c>
      <c r="H39" s="63" t="s">
        <v>271</v>
      </c>
      <c r="I39" s="63"/>
      <c r="J39" s="41" t="str">
        <f t="shared" si="16"/>
        <v>m155_01_F</v>
      </c>
      <c r="K39" s="41" t="str">
        <f t="shared" si="17"/>
        <v>m155_01_L</v>
      </c>
      <c r="L39" s="41" t="str">
        <f t="shared" si="18"/>
        <v>m155_01_Desc</v>
      </c>
      <c r="M39" s="41" t="str">
        <f t="shared" si="13"/>
        <v>m155_01_CV</v>
      </c>
      <c r="N39" s="41" t="str">
        <f t="shared" si="11"/>
        <v>m155_01_ci_F</v>
      </c>
      <c r="O39" s="41" t="s">
        <v>459</v>
      </c>
      <c r="T39" s="41" t="str">
        <f t="shared" si="14"/>
        <v>m155_a_SkeletonData.asset</v>
      </c>
      <c r="U39" s="41" t="str">
        <f t="shared" si="15"/>
        <v>m155_01_a</v>
      </c>
      <c r="V39" s="41" t="str">
        <f t="shared" ref="V39:V68" si="19">B39&amp;"/"&amp;B39&amp;"_"&amp;TEXT(C39,"00")&amp;".png"</f>
        <v>m155/m155_01.png</v>
      </c>
      <c r="W39" s="41" t="s">
        <v>29</v>
      </c>
      <c r="X39" s="65">
        <v>1812011</v>
      </c>
      <c r="Y39" s="41" t="s">
        <v>30</v>
      </c>
      <c r="Z39" s="41">
        <f>X39+1000000</f>
        <v>2812011</v>
      </c>
      <c r="AA39" s="41" t="s">
        <v>31</v>
      </c>
      <c r="AB39" s="41">
        <v>0</v>
      </c>
      <c r="AC39" s="41" t="s">
        <v>32</v>
      </c>
      <c r="AD39" s="41">
        <v>0</v>
      </c>
    </row>
    <row r="40" spans="1:30" x14ac:dyDescent="0.3">
      <c r="A40" s="24">
        <f t="shared" si="12"/>
        <v>215502</v>
      </c>
      <c r="B40" s="23" t="s">
        <v>544</v>
      </c>
      <c r="C40" s="25">
        <v>2</v>
      </c>
      <c r="D40" s="25" t="s">
        <v>455</v>
      </c>
      <c r="E40" s="17">
        <f>_xlfn.XLOOKUP(A40,'Detail&lt;Monster&gt;'!C:C,'Detail&lt;Monster&gt;'!A:A)</f>
        <v>21550201</v>
      </c>
      <c r="F40" s="23" t="s">
        <v>545</v>
      </c>
      <c r="G40" s="23" t="s">
        <v>457</v>
      </c>
      <c r="H40" s="23" t="s">
        <v>273</v>
      </c>
      <c r="J40" s="17" t="str">
        <f t="shared" si="16"/>
        <v>m155_02_F</v>
      </c>
      <c r="K40" s="17" t="str">
        <f t="shared" si="17"/>
        <v>m155_02_L</v>
      </c>
      <c r="L40" s="17" t="str">
        <f t="shared" si="18"/>
        <v>m155_02_Desc</v>
      </c>
      <c r="M40" s="17" t="str">
        <f t="shared" si="13"/>
        <v>m155_02_CV</v>
      </c>
      <c r="N40" s="17" t="str">
        <f t="shared" si="11"/>
        <v>m155_02_ci_F</v>
      </c>
      <c r="O40" s="17" t="s">
        <v>459</v>
      </c>
      <c r="T40" s="17" t="str">
        <f t="shared" si="14"/>
        <v>m155_a_SkeletonData.asset</v>
      </c>
      <c r="U40" s="17" t="str">
        <f t="shared" si="15"/>
        <v>m155_02_a</v>
      </c>
      <c r="V40" s="17" t="str">
        <f t="shared" si="19"/>
        <v>m155/m155_02.png</v>
      </c>
      <c r="W40" s="17" t="s">
        <v>29</v>
      </c>
      <c r="X40" s="1">
        <v>1822011</v>
      </c>
      <c r="Y40" s="17" t="s">
        <v>30</v>
      </c>
      <c r="Z40" s="17">
        <f>X40+1000000</f>
        <v>2822011</v>
      </c>
      <c r="AA40" s="17" t="s">
        <v>31</v>
      </c>
      <c r="AB40" s="17">
        <v>0</v>
      </c>
      <c r="AC40" s="17" t="s">
        <v>32</v>
      </c>
      <c r="AD40" s="17">
        <v>0</v>
      </c>
    </row>
    <row r="41" spans="1:30" x14ac:dyDescent="0.3">
      <c r="A41" s="24">
        <f t="shared" si="12"/>
        <v>215503</v>
      </c>
      <c r="B41" s="23" t="s">
        <v>544</v>
      </c>
      <c r="C41" s="25">
        <v>3</v>
      </c>
      <c r="D41" s="25" t="s">
        <v>455</v>
      </c>
      <c r="E41" s="17">
        <f>_xlfn.XLOOKUP(A41,'Detail&lt;Monster&gt;'!C:C,'Detail&lt;Monster&gt;'!A:A)</f>
        <v>21550301</v>
      </c>
      <c r="F41" s="23" t="s">
        <v>545</v>
      </c>
      <c r="G41" s="23" t="s">
        <v>457</v>
      </c>
      <c r="H41" s="23" t="s">
        <v>275</v>
      </c>
      <c r="J41" s="17" t="str">
        <f t="shared" si="16"/>
        <v>m155_03_F</v>
      </c>
      <c r="K41" s="17" t="str">
        <f t="shared" si="17"/>
        <v>m155_03_L</v>
      </c>
      <c r="L41" s="17" t="str">
        <f t="shared" si="18"/>
        <v>m155_03_Desc</v>
      </c>
      <c r="M41" s="17" t="str">
        <f t="shared" si="13"/>
        <v>m155_03_CV</v>
      </c>
      <c r="N41" s="17" t="str">
        <f t="shared" si="11"/>
        <v>m155_03_ci_F</v>
      </c>
      <c r="O41" s="17" t="s">
        <v>459</v>
      </c>
      <c r="T41" s="17" t="str">
        <f t="shared" si="14"/>
        <v>m155_a_SkeletonData.asset</v>
      </c>
      <c r="U41" s="17" t="str">
        <f t="shared" si="15"/>
        <v>m155_03_a</v>
      </c>
      <c r="V41" s="17" t="str">
        <f t="shared" si="19"/>
        <v>m155/m155_03.png</v>
      </c>
      <c r="W41" s="17" t="s">
        <v>29</v>
      </c>
      <c r="X41" s="1">
        <v>1832011</v>
      </c>
      <c r="Y41" s="17" t="s">
        <v>30</v>
      </c>
      <c r="Z41" s="17">
        <f>X41+1000000</f>
        <v>2832011</v>
      </c>
      <c r="AA41" s="17" t="s">
        <v>31</v>
      </c>
      <c r="AB41" s="17">
        <v>0</v>
      </c>
      <c r="AC41" s="17" t="s">
        <v>32</v>
      </c>
      <c r="AD41" s="17">
        <v>0</v>
      </c>
    </row>
    <row r="42" spans="1:30" x14ac:dyDescent="0.3">
      <c r="A42" s="24">
        <f t="shared" si="12"/>
        <v>215504</v>
      </c>
      <c r="B42" s="23" t="s">
        <v>544</v>
      </c>
      <c r="C42" s="25">
        <v>4</v>
      </c>
      <c r="D42" s="25" t="s">
        <v>455</v>
      </c>
      <c r="E42" s="17">
        <f>_xlfn.XLOOKUP(A42,'Detail&lt;Monster&gt;'!C:C,'Detail&lt;Monster&gt;'!A:A)</f>
        <v>21550401</v>
      </c>
      <c r="F42" s="23" t="s">
        <v>545</v>
      </c>
      <c r="G42" s="23" t="s">
        <v>457</v>
      </c>
      <c r="H42" s="23" t="s">
        <v>277</v>
      </c>
      <c r="J42" s="17" t="str">
        <f t="shared" si="16"/>
        <v>m155_04_F</v>
      </c>
      <c r="K42" s="17" t="str">
        <f t="shared" si="17"/>
        <v>m155_04_L</v>
      </c>
      <c r="L42" s="17" t="str">
        <f t="shared" si="18"/>
        <v>m155_04_Desc</v>
      </c>
      <c r="M42" s="17" t="str">
        <f t="shared" si="13"/>
        <v>m155_04_CV</v>
      </c>
      <c r="N42" s="17" t="str">
        <f t="shared" si="11"/>
        <v>m155_04_ci_F</v>
      </c>
      <c r="O42" s="17" t="s">
        <v>459</v>
      </c>
      <c r="T42" s="17" t="str">
        <f t="shared" si="14"/>
        <v>m155_a_SkeletonData.asset</v>
      </c>
      <c r="U42" s="17" t="str">
        <f t="shared" si="15"/>
        <v>m155_04_a</v>
      </c>
      <c r="V42" s="17" t="str">
        <f t="shared" si="19"/>
        <v>m155/m155_04.png</v>
      </c>
      <c r="W42" s="17" t="s">
        <v>29</v>
      </c>
      <c r="X42" s="1">
        <v>1842011</v>
      </c>
      <c r="Y42" s="17" t="s">
        <v>30</v>
      </c>
      <c r="Z42" s="17">
        <f>X42+1000000</f>
        <v>2842011</v>
      </c>
      <c r="AA42" s="17" t="s">
        <v>31</v>
      </c>
      <c r="AB42" s="17">
        <v>0</v>
      </c>
      <c r="AC42" s="17" t="s">
        <v>32</v>
      </c>
      <c r="AD42" s="17">
        <v>0</v>
      </c>
    </row>
    <row r="43" spans="1:30" x14ac:dyDescent="0.3">
      <c r="A43" s="24">
        <f t="shared" si="12"/>
        <v>215505</v>
      </c>
      <c r="B43" s="23" t="s">
        <v>544</v>
      </c>
      <c r="C43" s="25">
        <v>5</v>
      </c>
      <c r="D43" s="25" t="s">
        <v>455</v>
      </c>
      <c r="E43" s="17">
        <f>_xlfn.XLOOKUP(A43,'Detail&lt;Monster&gt;'!C:C,'Detail&lt;Monster&gt;'!A:A)</f>
        <v>21550501</v>
      </c>
      <c r="F43" s="23" t="s">
        <v>545</v>
      </c>
      <c r="G43" s="23" t="s">
        <v>457</v>
      </c>
      <c r="H43" s="23" t="s">
        <v>279</v>
      </c>
      <c r="J43" s="17" t="str">
        <f t="shared" si="16"/>
        <v>m155_05_F</v>
      </c>
      <c r="K43" s="17" t="str">
        <f t="shared" si="17"/>
        <v>m155_05_L</v>
      </c>
      <c r="L43" s="17" t="str">
        <f t="shared" si="18"/>
        <v>m155_05_Desc</v>
      </c>
      <c r="M43" s="17" t="str">
        <f t="shared" si="13"/>
        <v>m155_05_CV</v>
      </c>
      <c r="N43" s="17" t="str">
        <f t="shared" si="11"/>
        <v>m155_05_ci_F</v>
      </c>
      <c r="O43" s="17" t="s">
        <v>459</v>
      </c>
      <c r="T43" s="17" t="str">
        <f t="shared" si="14"/>
        <v>m155_a_SkeletonData.asset</v>
      </c>
      <c r="U43" s="17" t="str">
        <f t="shared" si="15"/>
        <v>m155_05_a</v>
      </c>
      <c r="V43" s="17" t="str">
        <f t="shared" si="19"/>
        <v>m155/m155_05.png</v>
      </c>
      <c r="W43" s="17" t="s">
        <v>29</v>
      </c>
      <c r="X43" s="1">
        <v>1852011</v>
      </c>
      <c r="Y43" s="17" t="s">
        <v>30</v>
      </c>
      <c r="Z43" s="17">
        <f>X43+1000000</f>
        <v>2852011</v>
      </c>
      <c r="AA43" s="17" t="s">
        <v>31</v>
      </c>
      <c r="AB43" s="17">
        <v>0</v>
      </c>
      <c r="AC43" s="17" t="s">
        <v>32</v>
      </c>
      <c r="AD43" s="17">
        <v>0</v>
      </c>
    </row>
    <row r="44" spans="1:30" x14ac:dyDescent="0.3">
      <c r="A44" s="24">
        <f t="shared" si="12"/>
        <v>290001</v>
      </c>
      <c r="B44" s="23" t="s">
        <v>546</v>
      </c>
      <c r="C44" s="25">
        <v>1</v>
      </c>
      <c r="D44" s="25" t="s">
        <v>455</v>
      </c>
      <c r="E44" s="17">
        <f>_xlfn.XLOOKUP(A44,'Detail&lt;Monster&gt;'!C:C,'Detail&lt;Monster&gt;'!A:A)</f>
        <v>29000101</v>
      </c>
      <c r="F44" s="23" t="s">
        <v>547</v>
      </c>
      <c r="G44" s="23" t="s">
        <v>457</v>
      </c>
      <c r="H44" s="23" t="s">
        <v>331</v>
      </c>
      <c r="J44" s="17" t="str">
        <f t="shared" si="16"/>
        <v>m900_01_F</v>
      </c>
      <c r="K44" s="17" t="str">
        <f t="shared" si="17"/>
        <v>m900_01_L</v>
      </c>
      <c r="L44" s="17" t="str">
        <f t="shared" si="18"/>
        <v>m900_01_Desc</v>
      </c>
      <c r="M44" s="17" t="str">
        <f t="shared" si="13"/>
        <v>m900_01_CV</v>
      </c>
      <c r="N44" s="17" t="str">
        <f t="shared" si="11"/>
        <v>m900_01_ci_F</v>
      </c>
      <c r="O44" s="17" t="s">
        <v>459</v>
      </c>
      <c r="T44" s="17" t="str">
        <f t="shared" si="14"/>
        <v>m900_a_SkeletonData.asset</v>
      </c>
      <c r="U44" s="17" t="str">
        <f t="shared" si="15"/>
        <v>m900_01_a</v>
      </c>
      <c r="V44" s="17" t="str">
        <f t="shared" si="19"/>
        <v>m900/m900_01.png</v>
      </c>
      <c r="W44" s="17" t="s">
        <v>29</v>
      </c>
      <c r="X44" s="1">
        <v>1812021</v>
      </c>
      <c r="Y44" s="17" t="s">
        <v>30</v>
      </c>
      <c r="Z44" s="17">
        <v>0</v>
      </c>
      <c r="AA44" s="17" t="s">
        <v>31</v>
      </c>
      <c r="AB44" s="17">
        <v>3812021</v>
      </c>
      <c r="AC44" s="17" t="s">
        <v>32</v>
      </c>
      <c r="AD44" s="17">
        <v>0</v>
      </c>
    </row>
    <row r="45" spans="1:30" x14ac:dyDescent="0.3">
      <c r="A45" s="24">
        <f t="shared" si="12"/>
        <v>290002</v>
      </c>
      <c r="B45" s="23" t="s">
        <v>546</v>
      </c>
      <c r="C45" s="25">
        <v>2</v>
      </c>
      <c r="D45" s="25" t="s">
        <v>548</v>
      </c>
      <c r="E45" s="17">
        <f>_xlfn.XLOOKUP(A45,'Detail&lt;Monster&gt;'!C:C,'Detail&lt;Monster&gt;'!A:A)</f>
        <v>29000201</v>
      </c>
      <c r="F45" s="23" t="s">
        <v>547</v>
      </c>
      <c r="G45" s="23" t="s">
        <v>457</v>
      </c>
      <c r="H45" s="23" t="s">
        <v>334</v>
      </c>
      <c r="J45" s="17" t="str">
        <f t="shared" si="16"/>
        <v>m900_02_F</v>
      </c>
      <c r="K45" s="17" t="str">
        <f t="shared" si="17"/>
        <v>m900_02_L</v>
      </c>
      <c r="L45" s="17" t="str">
        <f t="shared" si="18"/>
        <v>m900_02_Desc</v>
      </c>
      <c r="M45" s="17" t="str">
        <f t="shared" si="13"/>
        <v>m900_02_CV</v>
      </c>
      <c r="N45" s="17" t="str">
        <f t="shared" si="11"/>
        <v>m900_02_ci_F</v>
      </c>
      <c r="O45" s="17" t="s">
        <v>459</v>
      </c>
      <c r="T45" s="17" t="str">
        <f t="shared" si="14"/>
        <v>m900_b_SkeletonData.asset</v>
      </c>
      <c r="U45" s="17" t="str">
        <f t="shared" si="15"/>
        <v>m900_02_b</v>
      </c>
      <c r="V45" s="17" t="str">
        <f t="shared" si="19"/>
        <v>m900/m900_02.png</v>
      </c>
      <c r="W45" s="17" t="s">
        <v>29</v>
      </c>
      <c r="X45" s="1">
        <v>1822021</v>
      </c>
      <c r="Y45" s="17" t="s">
        <v>30</v>
      </c>
      <c r="Z45" s="17">
        <v>0</v>
      </c>
      <c r="AA45" s="17" t="s">
        <v>31</v>
      </c>
      <c r="AB45" s="17">
        <v>3822021</v>
      </c>
      <c r="AC45" s="17" t="s">
        <v>32</v>
      </c>
      <c r="AD45" s="17">
        <v>0</v>
      </c>
    </row>
    <row r="46" spans="1:30" x14ac:dyDescent="0.3">
      <c r="A46" s="24">
        <f t="shared" si="12"/>
        <v>290003</v>
      </c>
      <c r="B46" s="23" t="s">
        <v>546</v>
      </c>
      <c r="C46" s="25">
        <v>3</v>
      </c>
      <c r="D46" s="25" t="s">
        <v>549</v>
      </c>
      <c r="E46" s="17">
        <f>_xlfn.XLOOKUP(A46,'Detail&lt;Monster&gt;'!C:C,'Detail&lt;Monster&gt;'!A:A)</f>
        <v>29000301</v>
      </c>
      <c r="F46" s="23" t="s">
        <v>547</v>
      </c>
      <c r="G46" s="23" t="s">
        <v>457</v>
      </c>
      <c r="H46" s="23" t="s">
        <v>336</v>
      </c>
      <c r="J46" s="17" t="str">
        <f t="shared" si="16"/>
        <v>m900_03_F</v>
      </c>
      <c r="K46" s="17" t="str">
        <f t="shared" si="17"/>
        <v>m900_03_L</v>
      </c>
      <c r="L46" s="17" t="str">
        <f t="shared" si="18"/>
        <v>m900_03_Desc</v>
      </c>
      <c r="M46" s="17" t="str">
        <f t="shared" si="13"/>
        <v>m900_03_CV</v>
      </c>
      <c r="N46" s="17" t="str">
        <f t="shared" ref="N46:N68" si="20">LEFT(J46, 7)&amp;"_ci_F"</f>
        <v>m900_03_ci_F</v>
      </c>
      <c r="O46" s="17" t="s">
        <v>459</v>
      </c>
      <c r="T46" s="17" t="str">
        <f t="shared" si="14"/>
        <v>m900_c_SkeletonData.asset</v>
      </c>
      <c r="U46" s="17" t="str">
        <f t="shared" si="15"/>
        <v>m900_03_c</v>
      </c>
      <c r="V46" s="17" t="str">
        <f t="shared" si="19"/>
        <v>m900/m900_03.png</v>
      </c>
      <c r="W46" s="17" t="s">
        <v>29</v>
      </c>
      <c r="X46" s="1">
        <v>1832021</v>
      </c>
      <c r="Y46" s="17" t="s">
        <v>30</v>
      </c>
      <c r="Z46" s="17">
        <v>0</v>
      </c>
      <c r="AA46" s="17" t="s">
        <v>31</v>
      </c>
      <c r="AB46" s="17">
        <v>3832021</v>
      </c>
      <c r="AC46" s="17" t="s">
        <v>32</v>
      </c>
      <c r="AD46" s="17">
        <v>0</v>
      </c>
    </row>
    <row r="47" spans="1:30" x14ac:dyDescent="0.3">
      <c r="A47" s="24">
        <f t="shared" si="12"/>
        <v>290004</v>
      </c>
      <c r="B47" s="23" t="s">
        <v>546</v>
      </c>
      <c r="C47" s="25">
        <v>4</v>
      </c>
      <c r="D47" s="25" t="s">
        <v>550</v>
      </c>
      <c r="E47" s="17">
        <f>_xlfn.XLOOKUP(A47,'Detail&lt;Monster&gt;'!C:C,'Detail&lt;Monster&gt;'!A:A)</f>
        <v>29000401</v>
      </c>
      <c r="F47" s="23" t="s">
        <v>547</v>
      </c>
      <c r="G47" s="23" t="s">
        <v>457</v>
      </c>
      <c r="H47" s="23" t="s">
        <v>338</v>
      </c>
      <c r="J47" s="17" t="str">
        <f t="shared" si="16"/>
        <v>m900_04_F</v>
      </c>
      <c r="K47" s="17" t="str">
        <f t="shared" si="17"/>
        <v>m900_04_L</v>
      </c>
      <c r="L47" s="17" t="str">
        <f t="shared" si="18"/>
        <v>m900_04_Desc</v>
      </c>
      <c r="M47" s="17" t="str">
        <f t="shared" si="13"/>
        <v>m900_04_CV</v>
      </c>
      <c r="N47" s="17" t="str">
        <f t="shared" si="20"/>
        <v>m900_04_ci_F</v>
      </c>
      <c r="O47" s="17" t="s">
        <v>459</v>
      </c>
      <c r="T47" s="17" t="str">
        <f t="shared" si="14"/>
        <v>m900_d_SkeletonData.asset</v>
      </c>
      <c r="U47" s="17" t="str">
        <f t="shared" si="15"/>
        <v>m900_04_d</v>
      </c>
      <c r="V47" s="17" t="str">
        <f t="shared" si="19"/>
        <v>m900/m900_04.png</v>
      </c>
      <c r="W47" s="17" t="s">
        <v>29</v>
      </c>
      <c r="X47" s="1">
        <v>1842021</v>
      </c>
      <c r="Y47" s="17" t="s">
        <v>30</v>
      </c>
      <c r="Z47" s="17">
        <v>0</v>
      </c>
      <c r="AA47" s="17" t="s">
        <v>31</v>
      </c>
      <c r="AB47" s="17">
        <v>3842021</v>
      </c>
      <c r="AC47" s="17" t="s">
        <v>32</v>
      </c>
      <c r="AD47" s="17">
        <v>0</v>
      </c>
    </row>
    <row r="48" spans="1:30" x14ac:dyDescent="0.3">
      <c r="A48" s="24">
        <f t="shared" si="12"/>
        <v>290005</v>
      </c>
      <c r="B48" s="23" t="s">
        <v>546</v>
      </c>
      <c r="C48" s="25">
        <v>5</v>
      </c>
      <c r="D48" s="25" t="s">
        <v>551</v>
      </c>
      <c r="E48" s="17">
        <f>_xlfn.XLOOKUP(A48,'Detail&lt;Monster&gt;'!C:C,'Detail&lt;Monster&gt;'!A:A)</f>
        <v>29000501</v>
      </c>
      <c r="F48" s="23" t="s">
        <v>547</v>
      </c>
      <c r="G48" s="23" t="s">
        <v>457</v>
      </c>
      <c r="H48" s="23" t="s">
        <v>340</v>
      </c>
      <c r="J48" s="17" t="str">
        <f t="shared" si="16"/>
        <v>m900_05_F</v>
      </c>
      <c r="K48" s="17" t="str">
        <f t="shared" si="17"/>
        <v>m900_05_L</v>
      </c>
      <c r="L48" s="17" t="str">
        <f t="shared" si="18"/>
        <v>m900_05_Desc</v>
      </c>
      <c r="M48" s="17" t="str">
        <f t="shared" si="13"/>
        <v>m900_05_CV</v>
      </c>
      <c r="N48" s="17" t="str">
        <f t="shared" si="20"/>
        <v>m900_05_ci_F</v>
      </c>
      <c r="O48" s="17" t="s">
        <v>459</v>
      </c>
      <c r="T48" s="17" t="str">
        <f t="shared" si="14"/>
        <v>m900_e_SkeletonData.asset</v>
      </c>
      <c r="U48" s="17" t="str">
        <f t="shared" si="15"/>
        <v>m900_05_e</v>
      </c>
      <c r="V48" s="17" t="str">
        <f t="shared" si="19"/>
        <v>m900/m900_05.png</v>
      </c>
      <c r="W48" s="17" t="s">
        <v>29</v>
      </c>
      <c r="X48" s="1">
        <v>1852021</v>
      </c>
      <c r="Y48" s="17" t="s">
        <v>30</v>
      </c>
      <c r="Z48" s="17">
        <v>0</v>
      </c>
      <c r="AA48" s="17" t="s">
        <v>31</v>
      </c>
      <c r="AB48" s="17">
        <v>3852021</v>
      </c>
      <c r="AC48" s="17" t="s">
        <v>32</v>
      </c>
      <c r="AD48" s="17">
        <v>0</v>
      </c>
    </row>
    <row r="49" spans="1:30" x14ac:dyDescent="0.3">
      <c r="A49" s="24">
        <f t="shared" si="12"/>
        <v>225801</v>
      </c>
      <c r="B49" s="23" t="s">
        <v>552</v>
      </c>
      <c r="C49" s="25">
        <v>1</v>
      </c>
      <c r="D49" s="25" t="s">
        <v>455</v>
      </c>
      <c r="E49" s="17">
        <f>_xlfn.XLOOKUP(A49,'Detail&lt;Monster&gt;'!C:C,'Detail&lt;Monster&gt;'!A:A)</f>
        <v>22580101</v>
      </c>
      <c r="F49" s="23" t="s">
        <v>553</v>
      </c>
      <c r="G49" s="23" t="s">
        <v>457</v>
      </c>
      <c r="H49" s="23" t="s">
        <v>301</v>
      </c>
      <c r="J49" s="17" t="str">
        <f t="shared" si="16"/>
        <v>m258_01_F</v>
      </c>
      <c r="K49" s="17" t="str">
        <f t="shared" si="17"/>
        <v>m258_01_L</v>
      </c>
      <c r="L49" s="17" t="str">
        <f t="shared" si="18"/>
        <v>m258_01_Desc</v>
      </c>
      <c r="M49" s="17" t="str">
        <f t="shared" si="13"/>
        <v>m258_01_CV</v>
      </c>
      <c r="N49" s="17" t="str">
        <f t="shared" si="20"/>
        <v>m258_01_ci_F</v>
      </c>
      <c r="O49" s="17" t="s">
        <v>459</v>
      </c>
      <c r="P49" s="17" t="str">
        <f t="shared" ref="P49:P56" si="21">B49&amp;"_"&amp;TEXT(C49,"00")&amp;"_p"</f>
        <v>m258_01_p</v>
      </c>
      <c r="Q49" s="17" t="s">
        <v>468</v>
      </c>
      <c r="T49" s="17" t="str">
        <f t="shared" si="14"/>
        <v>m258_a_SkeletonData.asset</v>
      </c>
      <c r="U49" s="17" t="str">
        <f t="shared" si="15"/>
        <v>m258_01_a</v>
      </c>
      <c r="V49" s="17" t="str">
        <f t="shared" si="19"/>
        <v>m258/m258_01.png</v>
      </c>
      <c r="W49" s="17" t="s">
        <v>29</v>
      </c>
      <c r="X49" s="1">
        <v>1811031</v>
      </c>
      <c r="Y49" s="17" t="s">
        <v>30</v>
      </c>
      <c r="Z49" s="17">
        <v>2811031</v>
      </c>
      <c r="AA49" s="17" t="s">
        <v>31</v>
      </c>
      <c r="AB49" s="1">
        <v>3811031</v>
      </c>
      <c r="AC49" s="17" t="s">
        <v>32</v>
      </c>
      <c r="AD49" s="17">
        <v>0</v>
      </c>
    </row>
    <row r="50" spans="1:30" x14ac:dyDescent="0.3">
      <c r="A50" s="24">
        <f t="shared" si="12"/>
        <v>225802</v>
      </c>
      <c r="B50" s="23" t="s">
        <v>552</v>
      </c>
      <c r="C50" s="25">
        <v>2</v>
      </c>
      <c r="D50" s="25" t="s">
        <v>455</v>
      </c>
      <c r="E50" s="17">
        <f>_xlfn.XLOOKUP(A50,'Detail&lt;Monster&gt;'!C:C,'Detail&lt;Monster&gt;'!A:A)</f>
        <v>22580201</v>
      </c>
      <c r="F50" s="23" t="s">
        <v>553</v>
      </c>
      <c r="G50" s="23" t="s">
        <v>457</v>
      </c>
      <c r="H50" s="23" t="s">
        <v>303</v>
      </c>
      <c r="J50" s="17" t="str">
        <f t="shared" si="16"/>
        <v>m258_02_F</v>
      </c>
      <c r="K50" s="17" t="str">
        <f t="shared" si="17"/>
        <v>m258_02_L</v>
      </c>
      <c r="L50" s="17" t="str">
        <f t="shared" si="18"/>
        <v>m258_02_Desc</v>
      </c>
      <c r="M50" s="17" t="str">
        <f t="shared" si="13"/>
        <v>m258_02_CV</v>
      </c>
      <c r="N50" s="17" t="str">
        <f t="shared" si="20"/>
        <v>m258_02_ci_F</v>
      </c>
      <c r="O50" s="17" t="s">
        <v>459</v>
      </c>
      <c r="P50" s="17" t="str">
        <f t="shared" si="21"/>
        <v>m258_02_p</v>
      </c>
      <c r="Q50" s="17" t="s">
        <v>468</v>
      </c>
      <c r="T50" s="17" t="str">
        <f t="shared" si="14"/>
        <v>m258_a_SkeletonData.asset</v>
      </c>
      <c r="U50" s="17" t="str">
        <f t="shared" si="15"/>
        <v>m258_02_a</v>
      </c>
      <c r="V50" s="17" t="str">
        <f t="shared" si="19"/>
        <v>m258/m258_02.png</v>
      </c>
      <c r="W50" s="17" t="s">
        <v>29</v>
      </c>
      <c r="X50" s="1">
        <v>1821031</v>
      </c>
      <c r="Y50" s="17" t="s">
        <v>30</v>
      </c>
      <c r="Z50" s="17">
        <v>2821031</v>
      </c>
      <c r="AA50" s="17" t="s">
        <v>31</v>
      </c>
      <c r="AB50" s="1">
        <v>3821031</v>
      </c>
      <c r="AC50" s="17" t="s">
        <v>32</v>
      </c>
      <c r="AD50" s="17">
        <v>0</v>
      </c>
    </row>
    <row r="51" spans="1:30" x14ac:dyDescent="0.3">
      <c r="A51" s="24">
        <f t="shared" si="12"/>
        <v>225803</v>
      </c>
      <c r="B51" s="23" t="s">
        <v>552</v>
      </c>
      <c r="C51" s="25">
        <v>3</v>
      </c>
      <c r="D51" s="25" t="s">
        <v>455</v>
      </c>
      <c r="E51" s="17">
        <f>_xlfn.XLOOKUP(A51,'Detail&lt;Monster&gt;'!C:C,'Detail&lt;Monster&gt;'!A:A)</f>
        <v>22580301</v>
      </c>
      <c r="F51" s="23" t="s">
        <v>553</v>
      </c>
      <c r="G51" s="23" t="s">
        <v>457</v>
      </c>
      <c r="H51" s="23" t="s">
        <v>305</v>
      </c>
      <c r="J51" s="17" t="str">
        <f t="shared" si="16"/>
        <v>m258_03_F</v>
      </c>
      <c r="K51" s="17" t="str">
        <f t="shared" si="17"/>
        <v>m258_03_L</v>
      </c>
      <c r="L51" s="17" t="str">
        <f t="shared" si="18"/>
        <v>m258_03_Desc</v>
      </c>
      <c r="M51" s="17" t="str">
        <f t="shared" si="13"/>
        <v>m258_03_CV</v>
      </c>
      <c r="N51" s="17" t="str">
        <f t="shared" si="20"/>
        <v>m258_03_ci_F</v>
      </c>
      <c r="O51" s="17" t="s">
        <v>459</v>
      </c>
      <c r="P51" s="17" t="str">
        <f t="shared" si="21"/>
        <v>m258_03_p</v>
      </c>
      <c r="Q51" s="17" t="s">
        <v>468</v>
      </c>
      <c r="T51" s="17" t="str">
        <f t="shared" si="14"/>
        <v>m258_a_SkeletonData.asset</v>
      </c>
      <c r="U51" s="17" t="str">
        <f t="shared" si="15"/>
        <v>m258_03_a</v>
      </c>
      <c r="V51" s="17" t="str">
        <f t="shared" si="19"/>
        <v>m258/m258_03.png</v>
      </c>
      <c r="W51" s="17" t="s">
        <v>29</v>
      </c>
      <c r="X51" s="1">
        <v>1831031</v>
      </c>
      <c r="Y51" s="17" t="s">
        <v>30</v>
      </c>
      <c r="Z51" s="17">
        <v>2831031</v>
      </c>
      <c r="AA51" s="17" t="s">
        <v>31</v>
      </c>
      <c r="AB51" s="1">
        <v>3831031</v>
      </c>
      <c r="AC51" s="17" t="s">
        <v>32</v>
      </c>
      <c r="AD51" s="17">
        <v>0</v>
      </c>
    </row>
    <row r="52" spans="1:30" x14ac:dyDescent="0.3">
      <c r="A52" s="24">
        <f t="shared" si="12"/>
        <v>225804</v>
      </c>
      <c r="B52" s="23" t="s">
        <v>552</v>
      </c>
      <c r="C52" s="25">
        <v>4</v>
      </c>
      <c r="D52" s="25" t="s">
        <v>455</v>
      </c>
      <c r="E52" s="17">
        <f>_xlfn.XLOOKUP(A52,'Detail&lt;Monster&gt;'!C:C,'Detail&lt;Monster&gt;'!A:A)</f>
        <v>22580401</v>
      </c>
      <c r="F52" s="23" t="s">
        <v>553</v>
      </c>
      <c r="G52" s="23" t="s">
        <v>457</v>
      </c>
      <c r="H52" s="23" t="s">
        <v>307</v>
      </c>
      <c r="J52" s="17" t="str">
        <f t="shared" si="16"/>
        <v>m258_04_F</v>
      </c>
      <c r="K52" s="17" t="str">
        <f t="shared" si="17"/>
        <v>m258_04_L</v>
      </c>
      <c r="L52" s="17" t="str">
        <f t="shared" si="18"/>
        <v>m258_04_Desc</v>
      </c>
      <c r="M52" s="17" t="str">
        <f t="shared" si="13"/>
        <v>m258_04_CV</v>
      </c>
      <c r="N52" s="17" t="str">
        <f t="shared" si="20"/>
        <v>m258_04_ci_F</v>
      </c>
      <c r="O52" s="17" t="s">
        <v>459</v>
      </c>
      <c r="P52" s="17" t="str">
        <f t="shared" si="21"/>
        <v>m258_04_p</v>
      </c>
      <c r="Q52" s="17" t="s">
        <v>468</v>
      </c>
      <c r="T52" s="17" t="str">
        <f t="shared" si="14"/>
        <v>m258_a_SkeletonData.asset</v>
      </c>
      <c r="U52" s="17" t="str">
        <f t="shared" si="15"/>
        <v>m258_04_a</v>
      </c>
      <c r="V52" s="17" t="str">
        <f t="shared" si="19"/>
        <v>m258/m258_04.png</v>
      </c>
      <c r="W52" s="17" t="s">
        <v>29</v>
      </c>
      <c r="X52" s="1">
        <v>1841031</v>
      </c>
      <c r="Y52" s="17" t="s">
        <v>30</v>
      </c>
      <c r="Z52" s="17">
        <v>2841031</v>
      </c>
      <c r="AA52" s="17" t="s">
        <v>31</v>
      </c>
      <c r="AB52" s="1">
        <v>3841031</v>
      </c>
      <c r="AC52" s="17" t="s">
        <v>32</v>
      </c>
      <c r="AD52" s="17">
        <v>0</v>
      </c>
    </row>
    <row r="53" spans="1:30" x14ac:dyDescent="0.3">
      <c r="A53" s="24">
        <f t="shared" si="12"/>
        <v>225805</v>
      </c>
      <c r="B53" s="23" t="s">
        <v>552</v>
      </c>
      <c r="C53" s="25">
        <v>5</v>
      </c>
      <c r="D53" s="25" t="s">
        <v>455</v>
      </c>
      <c r="E53" s="17">
        <f>_xlfn.XLOOKUP(A53,'Detail&lt;Monster&gt;'!C:C,'Detail&lt;Monster&gt;'!A:A)</f>
        <v>22580501</v>
      </c>
      <c r="F53" s="23" t="s">
        <v>553</v>
      </c>
      <c r="G53" s="23" t="s">
        <v>457</v>
      </c>
      <c r="H53" s="23" t="s">
        <v>309</v>
      </c>
      <c r="J53" s="17" t="str">
        <f t="shared" si="16"/>
        <v>m258_05_F</v>
      </c>
      <c r="K53" s="17" t="str">
        <f t="shared" si="17"/>
        <v>m258_05_L</v>
      </c>
      <c r="L53" s="17" t="str">
        <f t="shared" si="18"/>
        <v>m258_05_Desc</v>
      </c>
      <c r="M53" s="17" t="str">
        <f t="shared" si="13"/>
        <v>m258_05_CV</v>
      </c>
      <c r="N53" s="17" t="str">
        <f t="shared" si="20"/>
        <v>m258_05_ci_F</v>
      </c>
      <c r="O53" s="17" t="s">
        <v>459</v>
      </c>
      <c r="P53" s="17" t="str">
        <f t="shared" si="21"/>
        <v>m258_05_p</v>
      </c>
      <c r="Q53" s="17" t="s">
        <v>468</v>
      </c>
      <c r="T53" s="17" t="str">
        <f t="shared" si="14"/>
        <v>m258_a_SkeletonData.asset</v>
      </c>
      <c r="U53" s="17" t="str">
        <f t="shared" si="15"/>
        <v>m258_05_a</v>
      </c>
      <c r="V53" s="17" t="str">
        <f t="shared" si="19"/>
        <v>m258/m258_05.png</v>
      </c>
      <c r="W53" s="17" t="s">
        <v>29</v>
      </c>
      <c r="X53" s="1">
        <v>1851031</v>
      </c>
      <c r="Y53" s="17" t="s">
        <v>30</v>
      </c>
      <c r="Z53" s="17">
        <v>2851031</v>
      </c>
      <c r="AA53" s="17" t="s">
        <v>31</v>
      </c>
      <c r="AB53" s="1">
        <v>3851031</v>
      </c>
      <c r="AC53" s="17" t="s">
        <v>32</v>
      </c>
      <c r="AD53" s="17">
        <v>0</v>
      </c>
    </row>
    <row r="54" spans="1:30" x14ac:dyDescent="0.3">
      <c r="A54" s="24">
        <f t="shared" si="12"/>
        <v>203801</v>
      </c>
      <c r="B54" s="23" t="s">
        <v>554</v>
      </c>
      <c r="C54" s="25">
        <v>1</v>
      </c>
      <c r="D54" s="25" t="s">
        <v>455</v>
      </c>
      <c r="E54" s="17">
        <f>_xlfn.XLOOKUP(A54,'Detail&lt;Monster&gt;'!C:C,'Detail&lt;Monster&gt;'!A:A)</f>
        <v>20380199</v>
      </c>
      <c r="F54" s="23" t="s">
        <v>555</v>
      </c>
      <c r="G54" s="23" t="s">
        <v>457</v>
      </c>
      <c r="H54" s="23" t="s">
        <v>372</v>
      </c>
      <c r="J54" s="17" t="str">
        <f t="shared" si="16"/>
        <v>m038_01_F</v>
      </c>
      <c r="K54" s="17" t="str">
        <f t="shared" si="17"/>
        <v>m038_01_L</v>
      </c>
      <c r="L54" s="17" t="str">
        <f t="shared" si="18"/>
        <v>m038_01_Desc</v>
      </c>
      <c r="M54" s="17" t="str">
        <f t="shared" si="13"/>
        <v>m038_01_CV</v>
      </c>
      <c r="N54" s="17" t="str">
        <f t="shared" si="20"/>
        <v>m038_01_ci_F</v>
      </c>
      <c r="O54" s="17" t="s">
        <v>459</v>
      </c>
      <c r="P54" s="17" t="str">
        <f t="shared" si="21"/>
        <v>m038_01_p</v>
      </c>
      <c r="Q54" s="17" t="s">
        <v>468</v>
      </c>
      <c r="T54" s="17" t="str">
        <f t="shared" si="14"/>
        <v>m038_a_SkeletonData.asset</v>
      </c>
      <c r="U54" s="17" t="str">
        <f t="shared" si="15"/>
        <v>m038_01_a</v>
      </c>
      <c r="V54" s="17" t="str">
        <f t="shared" si="19"/>
        <v>m038/m038_01.png</v>
      </c>
      <c r="W54" s="17" t="s">
        <v>29</v>
      </c>
      <c r="X54" s="1">
        <v>1942011</v>
      </c>
      <c r="Y54" s="17" t="s">
        <v>30</v>
      </c>
      <c r="Z54" s="17">
        <v>0</v>
      </c>
      <c r="AA54" s="17" t="s">
        <v>31</v>
      </c>
      <c r="AB54" s="1">
        <v>3942011</v>
      </c>
      <c r="AC54" s="17" t="s">
        <v>32</v>
      </c>
      <c r="AD54" s="17">
        <v>0</v>
      </c>
    </row>
    <row r="55" spans="1:30" x14ac:dyDescent="0.3">
      <c r="A55" s="24">
        <f t="shared" si="12"/>
        <v>201301</v>
      </c>
      <c r="B55" s="23" t="s">
        <v>556</v>
      </c>
      <c r="C55" s="25">
        <v>1</v>
      </c>
      <c r="D55" s="25" t="s">
        <v>455</v>
      </c>
      <c r="E55" s="17">
        <f>_xlfn.XLOOKUP(A55,'Detail&lt;Monster&gt;'!C:C,'Detail&lt;Monster&gt;'!A:A)</f>
        <v>20130101</v>
      </c>
      <c r="F55" s="23" t="s">
        <v>557</v>
      </c>
      <c r="G55" s="23" t="s">
        <v>457</v>
      </c>
      <c r="H55" s="23" t="s">
        <v>235</v>
      </c>
      <c r="J55" s="17" t="str">
        <f t="shared" si="16"/>
        <v>m013_01_F</v>
      </c>
      <c r="K55" s="17" t="str">
        <f t="shared" si="17"/>
        <v>m013_01_L</v>
      </c>
      <c r="L55" s="17" t="str">
        <f t="shared" si="18"/>
        <v>m013_01_Desc</v>
      </c>
      <c r="M55" s="17" t="str">
        <f t="shared" si="13"/>
        <v>m013_01_CV</v>
      </c>
      <c r="N55" s="17" t="str">
        <f t="shared" si="20"/>
        <v>m013_01_ci_F</v>
      </c>
      <c r="O55" s="17" t="s">
        <v>459</v>
      </c>
      <c r="P55" s="17" t="str">
        <f t="shared" si="21"/>
        <v>m013_01_p</v>
      </c>
      <c r="Q55" s="17" t="s">
        <v>468</v>
      </c>
      <c r="T55" s="17" t="str">
        <f t="shared" si="14"/>
        <v>m013_a_SkeletonData.asset</v>
      </c>
      <c r="U55" s="17" t="str">
        <f t="shared" si="15"/>
        <v>m013_01_a</v>
      </c>
      <c r="V55" s="17" t="str">
        <f t="shared" si="19"/>
        <v>m013/m013_01.png</v>
      </c>
      <c r="W55" s="17" t="s">
        <v>29</v>
      </c>
      <c r="X55" s="1">
        <v>1842051</v>
      </c>
      <c r="Y55" s="17" t="s">
        <v>30</v>
      </c>
      <c r="Z55" s="17">
        <v>2842051</v>
      </c>
      <c r="AA55" s="17" t="s">
        <v>31</v>
      </c>
      <c r="AB55" s="1">
        <v>0</v>
      </c>
      <c r="AC55" s="17" t="s">
        <v>32</v>
      </c>
      <c r="AD55" s="17">
        <v>0</v>
      </c>
    </row>
    <row r="56" spans="1:30" x14ac:dyDescent="0.3">
      <c r="A56" s="24">
        <f t="shared" si="12"/>
        <v>204001</v>
      </c>
      <c r="B56" s="23" t="s">
        <v>558</v>
      </c>
      <c r="C56" s="25">
        <v>1</v>
      </c>
      <c r="D56" s="25" t="s">
        <v>455</v>
      </c>
      <c r="E56" s="17">
        <f>_xlfn.XLOOKUP(A56,'Detail&lt;Monster&gt;'!C:C,'Detail&lt;Monster&gt;'!A:A)</f>
        <v>20400199</v>
      </c>
      <c r="F56" s="23" t="s">
        <v>559</v>
      </c>
      <c r="G56" s="23" t="s">
        <v>457</v>
      </c>
      <c r="H56" s="23" t="s">
        <v>374</v>
      </c>
      <c r="J56" s="17" t="str">
        <f t="shared" si="16"/>
        <v>m040_01_F</v>
      </c>
      <c r="K56" s="17" t="str">
        <f t="shared" si="17"/>
        <v>m040_01_L</v>
      </c>
      <c r="L56" s="17" t="str">
        <f t="shared" si="18"/>
        <v>m040_01_Desc</v>
      </c>
      <c r="M56" s="17" t="str">
        <f t="shared" si="13"/>
        <v>m040_01_CV</v>
      </c>
      <c r="N56" s="17" t="str">
        <f t="shared" si="20"/>
        <v>m040_01_ci_F</v>
      </c>
      <c r="O56" s="17" t="s">
        <v>459</v>
      </c>
      <c r="P56" s="17" t="str">
        <f t="shared" si="21"/>
        <v>m040_01_p</v>
      </c>
      <c r="Q56" s="17" t="s">
        <v>468</v>
      </c>
      <c r="T56" s="17" t="str">
        <f t="shared" si="14"/>
        <v>m040_a_SkeletonData.asset</v>
      </c>
      <c r="U56" s="17" t="str">
        <f t="shared" si="15"/>
        <v>m040_01_a</v>
      </c>
      <c r="V56" s="17" t="str">
        <f t="shared" si="19"/>
        <v>m040/m040_01.png</v>
      </c>
      <c r="W56" s="17" t="s">
        <v>29</v>
      </c>
      <c r="X56" s="1">
        <v>1942021</v>
      </c>
      <c r="Y56" s="17" t="s">
        <v>30</v>
      </c>
      <c r="Z56" s="17">
        <v>0</v>
      </c>
      <c r="AA56" s="17" t="s">
        <v>31</v>
      </c>
      <c r="AB56" s="1">
        <v>3942021</v>
      </c>
      <c r="AC56" s="17" t="s">
        <v>32</v>
      </c>
      <c r="AD56" s="17">
        <v>0</v>
      </c>
    </row>
    <row r="57" spans="1:30" x14ac:dyDescent="0.3">
      <c r="A57" s="24">
        <f t="shared" si="12"/>
        <v>207301</v>
      </c>
      <c r="B57" s="23" t="s">
        <v>560</v>
      </c>
      <c r="C57" s="25">
        <v>1</v>
      </c>
      <c r="D57" s="25" t="s">
        <v>455</v>
      </c>
      <c r="E57" s="17">
        <f>_xlfn.XLOOKUP(A57,'Detail&lt;Monster&gt;'!C:C,'Detail&lt;Monster&gt;'!A:A)</f>
        <v>20730101</v>
      </c>
      <c r="F57" s="23" t="s">
        <v>561</v>
      </c>
      <c r="G57" s="23" t="s">
        <v>457</v>
      </c>
      <c r="H57" s="23" t="s">
        <v>241</v>
      </c>
      <c r="J57" s="17" t="str">
        <f t="shared" si="16"/>
        <v>m073_01_F</v>
      </c>
      <c r="K57" s="17" t="str">
        <f t="shared" si="17"/>
        <v>m073_01_L</v>
      </c>
      <c r="L57" s="17" t="str">
        <f t="shared" si="18"/>
        <v>m073_01_Desc</v>
      </c>
      <c r="M57" s="17" t="str">
        <f t="shared" si="13"/>
        <v>m073_01_CV</v>
      </c>
      <c r="N57" s="17" t="str">
        <f t="shared" si="20"/>
        <v>m073_01_ci_F</v>
      </c>
      <c r="O57" s="17" t="s">
        <v>459</v>
      </c>
      <c r="T57" s="17" t="str">
        <f t="shared" si="14"/>
        <v>m073_a_SkeletonData.asset</v>
      </c>
      <c r="U57" s="17" t="str">
        <f t="shared" si="15"/>
        <v>m073_01_a</v>
      </c>
      <c r="V57" s="17" t="str">
        <f t="shared" si="19"/>
        <v>m073/m073_01.png</v>
      </c>
      <c r="W57" s="17" t="s">
        <v>29</v>
      </c>
      <c r="X57" s="1">
        <v>1811041</v>
      </c>
      <c r="Y57" s="17" t="s">
        <v>30</v>
      </c>
      <c r="Z57" s="17">
        <v>2811041</v>
      </c>
      <c r="AA57" s="17" t="s">
        <v>31</v>
      </c>
      <c r="AB57" s="1">
        <v>3811041</v>
      </c>
      <c r="AC57" s="17" t="s">
        <v>32</v>
      </c>
      <c r="AD57" s="17">
        <v>0</v>
      </c>
    </row>
    <row r="58" spans="1:30" x14ac:dyDescent="0.3">
      <c r="A58" s="24">
        <f t="shared" si="12"/>
        <v>207302</v>
      </c>
      <c r="B58" s="23" t="s">
        <v>560</v>
      </c>
      <c r="C58" s="25">
        <v>2</v>
      </c>
      <c r="D58" s="25" t="s">
        <v>455</v>
      </c>
      <c r="E58" s="17">
        <f>_xlfn.XLOOKUP(A58,'Detail&lt;Monster&gt;'!C:C,'Detail&lt;Monster&gt;'!A:A)</f>
        <v>20730201</v>
      </c>
      <c r="F58" s="23" t="s">
        <v>561</v>
      </c>
      <c r="G58" s="23" t="s">
        <v>457</v>
      </c>
      <c r="H58" s="23" t="s">
        <v>243</v>
      </c>
      <c r="J58" s="17" t="str">
        <f t="shared" si="16"/>
        <v>m073_02_F</v>
      </c>
      <c r="K58" s="17" t="str">
        <f t="shared" si="17"/>
        <v>m073_02_L</v>
      </c>
      <c r="L58" s="17" t="str">
        <f t="shared" si="18"/>
        <v>m073_02_Desc</v>
      </c>
      <c r="M58" s="17" t="str">
        <f t="shared" si="13"/>
        <v>m073_02_CV</v>
      </c>
      <c r="N58" s="17" t="str">
        <f t="shared" si="20"/>
        <v>m073_02_ci_F</v>
      </c>
      <c r="O58" s="17" t="s">
        <v>459</v>
      </c>
      <c r="T58" s="17" t="str">
        <f t="shared" si="14"/>
        <v>m073_a_SkeletonData.asset</v>
      </c>
      <c r="U58" s="17" t="str">
        <f t="shared" si="15"/>
        <v>m073_02_a</v>
      </c>
      <c r="V58" s="17" t="str">
        <f t="shared" si="19"/>
        <v>m073/m073_02.png</v>
      </c>
      <c r="W58" s="17" t="s">
        <v>29</v>
      </c>
      <c r="X58" s="1">
        <v>1821041</v>
      </c>
      <c r="Y58" s="17" t="s">
        <v>30</v>
      </c>
      <c r="Z58" s="17">
        <v>2821041</v>
      </c>
      <c r="AA58" s="17" t="s">
        <v>31</v>
      </c>
      <c r="AB58" s="1">
        <v>3821041</v>
      </c>
      <c r="AC58" s="17" t="s">
        <v>32</v>
      </c>
      <c r="AD58" s="17">
        <v>0</v>
      </c>
    </row>
    <row r="59" spans="1:30" x14ac:dyDescent="0.3">
      <c r="A59" s="24">
        <f t="shared" si="12"/>
        <v>207303</v>
      </c>
      <c r="B59" s="23" t="s">
        <v>560</v>
      </c>
      <c r="C59" s="25">
        <v>3</v>
      </c>
      <c r="D59" s="25" t="s">
        <v>455</v>
      </c>
      <c r="E59" s="17">
        <f>_xlfn.XLOOKUP(A59,'Detail&lt;Monster&gt;'!C:C,'Detail&lt;Monster&gt;'!A:A)</f>
        <v>20730301</v>
      </c>
      <c r="F59" s="23" t="s">
        <v>561</v>
      </c>
      <c r="G59" s="23" t="s">
        <v>457</v>
      </c>
      <c r="H59" s="23" t="s">
        <v>245</v>
      </c>
      <c r="J59" s="17" t="str">
        <f t="shared" si="16"/>
        <v>m073_03_F</v>
      </c>
      <c r="K59" s="17" t="str">
        <f t="shared" si="17"/>
        <v>m073_03_L</v>
      </c>
      <c r="L59" s="17" t="str">
        <f t="shared" si="18"/>
        <v>m073_03_Desc</v>
      </c>
      <c r="M59" s="17" t="str">
        <f t="shared" si="13"/>
        <v>m073_03_CV</v>
      </c>
      <c r="N59" s="17" t="str">
        <f t="shared" si="20"/>
        <v>m073_03_ci_F</v>
      </c>
      <c r="O59" s="17" t="s">
        <v>459</v>
      </c>
      <c r="T59" s="17" t="str">
        <f t="shared" si="14"/>
        <v>m073_a_SkeletonData.asset</v>
      </c>
      <c r="U59" s="17" t="str">
        <f t="shared" si="15"/>
        <v>m073_03_a</v>
      </c>
      <c r="V59" s="17" t="str">
        <f t="shared" si="19"/>
        <v>m073/m073_03.png</v>
      </c>
      <c r="W59" s="17" t="s">
        <v>29</v>
      </c>
      <c r="X59" s="1">
        <v>1831041</v>
      </c>
      <c r="Y59" s="17" t="s">
        <v>30</v>
      </c>
      <c r="Z59" s="17">
        <v>2831041</v>
      </c>
      <c r="AA59" s="17" t="s">
        <v>31</v>
      </c>
      <c r="AB59" s="1">
        <v>3831041</v>
      </c>
      <c r="AC59" s="17" t="s">
        <v>32</v>
      </c>
      <c r="AD59" s="17">
        <v>0</v>
      </c>
    </row>
    <row r="60" spans="1:30" x14ac:dyDescent="0.3">
      <c r="A60" s="24">
        <f t="shared" si="12"/>
        <v>207304</v>
      </c>
      <c r="B60" s="23" t="s">
        <v>560</v>
      </c>
      <c r="C60" s="25">
        <v>4</v>
      </c>
      <c r="D60" s="25" t="s">
        <v>455</v>
      </c>
      <c r="E60" s="17">
        <f>_xlfn.XLOOKUP(A60,'Detail&lt;Monster&gt;'!C:C,'Detail&lt;Monster&gt;'!A:A)</f>
        <v>20730401</v>
      </c>
      <c r="F60" s="23" t="s">
        <v>561</v>
      </c>
      <c r="G60" s="23" t="s">
        <v>457</v>
      </c>
      <c r="H60" s="23" t="s">
        <v>247</v>
      </c>
      <c r="J60" s="17" t="str">
        <f t="shared" si="16"/>
        <v>m073_04_F</v>
      </c>
      <c r="K60" s="17" t="str">
        <f t="shared" si="17"/>
        <v>m073_04_L</v>
      </c>
      <c r="L60" s="17" t="str">
        <f t="shared" si="18"/>
        <v>m073_04_Desc</v>
      </c>
      <c r="M60" s="17" t="str">
        <f t="shared" si="13"/>
        <v>m073_04_CV</v>
      </c>
      <c r="N60" s="17" t="str">
        <f t="shared" si="20"/>
        <v>m073_04_ci_F</v>
      </c>
      <c r="O60" s="17" t="s">
        <v>459</v>
      </c>
      <c r="T60" s="17" t="str">
        <f t="shared" si="14"/>
        <v>m073_a_SkeletonData.asset</v>
      </c>
      <c r="U60" s="17" t="str">
        <f t="shared" si="15"/>
        <v>m073_04_a</v>
      </c>
      <c r="V60" s="17" t="str">
        <f t="shared" si="19"/>
        <v>m073/m073_04.png</v>
      </c>
      <c r="W60" s="17" t="s">
        <v>29</v>
      </c>
      <c r="X60" s="1">
        <v>1841041</v>
      </c>
      <c r="Y60" s="17" t="s">
        <v>30</v>
      </c>
      <c r="Z60" s="17">
        <v>2841041</v>
      </c>
      <c r="AA60" s="17" t="s">
        <v>31</v>
      </c>
      <c r="AB60" s="1">
        <v>3841041</v>
      </c>
      <c r="AC60" s="17" t="s">
        <v>32</v>
      </c>
      <c r="AD60" s="17">
        <v>0</v>
      </c>
    </row>
    <row r="61" spans="1:30" x14ac:dyDescent="0.3">
      <c r="A61" s="24">
        <f t="shared" si="12"/>
        <v>207305</v>
      </c>
      <c r="B61" s="23" t="s">
        <v>560</v>
      </c>
      <c r="C61" s="25">
        <v>5</v>
      </c>
      <c r="D61" s="25" t="s">
        <v>455</v>
      </c>
      <c r="E61" s="17">
        <f>_xlfn.XLOOKUP(A61,'Detail&lt;Monster&gt;'!C:C,'Detail&lt;Monster&gt;'!A:A)</f>
        <v>20730501</v>
      </c>
      <c r="F61" s="23" t="s">
        <v>561</v>
      </c>
      <c r="G61" s="23" t="s">
        <v>457</v>
      </c>
      <c r="H61" s="23" t="s">
        <v>249</v>
      </c>
      <c r="J61" s="17" t="str">
        <f t="shared" si="16"/>
        <v>m073_05_F</v>
      </c>
      <c r="K61" s="17" t="str">
        <f t="shared" si="17"/>
        <v>m073_05_L</v>
      </c>
      <c r="L61" s="17" t="str">
        <f t="shared" si="18"/>
        <v>m073_05_Desc</v>
      </c>
      <c r="M61" s="17" t="str">
        <f t="shared" si="13"/>
        <v>m073_05_CV</v>
      </c>
      <c r="N61" s="17" t="str">
        <f t="shared" si="20"/>
        <v>m073_05_ci_F</v>
      </c>
      <c r="O61" s="17" t="s">
        <v>459</v>
      </c>
      <c r="T61" s="17" t="str">
        <f t="shared" si="14"/>
        <v>m073_a_SkeletonData.asset</v>
      </c>
      <c r="U61" s="17" t="str">
        <f t="shared" si="15"/>
        <v>m073_05_a</v>
      </c>
      <c r="V61" s="17" t="str">
        <f t="shared" si="19"/>
        <v>m073/m073_05.png</v>
      </c>
      <c r="W61" s="17" t="s">
        <v>29</v>
      </c>
      <c r="X61" s="1">
        <v>1851041</v>
      </c>
      <c r="Y61" s="17" t="s">
        <v>30</v>
      </c>
      <c r="Z61" s="17">
        <v>2851041</v>
      </c>
      <c r="AA61" s="17" t="s">
        <v>31</v>
      </c>
      <c r="AB61" s="1">
        <v>3851041</v>
      </c>
      <c r="AC61" s="17" t="s">
        <v>32</v>
      </c>
      <c r="AD61" s="17">
        <v>0</v>
      </c>
    </row>
    <row r="62" spans="1:30" x14ac:dyDescent="0.3">
      <c r="A62" s="24">
        <f t="shared" si="12"/>
        <v>218901</v>
      </c>
      <c r="B62" s="23" t="s">
        <v>562</v>
      </c>
      <c r="C62" s="25">
        <v>1</v>
      </c>
      <c r="D62" s="25" t="s">
        <v>455</v>
      </c>
      <c r="E62" s="17">
        <f>_xlfn.XLOOKUP(A62,'Detail&lt;Monster&gt;'!C:C,'Detail&lt;Monster&gt;'!A:A)</f>
        <v>21890101</v>
      </c>
      <c r="F62" s="23" t="s">
        <v>563</v>
      </c>
      <c r="G62" s="23" t="s">
        <v>457</v>
      </c>
      <c r="H62" s="23" t="s">
        <v>366</v>
      </c>
      <c r="J62" s="17" t="str">
        <f t="shared" si="16"/>
        <v>m189_01_F</v>
      </c>
      <c r="K62" s="17" t="str">
        <f t="shared" si="17"/>
        <v>m189_01_L</v>
      </c>
      <c r="L62" s="17" t="str">
        <f t="shared" si="18"/>
        <v>m189_01_Desc</v>
      </c>
      <c r="M62" s="17" t="str">
        <f t="shared" si="13"/>
        <v>m189_01_CV</v>
      </c>
      <c r="N62" s="17" t="str">
        <f t="shared" si="20"/>
        <v>m189_01_ci_F</v>
      </c>
      <c r="O62" s="17" t="s">
        <v>459</v>
      </c>
      <c r="P62" s="17" t="str">
        <f t="shared" ref="P62:P67" si="22">B62&amp;"_"&amp;TEXT(C62,"00")&amp;"_p"</f>
        <v>m189_01_p</v>
      </c>
      <c r="Q62" s="17" t="s">
        <v>468</v>
      </c>
      <c r="T62" s="17" t="str">
        <f t="shared" si="14"/>
        <v>m189_a_SkeletonData.asset</v>
      </c>
      <c r="U62" s="17" t="str">
        <f t="shared" si="15"/>
        <v>m189_01_a</v>
      </c>
      <c r="V62" s="17" t="str">
        <f t="shared" si="19"/>
        <v>m189/m189_01.png</v>
      </c>
      <c r="W62" s="17" t="s">
        <v>29</v>
      </c>
      <c r="X62" s="1">
        <v>1842061</v>
      </c>
      <c r="Y62" s="17" t="s">
        <v>30</v>
      </c>
      <c r="Z62" s="17">
        <v>2842061</v>
      </c>
      <c r="AA62" s="17" t="s">
        <v>31</v>
      </c>
      <c r="AB62" s="1">
        <v>0</v>
      </c>
      <c r="AC62" s="17" t="s">
        <v>32</v>
      </c>
      <c r="AD62" s="17">
        <v>0</v>
      </c>
    </row>
    <row r="63" spans="1:30" x14ac:dyDescent="0.3">
      <c r="A63" s="24">
        <f t="shared" si="12"/>
        <v>205101</v>
      </c>
      <c r="B63" s="23" t="s">
        <v>564</v>
      </c>
      <c r="C63" s="25">
        <v>1</v>
      </c>
      <c r="D63" s="25" t="s">
        <v>455</v>
      </c>
      <c r="E63" s="17">
        <f>_xlfn.XLOOKUP(A63,'Detail&lt;Monster&gt;'!C:C,'Detail&lt;Monster&gt;'!A:A)</f>
        <v>20510199</v>
      </c>
      <c r="F63" s="23" t="s">
        <v>565</v>
      </c>
      <c r="G63" s="23" t="s">
        <v>457</v>
      </c>
      <c r="H63" s="23" t="s">
        <v>376</v>
      </c>
      <c r="J63" s="17" t="str">
        <f t="shared" si="16"/>
        <v>m051_01_F</v>
      </c>
      <c r="K63" s="17" t="str">
        <f t="shared" si="17"/>
        <v>m051_01_L</v>
      </c>
      <c r="L63" s="17" t="str">
        <f t="shared" si="18"/>
        <v>m051_01_Desc</v>
      </c>
      <c r="M63" s="17" t="str">
        <f t="shared" si="13"/>
        <v>m051_01_CV</v>
      </c>
      <c r="N63" s="17" t="str">
        <f t="shared" si="20"/>
        <v>m051_01_ci_F</v>
      </c>
      <c r="O63" s="17" t="s">
        <v>459</v>
      </c>
      <c r="P63" s="17" t="str">
        <f t="shared" si="22"/>
        <v>m051_01_p</v>
      </c>
      <c r="Q63" s="17" t="s">
        <v>468</v>
      </c>
      <c r="T63" s="17" t="str">
        <f t="shared" si="14"/>
        <v>m051_a_SkeletonData.asset</v>
      </c>
      <c r="U63" s="17" t="str">
        <f t="shared" si="15"/>
        <v>m051_01_a</v>
      </c>
      <c r="V63" s="17" t="str">
        <f t="shared" si="19"/>
        <v>m051/m051_01.png</v>
      </c>
      <c r="W63" s="17" t="s">
        <v>29</v>
      </c>
      <c r="X63" s="1">
        <v>1942031</v>
      </c>
      <c r="Y63" s="17" t="s">
        <v>30</v>
      </c>
      <c r="Z63" s="17">
        <v>0</v>
      </c>
      <c r="AA63" s="17" t="s">
        <v>31</v>
      </c>
      <c r="AB63" s="1">
        <v>3942031</v>
      </c>
      <c r="AC63" s="17" t="s">
        <v>32</v>
      </c>
      <c r="AD63" s="17">
        <v>0</v>
      </c>
    </row>
    <row r="64" spans="1:30" x14ac:dyDescent="0.3">
      <c r="A64" s="24">
        <f t="shared" si="12"/>
        <v>122401</v>
      </c>
      <c r="B64" s="23" t="s">
        <v>566</v>
      </c>
      <c r="C64" s="25">
        <v>1</v>
      </c>
      <c r="D64" s="25" t="s">
        <v>455</v>
      </c>
      <c r="E64" s="17">
        <f>_xlfn.XLOOKUP(A64,'Detail&lt;Monster&gt;'!C:C,'Detail&lt;Monster&gt;'!A:A)</f>
        <v>12240199</v>
      </c>
      <c r="F64" s="23" t="s">
        <v>567</v>
      </c>
      <c r="G64" s="23" t="s">
        <v>457</v>
      </c>
      <c r="H64" s="23" t="s">
        <v>362</v>
      </c>
      <c r="J64" s="17" t="str">
        <f t="shared" si="16"/>
        <v>c224_01_F</v>
      </c>
      <c r="K64" s="17" t="str">
        <f t="shared" si="17"/>
        <v>c224_01_L</v>
      </c>
      <c r="L64" s="17" t="str">
        <f t="shared" si="18"/>
        <v>c224_01_Desc</v>
      </c>
      <c r="M64" s="17" t="str">
        <f t="shared" si="13"/>
        <v>c224_01_CV</v>
      </c>
      <c r="N64" s="17" t="str">
        <f t="shared" si="20"/>
        <v>c224_01_ci_F</v>
      </c>
      <c r="O64" s="17" t="s">
        <v>459</v>
      </c>
      <c r="P64" s="17" t="str">
        <f t="shared" si="22"/>
        <v>c224_01_p</v>
      </c>
      <c r="Q64" s="17" t="s">
        <v>468</v>
      </c>
      <c r="T64" s="17" t="str">
        <f t="shared" si="14"/>
        <v>c224_a_SkeletonData.asset</v>
      </c>
      <c r="U64" s="17" t="str">
        <f t="shared" si="15"/>
        <v>c224_01_a</v>
      </c>
      <c r="V64" s="17" t="str">
        <f t="shared" si="19"/>
        <v>c224/c224_01.png</v>
      </c>
      <c r="W64" s="17" t="s">
        <v>29</v>
      </c>
      <c r="X64" s="1">
        <v>1942041</v>
      </c>
      <c r="Y64" s="17" t="s">
        <v>30</v>
      </c>
      <c r="Z64" s="17">
        <v>0</v>
      </c>
      <c r="AA64" s="17" t="s">
        <v>31</v>
      </c>
      <c r="AB64" s="1">
        <v>3942041</v>
      </c>
      <c r="AC64" s="17" t="s">
        <v>32</v>
      </c>
      <c r="AD64" s="17">
        <v>0</v>
      </c>
    </row>
    <row r="65" spans="1:31" x14ac:dyDescent="0.3">
      <c r="A65" s="24">
        <f t="shared" si="12"/>
        <v>201302</v>
      </c>
      <c r="B65" s="23" t="s">
        <v>556</v>
      </c>
      <c r="C65" s="25">
        <v>2</v>
      </c>
      <c r="D65" s="25" t="s">
        <v>455</v>
      </c>
      <c r="E65" s="17">
        <f>_xlfn.XLOOKUP(A65,'Detail&lt;Monster&gt;'!C:C,'Detail&lt;Monster&gt;'!A:A)</f>
        <v>20130201</v>
      </c>
      <c r="F65" s="23" t="s">
        <v>557</v>
      </c>
      <c r="G65" s="23" t="s">
        <v>457</v>
      </c>
      <c r="H65" s="23" t="s">
        <v>235</v>
      </c>
      <c r="J65" s="17" t="str">
        <f t="shared" si="16"/>
        <v>m013_02_F</v>
      </c>
      <c r="K65" s="17" t="str">
        <f t="shared" si="17"/>
        <v>m013_02_L</v>
      </c>
      <c r="L65" s="17" t="str">
        <f t="shared" si="18"/>
        <v>m013_02_Desc</v>
      </c>
      <c r="M65" s="17" t="str">
        <f t="shared" si="13"/>
        <v>m013_02_CV</v>
      </c>
      <c r="N65" s="17" t="str">
        <f t="shared" si="20"/>
        <v>m013_02_ci_F</v>
      </c>
      <c r="O65" s="17" t="s">
        <v>459</v>
      </c>
      <c r="P65" s="17" t="str">
        <f t="shared" si="22"/>
        <v>m013_02_p</v>
      </c>
      <c r="Q65" s="17" t="s">
        <v>468</v>
      </c>
      <c r="T65" s="17" t="str">
        <f t="shared" si="14"/>
        <v>m013_a_SkeletonData.asset</v>
      </c>
      <c r="U65" s="17" t="str">
        <f t="shared" si="15"/>
        <v>m013_02_a</v>
      </c>
      <c r="V65" s="17" t="str">
        <f t="shared" si="19"/>
        <v>m013/m013_02.png</v>
      </c>
      <c r="W65" s="17" t="s">
        <v>29</v>
      </c>
      <c r="X65" s="1">
        <v>1842051</v>
      </c>
      <c r="Y65" s="17" t="s">
        <v>30</v>
      </c>
      <c r="Z65" s="17">
        <v>2842051</v>
      </c>
      <c r="AA65" s="17" t="s">
        <v>31</v>
      </c>
      <c r="AB65" s="1">
        <v>0</v>
      </c>
      <c r="AC65" s="17" t="s">
        <v>32</v>
      </c>
      <c r="AD65" s="17">
        <v>0</v>
      </c>
    </row>
    <row r="66" spans="1:31" x14ac:dyDescent="0.3">
      <c r="A66" s="24">
        <v>218001</v>
      </c>
      <c r="B66" s="23" t="s">
        <v>485</v>
      </c>
      <c r="C66" s="25">
        <v>2</v>
      </c>
      <c r="D66" s="25" t="s">
        <v>455</v>
      </c>
      <c r="E66" s="17">
        <f>_xlfn.XLOOKUP(A66,'Detail&lt;Monster&gt;'!C:C,'Detail&lt;Monster&gt;'!A:A)</f>
        <v>21800101</v>
      </c>
      <c r="F66" s="23" t="s">
        <v>486</v>
      </c>
      <c r="G66" s="23" t="s">
        <v>457</v>
      </c>
      <c r="H66" s="23" t="s">
        <v>369</v>
      </c>
      <c r="J66" s="17" t="str">
        <f t="shared" si="16"/>
        <v>c180_02_F</v>
      </c>
      <c r="K66" s="17" t="str">
        <f t="shared" si="17"/>
        <v>c180_02_L</v>
      </c>
      <c r="L66" s="17" t="str">
        <f t="shared" si="18"/>
        <v>c180_02_Desc</v>
      </c>
      <c r="M66" s="17" t="str">
        <f t="shared" si="13"/>
        <v>c180_02_CV</v>
      </c>
      <c r="N66" s="17" t="str">
        <f t="shared" si="20"/>
        <v>c180_02_ci_F</v>
      </c>
      <c r="O66" s="17" t="s">
        <v>459</v>
      </c>
      <c r="P66" s="17" t="str">
        <f t="shared" si="22"/>
        <v>c180_02_p</v>
      </c>
      <c r="Q66" s="17" t="s">
        <v>468</v>
      </c>
      <c r="R66" s="17" t="str">
        <f>D66&amp;"_"&amp;TEXT(E66,"00")&amp;"_p"</f>
        <v>a_21800101_p</v>
      </c>
      <c r="S66" s="17" t="s">
        <v>468</v>
      </c>
      <c r="T66" s="17" t="str">
        <f t="shared" si="14"/>
        <v>c180_a_SkeletonData.asset</v>
      </c>
      <c r="U66" s="17" t="str">
        <f t="shared" si="15"/>
        <v>c180_02_a</v>
      </c>
      <c r="V66" s="17" t="str">
        <f t="shared" si="19"/>
        <v>c180/c180_02.png</v>
      </c>
      <c r="W66" s="17" t="s">
        <v>29</v>
      </c>
      <c r="X66" s="1">
        <v>1932071</v>
      </c>
      <c r="Y66" s="17" t="s">
        <v>30</v>
      </c>
      <c r="Z66" s="1">
        <v>2932071</v>
      </c>
      <c r="AA66" s="17" t="s">
        <v>31</v>
      </c>
      <c r="AB66" s="1">
        <v>3932079</v>
      </c>
      <c r="AC66" s="17" t="s">
        <v>32</v>
      </c>
      <c r="AD66" s="1">
        <v>4932071</v>
      </c>
      <c r="AE66" s="1"/>
    </row>
    <row r="67" spans="1:31" x14ac:dyDescent="0.3">
      <c r="A67" s="24">
        <f t="shared" ref="A67:A102" si="23">INT(TEXT(IF(LEFT(B67,1)="c",1,2)&amp;MID(B67,2,3),"000")&amp;TEXT(C67,"00"))</f>
        <v>205401</v>
      </c>
      <c r="B67" s="23" t="s">
        <v>568</v>
      </c>
      <c r="C67" s="25">
        <v>1</v>
      </c>
      <c r="D67" s="25" t="s">
        <v>455</v>
      </c>
      <c r="E67" s="17">
        <f>_xlfn.XLOOKUP(A67,'Detail&lt;Monster&gt;'!C:C,'Detail&lt;Monster&gt;'!A:A)</f>
        <v>20540101</v>
      </c>
      <c r="F67" s="23" t="s">
        <v>569</v>
      </c>
      <c r="G67" s="23" t="s">
        <v>457</v>
      </c>
      <c r="H67" s="23" t="s">
        <v>407</v>
      </c>
      <c r="J67" s="17" t="str">
        <f t="shared" si="16"/>
        <v>m054_01_F</v>
      </c>
      <c r="K67" s="17" t="str">
        <f t="shared" si="17"/>
        <v>m054_01_L</v>
      </c>
      <c r="L67" s="17" t="str">
        <f t="shared" si="18"/>
        <v>m054_01_Desc</v>
      </c>
      <c r="M67" s="17" t="str">
        <f t="shared" si="13"/>
        <v>m054_01_CV</v>
      </c>
      <c r="N67" s="17" t="str">
        <f t="shared" si="20"/>
        <v>m054_01_ci_F</v>
      </c>
      <c r="O67" s="17" t="s">
        <v>459</v>
      </c>
      <c r="P67" s="17" t="str">
        <f t="shared" si="22"/>
        <v>m054_01_p</v>
      </c>
      <c r="Q67" s="17" t="s">
        <v>468</v>
      </c>
      <c r="T67" s="17" t="str">
        <f t="shared" si="14"/>
        <v>m054_a_SkeletonData.asset</v>
      </c>
      <c r="U67" s="17" t="str">
        <f t="shared" si="15"/>
        <v>m054_01_a</v>
      </c>
      <c r="V67" s="17" t="str">
        <f t="shared" si="19"/>
        <v>m054/m054_01.png</v>
      </c>
      <c r="W67" s="17" t="s">
        <v>29</v>
      </c>
      <c r="X67" s="1">
        <v>1942051</v>
      </c>
      <c r="Y67" s="17" t="s">
        <v>30</v>
      </c>
      <c r="Z67" s="17">
        <v>2942051</v>
      </c>
      <c r="AA67" s="17" t="s">
        <v>31</v>
      </c>
      <c r="AB67" s="1">
        <v>3942051</v>
      </c>
      <c r="AC67" s="17" t="s">
        <v>32</v>
      </c>
      <c r="AD67" s="17">
        <v>4942051</v>
      </c>
    </row>
    <row r="68" spans="1:31" x14ac:dyDescent="0.3">
      <c r="A68" s="24">
        <f t="shared" si="23"/>
        <v>290101</v>
      </c>
      <c r="B68" s="23" t="s">
        <v>570</v>
      </c>
      <c r="C68" s="25">
        <v>1</v>
      </c>
      <c r="D68" s="25" t="s">
        <v>455</v>
      </c>
      <c r="E68" s="17">
        <f>_xlfn.XLOOKUP(A68,'Detail&lt;Monster&gt;'!C:C,'Detail&lt;Monster&gt;'!A:A)</f>
        <v>29010199</v>
      </c>
      <c r="F68" s="23" t="s">
        <v>571</v>
      </c>
      <c r="G68" s="23" t="s">
        <v>457</v>
      </c>
      <c r="H68" s="23" t="s">
        <v>403</v>
      </c>
      <c r="J68" s="17" t="str">
        <f t="shared" si="16"/>
        <v>m901_01_F</v>
      </c>
      <c r="K68" s="17" t="str">
        <f t="shared" si="17"/>
        <v>m901_01_L</v>
      </c>
      <c r="L68" s="17" t="str">
        <f t="shared" si="18"/>
        <v>m901_01_Desc</v>
      </c>
      <c r="M68" s="17" t="str">
        <f t="shared" ref="M68:M93" si="24">$B68&amp;"_"&amp;TEXT($C68,"00")&amp;"_CV"</f>
        <v>m901_01_CV</v>
      </c>
      <c r="N68" s="17" t="str">
        <f t="shared" si="20"/>
        <v>m901_01_ci_F</v>
      </c>
      <c r="O68" s="17" t="s">
        <v>459</v>
      </c>
      <c r="T68" s="17" t="str">
        <f t="shared" ref="T68:T102" si="25">B68&amp;"_"&amp;D68&amp;"_SkeletonData.asset"</f>
        <v>m901_a_SkeletonData.asset</v>
      </c>
      <c r="U68" s="17" t="str">
        <f t="shared" si="15"/>
        <v>m901_01_a</v>
      </c>
      <c r="V68" s="17" t="str">
        <f t="shared" si="19"/>
        <v>m901/m901_01.png</v>
      </c>
      <c r="W68" s="17" t="s">
        <v>29</v>
      </c>
      <c r="X68" s="1">
        <v>1966011</v>
      </c>
      <c r="Y68" s="17" t="s">
        <v>30</v>
      </c>
      <c r="Z68" s="17">
        <v>2966011</v>
      </c>
      <c r="AA68" s="17" t="s">
        <v>31</v>
      </c>
      <c r="AB68" s="1">
        <v>3966011</v>
      </c>
      <c r="AC68" s="17" t="s">
        <v>32</v>
      </c>
      <c r="AD68" s="17">
        <v>4966011</v>
      </c>
    </row>
    <row r="69" spans="1:31" x14ac:dyDescent="0.3">
      <c r="A69" s="24">
        <f t="shared" si="23"/>
        <v>135411</v>
      </c>
      <c r="B69" s="23" t="s">
        <v>460</v>
      </c>
      <c r="C69" s="62">
        <v>11</v>
      </c>
      <c r="D69" s="25" t="s">
        <v>455</v>
      </c>
      <c r="E69" s="17">
        <v>13540102</v>
      </c>
      <c r="F69" s="23" t="s">
        <v>461</v>
      </c>
      <c r="G69" s="23" t="s">
        <v>457</v>
      </c>
      <c r="H69" s="23" t="s">
        <v>462</v>
      </c>
      <c r="J69" s="17" t="s">
        <v>463</v>
      </c>
      <c r="K69" s="17" t="s">
        <v>464</v>
      </c>
      <c r="L69" s="17" t="s">
        <v>465</v>
      </c>
      <c r="M69" s="17" t="str">
        <f t="shared" si="24"/>
        <v>c354_11_CV</v>
      </c>
      <c r="N69" s="17" t="s">
        <v>466</v>
      </c>
      <c r="O69" s="17" t="s">
        <v>459</v>
      </c>
      <c r="P69" s="17" t="s">
        <v>467</v>
      </c>
      <c r="Q69" s="17" t="s">
        <v>468</v>
      </c>
      <c r="R69" s="17" t="s">
        <v>572</v>
      </c>
      <c r="S69" s="17" t="s">
        <v>469</v>
      </c>
      <c r="T69" s="17" t="str">
        <f t="shared" si="25"/>
        <v>c354_a_SkeletonData.asset</v>
      </c>
      <c r="U69" s="17" t="s">
        <v>573</v>
      </c>
      <c r="V69" s="17" t="s">
        <v>574</v>
      </c>
      <c r="W69" s="17" t="s">
        <v>29</v>
      </c>
      <c r="X69" s="1">
        <v>1513011</v>
      </c>
      <c r="Y69" s="17" t="s">
        <v>30</v>
      </c>
      <c r="Z69" s="1">
        <v>2513011</v>
      </c>
      <c r="AA69" s="17" t="s">
        <v>31</v>
      </c>
      <c r="AB69" s="1">
        <v>3513011</v>
      </c>
      <c r="AC69" s="17" t="s">
        <v>32</v>
      </c>
      <c r="AD69" s="1">
        <v>4513011</v>
      </c>
      <c r="AE69" s="1"/>
    </row>
    <row r="70" spans="1:31" x14ac:dyDescent="0.3">
      <c r="A70" s="24">
        <f t="shared" si="23"/>
        <v>129611</v>
      </c>
      <c r="B70" s="23" t="s">
        <v>470</v>
      </c>
      <c r="C70" s="62">
        <v>11</v>
      </c>
      <c r="D70" s="25" t="s">
        <v>455</v>
      </c>
      <c r="E70" s="17">
        <v>12960102</v>
      </c>
      <c r="F70" s="23" t="s">
        <v>471</v>
      </c>
      <c r="G70" s="23" t="s">
        <v>457</v>
      </c>
      <c r="H70" s="23" t="s">
        <v>472</v>
      </c>
      <c r="J70" s="17" t="s">
        <v>575</v>
      </c>
      <c r="K70" s="17" t="s">
        <v>576</v>
      </c>
      <c r="L70" s="17" t="s">
        <v>577</v>
      </c>
      <c r="M70" s="17" t="str">
        <f t="shared" si="24"/>
        <v>c296_11_CV</v>
      </c>
      <c r="N70" s="17" t="s">
        <v>578</v>
      </c>
      <c r="O70" s="17" t="s">
        <v>459</v>
      </c>
      <c r="P70" s="17" t="s">
        <v>579</v>
      </c>
      <c r="Q70" s="17" t="s">
        <v>468</v>
      </c>
      <c r="R70" s="17" t="s">
        <v>580</v>
      </c>
      <c r="S70" s="17" t="s">
        <v>469</v>
      </c>
      <c r="T70" s="17" t="str">
        <f t="shared" si="25"/>
        <v>c296_a_SkeletonData.asset</v>
      </c>
      <c r="U70" s="17" t="s">
        <v>581</v>
      </c>
      <c r="V70" s="17" t="s">
        <v>582</v>
      </c>
      <c r="W70" s="17" t="s">
        <v>29</v>
      </c>
      <c r="X70" s="1">
        <v>1541021</v>
      </c>
      <c r="Y70" s="17" t="s">
        <v>30</v>
      </c>
      <c r="Z70" s="1">
        <v>2541021</v>
      </c>
      <c r="AA70" s="17" t="s">
        <v>31</v>
      </c>
      <c r="AB70" s="1">
        <v>3541021</v>
      </c>
      <c r="AC70" s="17" t="s">
        <v>32</v>
      </c>
      <c r="AD70" s="1">
        <v>4541021</v>
      </c>
      <c r="AE70" s="1"/>
    </row>
    <row r="71" spans="1:31" x14ac:dyDescent="0.3">
      <c r="A71" s="24">
        <f t="shared" si="23"/>
        <v>100311</v>
      </c>
      <c r="B71" s="23" t="s">
        <v>473</v>
      </c>
      <c r="C71" s="62">
        <v>11</v>
      </c>
      <c r="D71" s="25" t="s">
        <v>455</v>
      </c>
      <c r="E71" s="17">
        <v>10030102</v>
      </c>
      <c r="F71" s="23" t="s">
        <v>474</v>
      </c>
      <c r="G71" s="23" t="s">
        <v>457</v>
      </c>
      <c r="H71" s="23" t="s">
        <v>102</v>
      </c>
      <c r="J71" s="17" t="s">
        <v>583</v>
      </c>
      <c r="K71" s="17" t="s">
        <v>584</v>
      </c>
      <c r="L71" s="17" t="s">
        <v>585</v>
      </c>
      <c r="M71" s="17" t="str">
        <f t="shared" si="24"/>
        <v>c003_11_CV</v>
      </c>
      <c r="N71" s="17" t="s">
        <v>586</v>
      </c>
      <c r="O71" s="17" t="s">
        <v>459</v>
      </c>
      <c r="P71" s="17" t="s">
        <v>587</v>
      </c>
      <c r="Q71" s="17" t="s">
        <v>468</v>
      </c>
      <c r="R71" s="17" t="s">
        <v>588</v>
      </c>
      <c r="S71" s="17" t="s">
        <v>469</v>
      </c>
      <c r="T71" s="17" t="str">
        <f t="shared" si="25"/>
        <v>c003_a_SkeletonData.asset</v>
      </c>
      <c r="U71" s="17" t="s">
        <v>589</v>
      </c>
      <c r="V71" s="17" t="s">
        <v>590</v>
      </c>
      <c r="W71" s="17" t="s">
        <v>29</v>
      </c>
      <c r="X71" s="1">
        <v>1511031</v>
      </c>
      <c r="Y71" s="17" t="s">
        <v>30</v>
      </c>
      <c r="Z71" s="1">
        <v>2511031</v>
      </c>
      <c r="AA71" s="17" t="s">
        <v>31</v>
      </c>
      <c r="AB71" s="1">
        <v>3511031</v>
      </c>
      <c r="AC71" s="17" t="s">
        <v>32</v>
      </c>
      <c r="AD71" s="1">
        <v>4511031</v>
      </c>
      <c r="AE71" s="1"/>
    </row>
    <row r="72" spans="1:31" x14ac:dyDescent="0.3">
      <c r="A72" s="24">
        <f t="shared" si="23"/>
        <v>146411</v>
      </c>
      <c r="B72" s="23" t="s">
        <v>475</v>
      </c>
      <c r="C72" s="62">
        <v>11</v>
      </c>
      <c r="D72" s="25" t="s">
        <v>455</v>
      </c>
      <c r="E72" s="17">
        <v>14640102</v>
      </c>
      <c r="F72" s="23" t="s">
        <v>476</v>
      </c>
      <c r="G72" s="23" t="s">
        <v>457</v>
      </c>
      <c r="H72" s="23" t="s">
        <v>477</v>
      </c>
      <c r="J72" s="17" t="s">
        <v>591</v>
      </c>
      <c r="K72" s="17" t="s">
        <v>592</v>
      </c>
      <c r="L72" s="17" t="s">
        <v>593</v>
      </c>
      <c r="M72" s="17" t="str">
        <f t="shared" si="24"/>
        <v>c464_11_CV</v>
      </c>
      <c r="N72" s="17" t="s">
        <v>594</v>
      </c>
      <c r="O72" s="17" t="s">
        <v>459</v>
      </c>
      <c r="P72" s="17" t="s">
        <v>478</v>
      </c>
      <c r="Q72" s="17" t="s">
        <v>468</v>
      </c>
      <c r="R72" s="17" t="s">
        <v>595</v>
      </c>
      <c r="S72" s="17" t="s">
        <v>469</v>
      </c>
      <c r="T72" s="17" t="str">
        <f t="shared" si="25"/>
        <v>c464_a_SkeletonData.asset</v>
      </c>
      <c r="U72" s="17" t="s">
        <v>596</v>
      </c>
      <c r="V72" s="17" t="s">
        <v>597</v>
      </c>
      <c r="W72" s="17" t="s">
        <v>29</v>
      </c>
      <c r="X72" s="1">
        <v>1524041</v>
      </c>
      <c r="Y72" s="17" t="s">
        <v>30</v>
      </c>
      <c r="Z72" s="1">
        <v>2524041</v>
      </c>
      <c r="AA72" s="17" t="s">
        <v>31</v>
      </c>
      <c r="AB72" s="1">
        <v>3524041</v>
      </c>
      <c r="AC72" s="17" t="s">
        <v>32</v>
      </c>
      <c r="AD72" s="1">
        <v>4524041</v>
      </c>
      <c r="AE72" s="1"/>
    </row>
    <row r="73" spans="1:31" x14ac:dyDescent="0.3">
      <c r="A73" s="24">
        <f t="shared" si="23"/>
        <v>135311</v>
      </c>
      <c r="B73" s="23" t="s">
        <v>479</v>
      </c>
      <c r="C73" s="62">
        <v>11</v>
      </c>
      <c r="D73" s="25" t="s">
        <v>455</v>
      </c>
      <c r="E73" s="17">
        <v>13530102</v>
      </c>
      <c r="F73" s="23" t="s">
        <v>480</v>
      </c>
      <c r="G73" s="23" t="s">
        <v>457</v>
      </c>
      <c r="H73" s="23" t="s">
        <v>481</v>
      </c>
      <c r="J73" s="17" t="s">
        <v>598</v>
      </c>
      <c r="K73" s="17" t="s">
        <v>599</v>
      </c>
      <c r="L73" s="17" t="s">
        <v>600</v>
      </c>
      <c r="M73" s="17" t="str">
        <f t="shared" si="24"/>
        <v>c353_11_CV</v>
      </c>
      <c r="N73" s="17" t="s">
        <v>601</v>
      </c>
      <c r="O73" s="17" t="s">
        <v>459</v>
      </c>
      <c r="P73" s="17" t="s">
        <v>602</v>
      </c>
      <c r="Q73" s="17" t="s">
        <v>468</v>
      </c>
      <c r="R73" s="17" t="s">
        <v>603</v>
      </c>
      <c r="S73" s="17" t="s">
        <v>469</v>
      </c>
      <c r="T73" s="17" t="str">
        <f t="shared" si="25"/>
        <v>c353_a_SkeletonData.asset</v>
      </c>
      <c r="U73" s="17" t="s">
        <v>604</v>
      </c>
      <c r="V73" s="17" t="s">
        <v>605</v>
      </c>
      <c r="W73" s="17" t="s">
        <v>29</v>
      </c>
      <c r="X73" s="1">
        <v>1542051</v>
      </c>
      <c r="Y73" s="17" t="s">
        <v>30</v>
      </c>
      <c r="Z73" s="1">
        <v>2542051</v>
      </c>
      <c r="AA73" s="17" t="s">
        <v>31</v>
      </c>
      <c r="AB73" s="1">
        <v>3542051</v>
      </c>
      <c r="AC73" s="17" t="s">
        <v>32</v>
      </c>
      <c r="AD73" s="1">
        <v>4542051</v>
      </c>
      <c r="AE73" s="1"/>
    </row>
    <row r="74" spans="1:31" x14ac:dyDescent="0.3">
      <c r="A74" s="24">
        <f t="shared" si="23"/>
        <v>122911</v>
      </c>
      <c r="B74" s="23" t="s">
        <v>482</v>
      </c>
      <c r="C74" s="62">
        <v>11</v>
      </c>
      <c r="D74" s="25" t="s">
        <v>455</v>
      </c>
      <c r="E74" s="17">
        <v>12290102</v>
      </c>
      <c r="F74" s="23" t="s">
        <v>483</v>
      </c>
      <c r="G74" s="23" t="s">
        <v>457</v>
      </c>
      <c r="H74" s="23" t="s">
        <v>484</v>
      </c>
      <c r="J74" s="17" t="s">
        <v>606</v>
      </c>
      <c r="K74" s="17" t="s">
        <v>607</v>
      </c>
      <c r="L74" s="17" t="s">
        <v>608</v>
      </c>
      <c r="M74" s="17" t="str">
        <f t="shared" si="24"/>
        <v>c229_11_CV</v>
      </c>
      <c r="N74" s="17" t="s">
        <v>609</v>
      </c>
      <c r="O74" s="17" t="s">
        <v>459</v>
      </c>
      <c r="P74" s="17" t="s">
        <v>610</v>
      </c>
      <c r="Q74" s="17" t="s">
        <v>468</v>
      </c>
      <c r="R74" s="17" t="s">
        <v>611</v>
      </c>
      <c r="S74" s="17" t="s">
        <v>469</v>
      </c>
      <c r="T74" s="17" t="str">
        <f t="shared" si="25"/>
        <v>c229_a_SkeletonData.asset</v>
      </c>
      <c r="U74" s="17" t="s">
        <v>612</v>
      </c>
      <c r="V74" s="17" t="s">
        <v>613</v>
      </c>
      <c r="W74" s="17" t="s">
        <v>29</v>
      </c>
      <c r="X74" s="1">
        <v>1534061</v>
      </c>
      <c r="Y74" s="17" t="s">
        <v>30</v>
      </c>
      <c r="Z74" s="1">
        <v>2534061</v>
      </c>
      <c r="AA74" s="17" t="s">
        <v>31</v>
      </c>
      <c r="AB74" s="1">
        <v>3534061</v>
      </c>
      <c r="AC74" s="17" t="s">
        <v>32</v>
      </c>
      <c r="AD74" s="1">
        <v>4534061</v>
      </c>
      <c r="AE74" s="1"/>
    </row>
    <row r="75" spans="1:31" x14ac:dyDescent="0.3">
      <c r="A75" s="24">
        <f t="shared" si="23"/>
        <v>118011</v>
      </c>
      <c r="B75" s="23" t="s">
        <v>485</v>
      </c>
      <c r="C75" s="62">
        <v>11</v>
      </c>
      <c r="D75" s="25" t="s">
        <v>455</v>
      </c>
      <c r="E75" s="17">
        <v>11800102</v>
      </c>
      <c r="F75" s="23" t="s">
        <v>486</v>
      </c>
      <c r="G75" s="23" t="s">
        <v>457</v>
      </c>
      <c r="H75" s="23" t="s">
        <v>369</v>
      </c>
      <c r="J75" s="17" t="s">
        <v>614</v>
      </c>
      <c r="K75" s="17" t="s">
        <v>615</v>
      </c>
      <c r="L75" s="17" t="s">
        <v>616</v>
      </c>
      <c r="M75" s="17" t="str">
        <f t="shared" si="24"/>
        <v>c180_11_CV</v>
      </c>
      <c r="N75" s="17" t="s">
        <v>617</v>
      </c>
      <c r="O75" s="17" t="s">
        <v>459</v>
      </c>
      <c r="P75" s="17" t="s">
        <v>618</v>
      </c>
      <c r="Q75" s="17" t="s">
        <v>468</v>
      </c>
      <c r="R75" s="17" t="s">
        <v>619</v>
      </c>
      <c r="S75" s="17" t="s">
        <v>469</v>
      </c>
      <c r="T75" s="17" t="str">
        <f t="shared" si="25"/>
        <v>c180_a_SkeletonData.asset</v>
      </c>
      <c r="U75" s="17" t="s">
        <v>620</v>
      </c>
      <c r="V75" s="17" t="s">
        <v>621</v>
      </c>
      <c r="W75" s="17" t="s">
        <v>29</v>
      </c>
      <c r="X75" s="1">
        <v>1532071</v>
      </c>
      <c r="Y75" s="17" t="s">
        <v>30</v>
      </c>
      <c r="Z75" s="1">
        <v>2532071</v>
      </c>
      <c r="AA75" s="17" t="s">
        <v>31</v>
      </c>
      <c r="AB75" s="1">
        <v>3532071</v>
      </c>
      <c r="AC75" s="17" t="s">
        <v>32</v>
      </c>
      <c r="AD75" s="1">
        <v>4532071</v>
      </c>
      <c r="AE75" s="1"/>
    </row>
    <row r="76" spans="1:31" x14ac:dyDescent="0.3">
      <c r="A76" s="24">
        <f t="shared" si="23"/>
        <v>118311</v>
      </c>
      <c r="B76" s="23" t="s">
        <v>487</v>
      </c>
      <c r="C76" s="62">
        <v>11</v>
      </c>
      <c r="D76" s="25" t="s">
        <v>455</v>
      </c>
      <c r="E76" s="17">
        <v>11830102</v>
      </c>
      <c r="F76" s="23" t="s">
        <v>488</v>
      </c>
      <c r="G76" s="23" t="s">
        <v>457</v>
      </c>
      <c r="H76" s="23" t="s">
        <v>489</v>
      </c>
      <c r="J76" s="17" t="s">
        <v>622</v>
      </c>
      <c r="K76" s="17" t="s">
        <v>623</v>
      </c>
      <c r="L76" s="17" t="s">
        <v>624</v>
      </c>
      <c r="M76" s="17" t="str">
        <f t="shared" si="24"/>
        <v>c183_11_CV</v>
      </c>
      <c r="N76" s="17" t="s">
        <v>625</v>
      </c>
      <c r="O76" s="17" t="s">
        <v>459</v>
      </c>
      <c r="P76" s="17" t="s">
        <v>626</v>
      </c>
      <c r="Q76" s="17" t="s">
        <v>468</v>
      </c>
      <c r="R76" s="17" t="s">
        <v>627</v>
      </c>
      <c r="S76" s="17" t="s">
        <v>469</v>
      </c>
      <c r="T76" s="17" t="str">
        <f t="shared" si="25"/>
        <v>c183_a_SkeletonData.asset</v>
      </c>
      <c r="U76" s="17" t="s">
        <v>628</v>
      </c>
      <c r="V76" s="17" t="s">
        <v>629</v>
      </c>
      <c r="W76" s="17" t="s">
        <v>29</v>
      </c>
      <c r="X76" s="1">
        <v>1555081</v>
      </c>
      <c r="Y76" s="17" t="s">
        <v>30</v>
      </c>
      <c r="Z76" s="1">
        <v>2555081</v>
      </c>
      <c r="AA76" s="17" t="s">
        <v>31</v>
      </c>
      <c r="AB76" s="1">
        <v>3555081</v>
      </c>
      <c r="AC76" s="17" t="s">
        <v>32</v>
      </c>
      <c r="AD76" s="1">
        <v>4555081</v>
      </c>
      <c r="AE76" s="1"/>
    </row>
    <row r="77" spans="1:31" x14ac:dyDescent="0.3">
      <c r="A77" s="24">
        <f t="shared" si="23"/>
        <v>105111</v>
      </c>
      <c r="B77" s="23" t="s">
        <v>490</v>
      </c>
      <c r="C77" s="62">
        <v>11</v>
      </c>
      <c r="D77" s="25" t="s">
        <v>455</v>
      </c>
      <c r="E77" s="17">
        <v>10510202</v>
      </c>
      <c r="F77" s="23" t="s">
        <v>491</v>
      </c>
      <c r="G77" s="23" t="s">
        <v>457</v>
      </c>
      <c r="H77" s="23" t="s">
        <v>125</v>
      </c>
      <c r="J77" s="17" t="s">
        <v>630</v>
      </c>
      <c r="K77" s="17" t="s">
        <v>631</v>
      </c>
      <c r="L77" s="17" t="s">
        <v>632</v>
      </c>
      <c r="M77" s="17" t="str">
        <f t="shared" si="24"/>
        <v>c051_11_CV</v>
      </c>
      <c r="N77" s="17" t="s">
        <v>492</v>
      </c>
      <c r="O77" s="17" t="s">
        <v>459</v>
      </c>
      <c r="P77" s="17" t="s">
        <v>633</v>
      </c>
      <c r="Q77" s="17" t="s">
        <v>468</v>
      </c>
      <c r="R77" s="17" t="s">
        <v>634</v>
      </c>
      <c r="S77" s="17" t="s">
        <v>469</v>
      </c>
      <c r="T77" s="17" t="str">
        <f t="shared" si="25"/>
        <v>c051_a_SkeletonData.asset</v>
      </c>
      <c r="U77" s="17" t="s">
        <v>635</v>
      </c>
      <c r="V77" s="17" t="s">
        <v>636</v>
      </c>
      <c r="W77" s="17" t="s">
        <v>29</v>
      </c>
      <c r="X77" s="17">
        <v>1551091</v>
      </c>
      <c r="Y77" s="17" t="s">
        <v>30</v>
      </c>
      <c r="Z77" s="17">
        <v>2551091</v>
      </c>
      <c r="AA77" s="17" t="s">
        <v>31</v>
      </c>
      <c r="AB77" s="17">
        <v>3551091</v>
      </c>
      <c r="AC77" s="17" t="s">
        <v>32</v>
      </c>
      <c r="AD77" s="17">
        <v>4551091</v>
      </c>
    </row>
    <row r="78" spans="1:31" x14ac:dyDescent="0.3">
      <c r="A78" s="24">
        <f t="shared" si="23"/>
        <v>136411</v>
      </c>
      <c r="B78" s="23" t="s">
        <v>493</v>
      </c>
      <c r="C78" s="62">
        <v>11</v>
      </c>
      <c r="D78" s="25" t="s">
        <v>455</v>
      </c>
      <c r="E78" s="17">
        <v>13640102</v>
      </c>
      <c r="F78" s="23" t="s">
        <v>494</v>
      </c>
      <c r="G78" s="23" t="s">
        <v>457</v>
      </c>
      <c r="H78" s="23" t="s">
        <v>495</v>
      </c>
      <c r="J78" s="17" t="s">
        <v>637</v>
      </c>
      <c r="K78" s="17" t="s">
        <v>638</v>
      </c>
      <c r="L78" s="17" t="s">
        <v>639</v>
      </c>
      <c r="M78" s="17" t="str">
        <f t="shared" si="24"/>
        <v>c364_11_CV</v>
      </c>
      <c r="N78" s="17" t="s">
        <v>640</v>
      </c>
      <c r="O78" s="17" t="s">
        <v>459</v>
      </c>
      <c r="P78" s="17" t="s">
        <v>641</v>
      </c>
      <c r="Q78" s="17" t="s">
        <v>468</v>
      </c>
      <c r="R78" s="17" t="s">
        <v>642</v>
      </c>
      <c r="S78" s="17" t="s">
        <v>469</v>
      </c>
      <c r="T78" s="17" t="str">
        <f t="shared" si="25"/>
        <v>c364_a_SkeletonData.asset</v>
      </c>
      <c r="U78" s="17" t="s">
        <v>643</v>
      </c>
      <c r="V78" s="17" t="s">
        <v>644</v>
      </c>
      <c r="W78" s="17" t="s">
        <v>29</v>
      </c>
      <c r="X78" s="17">
        <v>1554101</v>
      </c>
      <c r="Y78" s="17" t="s">
        <v>30</v>
      </c>
      <c r="Z78" s="17">
        <v>2554101</v>
      </c>
      <c r="AA78" s="17" t="s">
        <v>31</v>
      </c>
      <c r="AB78" s="17">
        <v>3554101</v>
      </c>
      <c r="AC78" s="17" t="s">
        <v>32</v>
      </c>
      <c r="AD78" s="17">
        <v>4554101</v>
      </c>
    </row>
    <row r="79" spans="1:31" x14ac:dyDescent="0.3">
      <c r="A79" s="24">
        <f t="shared" si="23"/>
        <v>100211</v>
      </c>
      <c r="B79" s="23" t="s">
        <v>496</v>
      </c>
      <c r="C79" s="62">
        <v>11</v>
      </c>
      <c r="D79" s="25" t="s">
        <v>455</v>
      </c>
      <c r="E79" s="17">
        <v>10020102</v>
      </c>
      <c r="F79" s="23" t="s">
        <v>497</v>
      </c>
      <c r="G79" s="23" t="s">
        <v>457</v>
      </c>
      <c r="H79" s="23" t="s">
        <v>116</v>
      </c>
      <c r="J79" s="17" t="s">
        <v>645</v>
      </c>
      <c r="K79" s="17" t="s">
        <v>646</v>
      </c>
      <c r="L79" s="17" t="s">
        <v>647</v>
      </c>
      <c r="M79" s="17" t="str">
        <f t="shared" si="24"/>
        <v>c002_11_CV</v>
      </c>
      <c r="N79" s="17" t="s">
        <v>648</v>
      </c>
      <c r="O79" s="17" t="s">
        <v>459</v>
      </c>
      <c r="P79" s="17" t="s">
        <v>649</v>
      </c>
      <c r="Q79" s="17" t="s">
        <v>468</v>
      </c>
      <c r="R79" s="17" t="s">
        <v>650</v>
      </c>
      <c r="S79" s="17" t="s">
        <v>469</v>
      </c>
      <c r="T79" s="17" t="str">
        <f t="shared" si="25"/>
        <v>c002_a_SkeletonData.asset</v>
      </c>
      <c r="U79" s="17" t="s">
        <v>651</v>
      </c>
      <c r="V79" s="17" t="s">
        <v>652</v>
      </c>
      <c r="W79" s="17" t="s">
        <v>29</v>
      </c>
      <c r="X79" s="17">
        <v>1325111</v>
      </c>
      <c r="Y79" s="17" t="s">
        <v>30</v>
      </c>
      <c r="Z79" s="17">
        <v>2325111</v>
      </c>
      <c r="AA79" s="17" t="s">
        <v>31</v>
      </c>
      <c r="AB79" s="17">
        <v>3325111</v>
      </c>
      <c r="AC79" s="17" t="s">
        <v>32</v>
      </c>
      <c r="AD79" s="17">
        <v>4325111</v>
      </c>
    </row>
    <row r="80" spans="1:31" x14ac:dyDescent="0.3">
      <c r="A80" s="24">
        <f t="shared" si="23"/>
        <v>141711</v>
      </c>
      <c r="B80" s="23" t="s">
        <v>498</v>
      </c>
      <c r="C80" s="62">
        <v>11</v>
      </c>
      <c r="D80" s="25" t="s">
        <v>455</v>
      </c>
      <c r="E80" s="17">
        <v>14170102</v>
      </c>
      <c r="F80" s="23" t="s">
        <v>499</v>
      </c>
      <c r="G80" s="23" t="s">
        <v>457</v>
      </c>
      <c r="H80" s="23" t="s">
        <v>131</v>
      </c>
      <c r="J80" s="17" t="s">
        <v>653</v>
      </c>
      <c r="K80" s="17" t="s">
        <v>654</v>
      </c>
      <c r="L80" s="17" t="s">
        <v>655</v>
      </c>
      <c r="M80" s="17" t="str">
        <f t="shared" si="24"/>
        <v>c417_11_CV</v>
      </c>
      <c r="N80" s="17" t="s">
        <v>656</v>
      </c>
      <c r="O80" s="17" t="s">
        <v>459</v>
      </c>
      <c r="P80" s="17" t="s">
        <v>657</v>
      </c>
      <c r="Q80" s="17" t="s">
        <v>468</v>
      </c>
      <c r="R80" s="17" t="s">
        <v>658</v>
      </c>
      <c r="S80" s="17" t="s">
        <v>469</v>
      </c>
      <c r="T80" s="17" t="str">
        <f t="shared" si="25"/>
        <v>c417_a_SkeletonData.asset</v>
      </c>
      <c r="U80" s="17" t="s">
        <v>659</v>
      </c>
      <c r="V80" s="17" t="s">
        <v>660</v>
      </c>
      <c r="W80" s="17" t="s">
        <v>29</v>
      </c>
      <c r="X80" s="17">
        <v>1313121</v>
      </c>
      <c r="Y80" s="17" t="s">
        <v>30</v>
      </c>
      <c r="Z80" s="17">
        <v>2313121</v>
      </c>
      <c r="AA80" s="17" t="s">
        <v>31</v>
      </c>
      <c r="AB80" s="17">
        <v>3313121</v>
      </c>
      <c r="AC80" s="17" t="s">
        <v>32</v>
      </c>
      <c r="AD80" s="17">
        <v>4313121</v>
      </c>
    </row>
    <row r="81" spans="1:30" x14ac:dyDescent="0.3">
      <c r="A81" s="24">
        <f t="shared" si="23"/>
        <v>143211</v>
      </c>
      <c r="B81" s="23" t="s">
        <v>500</v>
      </c>
      <c r="C81" s="62">
        <v>11</v>
      </c>
      <c r="D81" s="25" t="s">
        <v>455</v>
      </c>
      <c r="E81" s="17">
        <v>14320102</v>
      </c>
      <c r="F81" s="23" t="s">
        <v>501</v>
      </c>
      <c r="G81" s="23" t="s">
        <v>457</v>
      </c>
      <c r="H81" s="23" t="s">
        <v>123</v>
      </c>
      <c r="J81" s="17" t="s">
        <v>661</v>
      </c>
      <c r="K81" s="17" t="s">
        <v>662</v>
      </c>
      <c r="L81" s="17" t="s">
        <v>663</v>
      </c>
      <c r="M81" s="17" t="str">
        <f t="shared" si="24"/>
        <v>c432_11_CV</v>
      </c>
      <c r="N81" s="17" t="s">
        <v>664</v>
      </c>
      <c r="O81" s="17" t="s">
        <v>459</v>
      </c>
      <c r="P81" s="17" t="s">
        <v>665</v>
      </c>
      <c r="Q81" s="17" t="s">
        <v>468</v>
      </c>
      <c r="R81" s="17" t="s">
        <v>666</v>
      </c>
      <c r="S81" s="17" t="s">
        <v>469</v>
      </c>
      <c r="T81" s="17" t="str">
        <f t="shared" si="25"/>
        <v>c432_a_SkeletonData.asset</v>
      </c>
      <c r="U81" s="17" t="s">
        <v>667</v>
      </c>
      <c r="V81" s="17" t="s">
        <v>668</v>
      </c>
      <c r="W81" s="17" t="s">
        <v>29</v>
      </c>
      <c r="X81" s="17">
        <v>1351161</v>
      </c>
      <c r="Y81" s="17" t="s">
        <v>30</v>
      </c>
      <c r="Z81" s="17">
        <v>2351161</v>
      </c>
      <c r="AA81" s="17" t="s">
        <v>31</v>
      </c>
      <c r="AB81" s="17">
        <v>3351161</v>
      </c>
      <c r="AC81" s="17" t="s">
        <v>32</v>
      </c>
      <c r="AD81" s="17">
        <v>4351161</v>
      </c>
    </row>
    <row r="82" spans="1:30" x14ac:dyDescent="0.3">
      <c r="A82" s="24">
        <f t="shared" si="23"/>
        <v>148611</v>
      </c>
      <c r="B82" s="23" t="s">
        <v>502</v>
      </c>
      <c r="C82" s="62">
        <v>11</v>
      </c>
      <c r="D82" s="25" t="s">
        <v>455</v>
      </c>
      <c r="E82" s="17">
        <v>14860102</v>
      </c>
      <c r="F82" s="23" t="s">
        <v>503</v>
      </c>
      <c r="G82" s="23" t="s">
        <v>457</v>
      </c>
      <c r="H82" s="23" t="s">
        <v>126</v>
      </c>
      <c r="J82" s="17" t="s">
        <v>669</v>
      </c>
      <c r="K82" s="17" t="s">
        <v>670</v>
      </c>
      <c r="L82" s="17" t="s">
        <v>671</v>
      </c>
      <c r="M82" s="17" t="str">
        <f t="shared" si="24"/>
        <v>c486_11_CV</v>
      </c>
      <c r="N82" s="17" t="s">
        <v>672</v>
      </c>
      <c r="O82" s="17" t="s">
        <v>459</v>
      </c>
      <c r="P82" s="17" t="s">
        <v>673</v>
      </c>
      <c r="Q82" s="17" t="s">
        <v>468</v>
      </c>
      <c r="R82" s="17" t="s">
        <v>674</v>
      </c>
      <c r="S82" s="17" t="s">
        <v>469</v>
      </c>
      <c r="T82" s="17" t="str">
        <f t="shared" si="25"/>
        <v>c486_a_SkeletonData.asset</v>
      </c>
      <c r="U82" s="17" t="s">
        <v>675</v>
      </c>
      <c r="V82" s="17" t="s">
        <v>676</v>
      </c>
      <c r="W82" s="17" t="s">
        <v>29</v>
      </c>
      <c r="X82" s="17">
        <v>1353141</v>
      </c>
      <c r="Y82" s="17" t="s">
        <v>30</v>
      </c>
      <c r="Z82" s="17">
        <v>2353141</v>
      </c>
      <c r="AA82" s="17" t="s">
        <v>31</v>
      </c>
      <c r="AB82" s="17">
        <v>3353141</v>
      </c>
      <c r="AC82" s="17" t="s">
        <v>32</v>
      </c>
      <c r="AD82" s="17">
        <v>4353141</v>
      </c>
    </row>
    <row r="83" spans="1:30" x14ac:dyDescent="0.3">
      <c r="A83" s="24">
        <f t="shared" si="23"/>
        <v>129411</v>
      </c>
      <c r="B83" s="23" t="s">
        <v>504</v>
      </c>
      <c r="C83" s="62">
        <v>11</v>
      </c>
      <c r="D83" s="25" t="s">
        <v>455</v>
      </c>
      <c r="E83" s="17">
        <v>12940102</v>
      </c>
      <c r="F83" s="23" t="s">
        <v>505</v>
      </c>
      <c r="G83" s="23" t="s">
        <v>457</v>
      </c>
      <c r="H83" s="23" t="s">
        <v>124</v>
      </c>
      <c r="J83" s="17" t="s">
        <v>677</v>
      </c>
      <c r="K83" s="17" t="s">
        <v>678</v>
      </c>
      <c r="L83" s="17" t="s">
        <v>679</v>
      </c>
      <c r="M83" s="17" t="str">
        <f t="shared" si="24"/>
        <v>c294_11_CV</v>
      </c>
      <c r="N83" s="17" t="s">
        <v>680</v>
      </c>
      <c r="O83" s="17" t="s">
        <v>459</v>
      </c>
      <c r="P83" s="17" t="s">
        <v>681</v>
      </c>
      <c r="Q83" s="17" t="s">
        <v>468</v>
      </c>
      <c r="R83" s="17" t="s">
        <v>682</v>
      </c>
      <c r="S83" s="17" t="s">
        <v>469</v>
      </c>
      <c r="T83" s="17" t="str">
        <f t="shared" si="25"/>
        <v>c294_a_SkeletonData.asset</v>
      </c>
      <c r="U83" s="17" t="s">
        <v>683</v>
      </c>
      <c r="V83" s="17" t="s">
        <v>684</v>
      </c>
      <c r="W83" s="17" t="s">
        <v>29</v>
      </c>
      <c r="X83" s="17">
        <v>1333131</v>
      </c>
      <c r="Y83" s="17" t="s">
        <v>30</v>
      </c>
      <c r="Z83" s="17">
        <v>2333131</v>
      </c>
      <c r="AA83" s="17" t="s">
        <v>31</v>
      </c>
      <c r="AB83" s="17">
        <v>3333131</v>
      </c>
      <c r="AC83" s="17" t="s">
        <v>32</v>
      </c>
      <c r="AD83" s="17">
        <v>4333131</v>
      </c>
    </row>
    <row r="84" spans="1:30" x14ac:dyDescent="0.3">
      <c r="A84" s="24">
        <f t="shared" si="23"/>
        <v>150111</v>
      </c>
      <c r="B84" s="23" t="s">
        <v>506</v>
      </c>
      <c r="C84" s="62">
        <v>11</v>
      </c>
      <c r="D84" s="25" t="s">
        <v>455</v>
      </c>
      <c r="E84" s="17">
        <v>15010102</v>
      </c>
      <c r="F84" s="23" t="s">
        <v>507</v>
      </c>
      <c r="G84" s="23" t="s">
        <v>457</v>
      </c>
      <c r="H84" s="23" t="s">
        <v>132</v>
      </c>
      <c r="J84" s="17" t="s">
        <v>685</v>
      </c>
      <c r="K84" s="17" t="s">
        <v>686</v>
      </c>
      <c r="L84" s="17" t="s">
        <v>687</v>
      </c>
      <c r="M84" s="17" t="str">
        <f t="shared" si="24"/>
        <v>c501_11_CV</v>
      </c>
      <c r="N84" s="17" t="s">
        <v>688</v>
      </c>
      <c r="O84" s="17" t="s">
        <v>459</v>
      </c>
      <c r="P84" s="17" t="s">
        <v>689</v>
      </c>
      <c r="Q84" s="17" t="s">
        <v>468</v>
      </c>
      <c r="R84" s="17" t="s">
        <v>690</v>
      </c>
      <c r="S84" s="17" t="s">
        <v>469</v>
      </c>
      <c r="T84" s="17" t="str">
        <f t="shared" si="25"/>
        <v>c501_a_SkeletonData.asset</v>
      </c>
      <c r="U84" s="17" t="s">
        <v>691</v>
      </c>
      <c r="V84" s="17" t="s">
        <v>692</v>
      </c>
      <c r="W84" s="17" t="s">
        <v>29</v>
      </c>
      <c r="X84" s="17">
        <v>1311151</v>
      </c>
      <c r="Y84" s="17" t="s">
        <v>30</v>
      </c>
      <c r="Z84" s="17">
        <v>2311151</v>
      </c>
      <c r="AA84" s="17" t="s">
        <v>31</v>
      </c>
      <c r="AB84" s="17">
        <v>3311151</v>
      </c>
      <c r="AC84" s="17" t="s">
        <v>32</v>
      </c>
      <c r="AD84" s="17">
        <v>4311151</v>
      </c>
    </row>
    <row r="85" spans="1:30" x14ac:dyDescent="0.3">
      <c r="A85" s="24">
        <f t="shared" si="23"/>
        <v>100111</v>
      </c>
      <c r="B85" s="23" t="s">
        <v>508</v>
      </c>
      <c r="C85" s="62">
        <v>11</v>
      </c>
      <c r="D85" s="25" t="s">
        <v>455</v>
      </c>
      <c r="E85" s="17">
        <v>10010102</v>
      </c>
      <c r="F85" s="23" t="s">
        <v>509</v>
      </c>
      <c r="G85" s="23" t="s">
        <v>457</v>
      </c>
      <c r="H85" s="23" t="s">
        <v>98</v>
      </c>
      <c r="J85" s="17" t="s">
        <v>693</v>
      </c>
      <c r="K85" s="17" t="s">
        <v>694</v>
      </c>
      <c r="L85" s="17" t="s">
        <v>695</v>
      </c>
      <c r="M85" s="17" t="str">
        <f t="shared" si="24"/>
        <v>c001_11_CV</v>
      </c>
      <c r="N85" s="17" t="s">
        <v>696</v>
      </c>
      <c r="O85" s="17" t="s">
        <v>459</v>
      </c>
      <c r="P85" s="17" t="s">
        <v>697</v>
      </c>
      <c r="Q85" s="17" t="s">
        <v>468</v>
      </c>
      <c r="R85" s="17" t="s">
        <v>698</v>
      </c>
      <c r="S85" s="17" t="s">
        <v>469</v>
      </c>
      <c r="T85" s="17" t="str">
        <f t="shared" si="25"/>
        <v>c001_a_SkeletonData.asset</v>
      </c>
      <c r="U85" s="17" t="s">
        <v>699</v>
      </c>
      <c r="V85" s="17" t="s">
        <v>700</v>
      </c>
      <c r="W85" s="17" t="s">
        <v>29</v>
      </c>
      <c r="X85" s="17">
        <v>1552111</v>
      </c>
      <c r="Y85" s="17" t="s">
        <v>30</v>
      </c>
      <c r="Z85" s="17">
        <v>2552111</v>
      </c>
      <c r="AA85" s="17" t="s">
        <v>31</v>
      </c>
      <c r="AB85" s="17">
        <v>3552111</v>
      </c>
      <c r="AC85" s="17" t="s">
        <v>32</v>
      </c>
      <c r="AD85" s="17">
        <v>4552111</v>
      </c>
    </row>
    <row r="86" spans="1:30" x14ac:dyDescent="0.3">
      <c r="A86" s="24">
        <f t="shared" si="23"/>
        <v>150211</v>
      </c>
      <c r="B86" s="23" t="s">
        <v>510</v>
      </c>
      <c r="C86" s="62">
        <v>11</v>
      </c>
      <c r="D86" s="25" t="s">
        <v>455</v>
      </c>
      <c r="E86" s="17">
        <v>15020102</v>
      </c>
      <c r="F86" s="23" t="s">
        <v>511</v>
      </c>
      <c r="G86" s="23" t="s">
        <v>457</v>
      </c>
      <c r="H86" s="23" t="s">
        <v>153</v>
      </c>
      <c r="J86" s="17" t="s">
        <v>701</v>
      </c>
      <c r="K86" s="17" t="s">
        <v>702</v>
      </c>
      <c r="L86" s="17" t="s">
        <v>703</v>
      </c>
      <c r="M86" s="17" t="str">
        <f t="shared" si="24"/>
        <v>c502_11_CV</v>
      </c>
      <c r="N86" s="17" t="s">
        <v>704</v>
      </c>
      <c r="O86" s="17" t="s">
        <v>459</v>
      </c>
      <c r="P86" s="17" t="s">
        <v>705</v>
      </c>
      <c r="Q86" s="17" t="s">
        <v>468</v>
      </c>
      <c r="R86" s="17" t="s">
        <v>706</v>
      </c>
      <c r="S86" s="17" t="s">
        <v>469</v>
      </c>
      <c r="T86" s="17" t="str">
        <f t="shared" si="25"/>
        <v>c502_a_SkeletonData.asset</v>
      </c>
      <c r="U86" s="17" t="s">
        <v>707</v>
      </c>
      <c r="V86" s="17" t="s">
        <v>708</v>
      </c>
      <c r="W86" s="17" t="s">
        <v>29</v>
      </c>
      <c r="X86" s="17">
        <v>1321171</v>
      </c>
      <c r="Y86" s="17" t="s">
        <v>30</v>
      </c>
      <c r="Z86" s="17">
        <v>2321171</v>
      </c>
      <c r="AA86" s="17" t="s">
        <v>31</v>
      </c>
      <c r="AB86" s="17">
        <v>3321171</v>
      </c>
      <c r="AC86" s="17" t="s">
        <v>32</v>
      </c>
      <c r="AD86" s="17">
        <v>4321171</v>
      </c>
    </row>
    <row r="87" spans="1:30" x14ac:dyDescent="0.3">
      <c r="A87" s="24">
        <f t="shared" si="23"/>
        <v>141211</v>
      </c>
      <c r="B87" s="23" t="s">
        <v>512</v>
      </c>
      <c r="C87" s="62">
        <v>11</v>
      </c>
      <c r="D87" s="25" t="s">
        <v>455</v>
      </c>
      <c r="E87" s="17">
        <v>14120102</v>
      </c>
      <c r="F87" s="23" t="s">
        <v>513</v>
      </c>
      <c r="G87" s="23" t="s">
        <v>457</v>
      </c>
      <c r="H87" s="23" t="s">
        <v>103</v>
      </c>
      <c r="J87" s="17" t="s">
        <v>709</v>
      </c>
      <c r="K87" s="17" t="s">
        <v>710</v>
      </c>
      <c r="L87" s="17" t="s">
        <v>711</v>
      </c>
      <c r="M87" s="17" t="str">
        <f t="shared" si="24"/>
        <v>c412_11_CV</v>
      </c>
      <c r="N87" s="17" t="s">
        <v>712</v>
      </c>
      <c r="O87" s="17" t="s">
        <v>459</v>
      </c>
      <c r="P87" s="17" t="s">
        <v>713</v>
      </c>
      <c r="Q87" s="17" t="s">
        <v>468</v>
      </c>
      <c r="R87" s="17" t="s">
        <v>714</v>
      </c>
      <c r="S87" s="17" t="s">
        <v>469</v>
      </c>
      <c r="T87" s="17" t="str">
        <f t="shared" si="25"/>
        <v>c412_a_SkeletonData.asset</v>
      </c>
      <c r="U87" s="17" t="s">
        <v>715</v>
      </c>
      <c r="V87" s="17" t="s">
        <v>716</v>
      </c>
      <c r="W87" s="17" t="s">
        <v>29</v>
      </c>
      <c r="X87" s="17">
        <v>1311181</v>
      </c>
      <c r="Y87" s="17" t="s">
        <v>30</v>
      </c>
      <c r="Z87" s="17">
        <v>2311181</v>
      </c>
      <c r="AA87" s="17" t="s">
        <v>31</v>
      </c>
      <c r="AB87" s="17">
        <v>3311181</v>
      </c>
      <c r="AC87" s="17" t="s">
        <v>32</v>
      </c>
      <c r="AD87" s="17">
        <v>4311181</v>
      </c>
    </row>
    <row r="88" spans="1:30" x14ac:dyDescent="0.3">
      <c r="A88" s="24">
        <f t="shared" si="23"/>
        <v>115611</v>
      </c>
      <c r="B88" s="23" t="s">
        <v>514</v>
      </c>
      <c r="C88" s="62">
        <v>11</v>
      </c>
      <c r="D88" s="25" t="s">
        <v>455</v>
      </c>
      <c r="E88" s="17">
        <v>11560102</v>
      </c>
      <c r="F88" s="23" t="s">
        <v>515</v>
      </c>
      <c r="G88" s="23" t="s">
        <v>457</v>
      </c>
      <c r="H88" s="23" t="s">
        <v>100</v>
      </c>
      <c r="J88" s="17" t="s">
        <v>717</v>
      </c>
      <c r="K88" s="17" t="s">
        <v>718</v>
      </c>
      <c r="L88" s="17" t="s">
        <v>719</v>
      </c>
      <c r="M88" s="17" t="str">
        <f t="shared" si="24"/>
        <v>c156_11_CV</v>
      </c>
      <c r="N88" s="17" t="s">
        <v>720</v>
      </c>
      <c r="O88" s="17" t="s">
        <v>459</v>
      </c>
      <c r="P88" s="17" t="s">
        <v>721</v>
      </c>
      <c r="Q88" s="17" t="s">
        <v>468</v>
      </c>
      <c r="R88" s="17" t="s">
        <v>722</v>
      </c>
      <c r="S88" s="17" t="s">
        <v>469</v>
      </c>
      <c r="T88" s="17" t="str">
        <f t="shared" si="25"/>
        <v>c156_a_SkeletonData.asset</v>
      </c>
      <c r="U88" s="17" t="s">
        <v>723</v>
      </c>
      <c r="V88" s="17" t="s">
        <v>724</v>
      </c>
      <c r="W88" s="17" t="s">
        <v>29</v>
      </c>
      <c r="X88" s="17">
        <v>1351191</v>
      </c>
      <c r="Y88" s="17" t="s">
        <v>30</v>
      </c>
      <c r="Z88" s="17">
        <v>2351191</v>
      </c>
      <c r="AA88" s="17" t="s">
        <v>31</v>
      </c>
      <c r="AB88" s="17">
        <v>3351191</v>
      </c>
      <c r="AC88" s="17" t="s">
        <v>32</v>
      </c>
      <c r="AD88" s="17">
        <v>4351191</v>
      </c>
    </row>
    <row r="89" spans="1:30" x14ac:dyDescent="0.3">
      <c r="A89" s="24">
        <f t="shared" si="23"/>
        <v>131811</v>
      </c>
      <c r="B89" s="23" t="s">
        <v>516</v>
      </c>
      <c r="C89" s="62">
        <v>11</v>
      </c>
      <c r="D89" s="25" t="s">
        <v>455</v>
      </c>
      <c r="E89" s="17">
        <v>13180102</v>
      </c>
      <c r="F89" s="23" t="s">
        <v>517</v>
      </c>
      <c r="G89" s="23" t="s">
        <v>457</v>
      </c>
      <c r="H89" s="23" t="s">
        <v>156</v>
      </c>
      <c r="J89" s="17" t="s">
        <v>725</v>
      </c>
      <c r="K89" s="17" t="s">
        <v>726</v>
      </c>
      <c r="L89" s="17" t="s">
        <v>727</v>
      </c>
      <c r="M89" s="17" t="str">
        <f t="shared" si="24"/>
        <v>c318_11_CV</v>
      </c>
      <c r="N89" s="17" t="s">
        <v>728</v>
      </c>
      <c r="O89" s="17" t="s">
        <v>459</v>
      </c>
      <c r="P89" s="17" t="s">
        <v>729</v>
      </c>
      <c r="Q89" s="17" t="s">
        <v>468</v>
      </c>
      <c r="R89" s="17" t="s">
        <v>730</v>
      </c>
      <c r="S89" s="17" t="s">
        <v>469</v>
      </c>
      <c r="T89" s="17" t="str">
        <f t="shared" si="25"/>
        <v>c318_a_SkeletonData.asset</v>
      </c>
      <c r="U89" s="17" t="s">
        <v>731</v>
      </c>
      <c r="V89" s="17" t="s">
        <v>732</v>
      </c>
      <c r="W89" s="17" t="s">
        <v>29</v>
      </c>
      <c r="X89" s="17">
        <v>1321201</v>
      </c>
      <c r="Y89" s="17" t="s">
        <v>30</v>
      </c>
      <c r="Z89" s="17">
        <v>2321201</v>
      </c>
      <c r="AA89" s="17" t="s">
        <v>31</v>
      </c>
      <c r="AB89" s="17">
        <v>3321201</v>
      </c>
      <c r="AC89" s="17" t="s">
        <v>32</v>
      </c>
      <c r="AD89" s="17">
        <v>4321201</v>
      </c>
    </row>
    <row r="90" spans="1:30" x14ac:dyDescent="0.3">
      <c r="A90" s="24">
        <f t="shared" si="23"/>
        <v>152511</v>
      </c>
      <c r="B90" s="23" t="s">
        <v>518</v>
      </c>
      <c r="C90" s="62">
        <v>11</v>
      </c>
      <c r="D90" s="25" t="s">
        <v>455</v>
      </c>
      <c r="E90" s="17">
        <v>15250102</v>
      </c>
      <c r="F90" s="23" t="s">
        <v>519</v>
      </c>
      <c r="G90" s="23" t="s">
        <v>457</v>
      </c>
      <c r="H90" s="23" t="s">
        <v>139</v>
      </c>
      <c r="J90" s="17" t="s">
        <v>733</v>
      </c>
      <c r="K90" s="17" t="s">
        <v>734</v>
      </c>
      <c r="L90" s="17" t="s">
        <v>735</v>
      </c>
      <c r="M90" s="17" t="str">
        <f t="shared" si="24"/>
        <v>c525_11_CV</v>
      </c>
      <c r="N90" s="17" t="s">
        <v>736</v>
      </c>
      <c r="O90" s="17" t="s">
        <v>459</v>
      </c>
      <c r="P90" s="17" t="s">
        <v>737</v>
      </c>
      <c r="Q90" s="17" t="s">
        <v>468</v>
      </c>
      <c r="R90" s="17" t="s">
        <v>738</v>
      </c>
      <c r="S90" s="17" t="s">
        <v>469</v>
      </c>
      <c r="T90" s="17" t="str">
        <f t="shared" si="25"/>
        <v>c525_a_SkeletonData.asset</v>
      </c>
      <c r="U90" s="17" t="s">
        <v>739</v>
      </c>
      <c r="V90" s="17" t="s">
        <v>740</v>
      </c>
      <c r="W90" s="17" t="s">
        <v>29</v>
      </c>
      <c r="X90" s="17">
        <v>1334211</v>
      </c>
      <c r="Y90" s="17" t="s">
        <v>30</v>
      </c>
      <c r="Z90" s="17">
        <v>2334211</v>
      </c>
      <c r="AA90" s="17" t="s">
        <v>31</v>
      </c>
      <c r="AB90" s="17">
        <v>3334211</v>
      </c>
      <c r="AC90" s="17" t="s">
        <v>32</v>
      </c>
      <c r="AD90" s="17">
        <v>4334211</v>
      </c>
    </row>
    <row r="91" spans="1:30" x14ac:dyDescent="0.3">
      <c r="A91" s="24">
        <f t="shared" si="23"/>
        <v>144211</v>
      </c>
      <c r="B91" s="23" t="s">
        <v>520</v>
      </c>
      <c r="C91" s="62">
        <v>11</v>
      </c>
      <c r="D91" s="25" t="s">
        <v>455</v>
      </c>
      <c r="E91" s="17">
        <v>14420102</v>
      </c>
      <c r="F91" s="23" t="s">
        <v>521</v>
      </c>
      <c r="G91" s="23" t="s">
        <v>457</v>
      </c>
      <c r="H91" s="23" t="s">
        <v>157</v>
      </c>
      <c r="J91" s="17" t="s">
        <v>741</v>
      </c>
      <c r="K91" s="17" t="s">
        <v>742</v>
      </c>
      <c r="L91" s="17" t="s">
        <v>743</v>
      </c>
      <c r="M91" s="17" t="str">
        <f t="shared" si="24"/>
        <v>c442_11_CV</v>
      </c>
      <c r="N91" s="17" t="s">
        <v>744</v>
      </c>
      <c r="O91" s="17" t="s">
        <v>459</v>
      </c>
      <c r="P91" s="17" t="s">
        <v>745</v>
      </c>
      <c r="Q91" s="17" t="s">
        <v>468</v>
      </c>
      <c r="R91" s="17" t="s">
        <v>746</v>
      </c>
      <c r="S91" s="17" t="s">
        <v>469</v>
      </c>
      <c r="T91" s="17" t="str">
        <f t="shared" si="25"/>
        <v>c442_a_SkeletonData.asset</v>
      </c>
      <c r="U91" s="17" t="s">
        <v>747</v>
      </c>
      <c r="V91" s="17" t="s">
        <v>748</v>
      </c>
      <c r="W91" s="17" t="s">
        <v>29</v>
      </c>
      <c r="X91" s="17">
        <v>1321221</v>
      </c>
      <c r="Y91" s="17" t="s">
        <v>30</v>
      </c>
      <c r="Z91" s="17">
        <v>2321221</v>
      </c>
      <c r="AA91" s="17" t="s">
        <v>31</v>
      </c>
      <c r="AB91" s="17">
        <v>3321221</v>
      </c>
      <c r="AC91" s="17" t="s">
        <v>32</v>
      </c>
      <c r="AD91" s="17">
        <v>4321221</v>
      </c>
    </row>
    <row r="92" spans="1:30" x14ac:dyDescent="0.3">
      <c r="A92" s="24">
        <f t="shared" si="23"/>
        <v>119411</v>
      </c>
      <c r="B92" s="23" t="s">
        <v>522</v>
      </c>
      <c r="C92" s="62">
        <v>11</v>
      </c>
      <c r="D92" s="25" t="s">
        <v>455</v>
      </c>
      <c r="E92" s="17">
        <v>11940102</v>
      </c>
      <c r="F92" s="23" t="s">
        <v>523</v>
      </c>
      <c r="G92" s="23" t="s">
        <v>457</v>
      </c>
      <c r="H92" s="23" t="s">
        <v>146</v>
      </c>
      <c r="J92" s="17" t="s">
        <v>749</v>
      </c>
      <c r="K92" s="17" t="s">
        <v>750</v>
      </c>
      <c r="L92" s="17" t="s">
        <v>751</v>
      </c>
      <c r="M92" s="17" t="str">
        <f t="shared" si="24"/>
        <v>c194_11_CV</v>
      </c>
      <c r="N92" s="17" t="s">
        <v>752</v>
      </c>
      <c r="O92" s="17" t="s">
        <v>459</v>
      </c>
      <c r="P92" s="17" t="s">
        <v>753</v>
      </c>
      <c r="Q92" s="17" t="s">
        <v>468</v>
      </c>
      <c r="R92" s="17" t="s">
        <v>754</v>
      </c>
      <c r="S92" s="17" t="s">
        <v>469</v>
      </c>
      <c r="T92" s="17" t="str">
        <f t="shared" si="25"/>
        <v>c194_a_SkeletonData.asset</v>
      </c>
      <c r="U92" s="17" t="s">
        <v>755</v>
      </c>
      <c r="V92" s="17" t="s">
        <v>756</v>
      </c>
      <c r="W92" s="17" t="s">
        <v>29</v>
      </c>
      <c r="X92" s="17">
        <v>1341231</v>
      </c>
      <c r="Y92" s="17" t="s">
        <v>30</v>
      </c>
      <c r="Z92" s="17">
        <v>2341231</v>
      </c>
      <c r="AA92" s="17" t="s">
        <v>31</v>
      </c>
      <c r="AB92" s="17">
        <v>3341231</v>
      </c>
      <c r="AC92" s="17" t="s">
        <v>32</v>
      </c>
      <c r="AD92" s="17">
        <v>4341231</v>
      </c>
    </row>
    <row r="93" spans="1:30" x14ac:dyDescent="0.3">
      <c r="A93" s="24">
        <f t="shared" si="23"/>
        <v>112411</v>
      </c>
      <c r="B93" s="23" t="s">
        <v>524</v>
      </c>
      <c r="C93" s="62">
        <v>11</v>
      </c>
      <c r="D93" s="25" t="s">
        <v>455</v>
      </c>
      <c r="E93" s="17">
        <v>11240102</v>
      </c>
      <c r="F93" s="23" t="s">
        <v>525</v>
      </c>
      <c r="G93" s="23" t="s">
        <v>457</v>
      </c>
      <c r="H93" s="23" t="s">
        <v>154</v>
      </c>
      <c r="J93" s="17" t="s">
        <v>757</v>
      </c>
      <c r="K93" s="17" t="s">
        <v>758</v>
      </c>
      <c r="L93" s="17" t="s">
        <v>759</v>
      </c>
      <c r="M93" s="17" t="str">
        <f t="shared" si="24"/>
        <v>c124_11_CV</v>
      </c>
      <c r="N93" s="17" t="s">
        <v>760</v>
      </c>
      <c r="O93" s="17" t="s">
        <v>459</v>
      </c>
      <c r="P93" s="17" t="s">
        <v>761</v>
      </c>
      <c r="Q93" s="17" t="s">
        <v>468</v>
      </c>
      <c r="R93" s="17" t="s">
        <v>762</v>
      </c>
      <c r="S93" s="17" t="s">
        <v>469</v>
      </c>
      <c r="T93" s="17" t="str">
        <f t="shared" si="25"/>
        <v>c124_a_SkeletonData.asset</v>
      </c>
      <c r="U93" s="17" t="s">
        <v>763</v>
      </c>
      <c r="V93" s="17" t="s">
        <v>764</v>
      </c>
      <c r="W93" s="17" t="s">
        <v>29</v>
      </c>
      <c r="X93" s="17">
        <v>1321241</v>
      </c>
      <c r="Y93" s="17" t="s">
        <v>30</v>
      </c>
      <c r="Z93" s="17">
        <v>2321241</v>
      </c>
      <c r="AA93" s="17" t="s">
        <v>31</v>
      </c>
      <c r="AB93" s="17">
        <v>3321241</v>
      </c>
      <c r="AC93" s="17" t="s">
        <v>32</v>
      </c>
      <c r="AD93" s="17">
        <v>4321241</v>
      </c>
    </row>
    <row r="94" spans="1:30" x14ac:dyDescent="0.3">
      <c r="A94" s="24">
        <f t="shared" si="23"/>
        <v>133611</v>
      </c>
      <c r="B94" s="23" t="s">
        <v>526</v>
      </c>
      <c r="C94" s="62">
        <v>11</v>
      </c>
      <c r="D94" s="25" t="s">
        <v>455</v>
      </c>
      <c r="E94" s="17">
        <v>13360102</v>
      </c>
      <c r="F94" s="23" t="s">
        <v>527</v>
      </c>
      <c r="G94" s="23" t="s">
        <v>457</v>
      </c>
      <c r="H94" s="23" t="s">
        <v>140</v>
      </c>
      <c r="J94" s="17" t="s">
        <v>765</v>
      </c>
      <c r="K94" s="17" t="s">
        <v>766</v>
      </c>
      <c r="L94" s="17" t="s">
        <v>767</v>
      </c>
      <c r="M94" s="17" t="s">
        <v>768</v>
      </c>
      <c r="N94" s="17" t="s">
        <v>769</v>
      </c>
      <c r="O94" s="17" t="s">
        <v>459</v>
      </c>
      <c r="P94" s="17" t="s">
        <v>770</v>
      </c>
      <c r="Q94" s="17" t="s">
        <v>468</v>
      </c>
      <c r="R94" s="17" t="s">
        <v>771</v>
      </c>
      <c r="S94" s="17" t="s">
        <v>469</v>
      </c>
      <c r="T94" s="17" t="str">
        <f t="shared" si="25"/>
        <v>c336_a_SkeletonData.asset</v>
      </c>
      <c r="U94" s="17" t="s">
        <v>772</v>
      </c>
      <c r="V94" s="17" t="s">
        <v>773</v>
      </c>
      <c r="W94" s="17" t="s">
        <v>29</v>
      </c>
      <c r="X94" s="17">
        <v>1535261</v>
      </c>
      <c r="Y94" s="17" t="s">
        <v>30</v>
      </c>
      <c r="Z94" s="17">
        <v>2535261</v>
      </c>
      <c r="AA94" s="17" t="s">
        <v>31</v>
      </c>
      <c r="AB94" s="17">
        <v>3535261</v>
      </c>
      <c r="AC94" s="17" t="s">
        <v>32</v>
      </c>
      <c r="AD94" s="17">
        <v>4535261</v>
      </c>
    </row>
    <row r="95" spans="1:30" x14ac:dyDescent="0.3">
      <c r="A95" s="24">
        <f t="shared" si="23"/>
        <v>144511</v>
      </c>
      <c r="B95" s="23" t="s">
        <v>528</v>
      </c>
      <c r="C95" s="62">
        <v>11</v>
      </c>
      <c r="D95" s="25" t="s">
        <v>455</v>
      </c>
      <c r="E95" s="17">
        <v>14450102</v>
      </c>
      <c r="F95" s="23" t="s">
        <v>529</v>
      </c>
      <c r="G95" s="23" t="s">
        <v>457</v>
      </c>
      <c r="H95" s="23" t="s">
        <v>133</v>
      </c>
      <c r="J95" s="17" t="s">
        <v>774</v>
      </c>
      <c r="K95" s="17" t="s">
        <v>775</v>
      </c>
      <c r="L95" s="17" t="s">
        <v>776</v>
      </c>
      <c r="M95" s="17" t="s">
        <v>777</v>
      </c>
      <c r="N95" s="17" t="s">
        <v>778</v>
      </c>
      <c r="O95" s="17" t="s">
        <v>459</v>
      </c>
      <c r="P95" s="17" t="s">
        <v>779</v>
      </c>
      <c r="Q95" s="17" t="s">
        <v>468</v>
      </c>
      <c r="R95" s="17" t="s">
        <v>780</v>
      </c>
      <c r="S95" s="17" t="s">
        <v>469</v>
      </c>
      <c r="T95" s="17" t="str">
        <f t="shared" si="25"/>
        <v>c445_a_SkeletonData.asset</v>
      </c>
      <c r="U95" s="17" t="s">
        <v>781</v>
      </c>
      <c r="V95" s="17" t="s">
        <v>782</v>
      </c>
      <c r="W95" s="17" t="s">
        <v>29</v>
      </c>
      <c r="X95" s="17">
        <v>1513271</v>
      </c>
      <c r="Y95" s="17" t="s">
        <v>30</v>
      </c>
      <c r="Z95" s="17">
        <v>2513271</v>
      </c>
      <c r="AA95" s="17" t="s">
        <v>31</v>
      </c>
      <c r="AB95" s="17">
        <v>3513271</v>
      </c>
      <c r="AC95" s="17" t="s">
        <v>32</v>
      </c>
      <c r="AD95" s="17">
        <v>4513271</v>
      </c>
    </row>
    <row r="96" spans="1:30" x14ac:dyDescent="0.3">
      <c r="A96" s="24">
        <f t="shared" si="23"/>
        <v>146111</v>
      </c>
      <c r="B96" s="23" t="s">
        <v>530</v>
      </c>
      <c r="C96" s="62">
        <v>11</v>
      </c>
      <c r="D96" s="25" t="s">
        <v>455</v>
      </c>
      <c r="E96" s="17">
        <v>14610102</v>
      </c>
      <c r="F96" s="23" t="s">
        <v>531</v>
      </c>
      <c r="G96" s="23" t="s">
        <v>457</v>
      </c>
      <c r="H96" s="23" t="s">
        <v>141</v>
      </c>
      <c r="J96" s="17" t="s">
        <v>783</v>
      </c>
      <c r="K96" s="17" t="s">
        <v>784</v>
      </c>
      <c r="L96" s="17" t="s">
        <v>785</v>
      </c>
      <c r="M96" s="17" t="s">
        <v>786</v>
      </c>
      <c r="N96" s="17" t="s">
        <v>787</v>
      </c>
      <c r="O96" s="17" t="s">
        <v>459</v>
      </c>
      <c r="P96" s="17" t="s">
        <v>788</v>
      </c>
      <c r="Q96" s="17" t="s">
        <v>468</v>
      </c>
      <c r="R96" s="17" t="s">
        <v>789</v>
      </c>
      <c r="S96" s="17" t="s">
        <v>469</v>
      </c>
      <c r="T96" s="17" t="str">
        <f t="shared" si="25"/>
        <v>c461_a_SkeletonData.asset</v>
      </c>
      <c r="U96" s="17" t="s">
        <v>790</v>
      </c>
      <c r="V96" s="17" t="s">
        <v>791</v>
      </c>
      <c r="W96" s="17" t="s">
        <v>29</v>
      </c>
      <c r="X96" s="17">
        <v>1534281</v>
      </c>
      <c r="Y96" s="17" t="s">
        <v>30</v>
      </c>
      <c r="Z96" s="17">
        <v>2534281</v>
      </c>
      <c r="AA96" s="17" t="s">
        <v>31</v>
      </c>
      <c r="AB96" s="17">
        <v>3534281</v>
      </c>
      <c r="AC96" s="17" t="s">
        <v>32</v>
      </c>
      <c r="AD96" s="17">
        <v>4534281</v>
      </c>
    </row>
    <row r="97" spans="1:30" x14ac:dyDescent="0.3">
      <c r="A97" s="24">
        <f t="shared" si="23"/>
        <v>128311</v>
      </c>
      <c r="B97" s="23" t="s">
        <v>532</v>
      </c>
      <c r="C97" s="62">
        <v>11</v>
      </c>
      <c r="D97" s="25" t="s">
        <v>455</v>
      </c>
      <c r="E97" s="17">
        <v>12830102</v>
      </c>
      <c r="F97" s="23" t="s">
        <v>533</v>
      </c>
      <c r="G97" s="23" t="s">
        <v>457</v>
      </c>
      <c r="H97" s="23" t="s">
        <v>134</v>
      </c>
      <c r="J97" s="17" t="s">
        <v>792</v>
      </c>
      <c r="K97" s="17" t="s">
        <v>793</v>
      </c>
      <c r="L97" s="17" t="s">
        <v>794</v>
      </c>
      <c r="M97" s="17" t="s">
        <v>795</v>
      </c>
      <c r="N97" s="17" t="s">
        <v>796</v>
      </c>
      <c r="O97" s="17" t="s">
        <v>459</v>
      </c>
      <c r="P97" s="17" t="s">
        <v>797</v>
      </c>
      <c r="Q97" s="17" t="s">
        <v>468</v>
      </c>
      <c r="R97" s="17" t="s">
        <v>798</v>
      </c>
      <c r="S97" s="17" t="s">
        <v>469</v>
      </c>
      <c r="T97" s="17" t="str">
        <f t="shared" si="25"/>
        <v>c283_a_SkeletonData.asset</v>
      </c>
      <c r="U97" s="17" t="s">
        <v>799</v>
      </c>
      <c r="V97" s="17" t="s">
        <v>800</v>
      </c>
      <c r="W97" s="17" t="s">
        <v>29</v>
      </c>
      <c r="X97" s="17">
        <v>1511291</v>
      </c>
      <c r="Y97" s="17" t="s">
        <v>30</v>
      </c>
      <c r="Z97" s="17">
        <v>2511291</v>
      </c>
      <c r="AA97" s="17" t="s">
        <v>31</v>
      </c>
      <c r="AB97" s="17">
        <v>3511291</v>
      </c>
      <c r="AC97" s="17" t="s">
        <v>32</v>
      </c>
      <c r="AD97" s="17">
        <v>4511291</v>
      </c>
    </row>
    <row r="98" spans="1:30" x14ac:dyDescent="0.3">
      <c r="A98" s="24">
        <f t="shared" si="23"/>
        <v>140011</v>
      </c>
      <c r="B98" s="23" t="s">
        <v>534</v>
      </c>
      <c r="C98" s="62">
        <v>11</v>
      </c>
      <c r="D98" s="25" t="s">
        <v>455</v>
      </c>
      <c r="E98" s="17">
        <v>14000102</v>
      </c>
      <c r="F98" s="23" t="s">
        <v>535</v>
      </c>
      <c r="G98" s="23" t="s">
        <v>457</v>
      </c>
      <c r="H98" s="23" t="s">
        <v>127</v>
      </c>
      <c r="J98" s="17" t="s">
        <v>801</v>
      </c>
      <c r="K98" s="17" t="s">
        <v>802</v>
      </c>
      <c r="L98" s="17" t="s">
        <v>803</v>
      </c>
      <c r="M98" s="17" t="s">
        <v>804</v>
      </c>
      <c r="N98" s="17" t="s">
        <v>805</v>
      </c>
      <c r="O98" s="17" t="s">
        <v>459</v>
      </c>
      <c r="P98" s="17" t="s">
        <v>806</v>
      </c>
      <c r="Q98" s="17" t="s">
        <v>468</v>
      </c>
      <c r="R98" s="17" t="s">
        <v>807</v>
      </c>
      <c r="S98" s="17" t="s">
        <v>469</v>
      </c>
      <c r="T98" s="17" t="str">
        <f t="shared" si="25"/>
        <v>c400_a_SkeletonData.asset</v>
      </c>
      <c r="U98" s="17" t="s">
        <v>808</v>
      </c>
      <c r="V98" s="17" t="s">
        <v>809</v>
      </c>
      <c r="W98" s="17" t="s">
        <v>29</v>
      </c>
      <c r="X98" s="17">
        <v>1551301</v>
      </c>
      <c r="Y98" s="17" t="s">
        <v>30</v>
      </c>
      <c r="Z98" s="17">
        <v>2551301</v>
      </c>
      <c r="AA98" s="17" t="s">
        <v>31</v>
      </c>
      <c r="AB98" s="17">
        <v>3551301</v>
      </c>
      <c r="AC98" s="17" t="s">
        <v>32</v>
      </c>
      <c r="AD98" s="17">
        <v>4551301</v>
      </c>
    </row>
    <row r="99" spans="1:30" x14ac:dyDescent="0.3">
      <c r="A99" s="24">
        <f t="shared" si="23"/>
        <v>144711</v>
      </c>
      <c r="B99" s="23" t="s">
        <v>536</v>
      </c>
      <c r="C99" s="62">
        <v>11</v>
      </c>
      <c r="D99" s="25" t="s">
        <v>455</v>
      </c>
      <c r="E99" s="17">
        <v>14470102</v>
      </c>
      <c r="F99" s="23" t="s">
        <v>537</v>
      </c>
      <c r="G99" s="23" t="s">
        <v>457</v>
      </c>
      <c r="H99" s="23" t="s">
        <v>142</v>
      </c>
      <c r="J99" s="17" t="s">
        <v>810</v>
      </c>
      <c r="K99" s="17" t="s">
        <v>811</v>
      </c>
      <c r="L99" s="17" t="s">
        <v>812</v>
      </c>
      <c r="M99" s="17" t="s">
        <v>813</v>
      </c>
      <c r="N99" s="17" t="s">
        <v>814</v>
      </c>
      <c r="O99" s="17" t="s">
        <v>459</v>
      </c>
      <c r="P99" s="17" t="s">
        <v>815</v>
      </c>
      <c r="Q99" s="17" t="s">
        <v>468</v>
      </c>
      <c r="R99" s="17" t="s">
        <v>816</v>
      </c>
      <c r="S99" s="17" t="s">
        <v>469</v>
      </c>
      <c r="T99" s="17" t="str">
        <f t="shared" si="25"/>
        <v>c447_a_SkeletonData.asset</v>
      </c>
      <c r="U99" s="17" t="s">
        <v>817</v>
      </c>
      <c r="V99" s="17" t="s">
        <v>818</v>
      </c>
      <c r="W99" s="17" t="s">
        <v>29</v>
      </c>
      <c r="X99" s="17">
        <v>1531311</v>
      </c>
      <c r="Y99" s="17" t="s">
        <v>30</v>
      </c>
      <c r="Z99" s="17">
        <v>2531311</v>
      </c>
      <c r="AA99" s="17" t="s">
        <v>31</v>
      </c>
      <c r="AB99" s="17">
        <v>3531311</v>
      </c>
      <c r="AC99" s="17" t="s">
        <v>32</v>
      </c>
      <c r="AD99" s="17">
        <v>4531311</v>
      </c>
    </row>
    <row r="100" spans="1:30" x14ac:dyDescent="0.3">
      <c r="A100" s="24">
        <f t="shared" si="23"/>
        <v>146211</v>
      </c>
      <c r="B100" s="23" t="s">
        <v>538</v>
      </c>
      <c r="C100" s="62">
        <v>11</v>
      </c>
      <c r="D100" s="25" t="s">
        <v>455</v>
      </c>
      <c r="E100" s="17">
        <v>14620102</v>
      </c>
      <c r="F100" s="23" t="s">
        <v>539</v>
      </c>
      <c r="G100" s="23" t="s">
        <v>457</v>
      </c>
      <c r="H100" s="23" t="s">
        <v>135</v>
      </c>
      <c r="J100" s="17" t="s">
        <v>819</v>
      </c>
      <c r="K100" s="17" t="s">
        <v>820</v>
      </c>
      <c r="L100" s="17" t="s">
        <v>821</v>
      </c>
      <c r="M100" s="17" t="s">
        <v>822</v>
      </c>
      <c r="N100" s="17" t="s">
        <v>823</v>
      </c>
      <c r="O100" s="17" t="s">
        <v>459</v>
      </c>
      <c r="P100" s="17" t="s">
        <v>824</v>
      </c>
      <c r="Q100" s="17" t="s">
        <v>468</v>
      </c>
      <c r="R100" s="17" t="s">
        <v>825</v>
      </c>
      <c r="S100" s="17" t="s">
        <v>469</v>
      </c>
      <c r="T100" s="17" t="str">
        <f t="shared" si="25"/>
        <v>c462_a_SkeletonData.asset</v>
      </c>
      <c r="U100" s="17" t="s">
        <v>826</v>
      </c>
      <c r="V100" s="17" t="s">
        <v>827</v>
      </c>
      <c r="W100" s="17" t="s">
        <v>29</v>
      </c>
      <c r="X100" s="17">
        <v>1512321</v>
      </c>
      <c r="Y100" s="17" t="s">
        <v>30</v>
      </c>
      <c r="Z100" s="17">
        <v>2512321</v>
      </c>
      <c r="AA100" s="17" t="s">
        <v>31</v>
      </c>
      <c r="AB100" s="17">
        <v>3512321</v>
      </c>
      <c r="AC100" s="17" t="s">
        <v>32</v>
      </c>
      <c r="AD100" s="17">
        <v>4512321</v>
      </c>
    </row>
    <row r="101" spans="1:30" x14ac:dyDescent="0.3">
      <c r="A101" s="24">
        <f t="shared" si="23"/>
        <v>128111</v>
      </c>
      <c r="B101" s="23" t="s">
        <v>540</v>
      </c>
      <c r="C101" s="62">
        <v>11</v>
      </c>
      <c r="D101" s="25" t="s">
        <v>455</v>
      </c>
      <c r="E101" s="17">
        <v>14620102</v>
      </c>
      <c r="F101" s="23" t="s">
        <v>541</v>
      </c>
      <c r="G101" s="23" t="s">
        <v>457</v>
      </c>
      <c r="H101" s="23" t="s">
        <v>158</v>
      </c>
      <c r="J101" s="17" t="s">
        <v>828</v>
      </c>
      <c r="K101" s="17" t="s">
        <v>829</v>
      </c>
      <c r="L101" s="17" t="s">
        <v>830</v>
      </c>
      <c r="M101" s="17" t="s">
        <v>831</v>
      </c>
      <c r="N101" s="17" t="s">
        <v>832</v>
      </c>
      <c r="O101" s="17" t="s">
        <v>459</v>
      </c>
      <c r="P101" s="17" t="s">
        <v>833</v>
      </c>
      <c r="Q101" s="17" t="s">
        <v>468</v>
      </c>
      <c r="R101" s="17" t="s">
        <v>834</v>
      </c>
      <c r="S101" s="17" t="s">
        <v>469</v>
      </c>
      <c r="T101" s="17" t="str">
        <f t="shared" si="25"/>
        <v>c281_a_SkeletonData.asset</v>
      </c>
      <c r="U101" s="17" t="s">
        <v>835</v>
      </c>
      <c r="V101" s="17" t="s">
        <v>836</v>
      </c>
      <c r="W101" s="17" t="s">
        <v>29</v>
      </c>
      <c r="X101" s="17">
        <v>1524331</v>
      </c>
      <c r="Y101" s="17" t="s">
        <v>30</v>
      </c>
      <c r="Z101" s="17">
        <v>2524331</v>
      </c>
      <c r="AA101" s="17" t="s">
        <v>31</v>
      </c>
      <c r="AB101" s="17">
        <v>3524331</v>
      </c>
      <c r="AC101" s="17" t="s">
        <v>32</v>
      </c>
      <c r="AD101" s="17">
        <v>4524331</v>
      </c>
    </row>
    <row r="102" spans="1:30" x14ac:dyDescent="0.3">
      <c r="A102" s="24">
        <f t="shared" si="23"/>
        <v>151411</v>
      </c>
      <c r="B102" s="23" t="s">
        <v>542</v>
      </c>
      <c r="C102" s="62">
        <v>11</v>
      </c>
      <c r="D102" s="25" t="s">
        <v>455</v>
      </c>
      <c r="E102" s="17">
        <v>14620102</v>
      </c>
      <c r="F102" s="23" t="s">
        <v>543</v>
      </c>
      <c r="G102" s="23" t="s">
        <v>457</v>
      </c>
      <c r="H102" s="23" t="s">
        <v>99</v>
      </c>
      <c r="J102" s="17" t="s">
        <v>837</v>
      </c>
      <c r="K102" s="17" t="s">
        <v>838</v>
      </c>
      <c r="L102" s="17" t="s">
        <v>839</v>
      </c>
      <c r="M102" s="17" t="s">
        <v>840</v>
      </c>
      <c r="N102" s="17" t="s">
        <v>841</v>
      </c>
      <c r="O102" s="17" t="s">
        <v>459</v>
      </c>
      <c r="P102" s="17" t="s">
        <v>842</v>
      </c>
      <c r="Q102" s="17" t="s">
        <v>468</v>
      </c>
      <c r="R102" s="17" t="s">
        <v>843</v>
      </c>
      <c r="S102" s="17" t="s">
        <v>469</v>
      </c>
      <c r="T102" s="17" t="str">
        <f t="shared" si="25"/>
        <v>c514_a_SkeletonData.asset</v>
      </c>
      <c r="U102" s="17" t="s">
        <v>844</v>
      </c>
      <c r="V102" s="17" t="s">
        <v>845</v>
      </c>
      <c r="W102" s="17" t="s">
        <v>29</v>
      </c>
      <c r="X102" s="17">
        <v>1451341</v>
      </c>
      <c r="Y102" s="17" t="s">
        <v>30</v>
      </c>
      <c r="Z102" s="17">
        <v>2451341</v>
      </c>
      <c r="AA102" s="17" t="s">
        <v>31</v>
      </c>
      <c r="AB102" s="17">
        <v>3451341</v>
      </c>
      <c r="AC102" s="17" t="s">
        <v>32</v>
      </c>
      <c r="AD102" s="17">
        <v>4451341</v>
      </c>
    </row>
  </sheetData>
  <autoFilter ref="A3:V3" xr:uid="{00000000-0009-0000-0000-000003000000}">
    <sortState xmlns:xlrd2="http://schemas.microsoft.com/office/spreadsheetml/2017/richdata2" ref="A4:V30">
      <sortCondition ref="E3"/>
    </sortState>
  </autoFilter>
  <phoneticPr fontId="1" type="noConversion"/>
  <conditionalFormatting sqref="A1:A1048576">
    <cfRule type="duplicateValues" dxfId="7" priority="18"/>
  </conditionalFormatting>
  <conditionalFormatting sqref="X36">
    <cfRule type="duplicateValues" dxfId="6" priority="12"/>
  </conditionalFormatting>
  <conditionalFormatting sqref="Z36">
    <cfRule type="duplicateValues" dxfId="5" priority="11"/>
  </conditionalFormatting>
  <conditionalFormatting sqref="AB36">
    <cfRule type="duplicateValues" dxfId="4" priority="10"/>
  </conditionalFormatting>
  <conditionalFormatting sqref="AD36">
    <cfRule type="duplicateValues" dxfId="3" priority="9"/>
  </conditionalFormatting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17"/>
  <sheetViews>
    <sheetView topLeftCell="A130" zoomScaleNormal="100" workbookViewId="0">
      <selection activeCell="D181" sqref="D181"/>
    </sheetView>
  </sheetViews>
  <sheetFormatPr defaultRowHeight="12" x14ac:dyDescent="0.3"/>
  <cols>
    <col min="1" max="4" width="9" style="1" customWidth="1"/>
    <col min="5" max="5" width="33.875" style="1" bestFit="1" customWidth="1"/>
    <col min="6" max="6" width="33.75" style="1" bestFit="1" customWidth="1"/>
    <col min="7" max="7" width="23.875" style="1" bestFit="1" customWidth="1"/>
    <col min="8" max="13" width="9" style="1" customWidth="1"/>
    <col min="14" max="16384" width="9" style="1"/>
  </cols>
  <sheetData>
    <row r="1" spans="1:7" x14ac:dyDescent="0.3">
      <c r="A1" s="1" t="s">
        <v>0</v>
      </c>
      <c r="B1" s="1" t="s">
        <v>846</v>
      </c>
      <c r="C1" s="1" t="s">
        <v>847</v>
      </c>
      <c r="D1" s="1" t="s">
        <v>848</v>
      </c>
      <c r="E1" s="1" t="s">
        <v>849</v>
      </c>
      <c r="F1" s="1" t="s">
        <v>850</v>
      </c>
      <c r="G1" s="1" t="s">
        <v>851</v>
      </c>
    </row>
    <row r="4" spans="1:7" x14ac:dyDescent="0.3">
      <c r="A4" s="1">
        <v>1511031</v>
      </c>
      <c r="C4" s="1" t="str">
        <f t="array" ref="C4">_xlfn.IFS(INT(LEFT(A4,1))=1,"Normal", INT(LEFT(A4,1))=2,"Active", INT(LEFT(A4,1))=3,"Ultimate", INT(LEFT(A4,1))=4,"Passive")</f>
        <v>Normal</v>
      </c>
      <c r="D4" s="1" t="s">
        <v>852</v>
      </c>
      <c r="E4" s="1" t="str">
        <f t="shared" ref="E4:E67" si="0">IF(C4="Passive","NULL",$D4&amp;"/"&amp;LOWER($D4&amp;"_"&amp;$C4&amp;"_front.prefab"))</f>
        <v>c003_a/c003_a_normal_front.prefab</v>
      </c>
      <c r="F4" s="1" t="str">
        <f t="shared" ref="F4:F67" si="1">IF(C4="Passive","NULL",$D4&amp;"/"&amp;LOWER($D4&amp;"_"&amp;$C4&amp;"_Back.prefab"))</f>
        <v>c003_a/c003_a_normal_back.prefab</v>
      </c>
      <c r="G4" s="1" t="s">
        <v>853</v>
      </c>
    </row>
    <row r="5" spans="1:7" x14ac:dyDescent="0.3">
      <c r="A5" s="1">
        <v>2511031</v>
      </c>
      <c r="C5" s="1" t="str">
        <f t="array" ref="C5">_xlfn.IFS(INT(LEFT(A5,1))=1,"Normal", INT(LEFT(A5,1))=2,"Active", INT(LEFT(A5,1))=3,"Ultimate", INT(LEFT(A5,1))=4,"Passive")</f>
        <v>Active</v>
      </c>
      <c r="D5" s="1" t="s">
        <v>852</v>
      </c>
      <c r="E5" s="1" t="str">
        <f t="shared" si="0"/>
        <v>c003_a/c003_a_active_front.prefab</v>
      </c>
      <c r="F5" s="1" t="str">
        <f t="shared" si="1"/>
        <v>c003_a/c003_a_active_back.prefab</v>
      </c>
      <c r="G5" s="1" t="s">
        <v>853</v>
      </c>
    </row>
    <row r="6" spans="1:7" x14ac:dyDescent="0.3">
      <c r="A6" s="1">
        <v>3511031</v>
      </c>
      <c r="C6" s="1" t="str">
        <f t="array" ref="C6">_xlfn.IFS(INT(LEFT(A6,1))=1,"Normal", INT(LEFT(A6,1))=2,"Active", INT(LEFT(A6,1))=3,"Ultimate", INT(LEFT(A6,1))=4,"Passive")</f>
        <v>Ultimate</v>
      </c>
      <c r="D6" s="1" t="s">
        <v>852</v>
      </c>
      <c r="E6" s="1" t="str">
        <f t="shared" si="0"/>
        <v>c003_a/c003_a_ultimate_front.prefab</v>
      </c>
      <c r="F6" s="1" t="str">
        <f t="shared" si="1"/>
        <v>c003_a/c003_a_ultimate_back.prefab</v>
      </c>
      <c r="G6" s="1" t="s">
        <v>853</v>
      </c>
    </row>
    <row r="7" spans="1:7" x14ac:dyDescent="0.3">
      <c r="A7" s="1">
        <v>4511031</v>
      </c>
      <c r="C7" s="1" t="str">
        <f t="array" ref="C7">_xlfn.IFS(INT(LEFT(A7,1))=1,"Normal", INT(LEFT(A7,1))=2,"Active", INT(LEFT(A7,1))=3,"Ultimate", INT(LEFT(A7,1))=4,"Passive")</f>
        <v>Passive</v>
      </c>
      <c r="D7" s="1" t="s">
        <v>852</v>
      </c>
      <c r="E7" s="1" t="str">
        <f t="shared" si="0"/>
        <v>NULL</v>
      </c>
      <c r="F7" s="1" t="str">
        <f t="shared" si="1"/>
        <v>NULL</v>
      </c>
      <c r="G7" s="1" t="s">
        <v>853</v>
      </c>
    </row>
    <row r="8" spans="1:7" x14ac:dyDescent="0.3">
      <c r="A8" s="1">
        <v>1532071</v>
      </c>
      <c r="C8" s="1" t="str">
        <f t="array" ref="C8">_xlfn.IFS(INT(LEFT(A8,1))=1,"Normal", INT(LEFT(A8,1))=2,"Active", INT(LEFT(A8,1))=3,"Ultimate", INT(LEFT(A8,1))=4,"Passive")</f>
        <v>Normal</v>
      </c>
      <c r="D8" s="1" t="s">
        <v>854</v>
      </c>
      <c r="E8" s="1" t="str">
        <f t="shared" si="0"/>
        <v>c180_a/c180_a_normal_front.prefab</v>
      </c>
      <c r="F8" s="1" t="str">
        <f t="shared" si="1"/>
        <v>c180_a/c180_a_normal_back.prefab</v>
      </c>
      <c r="G8" s="1" t="s">
        <v>853</v>
      </c>
    </row>
    <row r="9" spans="1:7" x14ac:dyDescent="0.3">
      <c r="A9" s="1">
        <v>2532071</v>
      </c>
      <c r="C9" s="1" t="str">
        <f t="array" ref="C9">_xlfn.IFS(INT(LEFT(A9,1))=1,"Normal", INT(LEFT(A9,1))=2,"Active", INT(LEFT(A9,1))=3,"Ultimate", INT(LEFT(A9,1))=4,"Passive")</f>
        <v>Active</v>
      </c>
      <c r="D9" s="1" t="s">
        <v>854</v>
      </c>
      <c r="E9" s="1" t="str">
        <f t="shared" si="0"/>
        <v>c180_a/c180_a_active_front.prefab</v>
      </c>
      <c r="F9" s="1" t="str">
        <f t="shared" si="1"/>
        <v>c180_a/c180_a_active_back.prefab</v>
      </c>
      <c r="G9" s="1" t="s">
        <v>853</v>
      </c>
    </row>
    <row r="10" spans="1:7" x14ac:dyDescent="0.3">
      <c r="A10" s="1">
        <v>3532071</v>
      </c>
      <c r="C10" s="1" t="str">
        <f t="array" ref="C10">_xlfn.IFS(INT(LEFT(A10,1))=1,"Normal", INT(LEFT(A10,1))=2,"Active", INT(LEFT(A10,1))=3,"Ultimate", INT(LEFT(A10,1))=4,"Passive")</f>
        <v>Ultimate</v>
      </c>
      <c r="D10" s="1" t="s">
        <v>854</v>
      </c>
      <c r="E10" s="1" t="str">
        <f t="shared" si="0"/>
        <v>c180_a/c180_a_ultimate_front.prefab</v>
      </c>
      <c r="F10" s="1" t="str">
        <f t="shared" si="1"/>
        <v>c180_a/c180_a_ultimate_back.prefab</v>
      </c>
      <c r="G10" s="1" t="s">
        <v>853</v>
      </c>
    </row>
    <row r="11" spans="1:7" x14ac:dyDescent="0.3">
      <c r="A11" s="1">
        <v>4532071</v>
      </c>
      <c r="C11" s="1" t="str">
        <f t="array" ref="C11">_xlfn.IFS(INT(LEFT(A11,1))=1,"Normal", INT(LEFT(A11,1))=2,"Active", INT(LEFT(A11,1))=3,"Ultimate", INT(LEFT(A11,1))=4,"Passive")</f>
        <v>Passive</v>
      </c>
      <c r="D11" s="1" t="s">
        <v>854</v>
      </c>
      <c r="E11" s="1" t="str">
        <f t="shared" si="0"/>
        <v>NULL</v>
      </c>
      <c r="F11" s="1" t="str">
        <f t="shared" si="1"/>
        <v>NULL</v>
      </c>
      <c r="G11" s="1" t="s">
        <v>853</v>
      </c>
    </row>
    <row r="12" spans="1:7" x14ac:dyDescent="0.3">
      <c r="A12" s="1">
        <v>1534061</v>
      </c>
      <c r="C12" s="1" t="str">
        <f t="array" ref="C12">_xlfn.IFS(INT(LEFT(A12,1))=1,"Normal", INT(LEFT(A12,1))=2,"Active", INT(LEFT(A12,1))=3,"Ultimate", INT(LEFT(A12,1))=4,"Passive")</f>
        <v>Normal</v>
      </c>
      <c r="D12" s="1" t="s">
        <v>855</v>
      </c>
      <c r="E12" s="1" t="str">
        <f t="shared" si="0"/>
        <v>c229_a/c229_a_normal_front.prefab</v>
      </c>
      <c r="F12" s="1" t="str">
        <f t="shared" si="1"/>
        <v>c229_a/c229_a_normal_back.prefab</v>
      </c>
      <c r="G12" s="1" t="s">
        <v>853</v>
      </c>
    </row>
    <row r="13" spans="1:7" x14ac:dyDescent="0.3">
      <c r="A13" s="1">
        <v>2534061</v>
      </c>
      <c r="C13" s="1" t="str">
        <f t="array" ref="C13">_xlfn.IFS(INT(LEFT(A13,1))=1,"Normal", INT(LEFT(A13,1))=2,"Active", INT(LEFT(A13,1))=3,"Ultimate", INT(LEFT(A13,1))=4,"Passive")</f>
        <v>Active</v>
      </c>
      <c r="D13" s="1" t="s">
        <v>855</v>
      </c>
      <c r="E13" s="1" t="str">
        <f t="shared" si="0"/>
        <v>c229_a/c229_a_active_front.prefab</v>
      </c>
      <c r="F13" s="1" t="str">
        <f t="shared" si="1"/>
        <v>c229_a/c229_a_active_back.prefab</v>
      </c>
      <c r="G13" s="1" t="s">
        <v>853</v>
      </c>
    </row>
    <row r="14" spans="1:7" x14ac:dyDescent="0.3">
      <c r="A14" s="1">
        <v>3534061</v>
      </c>
      <c r="C14" s="1" t="str">
        <f t="array" ref="C14">_xlfn.IFS(INT(LEFT(A14,1))=1,"Normal", INT(LEFT(A14,1))=2,"Active", INT(LEFT(A14,1))=3,"Ultimate", INT(LEFT(A14,1))=4,"Passive")</f>
        <v>Ultimate</v>
      </c>
      <c r="D14" s="1" t="s">
        <v>855</v>
      </c>
      <c r="E14" s="1" t="str">
        <f t="shared" si="0"/>
        <v>c229_a/c229_a_ultimate_front.prefab</v>
      </c>
      <c r="F14" s="1" t="str">
        <f t="shared" si="1"/>
        <v>c229_a/c229_a_ultimate_back.prefab</v>
      </c>
      <c r="G14" s="1" t="s">
        <v>853</v>
      </c>
    </row>
    <row r="15" spans="1:7" x14ac:dyDescent="0.3">
      <c r="A15" s="1">
        <v>4534061</v>
      </c>
      <c r="C15" s="1" t="str">
        <f t="array" ref="C15">_xlfn.IFS(INT(LEFT(A15,1))=1,"Normal", INT(LEFT(A15,1))=2,"Active", INT(LEFT(A15,1))=3,"Ultimate", INT(LEFT(A15,1))=4,"Passive")</f>
        <v>Passive</v>
      </c>
      <c r="D15" s="1" t="s">
        <v>855</v>
      </c>
      <c r="E15" s="1" t="str">
        <f t="shared" si="0"/>
        <v>NULL</v>
      </c>
      <c r="F15" s="1" t="str">
        <f t="shared" si="1"/>
        <v>NULL</v>
      </c>
      <c r="G15" s="1" t="s">
        <v>853</v>
      </c>
    </row>
    <row r="16" spans="1:7" x14ac:dyDescent="0.3">
      <c r="A16" s="1">
        <v>1541021</v>
      </c>
      <c r="C16" s="1" t="str">
        <f t="array" ref="C16">_xlfn.IFS(INT(LEFT(A16,1))=1,"Normal", INT(LEFT(A16,1))=2,"Active", INT(LEFT(A16,1))=3,"Ultimate", INT(LEFT(A16,1))=4,"Passive")</f>
        <v>Normal</v>
      </c>
      <c r="D16" s="1" t="s">
        <v>856</v>
      </c>
      <c r="E16" s="1" t="str">
        <f t="shared" si="0"/>
        <v>c296_a/c296_a_normal_front.prefab</v>
      </c>
      <c r="F16" s="1" t="str">
        <f t="shared" si="1"/>
        <v>c296_a/c296_a_normal_back.prefab</v>
      </c>
      <c r="G16" s="1" t="s">
        <v>853</v>
      </c>
    </row>
    <row r="17" spans="1:7" x14ac:dyDescent="0.3">
      <c r="A17" s="1">
        <v>2541021</v>
      </c>
      <c r="C17" s="1" t="str">
        <f t="array" ref="C17">_xlfn.IFS(INT(LEFT(A17,1))=1,"Normal", INT(LEFT(A17,1))=2,"Active", INT(LEFT(A17,1))=3,"Ultimate", INT(LEFT(A17,1))=4,"Passive")</f>
        <v>Active</v>
      </c>
      <c r="D17" s="1" t="s">
        <v>856</v>
      </c>
      <c r="E17" s="1" t="str">
        <f t="shared" si="0"/>
        <v>c296_a/c296_a_active_front.prefab</v>
      </c>
      <c r="F17" s="1" t="str">
        <f t="shared" si="1"/>
        <v>c296_a/c296_a_active_back.prefab</v>
      </c>
      <c r="G17" s="1" t="s">
        <v>853</v>
      </c>
    </row>
    <row r="18" spans="1:7" x14ac:dyDescent="0.3">
      <c r="A18" s="1">
        <v>3541021</v>
      </c>
      <c r="C18" s="1" t="str">
        <f t="array" ref="C18">_xlfn.IFS(INT(LEFT(A18,1))=1,"Normal", INT(LEFT(A18,1))=2,"Active", INT(LEFT(A18,1))=3,"Ultimate", INT(LEFT(A18,1))=4,"Passive")</f>
        <v>Ultimate</v>
      </c>
      <c r="D18" s="1" t="s">
        <v>856</v>
      </c>
      <c r="E18" s="1" t="str">
        <f t="shared" si="0"/>
        <v>c296_a/c296_a_ultimate_front.prefab</v>
      </c>
      <c r="F18" s="1" t="str">
        <f t="shared" si="1"/>
        <v>c296_a/c296_a_ultimate_back.prefab</v>
      </c>
      <c r="G18" s="1" t="s">
        <v>853</v>
      </c>
    </row>
    <row r="19" spans="1:7" x14ac:dyDescent="0.3">
      <c r="A19" s="1">
        <v>4541021</v>
      </c>
      <c r="C19" s="1" t="str">
        <f t="array" ref="C19">_xlfn.IFS(INT(LEFT(A19,1))=1,"Normal", INT(LEFT(A19,1))=2,"Active", INT(LEFT(A19,1))=3,"Ultimate", INT(LEFT(A19,1))=4,"Passive")</f>
        <v>Passive</v>
      </c>
      <c r="D19" s="1" t="s">
        <v>856</v>
      </c>
      <c r="E19" s="1" t="str">
        <f t="shared" si="0"/>
        <v>NULL</v>
      </c>
      <c r="F19" s="1" t="str">
        <f t="shared" si="1"/>
        <v>NULL</v>
      </c>
      <c r="G19" s="1" t="s">
        <v>853</v>
      </c>
    </row>
    <row r="20" spans="1:7" x14ac:dyDescent="0.3">
      <c r="A20" s="1">
        <v>1542051</v>
      </c>
      <c r="C20" s="1" t="str">
        <f t="array" ref="C20">_xlfn.IFS(INT(LEFT(A20,1))=1,"Normal", INT(LEFT(A20,1))=2,"Active", INT(LEFT(A20,1))=3,"Ultimate", INT(LEFT(A20,1))=4,"Passive")</f>
        <v>Normal</v>
      </c>
      <c r="D20" s="1" t="s">
        <v>857</v>
      </c>
      <c r="E20" s="1" t="str">
        <f t="shared" si="0"/>
        <v>c353_a/c353_a_normal_front.prefab</v>
      </c>
      <c r="F20" s="1" t="str">
        <f t="shared" si="1"/>
        <v>c353_a/c353_a_normal_back.prefab</v>
      </c>
      <c r="G20" s="1" t="s">
        <v>853</v>
      </c>
    </row>
    <row r="21" spans="1:7" x14ac:dyDescent="0.3">
      <c r="A21" s="1">
        <v>2542051</v>
      </c>
      <c r="C21" s="1" t="str">
        <f t="array" ref="C21">_xlfn.IFS(INT(LEFT(A21,1))=1,"Normal", INT(LEFT(A21,1))=2,"Active", INT(LEFT(A21,1))=3,"Ultimate", INT(LEFT(A21,1))=4,"Passive")</f>
        <v>Active</v>
      </c>
      <c r="D21" s="1" t="s">
        <v>857</v>
      </c>
      <c r="E21" s="1" t="str">
        <f t="shared" si="0"/>
        <v>c353_a/c353_a_active_front.prefab</v>
      </c>
      <c r="F21" s="1" t="str">
        <f t="shared" si="1"/>
        <v>c353_a/c353_a_active_back.prefab</v>
      </c>
      <c r="G21" s="1" t="s">
        <v>853</v>
      </c>
    </row>
    <row r="22" spans="1:7" x14ac:dyDescent="0.3">
      <c r="A22" s="1">
        <v>3542051</v>
      </c>
      <c r="C22" s="1" t="str">
        <f t="array" ref="C22">_xlfn.IFS(INT(LEFT(A22,1))=1,"Normal", INT(LEFT(A22,1))=2,"Active", INT(LEFT(A22,1))=3,"Ultimate", INT(LEFT(A22,1))=4,"Passive")</f>
        <v>Ultimate</v>
      </c>
      <c r="D22" s="1" t="s">
        <v>857</v>
      </c>
      <c r="E22" s="1" t="str">
        <f t="shared" si="0"/>
        <v>c353_a/c353_a_ultimate_front.prefab</v>
      </c>
      <c r="F22" s="1" t="str">
        <f t="shared" si="1"/>
        <v>c353_a/c353_a_ultimate_back.prefab</v>
      </c>
      <c r="G22" s="1" t="s">
        <v>853</v>
      </c>
    </row>
    <row r="23" spans="1:7" x14ac:dyDescent="0.3">
      <c r="A23" s="1">
        <v>4542051</v>
      </c>
      <c r="C23" s="1" t="str">
        <f t="array" ref="C23">_xlfn.IFS(INT(LEFT(A23,1))=1,"Normal", INT(LEFT(A23,1))=2,"Active", INT(LEFT(A23,1))=3,"Ultimate", INT(LEFT(A23,1))=4,"Passive")</f>
        <v>Passive</v>
      </c>
      <c r="D23" s="1" t="s">
        <v>857</v>
      </c>
      <c r="E23" s="1" t="str">
        <f t="shared" si="0"/>
        <v>NULL</v>
      </c>
      <c r="F23" s="1" t="str">
        <f t="shared" si="1"/>
        <v>NULL</v>
      </c>
      <c r="G23" s="1" t="s">
        <v>853</v>
      </c>
    </row>
    <row r="24" spans="1:7" x14ac:dyDescent="0.3">
      <c r="A24" s="1">
        <v>1513011</v>
      </c>
      <c r="C24" s="1" t="str">
        <f t="array" ref="C24">_xlfn.IFS(INT(LEFT(A24,1))=1,"Normal", INT(LEFT(A24,1))=2,"Active", INT(LEFT(A24,1))=3,"Ultimate", INT(LEFT(A24,1))=4,"Passive")</f>
        <v>Normal</v>
      </c>
      <c r="D24" s="1" t="s">
        <v>858</v>
      </c>
      <c r="E24" s="1" t="str">
        <f t="shared" si="0"/>
        <v>c354_a/c354_a_normal_front.prefab</v>
      </c>
      <c r="F24" s="1" t="str">
        <f t="shared" si="1"/>
        <v>c354_a/c354_a_normal_back.prefab</v>
      </c>
      <c r="G24" s="1" t="s">
        <v>853</v>
      </c>
    </row>
    <row r="25" spans="1:7" x14ac:dyDescent="0.3">
      <c r="A25" s="1">
        <v>2513011</v>
      </c>
      <c r="C25" s="1" t="str">
        <f t="array" ref="C25">_xlfn.IFS(INT(LEFT(A25,1))=1,"Normal", INT(LEFT(A25,1))=2,"Active", INT(LEFT(A25,1))=3,"Ultimate", INT(LEFT(A25,1))=4,"Passive")</f>
        <v>Active</v>
      </c>
      <c r="D25" s="1" t="s">
        <v>858</v>
      </c>
      <c r="E25" s="1" t="str">
        <f t="shared" si="0"/>
        <v>c354_a/c354_a_active_front.prefab</v>
      </c>
      <c r="F25" s="1" t="str">
        <f t="shared" si="1"/>
        <v>c354_a/c354_a_active_back.prefab</v>
      </c>
      <c r="G25" s="1" t="s">
        <v>853</v>
      </c>
    </row>
    <row r="26" spans="1:7" x14ac:dyDescent="0.3">
      <c r="A26" s="1">
        <v>3513011</v>
      </c>
      <c r="C26" s="1" t="str">
        <f t="array" ref="C26">_xlfn.IFS(INT(LEFT(A26,1))=1,"Normal", INT(LEFT(A26,1))=2,"Active", INT(LEFT(A26,1))=3,"Ultimate", INT(LEFT(A26,1))=4,"Passive")</f>
        <v>Ultimate</v>
      </c>
      <c r="D26" s="1" t="s">
        <v>858</v>
      </c>
      <c r="E26" s="1" t="str">
        <f t="shared" si="0"/>
        <v>c354_a/c354_a_ultimate_front.prefab</v>
      </c>
      <c r="F26" s="1" t="str">
        <f t="shared" si="1"/>
        <v>c354_a/c354_a_ultimate_back.prefab</v>
      </c>
      <c r="G26" s="1" t="s">
        <v>853</v>
      </c>
    </row>
    <row r="27" spans="1:7" x14ac:dyDescent="0.3">
      <c r="A27" s="1">
        <v>4513011</v>
      </c>
      <c r="C27" s="1" t="str">
        <f t="array" ref="C27">_xlfn.IFS(INT(LEFT(A27,1))=1,"Normal", INT(LEFT(A27,1))=2,"Active", INT(LEFT(A27,1))=3,"Ultimate", INT(LEFT(A27,1))=4,"Passive")</f>
        <v>Passive</v>
      </c>
      <c r="D27" s="1" t="s">
        <v>858</v>
      </c>
      <c r="E27" s="1" t="str">
        <f t="shared" si="0"/>
        <v>NULL</v>
      </c>
      <c r="F27" s="1" t="str">
        <f t="shared" si="1"/>
        <v>NULL</v>
      </c>
      <c r="G27" s="1" t="s">
        <v>853</v>
      </c>
    </row>
    <row r="28" spans="1:7" x14ac:dyDescent="0.3">
      <c r="A28" s="1">
        <v>1524041</v>
      </c>
      <c r="C28" s="1" t="str">
        <f t="array" ref="C28">_xlfn.IFS(INT(LEFT(A28,1))=1,"Normal", INT(LEFT(A28,1))=2,"Active", INT(LEFT(A28,1))=3,"Ultimate", INT(LEFT(A28,1))=4,"Passive")</f>
        <v>Normal</v>
      </c>
      <c r="D28" s="1" t="s">
        <v>859</v>
      </c>
      <c r="E28" s="1" t="str">
        <f t="shared" si="0"/>
        <v>c464_a/c464_a_normal_front.prefab</v>
      </c>
      <c r="F28" s="1" t="str">
        <f t="shared" si="1"/>
        <v>c464_a/c464_a_normal_back.prefab</v>
      </c>
      <c r="G28" s="1" t="s">
        <v>853</v>
      </c>
    </row>
    <row r="29" spans="1:7" x14ac:dyDescent="0.3">
      <c r="A29" s="1">
        <v>2524041</v>
      </c>
      <c r="C29" s="1" t="str">
        <f t="array" ref="C29">_xlfn.IFS(INT(LEFT(A29,1))=1,"Normal", INT(LEFT(A29,1))=2,"Active", INT(LEFT(A29,1))=3,"Ultimate", INT(LEFT(A29,1))=4,"Passive")</f>
        <v>Active</v>
      </c>
      <c r="D29" s="1" t="s">
        <v>859</v>
      </c>
      <c r="E29" s="1" t="str">
        <f t="shared" si="0"/>
        <v>c464_a/c464_a_active_front.prefab</v>
      </c>
      <c r="F29" s="1" t="str">
        <f t="shared" si="1"/>
        <v>c464_a/c464_a_active_back.prefab</v>
      </c>
      <c r="G29" s="1" t="s">
        <v>853</v>
      </c>
    </row>
    <row r="30" spans="1:7" x14ac:dyDescent="0.3">
      <c r="A30" s="1">
        <v>3524041</v>
      </c>
      <c r="C30" s="1" t="str">
        <f t="array" ref="C30">_xlfn.IFS(INT(LEFT(A30,1))=1,"Normal", INT(LEFT(A30,1))=2,"Active", INT(LEFT(A30,1))=3,"Ultimate", INT(LEFT(A30,1))=4,"Passive")</f>
        <v>Ultimate</v>
      </c>
      <c r="D30" s="1" t="s">
        <v>859</v>
      </c>
      <c r="E30" s="1" t="str">
        <f t="shared" si="0"/>
        <v>c464_a/c464_a_ultimate_front.prefab</v>
      </c>
      <c r="F30" s="1" t="str">
        <f t="shared" si="1"/>
        <v>c464_a/c464_a_ultimate_back.prefab</v>
      </c>
      <c r="G30" s="1" t="s">
        <v>853</v>
      </c>
    </row>
    <row r="31" spans="1:7" x14ac:dyDescent="0.3">
      <c r="A31" s="1">
        <v>4524041</v>
      </c>
      <c r="C31" s="1" t="str">
        <f t="array" ref="C31">_xlfn.IFS(INT(LEFT(A31,1))=1,"Normal", INT(LEFT(A31,1))=2,"Active", INT(LEFT(A31,1))=3,"Ultimate", INT(LEFT(A31,1))=4,"Passive")</f>
        <v>Passive</v>
      </c>
      <c r="D31" s="1" t="s">
        <v>859</v>
      </c>
      <c r="E31" s="1" t="str">
        <f t="shared" si="0"/>
        <v>NULL</v>
      </c>
      <c r="F31" s="1" t="str">
        <f t="shared" si="1"/>
        <v>NULL</v>
      </c>
      <c r="G31" s="1" t="s">
        <v>853</v>
      </c>
    </row>
    <row r="32" spans="1:7" x14ac:dyDescent="0.3">
      <c r="A32" s="1">
        <v>1942011</v>
      </c>
      <c r="C32" s="1" t="str">
        <f t="array" ref="C32">_xlfn.IFS(INT(LEFT(A32,1))=1,"Normal", INT(LEFT(A32,1))=2,"Active", INT(LEFT(A32,1))=3,"Ultimate", INT(LEFT(A32,1))=4,"Passive")</f>
        <v>Normal</v>
      </c>
      <c r="D32" s="1" t="s">
        <v>860</v>
      </c>
      <c r="E32" s="1" t="str">
        <f t="shared" si="0"/>
        <v>m038_a/m038_a_normal_front.prefab</v>
      </c>
      <c r="F32" s="1" t="str">
        <f t="shared" si="1"/>
        <v>m038_a/m038_a_normal_back.prefab</v>
      </c>
      <c r="G32" s="1" t="s">
        <v>853</v>
      </c>
    </row>
    <row r="33" spans="1:7" x14ac:dyDescent="0.3">
      <c r="A33" s="1">
        <v>3942011</v>
      </c>
      <c r="C33" s="1" t="str">
        <f t="array" ref="C33">_xlfn.IFS(INT(LEFT(A33,1))=1,"Normal", INT(LEFT(A33,1))=2,"Active", INT(LEFT(A33,1))=3,"Ultimate", INT(LEFT(A33,1))=4,"Passive")</f>
        <v>Ultimate</v>
      </c>
      <c r="D33" s="1" t="s">
        <v>860</v>
      </c>
      <c r="E33" s="1" t="str">
        <f t="shared" si="0"/>
        <v>m038_a/m038_a_ultimate_front.prefab</v>
      </c>
      <c r="F33" s="1" t="str">
        <f t="shared" si="1"/>
        <v>m038_a/m038_a_ultimate_back.prefab</v>
      </c>
      <c r="G33" s="1" t="s">
        <v>853</v>
      </c>
    </row>
    <row r="34" spans="1:7" x14ac:dyDescent="0.3">
      <c r="A34" s="1">
        <v>1812011</v>
      </c>
      <c r="C34" s="1" t="str">
        <f t="array" ref="C34">_xlfn.IFS(INT(LEFT(A34,1))=1,"Normal", INT(LEFT(A34,1))=2,"Active", INT(LEFT(A34,1))=3,"Ultimate", INT(LEFT(A34,1))=4,"Passive")</f>
        <v>Normal</v>
      </c>
      <c r="D34" s="1" t="s">
        <v>861</v>
      </c>
      <c r="E34" s="1" t="str">
        <f t="shared" si="0"/>
        <v>m155_01_a/m155_01_a_normal_front.prefab</v>
      </c>
      <c r="F34" s="1" t="str">
        <f t="shared" si="1"/>
        <v>m155_01_a/m155_01_a_normal_back.prefab</v>
      </c>
      <c r="G34" s="1" t="s">
        <v>853</v>
      </c>
    </row>
    <row r="35" spans="1:7" x14ac:dyDescent="0.3">
      <c r="A35" s="1">
        <v>1822011</v>
      </c>
      <c r="C35" s="1" t="str">
        <f t="array" ref="C35">_xlfn.IFS(INT(LEFT(A35,1))=1,"Normal", INT(LEFT(A35,1))=2,"Active", INT(LEFT(A35,1))=3,"Ultimate", INT(LEFT(A35,1))=4,"Passive")</f>
        <v>Normal</v>
      </c>
      <c r="D35" s="1" t="s">
        <v>862</v>
      </c>
      <c r="E35" s="1" t="str">
        <f t="shared" si="0"/>
        <v>m155_02_a/m155_02_a_normal_front.prefab</v>
      </c>
      <c r="F35" s="1" t="str">
        <f t="shared" si="1"/>
        <v>m155_02_a/m155_02_a_normal_back.prefab</v>
      </c>
      <c r="G35" s="1" t="s">
        <v>853</v>
      </c>
    </row>
    <row r="36" spans="1:7" x14ac:dyDescent="0.3">
      <c r="A36" s="1">
        <v>1832011</v>
      </c>
      <c r="C36" s="1" t="str">
        <f t="array" ref="C36">_xlfn.IFS(INT(LEFT(A36,1))=1,"Normal", INT(LEFT(A36,1))=2,"Active", INT(LEFT(A36,1))=3,"Ultimate", INT(LEFT(A36,1))=4,"Passive")</f>
        <v>Normal</v>
      </c>
      <c r="D36" s="1" t="s">
        <v>863</v>
      </c>
      <c r="E36" s="1" t="str">
        <f t="shared" si="0"/>
        <v>m155_03_a/m155_03_a_normal_front.prefab</v>
      </c>
      <c r="F36" s="1" t="str">
        <f t="shared" si="1"/>
        <v>m155_03_a/m155_03_a_normal_back.prefab</v>
      </c>
      <c r="G36" s="1" t="s">
        <v>853</v>
      </c>
    </row>
    <row r="37" spans="1:7" x14ac:dyDescent="0.3">
      <c r="A37" s="1">
        <v>1842011</v>
      </c>
      <c r="C37" s="1" t="str">
        <f t="array" ref="C37">_xlfn.IFS(INT(LEFT(A37,1))=1,"Normal", INT(LEFT(A37,1))=2,"Active", INT(LEFT(A37,1))=3,"Ultimate", INT(LEFT(A37,1))=4,"Passive")</f>
        <v>Normal</v>
      </c>
      <c r="D37" s="1" t="s">
        <v>864</v>
      </c>
      <c r="E37" s="1" t="str">
        <f t="shared" si="0"/>
        <v>m155_04_a/m155_04_a_normal_front.prefab</v>
      </c>
      <c r="F37" s="1" t="str">
        <f t="shared" si="1"/>
        <v>m155_04_a/m155_04_a_normal_back.prefab</v>
      </c>
      <c r="G37" s="1" t="s">
        <v>853</v>
      </c>
    </row>
    <row r="38" spans="1:7" x14ac:dyDescent="0.3">
      <c r="A38" s="1">
        <v>1852011</v>
      </c>
      <c r="C38" s="1" t="str">
        <f t="array" ref="C38">_xlfn.IFS(INT(LEFT(A38,1))=1,"Normal", INT(LEFT(A38,1))=2,"Active", INT(LEFT(A38,1))=3,"Ultimate", INT(LEFT(A38,1))=4,"Passive")</f>
        <v>Normal</v>
      </c>
      <c r="D38" s="1" t="s">
        <v>865</v>
      </c>
      <c r="E38" s="1" t="str">
        <f t="shared" si="0"/>
        <v>m155_05_a/m155_05_a_normal_front.prefab</v>
      </c>
      <c r="F38" s="1" t="str">
        <f t="shared" si="1"/>
        <v>m155_05_a/m155_05_a_normal_back.prefab</v>
      </c>
      <c r="G38" s="1" t="s">
        <v>853</v>
      </c>
    </row>
    <row r="39" spans="1:7" x14ac:dyDescent="0.3">
      <c r="A39" s="1">
        <v>2812011</v>
      </c>
      <c r="C39" s="1" t="s">
        <v>30</v>
      </c>
      <c r="D39" s="1" t="s">
        <v>861</v>
      </c>
      <c r="E39" s="1" t="str">
        <f t="shared" si="0"/>
        <v>m155_01_a/m155_01_a_active_front.prefab</v>
      </c>
      <c r="F39" s="1" t="str">
        <f t="shared" si="1"/>
        <v>m155_01_a/m155_01_a_active_back.prefab</v>
      </c>
      <c r="G39" s="1" t="s">
        <v>853</v>
      </c>
    </row>
    <row r="40" spans="1:7" x14ac:dyDescent="0.3">
      <c r="A40" s="1">
        <v>2822011</v>
      </c>
      <c r="C40" s="1" t="s">
        <v>30</v>
      </c>
      <c r="D40" s="1" t="s">
        <v>862</v>
      </c>
      <c r="E40" s="1" t="str">
        <f t="shared" si="0"/>
        <v>m155_02_a/m155_02_a_active_front.prefab</v>
      </c>
      <c r="F40" s="1" t="str">
        <f t="shared" si="1"/>
        <v>m155_02_a/m155_02_a_active_back.prefab</v>
      </c>
      <c r="G40" s="1" t="s">
        <v>853</v>
      </c>
    </row>
    <row r="41" spans="1:7" x14ac:dyDescent="0.3">
      <c r="A41" s="1">
        <v>2832011</v>
      </c>
      <c r="C41" s="1" t="s">
        <v>30</v>
      </c>
      <c r="D41" s="1" t="s">
        <v>863</v>
      </c>
      <c r="E41" s="1" t="str">
        <f t="shared" si="0"/>
        <v>m155_03_a/m155_03_a_active_front.prefab</v>
      </c>
      <c r="F41" s="1" t="str">
        <f t="shared" si="1"/>
        <v>m155_03_a/m155_03_a_active_back.prefab</v>
      </c>
      <c r="G41" s="1" t="s">
        <v>853</v>
      </c>
    </row>
    <row r="42" spans="1:7" x14ac:dyDescent="0.3">
      <c r="A42" s="1">
        <v>2842011</v>
      </c>
      <c r="C42" s="1" t="s">
        <v>30</v>
      </c>
      <c r="D42" s="1" t="s">
        <v>864</v>
      </c>
      <c r="E42" s="1" t="str">
        <f t="shared" si="0"/>
        <v>m155_04_a/m155_04_a_active_front.prefab</v>
      </c>
      <c r="F42" s="1" t="str">
        <f t="shared" si="1"/>
        <v>m155_04_a/m155_04_a_active_back.prefab</v>
      </c>
      <c r="G42" s="1" t="s">
        <v>853</v>
      </c>
    </row>
    <row r="43" spans="1:7" x14ac:dyDescent="0.3">
      <c r="A43" s="1">
        <v>2852011</v>
      </c>
      <c r="C43" s="1" t="s">
        <v>30</v>
      </c>
      <c r="D43" s="1" t="s">
        <v>865</v>
      </c>
      <c r="E43" s="1" t="str">
        <f t="shared" si="0"/>
        <v>m155_05_a/m155_05_a_active_front.prefab</v>
      </c>
      <c r="F43" s="1" t="str">
        <f t="shared" si="1"/>
        <v>m155_05_a/m155_05_a_active_back.prefab</v>
      </c>
      <c r="G43" s="1" t="s">
        <v>853</v>
      </c>
    </row>
    <row r="44" spans="1:7" x14ac:dyDescent="0.3">
      <c r="A44" s="1">
        <v>1811031</v>
      </c>
      <c r="C44" s="1" t="str">
        <f t="array" ref="C44">_xlfn.IFS(INT(LEFT(A44,1))=1,"Normal", INT(LEFT(A44,1))=2,"Active", INT(LEFT(A44,1))=3,"Ultimate", INT(LEFT(A44,1))=4,"Passive")</f>
        <v>Normal</v>
      </c>
      <c r="D44" s="1" t="s">
        <v>866</v>
      </c>
      <c r="E44" s="1" t="str">
        <f t="shared" si="0"/>
        <v>m258_01_a/m258_01_a_normal_front.prefab</v>
      </c>
      <c r="F44" s="1" t="str">
        <f t="shared" si="1"/>
        <v>m258_01_a/m258_01_a_normal_back.prefab</v>
      </c>
      <c r="G44" s="1" t="s">
        <v>853</v>
      </c>
    </row>
    <row r="45" spans="1:7" x14ac:dyDescent="0.3">
      <c r="A45" s="1">
        <v>1821031</v>
      </c>
      <c r="C45" s="1" t="str">
        <f t="array" ref="C45">_xlfn.IFS(INT(LEFT(A45,1))=1,"Normal", INT(LEFT(A45,1))=2,"Active", INT(LEFT(A45,1))=3,"Ultimate", INT(LEFT(A45,1))=4,"Passive")</f>
        <v>Normal</v>
      </c>
      <c r="D45" s="1" t="s">
        <v>867</v>
      </c>
      <c r="E45" s="1" t="str">
        <f t="shared" si="0"/>
        <v>m258_02_a/m258_02_a_normal_front.prefab</v>
      </c>
      <c r="F45" s="1" t="str">
        <f t="shared" si="1"/>
        <v>m258_02_a/m258_02_a_normal_back.prefab</v>
      </c>
      <c r="G45" s="1" t="s">
        <v>853</v>
      </c>
    </row>
    <row r="46" spans="1:7" x14ac:dyDescent="0.3">
      <c r="A46" s="1">
        <v>1831031</v>
      </c>
      <c r="C46" s="1" t="str">
        <f t="array" ref="C46">_xlfn.IFS(INT(LEFT(A46,1))=1,"Normal", INT(LEFT(A46,1))=2,"Active", INT(LEFT(A46,1))=3,"Ultimate", INT(LEFT(A46,1))=4,"Passive")</f>
        <v>Normal</v>
      </c>
      <c r="D46" s="1" t="s">
        <v>868</v>
      </c>
      <c r="E46" s="1" t="str">
        <f t="shared" si="0"/>
        <v>m258_03_a/m258_03_a_normal_front.prefab</v>
      </c>
      <c r="F46" s="1" t="str">
        <f t="shared" si="1"/>
        <v>m258_03_a/m258_03_a_normal_back.prefab</v>
      </c>
      <c r="G46" s="1" t="s">
        <v>853</v>
      </c>
    </row>
    <row r="47" spans="1:7" x14ac:dyDescent="0.3">
      <c r="A47" s="1">
        <v>1841031</v>
      </c>
      <c r="C47" s="1" t="str">
        <f t="array" ref="C47">_xlfn.IFS(INT(LEFT(A47,1))=1,"Normal", INT(LEFT(A47,1))=2,"Active", INT(LEFT(A47,1))=3,"Ultimate", INT(LEFT(A47,1))=4,"Passive")</f>
        <v>Normal</v>
      </c>
      <c r="D47" s="1" t="s">
        <v>869</v>
      </c>
      <c r="E47" s="1" t="str">
        <f t="shared" si="0"/>
        <v>m258_04_a/m258_04_a_normal_front.prefab</v>
      </c>
      <c r="F47" s="1" t="str">
        <f t="shared" si="1"/>
        <v>m258_04_a/m258_04_a_normal_back.prefab</v>
      </c>
      <c r="G47" s="1" t="s">
        <v>853</v>
      </c>
    </row>
    <row r="48" spans="1:7" x14ac:dyDescent="0.3">
      <c r="A48" s="1">
        <v>1851031</v>
      </c>
      <c r="C48" s="1" t="str">
        <f t="array" ref="C48">_xlfn.IFS(INT(LEFT(A48,1))=1,"Normal", INT(LEFT(A48,1))=2,"Active", INT(LEFT(A48,1))=3,"Ultimate", INT(LEFT(A48,1))=4,"Passive")</f>
        <v>Normal</v>
      </c>
      <c r="D48" s="1" t="s">
        <v>870</v>
      </c>
      <c r="E48" s="1" t="str">
        <f t="shared" si="0"/>
        <v>m258_05_a/m258_05_a_normal_front.prefab</v>
      </c>
      <c r="F48" s="1" t="str">
        <f t="shared" si="1"/>
        <v>m258_05_a/m258_05_a_normal_back.prefab</v>
      </c>
      <c r="G48" s="1" t="s">
        <v>853</v>
      </c>
    </row>
    <row r="49" spans="1:7" x14ac:dyDescent="0.3">
      <c r="A49" s="1">
        <v>2811031</v>
      </c>
      <c r="C49" s="1" t="str">
        <f t="array" ref="C49">_xlfn.IFS(INT(LEFT(A49,1))=1,"Normal", INT(LEFT(A49,1))=2,"Active", INT(LEFT(A49,1))=3,"Ultimate", INT(LEFT(A49,1))=4,"Passive")</f>
        <v>Active</v>
      </c>
      <c r="D49" s="1" t="s">
        <v>866</v>
      </c>
      <c r="E49" s="1" t="str">
        <f t="shared" si="0"/>
        <v>m258_01_a/m258_01_a_active_front.prefab</v>
      </c>
      <c r="F49" s="1" t="str">
        <f t="shared" si="1"/>
        <v>m258_01_a/m258_01_a_active_back.prefab</v>
      </c>
      <c r="G49" s="1" t="s">
        <v>853</v>
      </c>
    </row>
    <row r="50" spans="1:7" x14ac:dyDescent="0.3">
      <c r="A50" s="1">
        <v>2821031</v>
      </c>
      <c r="C50" s="1" t="str">
        <f t="array" ref="C50">_xlfn.IFS(INT(LEFT(A50,1))=1,"Normal", INT(LEFT(A50,1))=2,"Active", INT(LEFT(A50,1))=3,"Ultimate", INT(LEFT(A50,1))=4,"Passive")</f>
        <v>Active</v>
      </c>
      <c r="D50" s="1" t="s">
        <v>867</v>
      </c>
      <c r="E50" s="1" t="str">
        <f t="shared" si="0"/>
        <v>m258_02_a/m258_02_a_active_front.prefab</v>
      </c>
      <c r="F50" s="1" t="str">
        <f t="shared" si="1"/>
        <v>m258_02_a/m258_02_a_active_back.prefab</v>
      </c>
      <c r="G50" s="1" t="s">
        <v>853</v>
      </c>
    </row>
    <row r="51" spans="1:7" x14ac:dyDescent="0.3">
      <c r="A51" s="1">
        <v>2831031</v>
      </c>
      <c r="C51" s="1" t="str">
        <f t="array" ref="C51">_xlfn.IFS(INT(LEFT(A51,1))=1,"Normal", INT(LEFT(A51,1))=2,"Active", INT(LEFT(A51,1))=3,"Ultimate", INT(LEFT(A51,1))=4,"Passive")</f>
        <v>Active</v>
      </c>
      <c r="D51" s="1" t="s">
        <v>868</v>
      </c>
      <c r="E51" s="1" t="str">
        <f t="shared" si="0"/>
        <v>m258_03_a/m258_03_a_active_front.prefab</v>
      </c>
      <c r="F51" s="1" t="str">
        <f t="shared" si="1"/>
        <v>m258_03_a/m258_03_a_active_back.prefab</v>
      </c>
      <c r="G51" s="1" t="s">
        <v>853</v>
      </c>
    </row>
    <row r="52" spans="1:7" x14ac:dyDescent="0.3">
      <c r="A52" s="1">
        <v>2841031</v>
      </c>
      <c r="C52" s="1" t="str">
        <f t="array" ref="C52">_xlfn.IFS(INT(LEFT(A52,1))=1,"Normal", INT(LEFT(A52,1))=2,"Active", INT(LEFT(A52,1))=3,"Ultimate", INT(LEFT(A52,1))=4,"Passive")</f>
        <v>Active</v>
      </c>
      <c r="D52" s="1" t="s">
        <v>869</v>
      </c>
      <c r="E52" s="1" t="str">
        <f t="shared" si="0"/>
        <v>m258_04_a/m258_04_a_active_front.prefab</v>
      </c>
      <c r="F52" s="1" t="str">
        <f t="shared" si="1"/>
        <v>m258_04_a/m258_04_a_active_back.prefab</v>
      </c>
      <c r="G52" s="1" t="s">
        <v>853</v>
      </c>
    </row>
    <row r="53" spans="1:7" x14ac:dyDescent="0.3">
      <c r="A53" s="1">
        <v>2851031</v>
      </c>
      <c r="C53" s="1" t="str">
        <f t="array" ref="C53">_xlfn.IFS(INT(LEFT(A53,1))=1,"Normal", INT(LEFT(A53,1))=2,"Active", INT(LEFT(A53,1))=3,"Ultimate", INT(LEFT(A53,1))=4,"Passive")</f>
        <v>Active</v>
      </c>
      <c r="D53" s="1" t="s">
        <v>870</v>
      </c>
      <c r="E53" s="1" t="str">
        <f t="shared" si="0"/>
        <v>m258_05_a/m258_05_a_active_front.prefab</v>
      </c>
      <c r="F53" s="1" t="str">
        <f t="shared" si="1"/>
        <v>m258_05_a/m258_05_a_active_back.prefab</v>
      </c>
      <c r="G53" s="1" t="s">
        <v>853</v>
      </c>
    </row>
    <row r="54" spans="1:7" x14ac:dyDescent="0.3">
      <c r="A54" s="1">
        <v>3811031</v>
      </c>
      <c r="C54" s="1" t="str">
        <f t="array" ref="C54">_xlfn.IFS(INT(LEFT(A54,1))=1,"Normal", INT(LEFT(A54,1))=2,"Active", INT(LEFT(A54,1))=3,"Ultimate", INT(LEFT(A54,1))=4,"Passive")</f>
        <v>Ultimate</v>
      </c>
      <c r="D54" s="1" t="s">
        <v>866</v>
      </c>
      <c r="E54" s="1" t="str">
        <f t="shared" si="0"/>
        <v>m258_01_a/m258_01_a_ultimate_front.prefab</v>
      </c>
      <c r="F54" s="1" t="str">
        <f t="shared" si="1"/>
        <v>m258_01_a/m258_01_a_ultimate_back.prefab</v>
      </c>
      <c r="G54" s="1" t="s">
        <v>853</v>
      </c>
    </row>
    <row r="55" spans="1:7" x14ac:dyDescent="0.3">
      <c r="A55" s="1">
        <v>3821031</v>
      </c>
      <c r="C55" s="1" t="str">
        <f t="array" ref="C55">_xlfn.IFS(INT(LEFT(A55,1))=1,"Normal", INT(LEFT(A55,1))=2,"Active", INT(LEFT(A55,1))=3,"Ultimate", INT(LEFT(A55,1))=4,"Passive")</f>
        <v>Ultimate</v>
      </c>
      <c r="D55" s="1" t="s">
        <v>867</v>
      </c>
      <c r="E55" s="1" t="str">
        <f t="shared" si="0"/>
        <v>m258_02_a/m258_02_a_ultimate_front.prefab</v>
      </c>
      <c r="F55" s="1" t="str">
        <f t="shared" si="1"/>
        <v>m258_02_a/m258_02_a_ultimate_back.prefab</v>
      </c>
      <c r="G55" s="1" t="s">
        <v>853</v>
      </c>
    </row>
    <row r="56" spans="1:7" x14ac:dyDescent="0.3">
      <c r="A56" s="1">
        <v>3831031</v>
      </c>
      <c r="C56" s="1" t="str">
        <f t="array" ref="C56">_xlfn.IFS(INT(LEFT(A56,1))=1,"Normal", INT(LEFT(A56,1))=2,"Active", INT(LEFT(A56,1))=3,"Ultimate", INT(LEFT(A56,1))=4,"Passive")</f>
        <v>Ultimate</v>
      </c>
      <c r="D56" s="1" t="s">
        <v>868</v>
      </c>
      <c r="E56" s="1" t="str">
        <f t="shared" si="0"/>
        <v>m258_03_a/m258_03_a_ultimate_front.prefab</v>
      </c>
      <c r="F56" s="1" t="str">
        <f t="shared" si="1"/>
        <v>m258_03_a/m258_03_a_ultimate_back.prefab</v>
      </c>
      <c r="G56" s="1" t="s">
        <v>853</v>
      </c>
    </row>
    <row r="57" spans="1:7" x14ac:dyDescent="0.3">
      <c r="A57" s="1">
        <v>3841031</v>
      </c>
      <c r="C57" s="1" t="str">
        <f t="array" ref="C57">_xlfn.IFS(INT(LEFT(A57,1))=1,"Normal", INT(LEFT(A57,1))=2,"Active", INT(LEFT(A57,1))=3,"Ultimate", INT(LEFT(A57,1))=4,"Passive")</f>
        <v>Ultimate</v>
      </c>
      <c r="D57" s="1" t="s">
        <v>869</v>
      </c>
      <c r="E57" s="1" t="str">
        <f t="shared" si="0"/>
        <v>m258_04_a/m258_04_a_ultimate_front.prefab</v>
      </c>
      <c r="F57" s="1" t="str">
        <f t="shared" si="1"/>
        <v>m258_04_a/m258_04_a_ultimate_back.prefab</v>
      </c>
      <c r="G57" s="1" t="s">
        <v>853</v>
      </c>
    </row>
    <row r="58" spans="1:7" x14ac:dyDescent="0.3">
      <c r="A58" s="1">
        <v>3851031</v>
      </c>
      <c r="C58" s="1" t="str">
        <f t="array" ref="C58">_xlfn.IFS(INT(LEFT(A58,1))=1,"Normal", INT(LEFT(A58,1))=2,"Active", INT(LEFT(A58,1))=3,"Ultimate", INT(LEFT(A58,1))=4,"Passive")</f>
        <v>Ultimate</v>
      </c>
      <c r="D58" s="1" t="s">
        <v>870</v>
      </c>
      <c r="E58" s="1" t="str">
        <f t="shared" si="0"/>
        <v>m258_05_a/m258_05_a_ultimate_front.prefab</v>
      </c>
      <c r="F58" s="1" t="str">
        <f t="shared" si="1"/>
        <v>m258_05_a/m258_05_a_ultimate_back.prefab</v>
      </c>
      <c r="G58" s="1" t="s">
        <v>853</v>
      </c>
    </row>
    <row r="59" spans="1:7" x14ac:dyDescent="0.3">
      <c r="A59" s="1">
        <v>1555081</v>
      </c>
      <c r="C59" s="1" t="str">
        <f t="array" ref="C59">_xlfn.IFS(INT(LEFT(A59,1))=1,"Normal", INT(LEFT(A59,1))=2,"Active", INT(LEFT(A59,1))=3,"Ultimate", INT(LEFT(A59,1))=4,"Passive")</f>
        <v>Normal</v>
      </c>
      <c r="D59" s="1" t="s">
        <v>871</v>
      </c>
      <c r="E59" s="1" t="str">
        <f t="shared" si="0"/>
        <v>c183_a/c183_a_normal_front.prefab</v>
      </c>
      <c r="F59" s="1" t="str">
        <f t="shared" si="1"/>
        <v>c183_a/c183_a_normal_back.prefab</v>
      </c>
      <c r="G59" s="1" t="s">
        <v>853</v>
      </c>
    </row>
    <row r="60" spans="1:7" x14ac:dyDescent="0.3">
      <c r="A60" s="1">
        <v>2555081</v>
      </c>
      <c r="C60" s="1" t="str">
        <f t="array" ref="C60">_xlfn.IFS(INT(LEFT(A60,1))=1,"Normal", INT(LEFT(A60,1))=2,"Active", INT(LEFT(A60,1))=3,"Ultimate", INT(LEFT(A60,1))=4,"Passive")</f>
        <v>Active</v>
      </c>
      <c r="D60" s="1" t="s">
        <v>871</v>
      </c>
      <c r="E60" s="1" t="str">
        <f t="shared" si="0"/>
        <v>c183_a/c183_a_active_front.prefab</v>
      </c>
      <c r="F60" s="1" t="str">
        <f t="shared" si="1"/>
        <v>c183_a/c183_a_active_back.prefab</v>
      </c>
      <c r="G60" s="1" t="s">
        <v>853</v>
      </c>
    </row>
    <row r="61" spans="1:7" x14ac:dyDescent="0.3">
      <c r="A61" s="1">
        <v>3555081</v>
      </c>
      <c r="C61" s="1" t="str">
        <f t="array" ref="C61">_xlfn.IFS(INT(LEFT(A61,1))=1,"Normal", INT(LEFT(A61,1))=2,"Active", INT(LEFT(A61,1))=3,"Ultimate", INT(LEFT(A61,1))=4,"Passive")</f>
        <v>Ultimate</v>
      </c>
      <c r="D61" s="1" t="s">
        <v>871</v>
      </c>
      <c r="E61" s="1" t="str">
        <f t="shared" si="0"/>
        <v>c183_a/c183_a_ultimate_front.prefab</v>
      </c>
      <c r="F61" s="1" t="str">
        <f t="shared" si="1"/>
        <v>c183_a/c183_a_ultimate_back.prefab</v>
      </c>
      <c r="G61" s="1" t="s">
        <v>853</v>
      </c>
    </row>
    <row r="62" spans="1:7" x14ac:dyDescent="0.3">
      <c r="A62" s="1">
        <v>4555081</v>
      </c>
      <c r="C62" s="1" t="str">
        <f t="array" ref="C62">_xlfn.IFS(INT(LEFT(A62,1))=1,"Normal", INT(LEFT(A62,1))=2,"Active", INT(LEFT(A62,1))=3,"Ultimate", INT(LEFT(A62,1))=4,"Passive")</f>
        <v>Passive</v>
      </c>
      <c r="D62" s="1" t="s">
        <v>871</v>
      </c>
      <c r="E62" s="1" t="str">
        <f t="shared" si="0"/>
        <v>NULL</v>
      </c>
      <c r="F62" s="1" t="str">
        <f t="shared" si="1"/>
        <v>NULL</v>
      </c>
      <c r="G62" s="1" t="s">
        <v>853</v>
      </c>
    </row>
    <row r="63" spans="1:7" x14ac:dyDescent="0.3">
      <c r="A63" s="1">
        <v>1551091</v>
      </c>
      <c r="C63" s="1" t="str">
        <f t="array" ref="C63">_xlfn.IFS(INT(LEFT(A63,1))=1,"Normal", INT(LEFT(A63,1))=2,"Active", INT(LEFT(A63,1))=3,"Ultimate", INT(LEFT(A63,1))=4,"Passive")</f>
        <v>Normal</v>
      </c>
      <c r="D63" s="1" t="s">
        <v>872</v>
      </c>
      <c r="E63" s="1" t="str">
        <f t="shared" si="0"/>
        <v>c051_a/c051_a_normal_front.prefab</v>
      </c>
      <c r="F63" s="1" t="str">
        <f t="shared" si="1"/>
        <v>c051_a/c051_a_normal_back.prefab</v>
      </c>
      <c r="G63" s="1" t="s">
        <v>853</v>
      </c>
    </row>
    <row r="64" spans="1:7" x14ac:dyDescent="0.3">
      <c r="A64" s="1">
        <v>2551091</v>
      </c>
      <c r="C64" s="1" t="str">
        <f t="array" ref="C64">_xlfn.IFS(INT(LEFT(A64,1))=1,"Normal", INT(LEFT(A64,1))=2,"Active", INT(LEFT(A64,1))=3,"Ultimate", INT(LEFT(A64,1))=4,"Passive")</f>
        <v>Active</v>
      </c>
      <c r="D64" s="1" t="s">
        <v>872</v>
      </c>
      <c r="E64" s="1" t="str">
        <f t="shared" si="0"/>
        <v>c051_a/c051_a_active_front.prefab</v>
      </c>
      <c r="F64" s="1" t="str">
        <f t="shared" si="1"/>
        <v>c051_a/c051_a_active_back.prefab</v>
      </c>
      <c r="G64" s="1" t="s">
        <v>853</v>
      </c>
    </row>
    <row r="65" spans="1:7" x14ac:dyDescent="0.3">
      <c r="A65" s="1">
        <v>3551091</v>
      </c>
      <c r="C65" s="1" t="str">
        <f t="array" ref="C65">_xlfn.IFS(INT(LEFT(A65,1))=1,"Normal", INT(LEFT(A65,1))=2,"Active", INT(LEFT(A65,1))=3,"Ultimate", INT(LEFT(A65,1))=4,"Passive")</f>
        <v>Ultimate</v>
      </c>
      <c r="D65" s="1" t="s">
        <v>872</v>
      </c>
      <c r="E65" s="1" t="str">
        <f t="shared" si="0"/>
        <v>c051_a/c051_a_ultimate_front.prefab</v>
      </c>
      <c r="F65" s="1" t="str">
        <f t="shared" si="1"/>
        <v>c051_a/c051_a_ultimate_back.prefab</v>
      </c>
      <c r="G65" s="1" t="s">
        <v>853</v>
      </c>
    </row>
    <row r="66" spans="1:7" x14ac:dyDescent="0.3">
      <c r="A66" s="1">
        <v>4551091</v>
      </c>
      <c r="C66" s="1" t="str">
        <f t="array" ref="C66">_xlfn.IFS(INT(LEFT(A66,1))=1,"Normal", INT(LEFT(A66,1))=2,"Active", INT(LEFT(A66,1))=3,"Ultimate", INT(LEFT(A66,1))=4,"Passive")</f>
        <v>Passive</v>
      </c>
      <c r="D66" s="1" t="s">
        <v>872</v>
      </c>
      <c r="E66" s="1" t="str">
        <f t="shared" si="0"/>
        <v>NULL</v>
      </c>
      <c r="F66" s="1" t="str">
        <f t="shared" si="1"/>
        <v>NULL</v>
      </c>
      <c r="G66" s="1" t="s">
        <v>853</v>
      </c>
    </row>
    <row r="67" spans="1:7" x14ac:dyDescent="0.3">
      <c r="A67" s="1">
        <v>1554101</v>
      </c>
      <c r="C67" s="1" t="str">
        <f t="array" ref="C67">_xlfn.IFS(INT(LEFT(A67,1))=1,"Normal", INT(LEFT(A67,1))=2,"Active", INT(LEFT(A67,1))=3,"Ultimate", INT(LEFT(A67,1))=4,"Passive")</f>
        <v>Normal</v>
      </c>
      <c r="D67" s="1" t="s">
        <v>873</v>
      </c>
      <c r="E67" s="1" t="str">
        <f t="shared" si="0"/>
        <v>c364_a/c364_a_normal_front.prefab</v>
      </c>
      <c r="F67" s="1" t="str">
        <f t="shared" si="1"/>
        <v>c364_a/c364_a_normal_back.prefab</v>
      </c>
      <c r="G67" s="1" t="s">
        <v>853</v>
      </c>
    </row>
    <row r="68" spans="1:7" x14ac:dyDescent="0.3">
      <c r="A68" s="1">
        <v>2554101</v>
      </c>
      <c r="C68" s="1" t="str">
        <f t="array" ref="C68">_xlfn.IFS(INT(LEFT(A68,1))=1,"Normal", INT(LEFT(A68,1))=2,"Active", INT(LEFT(A68,1))=3,"Ultimate", INT(LEFT(A68,1))=4,"Passive")</f>
        <v>Active</v>
      </c>
      <c r="D68" s="1" t="s">
        <v>873</v>
      </c>
      <c r="E68" s="1" t="str">
        <f t="shared" ref="E68:E131" si="2">IF(C68="Passive","NULL",$D68&amp;"/"&amp;LOWER($D68&amp;"_"&amp;$C68&amp;"_front.prefab"))</f>
        <v>c364_a/c364_a_active_front.prefab</v>
      </c>
      <c r="F68" s="1" t="str">
        <f t="shared" ref="F68:F131" si="3">IF(C68="Passive","NULL",$D68&amp;"/"&amp;LOWER($D68&amp;"_"&amp;$C68&amp;"_Back.prefab"))</f>
        <v>c364_a/c364_a_active_back.prefab</v>
      </c>
      <c r="G68" s="1" t="s">
        <v>853</v>
      </c>
    </row>
    <row r="69" spans="1:7" x14ac:dyDescent="0.3">
      <c r="A69" s="1">
        <v>3554101</v>
      </c>
      <c r="C69" s="1" t="str">
        <f t="array" ref="C69">_xlfn.IFS(INT(LEFT(A69,1))=1,"Normal", INT(LEFT(A69,1))=2,"Active", INT(LEFT(A69,1))=3,"Ultimate", INT(LEFT(A69,1))=4,"Passive")</f>
        <v>Ultimate</v>
      </c>
      <c r="D69" s="1" t="s">
        <v>873</v>
      </c>
      <c r="E69" s="1" t="str">
        <f t="shared" si="2"/>
        <v>c364_a/c364_a_ultimate_front.prefab</v>
      </c>
      <c r="F69" s="1" t="str">
        <f t="shared" si="3"/>
        <v>c364_a/c364_a_ultimate_back.prefab</v>
      </c>
      <c r="G69" s="1" t="s">
        <v>853</v>
      </c>
    </row>
    <row r="70" spans="1:7" x14ac:dyDescent="0.3">
      <c r="A70" s="26">
        <v>4554101</v>
      </c>
      <c r="C70" s="1" t="str">
        <f t="array" ref="C70">_xlfn.IFS(INT(LEFT(A70,1))=1,"Normal", INT(LEFT(A70,1))=2,"Active", INT(LEFT(A70,1))=3,"Ultimate", INT(LEFT(A70,1))=4,"Passive")</f>
        <v>Passive</v>
      </c>
      <c r="D70" s="1" t="s">
        <v>873</v>
      </c>
      <c r="E70" s="1" t="str">
        <f t="shared" si="2"/>
        <v>NULL</v>
      </c>
      <c r="F70" s="1" t="str">
        <f t="shared" si="3"/>
        <v>NULL</v>
      </c>
      <c r="G70" s="1" t="s">
        <v>853</v>
      </c>
    </row>
    <row r="71" spans="1:7" x14ac:dyDescent="0.3">
      <c r="A71" s="1">
        <v>1942021</v>
      </c>
      <c r="C71" s="1" t="str">
        <f t="array" ref="C71">_xlfn.IFS(INT(LEFT(A71,1))=1,"Normal", INT(LEFT(A71,1))=2,"Active", INT(LEFT(A71,1))=3,"Ultimate", INT(LEFT(A71,1))=4,"Passive")</f>
        <v>Normal</v>
      </c>
      <c r="D71" s="1" t="s">
        <v>874</v>
      </c>
      <c r="E71" s="1" t="str">
        <f t="shared" si="2"/>
        <v>m040_a/m040_a_normal_front.prefab</v>
      </c>
      <c r="F71" s="1" t="str">
        <f t="shared" si="3"/>
        <v>m040_a/m040_a_normal_back.prefab</v>
      </c>
      <c r="G71" s="1" t="s">
        <v>853</v>
      </c>
    </row>
    <row r="72" spans="1:7" x14ac:dyDescent="0.3">
      <c r="A72" s="1">
        <v>2942021</v>
      </c>
      <c r="C72" s="1" t="str">
        <f t="array" ref="C72">_xlfn.IFS(INT(LEFT(A72,1))=1,"Normal", INT(LEFT(A72,1))=2,"Active", INT(LEFT(A72,1))=3,"Ultimate", INT(LEFT(A72,1))=4,"Passive")</f>
        <v>Active</v>
      </c>
      <c r="D72" s="1" t="s">
        <v>874</v>
      </c>
      <c r="E72" s="1" t="str">
        <f t="shared" si="2"/>
        <v>m040_a/m040_a_active_front.prefab</v>
      </c>
      <c r="F72" s="1" t="str">
        <f t="shared" si="3"/>
        <v>m040_a/m040_a_active_back.prefab</v>
      </c>
      <c r="G72" s="1" t="s">
        <v>853</v>
      </c>
    </row>
    <row r="73" spans="1:7" x14ac:dyDescent="0.3">
      <c r="A73" s="1">
        <v>3942021</v>
      </c>
      <c r="C73" s="1" t="str">
        <f t="array" ref="C73">_xlfn.IFS(INT(LEFT(A73,1))=1,"Normal", INT(LEFT(A73,1))=2,"Active", INT(LEFT(A73,1))=3,"Ultimate", INT(LEFT(A73,1))=4,"Passive")</f>
        <v>Ultimate</v>
      </c>
      <c r="D73" s="1" t="s">
        <v>874</v>
      </c>
      <c r="E73" s="1" t="str">
        <f t="shared" si="2"/>
        <v>m040_a/m040_a_ultimate_front.prefab</v>
      </c>
      <c r="F73" s="1" t="str">
        <f t="shared" si="3"/>
        <v>m040_a/m040_a_ultimate_back.prefab</v>
      </c>
      <c r="G73" s="1" t="s">
        <v>853</v>
      </c>
    </row>
    <row r="74" spans="1:7" x14ac:dyDescent="0.3">
      <c r="A74" s="1">
        <v>1842051</v>
      </c>
      <c r="C74" s="1" t="str">
        <f t="array" ref="C74">_xlfn.IFS(INT(LEFT(A74,1))=1,"Normal", INT(LEFT(A74,1))=2,"Active", INT(LEFT(A74,1))=3,"Ultimate", INT(LEFT(A74,1))=4,"Passive")</f>
        <v>Normal</v>
      </c>
      <c r="D74" s="1" t="s">
        <v>875</v>
      </c>
      <c r="E74" s="1" t="str">
        <f t="shared" si="2"/>
        <v>m013_01_a/m013_01_a_normal_front.prefab</v>
      </c>
      <c r="F74" s="1" t="str">
        <f t="shared" si="3"/>
        <v>m013_01_a/m013_01_a_normal_back.prefab</v>
      </c>
      <c r="G74" s="1" t="s">
        <v>853</v>
      </c>
    </row>
    <row r="75" spans="1:7" x14ac:dyDescent="0.3">
      <c r="A75" s="1">
        <v>2842051</v>
      </c>
      <c r="C75" s="1" t="str">
        <f t="array" ref="C75">_xlfn.IFS(INT(LEFT(A75,1))=1,"Normal", INT(LEFT(A75,1))=2,"Active", INT(LEFT(A75,1))=3,"Ultimate", INT(LEFT(A75,1))=4,"Passive")</f>
        <v>Active</v>
      </c>
      <c r="D75" s="1" t="s">
        <v>875</v>
      </c>
      <c r="E75" s="1" t="str">
        <f t="shared" si="2"/>
        <v>m013_01_a/m013_01_a_active_front.prefab</v>
      </c>
      <c r="F75" s="1" t="str">
        <f t="shared" si="3"/>
        <v>m013_01_a/m013_01_a_active_back.prefab</v>
      </c>
      <c r="G75" s="1" t="s">
        <v>853</v>
      </c>
    </row>
    <row r="76" spans="1:7" x14ac:dyDescent="0.3">
      <c r="A76" s="1">
        <v>3842051</v>
      </c>
      <c r="C76" s="1" t="str">
        <f t="array" ref="C76">_xlfn.IFS(INT(LEFT(A76,1))=1,"Normal", INT(LEFT(A76,1))=2,"Active", INT(LEFT(A76,1))=3,"Ultimate", INT(LEFT(A76,1))=4,"Passive")</f>
        <v>Ultimate</v>
      </c>
      <c r="D76" s="1" t="s">
        <v>875</v>
      </c>
      <c r="E76" s="1" t="str">
        <f t="shared" si="2"/>
        <v>m013_01_a/m013_01_a_ultimate_front.prefab</v>
      </c>
      <c r="F76" s="1" t="str">
        <f t="shared" si="3"/>
        <v>m013_01_a/m013_01_a_ultimate_back.prefab</v>
      </c>
      <c r="G76" s="1" t="s">
        <v>853</v>
      </c>
    </row>
    <row r="77" spans="1:7" x14ac:dyDescent="0.3">
      <c r="A77" s="1">
        <v>1842061</v>
      </c>
      <c r="C77" s="1" t="str">
        <f t="array" ref="C77">_xlfn.IFS(INT(LEFT(A77,1))=1,"Normal", INT(LEFT(A77,1))=2,"Active", INT(LEFT(A77,1))=3,"Ultimate", INT(LEFT(A77,1))=4,"Passive")</f>
        <v>Normal</v>
      </c>
      <c r="D77" s="1" t="s">
        <v>876</v>
      </c>
      <c r="E77" s="1" t="str">
        <f t="shared" si="2"/>
        <v>m189_a/m189_a_normal_front.prefab</v>
      </c>
      <c r="F77" s="1" t="str">
        <f t="shared" si="3"/>
        <v>m189_a/m189_a_normal_back.prefab</v>
      </c>
      <c r="G77" s="1" t="s">
        <v>853</v>
      </c>
    </row>
    <row r="78" spans="1:7" x14ac:dyDescent="0.3">
      <c r="A78" s="1">
        <v>2842061</v>
      </c>
      <c r="C78" s="1" t="s">
        <v>30</v>
      </c>
      <c r="D78" s="1" t="s">
        <v>876</v>
      </c>
      <c r="E78" s="1" t="str">
        <f t="shared" si="2"/>
        <v>m189_a/m189_a_active_front.prefab</v>
      </c>
      <c r="F78" s="1" t="str">
        <f t="shared" si="3"/>
        <v>m189_a/m189_a_active_back.prefab</v>
      </c>
      <c r="G78" s="1" t="s">
        <v>853</v>
      </c>
    </row>
    <row r="79" spans="1:7" x14ac:dyDescent="0.3">
      <c r="A79" s="1">
        <v>3842061</v>
      </c>
      <c r="C79" s="1" t="str">
        <f t="array" ref="C79">_xlfn.IFS(INT(LEFT(A79,1))=1,"Normal", INT(LEFT(A79,1))=2,"Active", INT(LEFT(A79,1))=3,"Ultimate", INT(LEFT(A79,1))=4,"Passive")</f>
        <v>Ultimate</v>
      </c>
      <c r="D79" s="1" t="s">
        <v>876</v>
      </c>
      <c r="E79" s="1" t="str">
        <f t="shared" si="2"/>
        <v>m189_a/m189_a_ultimate_front.prefab</v>
      </c>
      <c r="F79" s="1" t="str">
        <f t="shared" si="3"/>
        <v>m189_a/m189_a_ultimate_back.prefab</v>
      </c>
      <c r="G79" s="1" t="s">
        <v>853</v>
      </c>
    </row>
    <row r="80" spans="1:7" x14ac:dyDescent="0.3">
      <c r="A80" s="1">
        <v>1811041</v>
      </c>
      <c r="C80" s="1" t="str">
        <f t="array" ref="C80">_xlfn.IFS(INT(LEFT(A80,1))=1,"Normal", INT(LEFT(A80,1))=2,"Active", INT(LEFT(A80,1))=3,"Ultimate", INT(LEFT(A80,1))=4,"Passive")</f>
        <v>Normal</v>
      </c>
      <c r="D80" s="1" t="s">
        <v>877</v>
      </c>
      <c r="E80" s="1" t="str">
        <f t="shared" si="2"/>
        <v>m073_01_a/m073_01_a_normal_front.prefab</v>
      </c>
      <c r="F80" s="1" t="str">
        <f t="shared" si="3"/>
        <v>m073_01_a/m073_01_a_normal_back.prefab</v>
      </c>
      <c r="G80" s="1" t="s">
        <v>853</v>
      </c>
    </row>
    <row r="81" spans="1:11" x14ac:dyDescent="0.3">
      <c r="A81" s="1">
        <v>3811041</v>
      </c>
      <c r="C81" s="1" t="str">
        <f t="array" ref="C81">_xlfn.IFS(INT(LEFT(A81,1))=1,"Normal", INT(LEFT(A81,1))=2,"Active", INT(LEFT(A81,1))=3,"Ultimate", INT(LEFT(A81,1))=4,"Passive")</f>
        <v>Ultimate</v>
      </c>
      <c r="D81" s="1" t="s">
        <v>877</v>
      </c>
      <c r="E81" s="1" t="str">
        <f t="shared" si="2"/>
        <v>m073_01_a/m073_01_a_ultimate_front.prefab</v>
      </c>
      <c r="F81" s="1" t="str">
        <f t="shared" si="3"/>
        <v>m073_01_a/m073_01_a_ultimate_back.prefab</v>
      </c>
      <c r="G81" s="1" t="s">
        <v>853</v>
      </c>
    </row>
    <row r="82" spans="1:11" x14ac:dyDescent="0.3">
      <c r="A82" s="1">
        <v>1821041</v>
      </c>
      <c r="C82" s="1" t="str">
        <f t="array" ref="C82">_xlfn.IFS(INT(LEFT(A82,1))=1,"Normal", INT(LEFT(A82,1))=2,"Active", INT(LEFT(A82,1))=3,"Ultimate", INT(LEFT(A82,1))=4,"Passive")</f>
        <v>Normal</v>
      </c>
      <c r="D82" s="1" t="s">
        <v>878</v>
      </c>
      <c r="E82" s="1" t="str">
        <f t="shared" si="2"/>
        <v>m073_02_a/m073_02_a_normal_front.prefab</v>
      </c>
      <c r="F82" s="1" t="str">
        <f t="shared" si="3"/>
        <v>m073_02_a/m073_02_a_normal_back.prefab</v>
      </c>
      <c r="G82" s="1" t="s">
        <v>853</v>
      </c>
    </row>
    <row r="83" spans="1:11" x14ac:dyDescent="0.3">
      <c r="A83" s="1">
        <v>3821041</v>
      </c>
      <c r="C83" s="1" t="str">
        <f t="array" ref="C83">_xlfn.IFS(INT(LEFT(A83,1))=1,"Normal", INT(LEFT(A83,1))=2,"Active", INT(LEFT(A83,1))=3,"Ultimate", INT(LEFT(A83,1))=4,"Passive")</f>
        <v>Ultimate</v>
      </c>
      <c r="D83" s="1" t="s">
        <v>878</v>
      </c>
      <c r="E83" s="1" t="str">
        <f t="shared" si="2"/>
        <v>m073_02_a/m073_02_a_ultimate_front.prefab</v>
      </c>
      <c r="F83" s="1" t="str">
        <f t="shared" si="3"/>
        <v>m073_02_a/m073_02_a_ultimate_back.prefab</v>
      </c>
      <c r="G83" s="1" t="s">
        <v>853</v>
      </c>
    </row>
    <row r="84" spans="1:11" x14ac:dyDescent="0.3">
      <c r="A84" s="1">
        <v>1831041</v>
      </c>
      <c r="C84" s="1" t="str">
        <f t="array" ref="C84">_xlfn.IFS(INT(LEFT(A84,1))=1,"Normal", INT(LEFT(A84,1))=2,"Active", INT(LEFT(A84,1))=3,"Ultimate", INT(LEFT(A84,1))=4,"Passive")</f>
        <v>Normal</v>
      </c>
      <c r="D84" s="1" t="s">
        <v>879</v>
      </c>
      <c r="E84" s="1" t="str">
        <f t="shared" si="2"/>
        <v>m073_03_a/m073_03_a_normal_front.prefab</v>
      </c>
      <c r="F84" s="1" t="str">
        <f t="shared" si="3"/>
        <v>m073_03_a/m073_03_a_normal_back.prefab</v>
      </c>
      <c r="G84" s="1" t="s">
        <v>853</v>
      </c>
    </row>
    <row r="85" spans="1:11" x14ac:dyDescent="0.3">
      <c r="A85" s="1">
        <v>3831041</v>
      </c>
      <c r="C85" s="1" t="str">
        <f t="array" ref="C85">_xlfn.IFS(INT(LEFT(A85,1))=1,"Normal", INT(LEFT(A85,1))=2,"Active", INT(LEFT(A85,1))=3,"Ultimate", INT(LEFT(A85,1))=4,"Passive")</f>
        <v>Ultimate</v>
      </c>
      <c r="D85" s="1" t="s">
        <v>879</v>
      </c>
      <c r="E85" s="1" t="str">
        <f t="shared" si="2"/>
        <v>m073_03_a/m073_03_a_ultimate_front.prefab</v>
      </c>
      <c r="F85" s="1" t="str">
        <f t="shared" si="3"/>
        <v>m073_03_a/m073_03_a_ultimate_back.prefab</v>
      </c>
      <c r="G85" s="1" t="s">
        <v>853</v>
      </c>
    </row>
    <row r="86" spans="1:11" x14ac:dyDescent="0.3">
      <c r="A86" s="1">
        <v>1841041</v>
      </c>
      <c r="C86" s="1" t="str">
        <f t="array" ref="C86">_xlfn.IFS(INT(LEFT(A86,1))=1,"Normal", INT(LEFT(A86,1))=2,"Active", INT(LEFT(A86,1))=3,"Ultimate", INT(LEFT(A86,1))=4,"Passive")</f>
        <v>Normal</v>
      </c>
      <c r="D86" s="1" t="s">
        <v>880</v>
      </c>
      <c r="E86" s="1" t="str">
        <f t="shared" si="2"/>
        <v>m073_04_a/m073_04_a_normal_front.prefab</v>
      </c>
      <c r="F86" s="1" t="str">
        <f t="shared" si="3"/>
        <v>m073_04_a/m073_04_a_normal_back.prefab</v>
      </c>
      <c r="G86" s="1" t="s">
        <v>853</v>
      </c>
    </row>
    <row r="87" spans="1:11" x14ac:dyDescent="0.3">
      <c r="A87" s="1">
        <v>3841041</v>
      </c>
      <c r="C87" s="1" t="str">
        <f t="array" ref="C87">_xlfn.IFS(INT(LEFT(A87,1))=1,"Normal", INT(LEFT(A87,1))=2,"Active", INT(LEFT(A87,1))=3,"Ultimate", INT(LEFT(A87,1))=4,"Passive")</f>
        <v>Ultimate</v>
      </c>
      <c r="D87" s="1" t="s">
        <v>880</v>
      </c>
      <c r="E87" s="1" t="str">
        <f t="shared" si="2"/>
        <v>m073_04_a/m073_04_a_ultimate_front.prefab</v>
      </c>
      <c r="F87" s="1" t="str">
        <f t="shared" si="3"/>
        <v>m073_04_a/m073_04_a_ultimate_back.prefab</v>
      </c>
      <c r="G87" s="1" t="s">
        <v>853</v>
      </c>
    </row>
    <row r="88" spans="1:11" x14ac:dyDescent="0.3">
      <c r="A88" s="1">
        <v>1851041</v>
      </c>
      <c r="C88" s="1" t="str">
        <f t="array" ref="C88">_xlfn.IFS(INT(LEFT(A88,1))=1,"Normal", INT(LEFT(A88,1))=2,"Active", INT(LEFT(A88,1))=3,"Ultimate", INT(LEFT(A88,1))=4,"Passive")</f>
        <v>Normal</v>
      </c>
      <c r="D88" s="1" t="s">
        <v>881</v>
      </c>
      <c r="E88" s="1" t="str">
        <f t="shared" si="2"/>
        <v>m073_05_a/m073_05_a_normal_front.prefab</v>
      </c>
      <c r="F88" s="1" t="str">
        <f t="shared" si="3"/>
        <v>m073_05_a/m073_05_a_normal_back.prefab</v>
      </c>
      <c r="G88" s="1" t="s">
        <v>853</v>
      </c>
    </row>
    <row r="89" spans="1:11" x14ac:dyDescent="0.3">
      <c r="A89" s="1">
        <v>3851041</v>
      </c>
      <c r="C89" s="1" t="str">
        <f t="array" ref="C89">_xlfn.IFS(INT(LEFT(A89,1))=1,"Normal", INT(LEFT(A89,1))=2,"Active", INT(LEFT(A89,1))=3,"Ultimate", INT(LEFT(A89,1))=4,"Passive")</f>
        <v>Ultimate</v>
      </c>
      <c r="D89" s="1" t="s">
        <v>881</v>
      </c>
      <c r="E89" s="1" t="str">
        <f t="shared" si="2"/>
        <v>m073_05_a/m073_05_a_ultimate_front.prefab</v>
      </c>
      <c r="F89" s="1" t="str">
        <f t="shared" si="3"/>
        <v>m073_05_a/m073_05_a_ultimate_back.prefab</v>
      </c>
      <c r="G89" s="1" t="s">
        <v>853</v>
      </c>
    </row>
    <row r="90" spans="1:11" x14ac:dyDescent="0.3">
      <c r="A90" s="1">
        <v>1942031</v>
      </c>
      <c r="C90" s="1" t="str">
        <f t="array" ref="C90">_xlfn.IFS(INT(LEFT(A90,1))=1,"Normal", INT(LEFT(A90,1))=2,"Active", INT(LEFT(A90,1))=3,"Ultimate", INT(LEFT(A90,1))=4,"Passive")</f>
        <v>Normal</v>
      </c>
      <c r="D90" s="1" t="s">
        <v>882</v>
      </c>
      <c r="E90" s="1" t="str">
        <f t="shared" si="2"/>
        <v>m051_a/m051_a_normal_front.prefab</v>
      </c>
      <c r="F90" s="1" t="str">
        <f t="shared" si="3"/>
        <v>m051_a/m051_a_normal_back.prefab</v>
      </c>
      <c r="G90" s="1" t="s">
        <v>853</v>
      </c>
    </row>
    <row r="91" spans="1:11" x14ac:dyDescent="0.3">
      <c r="A91" s="1">
        <v>3942031</v>
      </c>
      <c r="C91" s="1" t="str">
        <f t="array" ref="C91">_xlfn.IFS(INT(LEFT(A91,1))=1,"Normal", INT(LEFT(A91,1))=2,"Active", INT(LEFT(A91,1))=3,"Ultimate", INT(LEFT(A91,1))=4,"Passive")</f>
        <v>Ultimate</v>
      </c>
      <c r="D91" s="1" t="s">
        <v>882</v>
      </c>
      <c r="E91" s="1" t="str">
        <f t="shared" si="2"/>
        <v>m051_a/m051_a_ultimate_front.prefab</v>
      </c>
      <c r="F91" s="1" t="str">
        <f t="shared" si="3"/>
        <v>m051_a/m051_a_ultimate_back.prefab</v>
      </c>
      <c r="G91" s="1" t="s">
        <v>853</v>
      </c>
    </row>
    <row r="92" spans="1:11" x14ac:dyDescent="0.3">
      <c r="A92" s="1">
        <v>1942041</v>
      </c>
      <c r="C92" s="1" t="str">
        <f t="array" ref="C92">_xlfn.IFS(INT(LEFT(A92,1))=1,"Normal", INT(LEFT(A92,1))=2,"Active", INT(LEFT(A92,1))=3,"Ultimate", INT(LEFT(A92,1))=4,"Passive")</f>
        <v>Normal</v>
      </c>
      <c r="D92" s="1" t="s">
        <v>883</v>
      </c>
      <c r="E92" s="1" t="str">
        <f t="shared" si="2"/>
        <v>c224_a/c224_a_normal_front.prefab</v>
      </c>
      <c r="F92" s="1" t="str">
        <f t="shared" si="3"/>
        <v>c224_a/c224_a_normal_back.prefab</v>
      </c>
      <c r="G92" s="1" t="s">
        <v>853</v>
      </c>
    </row>
    <row r="93" spans="1:11" x14ac:dyDescent="0.3">
      <c r="A93" s="1">
        <v>3942041</v>
      </c>
      <c r="C93" s="1" t="str">
        <f t="array" ref="C93">_xlfn.IFS(INT(LEFT(A93,1))=1,"Normal", INT(LEFT(A93,1))=2,"Active", INT(LEFT(A93,1))=3,"Ultimate", INT(LEFT(A93,1))=4,"Passive")</f>
        <v>Ultimate</v>
      </c>
      <c r="D93" s="1" t="s">
        <v>883</v>
      </c>
      <c r="E93" s="1" t="str">
        <f t="shared" si="2"/>
        <v>c224_a/c224_a_ultimate_front.prefab</v>
      </c>
      <c r="F93" s="1" t="str">
        <f t="shared" si="3"/>
        <v>c224_a/c224_a_ultimate_back.prefab</v>
      </c>
      <c r="G93" s="1" t="s">
        <v>853</v>
      </c>
    </row>
    <row r="94" spans="1:11" x14ac:dyDescent="0.3">
      <c r="A94" s="17">
        <v>1552111</v>
      </c>
      <c r="C94" s="1" t="str">
        <f t="array" ref="C94">_xlfn.IFS(INT(LEFT(A94,1))=1,"Normal", INT(LEFT(A94,1))=2,"Active", INT(LEFT(A94,1))=3,"Ultimate", INT(LEFT(A94,1))=4,"Passive")</f>
        <v>Normal</v>
      </c>
      <c r="D94" s="1" t="s">
        <v>884</v>
      </c>
      <c r="E94" s="1" t="str">
        <f t="shared" si="2"/>
        <v>c001_a/c001_a_normal_front.prefab</v>
      </c>
      <c r="F94" s="1" t="str">
        <f t="shared" si="3"/>
        <v>c001_a/c001_a_normal_back.prefab</v>
      </c>
      <c r="G94" s="1" t="s">
        <v>853</v>
      </c>
      <c r="H94" s="17"/>
      <c r="I94" s="17"/>
      <c r="J94" s="17"/>
      <c r="K94" s="17"/>
    </row>
    <row r="95" spans="1:11" x14ac:dyDescent="0.3">
      <c r="A95" s="17">
        <v>2552111</v>
      </c>
      <c r="C95" s="1" t="str">
        <f t="array" ref="C95">_xlfn.IFS(INT(LEFT(A95,1))=1,"Normal", INT(LEFT(A95,1))=2,"Active", INT(LEFT(A95,1))=3,"Ultimate", INT(LEFT(A95,1))=4,"Passive")</f>
        <v>Active</v>
      </c>
      <c r="D95" s="1" t="s">
        <v>884</v>
      </c>
      <c r="E95" s="1" t="str">
        <f t="shared" si="2"/>
        <v>c001_a/c001_a_active_front.prefab</v>
      </c>
      <c r="F95" s="1" t="str">
        <f t="shared" si="3"/>
        <v>c001_a/c001_a_active_back.prefab</v>
      </c>
      <c r="G95" s="1" t="s">
        <v>853</v>
      </c>
    </row>
    <row r="96" spans="1:11" x14ac:dyDescent="0.3">
      <c r="A96" s="17">
        <v>3552111</v>
      </c>
      <c r="C96" s="1" t="str">
        <f t="array" ref="C96">_xlfn.IFS(INT(LEFT(A96,1))=1,"Normal", INT(LEFT(A96,1))=2,"Active", INT(LEFT(A96,1))=3,"Ultimate", INT(LEFT(A96,1))=4,"Passive")</f>
        <v>Ultimate</v>
      </c>
      <c r="D96" s="1" t="s">
        <v>884</v>
      </c>
      <c r="E96" s="1" t="str">
        <f t="shared" si="2"/>
        <v>c001_a/c001_a_ultimate_front.prefab</v>
      </c>
      <c r="F96" s="1" t="str">
        <f t="shared" si="3"/>
        <v>c001_a/c001_a_ultimate_back.prefab</v>
      </c>
      <c r="G96" s="1" t="s">
        <v>853</v>
      </c>
    </row>
    <row r="97" spans="1:7" x14ac:dyDescent="0.3">
      <c r="A97" s="17">
        <v>4552111</v>
      </c>
      <c r="C97" s="1" t="str">
        <f t="array" ref="C97">_xlfn.IFS(INT(LEFT(A97,1))=1,"Normal", INT(LEFT(A97,1))=2,"Active", INT(LEFT(A97,1))=3,"Ultimate", INT(LEFT(A97,1))=4,"Passive")</f>
        <v>Passive</v>
      </c>
      <c r="D97" s="1" t="s">
        <v>884</v>
      </c>
      <c r="E97" s="1" t="str">
        <f t="shared" si="2"/>
        <v>NULL</v>
      </c>
      <c r="F97" s="1" t="str">
        <f t="shared" si="3"/>
        <v>NULL</v>
      </c>
      <c r="G97" s="1" t="s">
        <v>853</v>
      </c>
    </row>
    <row r="98" spans="1:7" x14ac:dyDescent="0.3">
      <c r="A98" s="1">
        <v>3532079</v>
      </c>
      <c r="C98" s="1" t="str">
        <f t="array" ref="C98">_xlfn.IFS(INT(LEFT(A98,1))=1,"Normal", INT(LEFT(A98,1))=2,"Active", INT(LEFT(A98,1))=3,"Ultimate", INT(LEFT(A98,1))=4,"Passive")</f>
        <v>Ultimate</v>
      </c>
      <c r="D98" s="1" t="s">
        <v>854</v>
      </c>
      <c r="E98" s="1" t="str">
        <f t="shared" si="2"/>
        <v>c180_a/c180_a_ultimate_front.prefab</v>
      </c>
      <c r="F98" s="1" t="str">
        <f t="shared" si="3"/>
        <v>c180_a/c180_a_ultimate_back.prefab</v>
      </c>
      <c r="G98" s="1" t="s">
        <v>853</v>
      </c>
    </row>
    <row r="99" spans="1:7" x14ac:dyDescent="0.3">
      <c r="A99" s="1">
        <v>1812021</v>
      </c>
      <c r="C99" s="1" t="str">
        <f t="array" ref="C99">_xlfn.IFS(INT(LEFT(A99,1))=1,"Normal", INT(LEFT(A99,1))=2,"Active", INT(LEFT(A99,1))=3,"Ultimate", INT(LEFT(A99,1))=4,"Passive")</f>
        <v>Normal</v>
      </c>
      <c r="D99" s="1" t="s">
        <v>885</v>
      </c>
      <c r="E99" s="1" t="str">
        <f t="shared" si="2"/>
        <v>m900_a/m900_a_normal_front.prefab</v>
      </c>
      <c r="F99" s="1" t="str">
        <f t="shared" si="3"/>
        <v>m900_a/m900_a_normal_back.prefab</v>
      </c>
      <c r="G99" s="1" t="s">
        <v>853</v>
      </c>
    </row>
    <row r="100" spans="1:7" x14ac:dyDescent="0.3">
      <c r="A100" s="1">
        <v>1822021</v>
      </c>
      <c r="C100" s="1" t="str">
        <f t="array" ref="C100">_xlfn.IFS(INT(LEFT(A100,1))=1,"Normal", INT(LEFT(A100,1))=2,"Active", INT(LEFT(A100,1))=3,"Ultimate", INT(LEFT(A100,1))=4,"Passive")</f>
        <v>Normal</v>
      </c>
      <c r="D100" s="1" t="s">
        <v>886</v>
      </c>
      <c r="E100" s="1" t="str">
        <f t="shared" si="2"/>
        <v>m900_b/m900_b_normal_front.prefab</v>
      </c>
      <c r="F100" s="1" t="str">
        <f t="shared" si="3"/>
        <v>m900_b/m900_b_normal_back.prefab</v>
      </c>
      <c r="G100" s="1" t="s">
        <v>853</v>
      </c>
    </row>
    <row r="101" spans="1:7" x14ac:dyDescent="0.3">
      <c r="A101" s="1">
        <v>1832021</v>
      </c>
      <c r="C101" s="1" t="str">
        <f t="array" ref="C101">_xlfn.IFS(INT(LEFT(A101,1))=1,"Normal", INT(LEFT(A101,1))=2,"Active", INT(LEFT(A101,1))=3,"Ultimate", INT(LEFT(A101,1))=4,"Passive")</f>
        <v>Normal</v>
      </c>
      <c r="D101" s="1" t="s">
        <v>887</v>
      </c>
      <c r="E101" s="1" t="str">
        <f t="shared" si="2"/>
        <v>m900_c/m900_c_normal_front.prefab</v>
      </c>
      <c r="F101" s="1" t="str">
        <f t="shared" si="3"/>
        <v>m900_c/m900_c_normal_back.prefab</v>
      </c>
      <c r="G101" s="1" t="s">
        <v>853</v>
      </c>
    </row>
    <row r="102" spans="1:7" x14ac:dyDescent="0.3">
      <c r="A102" s="1">
        <v>1842021</v>
      </c>
      <c r="C102" s="1" t="str">
        <f t="array" ref="C102">_xlfn.IFS(INT(LEFT(A102,1))=1,"Normal", INT(LEFT(A102,1))=2,"Active", INT(LEFT(A102,1))=3,"Ultimate", INT(LEFT(A102,1))=4,"Passive")</f>
        <v>Normal</v>
      </c>
      <c r="D102" s="1" t="s">
        <v>888</v>
      </c>
      <c r="E102" s="1" t="str">
        <f t="shared" si="2"/>
        <v>m900_d/m900_d_normal_front.prefab</v>
      </c>
      <c r="F102" s="1" t="str">
        <f t="shared" si="3"/>
        <v>m900_d/m900_d_normal_back.prefab</v>
      </c>
      <c r="G102" s="1" t="s">
        <v>853</v>
      </c>
    </row>
    <row r="103" spans="1:7" x14ac:dyDescent="0.3">
      <c r="A103" s="1">
        <v>1852021</v>
      </c>
      <c r="C103" s="1" t="str">
        <f t="array" ref="C103">_xlfn.IFS(INT(LEFT(A103,1))=1,"Normal", INT(LEFT(A103,1))=2,"Active", INT(LEFT(A103,1))=3,"Ultimate", INT(LEFT(A103,1))=4,"Passive")</f>
        <v>Normal</v>
      </c>
      <c r="D103" s="1" t="s">
        <v>889</v>
      </c>
      <c r="E103" s="1" t="str">
        <f t="shared" si="2"/>
        <v>m900_e/m900_e_normal_front.prefab</v>
      </c>
      <c r="F103" s="1" t="str">
        <f t="shared" si="3"/>
        <v>m900_e/m900_e_normal_back.prefab</v>
      </c>
      <c r="G103" s="1" t="s">
        <v>853</v>
      </c>
    </row>
    <row r="104" spans="1:7" x14ac:dyDescent="0.3">
      <c r="A104" s="1">
        <v>3812021</v>
      </c>
      <c r="C104" s="1" t="str">
        <f t="array" ref="C104">_xlfn.IFS(INT(LEFT(A104,1))=1,"Normal", INT(LEFT(A104,1))=2,"Active", INT(LEFT(A104,1))=3,"Ultimate", INT(LEFT(A104,1))=4,"Passive")</f>
        <v>Ultimate</v>
      </c>
      <c r="D104" s="1" t="s">
        <v>885</v>
      </c>
      <c r="E104" s="1" t="str">
        <f t="shared" si="2"/>
        <v>m900_a/m900_a_ultimate_front.prefab</v>
      </c>
      <c r="F104" s="1" t="str">
        <f t="shared" si="3"/>
        <v>m900_a/m900_a_ultimate_back.prefab</v>
      </c>
      <c r="G104" s="1" t="s">
        <v>853</v>
      </c>
    </row>
    <row r="105" spans="1:7" x14ac:dyDescent="0.3">
      <c r="A105" s="1">
        <v>3822021</v>
      </c>
      <c r="C105" s="1" t="str">
        <f t="array" ref="C105">_xlfn.IFS(INT(LEFT(A105,1))=1,"Normal", INT(LEFT(A105,1))=2,"Active", INT(LEFT(A105,1))=3,"Ultimate", INT(LEFT(A105,1))=4,"Passive")</f>
        <v>Ultimate</v>
      </c>
      <c r="D105" s="1" t="s">
        <v>886</v>
      </c>
      <c r="E105" s="1" t="str">
        <f t="shared" si="2"/>
        <v>m900_b/m900_b_ultimate_front.prefab</v>
      </c>
      <c r="F105" s="1" t="str">
        <f t="shared" si="3"/>
        <v>m900_b/m900_b_ultimate_back.prefab</v>
      </c>
      <c r="G105" s="1" t="s">
        <v>853</v>
      </c>
    </row>
    <row r="106" spans="1:7" x14ac:dyDescent="0.3">
      <c r="A106" s="1">
        <v>3832021</v>
      </c>
      <c r="C106" s="1" t="str">
        <f t="array" ref="C106">_xlfn.IFS(INT(LEFT(A106,1))=1,"Normal", INT(LEFT(A106,1))=2,"Active", INT(LEFT(A106,1))=3,"Ultimate", INT(LEFT(A106,1))=4,"Passive")</f>
        <v>Ultimate</v>
      </c>
      <c r="D106" s="1" t="s">
        <v>887</v>
      </c>
      <c r="E106" s="1" t="str">
        <f t="shared" si="2"/>
        <v>m900_c/m900_c_ultimate_front.prefab</v>
      </c>
      <c r="F106" s="1" t="str">
        <f t="shared" si="3"/>
        <v>m900_c/m900_c_ultimate_back.prefab</v>
      </c>
      <c r="G106" s="1" t="s">
        <v>853</v>
      </c>
    </row>
    <row r="107" spans="1:7" x14ac:dyDescent="0.3">
      <c r="A107" s="1">
        <v>3842021</v>
      </c>
      <c r="C107" s="1" t="str">
        <f t="array" ref="C107">_xlfn.IFS(INT(LEFT(A107,1))=1,"Normal", INT(LEFT(A107,1))=2,"Active", INT(LEFT(A107,1))=3,"Ultimate", INT(LEFT(A107,1))=4,"Passive")</f>
        <v>Ultimate</v>
      </c>
      <c r="D107" s="1" t="s">
        <v>888</v>
      </c>
      <c r="E107" s="1" t="str">
        <f t="shared" si="2"/>
        <v>m900_d/m900_d_ultimate_front.prefab</v>
      </c>
      <c r="F107" s="1" t="str">
        <f t="shared" si="3"/>
        <v>m900_d/m900_d_ultimate_back.prefab</v>
      </c>
      <c r="G107" s="1" t="s">
        <v>853</v>
      </c>
    </row>
    <row r="108" spans="1:7" x14ac:dyDescent="0.3">
      <c r="A108" s="1">
        <v>3852021</v>
      </c>
      <c r="C108" s="1" t="str">
        <f t="array" ref="C108">_xlfn.IFS(INT(LEFT(A108,1))=1,"Normal", INT(LEFT(A108,1))=2,"Active", INT(LEFT(A108,1))=3,"Ultimate", INT(LEFT(A108,1))=4,"Passive")</f>
        <v>Ultimate</v>
      </c>
      <c r="D108" s="1" t="s">
        <v>889</v>
      </c>
      <c r="E108" s="1" t="str">
        <f t="shared" si="2"/>
        <v>m900_e/m900_e_ultimate_front.prefab</v>
      </c>
      <c r="F108" s="1" t="str">
        <f t="shared" si="3"/>
        <v>m900_e/m900_e_ultimate_back.prefab</v>
      </c>
      <c r="G108" s="1" t="s">
        <v>853</v>
      </c>
    </row>
    <row r="109" spans="1:7" x14ac:dyDescent="0.3">
      <c r="A109" s="1">
        <v>1325111</v>
      </c>
      <c r="C109" s="1" t="str">
        <f t="array" ref="C109">_xlfn.IFS(INT(LEFT(A109,1))=1,"Normal", INT(LEFT(A109,1))=2,"Active", INT(LEFT(A109,1))=3,"Ultimate", INT(LEFT(A109,1))=4,"Passive")</f>
        <v>Normal</v>
      </c>
      <c r="D109" s="1" t="s">
        <v>890</v>
      </c>
      <c r="E109" s="1" t="str">
        <f t="shared" si="2"/>
        <v>c002_a/c002_a_normal_front.prefab</v>
      </c>
      <c r="F109" s="1" t="str">
        <f t="shared" si="3"/>
        <v>c002_a/c002_a_normal_back.prefab</v>
      </c>
      <c r="G109" s="1" t="s">
        <v>853</v>
      </c>
    </row>
    <row r="110" spans="1:7" x14ac:dyDescent="0.3">
      <c r="A110" s="1">
        <v>2325111</v>
      </c>
      <c r="C110" s="1" t="str">
        <f t="array" ref="C110">_xlfn.IFS(INT(LEFT(A110,1))=1,"Normal", INT(LEFT(A110,1))=2,"Active", INT(LEFT(A110,1))=3,"Ultimate", INT(LEFT(A110,1))=4,"Passive")</f>
        <v>Active</v>
      </c>
      <c r="D110" s="1" t="s">
        <v>890</v>
      </c>
      <c r="E110" s="1" t="str">
        <f t="shared" si="2"/>
        <v>c002_a/c002_a_active_front.prefab</v>
      </c>
      <c r="F110" s="1" t="str">
        <f t="shared" si="3"/>
        <v>c002_a/c002_a_active_back.prefab</v>
      </c>
      <c r="G110" s="1" t="s">
        <v>853</v>
      </c>
    </row>
    <row r="111" spans="1:7" x14ac:dyDescent="0.3">
      <c r="A111" s="1">
        <v>3325111</v>
      </c>
      <c r="C111" s="1" t="str">
        <f t="array" ref="C111">_xlfn.IFS(INT(LEFT(A111,1))=1,"Normal", INT(LEFT(A111,1))=2,"Active", INT(LEFT(A111,1))=3,"Ultimate", INT(LEFT(A111,1))=4,"Passive")</f>
        <v>Ultimate</v>
      </c>
      <c r="D111" s="1" t="s">
        <v>890</v>
      </c>
      <c r="E111" s="1" t="str">
        <f t="shared" si="2"/>
        <v>c002_a/c002_a_ultimate_front.prefab</v>
      </c>
      <c r="F111" s="1" t="str">
        <f t="shared" si="3"/>
        <v>c002_a/c002_a_ultimate_back.prefab</v>
      </c>
      <c r="G111" s="1" t="s">
        <v>853</v>
      </c>
    </row>
    <row r="112" spans="1:7" x14ac:dyDescent="0.3">
      <c r="A112" s="1">
        <v>4325111</v>
      </c>
      <c r="C112" s="1" t="str">
        <f t="array" ref="C112">_xlfn.IFS(INT(LEFT(A112,1))=1,"Normal", INT(LEFT(A112,1))=2,"Active", INT(LEFT(A112,1))=3,"Ultimate", INT(LEFT(A112,1))=4,"Passive")</f>
        <v>Passive</v>
      </c>
      <c r="D112" s="1" t="s">
        <v>890</v>
      </c>
      <c r="E112" s="1" t="str">
        <f t="shared" si="2"/>
        <v>NULL</v>
      </c>
      <c r="F112" s="1" t="str">
        <f t="shared" si="3"/>
        <v>NULL</v>
      </c>
      <c r="G112" s="1" t="s">
        <v>853</v>
      </c>
    </row>
    <row r="113" spans="1:7" x14ac:dyDescent="0.3">
      <c r="A113" s="1">
        <v>1313121</v>
      </c>
      <c r="C113" s="1" t="s">
        <v>29</v>
      </c>
      <c r="D113" s="1" t="s">
        <v>891</v>
      </c>
      <c r="E113" s="1" t="str">
        <f t="shared" si="2"/>
        <v>c417_a/c417_a_normal_front.prefab</v>
      </c>
      <c r="F113" s="1" t="str">
        <f t="shared" si="3"/>
        <v>c417_a/c417_a_normal_back.prefab</v>
      </c>
      <c r="G113" s="1" t="s">
        <v>853</v>
      </c>
    </row>
    <row r="114" spans="1:7" x14ac:dyDescent="0.3">
      <c r="A114" s="1">
        <v>2313121</v>
      </c>
      <c r="C114" s="1" t="s">
        <v>30</v>
      </c>
      <c r="D114" s="1" t="s">
        <v>891</v>
      </c>
      <c r="E114" s="1" t="str">
        <f t="shared" si="2"/>
        <v>c417_a/c417_a_active_front.prefab</v>
      </c>
      <c r="F114" s="1" t="str">
        <f t="shared" si="3"/>
        <v>c417_a/c417_a_active_back.prefab</v>
      </c>
      <c r="G114" s="1" t="s">
        <v>853</v>
      </c>
    </row>
    <row r="115" spans="1:7" x14ac:dyDescent="0.3">
      <c r="A115" s="1">
        <v>3313121</v>
      </c>
      <c r="C115" s="1" t="s">
        <v>31</v>
      </c>
      <c r="D115" s="1" t="s">
        <v>891</v>
      </c>
      <c r="E115" s="1" t="str">
        <f t="shared" si="2"/>
        <v>c417_a/c417_a_ultimate_front.prefab</v>
      </c>
      <c r="F115" s="1" t="str">
        <f t="shared" si="3"/>
        <v>c417_a/c417_a_ultimate_back.prefab</v>
      </c>
      <c r="G115" s="1" t="s">
        <v>853</v>
      </c>
    </row>
    <row r="116" spans="1:7" x14ac:dyDescent="0.3">
      <c r="A116" s="1">
        <v>4313121</v>
      </c>
      <c r="C116" s="1" t="s">
        <v>32</v>
      </c>
      <c r="D116" s="1" t="s">
        <v>891</v>
      </c>
      <c r="E116" s="1" t="str">
        <f t="shared" si="2"/>
        <v>NULL</v>
      </c>
      <c r="F116" s="1" t="str">
        <f t="shared" si="3"/>
        <v>NULL</v>
      </c>
      <c r="G116" s="1" t="s">
        <v>853</v>
      </c>
    </row>
    <row r="117" spans="1:7" x14ac:dyDescent="0.3">
      <c r="A117" s="1">
        <v>2811041</v>
      </c>
      <c r="C117" s="1" t="s">
        <v>30</v>
      </c>
      <c r="D117" s="1" t="s">
        <v>877</v>
      </c>
      <c r="E117" s="1" t="str">
        <f t="shared" si="2"/>
        <v>m073_01_a/m073_01_a_active_front.prefab</v>
      </c>
      <c r="F117" s="1" t="str">
        <f t="shared" si="3"/>
        <v>m073_01_a/m073_01_a_active_back.prefab</v>
      </c>
      <c r="G117" s="1" t="s">
        <v>853</v>
      </c>
    </row>
    <row r="118" spans="1:7" x14ac:dyDescent="0.3">
      <c r="A118" s="1">
        <v>2821041</v>
      </c>
      <c r="C118" s="1" t="s">
        <v>30</v>
      </c>
      <c r="D118" s="1" t="s">
        <v>878</v>
      </c>
      <c r="E118" s="1" t="str">
        <f t="shared" si="2"/>
        <v>m073_02_a/m073_02_a_active_front.prefab</v>
      </c>
      <c r="F118" s="1" t="str">
        <f t="shared" si="3"/>
        <v>m073_02_a/m073_02_a_active_back.prefab</v>
      </c>
      <c r="G118" s="1" t="s">
        <v>853</v>
      </c>
    </row>
    <row r="119" spans="1:7" x14ac:dyDescent="0.3">
      <c r="A119" s="1">
        <v>2831041</v>
      </c>
      <c r="C119" s="1" t="s">
        <v>30</v>
      </c>
      <c r="D119" s="1" t="s">
        <v>879</v>
      </c>
      <c r="E119" s="1" t="str">
        <f t="shared" si="2"/>
        <v>m073_03_a/m073_03_a_active_front.prefab</v>
      </c>
      <c r="F119" s="1" t="str">
        <f t="shared" si="3"/>
        <v>m073_03_a/m073_03_a_active_back.prefab</v>
      </c>
      <c r="G119" s="1" t="s">
        <v>853</v>
      </c>
    </row>
    <row r="120" spans="1:7" x14ac:dyDescent="0.3">
      <c r="A120" s="1">
        <v>2841041</v>
      </c>
      <c r="C120" s="1" t="s">
        <v>30</v>
      </c>
      <c r="D120" s="1" t="s">
        <v>880</v>
      </c>
      <c r="E120" s="1" t="str">
        <f t="shared" si="2"/>
        <v>m073_04_a/m073_04_a_active_front.prefab</v>
      </c>
      <c r="F120" s="1" t="str">
        <f t="shared" si="3"/>
        <v>m073_04_a/m073_04_a_active_back.prefab</v>
      </c>
      <c r="G120" s="1" t="s">
        <v>853</v>
      </c>
    </row>
    <row r="121" spans="1:7" x14ac:dyDescent="0.3">
      <c r="A121" s="1">
        <v>2851041</v>
      </c>
      <c r="C121" s="1" t="s">
        <v>30</v>
      </c>
      <c r="D121" s="1" t="s">
        <v>881</v>
      </c>
      <c r="E121" s="1" t="str">
        <f t="shared" si="2"/>
        <v>m073_05_a/m073_05_a_active_front.prefab</v>
      </c>
      <c r="F121" s="1" t="str">
        <f t="shared" si="3"/>
        <v>m073_05_a/m073_05_a_active_back.prefab</v>
      </c>
      <c r="G121" s="1" t="s">
        <v>853</v>
      </c>
    </row>
    <row r="122" spans="1:7" x14ac:dyDescent="0.3">
      <c r="A122" s="1">
        <v>1351161</v>
      </c>
      <c r="C122" s="1" t="s">
        <v>29</v>
      </c>
      <c r="D122" s="1" t="s">
        <v>892</v>
      </c>
      <c r="E122" s="1" t="str">
        <f t="shared" si="2"/>
        <v>c432_a/c432_a_normal_front.prefab</v>
      </c>
      <c r="F122" s="1" t="str">
        <f t="shared" si="3"/>
        <v>c432_a/c432_a_normal_back.prefab</v>
      </c>
      <c r="G122" s="1" t="s">
        <v>853</v>
      </c>
    </row>
    <row r="123" spans="1:7" x14ac:dyDescent="0.3">
      <c r="A123" s="1">
        <v>2351161</v>
      </c>
      <c r="C123" s="1" t="s">
        <v>30</v>
      </c>
      <c r="D123" s="1" t="s">
        <v>892</v>
      </c>
      <c r="E123" s="1" t="str">
        <f t="shared" si="2"/>
        <v>c432_a/c432_a_active_front.prefab</v>
      </c>
      <c r="F123" s="1" t="str">
        <f t="shared" si="3"/>
        <v>c432_a/c432_a_active_back.prefab</v>
      </c>
      <c r="G123" s="1" t="s">
        <v>853</v>
      </c>
    </row>
    <row r="124" spans="1:7" x14ac:dyDescent="0.3">
      <c r="A124" s="1">
        <v>3351161</v>
      </c>
      <c r="C124" s="1" t="s">
        <v>31</v>
      </c>
      <c r="D124" s="1" t="s">
        <v>892</v>
      </c>
      <c r="E124" s="1" t="str">
        <f t="shared" si="2"/>
        <v>c432_a/c432_a_ultimate_front.prefab</v>
      </c>
      <c r="F124" s="1" t="str">
        <f t="shared" si="3"/>
        <v>c432_a/c432_a_ultimate_back.prefab</v>
      </c>
      <c r="G124" s="1" t="s">
        <v>853</v>
      </c>
    </row>
    <row r="125" spans="1:7" x14ac:dyDescent="0.3">
      <c r="A125" s="1">
        <v>4351161</v>
      </c>
      <c r="C125" s="1" t="s">
        <v>32</v>
      </c>
      <c r="D125" s="1" t="s">
        <v>892</v>
      </c>
      <c r="E125" s="1" t="str">
        <f t="shared" si="2"/>
        <v>NULL</v>
      </c>
      <c r="F125" s="1" t="str">
        <f t="shared" si="3"/>
        <v>NULL</v>
      </c>
      <c r="G125" s="1" t="s">
        <v>853</v>
      </c>
    </row>
    <row r="126" spans="1:7" x14ac:dyDescent="0.3">
      <c r="A126" s="1">
        <v>1353141</v>
      </c>
      <c r="C126" s="1" t="s">
        <v>29</v>
      </c>
      <c r="D126" s="1" t="s">
        <v>893</v>
      </c>
      <c r="E126" s="1" t="str">
        <f t="shared" si="2"/>
        <v>c486_a/c486_a_normal_front.prefab</v>
      </c>
      <c r="F126" s="1" t="str">
        <f t="shared" si="3"/>
        <v>c486_a/c486_a_normal_back.prefab</v>
      </c>
      <c r="G126" s="1" t="s">
        <v>853</v>
      </c>
    </row>
    <row r="127" spans="1:7" x14ac:dyDescent="0.3">
      <c r="A127" s="1">
        <v>2353141</v>
      </c>
      <c r="C127" s="1" t="s">
        <v>30</v>
      </c>
      <c r="D127" s="1" t="s">
        <v>893</v>
      </c>
      <c r="E127" s="1" t="str">
        <f t="shared" si="2"/>
        <v>c486_a/c486_a_active_front.prefab</v>
      </c>
      <c r="F127" s="1" t="str">
        <f t="shared" si="3"/>
        <v>c486_a/c486_a_active_back.prefab</v>
      </c>
      <c r="G127" s="1" t="s">
        <v>853</v>
      </c>
    </row>
    <row r="128" spans="1:7" x14ac:dyDescent="0.3">
      <c r="A128" s="1">
        <v>3353141</v>
      </c>
      <c r="C128" s="1" t="s">
        <v>31</v>
      </c>
      <c r="D128" s="1" t="s">
        <v>893</v>
      </c>
      <c r="E128" s="1" t="str">
        <f t="shared" si="2"/>
        <v>c486_a/c486_a_ultimate_front.prefab</v>
      </c>
      <c r="F128" s="1" t="str">
        <f t="shared" si="3"/>
        <v>c486_a/c486_a_ultimate_back.prefab</v>
      </c>
      <c r="G128" s="1" t="s">
        <v>853</v>
      </c>
    </row>
    <row r="129" spans="1:7" x14ac:dyDescent="0.3">
      <c r="A129" s="1">
        <v>4353141</v>
      </c>
      <c r="C129" s="1" t="s">
        <v>32</v>
      </c>
      <c r="D129" s="1" t="s">
        <v>893</v>
      </c>
      <c r="E129" s="1" t="str">
        <f t="shared" si="2"/>
        <v>NULL</v>
      </c>
      <c r="F129" s="1" t="str">
        <f t="shared" si="3"/>
        <v>NULL</v>
      </c>
      <c r="G129" s="1" t="s">
        <v>853</v>
      </c>
    </row>
    <row r="130" spans="1:7" x14ac:dyDescent="0.3">
      <c r="A130" s="1">
        <v>1333131</v>
      </c>
      <c r="C130" s="1" t="s">
        <v>29</v>
      </c>
      <c r="D130" s="1" t="s">
        <v>894</v>
      </c>
      <c r="E130" s="1" t="str">
        <f t="shared" si="2"/>
        <v>c294_a/c294_a_normal_front.prefab</v>
      </c>
      <c r="F130" s="1" t="str">
        <f t="shared" si="3"/>
        <v>c294_a/c294_a_normal_back.prefab</v>
      </c>
      <c r="G130" s="1" t="s">
        <v>853</v>
      </c>
    </row>
    <row r="131" spans="1:7" x14ac:dyDescent="0.3">
      <c r="A131" s="1">
        <v>2333131</v>
      </c>
      <c r="C131" s="1" t="s">
        <v>30</v>
      </c>
      <c r="D131" s="1" t="s">
        <v>894</v>
      </c>
      <c r="E131" s="1" t="str">
        <f t="shared" si="2"/>
        <v>c294_a/c294_a_active_front.prefab</v>
      </c>
      <c r="F131" s="1" t="str">
        <f t="shared" si="3"/>
        <v>c294_a/c294_a_active_back.prefab</v>
      </c>
      <c r="G131" s="1" t="s">
        <v>853</v>
      </c>
    </row>
    <row r="132" spans="1:7" x14ac:dyDescent="0.3">
      <c r="A132" s="1">
        <v>3333131</v>
      </c>
      <c r="C132" s="1" t="s">
        <v>31</v>
      </c>
      <c r="D132" s="1" t="s">
        <v>894</v>
      </c>
      <c r="E132" s="1" t="str">
        <f t="shared" ref="E132:E195" si="4">IF(C132="Passive","NULL",$D132&amp;"/"&amp;LOWER($D132&amp;"_"&amp;$C132&amp;"_front.prefab"))</f>
        <v>c294_a/c294_a_ultimate_front.prefab</v>
      </c>
      <c r="F132" s="1" t="str">
        <f t="shared" ref="F132:F195" si="5">IF(C132="Passive","NULL",$D132&amp;"/"&amp;LOWER($D132&amp;"_"&amp;$C132&amp;"_Back.prefab"))</f>
        <v>c294_a/c294_a_ultimate_back.prefab</v>
      </c>
      <c r="G132" s="1" t="s">
        <v>853</v>
      </c>
    </row>
    <row r="133" spans="1:7" x14ac:dyDescent="0.3">
      <c r="A133" s="1">
        <v>4333131</v>
      </c>
      <c r="C133" s="1" t="s">
        <v>32</v>
      </c>
      <c r="D133" s="1" t="s">
        <v>894</v>
      </c>
      <c r="E133" s="1" t="str">
        <f t="shared" si="4"/>
        <v>NULL</v>
      </c>
      <c r="F133" s="1" t="str">
        <f t="shared" si="5"/>
        <v>NULL</v>
      </c>
      <c r="G133" s="1" t="s">
        <v>853</v>
      </c>
    </row>
    <row r="134" spans="1:7" x14ac:dyDescent="0.3">
      <c r="A134" s="1">
        <v>1311151</v>
      </c>
      <c r="C134" s="1" t="s">
        <v>29</v>
      </c>
      <c r="D134" s="1" t="s">
        <v>895</v>
      </c>
      <c r="E134" s="1" t="str">
        <f t="shared" si="4"/>
        <v>c501_a/c501_a_normal_front.prefab</v>
      </c>
      <c r="F134" s="1" t="str">
        <f t="shared" si="5"/>
        <v>c501_a/c501_a_normal_back.prefab</v>
      </c>
      <c r="G134" s="1" t="s">
        <v>853</v>
      </c>
    </row>
    <row r="135" spans="1:7" x14ac:dyDescent="0.3">
      <c r="A135" s="1">
        <v>2311151</v>
      </c>
      <c r="C135" s="1" t="s">
        <v>30</v>
      </c>
      <c r="D135" s="1" t="s">
        <v>895</v>
      </c>
      <c r="E135" s="1" t="str">
        <f t="shared" si="4"/>
        <v>c501_a/c501_a_active_front.prefab</v>
      </c>
      <c r="F135" s="1" t="str">
        <f t="shared" si="5"/>
        <v>c501_a/c501_a_active_back.prefab</v>
      </c>
      <c r="G135" s="1" t="s">
        <v>853</v>
      </c>
    </row>
    <row r="136" spans="1:7" x14ac:dyDescent="0.3">
      <c r="A136" s="1">
        <v>3311151</v>
      </c>
      <c r="C136" s="1" t="s">
        <v>31</v>
      </c>
      <c r="D136" s="1" t="s">
        <v>895</v>
      </c>
      <c r="E136" s="1" t="str">
        <f t="shared" si="4"/>
        <v>c501_a/c501_a_ultimate_front.prefab</v>
      </c>
      <c r="F136" s="1" t="str">
        <f t="shared" si="5"/>
        <v>c501_a/c501_a_ultimate_back.prefab</v>
      </c>
      <c r="G136" s="1" t="s">
        <v>853</v>
      </c>
    </row>
    <row r="137" spans="1:7" x14ac:dyDescent="0.3">
      <c r="A137" s="1">
        <v>4311151</v>
      </c>
      <c r="C137" s="1" t="s">
        <v>32</v>
      </c>
      <c r="D137" s="1" t="s">
        <v>895</v>
      </c>
      <c r="E137" s="1" t="str">
        <f t="shared" si="4"/>
        <v>NULL</v>
      </c>
      <c r="F137" s="1" t="str">
        <f t="shared" si="5"/>
        <v>NULL</v>
      </c>
      <c r="G137" s="1" t="s">
        <v>853</v>
      </c>
    </row>
    <row r="138" spans="1:7" x14ac:dyDescent="0.3">
      <c r="A138" s="1">
        <v>1321171</v>
      </c>
      <c r="C138" s="1" t="s">
        <v>29</v>
      </c>
      <c r="D138" s="1" t="s">
        <v>896</v>
      </c>
      <c r="E138" s="1" t="str">
        <f t="shared" si="4"/>
        <v>c502_a/c502_a_normal_front.prefab</v>
      </c>
      <c r="F138" s="1" t="str">
        <f t="shared" si="5"/>
        <v>c502_a/c502_a_normal_back.prefab</v>
      </c>
      <c r="G138" s="1" t="s">
        <v>853</v>
      </c>
    </row>
    <row r="139" spans="1:7" x14ac:dyDescent="0.3">
      <c r="A139" s="1">
        <v>2321171</v>
      </c>
      <c r="C139" s="1" t="s">
        <v>30</v>
      </c>
      <c r="D139" s="1" t="s">
        <v>896</v>
      </c>
      <c r="E139" s="1" t="str">
        <f t="shared" si="4"/>
        <v>c502_a/c502_a_active_front.prefab</v>
      </c>
      <c r="F139" s="1" t="str">
        <f t="shared" si="5"/>
        <v>c502_a/c502_a_active_back.prefab</v>
      </c>
      <c r="G139" s="1" t="s">
        <v>853</v>
      </c>
    </row>
    <row r="140" spans="1:7" x14ac:dyDescent="0.3">
      <c r="A140" s="1">
        <v>3321171</v>
      </c>
      <c r="C140" s="1" t="s">
        <v>31</v>
      </c>
      <c r="D140" s="1" t="s">
        <v>896</v>
      </c>
      <c r="E140" s="1" t="str">
        <f t="shared" si="4"/>
        <v>c502_a/c502_a_ultimate_front.prefab</v>
      </c>
      <c r="F140" s="1" t="str">
        <f t="shared" si="5"/>
        <v>c502_a/c502_a_ultimate_back.prefab</v>
      </c>
      <c r="G140" s="1" t="s">
        <v>853</v>
      </c>
    </row>
    <row r="141" spans="1:7" x14ac:dyDescent="0.3">
      <c r="A141" s="1">
        <v>4321171</v>
      </c>
      <c r="C141" s="1" t="s">
        <v>32</v>
      </c>
      <c r="D141" s="1" t="s">
        <v>896</v>
      </c>
      <c r="E141" s="1" t="str">
        <f t="shared" si="4"/>
        <v>NULL</v>
      </c>
      <c r="F141" s="1" t="str">
        <f t="shared" si="5"/>
        <v>NULL</v>
      </c>
      <c r="G141" s="1" t="s">
        <v>853</v>
      </c>
    </row>
    <row r="142" spans="1:7" x14ac:dyDescent="0.3">
      <c r="A142" s="1">
        <v>1311181</v>
      </c>
      <c r="C142" s="1" t="s">
        <v>29</v>
      </c>
      <c r="D142" s="1" t="s">
        <v>897</v>
      </c>
      <c r="E142" s="1" t="str">
        <f t="shared" si="4"/>
        <v>c412_a/c412_a_normal_front.prefab</v>
      </c>
      <c r="F142" s="1" t="str">
        <f t="shared" si="5"/>
        <v>c412_a/c412_a_normal_back.prefab</v>
      </c>
      <c r="G142" s="1" t="s">
        <v>853</v>
      </c>
    </row>
    <row r="143" spans="1:7" x14ac:dyDescent="0.3">
      <c r="A143" s="1">
        <v>2311181</v>
      </c>
      <c r="C143" s="1" t="s">
        <v>30</v>
      </c>
      <c r="D143" s="1" t="s">
        <v>897</v>
      </c>
      <c r="E143" s="1" t="str">
        <f t="shared" si="4"/>
        <v>c412_a/c412_a_active_front.prefab</v>
      </c>
      <c r="F143" s="1" t="str">
        <f t="shared" si="5"/>
        <v>c412_a/c412_a_active_back.prefab</v>
      </c>
      <c r="G143" s="1" t="s">
        <v>853</v>
      </c>
    </row>
    <row r="144" spans="1:7" x14ac:dyDescent="0.3">
      <c r="A144" s="1">
        <v>3311181</v>
      </c>
      <c r="C144" s="1" t="s">
        <v>31</v>
      </c>
      <c r="D144" s="1" t="s">
        <v>897</v>
      </c>
      <c r="E144" s="1" t="str">
        <f t="shared" si="4"/>
        <v>c412_a/c412_a_ultimate_front.prefab</v>
      </c>
      <c r="F144" s="1" t="str">
        <f t="shared" si="5"/>
        <v>c412_a/c412_a_ultimate_back.prefab</v>
      </c>
      <c r="G144" s="1" t="s">
        <v>853</v>
      </c>
    </row>
    <row r="145" spans="1:7" x14ac:dyDescent="0.3">
      <c r="A145" s="1">
        <v>4311181</v>
      </c>
      <c r="C145" s="1" t="s">
        <v>32</v>
      </c>
      <c r="D145" s="1" t="s">
        <v>897</v>
      </c>
      <c r="E145" s="1" t="str">
        <f t="shared" si="4"/>
        <v>NULL</v>
      </c>
      <c r="F145" s="1" t="str">
        <f t="shared" si="5"/>
        <v>NULL</v>
      </c>
      <c r="G145" s="1" t="s">
        <v>853</v>
      </c>
    </row>
    <row r="146" spans="1:7" x14ac:dyDescent="0.3">
      <c r="A146" s="1">
        <v>1351191</v>
      </c>
      <c r="C146" s="1" t="s">
        <v>29</v>
      </c>
      <c r="D146" s="1" t="s">
        <v>898</v>
      </c>
      <c r="E146" s="1" t="str">
        <f t="shared" si="4"/>
        <v>c156_a/c156_a_normal_front.prefab</v>
      </c>
      <c r="F146" s="1" t="str">
        <f t="shared" si="5"/>
        <v>c156_a/c156_a_normal_back.prefab</v>
      </c>
      <c r="G146" s="1" t="s">
        <v>853</v>
      </c>
    </row>
    <row r="147" spans="1:7" x14ac:dyDescent="0.3">
      <c r="A147" s="1">
        <v>2351191</v>
      </c>
      <c r="C147" s="1" t="s">
        <v>30</v>
      </c>
      <c r="D147" s="1" t="s">
        <v>898</v>
      </c>
      <c r="E147" s="1" t="str">
        <f t="shared" si="4"/>
        <v>c156_a/c156_a_active_front.prefab</v>
      </c>
      <c r="F147" s="1" t="str">
        <f t="shared" si="5"/>
        <v>c156_a/c156_a_active_back.prefab</v>
      </c>
      <c r="G147" s="1" t="s">
        <v>853</v>
      </c>
    </row>
    <row r="148" spans="1:7" x14ac:dyDescent="0.3">
      <c r="A148" s="1">
        <v>3351191</v>
      </c>
      <c r="C148" s="1" t="s">
        <v>31</v>
      </c>
      <c r="D148" s="1" t="s">
        <v>898</v>
      </c>
      <c r="E148" s="1" t="str">
        <f t="shared" si="4"/>
        <v>c156_a/c156_a_ultimate_front.prefab</v>
      </c>
      <c r="F148" s="1" t="str">
        <f t="shared" si="5"/>
        <v>c156_a/c156_a_ultimate_back.prefab</v>
      </c>
      <c r="G148" s="1" t="s">
        <v>853</v>
      </c>
    </row>
    <row r="149" spans="1:7" x14ac:dyDescent="0.3">
      <c r="A149" s="1">
        <v>4351191</v>
      </c>
      <c r="C149" s="1" t="s">
        <v>32</v>
      </c>
      <c r="D149" s="1" t="s">
        <v>898</v>
      </c>
      <c r="E149" s="1" t="str">
        <f t="shared" si="4"/>
        <v>NULL</v>
      </c>
      <c r="F149" s="1" t="str">
        <f t="shared" si="5"/>
        <v>NULL</v>
      </c>
      <c r="G149" s="1" t="s">
        <v>853</v>
      </c>
    </row>
    <row r="150" spans="1:7" x14ac:dyDescent="0.3">
      <c r="A150" s="1">
        <v>1321201</v>
      </c>
      <c r="C150" s="1" t="s">
        <v>29</v>
      </c>
      <c r="D150" s="1" t="s">
        <v>899</v>
      </c>
      <c r="E150" s="1" t="str">
        <f t="shared" si="4"/>
        <v>c318_a/c318_a_normal_front.prefab</v>
      </c>
      <c r="F150" s="1" t="str">
        <f t="shared" si="5"/>
        <v>c318_a/c318_a_normal_back.prefab</v>
      </c>
      <c r="G150" s="1" t="s">
        <v>853</v>
      </c>
    </row>
    <row r="151" spans="1:7" x14ac:dyDescent="0.3">
      <c r="A151" s="1">
        <v>2321201</v>
      </c>
      <c r="C151" s="1" t="s">
        <v>30</v>
      </c>
      <c r="D151" s="1" t="s">
        <v>899</v>
      </c>
      <c r="E151" s="1" t="str">
        <f t="shared" si="4"/>
        <v>c318_a/c318_a_active_front.prefab</v>
      </c>
      <c r="F151" s="1" t="str">
        <f t="shared" si="5"/>
        <v>c318_a/c318_a_active_back.prefab</v>
      </c>
      <c r="G151" s="1" t="s">
        <v>853</v>
      </c>
    </row>
    <row r="152" spans="1:7" x14ac:dyDescent="0.3">
      <c r="A152" s="1">
        <v>3321201</v>
      </c>
      <c r="C152" s="1" t="s">
        <v>31</v>
      </c>
      <c r="D152" s="1" t="s">
        <v>899</v>
      </c>
      <c r="E152" s="1" t="str">
        <f t="shared" si="4"/>
        <v>c318_a/c318_a_ultimate_front.prefab</v>
      </c>
      <c r="F152" s="1" t="str">
        <f t="shared" si="5"/>
        <v>c318_a/c318_a_ultimate_back.prefab</v>
      </c>
      <c r="G152" s="1" t="s">
        <v>853</v>
      </c>
    </row>
    <row r="153" spans="1:7" x14ac:dyDescent="0.3">
      <c r="A153" s="1">
        <v>4321201</v>
      </c>
      <c r="C153" s="1" t="s">
        <v>32</v>
      </c>
      <c r="D153" s="1" t="s">
        <v>899</v>
      </c>
      <c r="E153" s="1" t="str">
        <f t="shared" si="4"/>
        <v>NULL</v>
      </c>
      <c r="F153" s="1" t="str">
        <f t="shared" si="5"/>
        <v>NULL</v>
      </c>
      <c r="G153" s="1" t="s">
        <v>853</v>
      </c>
    </row>
    <row r="154" spans="1:7" x14ac:dyDescent="0.3">
      <c r="A154" s="1">
        <v>1334211</v>
      </c>
      <c r="C154" s="1" t="s">
        <v>29</v>
      </c>
      <c r="D154" s="1" t="s">
        <v>900</v>
      </c>
      <c r="E154" s="1" t="str">
        <f t="shared" si="4"/>
        <v>c525_a/c525_a_normal_front.prefab</v>
      </c>
      <c r="F154" s="1" t="str">
        <f t="shared" si="5"/>
        <v>c525_a/c525_a_normal_back.prefab</v>
      </c>
      <c r="G154" s="1" t="s">
        <v>853</v>
      </c>
    </row>
    <row r="155" spans="1:7" x14ac:dyDescent="0.3">
      <c r="A155" s="1">
        <v>2334211</v>
      </c>
      <c r="C155" s="1" t="s">
        <v>30</v>
      </c>
      <c r="D155" s="1" t="s">
        <v>900</v>
      </c>
      <c r="E155" s="1" t="str">
        <f t="shared" si="4"/>
        <v>c525_a/c525_a_active_front.prefab</v>
      </c>
      <c r="F155" s="1" t="str">
        <f t="shared" si="5"/>
        <v>c525_a/c525_a_active_back.prefab</v>
      </c>
      <c r="G155" s="1" t="s">
        <v>853</v>
      </c>
    </row>
    <row r="156" spans="1:7" x14ac:dyDescent="0.3">
      <c r="A156" s="1">
        <v>3334211</v>
      </c>
      <c r="C156" s="1" t="s">
        <v>31</v>
      </c>
      <c r="D156" s="1" t="s">
        <v>900</v>
      </c>
      <c r="E156" s="1" t="str">
        <f t="shared" si="4"/>
        <v>c525_a/c525_a_ultimate_front.prefab</v>
      </c>
      <c r="F156" s="1" t="str">
        <f t="shared" si="5"/>
        <v>c525_a/c525_a_ultimate_back.prefab</v>
      </c>
      <c r="G156" s="1" t="s">
        <v>853</v>
      </c>
    </row>
    <row r="157" spans="1:7" x14ac:dyDescent="0.3">
      <c r="A157" s="1">
        <v>4334211</v>
      </c>
      <c r="C157" s="1" t="s">
        <v>32</v>
      </c>
      <c r="D157" s="1" t="s">
        <v>900</v>
      </c>
      <c r="E157" s="1" t="str">
        <f t="shared" si="4"/>
        <v>NULL</v>
      </c>
      <c r="F157" s="1" t="str">
        <f t="shared" si="5"/>
        <v>NULL</v>
      </c>
      <c r="G157" s="1" t="s">
        <v>853</v>
      </c>
    </row>
    <row r="158" spans="1:7" x14ac:dyDescent="0.3">
      <c r="A158" s="1">
        <v>1321221</v>
      </c>
      <c r="C158" s="1" t="s">
        <v>29</v>
      </c>
      <c r="D158" s="1" t="s">
        <v>901</v>
      </c>
      <c r="E158" s="1" t="str">
        <f t="shared" si="4"/>
        <v>c442_a/c442_a_normal_front.prefab</v>
      </c>
      <c r="F158" s="1" t="str">
        <f t="shared" si="5"/>
        <v>c442_a/c442_a_normal_back.prefab</v>
      </c>
      <c r="G158" s="1" t="s">
        <v>853</v>
      </c>
    </row>
    <row r="159" spans="1:7" x14ac:dyDescent="0.3">
      <c r="A159" s="1">
        <v>2321221</v>
      </c>
      <c r="C159" s="1" t="s">
        <v>30</v>
      </c>
      <c r="D159" s="1" t="s">
        <v>901</v>
      </c>
      <c r="E159" s="1" t="str">
        <f t="shared" si="4"/>
        <v>c442_a/c442_a_active_front.prefab</v>
      </c>
      <c r="F159" s="1" t="str">
        <f t="shared" si="5"/>
        <v>c442_a/c442_a_active_back.prefab</v>
      </c>
      <c r="G159" s="1" t="s">
        <v>853</v>
      </c>
    </row>
    <row r="160" spans="1:7" x14ac:dyDescent="0.3">
      <c r="A160" s="1">
        <v>3321221</v>
      </c>
      <c r="C160" s="1" t="s">
        <v>31</v>
      </c>
      <c r="D160" s="1" t="s">
        <v>901</v>
      </c>
      <c r="E160" s="1" t="str">
        <f t="shared" si="4"/>
        <v>c442_a/c442_a_ultimate_front.prefab</v>
      </c>
      <c r="F160" s="1" t="str">
        <f t="shared" si="5"/>
        <v>c442_a/c442_a_ultimate_back.prefab</v>
      </c>
      <c r="G160" s="1" t="s">
        <v>853</v>
      </c>
    </row>
    <row r="161" spans="1:7" x14ac:dyDescent="0.3">
      <c r="A161" s="1">
        <v>4321221</v>
      </c>
      <c r="C161" s="1" t="s">
        <v>32</v>
      </c>
      <c r="D161" s="1" t="s">
        <v>901</v>
      </c>
      <c r="E161" s="1" t="str">
        <f t="shared" si="4"/>
        <v>NULL</v>
      </c>
      <c r="F161" s="1" t="str">
        <f t="shared" si="5"/>
        <v>NULL</v>
      </c>
      <c r="G161" s="1" t="s">
        <v>853</v>
      </c>
    </row>
    <row r="162" spans="1:7" x14ac:dyDescent="0.3">
      <c r="A162" s="17">
        <v>1341231</v>
      </c>
      <c r="C162" s="1" t="s">
        <v>29</v>
      </c>
      <c r="D162" s="1" t="s">
        <v>902</v>
      </c>
      <c r="E162" s="1" t="str">
        <f t="shared" si="4"/>
        <v>c194_a/c194_a_normal_front.prefab</v>
      </c>
      <c r="F162" s="1" t="str">
        <f t="shared" si="5"/>
        <v>c194_a/c194_a_normal_back.prefab</v>
      </c>
      <c r="G162" s="1" t="s">
        <v>853</v>
      </c>
    </row>
    <row r="163" spans="1:7" x14ac:dyDescent="0.3">
      <c r="A163" s="17">
        <v>2341231</v>
      </c>
      <c r="C163" s="1" t="s">
        <v>30</v>
      </c>
      <c r="D163" s="1" t="s">
        <v>902</v>
      </c>
      <c r="E163" s="1" t="str">
        <f t="shared" si="4"/>
        <v>c194_a/c194_a_active_front.prefab</v>
      </c>
      <c r="F163" s="1" t="str">
        <f t="shared" si="5"/>
        <v>c194_a/c194_a_active_back.prefab</v>
      </c>
      <c r="G163" s="1" t="s">
        <v>853</v>
      </c>
    </row>
    <row r="164" spans="1:7" x14ac:dyDescent="0.3">
      <c r="A164" s="17">
        <v>3341231</v>
      </c>
      <c r="C164" s="1" t="s">
        <v>31</v>
      </c>
      <c r="D164" s="1" t="s">
        <v>902</v>
      </c>
      <c r="E164" s="1" t="str">
        <f t="shared" si="4"/>
        <v>c194_a/c194_a_ultimate_front.prefab</v>
      </c>
      <c r="F164" s="1" t="str">
        <f t="shared" si="5"/>
        <v>c194_a/c194_a_ultimate_back.prefab</v>
      </c>
      <c r="G164" s="1" t="s">
        <v>853</v>
      </c>
    </row>
    <row r="165" spans="1:7" x14ac:dyDescent="0.3">
      <c r="A165" s="17">
        <v>4341231</v>
      </c>
      <c r="C165" s="1" t="s">
        <v>32</v>
      </c>
      <c r="D165" s="1" t="s">
        <v>902</v>
      </c>
      <c r="E165" s="1" t="str">
        <f t="shared" si="4"/>
        <v>NULL</v>
      </c>
      <c r="F165" s="1" t="str">
        <f t="shared" si="5"/>
        <v>NULL</v>
      </c>
      <c r="G165" s="1" t="s">
        <v>853</v>
      </c>
    </row>
    <row r="166" spans="1:7" x14ac:dyDescent="0.3">
      <c r="A166" s="1">
        <v>1321241</v>
      </c>
      <c r="C166" s="1" t="s">
        <v>29</v>
      </c>
      <c r="D166" s="1" t="s">
        <v>903</v>
      </c>
      <c r="E166" s="1" t="str">
        <f t="shared" si="4"/>
        <v>c124_a/c124_a_normal_front.prefab</v>
      </c>
      <c r="F166" s="1" t="str">
        <f t="shared" si="5"/>
        <v>c124_a/c124_a_normal_back.prefab</v>
      </c>
      <c r="G166" s="1" t="s">
        <v>853</v>
      </c>
    </row>
    <row r="167" spans="1:7" x14ac:dyDescent="0.3">
      <c r="A167" s="1">
        <v>2321241</v>
      </c>
      <c r="C167" s="1" t="s">
        <v>30</v>
      </c>
      <c r="D167" s="1" t="s">
        <v>903</v>
      </c>
      <c r="E167" s="1" t="str">
        <f t="shared" si="4"/>
        <v>c124_a/c124_a_active_front.prefab</v>
      </c>
      <c r="F167" s="1" t="str">
        <f t="shared" si="5"/>
        <v>c124_a/c124_a_active_back.prefab</v>
      </c>
      <c r="G167" s="1" t="s">
        <v>853</v>
      </c>
    </row>
    <row r="168" spans="1:7" x14ac:dyDescent="0.3">
      <c r="A168" s="1">
        <v>3321241</v>
      </c>
      <c r="C168" s="1" t="s">
        <v>31</v>
      </c>
      <c r="D168" s="1" t="s">
        <v>903</v>
      </c>
      <c r="E168" s="1" t="str">
        <f t="shared" si="4"/>
        <v>c124_a/c124_a_ultimate_front.prefab</v>
      </c>
      <c r="F168" s="1" t="str">
        <f t="shared" si="5"/>
        <v>c124_a/c124_a_ultimate_back.prefab</v>
      </c>
      <c r="G168" s="1" t="s">
        <v>853</v>
      </c>
    </row>
    <row r="169" spans="1:7" x14ac:dyDescent="0.3">
      <c r="A169" s="1">
        <v>4321241</v>
      </c>
      <c r="C169" s="1" t="s">
        <v>32</v>
      </c>
      <c r="D169" s="1" t="s">
        <v>903</v>
      </c>
      <c r="E169" s="1" t="str">
        <f t="shared" si="4"/>
        <v>NULL</v>
      </c>
      <c r="F169" s="1" t="str">
        <f t="shared" si="5"/>
        <v>NULL</v>
      </c>
      <c r="G169" s="1" t="s">
        <v>853</v>
      </c>
    </row>
    <row r="170" spans="1:7" x14ac:dyDescent="0.3">
      <c r="A170" s="1">
        <v>1942051</v>
      </c>
      <c r="C170" s="1" t="s">
        <v>29</v>
      </c>
      <c r="D170" s="1" t="s">
        <v>904</v>
      </c>
      <c r="E170" s="1" t="str">
        <f t="shared" si="4"/>
        <v>m054_a/m054_a_normal_front.prefab</v>
      </c>
      <c r="F170" s="1" t="str">
        <f t="shared" si="5"/>
        <v>m054_a/m054_a_normal_back.prefab</v>
      </c>
      <c r="G170" s="1" t="s">
        <v>853</v>
      </c>
    </row>
    <row r="171" spans="1:7" x14ac:dyDescent="0.3">
      <c r="A171" s="1">
        <v>2942051</v>
      </c>
      <c r="C171" s="1" t="s">
        <v>30</v>
      </c>
      <c r="D171" s="1" t="s">
        <v>904</v>
      </c>
      <c r="E171" s="1" t="str">
        <f t="shared" si="4"/>
        <v>m054_a/m054_a_active_front.prefab</v>
      </c>
      <c r="F171" s="1" t="str">
        <f t="shared" si="5"/>
        <v>m054_a/m054_a_active_back.prefab</v>
      </c>
      <c r="G171" s="1" t="s">
        <v>853</v>
      </c>
    </row>
    <row r="172" spans="1:7" x14ac:dyDescent="0.3">
      <c r="A172" s="1">
        <v>3942051</v>
      </c>
      <c r="C172" s="1" t="s">
        <v>31</v>
      </c>
      <c r="D172" s="1" t="s">
        <v>904</v>
      </c>
      <c r="E172" s="1" t="str">
        <f t="shared" si="4"/>
        <v>m054_a/m054_a_ultimate_front.prefab</v>
      </c>
      <c r="F172" s="1" t="str">
        <f t="shared" si="5"/>
        <v>m054_a/m054_a_ultimate_back.prefab</v>
      </c>
      <c r="G172" s="1" t="s">
        <v>853</v>
      </c>
    </row>
    <row r="173" spans="1:7" x14ac:dyDescent="0.3">
      <c r="A173" s="1">
        <v>4942051</v>
      </c>
      <c r="C173" s="1" t="s">
        <v>32</v>
      </c>
      <c r="D173" s="1" t="s">
        <v>904</v>
      </c>
      <c r="E173" s="1" t="str">
        <f t="shared" si="4"/>
        <v>NULL</v>
      </c>
      <c r="F173" s="1" t="str">
        <f t="shared" si="5"/>
        <v>NULL</v>
      </c>
      <c r="G173" s="1" t="s">
        <v>853</v>
      </c>
    </row>
    <row r="174" spans="1:7" x14ac:dyDescent="0.3">
      <c r="A174" s="1">
        <v>1966011</v>
      </c>
      <c r="C174" s="1" t="s">
        <v>29</v>
      </c>
      <c r="D174" s="1" t="s">
        <v>905</v>
      </c>
      <c r="E174" s="1" t="str">
        <f t="shared" si="4"/>
        <v>m901_a/m901_a_normal_front.prefab</v>
      </c>
      <c r="F174" s="1" t="str">
        <f t="shared" si="5"/>
        <v>m901_a/m901_a_normal_back.prefab</v>
      </c>
      <c r="G174" s="1" t="s">
        <v>853</v>
      </c>
    </row>
    <row r="175" spans="1:7" x14ac:dyDescent="0.3">
      <c r="A175" s="17">
        <v>2966011</v>
      </c>
      <c r="C175" s="1" t="s">
        <v>30</v>
      </c>
      <c r="D175" s="1" t="s">
        <v>905</v>
      </c>
      <c r="E175" s="1" t="str">
        <f t="shared" si="4"/>
        <v>m901_a/m901_a_active_front.prefab</v>
      </c>
      <c r="F175" s="1" t="str">
        <f t="shared" si="5"/>
        <v>m901_a/m901_a_active_back.prefab</v>
      </c>
      <c r="G175" s="1" t="s">
        <v>853</v>
      </c>
    </row>
    <row r="176" spans="1:7" x14ac:dyDescent="0.3">
      <c r="A176" s="1">
        <v>3966011</v>
      </c>
      <c r="C176" s="1" t="s">
        <v>31</v>
      </c>
      <c r="D176" s="1" t="s">
        <v>905</v>
      </c>
      <c r="E176" s="1" t="str">
        <f t="shared" si="4"/>
        <v>m901_a/m901_a_ultimate_front.prefab</v>
      </c>
      <c r="F176" s="1" t="str">
        <f t="shared" si="5"/>
        <v>m901_a/m901_a_ultimate_back.prefab</v>
      </c>
      <c r="G176" s="1" t="s">
        <v>853</v>
      </c>
    </row>
    <row r="177" spans="1:7" x14ac:dyDescent="0.3">
      <c r="A177" s="17">
        <v>4966011</v>
      </c>
      <c r="C177" s="1" t="s">
        <v>32</v>
      </c>
      <c r="D177" s="1" t="s">
        <v>905</v>
      </c>
      <c r="E177" s="1" t="str">
        <f t="shared" si="4"/>
        <v>NULL</v>
      </c>
      <c r="F177" s="1" t="str">
        <f t="shared" si="5"/>
        <v>NULL</v>
      </c>
      <c r="G177" s="1" t="s">
        <v>853</v>
      </c>
    </row>
    <row r="178" spans="1:7" x14ac:dyDescent="0.3">
      <c r="A178" s="1">
        <v>1932071</v>
      </c>
      <c r="C178" s="1" t="s">
        <v>29</v>
      </c>
      <c r="D178" s="1" t="s">
        <v>854</v>
      </c>
      <c r="E178" s="1" t="str">
        <f t="shared" si="4"/>
        <v>c180_a/c180_a_normal_front.prefab</v>
      </c>
      <c r="F178" s="1" t="str">
        <f t="shared" si="5"/>
        <v>c180_a/c180_a_normal_back.prefab</v>
      </c>
      <c r="G178" s="1" t="s">
        <v>853</v>
      </c>
    </row>
    <row r="179" spans="1:7" x14ac:dyDescent="0.3">
      <c r="A179" s="1">
        <v>2932071</v>
      </c>
      <c r="C179" s="1" t="s">
        <v>30</v>
      </c>
      <c r="D179" s="1" t="s">
        <v>854</v>
      </c>
      <c r="E179" s="1" t="str">
        <f t="shared" si="4"/>
        <v>c180_a/c180_a_active_front.prefab</v>
      </c>
      <c r="F179" s="1" t="str">
        <f t="shared" si="5"/>
        <v>c180_a/c180_a_active_back.prefab</v>
      </c>
      <c r="G179" s="1" t="s">
        <v>853</v>
      </c>
    </row>
    <row r="180" spans="1:7" x14ac:dyDescent="0.3">
      <c r="A180" s="1">
        <v>3932079</v>
      </c>
      <c r="C180" s="1" t="s">
        <v>31</v>
      </c>
      <c r="D180" s="1" t="s">
        <v>854</v>
      </c>
      <c r="E180" s="1" t="str">
        <f t="shared" si="4"/>
        <v>c180_a/c180_a_ultimate_front.prefab</v>
      </c>
      <c r="F180" s="1" t="str">
        <f t="shared" si="5"/>
        <v>c180_a/c180_a_ultimate_back.prefab</v>
      </c>
      <c r="G180" s="1" t="s">
        <v>853</v>
      </c>
    </row>
    <row r="181" spans="1:7" x14ac:dyDescent="0.3">
      <c r="A181" s="1">
        <v>4932071</v>
      </c>
      <c r="C181" s="1" t="s">
        <v>32</v>
      </c>
      <c r="D181" s="1" t="s">
        <v>854</v>
      </c>
      <c r="E181" s="1" t="str">
        <f t="shared" si="4"/>
        <v>NULL</v>
      </c>
      <c r="F181" s="1" t="str">
        <f t="shared" si="5"/>
        <v>NULL</v>
      </c>
      <c r="G181" s="1" t="s">
        <v>853</v>
      </c>
    </row>
    <row r="182" spans="1:7" x14ac:dyDescent="0.3">
      <c r="A182" s="1">
        <v>1535261</v>
      </c>
      <c r="C182" s="1" t="s">
        <v>29</v>
      </c>
      <c r="D182" s="1" t="s">
        <v>906</v>
      </c>
      <c r="E182" s="1" t="str">
        <f t="shared" si="4"/>
        <v>c336_a/c336_a_normal_front.prefab</v>
      </c>
      <c r="F182" s="1" t="str">
        <f t="shared" si="5"/>
        <v>c336_a/c336_a_normal_back.prefab</v>
      </c>
      <c r="G182" s="1" t="s">
        <v>853</v>
      </c>
    </row>
    <row r="183" spans="1:7" x14ac:dyDescent="0.3">
      <c r="A183" s="1">
        <v>2535261</v>
      </c>
      <c r="C183" s="1" t="s">
        <v>30</v>
      </c>
      <c r="D183" s="1" t="s">
        <v>906</v>
      </c>
      <c r="E183" s="1" t="str">
        <f t="shared" si="4"/>
        <v>c336_a/c336_a_active_front.prefab</v>
      </c>
      <c r="F183" s="1" t="str">
        <f t="shared" si="5"/>
        <v>c336_a/c336_a_active_back.prefab</v>
      </c>
      <c r="G183" s="1" t="s">
        <v>853</v>
      </c>
    </row>
    <row r="184" spans="1:7" x14ac:dyDescent="0.3">
      <c r="A184" s="1">
        <v>3535261</v>
      </c>
      <c r="C184" s="1" t="s">
        <v>31</v>
      </c>
      <c r="D184" s="1" t="s">
        <v>906</v>
      </c>
      <c r="E184" s="1" t="str">
        <f t="shared" si="4"/>
        <v>c336_a/c336_a_ultimate_front.prefab</v>
      </c>
      <c r="F184" s="1" t="str">
        <f t="shared" si="5"/>
        <v>c336_a/c336_a_ultimate_back.prefab</v>
      </c>
      <c r="G184" s="1" t="s">
        <v>853</v>
      </c>
    </row>
    <row r="185" spans="1:7" x14ac:dyDescent="0.3">
      <c r="A185" s="1">
        <v>4535261</v>
      </c>
      <c r="C185" s="1" t="s">
        <v>32</v>
      </c>
      <c r="D185" s="1" t="s">
        <v>906</v>
      </c>
      <c r="E185" s="1" t="str">
        <f t="shared" si="4"/>
        <v>NULL</v>
      </c>
      <c r="F185" s="1" t="str">
        <f t="shared" si="5"/>
        <v>NULL</v>
      </c>
      <c r="G185" s="1" t="s">
        <v>853</v>
      </c>
    </row>
    <row r="186" spans="1:7" x14ac:dyDescent="0.3">
      <c r="A186" s="1">
        <v>1513271</v>
      </c>
      <c r="C186" s="1" t="s">
        <v>29</v>
      </c>
      <c r="D186" s="1" t="s">
        <v>907</v>
      </c>
      <c r="E186" s="1" t="str">
        <f t="shared" si="4"/>
        <v>c445_a/c445_a_normal_front.prefab</v>
      </c>
      <c r="F186" s="1" t="str">
        <f t="shared" si="5"/>
        <v>c445_a/c445_a_normal_back.prefab</v>
      </c>
      <c r="G186" s="1" t="s">
        <v>853</v>
      </c>
    </row>
    <row r="187" spans="1:7" x14ac:dyDescent="0.3">
      <c r="A187" s="1">
        <v>2513271</v>
      </c>
      <c r="C187" s="1" t="s">
        <v>30</v>
      </c>
      <c r="D187" s="1" t="s">
        <v>907</v>
      </c>
      <c r="E187" s="1" t="str">
        <f t="shared" si="4"/>
        <v>c445_a/c445_a_active_front.prefab</v>
      </c>
      <c r="F187" s="1" t="str">
        <f t="shared" si="5"/>
        <v>c445_a/c445_a_active_back.prefab</v>
      </c>
      <c r="G187" s="1" t="s">
        <v>853</v>
      </c>
    </row>
    <row r="188" spans="1:7" x14ac:dyDescent="0.3">
      <c r="A188" s="1">
        <v>3513271</v>
      </c>
      <c r="C188" s="1" t="s">
        <v>31</v>
      </c>
      <c r="D188" s="1" t="s">
        <v>907</v>
      </c>
      <c r="E188" s="1" t="str">
        <f t="shared" si="4"/>
        <v>c445_a/c445_a_ultimate_front.prefab</v>
      </c>
      <c r="F188" s="1" t="str">
        <f t="shared" si="5"/>
        <v>c445_a/c445_a_ultimate_back.prefab</v>
      </c>
      <c r="G188" s="1" t="s">
        <v>853</v>
      </c>
    </row>
    <row r="189" spans="1:7" x14ac:dyDescent="0.3">
      <c r="A189" s="1">
        <v>4513271</v>
      </c>
      <c r="C189" s="1" t="s">
        <v>32</v>
      </c>
      <c r="D189" s="1" t="s">
        <v>907</v>
      </c>
      <c r="E189" s="1" t="str">
        <f t="shared" si="4"/>
        <v>NULL</v>
      </c>
      <c r="F189" s="1" t="str">
        <f t="shared" si="5"/>
        <v>NULL</v>
      </c>
      <c r="G189" s="1" t="s">
        <v>853</v>
      </c>
    </row>
    <row r="190" spans="1:7" x14ac:dyDescent="0.3">
      <c r="A190" s="1">
        <v>1534281</v>
      </c>
      <c r="C190" s="1" t="s">
        <v>29</v>
      </c>
      <c r="D190" s="1" t="s">
        <v>908</v>
      </c>
      <c r="E190" s="1" t="str">
        <f t="shared" si="4"/>
        <v>c461_a/c461_a_normal_front.prefab</v>
      </c>
      <c r="F190" s="1" t="str">
        <f t="shared" si="5"/>
        <v>c461_a/c461_a_normal_back.prefab</v>
      </c>
      <c r="G190" s="1" t="s">
        <v>853</v>
      </c>
    </row>
    <row r="191" spans="1:7" x14ac:dyDescent="0.3">
      <c r="A191" s="1">
        <v>2534281</v>
      </c>
      <c r="C191" s="1" t="s">
        <v>30</v>
      </c>
      <c r="D191" s="1" t="s">
        <v>908</v>
      </c>
      <c r="E191" s="1" t="str">
        <f t="shared" si="4"/>
        <v>c461_a/c461_a_active_front.prefab</v>
      </c>
      <c r="F191" s="1" t="str">
        <f t="shared" si="5"/>
        <v>c461_a/c461_a_active_back.prefab</v>
      </c>
      <c r="G191" s="1" t="s">
        <v>853</v>
      </c>
    </row>
    <row r="192" spans="1:7" x14ac:dyDescent="0.3">
      <c r="A192" s="1">
        <v>3534281</v>
      </c>
      <c r="C192" s="1" t="s">
        <v>31</v>
      </c>
      <c r="D192" s="1" t="s">
        <v>908</v>
      </c>
      <c r="E192" s="1" t="str">
        <f t="shared" si="4"/>
        <v>c461_a/c461_a_ultimate_front.prefab</v>
      </c>
      <c r="F192" s="1" t="str">
        <f t="shared" si="5"/>
        <v>c461_a/c461_a_ultimate_back.prefab</v>
      </c>
      <c r="G192" s="1" t="s">
        <v>853</v>
      </c>
    </row>
    <row r="193" spans="1:7" x14ac:dyDescent="0.3">
      <c r="A193" s="1">
        <v>4534281</v>
      </c>
      <c r="C193" s="1" t="s">
        <v>32</v>
      </c>
      <c r="D193" s="1" t="s">
        <v>908</v>
      </c>
      <c r="E193" s="1" t="str">
        <f t="shared" si="4"/>
        <v>NULL</v>
      </c>
      <c r="F193" s="1" t="str">
        <f t="shared" si="5"/>
        <v>NULL</v>
      </c>
      <c r="G193" s="1" t="s">
        <v>853</v>
      </c>
    </row>
    <row r="194" spans="1:7" x14ac:dyDescent="0.3">
      <c r="A194" s="1">
        <v>1511291</v>
      </c>
      <c r="C194" s="1" t="s">
        <v>29</v>
      </c>
      <c r="D194" s="1" t="s">
        <v>909</v>
      </c>
      <c r="E194" s="1" t="str">
        <f t="shared" si="4"/>
        <v>c283_a/c283_a_normal_front.prefab</v>
      </c>
      <c r="F194" s="1" t="str">
        <f t="shared" si="5"/>
        <v>c283_a/c283_a_normal_back.prefab</v>
      </c>
      <c r="G194" s="1" t="s">
        <v>853</v>
      </c>
    </row>
    <row r="195" spans="1:7" x14ac:dyDescent="0.3">
      <c r="A195" s="1">
        <v>2511291</v>
      </c>
      <c r="C195" s="1" t="s">
        <v>30</v>
      </c>
      <c r="D195" s="1" t="s">
        <v>909</v>
      </c>
      <c r="E195" s="1" t="str">
        <f t="shared" si="4"/>
        <v>c283_a/c283_a_active_front.prefab</v>
      </c>
      <c r="F195" s="1" t="str">
        <f t="shared" si="5"/>
        <v>c283_a/c283_a_active_back.prefab</v>
      </c>
      <c r="G195" s="1" t="s">
        <v>853</v>
      </c>
    </row>
    <row r="196" spans="1:7" x14ac:dyDescent="0.3">
      <c r="A196" s="1">
        <v>3511291</v>
      </c>
      <c r="C196" s="1" t="s">
        <v>31</v>
      </c>
      <c r="D196" s="1" t="s">
        <v>909</v>
      </c>
      <c r="E196" s="1" t="str">
        <f t="shared" ref="E196:E217" si="6">IF(C196="Passive","NULL",$D196&amp;"/"&amp;LOWER($D196&amp;"_"&amp;$C196&amp;"_front.prefab"))</f>
        <v>c283_a/c283_a_ultimate_front.prefab</v>
      </c>
      <c r="F196" s="1" t="str">
        <f t="shared" ref="F196:F217" si="7">IF(C196="Passive","NULL",$D196&amp;"/"&amp;LOWER($D196&amp;"_"&amp;$C196&amp;"_Back.prefab"))</f>
        <v>c283_a/c283_a_ultimate_back.prefab</v>
      </c>
      <c r="G196" s="1" t="s">
        <v>853</v>
      </c>
    </row>
    <row r="197" spans="1:7" x14ac:dyDescent="0.3">
      <c r="A197" s="1">
        <v>4511291</v>
      </c>
      <c r="C197" s="1" t="s">
        <v>32</v>
      </c>
      <c r="D197" s="1" t="s">
        <v>909</v>
      </c>
      <c r="E197" s="1" t="str">
        <f t="shared" si="6"/>
        <v>NULL</v>
      </c>
      <c r="F197" s="1" t="str">
        <f t="shared" si="7"/>
        <v>NULL</v>
      </c>
      <c r="G197" s="1" t="s">
        <v>853</v>
      </c>
    </row>
    <row r="198" spans="1:7" x14ac:dyDescent="0.3">
      <c r="A198" s="1">
        <v>1551301</v>
      </c>
      <c r="C198" s="1" t="s">
        <v>29</v>
      </c>
      <c r="D198" s="1" t="s">
        <v>910</v>
      </c>
      <c r="E198" s="1" t="str">
        <f t="shared" si="6"/>
        <v>c400_a/c400_a_normal_front.prefab</v>
      </c>
      <c r="F198" s="1" t="str">
        <f t="shared" si="7"/>
        <v>c400_a/c400_a_normal_back.prefab</v>
      </c>
      <c r="G198" s="1" t="s">
        <v>853</v>
      </c>
    </row>
    <row r="199" spans="1:7" x14ac:dyDescent="0.3">
      <c r="A199" s="1">
        <v>2551301</v>
      </c>
      <c r="C199" s="1" t="s">
        <v>30</v>
      </c>
      <c r="D199" s="1" t="s">
        <v>910</v>
      </c>
      <c r="E199" s="1" t="str">
        <f t="shared" si="6"/>
        <v>c400_a/c400_a_active_front.prefab</v>
      </c>
      <c r="F199" s="1" t="str">
        <f t="shared" si="7"/>
        <v>c400_a/c400_a_active_back.prefab</v>
      </c>
      <c r="G199" s="1" t="s">
        <v>853</v>
      </c>
    </row>
    <row r="200" spans="1:7" x14ac:dyDescent="0.3">
      <c r="A200" s="1">
        <v>3551301</v>
      </c>
      <c r="C200" s="1" t="s">
        <v>31</v>
      </c>
      <c r="D200" s="1" t="s">
        <v>910</v>
      </c>
      <c r="E200" s="1" t="str">
        <f t="shared" si="6"/>
        <v>c400_a/c400_a_ultimate_front.prefab</v>
      </c>
      <c r="F200" s="1" t="str">
        <f t="shared" si="7"/>
        <v>c400_a/c400_a_ultimate_back.prefab</v>
      </c>
      <c r="G200" s="1" t="s">
        <v>853</v>
      </c>
    </row>
    <row r="201" spans="1:7" x14ac:dyDescent="0.3">
      <c r="A201" s="1">
        <v>4551301</v>
      </c>
      <c r="C201" s="1" t="s">
        <v>32</v>
      </c>
      <c r="D201" s="1" t="s">
        <v>910</v>
      </c>
      <c r="E201" s="1" t="str">
        <f t="shared" si="6"/>
        <v>NULL</v>
      </c>
      <c r="F201" s="1" t="str">
        <f t="shared" si="7"/>
        <v>NULL</v>
      </c>
      <c r="G201" s="1" t="s">
        <v>853</v>
      </c>
    </row>
    <row r="202" spans="1:7" x14ac:dyDescent="0.3">
      <c r="A202" s="1">
        <v>1531311</v>
      </c>
      <c r="C202" s="1" t="s">
        <v>29</v>
      </c>
      <c r="D202" s="1" t="s">
        <v>911</v>
      </c>
      <c r="E202" s="1" t="str">
        <f t="shared" si="6"/>
        <v>c447_a/c447_a_normal_front.prefab</v>
      </c>
      <c r="F202" s="1" t="str">
        <f t="shared" si="7"/>
        <v>c447_a/c447_a_normal_back.prefab</v>
      </c>
      <c r="G202" s="1" t="s">
        <v>853</v>
      </c>
    </row>
    <row r="203" spans="1:7" x14ac:dyDescent="0.3">
      <c r="A203" s="1">
        <v>2531311</v>
      </c>
      <c r="C203" s="1" t="s">
        <v>30</v>
      </c>
      <c r="D203" s="1" t="s">
        <v>911</v>
      </c>
      <c r="E203" s="1" t="str">
        <f t="shared" si="6"/>
        <v>c447_a/c447_a_active_front.prefab</v>
      </c>
      <c r="F203" s="1" t="str">
        <f t="shared" si="7"/>
        <v>c447_a/c447_a_active_back.prefab</v>
      </c>
      <c r="G203" s="1" t="s">
        <v>853</v>
      </c>
    </row>
    <row r="204" spans="1:7" x14ac:dyDescent="0.3">
      <c r="A204" s="1">
        <v>3531311</v>
      </c>
      <c r="C204" s="1" t="s">
        <v>31</v>
      </c>
      <c r="D204" s="1" t="s">
        <v>911</v>
      </c>
      <c r="E204" s="1" t="str">
        <f t="shared" si="6"/>
        <v>c447_a/c447_a_ultimate_front.prefab</v>
      </c>
      <c r="F204" s="1" t="str">
        <f t="shared" si="7"/>
        <v>c447_a/c447_a_ultimate_back.prefab</v>
      </c>
      <c r="G204" s="1" t="s">
        <v>853</v>
      </c>
    </row>
    <row r="205" spans="1:7" x14ac:dyDescent="0.3">
      <c r="A205" s="1">
        <v>4531311</v>
      </c>
      <c r="C205" s="1" t="s">
        <v>32</v>
      </c>
      <c r="D205" s="1" t="s">
        <v>911</v>
      </c>
      <c r="E205" s="1" t="str">
        <f t="shared" si="6"/>
        <v>NULL</v>
      </c>
      <c r="F205" s="1" t="str">
        <f t="shared" si="7"/>
        <v>NULL</v>
      </c>
      <c r="G205" s="1" t="s">
        <v>853</v>
      </c>
    </row>
    <row r="206" spans="1:7" x14ac:dyDescent="0.3">
      <c r="A206" s="1">
        <v>1512321</v>
      </c>
      <c r="B206" s="1" t="s">
        <v>135</v>
      </c>
      <c r="C206" s="1" t="s">
        <v>29</v>
      </c>
      <c r="D206" s="1" t="s">
        <v>912</v>
      </c>
      <c r="E206" s="1" t="str">
        <f t="shared" si="6"/>
        <v>c462_a/c462_a_normal_front.prefab</v>
      </c>
      <c r="F206" s="1" t="str">
        <f t="shared" si="7"/>
        <v>c462_a/c462_a_normal_back.prefab</v>
      </c>
      <c r="G206" s="1" t="s">
        <v>853</v>
      </c>
    </row>
    <row r="207" spans="1:7" x14ac:dyDescent="0.3">
      <c r="A207" s="1">
        <v>2512321</v>
      </c>
      <c r="B207" s="1" t="s">
        <v>135</v>
      </c>
      <c r="C207" s="1" t="s">
        <v>30</v>
      </c>
      <c r="D207" s="1" t="s">
        <v>912</v>
      </c>
      <c r="E207" s="1" t="str">
        <f t="shared" si="6"/>
        <v>c462_a/c462_a_active_front.prefab</v>
      </c>
      <c r="F207" s="1" t="str">
        <f t="shared" si="7"/>
        <v>c462_a/c462_a_active_back.prefab</v>
      </c>
      <c r="G207" s="1" t="s">
        <v>853</v>
      </c>
    </row>
    <row r="208" spans="1:7" x14ac:dyDescent="0.3">
      <c r="A208" s="1">
        <v>3512321</v>
      </c>
      <c r="B208" s="1" t="s">
        <v>135</v>
      </c>
      <c r="C208" s="1" t="s">
        <v>31</v>
      </c>
      <c r="D208" s="1" t="s">
        <v>912</v>
      </c>
      <c r="E208" s="1" t="str">
        <f t="shared" si="6"/>
        <v>c462_a/c462_a_ultimate_front.prefab</v>
      </c>
      <c r="F208" s="1" t="str">
        <f t="shared" si="7"/>
        <v>c462_a/c462_a_ultimate_back.prefab</v>
      </c>
      <c r="G208" s="1" t="s">
        <v>853</v>
      </c>
    </row>
    <row r="209" spans="1:7" x14ac:dyDescent="0.3">
      <c r="A209" s="1">
        <v>4512321</v>
      </c>
      <c r="B209" s="1" t="s">
        <v>135</v>
      </c>
      <c r="C209" s="1" t="s">
        <v>32</v>
      </c>
      <c r="D209" s="1" t="s">
        <v>912</v>
      </c>
      <c r="E209" s="1" t="str">
        <f t="shared" si="6"/>
        <v>NULL</v>
      </c>
      <c r="F209" s="1" t="str">
        <f t="shared" si="7"/>
        <v>NULL</v>
      </c>
      <c r="G209" s="1" t="s">
        <v>853</v>
      </c>
    </row>
    <row r="210" spans="1:7" x14ac:dyDescent="0.3">
      <c r="A210" s="1">
        <v>1524331</v>
      </c>
      <c r="B210" s="1" t="s">
        <v>158</v>
      </c>
      <c r="C210" s="1" t="s">
        <v>29</v>
      </c>
      <c r="D210" s="1" t="s">
        <v>913</v>
      </c>
      <c r="E210" s="1" t="str">
        <f t="shared" si="6"/>
        <v>c281_a/c281_a_normal_front.prefab</v>
      </c>
      <c r="F210" s="1" t="str">
        <f t="shared" si="7"/>
        <v>c281_a/c281_a_normal_back.prefab</v>
      </c>
      <c r="G210" s="1" t="s">
        <v>853</v>
      </c>
    </row>
    <row r="211" spans="1:7" x14ac:dyDescent="0.3">
      <c r="A211" s="1">
        <v>2524331</v>
      </c>
      <c r="B211" s="1" t="s">
        <v>158</v>
      </c>
      <c r="C211" s="1" t="s">
        <v>30</v>
      </c>
      <c r="D211" s="1" t="s">
        <v>913</v>
      </c>
      <c r="E211" s="1" t="str">
        <f t="shared" si="6"/>
        <v>c281_a/c281_a_active_front.prefab</v>
      </c>
      <c r="F211" s="1" t="str">
        <f t="shared" si="7"/>
        <v>c281_a/c281_a_active_back.prefab</v>
      </c>
      <c r="G211" s="1" t="s">
        <v>853</v>
      </c>
    </row>
    <row r="212" spans="1:7" x14ac:dyDescent="0.3">
      <c r="A212" s="1">
        <v>3524331</v>
      </c>
      <c r="B212" s="1" t="s">
        <v>158</v>
      </c>
      <c r="C212" s="1" t="s">
        <v>31</v>
      </c>
      <c r="D212" s="1" t="s">
        <v>913</v>
      </c>
      <c r="E212" s="1" t="str">
        <f t="shared" si="6"/>
        <v>c281_a/c281_a_ultimate_front.prefab</v>
      </c>
      <c r="F212" s="1" t="str">
        <f t="shared" si="7"/>
        <v>c281_a/c281_a_ultimate_back.prefab</v>
      </c>
      <c r="G212" s="1" t="s">
        <v>853</v>
      </c>
    </row>
    <row r="213" spans="1:7" x14ac:dyDescent="0.3">
      <c r="A213" s="1">
        <v>4524331</v>
      </c>
      <c r="B213" s="1" t="s">
        <v>158</v>
      </c>
      <c r="C213" s="1" t="s">
        <v>32</v>
      </c>
      <c r="D213" s="1" t="s">
        <v>913</v>
      </c>
      <c r="E213" s="1" t="str">
        <f t="shared" si="6"/>
        <v>NULL</v>
      </c>
      <c r="F213" s="1" t="str">
        <f t="shared" si="7"/>
        <v>NULL</v>
      </c>
      <c r="G213" s="1" t="s">
        <v>853</v>
      </c>
    </row>
    <row r="214" spans="1:7" x14ac:dyDescent="0.3">
      <c r="A214" s="65">
        <v>1451341</v>
      </c>
      <c r="B214" s="1" t="s">
        <v>99</v>
      </c>
      <c r="C214" s="1" t="s">
        <v>29</v>
      </c>
      <c r="D214" s="1" t="s">
        <v>914</v>
      </c>
      <c r="E214" s="1" t="str">
        <f t="shared" si="6"/>
        <v>c514_a/c514_a_normal_front.prefab</v>
      </c>
      <c r="F214" s="1" t="str">
        <f t="shared" si="7"/>
        <v>c514_a/c514_a_normal_back.prefab</v>
      </c>
      <c r="G214" s="1" t="s">
        <v>853</v>
      </c>
    </row>
    <row r="215" spans="1:7" x14ac:dyDescent="0.3">
      <c r="A215" s="1">
        <v>2451341</v>
      </c>
      <c r="B215" s="1" t="s">
        <v>99</v>
      </c>
      <c r="C215" s="1" t="s">
        <v>30</v>
      </c>
      <c r="D215" s="1" t="s">
        <v>914</v>
      </c>
      <c r="E215" s="1" t="str">
        <f t="shared" si="6"/>
        <v>c514_a/c514_a_active_front.prefab</v>
      </c>
      <c r="F215" s="1" t="str">
        <f t="shared" si="7"/>
        <v>c514_a/c514_a_active_back.prefab</v>
      </c>
      <c r="G215" s="1" t="s">
        <v>853</v>
      </c>
    </row>
    <row r="216" spans="1:7" x14ac:dyDescent="0.3">
      <c r="A216" s="1">
        <v>3451341</v>
      </c>
      <c r="B216" s="1" t="s">
        <v>99</v>
      </c>
      <c r="C216" s="1" t="s">
        <v>31</v>
      </c>
      <c r="D216" s="1" t="s">
        <v>914</v>
      </c>
      <c r="E216" s="1" t="str">
        <f t="shared" si="6"/>
        <v>c514_a/c514_a_ultimate_front.prefab</v>
      </c>
      <c r="F216" s="1" t="str">
        <f t="shared" si="7"/>
        <v>c514_a/c514_a_ultimate_back.prefab</v>
      </c>
      <c r="G216" s="1" t="s">
        <v>853</v>
      </c>
    </row>
    <row r="217" spans="1:7" x14ac:dyDescent="0.3">
      <c r="A217" s="1">
        <v>4451341</v>
      </c>
      <c r="B217" s="1" t="s">
        <v>99</v>
      </c>
      <c r="C217" s="1" t="s">
        <v>32</v>
      </c>
      <c r="D217" s="1" t="s">
        <v>914</v>
      </c>
      <c r="E217" s="1" t="str">
        <f t="shared" si="6"/>
        <v>NULL</v>
      </c>
      <c r="F217" s="1" t="str">
        <f t="shared" si="7"/>
        <v>NULL</v>
      </c>
      <c r="G217" s="1" t="s">
        <v>853</v>
      </c>
    </row>
  </sheetData>
  <autoFilter ref="A3:G3" xr:uid="{00000000-0009-0000-0000-000004000000}">
    <sortState xmlns:xlrd2="http://schemas.microsoft.com/office/spreadsheetml/2017/richdata2" ref="A4:G72">
      <sortCondition ref="D3"/>
    </sortState>
  </autoFilter>
  <phoneticPr fontId="1" type="noConversion"/>
  <conditionalFormatting sqref="A1:A213 A218:A1048576">
    <cfRule type="duplicateValues" dxfId="2" priority="5"/>
  </conditionalFormatting>
  <conditionalFormatting sqref="A214:A217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903"/>
  <sheetViews>
    <sheetView workbookViewId="0">
      <pane ySplit="3" topLeftCell="A180" activePane="bottomLeft" state="frozen"/>
      <selection pane="bottomLeft" activeCell="F199" sqref="F199"/>
    </sheetView>
  </sheetViews>
  <sheetFormatPr defaultRowHeight="16.5" x14ac:dyDescent="0.3"/>
  <cols>
    <col min="3" max="3" width="9" style="17" customWidth="1"/>
    <col min="4" max="4" width="9.125" style="17" bestFit="1" customWidth="1"/>
    <col min="5" max="5" width="11.25" style="17" bestFit="1" customWidth="1"/>
    <col min="6" max="6" width="9.125" style="17" bestFit="1" customWidth="1"/>
    <col min="7" max="7" width="11.125" style="17" bestFit="1" customWidth="1"/>
    <col min="8" max="8" width="9.125" style="17" bestFit="1" customWidth="1"/>
    <col min="9" max="9" width="11.125" style="17" bestFit="1" customWidth="1"/>
  </cols>
  <sheetData>
    <row r="1" spans="1:9" x14ac:dyDescent="0.3">
      <c r="A1" s="21" t="s">
        <v>0</v>
      </c>
      <c r="B1" s="21" t="s">
        <v>915</v>
      </c>
      <c r="C1" s="21" t="s">
        <v>916</v>
      </c>
      <c r="D1" s="6" t="s">
        <v>20</v>
      </c>
      <c r="E1" s="6" t="s">
        <v>21</v>
      </c>
      <c r="F1" s="6" t="s">
        <v>20</v>
      </c>
      <c r="G1" s="6" t="s">
        <v>21</v>
      </c>
      <c r="H1" s="6" t="s">
        <v>20</v>
      </c>
      <c r="I1" s="6" t="s">
        <v>21</v>
      </c>
    </row>
    <row r="2" spans="1:9" x14ac:dyDescent="0.3">
      <c r="E2" s="17">
        <v>1.45</v>
      </c>
      <c r="G2" s="17">
        <v>1.45</v>
      </c>
      <c r="I2" s="17">
        <v>1.45</v>
      </c>
    </row>
    <row r="3" spans="1:9" x14ac:dyDescent="0.3">
      <c r="E3" s="17">
        <v>1</v>
      </c>
      <c r="G3" s="17">
        <v>8</v>
      </c>
      <c r="I3" s="17">
        <v>1</v>
      </c>
    </row>
    <row r="4" spans="1:9" x14ac:dyDescent="0.3">
      <c r="A4" s="17" t="str">
        <f t="shared" ref="A4:A67" si="0">B4&amp;TEXT(C4,"0000")</f>
        <v>1010001</v>
      </c>
      <c r="B4" s="17">
        <v>101</v>
      </c>
      <c r="C4" s="17">
        <v>1</v>
      </c>
      <c r="D4" s="17" t="s">
        <v>917</v>
      </c>
      <c r="E4" s="17">
        <v>0</v>
      </c>
      <c r="F4" s="17" t="s">
        <v>918</v>
      </c>
      <c r="G4" s="17">
        <v>0</v>
      </c>
      <c r="H4" s="17" t="s">
        <v>919</v>
      </c>
      <c r="I4" s="17">
        <v>0</v>
      </c>
    </row>
    <row r="5" spans="1:9" x14ac:dyDescent="0.3">
      <c r="A5" s="17" t="str">
        <f t="shared" si="0"/>
        <v>1010002</v>
      </c>
      <c r="B5" s="17">
        <v>101</v>
      </c>
      <c r="C5" s="17">
        <v>2</v>
      </c>
      <c r="D5" s="17" t="s">
        <v>917</v>
      </c>
      <c r="E5" s="17">
        <v>3500</v>
      </c>
      <c r="F5" s="17" t="s">
        <v>918</v>
      </c>
      <c r="G5" s="17">
        <v>3500</v>
      </c>
      <c r="H5" s="17" t="s">
        <v>919</v>
      </c>
      <c r="I5" s="17">
        <v>3500</v>
      </c>
    </row>
    <row r="6" spans="1:9" x14ac:dyDescent="0.3">
      <c r="A6" s="17" t="str">
        <f t="shared" si="0"/>
        <v>1010003</v>
      </c>
      <c r="B6" s="17">
        <v>101</v>
      </c>
      <c r="C6" s="17">
        <v>3</v>
      </c>
      <c r="D6" s="17" t="s">
        <v>917</v>
      </c>
      <c r="E6" s="17">
        <f t="shared" ref="E6:E69" si="1">ROUND(E$5*($C5^E$2*E$3), 0)</f>
        <v>9562</v>
      </c>
      <c r="F6" s="17" t="s">
        <v>918</v>
      </c>
      <c r="G6" s="17">
        <f t="shared" ref="G6:G69" si="2">ROUND(G$5*($C5^$E$2*$E$3), 0)</f>
        <v>9562</v>
      </c>
      <c r="H6" s="17" t="s">
        <v>919</v>
      </c>
      <c r="I6" s="17">
        <f>ROUND(I$5*($C5^$I$2*$I$3), 0)</f>
        <v>9562</v>
      </c>
    </row>
    <row r="7" spans="1:9" x14ac:dyDescent="0.3">
      <c r="A7" s="17" t="str">
        <f t="shared" si="0"/>
        <v>1010004</v>
      </c>
      <c r="B7" s="17">
        <v>101</v>
      </c>
      <c r="C7" s="17">
        <v>4</v>
      </c>
      <c r="D7" s="17" t="s">
        <v>917</v>
      </c>
      <c r="E7" s="17">
        <f t="shared" si="1"/>
        <v>17214</v>
      </c>
      <c r="F7" s="17" t="s">
        <v>918</v>
      </c>
      <c r="G7" s="17">
        <f t="shared" si="2"/>
        <v>17214</v>
      </c>
      <c r="H7" s="17" t="s">
        <v>919</v>
      </c>
      <c r="I7" s="17">
        <f t="shared" ref="I7:I70" si="3">ROUND(I$5*($C6^$E$2*$E$3), 0)</f>
        <v>17214</v>
      </c>
    </row>
    <row r="8" spans="1:9" x14ac:dyDescent="0.3">
      <c r="A8" s="17" t="str">
        <f t="shared" si="0"/>
        <v>1010005</v>
      </c>
      <c r="B8" s="17">
        <v>101</v>
      </c>
      <c r="C8" s="17">
        <v>5</v>
      </c>
      <c r="D8" s="17" t="s">
        <v>917</v>
      </c>
      <c r="E8" s="17">
        <f t="shared" si="1"/>
        <v>26125</v>
      </c>
      <c r="F8" s="17" t="s">
        <v>918</v>
      </c>
      <c r="G8" s="17">
        <f t="shared" si="2"/>
        <v>26125</v>
      </c>
      <c r="H8" s="17" t="s">
        <v>919</v>
      </c>
      <c r="I8" s="17">
        <f t="shared" si="3"/>
        <v>26125</v>
      </c>
    </row>
    <row r="9" spans="1:9" x14ac:dyDescent="0.3">
      <c r="A9" s="17" t="str">
        <f t="shared" si="0"/>
        <v>1010006</v>
      </c>
      <c r="B9" s="17">
        <v>101</v>
      </c>
      <c r="C9" s="17">
        <v>6</v>
      </c>
      <c r="D9" s="17" t="s">
        <v>917</v>
      </c>
      <c r="E9" s="17">
        <f t="shared" si="1"/>
        <v>36106</v>
      </c>
      <c r="F9" s="17" t="s">
        <v>918</v>
      </c>
      <c r="G9" s="17">
        <f t="shared" si="2"/>
        <v>36106</v>
      </c>
      <c r="H9" s="17" t="s">
        <v>919</v>
      </c>
      <c r="I9" s="17">
        <f t="shared" si="3"/>
        <v>36106</v>
      </c>
    </row>
    <row r="10" spans="1:9" x14ac:dyDescent="0.3">
      <c r="A10" s="17" t="str">
        <f t="shared" si="0"/>
        <v>1010007</v>
      </c>
      <c r="B10" s="17">
        <v>101</v>
      </c>
      <c r="C10" s="17">
        <v>7</v>
      </c>
      <c r="D10" s="17" t="s">
        <v>917</v>
      </c>
      <c r="E10" s="17">
        <f t="shared" si="1"/>
        <v>47031</v>
      </c>
      <c r="F10" s="17" t="s">
        <v>918</v>
      </c>
      <c r="G10" s="17">
        <f t="shared" si="2"/>
        <v>47031</v>
      </c>
      <c r="H10" s="17" t="s">
        <v>919</v>
      </c>
      <c r="I10" s="17">
        <f t="shared" si="3"/>
        <v>47031</v>
      </c>
    </row>
    <row r="11" spans="1:9" x14ac:dyDescent="0.3">
      <c r="A11" s="17" t="str">
        <f t="shared" si="0"/>
        <v>1010008</v>
      </c>
      <c r="B11" s="17">
        <v>101</v>
      </c>
      <c r="C11" s="17">
        <v>8</v>
      </c>
      <c r="D11" s="17" t="s">
        <v>917</v>
      </c>
      <c r="E11" s="17">
        <f t="shared" si="1"/>
        <v>58811</v>
      </c>
      <c r="F11" s="17" t="s">
        <v>918</v>
      </c>
      <c r="G11" s="17">
        <f t="shared" si="2"/>
        <v>58811</v>
      </c>
      <c r="H11" s="17" t="s">
        <v>919</v>
      </c>
      <c r="I11" s="17">
        <f t="shared" si="3"/>
        <v>58811</v>
      </c>
    </row>
    <row r="12" spans="1:9" x14ac:dyDescent="0.3">
      <c r="A12" s="17" t="str">
        <f t="shared" si="0"/>
        <v>1010009</v>
      </c>
      <c r="B12" s="17">
        <v>101</v>
      </c>
      <c r="C12" s="17">
        <v>9</v>
      </c>
      <c r="D12" s="17" t="s">
        <v>917</v>
      </c>
      <c r="E12" s="17">
        <f t="shared" si="1"/>
        <v>71375</v>
      </c>
      <c r="F12" s="17" t="s">
        <v>918</v>
      </c>
      <c r="G12" s="17">
        <f t="shared" si="2"/>
        <v>71375</v>
      </c>
      <c r="H12" s="17" t="s">
        <v>919</v>
      </c>
      <c r="I12" s="17">
        <f t="shared" si="3"/>
        <v>71375</v>
      </c>
    </row>
    <row r="13" spans="1:9" x14ac:dyDescent="0.3">
      <c r="A13" s="17" t="str">
        <f t="shared" si="0"/>
        <v>1010010</v>
      </c>
      <c r="B13" s="17">
        <v>101</v>
      </c>
      <c r="C13" s="17">
        <v>10</v>
      </c>
      <c r="D13" s="17" t="s">
        <v>917</v>
      </c>
      <c r="E13" s="17">
        <f t="shared" si="1"/>
        <v>84668</v>
      </c>
      <c r="F13" s="17" t="s">
        <v>918</v>
      </c>
      <c r="G13" s="17">
        <f t="shared" si="2"/>
        <v>84668</v>
      </c>
      <c r="H13" s="17" t="s">
        <v>919</v>
      </c>
      <c r="I13" s="17">
        <f t="shared" si="3"/>
        <v>84668</v>
      </c>
    </row>
    <row r="14" spans="1:9" x14ac:dyDescent="0.3">
      <c r="A14" s="17" t="str">
        <f t="shared" si="0"/>
        <v>1010011</v>
      </c>
      <c r="B14" s="17">
        <v>101</v>
      </c>
      <c r="C14" s="17">
        <v>11</v>
      </c>
      <c r="D14" s="17" t="s">
        <v>917</v>
      </c>
      <c r="E14" s="17">
        <f t="shared" si="1"/>
        <v>98643</v>
      </c>
      <c r="F14" s="17" t="s">
        <v>918</v>
      </c>
      <c r="G14" s="17">
        <f t="shared" si="2"/>
        <v>98643</v>
      </c>
      <c r="H14" s="17" t="s">
        <v>919</v>
      </c>
      <c r="I14" s="17">
        <f t="shared" si="3"/>
        <v>98643</v>
      </c>
    </row>
    <row r="15" spans="1:9" x14ac:dyDescent="0.3">
      <c r="A15" s="17" t="str">
        <f t="shared" si="0"/>
        <v>1010012</v>
      </c>
      <c r="B15" s="17">
        <v>101</v>
      </c>
      <c r="C15" s="17">
        <v>12</v>
      </c>
      <c r="D15" s="17" t="s">
        <v>917</v>
      </c>
      <c r="E15" s="17">
        <f t="shared" si="1"/>
        <v>113263</v>
      </c>
      <c r="F15" s="17" t="s">
        <v>918</v>
      </c>
      <c r="G15" s="17">
        <f t="shared" si="2"/>
        <v>113263</v>
      </c>
      <c r="H15" s="17" t="s">
        <v>919</v>
      </c>
      <c r="I15" s="17">
        <f t="shared" si="3"/>
        <v>113263</v>
      </c>
    </row>
    <row r="16" spans="1:9" x14ac:dyDescent="0.3">
      <c r="A16" s="17" t="str">
        <f t="shared" si="0"/>
        <v>1010013</v>
      </c>
      <c r="B16" s="17">
        <v>101</v>
      </c>
      <c r="C16" s="17">
        <v>13</v>
      </c>
      <c r="D16" s="17" t="s">
        <v>917</v>
      </c>
      <c r="E16" s="17">
        <f t="shared" si="1"/>
        <v>128493</v>
      </c>
      <c r="F16" s="17" t="s">
        <v>918</v>
      </c>
      <c r="G16" s="17">
        <f t="shared" si="2"/>
        <v>128493</v>
      </c>
      <c r="H16" s="17" t="s">
        <v>919</v>
      </c>
      <c r="I16" s="17">
        <f t="shared" si="3"/>
        <v>128493</v>
      </c>
    </row>
    <row r="17" spans="1:9" x14ac:dyDescent="0.3">
      <c r="A17" s="17" t="str">
        <f t="shared" si="0"/>
        <v>1010014</v>
      </c>
      <c r="B17" s="17">
        <v>101</v>
      </c>
      <c r="C17" s="17">
        <v>14</v>
      </c>
      <c r="D17" s="17" t="s">
        <v>917</v>
      </c>
      <c r="E17" s="17">
        <f t="shared" si="1"/>
        <v>144307</v>
      </c>
      <c r="F17" s="17" t="s">
        <v>918</v>
      </c>
      <c r="G17" s="17">
        <f t="shared" si="2"/>
        <v>144307</v>
      </c>
      <c r="H17" s="17" t="s">
        <v>919</v>
      </c>
      <c r="I17" s="17">
        <f t="shared" si="3"/>
        <v>144307</v>
      </c>
    </row>
    <row r="18" spans="1:9" x14ac:dyDescent="0.3">
      <c r="A18" s="17" t="str">
        <f t="shared" si="0"/>
        <v>1010015</v>
      </c>
      <c r="B18" s="17">
        <v>101</v>
      </c>
      <c r="C18" s="17">
        <v>15</v>
      </c>
      <c r="D18" s="17" t="s">
        <v>917</v>
      </c>
      <c r="E18" s="17">
        <f t="shared" si="1"/>
        <v>160677</v>
      </c>
      <c r="F18" s="17" t="s">
        <v>918</v>
      </c>
      <c r="G18" s="17">
        <f t="shared" si="2"/>
        <v>160677</v>
      </c>
      <c r="H18" s="17" t="s">
        <v>919</v>
      </c>
      <c r="I18" s="17">
        <f t="shared" si="3"/>
        <v>160677</v>
      </c>
    </row>
    <row r="19" spans="1:9" x14ac:dyDescent="0.3">
      <c r="A19" s="17" t="str">
        <f t="shared" si="0"/>
        <v>1010016</v>
      </c>
      <c r="B19" s="17">
        <v>101</v>
      </c>
      <c r="C19" s="17">
        <v>16</v>
      </c>
      <c r="D19" s="17" t="s">
        <v>917</v>
      </c>
      <c r="E19" s="17">
        <f t="shared" si="1"/>
        <v>177583</v>
      </c>
      <c r="F19" s="17" t="s">
        <v>918</v>
      </c>
      <c r="G19" s="17">
        <f t="shared" si="2"/>
        <v>177583</v>
      </c>
      <c r="H19" s="17" t="s">
        <v>919</v>
      </c>
      <c r="I19" s="17">
        <f t="shared" si="3"/>
        <v>177583</v>
      </c>
    </row>
    <row r="20" spans="1:9" x14ac:dyDescent="0.3">
      <c r="A20" s="17" t="str">
        <f t="shared" si="0"/>
        <v>1010017</v>
      </c>
      <c r="B20" s="17">
        <v>101</v>
      </c>
      <c r="C20" s="17">
        <v>17</v>
      </c>
      <c r="D20" s="17" t="s">
        <v>917</v>
      </c>
      <c r="E20" s="17">
        <f t="shared" si="1"/>
        <v>195003</v>
      </c>
      <c r="F20" s="17" t="s">
        <v>918</v>
      </c>
      <c r="G20" s="17">
        <f t="shared" si="2"/>
        <v>195003</v>
      </c>
      <c r="H20" s="17" t="s">
        <v>919</v>
      </c>
      <c r="I20" s="17">
        <f t="shared" si="3"/>
        <v>195003</v>
      </c>
    </row>
    <row r="21" spans="1:9" x14ac:dyDescent="0.3">
      <c r="A21" s="17" t="str">
        <f t="shared" si="0"/>
        <v>1010018</v>
      </c>
      <c r="B21" s="17">
        <v>101</v>
      </c>
      <c r="C21" s="17">
        <v>18</v>
      </c>
      <c r="D21" s="17" t="s">
        <v>917</v>
      </c>
      <c r="E21" s="17">
        <f t="shared" si="1"/>
        <v>212921</v>
      </c>
      <c r="F21" s="17" t="s">
        <v>918</v>
      </c>
      <c r="G21" s="17">
        <f t="shared" si="2"/>
        <v>212921</v>
      </c>
      <c r="H21" s="17" t="s">
        <v>919</v>
      </c>
      <c r="I21" s="17">
        <f t="shared" si="3"/>
        <v>212921</v>
      </c>
    </row>
    <row r="22" spans="1:9" x14ac:dyDescent="0.3">
      <c r="A22" s="17" t="str">
        <f t="shared" si="0"/>
        <v>1010019</v>
      </c>
      <c r="B22" s="17">
        <v>101</v>
      </c>
      <c r="C22" s="17">
        <v>19</v>
      </c>
      <c r="D22" s="17" t="s">
        <v>917</v>
      </c>
      <c r="E22" s="17">
        <f t="shared" si="1"/>
        <v>231320</v>
      </c>
      <c r="F22" s="17" t="s">
        <v>918</v>
      </c>
      <c r="G22" s="17">
        <f t="shared" si="2"/>
        <v>231320</v>
      </c>
      <c r="H22" s="17" t="s">
        <v>919</v>
      </c>
      <c r="I22" s="17">
        <f t="shared" si="3"/>
        <v>231320</v>
      </c>
    </row>
    <row r="23" spans="1:9" x14ac:dyDescent="0.3">
      <c r="A23" s="17" t="str">
        <f t="shared" si="0"/>
        <v>1010020</v>
      </c>
      <c r="B23" s="17">
        <v>101</v>
      </c>
      <c r="C23" s="17">
        <v>20</v>
      </c>
      <c r="D23" s="17" t="s">
        <v>917</v>
      </c>
      <c r="E23" s="17">
        <f t="shared" si="1"/>
        <v>250185</v>
      </c>
      <c r="F23" s="17" t="s">
        <v>918</v>
      </c>
      <c r="G23" s="17">
        <f t="shared" si="2"/>
        <v>250185</v>
      </c>
      <c r="H23" s="17" t="s">
        <v>919</v>
      </c>
      <c r="I23" s="17">
        <f t="shared" si="3"/>
        <v>250185</v>
      </c>
    </row>
    <row r="24" spans="1:9" x14ac:dyDescent="0.3">
      <c r="A24" s="17" t="str">
        <f t="shared" si="0"/>
        <v>1010021</v>
      </c>
      <c r="B24" s="17">
        <v>101</v>
      </c>
      <c r="C24" s="17">
        <v>21</v>
      </c>
      <c r="D24" s="17" t="s">
        <v>917</v>
      </c>
      <c r="E24" s="17">
        <f t="shared" si="1"/>
        <v>269502</v>
      </c>
      <c r="F24" s="17" t="s">
        <v>918</v>
      </c>
      <c r="G24" s="17">
        <f t="shared" si="2"/>
        <v>269502</v>
      </c>
      <c r="H24" s="17" t="s">
        <v>919</v>
      </c>
      <c r="I24" s="17">
        <f t="shared" si="3"/>
        <v>269502</v>
      </c>
    </row>
    <row r="25" spans="1:9" x14ac:dyDescent="0.3">
      <c r="A25" s="17" t="str">
        <f t="shared" si="0"/>
        <v>1010022</v>
      </c>
      <c r="B25" s="17">
        <v>101</v>
      </c>
      <c r="C25" s="17">
        <v>22</v>
      </c>
      <c r="D25" s="17" t="s">
        <v>917</v>
      </c>
      <c r="E25" s="17">
        <f t="shared" si="1"/>
        <v>289258</v>
      </c>
      <c r="F25" s="17" t="s">
        <v>918</v>
      </c>
      <c r="G25" s="17">
        <f t="shared" si="2"/>
        <v>289258</v>
      </c>
      <c r="H25" s="17" t="s">
        <v>919</v>
      </c>
      <c r="I25" s="17">
        <f t="shared" si="3"/>
        <v>289258</v>
      </c>
    </row>
    <row r="26" spans="1:9" x14ac:dyDescent="0.3">
      <c r="A26" s="17" t="str">
        <f t="shared" si="0"/>
        <v>1010023</v>
      </c>
      <c r="B26" s="17">
        <v>101</v>
      </c>
      <c r="C26" s="17">
        <v>23</v>
      </c>
      <c r="D26" s="17" t="s">
        <v>917</v>
      </c>
      <c r="E26" s="17">
        <f t="shared" si="1"/>
        <v>309443</v>
      </c>
      <c r="F26" s="17" t="s">
        <v>918</v>
      </c>
      <c r="G26" s="17">
        <f t="shared" si="2"/>
        <v>309443</v>
      </c>
      <c r="H26" s="17" t="s">
        <v>919</v>
      </c>
      <c r="I26" s="17">
        <f t="shared" si="3"/>
        <v>309443</v>
      </c>
    </row>
    <row r="27" spans="1:9" x14ac:dyDescent="0.3">
      <c r="A27" s="17" t="str">
        <f t="shared" si="0"/>
        <v>1010024</v>
      </c>
      <c r="B27" s="17">
        <v>101</v>
      </c>
      <c r="C27" s="17">
        <v>24</v>
      </c>
      <c r="D27" s="17" t="s">
        <v>917</v>
      </c>
      <c r="E27" s="17">
        <f t="shared" si="1"/>
        <v>330045</v>
      </c>
      <c r="F27" s="17" t="s">
        <v>918</v>
      </c>
      <c r="G27" s="17">
        <f t="shared" si="2"/>
        <v>330045</v>
      </c>
      <c r="H27" s="17" t="s">
        <v>919</v>
      </c>
      <c r="I27" s="17">
        <f t="shared" si="3"/>
        <v>330045</v>
      </c>
    </row>
    <row r="28" spans="1:9" x14ac:dyDescent="0.3">
      <c r="A28" s="17" t="str">
        <f t="shared" si="0"/>
        <v>1010025</v>
      </c>
      <c r="B28" s="17">
        <v>101</v>
      </c>
      <c r="C28" s="17">
        <v>25</v>
      </c>
      <c r="D28" s="17" t="s">
        <v>917</v>
      </c>
      <c r="E28" s="17">
        <f t="shared" si="1"/>
        <v>351054</v>
      </c>
      <c r="F28" s="17" t="s">
        <v>918</v>
      </c>
      <c r="G28" s="17">
        <f t="shared" si="2"/>
        <v>351054</v>
      </c>
      <c r="H28" s="17" t="s">
        <v>919</v>
      </c>
      <c r="I28" s="17">
        <f t="shared" si="3"/>
        <v>351054</v>
      </c>
    </row>
    <row r="29" spans="1:9" x14ac:dyDescent="0.3">
      <c r="A29" s="17" t="str">
        <f t="shared" si="0"/>
        <v>1010026</v>
      </c>
      <c r="B29" s="17">
        <v>101</v>
      </c>
      <c r="C29" s="17">
        <v>26</v>
      </c>
      <c r="D29" s="17" t="s">
        <v>917</v>
      </c>
      <c r="E29" s="17">
        <f t="shared" si="1"/>
        <v>372461</v>
      </c>
      <c r="F29" s="17" t="s">
        <v>918</v>
      </c>
      <c r="G29" s="17">
        <f t="shared" si="2"/>
        <v>372461</v>
      </c>
      <c r="H29" s="17" t="s">
        <v>919</v>
      </c>
      <c r="I29" s="17">
        <f t="shared" si="3"/>
        <v>372461</v>
      </c>
    </row>
    <row r="30" spans="1:9" x14ac:dyDescent="0.3">
      <c r="A30" s="17" t="str">
        <f t="shared" si="0"/>
        <v>1010027</v>
      </c>
      <c r="B30" s="17">
        <v>101</v>
      </c>
      <c r="C30" s="17">
        <v>27</v>
      </c>
      <c r="D30" s="17" t="s">
        <v>917</v>
      </c>
      <c r="E30" s="17">
        <f t="shared" si="1"/>
        <v>394257</v>
      </c>
      <c r="F30" s="17" t="s">
        <v>918</v>
      </c>
      <c r="G30" s="17">
        <f t="shared" si="2"/>
        <v>394257</v>
      </c>
      <c r="H30" s="17" t="s">
        <v>919</v>
      </c>
      <c r="I30" s="17">
        <f t="shared" si="3"/>
        <v>394257</v>
      </c>
    </row>
    <row r="31" spans="1:9" x14ac:dyDescent="0.3">
      <c r="A31" s="17" t="str">
        <f t="shared" si="0"/>
        <v>1010028</v>
      </c>
      <c r="B31" s="17">
        <v>101</v>
      </c>
      <c r="C31" s="17">
        <v>28</v>
      </c>
      <c r="D31" s="17" t="s">
        <v>917</v>
      </c>
      <c r="E31" s="17">
        <f t="shared" si="1"/>
        <v>416433</v>
      </c>
      <c r="F31" s="17" t="s">
        <v>918</v>
      </c>
      <c r="G31" s="17">
        <f t="shared" si="2"/>
        <v>416433</v>
      </c>
      <c r="H31" s="17" t="s">
        <v>919</v>
      </c>
      <c r="I31" s="17">
        <f t="shared" si="3"/>
        <v>416433</v>
      </c>
    </row>
    <row r="32" spans="1:9" x14ac:dyDescent="0.3">
      <c r="A32" s="17" t="str">
        <f t="shared" si="0"/>
        <v>1010029</v>
      </c>
      <c r="B32" s="17">
        <v>101</v>
      </c>
      <c r="C32" s="17">
        <v>29</v>
      </c>
      <c r="D32" s="17" t="s">
        <v>917</v>
      </c>
      <c r="E32" s="17">
        <f t="shared" si="1"/>
        <v>438982</v>
      </c>
      <c r="F32" s="17" t="s">
        <v>918</v>
      </c>
      <c r="G32" s="17">
        <f t="shared" si="2"/>
        <v>438982</v>
      </c>
      <c r="H32" s="17" t="s">
        <v>919</v>
      </c>
      <c r="I32" s="17">
        <f t="shared" si="3"/>
        <v>438982</v>
      </c>
    </row>
    <row r="33" spans="1:9" x14ac:dyDescent="0.3">
      <c r="A33" s="17" t="str">
        <f t="shared" si="0"/>
        <v>1010030</v>
      </c>
      <c r="B33" s="17">
        <v>101</v>
      </c>
      <c r="C33" s="17">
        <v>30</v>
      </c>
      <c r="D33" s="17" t="s">
        <v>917</v>
      </c>
      <c r="E33" s="17">
        <f t="shared" si="1"/>
        <v>461897</v>
      </c>
      <c r="F33" s="17" t="s">
        <v>918</v>
      </c>
      <c r="G33" s="17">
        <f t="shared" si="2"/>
        <v>461897</v>
      </c>
      <c r="H33" s="17" t="s">
        <v>919</v>
      </c>
      <c r="I33" s="17">
        <f t="shared" si="3"/>
        <v>461897</v>
      </c>
    </row>
    <row r="34" spans="1:9" x14ac:dyDescent="0.3">
      <c r="A34" s="17" t="str">
        <f t="shared" si="0"/>
        <v>1010031</v>
      </c>
      <c r="B34" s="17">
        <v>101</v>
      </c>
      <c r="C34" s="17">
        <v>31</v>
      </c>
      <c r="D34" s="17" t="s">
        <v>917</v>
      </c>
      <c r="E34" s="17">
        <f t="shared" si="1"/>
        <v>485170</v>
      </c>
      <c r="F34" s="17" t="s">
        <v>918</v>
      </c>
      <c r="G34" s="17">
        <f t="shared" si="2"/>
        <v>485170</v>
      </c>
      <c r="H34" s="17" t="s">
        <v>919</v>
      </c>
      <c r="I34" s="17">
        <f t="shared" si="3"/>
        <v>485170</v>
      </c>
    </row>
    <row r="35" spans="1:9" x14ac:dyDescent="0.3">
      <c r="A35" s="17" t="str">
        <f t="shared" si="0"/>
        <v>1010032</v>
      </c>
      <c r="B35" s="17">
        <v>101</v>
      </c>
      <c r="C35" s="17">
        <v>32</v>
      </c>
      <c r="D35" s="17" t="s">
        <v>917</v>
      </c>
      <c r="E35" s="17">
        <f t="shared" si="1"/>
        <v>508795</v>
      </c>
      <c r="F35" s="17" t="s">
        <v>918</v>
      </c>
      <c r="G35" s="17">
        <f t="shared" si="2"/>
        <v>508795</v>
      </c>
      <c r="H35" s="17" t="s">
        <v>919</v>
      </c>
      <c r="I35" s="17">
        <f t="shared" si="3"/>
        <v>508795</v>
      </c>
    </row>
    <row r="36" spans="1:9" x14ac:dyDescent="0.3">
      <c r="A36" s="17" t="str">
        <f t="shared" si="0"/>
        <v>1010033</v>
      </c>
      <c r="B36" s="17">
        <v>101</v>
      </c>
      <c r="C36" s="17">
        <v>33</v>
      </c>
      <c r="D36" s="17" t="s">
        <v>917</v>
      </c>
      <c r="E36" s="17">
        <f t="shared" si="1"/>
        <v>532765</v>
      </c>
      <c r="F36" s="17" t="s">
        <v>918</v>
      </c>
      <c r="G36" s="17">
        <f t="shared" si="2"/>
        <v>532765</v>
      </c>
      <c r="H36" s="17" t="s">
        <v>919</v>
      </c>
      <c r="I36" s="17">
        <f t="shared" si="3"/>
        <v>532765</v>
      </c>
    </row>
    <row r="37" spans="1:9" x14ac:dyDescent="0.3">
      <c r="A37" s="17" t="str">
        <f t="shared" si="0"/>
        <v>1010034</v>
      </c>
      <c r="B37" s="17">
        <v>101</v>
      </c>
      <c r="C37" s="17">
        <v>34</v>
      </c>
      <c r="D37" s="17" t="s">
        <v>917</v>
      </c>
      <c r="E37" s="17">
        <f t="shared" si="1"/>
        <v>557074</v>
      </c>
      <c r="F37" s="17" t="s">
        <v>918</v>
      </c>
      <c r="G37" s="17">
        <f t="shared" si="2"/>
        <v>557074</v>
      </c>
      <c r="H37" s="17" t="s">
        <v>919</v>
      </c>
      <c r="I37" s="17">
        <f t="shared" si="3"/>
        <v>557074</v>
      </c>
    </row>
    <row r="38" spans="1:9" x14ac:dyDescent="0.3">
      <c r="A38" s="17" t="str">
        <f t="shared" si="0"/>
        <v>1010035</v>
      </c>
      <c r="B38" s="17">
        <v>101</v>
      </c>
      <c r="C38" s="17">
        <v>35</v>
      </c>
      <c r="D38" s="17" t="s">
        <v>917</v>
      </c>
      <c r="E38" s="17">
        <f t="shared" si="1"/>
        <v>581718</v>
      </c>
      <c r="F38" s="17" t="s">
        <v>918</v>
      </c>
      <c r="G38" s="17">
        <f t="shared" si="2"/>
        <v>581718</v>
      </c>
      <c r="H38" s="17" t="s">
        <v>919</v>
      </c>
      <c r="I38" s="17">
        <f t="shared" si="3"/>
        <v>581718</v>
      </c>
    </row>
    <row r="39" spans="1:9" x14ac:dyDescent="0.3">
      <c r="A39" s="17" t="str">
        <f t="shared" si="0"/>
        <v>1010036</v>
      </c>
      <c r="B39" s="17">
        <v>101</v>
      </c>
      <c r="C39" s="17">
        <v>36</v>
      </c>
      <c r="D39" s="17" t="s">
        <v>917</v>
      </c>
      <c r="E39" s="17">
        <f t="shared" si="1"/>
        <v>606690</v>
      </c>
      <c r="F39" s="17" t="s">
        <v>918</v>
      </c>
      <c r="G39" s="17">
        <f t="shared" si="2"/>
        <v>606690</v>
      </c>
      <c r="H39" s="17" t="s">
        <v>919</v>
      </c>
      <c r="I39" s="17">
        <f t="shared" si="3"/>
        <v>606690</v>
      </c>
    </row>
    <row r="40" spans="1:9" x14ac:dyDescent="0.3">
      <c r="A40" s="17" t="str">
        <f t="shared" si="0"/>
        <v>1010037</v>
      </c>
      <c r="B40" s="17">
        <v>101</v>
      </c>
      <c r="C40" s="17">
        <v>37</v>
      </c>
      <c r="D40" s="17" t="s">
        <v>917</v>
      </c>
      <c r="E40" s="17">
        <f t="shared" si="1"/>
        <v>631985</v>
      </c>
      <c r="F40" s="17" t="s">
        <v>918</v>
      </c>
      <c r="G40" s="17">
        <f t="shared" si="2"/>
        <v>631985</v>
      </c>
      <c r="H40" s="17" t="s">
        <v>919</v>
      </c>
      <c r="I40" s="17">
        <f t="shared" si="3"/>
        <v>631985</v>
      </c>
    </row>
    <row r="41" spans="1:9" x14ac:dyDescent="0.3">
      <c r="A41" s="17" t="str">
        <f t="shared" si="0"/>
        <v>1010038</v>
      </c>
      <c r="B41" s="17">
        <v>101</v>
      </c>
      <c r="C41" s="17">
        <v>38</v>
      </c>
      <c r="D41" s="17" t="s">
        <v>917</v>
      </c>
      <c r="E41" s="17">
        <f t="shared" si="1"/>
        <v>657598</v>
      </c>
      <c r="F41" s="17" t="s">
        <v>918</v>
      </c>
      <c r="G41" s="17">
        <f t="shared" si="2"/>
        <v>657598</v>
      </c>
      <c r="H41" s="17" t="s">
        <v>919</v>
      </c>
      <c r="I41" s="17">
        <f t="shared" si="3"/>
        <v>657598</v>
      </c>
    </row>
    <row r="42" spans="1:9" x14ac:dyDescent="0.3">
      <c r="A42" s="17" t="str">
        <f t="shared" si="0"/>
        <v>1010039</v>
      </c>
      <c r="B42" s="17">
        <v>101</v>
      </c>
      <c r="C42" s="17">
        <v>39</v>
      </c>
      <c r="D42" s="17" t="s">
        <v>917</v>
      </c>
      <c r="E42" s="17">
        <f t="shared" si="1"/>
        <v>683525</v>
      </c>
      <c r="F42" s="17" t="s">
        <v>918</v>
      </c>
      <c r="G42" s="17">
        <f t="shared" si="2"/>
        <v>683525</v>
      </c>
      <c r="H42" s="17" t="s">
        <v>919</v>
      </c>
      <c r="I42" s="17">
        <f t="shared" si="3"/>
        <v>683525</v>
      </c>
    </row>
    <row r="43" spans="1:9" x14ac:dyDescent="0.3">
      <c r="A43" s="17" t="str">
        <f t="shared" si="0"/>
        <v>1010040</v>
      </c>
      <c r="B43" s="17">
        <v>101</v>
      </c>
      <c r="C43" s="17">
        <v>40</v>
      </c>
      <c r="D43" s="17" t="s">
        <v>917</v>
      </c>
      <c r="E43" s="17">
        <f t="shared" si="1"/>
        <v>709760</v>
      </c>
      <c r="F43" s="17" t="s">
        <v>918</v>
      </c>
      <c r="G43" s="17">
        <f t="shared" si="2"/>
        <v>709760</v>
      </c>
      <c r="H43" s="17" t="s">
        <v>919</v>
      </c>
      <c r="I43" s="17">
        <f t="shared" si="3"/>
        <v>709760</v>
      </c>
    </row>
    <row r="44" spans="1:9" x14ac:dyDescent="0.3">
      <c r="A44" s="17" t="str">
        <f t="shared" si="0"/>
        <v>1010041</v>
      </c>
      <c r="B44" s="17">
        <v>101</v>
      </c>
      <c r="C44" s="17">
        <v>41</v>
      </c>
      <c r="D44" s="17" t="s">
        <v>917</v>
      </c>
      <c r="E44" s="17">
        <f t="shared" si="1"/>
        <v>736300</v>
      </c>
      <c r="F44" s="17" t="s">
        <v>918</v>
      </c>
      <c r="G44" s="17">
        <f t="shared" si="2"/>
        <v>736300</v>
      </c>
      <c r="H44" s="17" t="s">
        <v>919</v>
      </c>
      <c r="I44" s="17">
        <f t="shared" si="3"/>
        <v>736300</v>
      </c>
    </row>
    <row r="45" spans="1:9" x14ac:dyDescent="0.3">
      <c r="A45" s="17" t="str">
        <f t="shared" si="0"/>
        <v>1010042</v>
      </c>
      <c r="B45" s="17">
        <v>101</v>
      </c>
      <c r="C45" s="17">
        <v>42</v>
      </c>
      <c r="D45" s="17" t="s">
        <v>917</v>
      </c>
      <c r="E45" s="17">
        <f t="shared" si="1"/>
        <v>763141</v>
      </c>
      <c r="F45" s="17" t="s">
        <v>918</v>
      </c>
      <c r="G45" s="17">
        <f t="shared" si="2"/>
        <v>763141</v>
      </c>
      <c r="H45" s="17" t="s">
        <v>919</v>
      </c>
      <c r="I45" s="17">
        <f t="shared" si="3"/>
        <v>763141</v>
      </c>
    </row>
    <row r="46" spans="1:9" x14ac:dyDescent="0.3">
      <c r="A46" s="17" t="str">
        <f t="shared" si="0"/>
        <v>1010043</v>
      </c>
      <c r="B46" s="17">
        <v>101</v>
      </c>
      <c r="C46" s="17">
        <v>43</v>
      </c>
      <c r="D46" s="17" t="s">
        <v>917</v>
      </c>
      <c r="E46" s="17">
        <f t="shared" si="1"/>
        <v>790277</v>
      </c>
      <c r="F46" s="17" t="s">
        <v>918</v>
      </c>
      <c r="G46" s="17">
        <f t="shared" si="2"/>
        <v>790277</v>
      </c>
      <c r="H46" s="17" t="s">
        <v>919</v>
      </c>
      <c r="I46" s="17">
        <f t="shared" si="3"/>
        <v>790277</v>
      </c>
    </row>
    <row r="47" spans="1:9" x14ac:dyDescent="0.3">
      <c r="A47" s="17" t="str">
        <f t="shared" si="0"/>
        <v>1010044</v>
      </c>
      <c r="B47" s="17">
        <v>101</v>
      </c>
      <c r="C47" s="17">
        <v>44</v>
      </c>
      <c r="D47" s="17" t="s">
        <v>917</v>
      </c>
      <c r="E47" s="17">
        <f t="shared" si="1"/>
        <v>817706</v>
      </c>
      <c r="F47" s="17" t="s">
        <v>918</v>
      </c>
      <c r="G47" s="17">
        <f t="shared" si="2"/>
        <v>817706</v>
      </c>
      <c r="H47" s="17" t="s">
        <v>919</v>
      </c>
      <c r="I47" s="17">
        <f t="shared" si="3"/>
        <v>817706</v>
      </c>
    </row>
    <row r="48" spans="1:9" x14ac:dyDescent="0.3">
      <c r="A48" s="17" t="str">
        <f t="shared" si="0"/>
        <v>1010045</v>
      </c>
      <c r="B48" s="17">
        <v>101</v>
      </c>
      <c r="C48" s="17">
        <v>45</v>
      </c>
      <c r="D48" s="17" t="s">
        <v>917</v>
      </c>
      <c r="E48" s="17">
        <f t="shared" si="1"/>
        <v>845424</v>
      </c>
      <c r="F48" s="17" t="s">
        <v>918</v>
      </c>
      <c r="G48" s="17">
        <f t="shared" si="2"/>
        <v>845424</v>
      </c>
      <c r="H48" s="17" t="s">
        <v>919</v>
      </c>
      <c r="I48" s="17">
        <f t="shared" si="3"/>
        <v>845424</v>
      </c>
    </row>
    <row r="49" spans="1:9" x14ac:dyDescent="0.3">
      <c r="A49" s="17" t="str">
        <f t="shared" si="0"/>
        <v>1010046</v>
      </c>
      <c r="B49" s="17">
        <v>101</v>
      </c>
      <c r="C49" s="17">
        <v>46</v>
      </c>
      <c r="D49" s="17" t="s">
        <v>917</v>
      </c>
      <c r="E49" s="17">
        <f t="shared" si="1"/>
        <v>873426</v>
      </c>
      <c r="F49" s="17" t="s">
        <v>918</v>
      </c>
      <c r="G49" s="17">
        <f t="shared" si="2"/>
        <v>873426</v>
      </c>
      <c r="H49" s="17" t="s">
        <v>919</v>
      </c>
      <c r="I49" s="17">
        <f t="shared" si="3"/>
        <v>873426</v>
      </c>
    </row>
    <row r="50" spans="1:9" x14ac:dyDescent="0.3">
      <c r="A50" s="17" t="str">
        <f t="shared" si="0"/>
        <v>1010047</v>
      </c>
      <c r="B50" s="17">
        <v>101</v>
      </c>
      <c r="C50" s="17">
        <v>47</v>
      </c>
      <c r="D50" s="17" t="s">
        <v>917</v>
      </c>
      <c r="E50" s="17">
        <f t="shared" si="1"/>
        <v>901710</v>
      </c>
      <c r="F50" s="17" t="s">
        <v>918</v>
      </c>
      <c r="G50" s="17">
        <f t="shared" si="2"/>
        <v>901710</v>
      </c>
      <c r="H50" s="17" t="s">
        <v>919</v>
      </c>
      <c r="I50" s="17">
        <f t="shared" si="3"/>
        <v>901710</v>
      </c>
    </row>
    <row r="51" spans="1:9" x14ac:dyDescent="0.3">
      <c r="A51" s="17" t="str">
        <f t="shared" si="0"/>
        <v>1010048</v>
      </c>
      <c r="B51" s="17">
        <v>101</v>
      </c>
      <c r="C51" s="17">
        <v>48</v>
      </c>
      <c r="D51" s="17" t="s">
        <v>917</v>
      </c>
      <c r="E51" s="17">
        <f t="shared" si="1"/>
        <v>930272</v>
      </c>
      <c r="F51" s="17" t="s">
        <v>918</v>
      </c>
      <c r="G51" s="17">
        <f t="shared" si="2"/>
        <v>930272</v>
      </c>
      <c r="H51" s="17" t="s">
        <v>919</v>
      </c>
      <c r="I51" s="17">
        <f t="shared" si="3"/>
        <v>930272</v>
      </c>
    </row>
    <row r="52" spans="1:9" x14ac:dyDescent="0.3">
      <c r="A52" s="17" t="str">
        <f t="shared" si="0"/>
        <v>1010049</v>
      </c>
      <c r="B52" s="17">
        <v>101</v>
      </c>
      <c r="C52" s="17">
        <v>49</v>
      </c>
      <c r="D52" s="17" t="s">
        <v>917</v>
      </c>
      <c r="E52" s="17">
        <f t="shared" si="1"/>
        <v>959109</v>
      </c>
      <c r="F52" s="17" t="s">
        <v>918</v>
      </c>
      <c r="G52" s="17">
        <f t="shared" si="2"/>
        <v>959109</v>
      </c>
      <c r="H52" s="17" t="s">
        <v>919</v>
      </c>
      <c r="I52" s="17">
        <f t="shared" si="3"/>
        <v>959109</v>
      </c>
    </row>
    <row r="53" spans="1:9" x14ac:dyDescent="0.3">
      <c r="A53" s="17" t="str">
        <f t="shared" si="0"/>
        <v>1010050</v>
      </c>
      <c r="B53" s="17">
        <v>101</v>
      </c>
      <c r="C53" s="17">
        <v>50</v>
      </c>
      <c r="D53" s="17" t="s">
        <v>917</v>
      </c>
      <c r="E53" s="17">
        <f t="shared" si="1"/>
        <v>988217</v>
      </c>
      <c r="F53" s="17" t="s">
        <v>918</v>
      </c>
      <c r="G53" s="17">
        <f t="shared" si="2"/>
        <v>988217</v>
      </c>
      <c r="H53" s="17" t="s">
        <v>919</v>
      </c>
      <c r="I53" s="17">
        <f t="shared" si="3"/>
        <v>988217</v>
      </c>
    </row>
    <row r="54" spans="1:9" x14ac:dyDescent="0.3">
      <c r="A54" s="17" t="str">
        <f t="shared" si="0"/>
        <v>1010051</v>
      </c>
      <c r="B54" s="17">
        <v>101</v>
      </c>
      <c r="C54" s="17">
        <v>51</v>
      </c>
      <c r="D54" s="17" t="s">
        <v>917</v>
      </c>
      <c r="E54" s="17">
        <f t="shared" si="1"/>
        <v>1017594</v>
      </c>
      <c r="F54" s="17" t="s">
        <v>918</v>
      </c>
      <c r="G54" s="17">
        <f t="shared" si="2"/>
        <v>1017594</v>
      </c>
      <c r="H54" s="17" t="s">
        <v>919</v>
      </c>
      <c r="I54" s="17">
        <f t="shared" si="3"/>
        <v>1017594</v>
      </c>
    </row>
    <row r="55" spans="1:9" x14ac:dyDescent="0.3">
      <c r="A55" s="17" t="str">
        <f t="shared" si="0"/>
        <v>1010052</v>
      </c>
      <c r="B55" s="17">
        <v>101</v>
      </c>
      <c r="C55" s="17">
        <v>52</v>
      </c>
      <c r="D55" s="17" t="s">
        <v>917</v>
      </c>
      <c r="E55" s="17">
        <f t="shared" si="1"/>
        <v>1047237</v>
      </c>
      <c r="F55" s="17" t="s">
        <v>918</v>
      </c>
      <c r="G55" s="17">
        <f t="shared" si="2"/>
        <v>1047237</v>
      </c>
      <c r="H55" s="17" t="s">
        <v>919</v>
      </c>
      <c r="I55" s="17">
        <f t="shared" si="3"/>
        <v>1047237</v>
      </c>
    </row>
    <row r="56" spans="1:9" x14ac:dyDescent="0.3">
      <c r="A56" s="17" t="str">
        <f t="shared" si="0"/>
        <v>1010053</v>
      </c>
      <c r="B56" s="17">
        <v>101</v>
      </c>
      <c r="C56" s="17">
        <v>53</v>
      </c>
      <c r="D56" s="17" t="s">
        <v>917</v>
      </c>
      <c r="E56" s="17">
        <f t="shared" si="1"/>
        <v>1077142</v>
      </c>
      <c r="F56" s="17" t="s">
        <v>918</v>
      </c>
      <c r="G56" s="17">
        <f t="shared" si="2"/>
        <v>1077142</v>
      </c>
      <c r="H56" s="17" t="s">
        <v>919</v>
      </c>
      <c r="I56" s="17">
        <f t="shared" si="3"/>
        <v>1077142</v>
      </c>
    </row>
    <row r="57" spans="1:9" x14ac:dyDescent="0.3">
      <c r="A57" s="17" t="str">
        <f t="shared" si="0"/>
        <v>1010054</v>
      </c>
      <c r="B57" s="17">
        <v>101</v>
      </c>
      <c r="C57" s="17">
        <v>54</v>
      </c>
      <c r="D57" s="17" t="s">
        <v>917</v>
      </c>
      <c r="E57" s="17">
        <f t="shared" si="1"/>
        <v>1107307</v>
      </c>
      <c r="F57" s="17" t="s">
        <v>918</v>
      </c>
      <c r="G57" s="17">
        <f t="shared" si="2"/>
        <v>1107307</v>
      </c>
      <c r="H57" s="17" t="s">
        <v>919</v>
      </c>
      <c r="I57" s="17">
        <f t="shared" si="3"/>
        <v>1107307</v>
      </c>
    </row>
    <row r="58" spans="1:9" x14ac:dyDescent="0.3">
      <c r="A58" s="17" t="str">
        <f t="shared" si="0"/>
        <v>1010055</v>
      </c>
      <c r="B58" s="17">
        <v>101</v>
      </c>
      <c r="C58" s="17">
        <v>55</v>
      </c>
      <c r="D58" s="17" t="s">
        <v>917</v>
      </c>
      <c r="E58" s="17">
        <f t="shared" si="1"/>
        <v>1137729</v>
      </c>
      <c r="F58" s="17" t="s">
        <v>918</v>
      </c>
      <c r="G58" s="17">
        <f t="shared" si="2"/>
        <v>1137729</v>
      </c>
      <c r="H58" s="17" t="s">
        <v>919</v>
      </c>
      <c r="I58" s="17">
        <f t="shared" si="3"/>
        <v>1137729</v>
      </c>
    </row>
    <row r="59" spans="1:9" x14ac:dyDescent="0.3">
      <c r="A59" s="17" t="str">
        <f t="shared" si="0"/>
        <v>1010056</v>
      </c>
      <c r="B59" s="17">
        <v>101</v>
      </c>
      <c r="C59" s="17">
        <v>56</v>
      </c>
      <c r="D59" s="17" t="s">
        <v>917</v>
      </c>
      <c r="E59" s="17">
        <f t="shared" si="1"/>
        <v>1168406</v>
      </c>
      <c r="F59" s="17" t="s">
        <v>918</v>
      </c>
      <c r="G59" s="17">
        <f t="shared" si="2"/>
        <v>1168406</v>
      </c>
      <c r="H59" s="17" t="s">
        <v>919</v>
      </c>
      <c r="I59" s="17">
        <f t="shared" si="3"/>
        <v>1168406</v>
      </c>
    </row>
    <row r="60" spans="1:9" x14ac:dyDescent="0.3">
      <c r="A60" s="17" t="str">
        <f t="shared" si="0"/>
        <v>1010057</v>
      </c>
      <c r="B60" s="17">
        <v>101</v>
      </c>
      <c r="C60" s="17">
        <v>57</v>
      </c>
      <c r="D60" s="17" t="s">
        <v>917</v>
      </c>
      <c r="E60" s="17">
        <f t="shared" si="1"/>
        <v>1199335</v>
      </c>
      <c r="F60" s="17" t="s">
        <v>918</v>
      </c>
      <c r="G60" s="17">
        <f t="shared" si="2"/>
        <v>1199335</v>
      </c>
      <c r="H60" s="17" t="s">
        <v>919</v>
      </c>
      <c r="I60" s="17">
        <f t="shared" si="3"/>
        <v>1199335</v>
      </c>
    </row>
    <row r="61" spans="1:9" x14ac:dyDescent="0.3">
      <c r="A61" s="17" t="str">
        <f t="shared" si="0"/>
        <v>1010058</v>
      </c>
      <c r="B61" s="17">
        <v>101</v>
      </c>
      <c r="C61" s="17">
        <v>58</v>
      </c>
      <c r="D61" s="17" t="s">
        <v>917</v>
      </c>
      <c r="E61" s="17">
        <f t="shared" si="1"/>
        <v>1230514</v>
      </c>
      <c r="F61" s="17" t="s">
        <v>918</v>
      </c>
      <c r="G61" s="17">
        <f t="shared" si="2"/>
        <v>1230514</v>
      </c>
      <c r="H61" s="17" t="s">
        <v>919</v>
      </c>
      <c r="I61" s="17">
        <f t="shared" si="3"/>
        <v>1230514</v>
      </c>
    </row>
    <row r="62" spans="1:9" x14ac:dyDescent="0.3">
      <c r="A62" s="17" t="str">
        <f t="shared" si="0"/>
        <v>1010059</v>
      </c>
      <c r="B62" s="17">
        <v>101</v>
      </c>
      <c r="C62" s="17">
        <v>59</v>
      </c>
      <c r="D62" s="17" t="s">
        <v>917</v>
      </c>
      <c r="E62" s="17">
        <f t="shared" si="1"/>
        <v>1261940</v>
      </c>
      <c r="F62" s="17" t="s">
        <v>918</v>
      </c>
      <c r="G62" s="17">
        <f t="shared" si="2"/>
        <v>1261940</v>
      </c>
      <c r="H62" s="17" t="s">
        <v>919</v>
      </c>
      <c r="I62" s="17">
        <f t="shared" si="3"/>
        <v>1261940</v>
      </c>
    </row>
    <row r="63" spans="1:9" x14ac:dyDescent="0.3">
      <c r="A63" s="17" t="str">
        <f t="shared" si="0"/>
        <v>1010060</v>
      </c>
      <c r="B63" s="17">
        <v>101</v>
      </c>
      <c r="C63" s="17">
        <v>60</v>
      </c>
      <c r="D63" s="17" t="s">
        <v>917</v>
      </c>
      <c r="E63" s="17">
        <f t="shared" si="1"/>
        <v>1293610</v>
      </c>
      <c r="F63" s="17" t="s">
        <v>918</v>
      </c>
      <c r="G63" s="17">
        <f t="shared" si="2"/>
        <v>1293610</v>
      </c>
      <c r="H63" s="17" t="s">
        <v>919</v>
      </c>
      <c r="I63" s="17">
        <f t="shared" si="3"/>
        <v>1293610</v>
      </c>
    </row>
    <row r="64" spans="1:9" x14ac:dyDescent="0.3">
      <c r="A64" s="17" t="str">
        <f t="shared" si="0"/>
        <v>1010061</v>
      </c>
      <c r="B64" s="17">
        <v>101</v>
      </c>
      <c r="C64" s="17">
        <v>61</v>
      </c>
      <c r="D64" s="17" t="s">
        <v>917</v>
      </c>
      <c r="E64" s="17">
        <f t="shared" si="1"/>
        <v>1325523</v>
      </c>
      <c r="F64" s="17" t="s">
        <v>918</v>
      </c>
      <c r="G64" s="17">
        <f t="shared" si="2"/>
        <v>1325523</v>
      </c>
      <c r="H64" s="17" t="s">
        <v>919</v>
      </c>
      <c r="I64" s="17">
        <f t="shared" si="3"/>
        <v>1325523</v>
      </c>
    </row>
    <row r="65" spans="1:9" x14ac:dyDescent="0.3">
      <c r="A65" s="17" t="str">
        <f t="shared" si="0"/>
        <v>1010062</v>
      </c>
      <c r="B65" s="17">
        <v>101</v>
      </c>
      <c r="C65" s="17">
        <v>62</v>
      </c>
      <c r="D65" s="17" t="s">
        <v>917</v>
      </c>
      <c r="E65" s="17">
        <f t="shared" si="1"/>
        <v>1357677</v>
      </c>
      <c r="F65" s="17" t="s">
        <v>918</v>
      </c>
      <c r="G65" s="17">
        <f t="shared" si="2"/>
        <v>1357677</v>
      </c>
      <c r="H65" s="17" t="s">
        <v>919</v>
      </c>
      <c r="I65" s="17">
        <f t="shared" si="3"/>
        <v>1357677</v>
      </c>
    </row>
    <row r="66" spans="1:9" x14ac:dyDescent="0.3">
      <c r="A66" s="17" t="str">
        <f t="shared" si="0"/>
        <v>1010063</v>
      </c>
      <c r="B66" s="17">
        <v>101</v>
      </c>
      <c r="C66" s="17">
        <v>63</v>
      </c>
      <c r="D66" s="17" t="s">
        <v>917</v>
      </c>
      <c r="E66" s="17">
        <f t="shared" si="1"/>
        <v>1390068</v>
      </c>
      <c r="F66" s="17" t="s">
        <v>918</v>
      </c>
      <c r="G66" s="17">
        <f t="shared" si="2"/>
        <v>1390068</v>
      </c>
      <c r="H66" s="17" t="s">
        <v>919</v>
      </c>
      <c r="I66" s="17">
        <f t="shared" si="3"/>
        <v>1390068</v>
      </c>
    </row>
    <row r="67" spans="1:9" x14ac:dyDescent="0.3">
      <c r="A67" s="17" t="str">
        <f t="shared" si="0"/>
        <v>1010064</v>
      </c>
      <c r="B67" s="17">
        <v>101</v>
      </c>
      <c r="C67" s="17">
        <v>64</v>
      </c>
      <c r="D67" s="17" t="s">
        <v>917</v>
      </c>
      <c r="E67" s="17">
        <f t="shared" si="1"/>
        <v>1422695</v>
      </c>
      <c r="F67" s="17" t="s">
        <v>918</v>
      </c>
      <c r="G67" s="17">
        <f t="shared" si="2"/>
        <v>1422695</v>
      </c>
      <c r="H67" s="17" t="s">
        <v>919</v>
      </c>
      <c r="I67" s="17">
        <f t="shared" si="3"/>
        <v>1422695</v>
      </c>
    </row>
    <row r="68" spans="1:9" x14ac:dyDescent="0.3">
      <c r="A68" s="17" t="str">
        <f t="shared" ref="A68:A131" si="4">B68&amp;TEXT(C68,"0000")</f>
        <v>1010065</v>
      </c>
      <c r="B68" s="17">
        <v>101</v>
      </c>
      <c r="C68" s="17">
        <v>65</v>
      </c>
      <c r="D68" s="17" t="s">
        <v>917</v>
      </c>
      <c r="E68" s="17">
        <f t="shared" si="1"/>
        <v>1455556</v>
      </c>
      <c r="F68" s="17" t="s">
        <v>918</v>
      </c>
      <c r="G68" s="17">
        <f t="shared" si="2"/>
        <v>1455556</v>
      </c>
      <c r="H68" s="17" t="s">
        <v>919</v>
      </c>
      <c r="I68" s="17">
        <f t="shared" si="3"/>
        <v>1455556</v>
      </c>
    </row>
    <row r="69" spans="1:9" x14ac:dyDescent="0.3">
      <c r="A69" s="17" t="str">
        <f t="shared" si="4"/>
        <v>1010066</v>
      </c>
      <c r="B69" s="17">
        <v>101</v>
      </c>
      <c r="C69" s="17">
        <v>66</v>
      </c>
      <c r="D69" s="17" t="s">
        <v>917</v>
      </c>
      <c r="E69" s="17">
        <f t="shared" si="1"/>
        <v>1488649</v>
      </c>
      <c r="F69" s="17" t="s">
        <v>918</v>
      </c>
      <c r="G69" s="17">
        <f t="shared" si="2"/>
        <v>1488649</v>
      </c>
      <c r="H69" s="17" t="s">
        <v>919</v>
      </c>
      <c r="I69" s="17">
        <f t="shared" si="3"/>
        <v>1488649</v>
      </c>
    </row>
    <row r="70" spans="1:9" x14ac:dyDescent="0.3">
      <c r="A70" s="17" t="str">
        <f t="shared" si="4"/>
        <v>1010067</v>
      </c>
      <c r="B70" s="17">
        <v>101</v>
      </c>
      <c r="C70" s="17">
        <v>67</v>
      </c>
      <c r="D70" s="17" t="s">
        <v>917</v>
      </c>
      <c r="E70" s="17">
        <f t="shared" ref="E70:E133" si="5">ROUND(E$5*($C69^E$2*E$3), 0)</f>
        <v>1521972</v>
      </c>
      <c r="F70" s="17" t="s">
        <v>918</v>
      </c>
      <c r="G70" s="17">
        <f t="shared" ref="G70:G133" si="6">ROUND(G$5*($C69^$E$2*$E$3), 0)</f>
        <v>1521972</v>
      </c>
      <c r="H70" s="17" t="s">
        <v>919</v>
      </c>
      <c r="I70" s="17">
        <f t="shared" si="3"/>
        <v>1521972</v>
      </c>
    </row>
    <row r="71" spans="1:9" x14ac:dyDescent="0.3">
      <c r="A71" s="17" t="str">
        <f t="shared" si="4"/>
        <v>1010068</v>
      </c>
      <c r="B71" s="17">
        <v>101</v>
      </c>
      <c r="C71" s="17">
        <v>68</v>
      </c>
      <c r="D71" s="17" t="s">
        <v>917</v>
      </c>
      <c r="E71" s="17">
        <f t="shared" si="5"/>
        <v>1555523</v>
      </c>
      <c r="F71" s="17" t="s">
        <v>918</v>
      </c>
      <c r="G71" s="17">
        <f t="shared" si="6"/>
        <v>1555523</v>
      </c>
      <c r="H71" s="17" t="s">
        <v>919</v>
      </c>
      <c r="I71" s="17">
        <f t="shared" ref="I71:I134" si="7">ROUND(I$5*($C70^$E$2*$E$3), 0)</f>
        <v>1555523</v>
      </c>
    </row>
    <row r="72" spans="1:9" x14ac:dyDescent="0.3">
      <c r="A72" s="17" t="str">
        <f t="shared" si="4"/>
        <v>1010069</v>
      </c>
      <c r="B72" s="17">
        <v>101</v>
      </c>
      <c r="C72" s="17">
        <v>69</v>
      </c>
      <c r="D72" s="17" t="s">
        <v>917</v>
      </c>
      <c r="E72" s="17">
        <f t="shared" si="5"/>
        <v>1589300</v>
      </c>
      <c r="F72" s="17" t="s">
        <v>918</v>
      </c>
      <c r="G72" s="17">
        <f t="shared" si="6"/>
        <v>1589300</v>
      </c>
      <c r="H72" s="17" t="s">
        <v>919</v>
      </c>
      <c r="I72" s="17">
        <f t="shared" si="7"/>
        <v>1589300</v>
      </c>
    </row>
    <row r="73" spans="1:9" x14ac:dyDescent="0.3">
      <c r="A73" s="17" t="str">
        <f t="shared" si="4"/>
        <v>1010070</v>
      </c>
      <c r="B73" s="17">
        <v>101</v>
      </c>
      <c r="C73" s="17">
        <v>70</v>
      </c>
      <c r="D73" s="17" t="s">
        <v>917</v>
      </c>
      <c r="E73" s="17">
        <f t="shared" si="5"/>
        <v>1623302</v>
      </c>
      <c r="F73" s="17" t="s">
        <v>918</v>
      </c>
      <c r="G73" s="17">
        <f t="shared" si="6"/>
        <v>1623302</v>
      </c>
      <c r="H73" s="17" t="s">
        <v>919</v>
      </c>
      <c r="I73" s="17">
        <f t="shared" si="7"/>
        <v>1623302</v>
      </c>
    </row>
    <row r="74" spans="1:9" x14ac:dyDescent="0.3">
      <c r="A74" s="17" t="str">
        <f t="shared" si="4"/>
        <v>1010071</v>
      </c>
      <c r="B74" s="17">
        <v>101</v>
      </c>
      <c r="C74" s="17">
        <v>71</v>
      </c>
      <c r="D74" s="17" t="s">
        <v>917</v>
      </c>
      <c r="E74" s="17">
        <f t="shared" si="5"/>
        <v>1657525</v>
      </c>
      <c r="F74" s="17" t="s">
        <v>918</v>
      </c>
      <c r="G74" s="17">
        <f t="shared" si="6"/>
        <v>1657525</v>
      </c>
      <c r="H74" s="17" t="s">
        <v>919</v>
      </c>
      <c r="I74" s="17">
        <f t="shared" si="7"/>
        <v>1657525</v>
      </c>
    </row>
    <row r="75" spans="1:9" x14ac:dyDescent="0.3">
      <c r="A75" s="17" t="str">
        <f t="shared" si="4"/>
        <v>1010072</v>
      </c>
      <c r="B75" s="17">
        <v>101</v>
      </c>
      <c r="C75" s="17">
        <v>72</v>
      </c>
      <c r="D75" s="17" t="s">
        <v>917</v>
      </c>
      <c r="E75" s="17">
        <f t="shared" si="5"/>
        <v>1691970</v>
      </c>
      <c r="F75" s="17" t="s">
        <v>918</v>
      </c>
      <c r="G75" s="17">
        <f t="shared" si="6"/>
        <v>1691970</v>
      </c>
      <c r="H75" s="17" t="s">
        <v>919</v>
      </c>
      <c r="I75" s="17">
        <f t="shared" si="7"/>
        <v>1691970</v>
      </c>
    </row>
    <row r="76" spans="1:9" x14ac:dyDescent="0.3">
      <c r="A76" s="17" t="str">
        <f t="shared" si="4"/>
        <v>1010073</v>
      </c>
      <c r="B76" s="17">
        <v>101</v>
      </c>
      <c r="C76" s="17">
        <v>73</v>
      </c>
      <c r="D76" s="17" t="s">
        <v>917</v>
      </c>
      <c r="E76" s="17">
        <f t="shared" si="5"/>
        <v>1726634</v>
      </c>
      <c r="F76" s="17" t="s">
        <v>918</v>
      </c>
      <c r="G76" s="17">
        <f t="shared" si="6"/>
        <v>1726634</v>
      </c>
      <c r="H76" s="17" t="s">
        <v>919</v>
      </c>
      <c r="I76" s="17">
        <f t="shared" si="7"/>
        <v>1726634</v>
      </c>
    </row>
    <row r="77" spans="1:9" x14ac:dyDescent="0.3">
      <c r="A77" s="17" t="str">
        <f t="shared" si="4"/>
        <v>1010074</v>
      </c>
      <c r="B77" s="17">
        <v>101</v>
      </c>
      <c r="C77" s="17">
        <v>74</v>
      </c>
      <c r="D77" s="17" t="s">
        <v>917</v>
      </c>
      <c r="E77" s="17">
        <f t="shared" si="5"/>
        <v>1761514</v>
      </c>
      <c r="F77" s="17" t="s">
        <v>918</v>
      </c>
      <c r="G77" s="17">
        <f t="shared" si="6"/>
        <v>1761514</v>
      </c>
      <c r="H77" s="17" t="s">
        <v>919</v>
      </c>
      <c r="I77" s="17">
        <f t="shared" si="7"/>
        <v>1761514</v>
      </c>
    </row>
    <row r="78" spans="1:9" x14ac:dyDescent="0.3">
      <c r="A78" s="17" t="str">
        <f t="shared" si="4"/>
        <v>1010075</v>
      </c>
      <c r="B78" s="17">
        <v>101</v>
      </c>
      <c r="C78" s="17">
        <v>75</v>
      </c>
      <c r="D78" s="17" t="s">
        <v>917</v>
      </c>
      <c r="E78" s="17">
        <f t="shared" si="5"/>
        <v>1796611</v>
      </c>
      <c r="F78" s="17" t="s">
        <v>918</v>
      </c>
      <c r="G78" s="17">
        <f t="shared" si="6"/>
        <v>1796611</v>
      </c>
      <c r="H78" s="17" t="s">
        <v>919</v>
      </c>
      <c r="I78" s="17">
        <f t="shared" si="7"/>
        <v>1796611</v>
      </c>
    </row>
    <row r="79" spans="1:9" x14ac:dyDescent="0.3">
      <c r="A79" s="17" t="str">
        <f t="shared" si="4"/>
        <v>1010076</v>
      </c>
      <c r="B79" s="17">
        <v>101</v>
      </c>
      <c r="C79" s="17">
        <v>76</v>
      </c>
      <c r="D79" s="17" t="s">
        <v>917</v>
      </c>
      <c r="E79" s="17">
        <f t="shared" si="5"/>
        <v>1831922</v>
      </c>
      <c r="F79" s="17" t="s">
        <v>918</v>
      </c>
      <c r="G79" s="17">
        <f t="shared" si="6"/>
        <v>1831922</v>
      </c>
      <c r="H79" s="17" t="s">
        <v>919</v>
      </c>
      <c r="I79" s="17">
        <f t="shared" si="7"/>
        <v>1831922</v>
      </c>
    </row>
    <row r="80" spans="1:9" x14ac:dyDescent="0.3">
      <c r="A80" s="17" t="str">
        <f t="shared" si="4"/>
        <v>1010077</v>
      </c>
      <c r="B80" s="17">
        <v>101</v>
      </c>
      <c r="C80" s="17">
        <v>77</v>
      </c>
      <c r="D80" s="17" t="s">
        <v>917</v>
      </c>
      <c r="E80" s="17">
        <f t="shared" si="5"/>
        <v>1867445</v>
      </c>
      <c r="F80" s="17" t="s">
        <v>918</v>
      </c>
      <c r="G80" s="17">
        <f t="shared" si="6"/>
        <v>1867445</v>
      </c>
      <c r="H80" s="17" t="s">
        <v>919</v>
      </c>
      <c r="I80" s="17">
        <f t="shared" si="7"/>
        <v>1867445</v>
      </c>
    </row>
    <row r="81" spans="1:9" x14ac:dyDescent="0.3">
      <c r="A81" s="17" t="str">
        <f t="shared" si="4"/>
        <v>1010078</v>
      </c>
      <c r="B81" s="17">
        <v>101</v>
      </c>
      <c r="C81" s="17">
        <v>78</v>
      </c>
      <c r="D81" s="17" t="s">
        <v>917</v>
      </c>
      <c r="E81" s="17">
        <f t="shared" si="5"/>
        <v>1903179</v>
      </c>
      <c r="F81" s="17" t="s">
        <v>918</v>
      </c>
      <c r="G81" s="17">
        <f t="shared" si="6"/>
        <v>1903179</v>
      </c>
      <c r="H81" s="17" t="s">
        <v>919</v>
      </c>
      <c r="I81" s="17">
        <f t="shared" si="7"/>
        <v>1903179</v>
      </c>
    </row>
    <row r="82" spans="1:9" x14ac:dyDescent="0.3">
      <c r="A82" s="17" t="str">
        <f t="shared" si="4"/>
        <v>1010079</v>
      </c>
      <c r="B82" s="17">
        <v>101</v>
      </c>
      <c r="C82" s="17">
        <v>79</v>
      </c>
      <c r="D82" s="17" t="s">
        <v>917</v>
      </c>
      <c r="E82" s="17">
        <f t="shared" si="5"/>
        <v>1939122</v>
      </c>
      <c r="F82" s="17" t="s">
        <v>918</v>
      </c>
      <c r="G82" s="17">
        <f t="shared" si="6"/>
        <v>1939122</v>
      </c>
      <c r="H82" s="17" t="s">
        <v>919</v>
      </c>
      <c r="I82" s="17">
        <f t="shared" si="7"/>
        <v>1939122</v>
      </c>
    </row>
    <row r="83" spans="1:9" x14ac:dyDescent="0.3">
      <c r="A83" s="17" t="str">
        <f t="shared" si="4"/>
        <v>1010080</v>
      </c>
      <c r="B83" s="17">
        <v>101</v>
      </c>
      <c r="C83" s="17">
        <v>80</v>
      </c>
      <c r="D83" s="17" t="s">
        <v>917</v>
      </c>
      <c r="E83" s="17">
        <f t="shared" si="5"/>
        <v>1975274</v>
      </c>
      <c r="F83" s="17" t="s">
        <v>918</v>
      </c>
      <c r="G83" s="17">
        <f t="shared" si="6"/>
        <v>1975274</v>
      </c>
      <c r="H83" s="17" t="s">
        <v>919</v>
      </c>
      <c r="I83" s="17">
        <f t="shared" si="7"/>
        <v>1975274</v>
      </c>
    </row>
    <row r="84" spans="1:9" x14ac:dyDescent="0.3">
      <c r="A84" s="17" t="str">
        <f t="shared" si="4"/>
        <v>1010081</v>
      </c>
      <c r="B84" s="17">
        <v>101</v>
      </c>
      <c r="C84" s="17">
        <v>81</v>
      </c>
      <c r="D84" s="17" t="s">
        <v>917</v>
      </c>
      <c r="E84" s="17">
        <f t="shared" si="5"/>
        <v>2011632</v>
      </c>
      <c r="F84" s="17" t="s">
        <v>918</v>
      </c>
      <c r="G84" s="17">
        <f t="shared" si="6"/>
        <v>2011632</v>
      </c>
      <c r="H84" s="17" t="s">
        <v>919</v>
      </c>
      <c r="I84" s="17">
        <f t="shared" si="7"/>
        <v>2011632</v>
      </c>
    </row>
    <row r="85" spans="1:9" x14ac:dyDescent="0.3">
      <c r="A85" s="17" t="str">
        <f t="shared" si="4"/>
        <v>1010082</v>
      </c>
      <c r="B85" s="17">
        <v>101</v>
      </c>
      <c r="C85" s="17">
        <v>82</v>
      </c>
      <c r="D85" s="17" t="s">
        <v>917</v>
      </c>
      <c r="E85" s="17">
        <f t="shared" si="5"/>
        <v>2048195</v>
      </c>
      <c r="F85" s="17" t="s">
        <v>918</v>
      </c>
      <c r="G85" s="17">
        <f t="shared" si="6"/>
        <v>2048195</v>
      </c>
      <c r="H85" s="17" t="s">
        <v>919</v>
      </c>
      <c r="I85" s="17">
        <f t="shared" si="7"/>
        <v>2048195</v>
      </c>
    </row>
    <row r="86" spans="1:9" x14ac:dyDescent="0.3">
      <c r="A86" s="17" t="str">
        <f t="shared" si="4"/>
        <v>1010083</v>
      </c>
      <c r="B86" s="17">
        <v>101</v>
      </c>
      <c r="C86" s="17">
        <v>83</v>
      </c>
      <c r="D86" s="17" t="s">
        <v>917</v>
      </c>
      <c r="E86" s="17">
        <f t="shared" si="5"/>
        <v>2084962</v>
      </c>
      <c r="F86" s="17" t="s">
        <v>918</v>
      </c>
      <c r="G86" s="17">
        <f t="shared" si="6"/>
        <v>2084962</v>
      </c>
      <c r="H86" s="17" t="s">
        <v>919</v>
      </c>
      <c r="I86" s="17">
        <f t="shared" si="7"/>
        <v>2084962</v>
      </c>
    </row>
    <row r="87" spans="1:9" x14ac:dyDescent="0.3">
      <c r="A87" s="17" t="str">
        <f t="shared" si="4"/>
        <v>1010084</v>
      </c>
      <c r="B87" s="17">
        <v>101</v>
      </c>
      <c r="C87" s="17">
        <v>84</v>
      </c>
      <c r="D87" s="17" t="s">
        <v>917</v>
      </c>
      <c r="E87" s="17">
        <f t="shared" si="5"/>
        <v>2121931</v>
      </c>
      <c r="F87" s="17" t="s">
        <v>918</v>
      </c>
      <c r="G87" s="17">
        <f t="shared" si="6"/>
        <v>2121931</v>
      </c>
      <c r="H87" s="17" t="s">
        <v>919</v>
      </c>
      <c r="I87" s="17">
        <f t="shared" si="7"/>
        <v>2121931</v>
      </c>
    </row>
    <row r="88" spans="1:9" x14ac:dyDescent="0.3">
      <c r="A88" s="17" t="str">
        <f t="shared" si="4"/>
        <v>1010085</v>
      </c>
      <c r="B88" s="17">
        <v>101</v>
      </c>
      <c r="C88" s="17">
        <v>85</v>
      </c>
      <c r="D88" s="17" t="s">
        <v>917</v>
      </c>
      <c r="E88" s="17">
        <f t="shared" si="5"/>
        <v>2159101</v>
      </c>
      <c r="F88" s="17" t="s">
        <v>918</v>
      </c>
      <c r="G88" s="17">
        <f t="shared" si="6"/>
        <v>2159101</v>
      </c>
      <c r="H88" s="17" t="s">
        <v>919</v>
      </c>
      <c r="I88" s="17">
        <f t="shared" si="7"/>
        <v>2159101</v>
      </c>
    </row>
    <row r="89" spans="1:9" x14ac:dyDescent="0.3">
      <c r="A89" s="17" t="str">
        <f t="shared" si="4"/>
        <v>1010086</v>
      </c>
      <c r="B89" s="17">
        <v>101</v>
      </c>
      <c r="C89" s="17">
        <v>86</v>
      </c>
      <c r="D89" s="17" t="s">
        <v>917</v>
      </c>
      <c r="E89" s="17">
        <f t="shared" si="5"/>
        <v>2196471</v>
      </c>
      <c r="F89" s="17" t="s">
        <v>918</v>
      </c>
      <c r="G89" s="17">
        <f t="shared" si="6"/>
        <v>2196471</v>
      </c>
      <c r="H89" s="17" t="s">
        <v>919</v>
      </c>
      <c r="I89" s="17">
        <f t="shared" si="7"/>
        <v>2196471</v>
      </c>
    </row>
    <row r="90" spans="1:9" x14ac:dyDescent="0.3">
      <c r="A90" s="17" t="str">
        <f t="shared" si="4"/>
        <v>1010087</v>
      </c>
      <c r="B90" s="17">
        <v>101</v>
      </c>
      <c r="C90" s="17">
        <v>87</v>
      </c>
      <c r="D90" s="17" t="s">
        <v>917</v>
      </c>
      <c r="E90" s="17">
        <f t="shared" si="5"/>
        <v>2234039</v>
      </c>
      <c r="F90" s="17" t="s">
        <v>918</v>
      </c>
      <c r="G90" s="17">
        <f t="shared" si="6"/>
        <v>2234039</v>
      </c>
      <c r="H90" s="17" t="s">
        <v>919</v>
      </c>
      <c r="I90" s="17">
        <f t="shared" si="7"/>
        <v>2234039</v>
      </c>
    </row>
    <row r="91" spans="1:9" x14ac:dyDescent="0.3">
      <c r="A91" s="17" t="str">
        <f t="shared" si="4"/>
        <v>1010088</v>
      </c>
      <c r="B91" s="17">
        <v>101</v>
      </c>
      <c r="C91" s="17">
        <v>88</v>
      </c>
      <c r="D91" s="17" t="s">
        <v>917</v>
      </c>
      <c r="E91" s="17">
        <f t="shared" si="5"/>
        <v>2271805</v>
      </c>
      <c r="F91" s="17" t="s">
        <v>918</v>
      </c>
      <c r="G91" s="17">
        <f t="shared" si="6"/>
        <v>2271805</v>
      </c>
      <c r="H91" s="17" t="s">
        <v>919</v>
      </c>
      <c r="I91" s="17">
        <f t="shared" si="7"/>
        <v>2271805</v>
      </c>
    </row>
    <row r="92" spans="1:9" x14ac:dyDescent="0.3">
      <c r="A92" s="17" t="str">
        <f t="shared" si="4"/>
        <v>1010089</v>
      </c>
      <c r="B92" s="17">
        <v>101</v>
      </c>
      <c r="C92" s="17">
        <v>89</v>
      </c>
      <c r="D92" s="17" t="s">
        <v>917</v>
      </c>
      <c r="E92" s="17">
        <f t="shared" si="5"/>
        <v>2309766</v>
      </c>
      <c r="F92" s="17" t="s">
        <v>918</v>
      </c>
      <c r="G92" s="17">
        <f t="shared" si="6"/>
        <v>2309766</v>
      </c>
      <c r="H92" s="17" t="s">
        <v>919</v>
      </c>
      <c r="I92" s="17">
        <f t="shared" si="7"/>
        <v>2309766</v>
      </c>
    </row>
    <row r="93" spans="1:9" x14ac:dyDescent="0.3">
      <c r="A93" s="17" t="str">
        <f t="shared" si="4"/>
        <v>1010090</v>
      </c>
      <c r="B93" s="17">
        <v>101</v>
      </c>
      <c r="C93" s="17">
        <v>90</v>
      </c>
      <c r="D93" s="17" t="s">
        <v>917</v>
      </c>
      <c r="E93" s="17">
        <f t="shared" si="5"/>
        <v>2347921</v>
      </c>
      <c r="F93" s="17" t="s">
        <v>918</v>
      </c>
      <c r="G93" s="17">
        <f t="shared" si="6"/>
        <v>2347921</v>
      </c>
      <c r="H93" s="17" t="s">
        <v>919</v>
      </c>
      <c r="I93" s="17">
        <f t="shared" si="7"/>
        <v>2347921</v>
      </c>
    </row>
    <row r="94" spans="1:9" x14ac:dyDescent="0.3">
      <c r="A94" s="17" t="str">
        <f t="shared" si="4"/>
        <v>1010091</v>
      </c>
      <c r="B94" s="17">
        <v>101</v>
      </c>
      <c r="C94" s="17">
        <v>91</v>
      </c>
      <c r="D94" s="17" t="s">
        <v>917</v>
      </c>
      <c r="E94" s="17">
        <f t="shared" si="5"/>
        <v>2386271</v>
      </c>
      <c r="F94" s="17" t="s">
        <v>918</v>
      </c>
      <c r="G94" s="17">
        <f t="shared" si="6"/>
        <v>2386271</v>
      </c>
      <c r="H94" s="17" t="s">
        <v>919</v>
      </c>
      <c r="I94" s="17">
        <f t="shared" si="7"/>
        <v>2386271</v>
      </c>
    </row>
    <row r="95" spans="1:9" x14ac:dyDescent="0.3">
      <c r="A95" s="17" t="str">
        <f t="shared" si="4"/>
        <v>1010092</v>
      </c>
      <c r="B95" s="17">
        <v>101</v>
      </c>
      <c r="C95" s="17">
        <v>92</v>
      </c>
      <c r="D95" s="17" t="s">
        <v>917</v>
      </c>
      <c r="E95" s="17">
        <f t="shared" si="5"/>
        <v>2424812</v>
      </c>
      <c r="F95" s="17" t="s">
        <v>918</v>
      </c>
      <c r="G95" s="17">
        <f t="shared" si="6"/>
        <v>2424812</v>
      </c>
      <c r="H95" s="17" t="s">
        <v>919</v>
      </c>
      <c r="I95" s="17">
        <f t="shared" si="7"/>
        <v>2424812</v>
      </c>
    </row>
    <row r="96" spans="1:9" x14ac:dyDescent="0.3">
      <c r="A96" s="17" t="str">
        <f t="shared" si="4"/>
        <v>1010093</v>
      </c>
      <c r="B96" s="17">
        <v>101</v>
      </c>
      <c r="C96" s="17">
        <v>93</v>
      </c>
      <c r="D96" s="17" t="s">
        <v>917</v>
      </c>
      <c r="E96" s="17">
        <f t="shared" si="5"/>
        <v>2463544</v>
      </c>
      <c r="F96" s="17" t="s">
        <v>918</v>
      </c>
      <c r="G96" s="17">
        <f t="shared" si="6"/>
        <v>2463544</v>
      </c>
      <c r="H96" s="17" t="s">
        <v>919</v>
      </c>
      <c r="I96" s="17">
        <f t="shared" si="7"/>
        <v>2463544</v>
      </c>
    </row>
    <row r="97" spans="1:9" x14ac:dyDescent="0.3">
      <c r="A97" s="17" t="str">
        <f t="shared" si="4"/>
        <v>1010094</v>
      </c>
      <c r="B97" s="17">
        <v>101</v>
      </c>
      <c r="C97" s="17">
        <v>94</v>
      </c>
      <c r="D97" s="17" t="s">
        <v>917</v>
      </c>
      <c r="E97" s="17">
        <f t="shared" si="5"/>
        <v>2502467</v>
      </c>
      <c r="F97" s="17" t="s">
        <v>918</v>
      </c>
      <c r="G97" s="17">
        <f t="shared" si="6"/>
        <v>2502467</v>
      </c>
      <c r="H97" s="17" t="s">
        <v>919</v>
      </c>
      <c r="I97" s="17">
        <f t="shared" si="7"/>
        <v>2502467</v>
      </c>
    </row>
    <row r="98" spans="1:9" x14ac:dyDescent="0.3">
      <c r="A98" s="17" t="str">
        <f t="shared" si="4"/>
        <v>1010095</v>
      </c>
      <c r="B98" s="17">
        <v>101</v>
      </c>
      <c r="C98" s="17">
        <v>95</v>
      </c>
      <c r="D98" s="17" t="s">
        <v>917</v>
      </c>
      <c r="E98" s="17">
        <f t="shared" si="5"/>
        <v>2541578</v>
      </c>
      <c r="F98" s="17" t="s">
        <v>918</v>
      </c>
      <c r="G98" s="17">
        <f t="shared" si="6"/>
        <v>2541578</v>
      </c>
      <c r="H98" s="17" t="s">
        <v>919</v>
      </c>
      <c r="I98" s="17">
        <f t="shared" si="7"/>
        <v>2541578</v>
      </c>
    </row>
    <row r="99" spans="1:9" x14ac:dyDescent="0.3">
      <c r="A99" s="17" t="str">
        <f t="shared" si="4"/>
        <v>1010096</v>
      </c>
      <c r="B99" s="17">
        <v>101</v>
      </c>
      <c r="C99" s="17">
        <v>96</v>
      </c>
      <c r="D99" s="17" t="s">
        <v>917</v>
      </c>
      <c r="E99" s="17">
        <f t="shared" si="5"/>
        <v>2580877</v>
      </c>
      <c r="F99" s="17" t="s">
        <v>918</v>
      </c>
      <c r="G99" s="17">
        <f t="shared" si="6"/>
        <v>2580877</v>
      </c>
      <c r="H99" s="17" t="s">
        <v>919</v>
      </c>
      <c r="I99" s="17">
        <f t="shared" si="7"/>
        <v>2580877</v>
      </c>
    </row>
    <row r="100" spans="1:9" x14ac:dyDescent="0.3">
      <c r="A100" s="17" t="str">
        <f t="shared" si="4"/>
        <v>1010097</v>
      </c>
      <c r="B100" s="17">
        <v>101</v>
      </c>
      <c r="C100" s="17">
        <v>97</v>
      </c>
      <c r="D100" s="17" t="s">
        <v>917</v>
      </c>
      <c r="E100" s="17">
        <f t="shared" si="5"/>
        <v>2620362</v>
      </c>
      <c r="F100" s="17" t="s">
        <v>918</v>
      </c>
      <c r="G100" s="17">
        <f t="shared" si="6"/>
        <v>2620362</v>
      </c>
      <c r="H100" s="17" t="s">
        <v>919</v>
      </c>
      <c r="I100" s="17">
        <f t="shared" si="7"/>
        <v>2620362</v>
      </c>
    </row>
    <row r="101" spans="1:9" x14ac:dyDescent="0.3">
      <c r="A101" s="17" t="str">
        <f t="shared" si="4"/>
        <v>1010098</v>
      </c>
      <c r="B101" s="17">
        <v>101</v>
      </c>
      <c r="C101" s="17">
        <v>98</v>
      </c>
      <c r="D101" s="17" t="s">
        <v>917</v>
      </c>
      <c r="E101" s="17">
        <f t="shared" si="5"/>
        <v>2660033</v>
      </c>
      <c r="F101" s="17" t="s">
        <v>918</v>
      </c>
      <c r="G101" s="17">
        <f t="shared" si="6"/>
        <v>2660033</v>
      </c>
      <c r="H101" s="17" t="s">
        <v>919</v>
      </c>
      <c r="I101" s="17">
        <f t="shared" si="7"/>
        <v>2660033</v>
      </c>
    </row>
    <row r="102" spans="1:9" x14ac:dyDescent="0.3">
      <c r="A102" s="17" t="str">
        <f t="shared" si="4"/>
        <v>1010099</v>
      </c>
      <c r="B102" s="17">
        <v>101</v>
      </c>
      <c r="C102" s="17">
        <v>99</v>
      </c>
      <c r="D102" s="17" t="s">
        <v>917</v>
      </c>
      <c r="E102" s="17">
        <f t="shared" si="5"/>
        <v>2699889</v>
      </c>
      <c r="F102" s="17" t="s">
        <v>918</v>
      </c>
      <c r="G102" s="17">
        <f t="shared" si="6"/>
        <v>2699889</v>
      </c>
      <c r="H102" s="17" t="s">
        <v>919</v>
      </c>
      <c r="I102" s="17">
        <f t="shared" si="7"/>
        <v>2699889</v>
      </c>
    </row>
    <row r="103" spans="1:9" x14ac:dyDescent="0.3">
      <c r="A103" s="17" t="str">
        <f t="shared" si="4"/>
        <v>1010100</v>
      </c>
      <c r="B103" s="17">
        <v>101</v>
      </c>
      <c r="C103" s="17">
        <v>100</v>
      </c>
      <c r="D103" s="17" t="s">
        <v>917</v>
      </c>
      <c r="E103" s="17">
        <f t="shared" si="5"/>
        <v>2739928</v>
      </c>
      <c r="F103" s="17" t="s">
        <v>918</v>
      </c>
      <c r="G103" s="17">
        <f t="shared" si="6"/>
        <v>2739928</v>
      </c>
      <c r="H103" s="17" t="s">
        <v>919</v>
      </c>
      <c r="I103" s="17">
        <f t="shared" si="7"/>
        <v>2739928</v>
      </c>
    </row>
    <row r="104" spans="1:9" x14ac:dyDescent="0.3">
      <c r="A104" s="17" t="str">
        <f t="shared" si="4"/>
        <v>1010101</v>
      </c>
      <c r="B104" s="17">
        <v>101</v>
      </c>
      <c r="C104" s="17">
        <v>101</v>
      </c>
      <c r="D104" s="17" t="s">
        <v>917</v>
      </c>
      <c r="E104" s="17">
        <f t="shared" si="5"/>
        <v>2780149</v>
      </c>
      <c r="F104" s="17" t="s">
        <v>918</v>
      </c>
      <c r="G104" s="17">
        <f t="shared" si="6"/>
        <v>2780149</v>
      </c>
      <c r="H104" s="17" t="s">
        <v>919</v>
      </c>
      <c r="I104" s="17">
        <f t="shared" si="7"/>
        <v>2780149</v>
      </c>
    </row>
    <row r="105" spans="1:9" x14ac:dyDescent="0.3">
      <c r="A105" s="17" t="str">
        <f t="shared" si="4"/>
        <v>1010102</v>
      </c>
      <c r="B105" s="17">
        <v>101</v>
      </c>
      <c r="C105" s="17">
        <v>102</v>
      </c>
      <c r="D105" s="17" t="s">
        <v>917</v>
      </c>
      <c r="E105" s="17">
        <f t="shared" si="5"/>
        <v>2820552</v>
      </c>
      <c r="F105" s="17" t="s">
        <v>918</v>
      </c>
      <c r="G105" s="17">
        <f t="shared" si="6"/>
        <v>2820552</v>
      </c>
      <c r="H105" s="17" t="s">
        <v>919</v>
      </c>
      <c r="I105" s="17">
        <f t="shared" si="7"/>
        <v>2820552</v>
      </c>
    </row>
    <row r="106" spans="1:9" x14ac:dyDescent="0.3">
      <c r="A106" s="17" t="str">
        <f t="shared" si="4"/>
        <v>1010103</v>
      </c>
      <c r="B106" s="17">
        <v>101</v>
      </c>
      <c r="C106" s="17">
        <v>103</v>
      </c>
      <c r="D106" s="17" t="s">
        <v>917</v>
      </c>
      <c r="E106" s="17">
        <f t="shared" si="5"/>
        <v>2861135</v>
      </c>
      <c r="F106" s="17" t="s">
        <v>918</v>
      </c>
      <c r="G106" s="17">
        <f t="shared" si="6"/>
        <v>2861135</v>
      </c>
      <c r="H106" s="17" t="s">
        <v>919</v>
      </c>
      <c r="I106" s="17">
        <f t="shared" si="7"/>
        <v>2861135</v>
      </c>
    </row>
    <row r="107" spans="1:9" x14ac:dyDescent="0.3">
      <c r="A107" s="17" t="str">
        <f t="shared" si="4"/>
        <v>1010104</v>
      </c>
      <c r="B107" s="17">
        <v>101</v>
      </c>
      <c r="C107" s="17">
        <v>104</v>
      </c>
      <c r="D107" s="17" t="s">
        <v>917</v>
      </c>
      <c r="E107" s="17">
        <f t="shared" si="5"/>
        <v>2901897</v>
      </c>
      <c r="F107" s="17" t="s">
        <v>918</v>
      </c>
      <c r="G107" s="17">
        <f t="shared" si="6"/>
        <v>2901897</v>
      </c>
      <c r="H107" s="17" t="s">
        <v>919</v>
      </c>
      <c r="I107" s="17">
        <f t="shared" si="7"/>
        <v>2901897</v>
      </c>
    </row>
    <row r="108" spans="1:9" x14ac:dyDescent="0.3">
      <c r="A108" s="17" t="str">
        <f t="shared" si="4"/>
        <v>1010105</v>
      </c>
      <c r="B108" s="17">
        <v>101</v>
      </c>
      <c r="C108" s="17">
        <v>105</v>
      </c>
      <c r="D108" s="17" t="s">
        <v>917</v>
      </c>
      <c r="E108" s="17">
        <f t="shared" si="5"/>
        <v>2942838</v>
      </c>
      <c r="F108" s="17" t="s">
        <v>918</v>
      </c>
      <c r="G108" s="17">
        <f t="shared" si="6"/>
        <v>2942838</v>
      </c>
      <c r="H108" s="17" t="s">
        <v>919</v>
      </c>
      <c r="I108" s="17">
        <f t="shared" si="7"/>
        <v>2942838</v>
      </c>
    </row>
    <row r="109" spans="1:9" x14ac:dyDescent="0.3">
      <c r="A109" s="17" t="str">
        <f t="shared" si="4"/>
        <v>1010106</v>
      </c>
      <c r="B109" s="17">
        <v>101</v>
      </c>
      <c r="C109" s="17">
        <v>106</v>
      </c>
      <c r="D109" s="17" t="s">
        <v>917</v>
      </c>
      <c r="E109" s="17">
        <f t="shared" si="5"/>
        <v>2983957</v>
      </c>
      <c r="F109" s="17" t="s">
        <v>918</v>
      </c>
      <c r="G109" s="17">
        <f t="shared" si="6"/>
        <v>2983957</v>
      </c>
      <c r="H109" s="17" t="s">
        <v>919</v>
      </c>
      <c r="I109" s="17">
        <f t="shared" si="7"/>
        <v>2983957</v>
      </c>
    </row>
    <row r="110" spans="1:9" x14ac:dyDescent="0.3">
      <c r="A110" s="17" t="str">
        <f t="shared" si="4"/>
        <v>1010107</v>
      </c>
      <c r="B110" s="17">
        <v>101</v>
      </c>
      <c r="C110" s="17">
        <v>107</v>
      </c>
      <c r="D110" s="17" t="s">
        <v>917</v>
      </c>
      <c r="E110" s="17">
        <f t="shared" si="5"/>
        <v>3025252</v>
      </c>
      <c r="F110" s="17" t="s">
        <v>918</v>
      </c>
      <c r="G110" s="17">
        <f t="shared" si="6"/>
        <v>3025252</v>
      </c>
      <c r="H110" s="17" t="s">
        <v>919</v>
      </c>
      <c r="I110" s="17">
        <f t="shared" si="7"/>
        <v>3025252</v>
      </c>
    </row>
    <row r="111" spans="1:9" x14ac:dyDescent="0.3">
      <c r="A111" s="17" t="str">
        <f t="shared" si="4"/>
        <v>1010108</v>
      </c>
      <c r="B111" s="17">
        <v>101</v>
      </c>
      <c r="C111" s="17">
        <v>108</v>
      </c>
      <c r="D111" s="17" t="s">
        <v>917</v>
      </c>
      <c r="E111" s="17">
        <f t="shared" si="5"/>
        <v>3066723</v>
      </c>
      <c r="F111" s="17" t="s">
        <v>918</v>
      </c>
      <c r="G111" s="17">
        <f t="shared" si="6"/>
        <v>3066723</v>
      </c>
      <c r="H111" s="17" t="s">
        <v>919</v>
      </c>
      <c r="I111" s="17">
        <f t="shared" si="7"/>
        <v>3066723</v>
      </c>
    </row>
    <row r="112" spans="1:9" x14ac:dyDescent="0.3">
      <c r="A112" s="17" t="str">
        <f t="shared" si="4"/>
        <v>1010109</v>
      </c>
      <c r="B112" s="17">
        <v>101</v>
      </c>
      <c r="C112" s="17">
        <v>109</v>
      </c>
      <c r="D112" s="17" t="s">
        <v>917</v>
      </c>
      <c r="E112" s="17">
        <f t="shared" si="5"/>
        <v>3108368</v>
      </c>
      <c r="F112" s="17" t="s">
        <v>918</v>
      </c>
      <c r="G112" s="17">
        <f t="shared" si="6"/>
        <v>3108368</v>
      </c>
      <c r="H112" s="17" t="s">
        <v>919</v>
      </c>
      <c r="I112" s="17">
        <f t="shared" si="7"/>
        <v>3108368</v>
      </c>
    </row>
    <row r="113" spans="1:9" x14ac:dyDescent="0.3">
      <c r="A113" s="17" t="str">
        <f t="shared" si="4"/>
        <v>1010110</v>
      </c>
      <c r="B113" s="17">
        <v>101</v>
      </c>
      <c r="C113" s="17">
        <v>110</v>
      </c>
      <c r="D113" s="17" t="s">
        <v>917</v>
      </c>
      <c r="E113" s="17">
        <f t="shared" si="5"/>
        <v>3150188</v>
      </c>
      <c r="F113" s="17" t="s">
        <v>918</v>
      </c>
      <c r="G113" s="17">
        <f t="shared" si="6"/>
        <v>3150188</v>
      </c>
      <c r="H113" s="17" t="s">
        <v>919</v>
      </c>
      <c r="I113" s="17">
        <f t="shared" si="7"/>
        <v>3150188</v>
      </c>
    </row>
    <row r="114" spans="1:9" x14ac:dyDescent="0.3">
      <c r="A114" s="17" t="str">
        <f t="shared" si="4"/>
        <v>1010111</v>
      </c>
      <c r="B114" s="17">
        <v>101</v>
      </c>
      <c r="C114" s="17">
        <v>111</v>
      </c>
      <c r="D114" s="17" t="s">
        <v>917</v>
      </c>
      <c r="E114" s="17">
        <f t="shared" si="5"/>
        <v>3192180</v>
      </c>
      <c r="F114" s="17" t="s">
        <v>918</v>
      </c>
      <c r="G114" s="17">
        <f t="shared" si="6"/>
        <v>3192180</v>
      </c>
      <c r="H114" s="17" t="s">
        <v>919</v>
      </c>
      <c r="I114" s="17">
        <f t="shared" si="7"/>
        <v>3192180</v>
      </c>
    </row>
    <row r="115" spans="1:9" x14ac:dyDescent="0.3">
      <c r="A115" s="17" t="str">
        <f t="shared" si="4"/>
        <v>1010112</v>
      </c>
      <c r="B115" s="17">
        <v>101</v>
      </c>
      <c r="C115" s="17">
        <v>112</v>
      </c>
      <c r="D115" s="17" t="s">
        <v>917</v>
      </c>
      <c r="E115" s="17">
        <f t="shared" si="5"/>
        <v>3234345</v>
      </c>
      <c r="F115" s="17" t="s">
        <v>918</v>
      </c>
      <c r="G115" s="17">
        <f t="shared" si="6"/>
        <v>3234345</v>
      </c>
      <c r="H115" s="17" t="s">
        <v>919</v>
      </c>
      <c r="I115" s="17">
        <f t="shared" si="7"/>
        <v>3234345</v>
      </c>
    </row>
    <row r="116" spans="1:9" x14ac:dyDescent="0.3">
      <c r="A116" s="17" t="str">
        <f t="shared" si="4"/>
        <v>1010113</v>
      </c>
      <c r="B116" s="17">
        <v>101</v>
      </c>
      <c r="C116" s="17">
        <v>113</v>
      </c>
      <c r="D116" s="17" t="s">
        <v>917</v>
      </c>
      <c r="E116" s="17">
        <f t="shared" si="5"/>
        <v>3276681</v>
      </c>
      <c r="F116" s="17" t="s">
        <v>918</v>
      </c>
      <c r="G116" s="17">
        <f t="shared" si="6"/>
        <v>3276681</v>
      </c>
      <c r="H116" s="17" t="s">
        <v>919</v>
      </c>
      <c r="I116" s="17">
        <f t="shared" si="7"/>
        <v>3276681</v>
      </c>
    </row>
    <row r="117" spans="1:9" x14ac:dyDescent="0.3">
      <c r="A117" s="17" t="str">
        <f t="shared" si="4"/>
        <v>1010114</v>
      </c>
      <c r="B117" s="17">
        <v>101</v>
      </c>
      <c r="C117" s="17">
        <v>114</v>
      </c>
      <c r="D117" s="17" t="s">
        <v>917</v>
      </c>
      <c r="E117" s="17">
        <f t="shared" si="5"/>
        <v>3319188</v>
      </c>
      <c r="F117" s="17" t="s">
        <v>918</v>
      </c>
      <c r="G117" s="17">
        <f t="shared" si="6"/>
        <v>3319188</v>
      </c>
      <c r="H117" s="17" t="s">
        <v>919</v>
      </c>
      <c r="I117" s="17">
        <f t="shared" si="7"/>
        <v>3319188</v>
      </c>
    </row>
    <row r="118" spans="1:9" x14ac:dyDescent="0.3">
      <c r="A118" s="17" t="str">
        <f t="shared" si="4"/>
        <v>1010115</v>
      </c>
      <c r="B118" s="17">
        <v>101</v>
      </c>
      <c r="C118" s="17">
        <v>115</v>
      </c>
      <c r="D118" s="17" t="s">
        <v>917</v>
      </c>
      <c r="E118" s="17">
        <f t="shared" si="5"/>
        <v>3361864</v>
      </c>
      <c r="F118" s="17" t="s">
        <v>918</v>
      </c>
      <c r="G118" s="17">
        <f t="shared" si="6"/>
        <v>3361864</v>
      </c>
      <c r="H118" s="17" t="s">
        <v>919</v>
      </c>
      <c r="I118" s="17">
        <f t="shared" si="7"/>
        <v>3361864</v>
      </c>
    </row>
    <row r="119" spans="1:9" x14ac:dyDescent="0.3">
      <c r="A119" s="17" t="str">
        <f t="shared" si="4"/>
        <v>1010116</v>
      </c>
      <c r="B119" s="17">
        <v>101</v>
      </c>
      <c r="C119" s="17">
        <v>116</v>
      </c>
      <c r="D119" s="17" t="s">
        <v>917</v>
      </c>
      <c r="E119" s="17">
        <f t="shared" si="5"/>
        <v>3404708</v>
      </c>
      <c r="F119" s="17" t="s">
        <v>918</v>
      </c>
      <c r="G119" s="17">
        <f t="shared" si="6"/>
        <v>3404708</v>
      </c>
      <c r="H119" s="17" t="s">
        <v>919</v>
      </c>
      <c r="I119" s="17">
        <f t="shared" si="7"/>
        <v>3404708</v>
      </c>
    </row>
    <row r="120" spans="1:9" x14ac:dyDescent="0.3">
      <c r="A120" s="17" t="str">
        <f t="shared" si="4"/>
        <v>1010117</v>
      </c>
      <c r="B120" s="17">
        <v>101</v>
      </c>
      <c r="C120" s="17">
        <v>117</v>
      </c>
      <c r="D120" s="17" t="s">
        <v>917</v>
      </c>
      <c r="E120" s="17">
        <f t="shared" si="5"/>
        <v>3447721</v>
      </c>
      <c r="F120" s="17" t="s">
        <v>918</v>
      </c>
      <c r="G120" s="17">
        <f t="shared" si="6"/>
        <v>3447721</v>
      </c>
      <c r="H120" s="17" t="s">
        <v>919</v>
      </c>
      <c r="I120" s="17">
        <f t="shared" si="7"/>
        <v>3447721</v>
      </c>
    </row>
    <row r="121" spans="1:9" x14ac:dyDescent="0.3">
      <c r="A121" s="17" t="str">
        <f t="shared" si="4"/>
        <v>1010118</v>
      </c>
      <c r="B121" s="17">
        <v>101</v>
      </c>
      <c r="C121" s="17">
        <v>118</v>
      </c>
      <c r="D121" s="17" t="s">
        <v>917</v>
      </c>
      <c r="E121" s="17">
        <f t="shared" si="5"/>
        <v>3490901</v>
      </c>
      <c r="F121" s="17" t="s">
        <v>918</v>
      </c>
      <c r="G121" s="17">
        <f t="shared" si="6"/>
        <v>3490901</v>
      </c>
      <c r="H121" s="17" t="s">
        <v>919</v>
      </c>
      <c r="I121" s="17">
        <f t="shared" si="7"/>
        <v>3490901</v>
      </c>
    </row>
    <row r="122" spans="1:9" x14ac:dyDescent="0.3">
      <c r="A122" s="17" t="str">
        <f t="shared" si="4"/>
        <v>1010119</v>
      </c>
      <c r="B122" s="17">
        <v>101</v>
      </c>
      <c r="C122" s="17">
        <v>119</v>
      </c>
      <c r="D122" s="17" t="s">
        <v>917</v>
      </c>
      <c r="E122" s="17">
        <f t="shared" si="5"/>
        <v>3534247</v>
      </c>
      <c r="F122" s="17" t="s">
        <v>918</v>
      </c>
      <c r="G122" s="17">
        <f t="shared" si="6"/>
        <v>3534247</v>
      </c>
      <c r="H122" s="17" t="s">
        <v>919</v>
      </c>
      <c r="I122" s="17">
        <f t="shared" si="7"/>
        <v>3534247</v>
      </c>
    </row>
    <row r="123" spans="1:9" x14ac:dyDescent="0.3">
      <c r="A123" s="17" t="str">
        <f t="shared" si="4"/>
        <v>1010120</v>
      </c>
      <c r="B123" s="17">
        <v>101</v>
      </c>
      <c r="C123" s="17">
        <v>120</v>
      </c>
      <c r="D123" s="17" t="s">
        <v>917</v>
      </c>
      <c r="E123" s="17">
        <f t="shared" si="5"/>
        <v>3577759</v>
      </c>
      <c r="F123" s="17" t="s">
        <v>918</v>
      </c>
      <c r="G123" s="17">
        <f t="shared" si="6"/>
        <v>3577759</v>
      </c>
      <c r="H123" s="17" t="s">
        <v>919</v>
      </c>
      <c r="I123" s="17">
        <f t="shared" si="7"/>
        <v>3577759</v>
      </c>
    </row>
    <row r="124" spans="1:9" x14ac:dyDescent="0.3">
      <c r="A124" s="17" t="str">
        <f t="shared" si="4"/>
        <v>1010121</v>
      </c>
      <c r="B124" s="17">
        <v>101</v>
      </c>
      <c r="C124" s="17">
        <v>121</v>
      </c>
      <c r="D124" s="17" t="s">
        <v>917</v>
      </c>
      <c r="E124" s="17">
        <f t="shared" si="5"/>
        <v>3621436</v>
      </c>
      <c r="F124" s="17" t="s">
        <v>918</v>
      </c>
      <c r="G124" s="17">
        <f t="shared" si="6"/>
        <v>3621436</v>
      </c>
      <c r="H124" s="17" t="s">
        <v>919</v>
      </c>
      <c r="I124" s="17">
        <f t="shared" si="7"/>
        <v>3621436</v>
      </c>
    </row>
    <row r="125" spans="1:9" x14ac:dyDescent="0.3">
      <c r="A125" s="17" t="str">
        <f t="shared" si="4"/>
        <v>1010122</v>
      </c>
      <c r="B125" s="17">
        <v>101</v>
      </c>
      <c r="C125" s="17">
        <v>122</v>
      </c>
      <c r="D125" s="17" t="s">
        <v>917</v>
      </c>
      <c r="E125" s="17">
        <f t="shared" si="5"/>
        <v>3665277</v>
      </c>
      <c r="F125" s="17" t="s">
        <v>918</v>
      </c>
      <c r="G125" s="17">
        <f t="shared" si="6"/>
        <v>3665277</v>
      </c>
      <c r="H125" s="17" t="s">
        <v>919</v>
      </c>
      <c r="I125" s="17">
        <f t="shared" si="7"/>
        <v>3665277</v>
      </c>
    </row>
    <row r="126" spans="1:9" x14ac:dyDescent="0.3">
      <c r="A126" s="17" t="str">
        <f t="shared" si="4"/>
        <v>1010123</v>
      </c>
      <c r="B126" s="17">
        <v>101</v>
      </c>
      <c r="C126" s="17">
        <v>123</v>
      </c>
      <c r="D126" s="17" t="s">
        <v>917</v>
      </c>
      <c r="E126" s="17">
        <f t="shared" si="5"/>
        <v>3709282</v>
      </c>
      <c r="F126" s="17" t="s">
        <v>918</v>
      </c>
      <c r="G126" s="17">
        <f t="shared" si="6"/>
        <v>3709282</v>
      </c>
      <c r="H126" s="17" t="s">
        <v>919</v>
      </c>
      <c r="I126" s="17">
        <f t="shared" si="7"/>
        <v>3709282</v>
      </c>
    </row>
    <row r="127" spans="1:9" x14ac:dyDescent="0.3">
      <c r="A127" s="17" t="str">
        <f t="shared" si="4"/>
        <v>1010124</v>
      </c>
      <c r="B127" s="17">
        <v>101</v>
      </c>
      <c r="C127" s="17">
        <v>124</v>
      </c>
      <c r="D127" s="17" t="s">
        <v>917</v>
      </c>
      <c r="E127" s="17">
        <f t="shared" si="5"/>
        <v>3753448</v>
      </c>
      <c r="F127" s="17" t="s">
        <v>918</v>
      </c>
      <c r="G127" s="17">
        <f t="shared" si="6"/>
        <v>3753448</v>
      </c>
      <c r="H127" s="17" t="s">
        <v>919</v>
      </c>
      <c r="I127" s="17">
        <f t="shared" si="7"/>
        <v>3753448</v>
      </c>
    </row>
    <row r="128" spans="1:9" x14ac:dyDescent="0.3">
      <c r="A128" s="17" t="str">
        <f t="shared" si="4"/>
        <v>1010125</v>
      </c>
      <c r="B128" s="17">
        <v>101</v>
      </c>
      <c r="C128" s="17">
        <v>125</v>
      </c>
      <c r="D128" s="17" t="s">
        <v>917</v>
      </c>
      <c r="E128" s="17">
        <f t="shared" si="5"/>
        <v>3797777</v>
      </c>
      <c r="F128" s="17" t="s">
        <v>918</v>
      </c>
      <c r="G128" s="17">
        <f t="shared" si="6"/>
        <v>3797777</v>
      </c>
      <c r="H128" s="17" t="s">
        <v>919</v>
      </c>
      <c r="I128" s="17">
        <f t="shared" si="7"/>
        <v>3797777</v>
      </c>
    </row>
    <row r="129" spans="1:9" x14ac:dyDescent="0.3">
      <c r="A129" s="17" t="str">
        <f t="shared" si="4"/>
        <v>1010126</v>
      </c>
      <c r="B129" s="17">
        <v>101</v>
      </c>
      <c r="C129" s="17">
        <v>126</v>
      </c>
      <c r="D129" s="17" t="s">
        <v>917</v>
      </c>
      <c r="E129" s="17">
        <f t="shared" si="5"/>
        <v>3842267</v>
      </c>
      <c r="F129" s="17" t="s">
        <v>918</v>
      </c>
      <c r="G129" s="17">
        <f t="shared" si="6"/>
        <v>3842267</v>
      </c>
      <c r="H129" s="17" t="s">
        <v>919</v>
      </c>
      <c r="I129" s="17">
        <f t="shared" si="7"/>
        <v>3842267</v>
      </c>
    </row>
    <row r="130" spans="1:9" x14ac:dyDescent="0.3">
      <c r="A130" s="17" t="str">
        <f t="shared" si="4"/>
        <v>1010127</v>
      </c>
      <c r="B130" s="17">
        <v>101</v>
      </c>
      <c r="C130" s="17">
        <v>127</v>
      </c>
      <c r="D130" s="17" t="s">
        <v>917</v>
      </c>
      <c r="E130" s="17">
        <f t="shared" si="5"/>
        <v>3886918</v>
      </c>
      <c r="F130" s="17" t="s">
        <v>918</v>
      </c>
      <c r="G130" s="17">
        <f t="shared" si="6"/>
        <v>3886918</v>
      </c>
      <c r="H130" s="17" t="s">
        <v>919</v>
      </c>
      <c r="I130" s="17">
        <f t="shared" si="7"/>
        <v>3886918</v>
      </c>
    </row>
    <row r="131" spans="1:9" x14ac:dyDescent="0.3">
      <c r="A131" s="17" t="str">
        <f t="shared" si="4"/>
        <v>1010128</v>
      </c>
      <c r="B131" s="17">
        <v>101</v>
      </c>
      <c r="C131" s="17">
        <v>128</v>
      </c>
      <c r="D131" s="17" t="s">
        <v>917</v>
      </c>
      <c r="E131" s="17">
        <f t="shared" si="5"/>
        <v>3931728</v>
      </c>
      <c r="F131" s="17" t="s">
        <v>918</v>
      </c>
      <c r="G131" s="17">
        <f t="shared" si="6"/>
        <v>3931728</v>
      </c>
      <c r="H131" s="17" t="s">
        <v>919</v>
      </c>
      <c r="I131" s="17">
        <f t="shared" si="7"/>
        <v>3931728</v>
      </c>
    </row>
    <row r="132" spans="1:9" x14ac:dyDescent="0.3">
      <c r="A132" s="17" t="str">
        <f t="shared" ref="A132:A195" si="8">B132&amp;TEXT(C132,"0000")</f>
        <v>1010129</v>
      </c>
      <c r="B132" s="17">
        <v>101</v>
      </c>
      <c r="C132" s="17">
        <v>129</v>
      </c>
      <c r="D132" s="17" t="s">
        <v>917</v>
      </c>
      <c r="E132" s="17">
        <f t="shared" si="5"/>
        <v>3976697</v>
      </c>
      <c r="F132" s="17" t="s">
        <v>918</v>
      </c>
      <c r="G132" s="17">
        <f t="shared" si="6"/>
        <v>3976697</v>
      </c>
      <c r="H132" s="17" t="s">
        <v>919</v>
      </c>
      <c r="I132" s="17">
        <f t="shared" si="7"/>
        <v>3976697</v>
      </c>
    </row>
    <row r="133" spans="1:9" x14ac:dyDescent="0.3">
      <c r="A133" s="17" t="str">
        <f t="shared" si="8"/>
        <v>1010130</v>
      </c>
      <c r="B133" s="17">
        <v>101</v>
      </c>
      <c r="C133" s="17">
        <v>130</v>
      </c>
      <c r="D133" s="17" t="s">
        <v>917</v>
      </c>
      <c r="E133" s="17">
        <f t="shared" si="5"/>
        <v>4021825</v>
      </c>
      <c r="F133" s="17" t="s">
        <v>918</v>
      </c>
      <c r="G133" s="17">
        <f t="shared" si="6"/>
        <v>4021825</v>
      </c>
      <c r="H133" s="17" t="s">
        <v>919</v>
      </c>
      <c r="I133" s="17">
        <f t="shared" si="7"/>
        <v>4021825</v>
      </c>
    </row>
    <row r="134" spans="1:9" x14ac:dyDescent="0.3">
      <c r="A134" s="17" t="str">
        <f t="shared" si="8"/>
        <v>1010131</v>
      </c>
      <c r="B134" s="17">
        <v>101</v>
      </c>
      <c r="C134" s="17">
        <v>131</v>
      </c>
      <c r="D134" s="17" t="s">
        <v>917</v>
      </c>
      <c r="E134" s="17">
        <f t="shared" ref="E134:E197" si="9">ROUND(E$5*($C133^E$2*E$3), 0)</f>
        <v>4067110</v>
      </c>
      <c r="F134" s="17" t="s">
        <v>918</v>
      </c>
      <c r="G134" s="17">
        <f t="shared" ref="G134:G197" si="10">ROUND(G$5*($C133^$E$2*$E$3), 0)</f>
        <v>4067110</v>
      </c>
      <c r="H134" s="17" t="s">
        <v>919</v>
      </c>
      <c r="I134" s="17">
        <f t="shared" si="7"/>
        <v>4067110</v>
      </c>
    </row>
    <row r="135" spans="1:9" x14ac:dyDescent="0.3">
      <c r="A135" s="17" t="str">
        <f t="shared" si="8"/>
        <v>1010132</v>
      </c>
      <c r="B135" s="17">
        <v>101</v>
      </c>
      <c r="C135" s="17">
        <v>132</v>
      </c>
      <c r="D135" s="17" t="s">
        <v>917</v>
      </c>
      <c r="E135" s="17">
        <f t="shared" si="9"/>
        <v>4112552</v>
      </c>
      <c r="F135" s="17" t="s">
        <v>918</v>
      </c>
      <c r="G135" s="17">
        <f t="shared" si="10"/>
        <v>4112552</v>
      </c>
      <c r="H135" s="17" t="s">
        <v>919</v>
      </c>
      <c r="I135" s="17">
        <f t="shared" ref="I135:I198" si="11">ROUND(I$5*($C134^$E$2*$E$3), 0)</f>
        <v>4112552</v>
      </c>
    </row>
    <row r="136" spans="1:9" x14ac:dyDescent="0.3">
      <c r="A136" s="17" t="str">
        <f t="shared" si="8"/>
        <v>1010133</v>
      </c>
      <c r="B136" s="17">
        <v>101</v>
      </c>
      <c r="C136" s="17">
        <v>133</v>
      </c>
      <c r="D136" s="17" t="s">
        <v>917</v>
      </c>
      <c r="E136" s="17">
        <f t="shared" si="9"/>
        <v>4158151</v>
      </c>
      <c r="F136" s="17" t="s">
        <v>918</v>
      </c>
      <c r="G136" s="17">
        <f t="shared" si="10"/>
        <v>4158151</v>
      </c>
      <c r="H136" s="17" t="s">
        <v>919</v>
      </c>
      <c r="I136" s="17">
        <f t="shared" si="11"/>
        <v>4158151</v>
      </c>
    </row>
    <row r="137" spans="1:9" x14ac:dyDescent="0.3">
      <c r="A137" s="17" t="str">
        <f t="shared" si="8"/>
        <v>1010134</v>
      </c>
      <c r="B137" s="17">
        <v>101</v>
      </c>
      <c r="C137" s="17">
        <v>134</v>
      </c>
      <c r="D137" s="17" t="s">
        <v>917</v>
      </c>
      <c r="E137" s="17">
        <f t="shared" si="9"/>
        <v>4203905</v>
      </c>
      <c r="F137" s="17" t="s">
        <v>918</v>
      </c>
      <c r="G137" s="17">
        <f t="shared" si="10"/>
        <v>4203905</v>
      </c>
      <c r="H137" s="17" t="s">
        <v>919</v>
      </c>
      <c r="I137" s="17">
        <f t="shared" si="11"/>
        <v>4203905</v>
      </c>
    </row>
    <row r="138" spans="1:9" x14ac:dyDescent="0.3">
      <c r="A138" s="17" t="str">
        <f t="shared" si="8"/>
        <v>1010135</v>
      </c>
      <c r="B138" s="17">
        <v>101</v>
      </c>
      <c r="C138" s="17">
        <v>135</v>
      </c>
      <c r="D138" s="17" t="s">
        <v>917</v>
      </c>
      <c r="E138" s="17">
        <f t="shared" si="9"/>
        <v>4249815</v>
      </c>
      <c r="F138" s="17" t="s">
        <v>918</v>
      </c>
      <c r="G138" s="17">
        <f t="shared" si="10"/>
        <v>4249815</v>
      </c>
      <c r="H138" s="17" t="s">
        <v>919</v>
      </c>
      <c r="I138" s="17">
        <f t="shared" si="11"/>
        <v>4249815</v>
      </c>
    </row>
    <row r="139" spans="1:9" x14ac:dyDescent="0.3">
      <c r="A139" s="17" t="str">
        <f t="shared" si="8"/>
        <v>1010136</v>
      </c>
      <c r="B139" s="17">
        <v>101</v>
      </c>
      <c r="C139" s="17">
        <v>136</v>
      </c>
      <c r="D139" s="17" t="s">
        <v>917</v>
      </c>
      <c r="E139" s="17">
        <f t="shared" si="9"/>
        <v>4295879</v>
      </c>
      <c r="F139" s="17" t="s">
        <v>918</v>
      </c>
      <c r="G139" s="17">
        <f t="shared" si="10"/>
        <v>4295879</v>
      </c>
      <c r="H139" s="17" t="s">
        <v>919</v>
      </c>
      <c r="I139" s="17">
        <f t="shared" si="11"/>
        <v>4295879</v>
      </c>
    </row>
    <row r="140" spans="1:9" x14ac:dyDescent="0.3">
      <c r="A140" s="17" t="str">
        <f t="shared" si="8"/>
        <v>1010137</v>
      </c>
      <c r="B140" s="17">
        <v>101</v>
      </c>
      <c r="C140" s="17">
        <v>137</v>
      </c>
      <c r="D140" s="17" t="s">
        <v>917</v>
      </c>
      <c r="E140" s="17">
        <f t="shared" si="9"/>
        <v>4342096</v>
      </c>
      <c r="F140" s="17" t="s">
        <v>918</v>
      </c>
      <c r="G140" s="17">
        <f t="shared" si="10"/>
        <v>4342096</v>
      </c>
      <c r="H140" s="17" t="s">
        <v>919</v>
      </c>
      <c r="I140" s="17">
        <f t="shared" si="11"/>
        <v>4342096</v>
      </c>
    </row>
    <row r="141" spans="1:9" x14ac:dyDescent="0.3">
      <c r="A141" s="17" t="str">
        <f t="shared" si="8"/>
        <v>1010138</v>
      </c>
      <c r="B141" s="17">
        <v>101</v>
      </c>
      <c r="C141" s="17">
        <v>138</v>
      </c>
      <c r="D141" s="17" t="s">
        <v>917</v>
      </c>
      <c r="E141" s="17">
        <f t="shared" si="9"/>
        <v>4388467</v>
      </c>
      <c r="F141" s="17" t="s">
        <v>918</v>
      </c>
      <c r="G141" s="17">
        <f t="shared" si="10"/>
        <v>4388467</v>
      </c>
      <c r="H141" s="17" t="s">
        <v>919</v>
      </c>
      <c r="I141" s="17">
        <f t="shared" si="11"/>
        <v>4388467</v>
      </c>
    </row>
    <row r="142" spans="1:9" x14ac:dyDescent="0.3">
      <c r="A142" s="17" t="str">
        <f t="shared" si="8"/>
        <v>1010139</v>
      </c>
      <c r="B142" s="17">
        <v>101</v>
      </c>
      <c r="C142" s="17">
        <v>139</v>
      </c>
      <c r="D142" s="17" t="s">
        <v>917</v>
      </c>
      <c r="E142" s="17">
        <f t="shared" si="9"/>
        <v>4434991</v>
      </c>
      <c r="F142" s="17" t="s">
        <v>918</v>
      </c>
      <c r="G142" s="17">
        <f t="shared" si="10"/>
        <v>4434991</v>
      </c>
      <c r="H142" s="17" t="s">
        <v>919</v>
      </c>
      <c r="I142" s="17">
        <f t="shared" si="11"/>
        <v>4434991</v>
      </c>
    </row>
    <row r="143" spans="1:9" x14ac:dyDescent="0.3">
      <c r="A143" s="17" t="str">
        <f t="shared" si="8"/>
        <v>1010140</v>
      </c>
      <c r="B143" s="17">
        <v>101</v>
      </c>
      <c r="C143" s="17">
        <v>140</v>
      </c>
      <c r="D143" s="17" t="s">
        <v>917</v>
      </c>
      <c r="E143" s="17">
        <f t="shared" si="9"/>
        <v>4481666</v>
      </c>
      <c r="F143" s="17" t="s">
        <v>918</v>
      </c>
      <c r="G143" s="17">
        <f t="shared" si="10"/>
        <v>4481666</v>
      </c>
      <c r="H143" s="17" t="s">
        <v>919</v>
      </c>
      <c r="I143" s="17">
        <f t="shared" si="11"/>
        <v>4481666</v>
      </c>
    </row>
    <row r="144" spans="1:9" x14ac:dyDescent="0.3">
      <c r="A144" s="17" t="str">
        <f t="shared" si="8"/>
        <v>1010141</v>
      </c>
      <c r="B144" s="17">
        <v>101</v>
      </c>
      <c r="C144" s="17">
        <v>141</v>
      </c>
      <c r="D144" s="17" t="s">
        <v>917</v>
      </c>
      <c r="E144" s="17">
        <f t="shared" si="9"/>
        <v>4528493</v>
      </c>
      <c r="F144" s="17" t="s">
        <v>918</v>
      </c>
      <c r="G144" s="17">
        <f t="shared" si="10"/>
        <v>4528493</v>
      </c>
      <c r="H144" s="17" t="s">
        <v>919</v>
      </c>
      <c r="I144" s="17">
        <f t="shared" si="11"/>
        <v>4528493</v>
      </c>
    </row>
    <row r="145" spans="1:9" x14ac:dyDescent="0.3">
      <c r="A145" s="17" t="str">
        <f t="shared" si="8"/>
        <v>1010142</v>
      </c>
      <c r="B145" s="17">
        <v>101</v>
      </c>
      <c r="C145" s="17">
        <v>142</v>
      </c>
      <c r="D145" s="17" t="s">
        <v>917</v>
      </c>
      <c r="E145" s="17">
        <f t="shared" si="9"/>
        <v>4575470</v>
      </c>
      <c r="F145" s="17" t="s">
        <v>918</v>
      </c>
      <c r="G145" s="17">
        <f t="shared" si="10"/>
        <v>4575470</v>
      </c>
      <c r="H145" s="17" t="s">
        <v>919</v>
      </c>
      <c r="I145" s="17">
        <f t="shared" si="11"/>
        <v>4575470</v>
      </c>
    </row>
    <row r="146" spans="1:9" x14ac:dyDescent="0.3">
      <c r="A146" s="17" t="str">
        <f t="shared" si="8"/>
        <v>1010143</v>
      </c>
      <c r="B146" s="17">
        <v>101</v>
      </c>
      <c r="C146" s="17">
        <v>143</v>
      </c>
      <c r="D146" s="17" t="s">
        <v>917</v>
      </c>
      <c r="E146" s="17">
        <f t="shared" si="9"/>
        <v>4622598</v>
      </c>
      <c r="F146" s="17" t="s">
        <v>918</v>
      </c>
      <c r="G146" s="17">
        <f t="shared" si="10"/>
        <v>4622598</v>
      </c>
      <c r="H146" s="17" t="s">
        <v>919</v>
      </c>
      <c r="I146" s="17">
        <f t="shared" si="11"/>
        <v>4622598</v>
      </c>
    </row>
    <row r="147" spans="1:9" x14ac:dyDescent="0.3">
      <c r="A147" s="17" t="str">
        <f t="shared" si="8"/>
        <v>1010144</v>
      </c>
      <c r="B147" s="17">
        <v>101</v>
      </c>
      <c r="C147" s="17">
        <v>144</v>
      </c>
      <c r="D147" s="17" t="s">
        <v>917</v>
      </c>
      <c r="E147" s="17">
        <f t="shared" si="9"/>
        <v>4669875</v>
      </c>
      <c r="F147" s="17" t="s">
        <v>918</v>
      </c>
      <c r="G147" s="17">
        <f t="shared" si="10"/>
        <v>4669875</v>
      </c>
      <c r="H147" s="17" t="s">
        <v>919</v>
      </c>
      <c r="I147" s="17">
        <f t="shared" si="11"/>
        <v>4669875</v>
      </c>
    </row>
    <row r="148" spans="1:9" x14ac:dyDescent="0.3">
      <c r="A148" s="17" t="str">
        <f t="shared" si="8"/>
        <v>1010145</v>
      </c>
      <c r="B148" s="17">
        <v>101</v>
      </c>
      <c r="C148" s="17">
        <v>145</v>
      </c>
      <c r="D148" s="17" t="s">
        <v>917</v>
      </c>
      <c r="E148" s="17">
        <f t="shared" si="9"/>
        <v>4717302</v>
      </c>
      <c r="F148" s="17" t="s">
        <v>918</v>
      </c>
      <c r="G148" s="17">
        <f t="shared" si="10"/>
        <v>4717302</v>
      </c>
      <c r="H148" s="17" t="s">
        <v>919</v>
      </c>
      <c r="I148" s="17">
        <f t="shared" si="11"/>
        <v>4717302</v>
      </c>
    </row>
    <row r="149" spans="1:9" x14ac:dyDescent="0.3">
      <c r="A149" s="17" t="str">
        <f t="shared" si="8"/>
        <v>1010146</v>
      </c>
      <c r="B149" s="17">
        <v>101</v>
      </c>
      <c r="C149" s="17">
        <v>146</v>
      </c>
      <c r="D149" s="17" t="s">
        <v>917</v>
      </c>
      <c r="E149" s="17">
        <f t="shared" si="9"/>
        <v>4764876</v>
      </c>
      <c r="F149" s="17" t="s">
        <v>918</v>
      </c>
      <c r="G149" s="17">
        <f t="shared" si="10"/>
        <v>4764876</v>
      </c>
      <c r="H149" s="17" t="s">
        <v>919</v>
      </c>
      <c r="I149" s="17">
        <f t="shared" si="11"/>
        <v>4764876</v>
      </c>
    </row>
    <row r="150" spans="1:9" x14ac:dyDescent="0.3">
      <c r="A150" s="17" t="str">
        <f t="shared" si="8"/>
        <v>1010147</v>
      </c>
      <c r="B150" s="17">
        <v>101</v>
      </c>
      <c r="C150" s="17">
        <v>147</v>
      </c>
      <c r="D150" s="17" t="s">
        <v>917</v>
      </c>
      <c r="E150" s="17">
        <f t="shared" si="9"/>
        <v>4812599</v>
      </c>
      <c r="F150" s="17" t="s">
        <v>918</v>
      </c>
      <c r="G150" s="17">
        <f t="shared" si="10"/>
        <v>4812599</v>
      </c>
      <c r="H150" s="17" t="s">
        <v>919</v>
      </c>
      <c r="I150" s="17">
        <f t="shared" si="11"/>
        <v>4812599</v>
      </c>
    </row>
    <row r="151" spans="1:9" x14ac:dyDescent="0.3">
      <c r="A151" s="17" t="str">
        <f t="shared" si="8"/>
        <v>1010148</v>
      </c>
      <c r="B151" s="17">
        <v>101</v>
      </c>
      <c r="C151" s="17">
        <v>148</v>
      </c>
      <c r="D151" s="17" t="s">
        <v>917</v>
      </c>
      <c r="E151" s="17">
        <f t="shared" si="9"/>
        <v>4860469</v>
      </c>
      <c r="F151" s="17" t="s">
        <v>918</v>
      </c>
      <c r="G151" s="17">
        <f t="shared" si="10"/>
        <v>4860469</v>
      </c>
      <c r="H151" s="17" t="s">
        <v>919</v>
      </c>
      <c r="I151" s="17">
        <f t="shared" si="11"/>
        <v>4860469</v>
      </c>
    </row>
    <row r="152" spans="1:9" x14ac:dyDescent="0.3">
      <c r="A152" s="17" t="str">
        <f t="shared" si="8"/>
        <v>1010149</v>
      </c>
      <c r="B152" s="17">
        <v>101</v>
      </c>
      <c r="C152" s="17">
        <v>149</v>
      </c>
      <c r="D152" s="17" t="s">
        <v>917</v>
      </c>
      <c r="E152" s="17">
        <f t="shared" si="9"/>
        <v>4908486</v>
      </c>
      <c r="F152" s="17" t="s">
        <v>918</v>
      </c>
      <c r="G152" s="17">
        <f t="shared" si="10"/>
        <v>4908486</v>
      </c>
      <c r="H152" s="17" t="s">
        <v>919</v>
      </c>
      <c r="I152" s="17">
        <f t="shared" si="11"/>
        <v>4908486</v>
      </c>
    </row>
    <row r="153" spans="1:9" x14ac:dyDescent="0.3">
      <c r="A153" s="17" t="str">
        <f t="shared" si="8"/>
        <v>1010150</v>
      </c>
      <c r="B153" s="17">
        <v>101</v>
      </c>
      <c r="C153" s="17">
        <v>150</v>
      </c>
      <c r="D153" s="17" t="s">
        <v>917</v>
      </c>
      <c r="E153" s="17">
        <f t="shared" si="9"/>
        <v>4956649</v>
      </c>
      <c r="F153" s="17" t="s">
        <v>918</v>
      </c>
      <c r="G153" s="17">
        <f t="shared" si="10"/>
        <v>4956649</v>
      </c>
      <c r="H153" s="17" t="s">
        <v>919</v>
      </c>
      <c r="I153" s="17">
        <f t="shared" si="11"/>
        <v>4956649</v>
      </c>
    </row>
    <row r="154" spans="1:9" x14ac:dyDescent="0.3">
      <c r="A154" s="17" t="str">
        <f t="shared" si="8"/>
        <v>1010151</v>
      </c>
      <c r="B154" s="17">
        <v>101</v>
      </c>
      <c r="C154" s="17">
        <v>151</v>
      </c>
      <c r="D154" s="17" t="s">
        <v>917</v>
      </c>
      <c r="E154" s="17">
        <f t="shared" si="9"/>
        <v>5004957</v>
      </c>
      <c r="F154" s="17" t="s">
        <v>918</v>
      </c>
      <c r="G154" s="17">
        <f t="shared" si="10"/>
        <v>5004957</v>
      </c>
      <c r="H154" s="17" t="s">
        <v>919</v>
      </c>
      <c r="I154" s="17">
        <f t="shared" si="11"/>
        <v>5004957</v>
      </c>
    </row>
    <row r="155" spans="1:9" x14ac:dyDescent="0.3">
      <c r="A155" s="17" t="str">
        <f t="shared" si="8"/>
        <v>1010152</v>
      </c>
      <c r="B155" s="17">
        <v>101</v>
      </c>
      <c r="C155" s="17">
        <v>152</v>
      </c>
      <c r="D155" s="17" t="s">
        <v>917</v>
      </c>
      <c r="E155" s="17">
        <f t="shared" si="9"/>
        <v>5053411</v>
      </c>
      <c r="F155" s="17" t="s">
        <v>918</v>
      </c>
      <c r="G155" s="17">
        <f t="shared" si="10"/>
        <v>5053411</v>
      </c>
      <c r="H155" s="17" t="s">
        <v>919</v>
      </c>
      <c r="I155" s="17">
        <f t="shared" si="11"/>
        <v>5053411</v>
      </c>
    </row>
    <row r="156" spans="1:9" x14ac:dyDescent="0.3">
      <c r="A156" s="17" t="str">
        <f t="shared" si="8"/>
        <v>1010153</v>
      </c>
      <c r="B156" s="17">
        <v>101</v>
      </c>
      <c r="C156" s="17">
        <v>153</v>
      </c>
      <c r="D156" s="17" t="s">
        <v>917</v>
      </c>
      <c r="E156" s="17">
        <f t="shared" si="9"/>
        <v>5102009</v>
      </c>
      <c r="F156" s="17" t="s">
        <v>918</v>
      </c>
      <c r="G156" s="17">
        <f t="shared" si="10"/>
        <v>5102009</v>
      </c>
      <c r="H156" s="17" t="s">
        <v>919</v>
      </c>
      <c r="I156" s="17">
        <f t="shared" si="11"/>
        <v>5102009</v>
      </c>
    </row>
    <row r="157" spans="1:9" x14ac:dyDescent="0.3">
      <c r="A157" s="17" t="str">
        <f t="shared" si="8"/>
        <v>1010154</v>
      </c>
      <c r="B157" s="17">
        <v>101</v>
      </c>
      <c r="C157" s="17">
        <v>154</v>
      </c>
      <c r="D157" s="17" t="s">
        <v>917</v>
      </c>
      <c r="E157" s="17">
        <f t="shared" si="9"/>
        <v>5150752</v>
      </c>
      <c r="F157" s="17" t="s">
        <v>918</v>
      </c>
      <c r="G157" s="17">
        <f t="shared" si="10"/>
        <v>5150752</v>
      </c>
      <c r="H157" s="17" t="s">
        <v>919</v>
      </c>
      <c r="I157" s="17">
        <f t="shared" si="11"/>
        <v>5150752</v>
      </c>
    </row>
    <row r="158" spans="1:9" x14ac:dyDescent="0.3">
      <c r="A158" s="17" t="str">
        <f t="shared" si="8"/>
        <v>1010155</v>
      </c>
      <c r="B158" s="17">
        <v>101</v>
      </c>
      <c r="C158" s="17">
        <v>155</v>
      </c>
      <c r="D158" s="17" t="s">
        <v>917</v>
      </c>
      <c r="E158" s="17">
        <f t="shared" si="9"/>
        <v>5199638</v>
      </c>
      <c r="F158" s="17" t="s">
        <v>918</v>
      </c>
      <c r="G158" s="17">
        <f t="shared" si="10"/>
        <v>5199638</v>
      </c>
      <c r="H158" s="17" t="s">
        <v>919</v>
      </c>
      <c r="I158" s="17">
        <f t="shared" si="11"/>
        <v>5199638</v>
      </c>
    </row>
    <row r="159" spans="1:9" x14ac:dyDescent="0.3">
      <c r="A159" s="17" t="str">
        <f t="shared" si="8"/>
        <v>1010156</v>
      </c>
      <c r="B159" s="17">
        <v>101</v>
      </c>
      <c r="C159" s="17">
        <v>156</v>
      </c>
      <c r="D159" s="17" t="s">
        <v>917</v>
      </c>
      <c r="E159" s="17">
        <f t="shared" si="9"/>
        <v>5248667</v>
      </c>
      <c r="F159" s="17" t="s">
        <v>918</v>
      </c>
      <c r="G159" s="17">
        <f t="shared" si="10"/>
        <v>5248667</v>
      </c>
      <c r="H159" s="17" t="s">
        <v>919</v>
      </c>
      <c r="I159" s="17">
        <f t="shared" si="11"/>
        <v>5248667</v>
      </c>
    </row>
    <row r="160" spans="1:9" x14ac:dyDescent="0.3">
      <c r="A160" s="17" t="str">
        <f t="shared" si="8"/>
        <v>1010157</v>
      </c>
      <c r="B160" s="17">
        <v>101</v>
      </c>
      <c r="C160" s="17">
        <v>157</v>
      </c>
      <c r="D160" s="17" t="s">
        <v>917</v>
      </c>
      <c r="E160" s="17">
        <f t="shared" si="9"/>
        <v>5297838</v>
      </c>
      <c r="F160" s="17" t="s">
        <v>918</v>
      </c>
      <c r="G160" s="17">
        <f t="shared" si="10"/>
        <v>5297838</v>
      </c>
      <c r="H160" s="17" t="s">
        <v>919</v>
      </c>
      <c r="I160" s="17">
        <f t="shared" si="11"/>
        <v>5297838</v>
      </c>
    </row>
    <row r="161" spans="1:9" x14ac:dyDescent="0.3">
      <c r="A161" s="17" t="str">
        <f t="shared" si="8"/>
        <v>1010158</v>
      </c>
      <c r="B161" s="17">
        <v>101</v>
      </c>
      <c r="C161" s="17">
        <v>158</v>
      </c>
      <c r="D161" s="17" t="s">
        <v>917</v>
      </c>
      <c r="E161" s="17">
        <f t="shared" si="9"/>
        <v>5347152</v>
      </c>
      <c r="F161" s="17" t="s">
        <v>918</v>
      </c>
      <c r="G161" s="17">
        <f t="shared" si="10"/>
        <v>5347152</v>
      </c>
      <c r="H161" s="17" t="s">
        <v>919</v>
      </c>
      <c r="I161" s="17">
        <f t="shared" si="11"/>
        <v>5347152</v>
      </c>
    </row>
    <row r="162" spans="1:9" x14ac:dyDescent="0.3">
      <c r="A162" s="17" t="str">
        <f t="shared" si="8"/>
        <v>1010159</v>
      </c>
      <c r="B162" s="17">
        <v>101</v>
      </c>
      <c r="C162" s="17">
        <v>159</v>
      </c>
      <c r="D162" s="17" t="s">
        <v>917</v>
      </c>
      <c r="E162" s="17">
        <f t="shared" si="9"/>
        <v>5396607</v>
      </c>
      <c r="F162" s="17" t="s">
        <v>918</v>
      </c>
      <c r="G162" s="17">
        <f t="shared" si="10"/>
        <v>5396607</v>
      </c>
      <c r="H162" s="17" t="s">
        <v>919</v>
      </c>
      <c r="I162" s="17">
        <f t="shared" si="11"/>
        <v>5396607</v>
      </c>
    </row>
    <row r="163" spans="1:9" x14ac:dyDescent="0.3">
      <c r="A163" s="17" t="str">
        <f t="shared" si="8"/>
        <v>1010160</v>
      </c>
      <c r="B163" s="17">
        <v>101</v>
      </c>
      <c r="C163" s="17">
        <v>160</v>
      </c>
      <c r="D163" s="17" t="s">
        <v>917</v>
      </c>
      <c r="E163" s="17">
        <f t="shared" si="9"/>
        <v>5446204</v>
      </c>
      <c r="F163" s="17" t="s">
        <v>918</v>
      </c>
      <c r="G163" s="17">
        <f t="shared" si="10"/>
        <v>5446204</v>
      </c>
      <c r="H163" s="17" t="s">
        <v>919</v>
      </c>
      <c r="I163" s="17">
        <f t="shared" si="11"/>
        <v>5446204</v>
      </c>
    </row>
    <row r="164" spans="1:9" x14ac:dyDescent="0.3">
      <c r="A164" s="17" t="str">
        <f t="shared" si="8"/>
        <v>1010161</v>
      </c>
      <c r="B164" s="17">
        <v>101</v>
      </c>
      <c r="C164" s="17">
        <v>161</v>
      </c>
      <c r="D164" s="17" t="s">
        <v>917</v>
      </c>
      <c r="E164" s="17">
        <f t="shared" si="9"/>
        <v>5495940</v>
      </c>
      <c r="F164" s="17" t="s">
        <v>918</v>
      </c>
      <c r="G164" s="17">
        <f t="shared" si="10"/>
        <v>5495940</v>
      </c>
      <c r="H164" s="17" t="s">
        <v>919</v>
      </c>
      <c r="I164" s="17">
        <f t="shared" si="11"/>
        <v>5495940</v>
      </c>
    </row>
    <row r="165" spans="1:9" x14ac:dyDescent="0.3">
      <c r="A165" s="17" t="str">
        <f t="shared" si="8"/>
        <v>1010162</v>
      </c>
      <c r="B165" s="17">
        <v>101</v>
      </c>
      <c r="C165" s="17">
        <v>162</v>
      </c>
      <c r="D165" s="17" t="s">
        <v>917</v>
      </c>
      <c r="E165" s="17">
        <f t="shared" si="9"/>
        <v>5545817</v>
      </c>
      <c r="F165" s="17" t="s">
        <v>918</v>
      </c>
      <c r="G165" s="17">
        <f t="shared" si="10"/>
        <v>5545817</v>
      </c>
      <c r="H165" s="17" t="s">
        <v>919</v>
      </c>
      <c r="I165" s="17">
        <f t="shared" si="11"/>
        <v>5545817</v>
      </c>
    </row>
    <row r="166" spans="1:9" x14ac:dyDescent="0.3">
      <c r="A166" s="17" t="str">
        <f t="shared" si="8"/>
        <v>1010163</v>
      </c>
      <c r="B166" s="17">
        <v>101</v>
      </c>
      <c r="C166" s="17">
        <v>163</v>
      </c>
      <c r="D166" s="17" t="s">
        <v>917</v>
      </c>
      <c r="E166" s="17">
        <f t="shared" si="9"/>
        <v>5595834</v>
      </c>
      <c r="F166" s="17" t="s">
        <v>918</v>
      </c>
      <c r="G166" s="17">
        <f t="shared" si="10"/>
        <v>5595834</v>
      </c>
      <c r="H166" s="17" t="s">
        <v>919</v>
      </c>
      <c r="I166" s="17">
        <f t="shared" si="11"/>
        <v>5595834</v>
      </c>
    </row>
    <row r="167" spans="1:9" x14ac:dyDescent="0.3">
      <c r="A167" s="17" t="str">
        <f t="shared" si="8"/>
        <v>1010164</v>
      </c>
      <c r="B167" s="17">
        <v>101</v>
      </c>
      <c r="C167" s="17">
        <v>164</v>
      </c>
      <c r="D167" s="17" t="s">
        <v>917</v>
      </c>
      <c r="E167" s="17">
        <f t="shared" si="9"/>
        <v>5645990</v>
      </c>
      <c r="F167" s="17" t="s">
        <v>918</v>
      </c>
      <c r="G167" s="17">
        <f t="shared" si="10"/>
        <v>5645990</v>
      </c>
      <c r="H167" s="17" t="s">
        <v>919</v>
      </c>
      <c r="I167" s="17">
        <f t="shared" si="11"/>
        <v>5645990</v>
      </c>
    </row>
    <row r="168" spans="1:9" x14ac:dyDescent="0.3">
      <c r="A168" s="17" t="str">
        <f t="shared" si="8"/>
        <v>1010165</v>
      </c>
      <c r="B168" s="17">
        <v>101</v>
      </c>
      <c r="C168" s="17">
        <v>165</v>
      </c>
      <c r="D168" s="17" t="s">
        <v>917</v>
      </c>
      <c r="E168" s="17">
        <f t="shared" si="9"/>
        <v>5696284</v>
      </c>
      <c r="F168" s="17" t="s">
        <v>918</v>
      </c>
      <c r="G168" s="17">
        <f t="shared" si="10"/>
        <v>5696284</v>
      </c>
      <c r="H168" s="17" t="s">
        <v>919</v>
      </c>
      <c r="I168" s="17">
        <f t="shared" si="11"/>
        <v>5696284</v>
      </c>
    </row>
    <row r="169" spans="1:9" x14ac:dyDescent="0.3">
      <c r="A169" s="17" t="str">
        <f t="shared" si="8"/>
        <v>1010166</v>
      </c>
      <c r="B169" s="17">
        <v>101</v>
      </c>
      <c r="C169" s="17">
        <v>166</v>
      </c>
      <c r="D169" s="17" t="s">
        <v>917</v>
      </c>
      <c r="E169" s="17">
        <f t="shared" si="9"/>
        <v>5746716</v>
      </c>
      <c r="F169" s="17" t="s">
        <v>918</v>
      </c>
      <c r="G169" s="17">
        <f t="shared" si="10"/>
        <v>5746716</v>
      </c>
      <c r="H169" s="17" t="s">
        <v>919</v>
      </c>
      <c r="I169" s="17">
        <f t="shared" si="11"/>
        <v>5746716</v>
      </c>
    </row>
    <row r="170" spans="1:9" x14ac:dyDescent="0.3">
      <c r="A170" s="17" t="str">
        <f t="shared" si="8"/>
        <v>1010167</v>
      </c>
      <c r="B170" s="17">
        <v>101</v>
      </c>
      <c r="C170" s="17">
        <v>167</v>
      </c>
      <c r="D170" s="17" t="s">
        <v>917</v>
      </c>
      <c r="E170" s="17">
        <f t="shared" si="9"/>
        <v>5797287</v>
      </c>
      <c r="F170" s="17" t="s">
        <v>918</v>
      </c>
      <c r="G170" s="17">
        <f t="shared" si="10"/>
        <v>5797287</v>
      </c>
      <c r="H170" s="17" t="s">
        <v>919</v>
      </c>
      <c r="I170" s="17">
        <f t="shared" si="11"/>
        <v>5797287</v>
      </c>
    </row>
    <row r="171" spans="1:9" x14ac:dyDescent="0.3">
      <c r="A171" s="17" t="str">
        <f t="shared" si="8"/>
        <v>1010168</v>
      </c>
      <c r="B171" s="17">
        <v>101</v>
      </c>
      <c r="C171" s="17">
        <v>168</v>
      </c>
      <c r="D171" s="17" t="s">
        <v>917</v>
      </c>
      <c r="E171" s="17">
        <f t="shared" si="9"/>
        <v>5847994</v>
      </c>
      <c r="F171" s="17" t="s">
        <v>918</v>
      </c>
      <c r="G171" s="17">
        <f t="shared" si="10"/>
        <v>5847994</v>
      </c>
      <c r="H171" s="17" t="s">
        <v>919</v>
      </c>
      <c r="I171" s="17">
        <f t="shared" si="11"/>
        <v>5847994</v>
      </c>
    </row>
    <row r="172" spans="1:9" x14ac:dyDescent="0.3">
      <c r="A172" s="17" t="str">
        <f t="shared" si="8"/>
        <v>1010169</v>
      </c>
      <c r="B172" s="17">
        <v>101</v>
      </c>
      <c r="C172" s="17">
        <v>169</v>
      </c>
      <c r="D172" s="17" t="s">
        <v>917</v>
      </c>
      <c r="E172" s="17">
        <f t="shared" si="9"/>
        <v>5898838</v>
      </c>
      <c r="F172" s="17" t="s">
        <v>918</v>
      </c>
      <c r="G172" s="17">
        <f t="shared" si="10"/>
        <v>5898838</v>
      </c>
      <c r="H172" s="17" t="s">
        <v>919</v>
      </c>
      <c r="I172" s="17">
        <f t="shared" si="11"/>
        <v>5898838</v>
      </c>
    </row>
    <row r="173" spans="1:9" x14ac:dyDescent="0.3">
      <c r="A173" s="17" t="str">
        <f t="shared" si="8"/>
        <v>1010170</v>
      </c>
      <c r="B173" s="17">
        <v>101</v>
      </c>
      <c r="C173" s="17">
        <v>170</v>
      </c>
      <c r="D173" s="17" t="s">
        <v>917</v>
      </c>
      <c r="E173" s="17">
        <f t="shared" si="9"/>
        <v>5949819</v>
      </c>
      <c r="F173" s="17" t="s">
        <v>918</v>
      </c>
      <c r="G173" s="17">
        <f t="shared" si="10"/>
        <v>5949819</v>
      </c>
      <c r="H173" s="17" t="s">
        <v>919</v>
      </c>
      <c r="I173" s="17">
        <f t="shared" si="11"/>
        <v>5949819</v>
      </c>
    </row>
    <row r="174" spans="1:9" x14ac:dyDescent="0.3">
      <c r="A174" s="17" t="str">
        <f t="shared" si="8"/>
        <v>1010171</v>
      </c>
      <c r="B174" s="17">
        <v>101</v>
      </c>
      <c r="C174" s="17">
        <v>171</v>
      </c>
      <c r="D174" s="17" t="s">
        <v>917</v>
      </c>
      <c r="E174" s="17">
        <f t="shared" si="9"/>
        <v>6000936</v>
      </c>
      <c r="F174" s="17" t="s">
        <v>918</v>
      </c>
      <c r="G174" s="17">
        <f t="shared" si="10"/>
        <v>6000936</v>
      </c>
      <c r="H174" s="17" t="s">
        <v>919</v>
      </c>
      <c r="I174" s="17">
        <f t="shared" si="11"/>
        <v>6000936</v>
      </c>
    </row>
    <row r="175" spans="1:9" x14ac:dyDescent="0.3">
      <c r="A175" s="17" t="str">
        <f t="shared" si="8"/>
        <v>1010172</v>
      </c>
      <c r="B175" s="17">
        <v>101</v>
      </c>
      <c r="C175" s="17">
        <v>172</v>
      </c>
      <c r="D175" s="17" t="s">
        <v>917</v>
      </c>
      <c r="E175" s="17">
        <f t="shared" si="9"/>
        <v>6052188</v>
      </c>
      <c r="F175" s="17" t="s">
        <v>918</v>
      </c>
      <c r="G175" s="17">
        <f t="shared" si="10"/>
        <v>6052188</v>
      </c>
      <c r="H175" s="17" t="s">
        <v>919</v>
      </c>
      <c r="I175" s="17">
        <f t="shared" si="11"/>
        <v>6052188</v>
      </c>
    </row>
    <row r="176" spans="1:9" x14ac:dyDescent="0.3">
      <c r="A176" s="17" t="str">
        <f t="shared" si="8"/>
        <v>1010173</v>
      </c>
      <c r="B176" s="17">
        <v>101</v>
      </c>
      <c r="C176" s="17">
        <v>173</v>
      </c>
      <c r="D176" s="17" t="s">
        <v>917</v>
      </c>
      <c r="E176" s="17">
        <f t="shared" si="9"/>
        <v>6103575</v>
      </c>
      <c r="F176" s="17" t="s">
        <v>918</v>
      </c>
      <c r="G176" s="17">
        <f t="shared" si="10"/>
        <v>6103575</v>
      </c>
      <c r="H176" s="17" t="s">
        <v>919</v>
      </c>
      <c r="I176" s="17">
        <f t="shared" si="11"/>
        <v>6103575</v>
      </c>
    </row>
    <row r="177" spans="1:9" x14ac:dyDescent="0.3">
      <c r="A177" s="17" t="str">
        <f t="shared" si="8"/>
        <v>1010174</v>
      </c>
      <c r="B177" s="17">
        <v>101</v>
      </c>
      <c r="C177" s="17">
        <v>174</v>
      </c>
      <c r="D177" s="17" t="s">
        <v>917</v>
      </c>
      <c r="E177" s="17">
        <f t="shared" si="9"/>
        <v>6155097</v>
      </c>
      <c r="F177" s="17" t="s">
        <v>918</v>
      </c>
      <c r="G177" s="17">
        <f t="shared" si="10"/>
        <v>6155097</v>
      </c>
      <c r="H177" s="17" t="s">
        <v>919</v>
      </c>
      <c r="I177" s="17">
        <f t="shared" si="11"/>
        <v>6155097</v>
      </c>
    </row>
    <row r="178" spans="1:9" x14ac:dyDescent="0.3">
      <c r="A178" s="17" t="str">
        <f t="shared" si="8"/>
        <v>1010175</v>
      </c>
      <c r="B178" s="17">
        <v>101</v>
      </c>
      <c r="C178" s="17">
        <v>175</v>
      </c>
      <c r="D178" s="17" t="s">
        <v>917</v>
      </c>
      <c r="E178" s="17">
        <f t="shared" si="9"/>
        <v>6206753</v>
      </c>
      <c r="F178" s="17" t="s">
        <v>918</v>
      </c>
      <c r="G178" s="17">
        <f t="shared" si="10"/>
        <v>6206753</v>
      </c>
      <c r="H178" s="17" t="s">
        <v>919</v>
      </c>
      <c r="I178" s="17">
        <f t="shared" si="11"/>
        <v>6206753</v>
      </c>
    </row>
    <row r="179" spans="1:9" x14ac:dyDescent="0.3">
      <c r="A179" s="17" t="str">
        <f t="shared" si="8"/>
        <v>1010176</v>
      </c>
      <c r="B179" s="17">
        <v>101</v>
      </c>
      <c r="C179" s="17">
        <v>176</v>
      </c>
      <c r="D179" s="17" t="s">
        <v>917</v>
      </c>
      <c r="E179" s="17">
        <f t="shared" si="9"/>
        <v>6258543</v>
      </c>
      <c r="F179" s="17" t="s">
        <v>918</v>
      </c>
      <c r="G179" s="17">
        <f t="shared" si="10"/>
        <v>6258543</v>
      </c>
      <c r="H179" s="17" t="s">
        <v>919</v>
      </c>
      <c r="I179" s="17">
        <f t="shared" si="11"/>
        <v>6258543</v>
      </c>
    </row>
    <row r="180" spans="1:9" x14ac:dyDescent="0.3">
      <c r="A180" s="17" t="str">
        <f t="shared" si="8"/>
        <v>1010177</v>
      </c>
      <c r="B180" s="17">
        <v>101</v>
      </c>
      <c r="C180" s="17">
        <v>177</v>
      </c>
      <c r="D180" s="17" t="s">
        <v>917</v>
      </c>
      <c r="E180" s="17">
        <f t="shared" si="9"/>
        <v>6310466</v>
      </c>
      <c r="F180" s="17" t="s">
        <v>918</v>
      </c>
      <c r="G180" s="17">
        <f t="shared" si="10"/>
        <v>6310466</v>
      </c>
      <c r="H180" s="17" t="s">
        <v>919</v>
      </c>
      <c r="I180" s="17">
        <f t="shared" si="11"/>
        <v>6310466</v>
      </c>
    </row>
    <row r="181" spans="1:9" x14ac:dyDescent="0.3">
      <c r="A181" s="17" t="str">
        <f t="shared" si="8"/>
        <v>1010178</v>
      </c>
      <c r="B181" s="17">
        <v>101</v>
      </c>
      <c r="C181" s="17">
        <v>178</v>
      </c>
      <c r="D181" s="17" t="s">
        <v>917</v>
      </c>
      <c r="E181" s="17">
        <f t="shared" si="9"/>
        <v>6362522</v>
      </c>
      <c r="F181" s="17" t="s">
        <v>918</v>
      </c>
      <c r="G181" s="17">
        <f t="shared" si="10"/>
        <v>6362522</v>
      </c>
      <c r="H181" s="17" t="s">
        <v>919</v>
      </c>
      <c r="I181" s="17">
        <f t="shared" si="11"/>
        <v>6362522</v>
      </c>
    </row>
    <row r="182" spans="1:9" x14ac:dyDescent="0.3">
      <c r="A182" s="17" t="str">
        <f t="shared" si="8"/>
        <v>1010179</v>
      </c>
      <c r="B182" s="17">
        <v>101</v>
      </c>
      <c r="C182" s="17">
        <v>179</v>
      </c>
      <c r="D182" s="17" t="s">
        <v>917</v>
      </c>
      <c r="E182" s="17">
        <f t="shared" si="9"/>
        <v>6414710</v>
      </c>
      <c r="F182" s="17" t="s">
        <v>918</v>
      </c>
      <c r="G182" s="17">
        <f t="shared" si="10"/>
        <v>6414710</v>
      </c>
      <c r="H182" s="17" t="s">
        <v>919</v>
      </c>
      <c r="I182" s="17">
        <f t="shared" si="11"/>
        <v>6414710</v>
      </c>
    </row>
    <row r="183" spans="1:9" x14ac:dyDescent="0.3">
      <c r="A183" s="17" t="str">
        <f t="shared" si="8"/>
        <v>1010180</v>
      </c>
      <c r="B183" s="17">
        <v>101</v>
      </c>
      <c r="C183" s="17">
        <v>180</v>
      </c>
      <c r="D183" s="17" t="s">
        <v>917</v>
      </c>
      <c r="E183" s="17">
        <f t="shared" si="9"/>
        <v>6467031</v>
      </c>
      <c r="F183" s="17" t="s">
        <v>918</v>
      </c>
      <c r="G183" s="17">
        <f t="shared" si="10"/>
        <v>6467031</v>
      </c>
      <c r="H183" s="17" t="s">
        <v>919</v>
      </c>
      <c r="I183" s="17">
        <f t="shared" si="11"/>
        <v>6467031</v>
      </c>
    </row>
    <row r="184" spans="1:9" x14ac:dyDescent="0.3">
      <c r="A184" s="17" t="str">
        <f t="shared" si="8"/>
        <v>1010181</v>
      </c>
      <c r="B184" s="17">
        <v>101</v>
      </c>
      <c r="C184" s="17">
        <v>181</v>
      </c>
      <c r="D184" s="17" t="s">
        <v>917</v>
      </c>
      <c r="E184" s="17">
        <f t="shared" si="9"/>
        <v>6519483</v>
      </c>
      <c r="F184" s="17" t="s">
        <v>918</v>
      </c>
      <c r="G184" s="17">
        <f t="shared" si="10"/>
        <v>6519483</v>
      </c>
      <c r="H184" s="17" t="s">
        <v>919</v>
      </c>
      <c r="I184" s="17">
        <f t="shared" si="11"/>
        <v>6519483</v>
      </c>
    </row>
    <row r="185" spans="1:9" x14ac:dyDescent="0.3">
      <c r="A185" s="17" t="str">
        <f t="shared" si="8"/>
        <v>1010182</v>
      </c>
      <c r="B185" s="17">
        <v>101</v>
      </c>
      <c r="C185" s="17">
        <v>182</v>
      </c>
      <c r="D185" s="17" t="s">
        <v>917</v>
      </c>
      <c r="E185" s="17">
        <f t="shared" si="9"/>
        <v>6572067</v>
      </c>
      <c r="F185" s="17" t="s">
        <v>918</v>
      </c>
      <c r="G185" s="17">
        <f t="shared" si="10"/>
        <v>6572067</v>
      </c>
      <c r="H185" s="17" t="s">
        <v>919</v>
      </c>
      <c r="I185" s="17">
        <f t="shared" si="11"/>
        <v>6572067</v>
      </c>
    </row>
    <row r="186" spans="1:9" x14ac:dyDescent="0.3">
      <c r="A186" s="17" t="str">
        <f t="shared" si="8"/>
        <v>1010183</v>
      </c>
      <c r="B186" s="17">
        <v>101</v>
      </c>
      <c r="C186" s="17">
        <v>183</v>
      </c>
      <c r="D186" s="17" t="s">
        <v>917</v>
      </c>
      <c r="E186" s="17">
        <f t="shared" si="9"/>
        <v>6624781</v>
      </c>
      <c r="F186" s="17" t="s">
        <v>918</v>
      </c>
      <c r="G186" s="17">
        <f t="shared" si="10"/>
        <v>6624781</v>
      </c>
      <c r="H186" s="17" t="s">
        <v>919</v>
      </c>
      <c r="I186" s="17">
        <f t="shared" si="11"/>
        <v>6624781</v>
      </c>
    </row>
    <row r="187" spans="1:9" x14ac:dyDescent="0.3">
      <c r="A187" s="17" t="str">
        <f t="shared" si="8"/>
        <v>1010184</v>
      </c>
      <c r="B187" s="17">
        <v>101</v>
      </c>
      <c r="C187" s="17">
        <v>184</v>
      </c>
      <c r="D187" s="17" t="s">
        <v>917</v>
      </c>
      <c r="E187" s="17">
        <f t="shared" si="9"/>
        <v>6677627</v>
      </c>
      <c r="F187" s="17" t="s">
        <v>918</v>
      </c>
      <c r="G187" s="17">
        <f t="shared" si="10"/>
        <v>6677627</v>
      </c>
      <c r="H187" s="17" t="s">
        <v>919</v>
      </c>
      <c r="I187" s="17">
        <f t="shared" si="11"/>
        <v>6677627</v>
      </c>
    </row>
    <row r="188" spans="1:9" x14ac:dyDescent="0.3">
      <c r="A188" s="17" t="str">
        <f t="shared" si="8"/>
        <v>1010185</v>
      </c>
      <c r="B188" s="17">
        <v>101</v>
      </c>
      <c r="C188" s="17">
        <v>185</v>
      </c>
      <c r="D188" s="17" t="s">
        <v>917</v>
      </c>
      <c r="E188" s="17">
        <f t="shared" si="9"/>
        <v>6730602</v>
      </c>
      <c r="F188" s="17" t="s">
        <v>918</v>
      </c>
      <c r="G188" s="17">
        <f t="shared" si="10"/>
        <v>6730602</v>
      </c>
      <c r="H188" s="17" t="s">
        <v>919</v>
      </c>
      <c r="I188" s="17">
        <f t="shared" si="11"/>
        <v>6730602</v>
      </c>
    </row>
    <row r="189" spans="1:9" x14ac:dyDescent="0.3">
      <c r="A189" s="17" t="str">
        <f t="shared" si="8"/>
        <v>1010186</v>
      </c>
      <c r="B189" s="17">
        <v>101</v>
      </c>
      <c r="C189" s="17">
        <v>186</v>
      </c>
      <c r="D189" s="17" t="s">
        <v>917</v>
      </c>
      <c r="E189" s="17">
        <f t="shared" si="9"/>
        <v>6783707</v>
      </c>
      <c r="F189" s="17" t="s">
        <v>918</v>
      </c>
      <c r="G189" s="17">
        <f t="shared" si="10"/>
        <v>6783707</v>
      </c>
      <c r="H189" s="17" t="s">
        <v>919</v>
      </c>
      <c r="I189" s="17">
        <f t="shared" si="11"/>
        <v>6783707</v>
      </c>
    </row>
    <row r="190" spans="1:9" x14ac:dyDescent="0.3">
      <c r="A190" s="17" t="str">
        <f t="shared" si="8"/>
        <v>1010187</v>
      </c>
      <c r="B190" s="17">
        <v>101</v>
      </c>
      <c r="C190" s="17">
        <v>187</v>
      </c>
      <c r="D190" s="17" t="s">
        <v>917</v>
      </c>
      <c r="E190" s="17">
        <f t="shared" si="9"/>
        <v>6836941</v>
      </c>
      <c r="F190" s="17" t="s">
        <v>918</v>
      </c>
      <c r="G190" s="17">
        <f t="shared" si="10"/>
        <v>6836941</v>
      </c>
      <c r="H190" s="17" t="s">
        <v>919</v>
      </c>
      <c r="I190" s="17">
        <f t="shared" si="11"/>
        <v>6836941</v>
      </c>
    </row>
    <row r="191" spans="1:9" x14ac:dyDescent="0.3">
      <c r="A191" s="17" t="str">
        <f t="shared" si="8"/>
        <v>1010188</v>
      </c>
      <c r="B191" s="17">
        <v>101</v>
      </c>
      <c r="C191" s="17">
        <v>188</v>
      </c>
      <c r="D191" s="17" t="s">
        <v>917</v>
      </c>
      <c r="E191" s="17">
        <f t="shared" si="9"/>
        <v>6890304</v>
      </c>
      <c r="F191" s="17" t="s">
        <v>918</v>
      </c>
      <c r="G191" s="17">
        <f t="shared" si="10"/>
        <v>6890304</v>
      </c>
      <c r="H191" s="17" t="s">
        <v>919</v>
      </c>
      <c r="I191" s="17">
        <f t="shared" si="11"/>
        <v>6890304</v>
      </c>
    </row>
    <row r="192" spans="1:9" x14ac:dyDescent="0.3">
      <c r="A192" s="17" t="str">
        <f t="shared" si="8"/>
        <v>1010189</v>
      </c>
      <c r="B192" s="17">
        <v>101</v>
      </c>
      <c r="C192" s="17">
        <v>189</v>
      </c>
      <c r="D192" s="17" t="s">
        <v>917</v>
      </c>
      <c r="E192" s="17">
        <f t="shared" si="9"/>
        <v>6943796</v>
      </c>
      <c r="F192" s="17" t="s">
        <v>918</v>
      </c>
      <c r="G192" s="17">
        <f t="shared" si="10"/>
        <v>6943796</v>
      </c>
      <c r="H192" s="17" t="s">
        <v>919</v>
      </c>
      <c r="I192" s="17">
        <f t="shared" si="11"/>
        <v>6943796</v>
      </c>
    </row>
    <row r="193" spans="1:9" x14ac:dyDescent="0.3">
      <c r="A193" s="17" t="str">
        <f t="shared" si="8"/>
        <v>1010190</v>
      </c>
      <c r="B193" s="17">
        <v>101</v>
      </c>
      <c r="C193" s="17">
        <v>190</v>
      </c>
      <c r="D193" s="17" t="s">
        <v>917</v>
      </c>
      <c r="E193" s="17">
        <f t="shared" si="9"/>
        <v>6997415</v>
      </c>
      <c r="F193" s="17" t="s">
        <v>918</v>
      </c>
      <c r="G193" s="17">
        <f t="shared" si="10"/>
        <v>6997415</v>
      </c>
      <c r="H193" s="17" t="s">
        <v>919</v>
      </c>
      <c r="I193" s="17">
        <f t="shared" si="11"/>
        <v>6997415</v>
      </c>
    </row>
    <row r="194" spans="1:9" x14ac:dyDescent="0.3">
      <c r="A194" s="17" t="str">
        <f t="shared" si="8"/>
        <v>1010191</v>
      </c>
      <c r="B194" s="17">
        <v>101</v>
      </c>
      <c r="C194" s="17">
        <v>191</v>
      </c>
      <c r="D194" s="17" t="s">
        <v>917</v>
      </c>
      <c r="E194" s="17">
        <f t="shared" si="9"/>
        <v>7051163</v>
      </c>
      <c r="F194" s="17" t="s">
        <v>918</v>
      </c>
      <c r="G194" s="17">
        <f t="shared" si="10"/>
        <v>7051163</v>
      </c>
      <c r="H194" s="17" t="s">
        <v>919</v>
      </c>
      <c r="I194" s="17">
        <f t="shared" si="11"/>
        <v>7051163</v>
      </c>
    </row>
    <row r="195" spans="1:9" x14ac:dyDescent="0.3">
      <c r="A195" s="17" t="str">
        <f t="shared" si="8"/>
        <v>1010192</v>
      </c>
      <c r="B195" s="17">
        <v>101</v>
      </c>
      <c r="C195" s="17">
        <v>192</v>
      </c>
      <c r="D195" s="17" t="s">
        <v>917</v>
      </c>
      <c r="E195" s="17">
        <f t="shared" si="9"/>
        <v>7105038</v>
      </c>
      <c r="F195" s="17" t="s">
        <v>918</v>
      </c>
      <c r="G195" s="17">
        <f t="shared" si="10"/>
        <v>7105038</v>
      </c>
      <c r="H195" s="17" t="s">
        <v>919</v>
      </c>
      <c r="I195" s="17">
        <f t="shared" si="11"/>
        <v>7105038</v>
      </c>
    </row>
    <row r="196" spans="1:9" x14ac:dyDescent="0.3">
      <c r="A196" s="17" t="str">
        <f t="shared" ref="A196:A259" si="12">B196&amp;TEXT(C196,"0000")</f>
        <v>1010193</v>
      </c>
      <c r="B196" s="17">
        <v>101</v>
      </c>
      <c r="C196" s="17">
        <v>193</v>
      </c>
      <c r="D196" s="17" t="s">
        <v>917</v>
      </c>
      <c r="E196" s="17">
        <f t="shared" si="9"/>
        <v>7159041</v>
      </c>
      <c r="F196" s="17" t="s">
        <v>918</v>
      </c>
      <c r="G196" s="17">
        <f t="shared" si="10"/>
        <v>7159041</v>
      </c>
      <c r="H196" s="17" t="s">
        <v>919</v>
      </c>
      <c r="I196" s="17">
        <f t="shared" si="11"/>
        <v>7159041</v>
      </c>
    </row>
    <row r="197" spans="1:9" x14ac:dyDescent="0.3">
      <c r="A197" s="17" t="str">
        <f t="shared" si="12"/>
        <v>1010194</v>
      </c>
      <c r="B197" s="17">
        <v>101</v>
      </c>
      <c r="C197" s="17">
        <v>194</v>
      </c>
      <c r="D197" s="17" t="s">
        <v>917</v>
      </c>
      <c r="E197" s="17">
        <f t="shared" si="9"/>
        <v>7213170</v>
      </c>
      <c r="F197" s="17" t="s">
        <v>918</v>
      </c>
      <c r="G197" s="17">
        <f t="shared" si="10"/>
        <v>7213170</v>
      </c>
      <c r="H197" s="17" t="s">
        <v>919</v>
      </c>
      <c r="I197" s="17">
        <f t="shared" si="11"/>
        <v>7213170</v>
      </c>
    </row>
    <row r="198" spans="1:9" x14ac:dyDescent="0.3">
      <c r="A198" s="17" t="str">
        <f t="shared" si="12"/>
        <v>1010195</v>
      </c>
      <c r="B198" s="17">
        <v>101</v>
      </c>
      <c r="C198" s="17">
        <v>195</v>
      </c>
      <c r="D198" s="17" t="s">
        <v>917</v>
      </c>
      <c r="E198" s="17">
        <f t="shared" ref="E198:E261" si="13">ROUND(E$5*($C197^E$2*E$3), 0)</f>
        <v>7267425</v>
      </c>
      <c r="F198" s="17" t="s">
        <v>918</v>
      </c>
      <c r="G198" s="17">
        <f t="shared" ref="G198:G261" si="14">ROUND(G$5*($C197^$E$2*$E$3), 0)</f>
        <v>7267425</v>
      </c>
      <c r="H198" s="17" t="s">
        <v>919</v>
      </c>
      <c r="I198" s="17">
        <f t="shared" si="11"/>
        <v>7267425</v>
      </c>
    </row>
    <row r="199" spans="1:9" x14ac:dyDescent="0.3">
      <c r="A199" s="17" t="str">
        <f t="shared" si="12"/>
        <v>1010196</v>
      </c>
      <c r="B199" s="17">
        <v>101</v>
      </c>
      <c r="C199" s="17">
        <v>196</v>
      </c>
      <c r="D199" s="17" t="s">
        <v>917</v>
      </c>
      <c r="E199" s="17">
        <f t="shared" si="13"/>
        <v>7321806</v>
      </c>
      <c r="F199" s="17" t="s">
        <v>918</v>
      </c>
      <c r="G199" s="17">
        <f t="shared" si="14"/>
        <v>7321806</v>
      </c>
      <c r="H199" s="17" t="s">
        <v>919</v>
      </c>
      <c r="I199" s="17">
        <f t="shared" ref="I199:I262" si="15">ROUND(I$5*($C198^$E$2*$E$3), 0)</f>
        <v>7321806</v>
      </c>
    </row>
    <row r="200" spans="1:9" x14ac:dyDescent="0.3">
      <c r="A200" s="17" t="str">
        <f t="shared" si="12"/>
        <v>1010197</v>
      </c>
      <c r="B200" s="17">
        <v>101</v>
      </c>
      <c r="C200" s="17">
        <v>197</v>
      </c>
      <c r="D200" s="17" t="s">
        <v>917</v>
      </c>
      <c r="E200" s="17">
        <f t="shared" si="13"/>
        <v>7376313</v>
      </c>
      <c r="F200" s="17" t="s">
        <v>918</v>
      </c>
      <c r="G200" s="17">
        <f t="shared" si="14"/>
        <v>7376313</v>
      </c>
      <c r="H200" s="17" t="s">
        <v>919</v>
      </c>
      <c r="I200" s="17">
        <f t="shared" si="15"/>
        <v>7376313</v>
      </c>
    </row>
    <row r="201" spans="1:9" x14ac:dyDescent="0.3">
      <c r="A201" s="17" t="str">
        <f t="shared" si="12"/>
        <v>1010198</v>
      </c>
      <c r="B201" s="17">
        <v>101</v>
      </c>
      <c r="C201" s="17">
        <v>198</v>
      </c>
      <c r="D201" s="17" t="s">
        <v>917</v>
      </c>
      <c r="E201" s="17">
        <f t="shared" si="13"/>
        <v>7430945</v>
      </c>
      <c r="F201" s="17" t="s">
        <v>918</v>
      </c>
      <c r="G201" s="17">
        <f t="shared" si="14"/>
        <v>7430945</v>
      </c>
      <c r="H201" s="17" t="s">
        <v>919</v>
      </c>
      <c r="I201" s="17">
        <f t="shared" si="15"/>
        <v>7430945</v>
      </c>
    </row>
    <row r="202" spans="1:9" x14ac:dyDescent="0.3">
      <c r="A202" s="17" t="str">
        <f t="shared" si="12"/>
        <v>1010199</v>
      </c>
      <c r="B202" s="17">
        <v>101</v>
      </c>
      <c r="C202" s="17">
        <v>199</v>
      </c>
      <c r="D202" s="17" t="s">
        <v>917</v>
      </c>
      <c r="E202" s="17">
        <f t="shared" si="13"/>
        <v>7485703</v>
      </c>
      <c r="F202" s="17" t="s">
        <v>918</v>
      </c>
      <c r="G202" s="17">
        <f t="shared" si="14"/>
        <v>7485703</v>
      </c>
      <c r="H202" s="17" t="s">
        <v>919</v>
      </c>
      <c r="I202" s="17">
        <f t="shared" si="15"/>
        <v>7485703</v>
      </c>
    </row>
    <row r="203" spans="1:9" x14ac:dyDescent="0.3">
      <c r="A203" s="17" t="str">
        <f t="shared" si="12"/>
        <v>1010200</v>
      </c>
      <c r="B203" s="17">
        <v>101</v>
      </c>
      <c r="C203" s="17">
        <v>200</v>
      </c>
      <c r="D203" s="17" t="s">
        <v>917</v>
      </c>
      <c r="E203" s="17">
        <f t="shared" si="13"/>
        <v>7540584</v>
      </c>
      <c r="F203" s="17" t="s">
        <v>918</v>
      </c>
      <c r="G203" s="17">
        <f t="shared" si="14"/>
        <v>7540584</v>
      </c>
      <c r="H203" s="17" t="s">
        <v>919</v>
      </c>
      <c r="I203" s="17">
        <f t="shared" si="15"/>
        <v>7540584</v>
      </c>
    </row>
    <row r="204" spans="1:9" x14ac:dyDescent="0.3">
      <c r="A204" s="17" t="str">
        <f t="shared" si="12"/>
        <v>1010201</v>
      </c>
      <c r="B204" s="17">
        <v>101</v>
      </c>
      <c r="C204" s="17">
        <v>201</v>
      </c>
      <c r="D204" s="17" t="s">
        <v>917</v>
      </c>
      <c r="E204" s="17">
        <f t="shared" si="13"/>
        <v>7595590</v>
      </c>
      <c r="F204" s="17" t="s">
        <v>918</v>
      </c>
      <c r="G204" s="17">
        <f t="shared" si="14"/>
        <v>7595590</v>
      </c>
      <c r="H204" s="17" t="s">
        <v>919</v>
      </c>
      <c r="I204" s="17">
        <f t="shared" si="15"/>
        <v>7595590</v>
      </c>
    </row>
    <row r="205" spans="1:9" x14ac:dyDescent="0.3">
      <c r="A205" s="17" t="str">
        <f t="shared" si="12"/>
        <v>1010202</v>
      </c>
      <c r="B205" s="17">
        <v>101</v>
      </c>
      <c r="C205" s="17">
        <v>202</v>
      </c>
      <c r="D205" s="17" t="s">
        <v>917</v>
      </c>
      <c r="E205" s="17">
        <f t="shared" si="13"/>
        <v>7650720</v>
      </c>
      <c r="F205" s="17" t="s">
        <v>918</v>
      </c>
      <c r="G205" s="17">
        <f t="shared" si="14"/>
        <v>7650720</v>
      </c>
      <c r="H205" s="17" t="s">
        <v>919</v>
      </c>
      <c r="I205" s="17">
        <f t="shared" si="15"/>
        <v>7650720</v>
      </c>
    </row>
    <row r="206" spans="1:9" x14ac:dyDescent="0.3">
      <c r="A206" s="17" t="str">
        <f t="shared" si="12"/>
        <v>1010203</v>
      </c>
      <c r="B206" s="17">
        <v>101</v>
      </c>
      <c r="C206" s="17">
        <v>203</v>
      </c>
      <c r="D206" s="17" t="s">
        <v>917</v>
      </c>
      <c r="E206" s="17">
        <f t="shared" si="13"/>
        <v>7705974</v>
      </c>
      <c r="F206" s="17" t="s">
        <v>918</v>
      </c>
      <c r="G206" s="17">
        <f t="shared" si="14"/>
        <v>7705974</v>
      </c>
      <c r="H206" s="17" t="s">
        <v>919</v>
      </c>
      <c r="I206" s="17">
        <f t="shared" si="15"/>
        <v>7705974</v>
      </c>
    </row>
    <row r="207" spans="1:9" x14ac:dyDescent="0.3">
      <c r="A207" s="17" t="str">
        <f t="shared" si="12"/>
        <v>1010204</v>
      </c>
      <c r="B207" s="17">
        <v>101</v>
      </c>
      <c r="C207" s="17">
        <v>204</v>
      </c>
      <c r="D207" s="17" t="s">
        <v>917</v>
      </c>
      <c r="E207" s="17">
        <f t="shared" si="13"/>
        <v>7761351</v>
      </c>
      <c r="F207" s="17" t="s">
        <v>918</v>
      </c>
      <c r="G207" s="17">
        <f t="shared" si="14"/>
        <v>7761351</v>
      </c>
      <c r="H207" s="17" t="s">
        <v>919</v>
      </c>
      <c r="I207" s="17">
        <f t="shared" si="15"/>
        <v>7761351</v>
      </c>
    </row>
    <row r="208" spans="1:9" x14ac:dyDescent="0.3">
      <c r="A208" s="17" t="str">
        <f t="shared" si="12"/>
        <v>1010205</v>
      </c>
      <c r="B208" s="17">
        <v>101</v>
      </c>
      <c r="C208" s="17">
        <v>205</v>
      </c>
      <c r="D208" s="17" t="s">
        <v>917</v>
      </c>
      <c r="E208" s="17">
        <f t="shared" si="13"/>
        <v>7816850</v>
      </c>
      <c r="F208" s="17" t="s">
        <v>918</v>
      </c>
      <c r="G208" s="17">
        <f t="shared" si="14"/>
        <v>7816850</v>
      </c>
      <c r="H208" s="17" t="s">
        <v>919</v>
      </c>
      <c r="I208" s="17">
        <f t="shared" si="15"/>
        <v>7816850</v>
      </c>
    </row>
    <row r="209" spans="1:9" x14ac:dyDescent="0.3">
      <c r="A209" s="17" t="str">
        <f t="shared" si="12"/>
        <v>1010206</v>
      </c>
      <c r="B209" s="17">
        <v>101</v>
      </c>
      <c r="C209" s="17">
        <v>206</v>
      </c>
      <c r="D209" s="17" t="s">
        <v>917</v>
      </c>
      <c r="E209" s="17">
        <f t="shared" si="13"/>
        <v>7872472</v>
      </c>
      <c r="F209" s="17" t="s">
        <v>918</v>
      </c>
      <c r="G209" s="17">
        <f t="shared" si="14"/>
        <v>7872472</v>
      </c>
      <c r="H209" s="17" t="s">
        <v>919</v>
      </c>
      <c r="I209" s="17">
        <f t="shared" si="15"/>
        <v>7872472</v>
      </c>
    </row>
    <row r="210" spans="1:9" x14ac:dyDescent="0.3">
      <c r="A210" s="17" t="str">
        <f t="shared" si="12"/>
        <v>1010207</v>
      </c>
      <c r="B210" s="17">
        <v>101</v>
      </c>
      <c r="C210" s="17">
        <v>207</v>
      </c>
      <c r="D210" s="17" t="s">
        <v>917</v>
      </c>
      <c r="E210" s="17">
        <f t="shared" si="13"/>
        <v>7928217</v>
      </c>
      <c r="F210" s="17" t="s">
        <v>918</v>
      </c>
      <c r="G210" s="17">
        <f t="shared" si="14"/>
        <v>7928217</v>
      </c>
      <c r="H210" s="17" t="s">
        <v>919</v>
      </c>
      <c r="I210" s="17">
        <f t="shared" si="15"/>
        <v>7928217</v>
      </c>
    </row>
    <row r="211" spans="1:9" x14ac:dyDescent="0.3">
      <c r="A211" s="17" t="str">
        <f t="shared" si="12"/>
        <v>1010208</v>
      </c>
      <c r="B211" s="17">
        <v>101</v>
      </c>
      <c r="C211" s="17">
        <v>208</v>
      </c>
      <c r="D211" s="17" t="s">
        <v>917</v>
      </c>
      <c r="E211" s="17">
        <f t="shared" si="13"/>
        <v>7984083</v>
      </c>
      <c r="F211" s="17" t="s">
        <v>918</v>
      </c>
      <c r="G211" s="17">
        <f t="shared" si="14"/>
        <v>7984083</v>
      </c>
      <c r="H211" s="17" t="s">
        <v>919</v>
      </c>
      <c r="I211" s="17">
        <f t="shared" si="15"/>
        <v>7984083</v>
      </c>
    </row>
    <row r="212" spans="1:9" x14ac:dyDescent="0.3">
      <c r="A212" s="17" t="str">
        <f t="shared" si="12"/>
        <v>1010209</v>
      </c>
      <c r="B212" s="17">
        <v>101</v>
      </c>
      <c r="C212" s="17">
        <v>209</v>
      </c>
      <c r="D212" s="17" t="s">
        <v>917</v>
      </c>
      <c r="E212" s="17">
        <f t="shared" si="13"/>
        <v>8040071</v>
      </c>
      <c r="F212" s="17" t="s">
        <v>918</v>
      </c>
      <c r="G212" s="17">
        <f t="shared" si="14"/>
        <v>8040071</v>
      </c>
      <c r="H212" s="17" t="s">
        <v>919</v>
      </c>
      <c r="I212" s="17">
        <f t="shared" si="15"/>
        <v>8040071</v>
      </c>
    </row>
    <row r="213" spans="1:9" x14ac:dyDescent="0.3">
      <c r="A213" s="17" t="str">
        <f t="shared" si="12"/>
        <v>1010210</v>
      </c>
      <c r="B213" s="17">
        <v>101</v>
      </c>
      <c r="C213" s="17">
        <v>210</v>
      </c>
      <c r="D213" s="17" t="s">
        <v>917</v>
      </c>
      <c r="E213" s="17">
        <f t="shared" si="13"/>
        <v>8096180</v>
      </c>
      <c r="F213" s="17" t="s">
        <v>918</v>
      </c>
      <c r="G213" s="17">
        <f t="shared" si="14"/>
        <v>8096180</v>
      </c>
      <c r="H213" s="17" t="s">
        <v>919</v>
      </c>
      <c r="I213" s="17">
        <f t="shared" si="15"/>
        <v>8096180</v>
      </c>
    </row>
    <row r="214" spans="1:9" x14ac:dyDescent="0.3">
      <c r="A214" s="17" t="str">
        <f t="shared" si="12"/>
        <v>1010211</v>
      </c>
      <c r="B214" s="17">
        <v>101</v>
      </c>
      <c r="C214" s="17">
        <v>211</v>
      </c>
      <c r="D214" s="17" t="s">
        <v>917</v>
      </c>
      <c r="E214" s="17">
        <f t="shared" si="13"/>
        <v>8152410</v>
      </c>
      <c r="F214" s="17" t="s">
        <v>918</v>
      </c>
      <c r="G214" s="17">
        <f t="shared" si="14"/>
        <v>8152410</v>
      </c>
      <c r="H214" s="17" t="s">
        <v>919</v>
      </c>
      <c r="I214" s="17">
        <f t="shared" si="15"/>
        <v>8152410</v>
      </c>
    </row>
    <row r="215" spans="1:9" x14ac:dyDescent="0.3">
      <c r="A215" s="17" t="str">
        <f t="shared" si="12"/>
        <v>1010212</v>
      </c>
      <c r="B215" s="17">
        <v>101</v>
      </c>
      <c r="C215" s="17">
        <v>212</v>
      </c>
      <c r="D215" s="17" t="s">
        <v>917</v>
      </c>
      <c r="E215" s="17">
        <f t="shared" si="13"/>
        <v>8208761</v>
      </c>
      <c r="F215" s="17" t="s">
        <v>918</v>
      </c>
      <c r="G215" s="17">
        <f t="shared" si="14"/>
        <v>8208761</v>
      </c>
      <c r="H215" s="17" t="s">
        <v>919</v>
      </c>
      <c r="I215" s="17">
        <f t="shared" si="15"/>
        <v>8208761</v>
      </c>
    </row>
    <row r="216" spans="1:9" x14ac:dyDescent="0.3">
      <c r="A216" s="17" t="str">
        <f t="shared" si="12"/>
        <v>1010213</v>
      </c>
      <c r="B216" s="17">
        <v>101</v>
      </c>
      <c r="C216" s="17">
        <v>213</v>
      </c>
      <c r="D216" s="17" t="s">
        <v>917</v>
      </c>
      <c r="E216" s="17">
        <f t="shared" si="13"/>
        <v>8265232</v>
      </c>
      <c r="F216" s="17" t="s">
        <v>918</v>
      </c>
      <c r="G216" s="17">
        <f t="shared" si="14"/>
        <v>8265232</v>
      </c>
      <c r="H216" s="17" t="s">
        <v>919</v>
      </c>
      <c r="I216" s="17">
        <f t="shared" si="15"/>
        <v>8265232</v>
      </c>
    </row>
    <row r="217" spans="1:9" x14ac:dyDescent="0.3">
      <c r="A217" s="17" t="str">
        <f t="shared" si="12"/>
        <v>1010214</v>
      </c>
      <c r="B217" s="17">
        <v>101</v>
      </c>
      <c r="C217" s="17">
        <v>214</v>
      </c>
      <c r="D217" s="17" t="s">
        <v>917</v>
      </c>
      <c r="E217" s="17">
        <f t="shared" si="13"/>
        <v>8321823</v>
      </c>
      <c r="F217" s="17" t="s">
        <v>918</v>
      </c>
      <c r="G217" s="17">
        <f t="shared" si="14"/>
        <v>8321823</v>
      </c>
      <c r="H217" s="17" t="s">
        <v>919</v>
      </c>
      <c r="I217" s="17">
        <f t="shared" si="15"/>
        <v>8321823</v>
      </c>
    </row>
    <row r="218" spans="1:9" x14ac:dyDescent="0.3">
      <c r="A218" s="17" t="str">
        <f t="shared" si="12"/>
        <v>1010215</v>
      </c>
      <c r="B218" s="17">
        <v>101</v>
      </c>
      <c r="C218" s="17">
        <v>215</v>
      </c>
      <c r="D218" s="17" t="s">
        <v>917</v>
      </c>
      <c r="E218" s="17">
        <f t="shared" si="13"/>
        <v>8378534</v>
      </c>
      <c r="F218" s="17" t="s">
        <v>918</v>
      </c>
      <c r="G218" s="17">
        <f t="shared" si="14"/>
        <v>8378534</v>
      </c>
      <c r="H218" s="17" t="s">
        <v>919</v>
      </c>
      <c r="I218" s="17">
        <f t="shared" si="15"/>
        <v>8378534</v>
      </c>
    </row>
    <row r="219" spans="1:9" x14ac:dyDescent="0.3">
      <c r="A219" s="17" t="str">
        <f t="shared" si="12"/>
        <v>1010216</v>
      </c>
      <c r="B219" s="17">
        <v>101</v>
      </c>
      <c r="C219" s="17">
        <v>216</v>
      </c>
      <c r="D219" s="17" t="s">
        <v>917</v>
      </c>
      <c r="E219" s="17">
        <f t="shared" si="13"/>
        <v>8435364</v>
      </c>
      <c r="F219" s="17" t="s">
        <v>918</v>
      </c>
      <c r="G219" s="17">
        <f t="shared" si="14"/>
        <v>8435364</v>
      </c>
      <c r="H219" s="17" t="s">
        <v>919</v>
      </c>
      <c r="I219" s="17">
        <f t="shared" si="15"/>
        <v>8435364</v>
      </c>
    </row>
    <row r="220" spans="1:9" x14ac:dyDescent="0.3">
      <c r="A220" s="17" t="str">
        <f t="shared" si="12"/>
        <v>1010217</v>
      </c>
      <c r="B220" s="17">
        <v>101</v>
      </c>
      <c r="C220" s="17">
        <v>217</v>
      </c>
      <c r="D220" s="17" t="s">
        <v>917</v>
      </c>
      <c r="E220" s="17">
        <f t="shared" si="13"/>
        <v>8492313</v>
      </c>
      <c r="F220" s="17" t="s">
        <v>918</v>
      </c>
      <c r="G220" s="17">
        <f t="shared" si="14"/>
        <v>8492313</v>
      </c>
      <c r="H220" s="17" t="s">
        <v>919</v>
      </c>
      <c r="I220" s="17">
        <f t="shared" si="15"/>
        <v>8492313</v>
      </c>
    </row>
    <row r="221" spans="1:9" x14ac:dyDescent="0.3">
      <c r="A221" s="17" t="str">
        <f t="shared" si="12"/>
        <v>1010218</v>
      </c>
      <c r="B221" s="17">
        <v>101</v>
      </c>
      <c r="C221" s="17">
        <v>218</v>
      </c>
      <c r="D221" s="17" t="s">
        <v>917</v>
      </c>
      <c r="E221" s="17">
        <f t="shared" si="13"/>
        <v>8549381</v>
      </c>
      <c r="F221" s="17" t="s">
        <v>918</v>
      </c>
      <c r="G221" s="17">
        <f t="shared" si="14"/>
        <v>8549381</v>
      </c>
      <c r="H221" s="17" t="s">
        <v>919</v>
      </c>
      <c r="I221" s="17">
        <f t="shared" si="15"/>
        <v>8549381</v>
      </c>
    </row>
    <row r="222" spans="1:9" x14ac:dyDescent="0.3">
      <c r="A222" s="17" t="str">
        <f t="shared" si="12"/>
        <v>1010219</v>
      </c>
      <c r="B222" s="17">
        <v>101</v>
      </c>
      <c r="C222" s="17">
        <v>219</v>
      </c>
      <c r="D222" s="17" t="s">
        <v>917</v>
      </c>
      <c r="E222" s="17">
        <f t="shared" si="13"/>
        <v>8606567</v>
      </c>
      <c r="F222" s="17" t="s">
        <v>918</v>
      </c>
      <c r="G222" s="17">
        <f t="shared" si="14"/>
        <v>8606567</v>
      </c>
      <c r="H222" s="17" t="s">
        <v>919</v>
      </c>
      <c r="I222" s="17">
        <f t="shared" si="15"/>
        <v>8606567</v>
      </c>
    </row>
    <row r="223" spans="1:9" x14ac:dyDescent="0.3">
      <c r="A223" s="17" t="str">
        <f t="shared" si="12"/>
        <v>1010220</v>
      </c>
      <c r="B223" s="17">
        <v>101</v>
      </c>
      <c r="C223" s="17">
        <v>220</v>
      </c>
      <c r="D223" s="17" t="s">
        <v>917</v>
      </c>
      <c r="E223" s="17">
        <f t="shared" si="13"/>
        <v>8663872</v>
      </c>
      <c r="F223" s="17" t="s">
        <v>918</v>
      </c>
      <c r="G223" s="17">
        <f t="shared" si="14"/>
        <v>8663872</v>
      </c>
      <c r="H223" s="17" t="s">
        <v>919</v>
      </c>
      <c r="I223" s="17">
        <f t="shared" si="15"/>
        <v>8663872</v>
      </c>
    </row>
    <row r="224" spans="1:9" x14ac:dyDescent="0.3">
      <c r="A224" s="17" t="str">
        <f t="shared" si="12"/>
        <v>1010221</v>
      </c>
      <c r="B224" s="17">
        <v>101</v>
      </c>
      <c r="C224" s="17">
        <v>221</v>
      </c>
      <c r="D224" s="17" t="s">
        <v>917</v>
      </c>
      <c r="E224" s="17">
        <f t="shared" si="13"/>
        <v>8721294</v>
      </c>
      <c r="F224" s="17" t="s">
        <v>918</v>
      </c>
      <c r="G224" s="17">
        <f t="shared" si="14"/>
        <v>8721294</v>
      </c>
      <c r="H224" s="17" t="s">
        <v>919</v>
      </c>
      <c r="I224" s="17">
        <f t="shared" si="15"/>
        <v>8721294</v>
      </c>
    </row>
    <row r="225" spans="1:9" x14ac:dyDescent="0.3">
      <c r="A225" s="17" t="str">
        <f t="shared" si="12"/>
        <v>1010222</v>
      </c>
      <c r="B225" s="17">
        <v>101</v>
      </c>
      <c r="C225" s="17">
        <v>222</v>
      </c>
      <c r="D225" s="17" t="s">
        <v>917</v>
      </c>
      <c r="E225" s="17">
        <f t="shared" si="13"/>
        <v>8778834</v>
      </c>
      <c r="F225" s="17" t="s">
        <v>918</v>
      </c>
      <c r="G225" s="17">
        <f t="shared" si="14"/>
        <v>8778834</v>
      </c>
      <c r="H225" s="17" t="s">
        <v>919</v>
      </c>
      <c r="I225" s="17">
        <f t="shared" si="15"/>
        <v>8778834</v>
      </c>
    </row>
    <row r="226" spans="1:9" x14ac:dyDescent="0.3">
      <c r="A226" s="17" t="str">
        <f t="shared" si="12"/>
        <v>1010223</v>
      </c>
      <c r="B226" s="17">
        <v>101</v>
      </c>
      <c r="C226" s="17">
        <v>223</v>
      </c>
      <c r="D226" s="17" t="s">
        <v>917</v>
      </c>
      <c r="E226" s="17">
        <f t="shared" si="13"/>
        <v>8836491</v>
      </c>
      <c r="F226" s="17" t="s">
        <v>918</v>
      </c>
      <c r="G226" s="17">
        <f t="shared" si="14"/>
        <v>8836491</v>
      </c>
      <c r="H226" s="17" t="s">
        <v>919</v>
      </c>
      <c r="I226" s="17">
        <f t="shared" si="15"/>
        <v>8836491</v>
      </c>
    </row>
    <row r="227" spans="1:9" x14ac:dyDescent="0.3">
      <c r="A227" s="17" t="str">
        <f t="shared" si="12"/>
        <v>1010224</v>
      </c>
      <c r="B227" s="17">
        <v>101</v>
      </c>
      <c r="C227" s="17">
        <v>224</v>
      </c>
      <c r="D227" s="17" t="s">
        <v>917</v>
      </c>
      <c r="E227" s="17">
        <f t="shared" si="13"/>
        <v>8894266</v>
      </c>
      <c r="F227" s="17" t="s">
        <v>918</v>
      </c>
      <c r="G227" s="17">
        <f t="shared" si="14"/>
        <v>8894266</v>
      </c>
      <c r="H227" s="17" t="s">
        <v>919</v>
      </c>
      <c r="I227" s="17">
        <f t="shared" si="15"/>
        <v>8894266</v>
      </c>
    </row>
    <row r="228" spans="1:9" x14ac:dyDescent="0.3">
      <c r="A228" s="17" t="str">
        <f t="shared" si="12"/>
        <v>1010225</v>
      </c>
      <c r="B228" s="17">
        <v>101</v>
      </c>
      <c r="C228" s="17">
        <v>225</v>
      </c>
      <c r="D228" s="17" t="s">
        <v>917</v>
      </c>
      <c r="E228" s="17">
        <f t="shared" si="13"/>
        <v>8952157</v>
      </c>
      <c r="F228" s="17" t="s">
        <v>918</v>
      </c>
      <c r="G228" s="17">
        <f t="shared" si="14"/>
        <v>8952157</v>
      </c>
      <c r="H228" s="17" t="s">
        <v>919</v>
      </c>
      <c r="I228" s="17">
        <f t="shared" si="15"/>
        <v>8952157</v>
      </c>
    </row>
    <row r="229" spans="1:9" x14ac:dyDescent="0.3">
      <c r="A229" s="17" t="str">
        <f t="shared" si="12"/>
        <v>1010226</v>
      </c>
      <c r="B229" s="17">
        <v>101</v>
      </c>
      <c r="C229" s="17">
        <v>226</v>
      </c>
      <c r="D229" s="17" t="s">
        <v>917</v>
      </c>
      <c r="E229" s="17">
        <f t="shared" si="13"/>
        <v>9010164</v>
      </c>
      <c r="F229" s="17" t="s">
        <v>918</v>
      </c>
      <c r="G229" s="17">
        <f t="shared" si="14"/>
        <v>9010164</v>
      </c>
      <c r="H229" s="17" t="s">
        <v>919</v>
      </c>
      <c r="I229" s="17">
        <f t="shared" si="15"/>
        <v>9010164</v>
      </c>
    </row>
    <row r="230" spans="1:9" x14ac:dyDescent="0.3">
      <c r="A230" s="17" t="str">
        <f t="shared" si="12"/>
        <v>1010227</v>
      </c>
      <c r="B230" s="17">
        <v>101</v>
      </c>
      <c r="C230" s="17">
        <v>227</v>
      </c>
      <c r="D230" s="17" t="s">
        <v>917</v>
      </c>
      <c r="E230" s="17">
        <f t="shared" si="13"/>
        <v>9068288</v>
      </c>
      <c r="F230" s="17" t="s">
        <v>918</v>
      </c>
      <c r="G230" s="17">
        <f t="shared" si="14"/>
        <v>9068288</v>
      </c>
      <c r="H230" s="17" t="s">
        <v>919</v>
      </c>
      <c r="I230" s="17">
        <f t="shared" si="15"/>
        <v>9068288</v>
      </c>
    </row>
    <row r="231" spans="1:9" x14ac:dyDescent="0.3">
      <c r="A231" s="17" t="str">
        <f t="shared" si="12"/>
        <v>1010228</v>
      </c>
      <c r="B231" s="17">
        <v>101</v>
      </c>
      <c r="C231" s="17">
        <v>228</v>
      </c>
      <c r="D231" s="17" t="s">
        <v>917</v>
      </c>
      <c r="E231" s="17">
        <f t="shared" si="13"/>
        <v>9126527</v>
      </c>
      <c r="F231" s="17" t="s">
        <v>918</v>
      </c>
      <c r="G231" s="17">
        <f t="shared" si="14"/>
        <v>9126527</v>
      </c>
      <c r="H231" s="17" t="s">
        <v>919</v>
      </c>
      <c r="I231" s="17">
        <f t="shared" si="15"/>
        <v>9126527</v>
      </c>
    </row>
    <row r="232" spans="1:9" x14ac:dyDescent="0.3">
      <c r="A232" s="17" t="str">
        <f t="shared" si="12"/>
        <v>1010229</v>
      </c>
      <c r="B232" s="17">
        <v>101</v>
      </c>
      <c r="C232" s="17">
        <v>229</v>
      </c>
      <c r="D232" s="17" t="s">
        <v>917</v>
      </c>
      <c r="E232" s="17">
        <f t="shared" si="13"/>
        <v>9184882</v>
      </c>
      <c r="F232" s="17" t="s">
        <v>918</v>
      </c>
      <c r="G232" s="17">
        <f t="shared" si="14"/>
        <v>9184882</v>
      </c>
      <c r="H232" s="17" t="s">
        <v>919</v>
      </c>
      <c r="I232" s="17">
        <f t="shared" si="15"/>
        <v>9184882</v>
      </c>
    </row>
    <row r="233" spans="1:9" x14ac:dyDescent="0.3">
      <c r="A233" s="17" t="str">
        <f t="shared" si="12"/>
        <v>1010230</v>
      </c>
      <c r="B233" s="17">
        <v>101</v>
      </c>
      <c r="C233" s="17">
        <v>230</v>
      </c>
      <c r="D233" s="17" t="s">
        <v>917</v>
      </c>
      <c r="E233" s="17">
        <f t="shared" si="13"/>
        <v>9243352</v>
      </c>
      <c r="F233" s="17" t="s">
        <v>918</v>
      </c>
      <c r="G233" s="17">
        <f t="shared" si="14"/>
        <v>9243352</v>
      </c>
      <c r="H233" s="17" t="s">
        <v>919</v>
      </c>
      <c r="I233" s="17">
        <f t="shared" si="15"/>
        <v>9243352</v>
      </c>
    </row>
    <row r="234" spans="1:9" x14ac:dyDescent="0.3">
      <c r="A234" s="17" t="str">
        <f t="shared" si="12"/>
        <v>1010231</v>
      </c>
      <c r="B234" s="17">
        <v>101</v>
      </c>
      <c r="C234" s="17">
        <v>231</v>
      </c>
      <c r="D234" s="17" t="s">
        <v>917</v>
      </c>
      <c r="E234" s="17">
        <f t="shared" si="13"/>
        <v>9301937</v>
      </c>
      <c r="F234" s="17" t="s">
        <v>918</v>
      </c>
      <c r="G234" s="17">
        <f t="shared" si="14"/>
        <v>9301937</v>
      </c>
      <c r="H234" s="17" t="s">
        <v>919</v>
      </c>
      <c r="I234" s="17">
        <f t="shared" si="15"/>
        <v>9301937</v>
      </c>
    </row>
    <row r="235" spans="1:9" x14ac:dyDescent="0.3">
      <c r="A235" s="17" t="str">
        <f t="shared" si="12"/>
        <v>1010232</v>
      </c>
      <c r="B235" s="17">
        <v>101</v>
      </c>
      <c r="C235" s="17">
        <v>232</v>
      </c>
      <c r="D235" s="17" t="s">
        <v>917</v>
      </c>
      <c r="E235" s="17">
        <f t="shared" si="13"/>
        <v>9360637</v>
      </c>
      <c r="F235" s="17" t="s">
        <v>918</v>
      </c>
      <c r="G235" s="17">
        <f t="shared" si="14"/>
        <v>9360637</v>
      </c>
      <c r="H235" s="17" t="s">
        <v>919</v>
      </c>
      <c r="I235" s="17">
        <f t="shared" si="15"/>
        <v>9360637</v>
      </c>
    </row>
    <row r="236" spans="1:9" x14ac:dyDescent="0.3">
      <c r="A236" s="17" t="str">
        <f t="shared" si="12"/>
        <v>1010233</v>
      </c>
      <c r="B236" s="17">
        <v>101</v>
      </c>
      <c r="C236" s="17">
        <v>233</v>
      </c>
      <c r="D236" s="17" t="s">
        <v>917</v>
      </c>
      <c r="E236" s="17">
        <f t="shared" si="13"/>
        <v>9419452</v>
      </c>
      <c r="F236" s="17" t="s">
        <v>918</v>
      </c>
      <c r="G236" s="17">
        <f t="shared" si="14"/>
        <v>9419452</v>
      </c>
      <c r="H236" s="17" t="s">
        <v>919</v>
      </c>
      <c r="I236" s="17">
        <f t="shared" si="15"/>
        <v>9419452</v>
      </c>
    </row>
    <row r="237" spans="1:9" x14ac:dyDescent="0.3">
      <c r="A237" s="17" t="str">
        <f t="shared" si="12"/>
        <v>1010234</v>
      </c>
      <c r="B237" s="17">
        <v>101</v>
      </c>
      <c r="C237" s="17">
        <v>234</v>
      </c>
      <c r="D237" s="17" t="s">
        <v>917</v>
      </c>
      <c r="E237" s="17">
        <f t="shared" si="13"/>
        <v>9478380</v>
      </c>
      <c r="F237" s="17" t="s">
        <v>918</v>
      </c>
      <c r="G237" s="17">
        <f t="shared" si="14"/>
        <v>9478380</v>
      </c>
      <c r="H237" s="17" t="s">
        <v>919</v>
      </c>
      <c r="I237" s="17">
        <f t="shared" si="15"/>
        <v>9478380</v>
      </c>
    </row>
    <row r="238" spans="1:9" x14ac:dyDescent="0.3">
      <c r="A238" s="17" t="str">
        <f t="shared" si="12"/>
        <v>1010235</v>
      </c>
      <c r="B238" s="17">
        <v>101</v>
      </c>
      <c r="C238" s="17">
        <v>235</v>
      </c>
      <c r="D238" s="17" t="s">
        <v>917</v>
      </c>
      <c r="E238" s="17">
        <f t="shared" si="13"/>
        <v>9537423</v>
      </c>
      <c r="F238" s="17" t="s">
        <v>918</v>
      </c>
      <c r="G238" s="17">
        <f t="shared" si="14"/>
        <v>9537423</v>
      </c>
      <c r="H238" s="17" t="s">
        <v>919</v>
      </c>
      <c r="I238" s="17">
        <f t="shared" si="15"/>
        <v>9537423</v>
      </c>
    </row>
    <row r="239" spans="1:9" x14ac:dyDescent="0.3">
      <c r="A239" s="17" t="str">
        <f t="shared" si="12"/>
        <v>1010236</v>
      </c>
      <c r="B239" s="17">
        <v>101</v>
      </c>
      <c r="C239" s="17">
        <v>236</v>
      </c>
      <c r="D239" s="17" t="s">
        <v>917</v>
      </c>
      <c r="E239" s="17">
        <f t="shared" si="13"/>
        <v>9596579</v>
      </c>
      <c r="F239" s="17" t="s">
        <v>918</v>
      </c>
      <c r="G239" s="17">
        <f t="shared" si="14"/>
        <v>9596579</v>
      </c>
      <c r="H239" s="17" t="s">
        <v>919</v>
      </c>
      <c r="I239" s="17">
        <f t="shared" si="15"/>
        <v>9596579</v>
      </c>
    </row>
    <row r="240" spans="1:9" x14ac:dyDescent="0.3">
      <c r="A240" s="17" t="str">
        <f t="shared" si="12"/>
        <v>1010237</v>
      </c>
      <c r="B240" s="17">
        <v>101</v>
      </c>
      <c r="C240" s="17">
        <v>237</v>
      </c>
      <c r="D240" s="17" t="s">
        <v>917</v>
      </c>
      <c r="E240" s="17">
        <f t="shared" si="13"/>
        <v>9655849</v>
      </c>
      <c r="F240" s="17" t="s">
        <v>918</v>
      </c>
      <c r="G240" s="17">
        <f t="shared" si="14"/>
        <v>9655849</v>
      </c>
      <c r="H240" s="17" t="s">
        <v>919</v>
      </c>
      <c r="I240" s="17">
        <f t="shared" si="15"/>
        <v>9655849</v>
      </c>
    </row>
    <row r="241" spans="1:9" x14ac:dyDescent="0.3">
      <c r="A241" s="17" t="str">
        <f t="shared" si="12"/>
        <v>1010238</v>
      </c>
      <c r="B241" s="17">
        <v>101</v>
      </c>
      <c r="C241" s="17">
        <v>238</v>
      </c>
      <c r="D241" s="17" t="s">
        <v>917</v>
      </c>
      <c r="E241" s="17">
        <f t="shared" si="13"/>
        <v>9715231</v>
      </c>
      <c r="F241" s="17" t="s">
        <v>918</v>
      </c>
      <c r="G241" s="17">
        <f t="shared" si="14"/>
        <v>9715231</v>
      </c>
      <c r="H241" s="17" t="s">
        <v>919</v>
      </c>
      <c r="I241" s="17">
        <f t="shared" si="15"/>
        <v>9715231</v>
      </c>
    </row>
    <row r="242" spans="1:9" x14ac:dyDescent="0.3">
      <c r="A242" s="17" t="str">
        <f t="shared" si="12"/>
        <v>1010239</v>
      </c>
      <c r="B242" s="17">
        <v>101</v>
      </c>
      <c r="C242" s="17">
        <v>239</v>
      </c>
      <c r="D242" s="17" t="s">
        <v>917</v>
      </c>
      <c r="E242" s="17">
        <f t="shared" si="13"/>
        <v>9774727</v>
      </c>
      <c r="F242" s="17" t="s">
        <v>918</v>
      </c>
      <c r="G242" s="17">
        <f t="shared" si="14"/>
        <v>9774727</v>
      </c>
      <c r="H242" s="17" t="s">
        <v>919</v>
      </c>
      <c r="I242" s="17">
        <f t="shared" si="15"/>
        <v>9774727</v>
      </c>
    </row>
    <row r="243" spans="1:9" x14ac:dyDescent="0.3">
      <c r="A243" s="17" t="str">
        <f t="shared" si="12"/>
        <v>1010240</v>
      </c>
      <c r="B243" s="17">
        <v>101</v>
      </c>
      <c r="C243" s="17">
        <v>240</v>
      </c>
      <c r="D243" s="17" t="s">
        <v>917</v>
      </c>
      <c r="E243" s="17">
        <f t="shared" si="13"/>
        <v>9834335</v>
      </c>
      <c r="F243" s="17" t="s">
        <v>918</v>
      </c>
      <c r="G243" s="17">
        <f t="shared" si="14"/>
        <v>9834335</v>
      </c>
      <c r="H243" s="17" t="s">
        <v>919</v>
      </c>
      <c r="I243" s="17">
        <f t="shared" si="15"/>
        <v>9834335</v>
      </c>
    </row>
    <row r="244" spans="1:9" x14ac:dyDescent="0.3">
      <c r="A244" s="17" t="str">
        <f t="shared" si="12"/>
        <v>1010241</v>
      </c>
      <c r="B244" s="17">
        <v>101</v>
      </c>
      <c r="C244" s="17">
        <v>241</v>
      </c>
      <c r="D244" s="17" t="s">
        <v>917</v>
      </c>
      <c r="E244" s="17">
        <f t="shared" si="13"/>
        <v>9894056</v>
      </c>
      <c r="F244" s="17" t="s">
        <v>918</v>
      </c>
      <c r="G244" s="17">
        <f t="shared" si="14"/>
        <v>9894056</v>
      </c>
      <c r="H244" s="17" t="s">
        <v>919</v>
      </c>
      <c r="I244" s="17">
        <f t="shared" si="15"/>
        <v>9894056</v>
      </c>
    </row>
    <row r="245" spans="1:9" x14ac:dyDescent="0.3">
      <c r="A245" s="17" t="str">
        <f t="shared" si="12"/>
        <v>1010242</v>
      </c>
      <c r="B245" s="17">
        <v>101</v>
      </c>
      <c r="C245" s="17">
        <v>242</v>
      </c>
      <c r="D245" s="17" t="s">
        <v>917</v>
      </c>
      <c r="E245" s="17">
        <f t="shared" si="13"/>
        <v>9953888</v>
      </c>
      <c r="F245" s="17" t="s">
        <v>918</v>
      </c>
      <c r="G245" s="17">
        <f t="shared" si="14"/>
        <v>9953888</v>
      </c>
      <c r="H245" s="17" t="s">
        <v>919</v>
      </c>
      <c r="I245" s="17">
        <f t="shared" si="15"/>
        <v>9953888</v>
      </c>
    </row>
    <row r="246" spans="1:9" x14ac:dyDescent="0.3">
      <c r="A246" s="17" t="str">
        <f t="shared" si="12"/>
        <v>1010243</v>
      </c>
      <c r="B246" s="17">
        <v>101</v>
      </c>
      <c r="C246" s="17">
        <v>243</v>
      </c>
      <c r="D246" s="17" t="s">
        <v>917</v>
      </c>
      <c r="E246" s="17">
        <f t="shared" si="13"/>
        <v>10013833</v>
      </c>
      <c r="F246" s="17" t="s">
        <v>918</v>
      </c>
      <c r="G246" s="17">
        <f t="shared" si="14"/>
        <v>10013833</v>
      </c>
      <c r="H246" s="17" t="s">
        <v>919</v>
      </c>
      <c r="I246" s="17">
        <f t="shared" si="15"/>
        <v>10013833</v>
      </c>
    </row>
    <row r="247" spans="1:9" x14ac:dyDescent="0.3">
      <c r="A247" s="17" t="str">
        <f t="shared" si="12"/>
        <v>1010244</v>
      </c>
      <c r="B247" s="17">
        <v>101</v>
      </c>
      <c r="C247" s="17">
        <v>244</v>
      </c>
      <c r="D247" s="17" t="s">
        <v>917</v>
      </c>
      <c r="E247" s="17">
        <f t="shared" si="13"/>
        <v>10073889</v>
      </c>
      <c r="F247" s="17" t="s">
        <v>918</v>
      </c>
      <c r="G247" s="17">
        <f t="shared" si="14"/>
        <v>10073889</v>
      </c>
      <c r="H247" s="17" t="s">
        <v>919</v>
      </c>
      <c r="I247" s="17">
        <f t="shared" si="15"/>
        <v>10073889</v>
      </c>
    </row>
    <row r="248" spans="1:9" x14ac:dyDescent="0.3">
      <c r="A248" s="17" t="str">
        <f t="shared" si="12"/>
        <v>1010245</v>
      </c>
      <c r="B248" s="17">
        <v>101</v>
      </c>
      <c r="C248" s="17">
        <v>245</v>
      </c>
      <c r="D248" s="17" t="s">
        <v>917</v>
      </c>
      <c r="E248" s="17">
        <f t="shared" si="13"/>
        <v>10134056</v>
      </c>
      <c r="F248" s="17" t="s">
        <v>918</v>
      </c>
      <c r="G248" s="17">
        <f t="shared" si="14"/>
        <v>10134056</v>
      </c>
      <c r="H248" s="17" t="s">
        <v>919</v>
      </c>
      <c r="I248" s="17">
        <f t="shared" si="15"/>
        <v>10134056</v>
      </c>
    </row>
    <row r="249" spans="1:9" x14ac:dyDescent="0.3">
      <c r="A249" s="17" t="str">
        <f t="shared" si="12"/>
        <v>1010246</v>
      </c>
      <c r="B249" s="17">
        <v>101</v>
      </c>
      <c r="C249" s="17">
        <v>246</v>
      </c>
      <c r="D249" s="17" t="s">
        <v>917</v>
      </c>
      <c r="E249" s="17">
        <f t="shared" si="13"/>
        <v>10194334</v>
      </c>
      <c r="F249" s="17" t="s">
        <v>918</v>
      </c>
      <c r="G249" s="17">
        <f t="shared" si="14"/>
        <v>10194334</v>
      </c>
      <c r="H249" s="17" t="s">
        <v>919</v>
      </c>
      <c r="I249" s="17">
        <f t="shared" si="15"/>
        <v>10194334</v>
      </c>
    </row>
    <row r="250" spans="1:9" x14ac:dyDescent="0.3">
      <c r="A250" s="17" t="str">
        <f t="shared" si="12"/>
        <v>1010247</v>
      </c>
      <c r="B250" s="17">
        <v>101</v>
      </c>
      <c r="C250" s="17">
        <v>247</v>
      </c>
      <c r="D250" s="17" t="s">
        <v>917</v>
      </c>
      <c r="E250" s="17">
        <f t="shared" si="13"/>
        <v>10254723</v>
      </c>
      <c r="F250" s="17" t="s">
        <v>918</v>
      </c>
      <c r="G250" s="17">
        <f t="shared" si="14"/>
        <v>10254723</v>
      </c>
      <c r="H250" s="17" t="s">
        <v>919</v>
      </c>
      <c r="I250" s="17">
        <f t="shared" si="15"/>
        <v>10254723</v>
      </c>
    </row>
    <row r="251" spans="1:9" x14ac:dyDescent="0.3">
      <c r="A251" s="17" t="str">
        <f t="shared" si="12"/>
        <v>1010248</v>
      </c>
      <c r="B251" s="17">
        <v>101</v>
      </c>
      <c r="C251" s="17">
        <v>248</v>
      </c>
      <c r="D251" s="17" t="s">
        <v>917</v>
      </c>
      <c r="E251" s="17">
        <f t="shared" si="13"/>
        <v>10315223</v>
      </c>
      <c r="F251" s="17" t="s">
        <v>918</v>
      </c>
      <c r="G251" s="17">
        <f t="shared" si="14"/>
        <v>10315223</v>
      </c>
      <c r="H251" s="17" t="s">
        <v>919</v>
      </c>
      <c r="I251" s="17">
        <f t="shared" si="15"/>
        <v>10315223</v>
      </c>
    </row>
    <row r="252" spans="1:9" x14ac:dyDescent="0.3">
      <c r="A252" s="17" t="str">
        <f t="shared" si="12"/>
        <v>1010249</v>
      </c>
      <c r="B252" s="17">
        <v>101</v>
      </c>
      <c r="C252" s="17">
        <v>249</v>
      </c>
      <c r="D252" s="17" t="s">
        <v>917</v>
      </c>
      <c r="E252" s="17">
        <f t="shared" si="13"/>
        <v>10375833</v>
      </c>
      <c r="F252" s="17" t="s">
        <v>918</v>
      </c>
      <c r="G252" s="17">
        <f t="shared" si="14"/>
        <v>10375833</v>
      </c>
      <c r="H252" s="17" t="s">
        <v>919</v>
      </c>
      <c r="I252" s="17">
        <f t="shared" si="15"/>
        <v>10375833</v>
      </c>
    </row>
    <row r="253" spans="1:9" x14ac:dyDescent="0.3">
      <c r="A253" s="17" t="str">
        <f t="shared" si="12"/>
        <v>1010250</v>
      </c>
      <c r="B253" s="17">
        <v>101</v>
      </c>
      <c r="C253" s="17">
        <v>250</v>
      </c>
      <c r="D253" s="17" t="s">
        <v>917</v>
      </c>
      <c r="E253" s="17">
        <f t="shared" si="13"/>
        <v>10436553</v>
      </c>
      <c r="F253" s="17" t="s">
        <v>918</v>
      </c>
      <c r="G253" s="17">
        <f t="shared" si="14"/>
        <v>10436553</v>
      </c>
      <c r="H253" s="17" t="s">
        <v>919</v>
      </c>
      <c r="I253" s="17">
        <f t="shared" si="15"/>
        <v>10436553</v>
      </c>
    </row>
    <row r="254" spans="1:9" x14ac:dyDescent="0.3">
      <c r="A254" s="17" t="str">
        <f t="shared" si="12"/>
        <v>1010251</v>
      </c>
      <c r="B254" s="17">
        <v>101</v>
      </c>
      <c r="C254" s="17">
        <v>251</v>
      </c>
      <c r="D254" s="17" t="s">
        <v>917</v>
      </c>
      <c r="E254" s="17">
        <f t="shared" si="13"/>
        <v>10497383</v>
      </c>
      <c r="F254" s="17" t="s">
        <v>918</v>
      </c>
      <c r="G254" s="17">
        <f t="shared" si="14"/>
        <v>10497383</v>
      </c>
      <c r="H254" s="17" t="s">
        <v>919</v>
      </c>
      <c r="I254" s="17">
        <f t="shared" si="15"/>
        <v>10497383</v>
      </c>
    </row>
    <row r="255" spans="1:9" x14ac:dyDescent="0.3">
      <c r="A255" s="17" t="str">
        <f t="shared" si="12"/>
        <v>1010252</v>
      </c>
      <c r="B255" s="17">
        <v>101</v>
      </c>
      <c r="C255" s="17">
        <v>252</v>
      </c>
      <c r="D255" s="17" t="s">
        <v>917</v>
      </c>
      <c r="E255" s="17">
        <f t="shared" si="13"/>
        <v>10558323</v>
      </c>
      <c r="F255" s="17" t="s">
        <v>918</v>
      </c>
      <c r="G255" s="17">
        <f t="shared" si="14"/>
        <v>10558323</v>
      </c>
      <c r="H255" s="17" t="s">
        <v>919</v>
      </c>
      <c r="I255" s="17">
        <f t="shared" si="15"/>
        <v>10558323</v>
      </c>
    </row>
    <row r="256" spans="1:9" x14ac:dyDescent="0.3">
      <c r="A256" s="17" t="str">
        <f t="shared" si="12"/>
        <v>1010253</v>
      </c>
      <c r="B256" s="17">
        <v>101</v>
      </c>
      <c r="C256" s="17">
        <v>253</v>
      </c>
      <c r="D256" s="17" t="s">
        <v>917</v>
      </c>
      <c r="E256" s="17">
        <f t="shared" si="13"/>
        <v>10619372</v>
      </c>
      <c r="F256" s="17" t="s">
        <v>918</v>
      </c>
      <c r="G256" s="17">
        <f t="shared" si="14"/>
        <v>10619372</v>
      </c>
      <c r="H256" s="17" t="s">
        <v>919</v>
      </c>
      <c r="I256" s="17">
        <f t="shared" si="15"/>
        <v>10619372</v>
      </c>
    </row>
    <row r="257" spans="1:9" x14ac:dyDescent="0.3">
      <c r="A257" s="17" t="str">
        <f t="shared" si="12"/>
        <v>1010254</v>
      </c>
      <c r="B257" s="17">
        <v>101</v>
      </c>
      <c r="C257" s="17">
        <v>254</v>
      </c>
      <c r="D257" s="17" t="s">
        <v>917</v>
      </c>
      <c r="E257" s="17">
        <f t="shared" si="13"/>
        <v>10680530</v>
      </c>
      <c r="F257" s="17" t="s">
        <v>918</v>
      </c>
      <c r="G257" s="17">
        <f t="shared" si="14"/>
        <v>10680530</v>
      </c>
      <c r="H257" s="17" t="s">
        <v>919</v>
      </c>
      <c r="I257" s="17">
        <f t="shared" si="15"/>
        <v>10680530</v>
      </c>
    </row>
    <row r="258" spans="1:9" x14ac:dyDescent="0.3">
      <c r="A258" s="17" t="str">
        <f t="shared" si="12"/>
        <v>1010255</v>
      </c>
      <c r="B258" s="17">
        <v>101</v>
      </c>
      <c r="C258" s="17">
        <v>255</v>
      </c>
      <c r="D258" s="17" t="s">
        <v>917</v>
      </c>
      <c r="E258" s="17">
        <f t="shared" si="13"/>
        <v>10741797</v>
      </c>
      <c r="F258" s="17" t="s">
        <v>918</v>
      </c>
      <c r="G258" s="17">
        <f t="shared" si="14"/>
        <v>10741797</v>
      </c>
      <c r="H258" s="17" t="s">
        <v>919</v>
      </c>
      <c r="I258" s="17">
        <f t="shared" si="15"/>
        <v>10741797</v>
      </c>
    </row>
    <row r="259" spans="1:9" x14ac:dyDescent="0.3">
      <c r="A259" s="17" t="str">
        <f t="shared" si="12"/>
        <v>1010256</v>
      </c>
      <c r="B259" s="17">
        <v>101</v>
      </c>
      <c r="C259" s="17">
        <v>256</v>
      </c>
      <c r="D259" s="17" t="s">
        <v>917</v>
      </c>
      <c r="E259" s="17">
        <f t="shared" si="13"/>
        <v>10803172</v>
      </c>
      <c r="F259" s="17" t="s">
        <v>918</v>
      </c>
      <c r="G259" s="17">
        <f t="shared" si="14"/>
        <v>10803172</v>
      </c>
      <c r="H259" s="17" t="s">
        <v>919</v>
      </c>
      <c r="I259" s="17">
        <f t="shared" si="15"/>
        <v>10803172</v>
      </c>
    </row>
    <row r="260" spans="1:9" x14ac:dyDescent="0.3">
      <c r="A260" s="17" t="str">
        <f t="shared" ref="A260:A323" si="16">B260&amp;TEXT(C260,"0000")</f>
        <v>1010257</v>
      </c>
      <c r="B260" s="17">
        <v>101</v>
      </c>
      <c r="C260" s="17">
        <v>257</v>
      </c>
      <c r="D260" s="17" t="s">
        <v>917</v>
      </c>
      <c r="E260" s="17">
        <f t="shared" si="13"/>
        <v>10864656</v>
      </c>
      <c r="F260" s="17" t="s">
        <v>918</v>
      </c>
      <c r="G260" s="17">
        <f t="shared" si="14"/>
        <v>10864656</v>
      </c>
      <c r="H260" s="17" t="s">
        <v>919</v>
      </c>
      <c r="I260" s="17">
        <f t="shared" si="15"/>
        <v>10864656</v>
      </c>
    </row>
    <row r="261" spans="1:9" x14ac:dyDescent="0.3">
      <c r="A261" s="17" t="str">
        <f t="shared" si="16"/>
        <v>1010258</v>
      </c>
      <c r="B261" s="17">
        <v>101</v>
      </c>
      <c r="C261" s="17">
        <v>258</v>
      </c>
      <c r="D261" s="17" t="s">
        <v>917</v>
      </c>
      <c r="E261" s="17">
        <f t="shared" si="13"/>
        <v>10926248</v>
      </c>
      <c r="F261" s="17" t="s">
        <v>918</v>
      </c>
      <c r="G261" s="17">
        <f t="shared" si="14"/>
        <v>10926248</v>
      </c>
      <c r="H261" s="17" t="s">
        <v>919</v>
      </c>
      <c r="I261" s="17">
        <f t="shared" si="15"/>
        <v>10926248</v>
      </c>
    </row>
    <row r="262" spans="1:9" x14ac:dyDescent="0.3">
      <c r="A262" s="17" t="str">
        <f t="shared" si="16"/>
        <v>1010259</v>
      </c>
      <c r="B262" s="17">
        <v>101</v>
      </c>
      <c r="C262" s="17">
        <v>259</v>
      </c>
      <c r="D262" s="17" t="s">
        <v>917</v>
      </c>
      <c r="E262" s="17">
        <f t="shared" ref="E262:E303" si="17">ROUND(E$5*($C261^E$2*E$3), 0)</f>
        <v>10987949</v>
      </c>
      <c r="F262" s="17" t="s">
        <v>918</v>
      </c>
      <c r="G262" s="17">
        <f t="shared" ref="G262:G303" si="18">ROUND(G$5*($C261^$E$2*$E$3), 0)</f>
        <v>10987949</v>
      </c>
      <c r="H262" s="17" t="s">
        <v>919</v>
      </c>
      <c r="I262" s="17">
        <f t="shared" si="15"/>
        <v>10987949</v>
      </c>
    </row>
    <row r="263" spans="1:9" x14ac:dyDescent="0.3">
      <c r="A263" s="17" t="str">
        <f t="shared" si="16"/>
        <v>1010260</v>
      </c>
      <c r="B263" s="17">
        <v>101</v>
      </c>
      <c r="C263" s="17">
        <v>260</v>
      </c>
      <c r="D263" s="17" t="s">
        <v>917</v>
      </c>
      <c r="E263" s="17">
        <f t="shared" si="17"/>
        <v>11049756</v>
      </c>
      <c r="F263" s="17" t="s">
        <v>918</v>
      </c>
      <c r="G263" s="17">
        <f t="shared" si="18"/>
        <v>11049756</v>
      </c>
      <c r="H263" s="17" t="s">
        <v>919</v>
      </c>
      <c r="I263" s="17">
        <f t="shared" ref="I263:I303" si="19">ROUND(I$5*($C262^$E$2*$E$3), 0)</f>
        <v>11049756</v>
      </c>
    </row>
    <row r="264" spans="1:9" x14ac:dyDescent="0.3">
      <c r="A264" s="17" t="str">
        <f t="shared" si="16"/>
        <v>1010261</v>
      </c>
      <c r="B264" s="17">
        <v>101</v>
      </c>
      <c r="C264" s="17">
        <v>261</v>
      </c>
      <c r="D264" s="17" t="s">
        <v>917</v>
      </c>
      <c r="E264" s="17">
        <f t="shared" si="17"/>
        <v>11111672</v>
      </c>
      <c r="F264" s="17" t="s">
        <v>918</v>
      </c>
      <c r="G264" s="17">
        <f t="shared" si="18"/>
        <v>11111672</v>
      </c>
      <c r="H264" s="17" t="s">
        <v>919</v>
      </c>
      <c r="I264" s="17">
        <f t="shared" si="19"/>
        <v>11111672</v>
      </c>
    </row>
    <row r="265" spans="1:9" x14ac:dyDescent="0.3">
      <c r="A265" s="17" t="str">
        <f t="shared" si="16"/>
        <v>1010262</v>
      </c>
      <c r="B265" s="17">
        <v>101</v>
      </c>
      <c r="C265" s="17">
        <v>262</v>
      </c>
      <c r="D265" s="17" t="s">
        <v>917</v>
      </c>
      <c r="E265" s="17">
        <f t="shared" si="17"/>
        <v>11173694</v>
      </c>
      <c r="F265" s="17" t="s">
        <v>918</v>
      </c>
      <c r="G265" s="17">
        <f t="shared" si="18"/>
        <v>11173694</v>
      </c>
      <c r="H265" s="17" t="s">
        <v>919</v>
      </c>
      <c r="I265" s="17">
        <f t="shared" si="19"/>
        <v>11173694</v>
      </c>
    </row>
    <row r="266" spans="1:9" x14ac:dyDescent="0.3">
      <c r="A266" s="17" t="str">
        <f t="shared" si="16"/>
        <v>1010263</v>
      </c>
      <c r="B266" s="17">
        <v>101</v>
      </c>
      <c r="C266" s="17">
        <v>263</v>
      </c>
      <c r="D266" s="17" t="s">
        <v>917</v>
      </c>
      <c r="E266" s="17">
        <f t="shared" si="17"/>
        <v>11235824</v>
      </c>
      <c r="F266" s="17" t="s">
        <v>918</v>
      </c>
      <c r="G266" s="17">
        <f t="shared" si="18"/>
        <v>11235824</v>
      </c>
      <c r="H266" s="17" t="s">
        <v>919</v>
      </c>
      <c r="I266" s="17">
        <f t="shared" si="19"/>
        <v>11235824</v>
      </c>
    </row>
    <row r="267" spans="1:9" x14ac:dyDescent="0.3">
      <c r="A267" s="17" t="str">
        <f t="shared" si="16"/>
        <v>1010264</v>
      </c>
      <c r="B267" s="17">
        <v>101</v>
      </c>
      <c r="C267" s="17">
        <v>264</v>
      </c>
      <c r="D267" s="17" t="s">
        <v>917</v>
      </c>
      <c r="E267" s="17">
        <f t="shared" si="17"/>
        <v>11298060</v>
      </c>
      <c r="F267" s="17" t="s">
        <v>918</v>
      </c>
      <c r="G267" s="17">
        <f t="shared" si="18"/>
        <v>11298060</v>
      </c>
      <c r="H267" s="17" t="s">
        <v>919</v>
      </c>
      <c r="I267" s="17">
        <f t="shared" si="19"/>
        <v>11298060</v>
      </c>
    </row>
    <row r="268" spans="1:9" x14ac:dyDescent="0.3">
      <c r="A268" s="17" t="str">
        <f t="shared" si="16"/>
        <v>1010265</v>
      </c>
      <c r="B268" s="17">
        <v>101</v>
      </c>
      <c r="C268" s="17">
        <v>265</v>
      </c>
      <c r="D268" s="17" t="s">
        <v>917</v>
      </c>
      <c r="E268" s="17">
        <f t="shared" si="17"/>
        <v>11360403</v>
      </c>
      <c r="F268" s="17" t="s">
        <v>918</v>
      </c>
      <c r="G268" s="17">
        <f t="shared" si="18"/>
        <v>11360403</v>
      </c>
      <c r="H268" s="17" t="s">
        <v>919</v>
      </c>
      <c r="I268" s="17">
        <f t="shared" si="19"/>
        <v>11360403</v>
      </c>
    </row>
    <row r="269" spans="1:9" x14ac:dyDescent="0.3">
      <c r="A269" s="17" t="str">
        <f t="shared" si="16"/>
        <v>1010266</v>
      </c>
      <c r="B269" s="17">
        <v>101</v>
      </c>
      <c r="C269" s="17">
        <v>266</v>
      </c>
      <c r="D269" s="17" t="s">
        <v>917</v>
      </c>
      <c r="E269" s="17">
        <f t="shared" si="17"/>
        <v>11422852</v>
      </c>
      <c r="F269" s="17" t="s">
        <v>918</v>
      </c>
      <c r="G269" s="17">
        <f t="shared" si="18"/>
        <v>11422852</v>
      </c>
      <c r="H269" s="17" t="s">
        <v>919</v>
      </c>
      <c r="I269" s="17">
        <f t="shared" si="19"/>
        <v>11422852</v>
      </c>
    </row>
    <row r="270" spans="1:9" x14ac:dyDescent="0.3">
      <c r="A270" s="17" t="str">
        <f t="shared" si="16"/>
        <v>1010267</v>
      </c>
      <c r="B270" s="17">
        <v>101</v>
      </c>
      <c r="C270" s="17">
        <v>267</v>
      </c>
      <c r="D270" s="17" t="s">
        <v>917</v>
      </c>
      <c r="E270" s="17">
        <f t="shared" si="17"/>
        <v>11485408</v>
      </c>
      <c r="F270" s="17" t="s">
        <v>918</v>
      </c>
      <c r="G270" s="17">
        <f t="shared" si="18"/>
        <v>11485408</v>
      </c>
      <c r="H270" s="17" t="s">
        <v>919</v>
      </c>
      <c r="I270" s="17">
        <f t="shared" si="19"/>
        <v>11485408</v>
      </c>
    </row>
    <row r="271" spans="1:9" x14ac:dyDescent="0.3">
      <c r="A271" s="17" t="str">
        <f t="shared" si="16"/>
        <v>1010268</v>
      </c>
      <c r="B271" s="17">
        <v>101</v>
      </c>
      <c r="C271" s="17">
        <v>268</v>
      </c>
      <c r="D271" s="17" t="s">
        <v>917</v>
      </c>
      <c r="E271" s="17">
        <f t="shared" si="17"/>
        <v>11548069</v>
      </c>
      <c r="F271" s="17" t="s">
        <v>918</v>
      </c>
      <c r="G271" s="17">
        <f t="shared" si="18"/>
        <v>11548069</v>
      </c>
      <c r="H271" s="17" t="s">
        <v>919</v>
      </c>
      <c r="I271" s="17">
        <f t="shared" si="19"/>
        <v>11548069</v>
      </c>
    </row>
    <row r="272" spans="1:9" x14ac:dyDescent="0.3">
      <c r="A272" s="17" t="str">
        <f t="shared" si="16"/>
        <v>1010269</v>
      </c>
      <c r="B272" s="17">
        <v>101</v>
      </c>
      <c r="C272" s="17">
        <v>269</v>
      </c>
      <c r="D272" s="17" t="s">
        <v>917</v>
      </c>
      <c r="E272" s="17">
        <f t="shared" si="17"/>
        <v>11610836</v>
      </c>
      <c r="F272" s="17" t="s">
        <v>918</v>
      </c>
      <c r="G272" s="17">
        <f t="shared" si="18"/>
        <v>11610836</v>
      </c>
      <c r="H272" s="17" t="s">
        <v>919</v>
      </c>
      <c r="I272" s="17">
        <f t="shared" si="19"/>
        <v>11610836</v>
      </c>
    </row>
    <row r="273" spans="1:9" x14ac:dyDescent="0.3">
      <c r="A273" s="17" t="str">
        <f t="shared" si="16"/>
        <v>1010270</v>
      </c>
      <c r="B273" s="17">
        <v>101</v>
      </c>
      <c r="C273" s="17">
        <v>270</v>
      </c>
      <c r="D273" s="17" t="s">
        <v>917</v>
      </c>
      <c r="E273" s="17">
        <f t="shared" si="17"/>
        <v>11673709</v>
      </c>
      <c r="F273" s="17" t="s">
        <v>918</v>
      </c>
      <c r="G273" s="17">
        <f t="shared" si="18"/>
        <v>11673709</v>
      </c>
      <c r="H273" s="17" t="s">
        <v>919</v>
      </c>
      <c r="I273" s="17">
        <f t="shared" si="19"/>
        <v>11673709</v>
      </c>
    </row>
    <row r="274" spans="1:9" x14ac:dyDescent="0.3">
      <c r="A274" s="17" t="str">
        <f t="shared" si="16"/>
        <v>1010271</v>
      </c>
      <c r="B274" s="17">
        <v>101</v>
      </c>
      <c r="C274" s="17">
        <v>271</v>
      </c>
      <c r="D274" s="17" t="s">
        <v>917</v>
      </c>
      <c r="E274" s="17">
        <f t="shared" si="17"/>
        <v>11736686</v>
      </c>
      <c r="F274" s="17" t="s">
        <v>918</v>
      </c>
      <c r="G274" s="17">
        <f t="shared" si="18"/>
        <v>11736686</v>
      </c>
      <c r="H274" s="17" t="s">
        <v>919</v>
      </c>
      <c r="I274" s="17">
        <f t="shared" si="19"/>
        <v>11736686</v>
      </c>
    </row>
    <row r="275" spans="1:9" x14ac:dyDescent="0.3">
      <c r="A275" s="17" t="str">
        <f t="shared" si="16"/>
        <v>1010272</v>
      </c>
      <c r="B275" s="17">
        <v>101</v>
      </c>
      <c r="C275" s="17">
        <v>272</v>
      </c>
      <c r="D275" s="17" t="s">
        <v>917</v>
      </c>
      <c r="E275" s="17">
        <f t="shared" si="17"/>
        <v>11799769</v>
      </c>
      <c r="F275" s="17" t="s">
        <v>918</v>
      </c>
      <c r="G275" s="17">
        <f t="shared" si="18"/>
        <v>11799769</v>
      </c>
      <c r="H275" s="17" t="s">
        <v>919</v>
      </c>
      <c r="I275" s="17">
        <f t="shared" si="19"/>
        <v>11799769</v>
      </c>
    </row>
    <row r="276" spans="1:9" x14ac:dyDescent="0.3">
      <c r="A276" s="17" t="str">
        <f t="shared" si="16"/>
        <v>1010273</v>
      </c>
      <c r="B276" s="17">
        <v>101</v>
      </c>
      <c r="C276" s="17">
        <v>273</v>
      </c>
      <c r="D276" s="17" t="s">
        <v>917</v>
      </c>
      <c r="E276" s="17">
        <f t="shared" si="17"/>
        <v>11862957</v>
      </c>
      <c r="F276" s="17" t="s">
        <v>918</v>
      </c>
      <c r="G276" s="17">
        <f t="shared" si="18"/>
        <v>11862957</v>
      </c>
      <c r="H276" s="17" t="s">
        <v>919</v>
      </c>
      <c r="I276" s="17">
        <f t="shared" si="19"/>
        <v>11862957</v>
      </c>
    </row>
    <row r="277" spans="1:9" x14ac:dyDescent="0.3">
      <c r="A277" s="17" t="str">
        <f t="shared" si="16"/>
        <v>1010274</v>
      </c>
      <c r="B277" s="17">
        <v>101</v>
      </c>
      <c r="C277" s="17">
        <v>274</v>
      </c>
      <c r="D277" s="17" t="s">
        <v>917</v>
      </c>
      <c r="E277" s="17">
        <f t="shared" si="17"/>
        <v>11926249</v>
      </c>
      <c r="F277" s="17" t="s">
        <v>918</v>
      </c>
      <c r="G277" s="17">
        <f t="shared" si="18"/>
        <v>11926249</v>
      </c>
      <c r="H277" s="17" t="s">
        <v>919</v>
      </c>
      <c r="I277" s="17">
        <f t="shared" si="19"/>
        <v>11926249</v>
      </c>
    </row>
    <row r="278" spans="1:9" x14ac:dyDescent="0.3">
      <c r="A278" s="17" t="str">
        <f t="shared" si="16"/>
        <v>1010275</v>
      </c>
      <c r="B278" s="17">
        <v>101</v>
      </c>
      <c r="C278" s="17">
        <v>275</v>
      </c>
      <c r="D278" s="17" t="s">
        <v>917</v>
      </c>
      <c r="E278" s="17">
        <f t="shared" si="17"/>
        <v>11989646</v>
      </c>
      <c r="F278" s="17" t="s">
        <v>918</v>
      </c>
      <c r="G278" s="17">
        <f t="shared" si="18"/>
        <v>11989646</v>
      </c>
      <c r="H278" s="17" t="s">
        <v>919</v>
      </c>
      <c r="I278" s="17">
        <f t="shared" si="19"/>
        <v>11989646</v>
      </c>
    </row>
    <row r="279" spans="1:9" x14ac:dyDescent="0.3">
      <c r="A279" s="17" t="str">
        <f t="shared" si="16"/>
        <v>1010276</v>
      </c>
      <c r="B279" s="17">
        <v>101</v>
      </c>
      <c r="C279" s="17">
        <v>276</v>
      </c>
      <c r="D279" s="17" t="s">
        <v>917</v>
      </c>
      <c r="E279" s="17">
        <f t="shared" si="17"/>
        <v>12053147</v>
      </c>
      <c r="F279" s="17" t="s">
        <v>918</v>
      </c>
      <c r="G279" s="17">
        <f t="shared" si="18"/>
        <v>12053147</v>
      </c>
      <c r="H279" s="17" t="s">
        <v>919</v>
      </c>
      <c r="I279" s="17">
        <f t="shared" si="19"/>
        <v>12053147</v>
      </c>
    </row>
    <row r="280" spans="1:9" x14ac:dyDescent="0.3">
      <c r="A280" s="17" t="str">
        <f t="shared" si="16"/>
        <v>1010277</v>
      </c>
      <c r="B280" s="17">
        <v>101</v>
      </c>
      <c r="C280" s="17">
        <v>277</v>
      </c>
      <c r="D280" s="17" t="s">
        <v>917</v>
      </c>
      <c r="E280" s="17">
        <f t="shared" si="17"/>
        <v>12116752</v>
      </c>
      <c r="F280" s="17" t="s">
        <v>918</v>
      </c>
      <c r="G280" s="17">
        <f t="shared" si="18"/>
        <v>12116752</v>
      </c>
      <c r="H280" s="17" t="s">
        <v>919</v>
      </c>
      <c r="I280" s="17">
        <f t="shared" si="19"/>
        <v>12116752</v>
      </c>
    </row>
    <row r="281" spans="1:9" x14ac:dyDescent="0.3">
      <c r="A281" s="17" t="str">
        <f t="shared" si="16"/>
        <v>1010278</v>
      </c>
      <c r="B281" s="17">
        <v>101</v>
      </c>
      <c r="C281" s="17">
        <v>278</v>
      </c>
      <c r="D281" s="17" t="s">
        <v>917</v>
      </c>
      <c r="E281" s="17">
        <f t="shared" si="17"/>
        <v>12180461</v>
      </c>
      <c r="F281" s="17" t="s">
        <v>918</v>
      </c>
      <c r="G281" s="17">
        <f t="shared" si="18"/>
        <v>12180461</v>
      </c>
      <c r="H281" s="17" t="s">
        <v>919</v>
      </c>
      <c r="I281" s="17">
        <f t="shared" si="19"/>
        <v>12180461</v>
      </c>
    </row>
    <row r="282" spans="1:9" x14ac:dyDescent="0.3">
      <c r="A282" s="17" t="str">
        <f t="shared" si="16"/>
        <v>1010279</v>
      </c>
      <c r="B282" s="17">
        <v>101</v>
      </c>
      <c r="C282" s="17">
        <v>279</v>
      </c>
      <c r="D282" s="17" t="s">
        <v>917</v>
      </c>
      <c r="E282" s="17">
        <f t="shared" si="17"/>
        <v>12244273</v>
      </c>
      <c r="F282" s="17" t="s">
        <v>918</v>
      </c>
      <c r="G282" s="17">
        <f t="shared" si="18"/>
        <v>12244273</v>
      </c>
      <c r="H282" s="17" t="s">
        <v>919</v>
      </c>
      <c r="I282" s="17">
        <f t="shared" si="19"/>
        <v>12244273</v>
      </c>
    </row>
    <row r="283" spans="1:9" x14ac:dyDescent="0.3">
      <c r="A283" s="17" t="str">
        <f t="shared" si="16"/>
        <v>1010280</v>
      </c>
      <c r="B283" s="17">
        <v>101</v>
      </c>
      <c r="C283" s="17">
        <v>280</v>
      </c>
      <c r="D283" s="17" t="s">
        <v>917</v>
      </c>
      <c r="E283" s="17">
        <f t="shared" si="17"/>
        <v>12308189</v>
      </c>
      <c r="F283" s="17" t="s">
        <v>918</v>
      </c>
      <c r="G283" s="17">
        <f t="shared" si="18"/>
        <v>12308189</v>
      </c>
      <c r="H283" s="17" t="s">
        <v>919</v>
      </c>
      <c r="I283" s="17">
        <f t="shared" si="19"/>
        <v>12308189</v>
      </c>
    </row>
    <row r="284" spans="1:9" x14ac:dyDescent="0.3">
      <c r="A284" s="17" t="str">
        <f t="shared" si="16"/>
        <v>1010281</v>
      </c>
      <c r="B284" s="17">
        <v>101</v>
      </c>
      <c r="C284" s="17">
        <v>281</v>
      </c>
      <c r="D284" s="17" t="s">
        <v>917</v>
      </c>
      <c r="E284" s="17">
        <f t="shared" si="17"/>
        <v>12372207</v>
      </c>
      <c r="F284" s="17" t="s">
        <v>918</v>
      </c>
      <c r="G284" s="17">
        <f t="shared" si="18"/>
        <v>12372207</v>
      </c>
      <c r="H284" s="17" t="s">
        <v>919</v>
      </c>
      <c r="I284" s="17">
        <f t="shared" si="19"/>
        <v>12372207</v>
      </c>
    </row>
    <row r="285" spans="1:9" x14ac:dyDescent="0.3">
      <c r="A285" s="17" t="str">
        <f t="shared" si="16"/>
        <v>1010282</v>
      </c>
      <c r="B285" s="17">
        <v>101</v>
      </c>
      <c r="C285" s="17">
        <v>282</v>
      </c>
      <c r="D285" s="17" t="s">
        <v>917</v>
      </c>
      <c r="E285" s="17">
        <f t="shared" si="17"/>
        <v>12436329</v>
      </c>
      <c r="F285" s="17" t="s">
        <v>918</v>
      </c>
      <c r="G285" s="17">
        <f t="shared" si="18"/>
        <v>12436329</v>
      </c>
      <c r="H285" s="17" t="s">
        <v>919</v>
      </c>
      <c r="I285" s="17">
        <f t="shared" si="19"/>
        <v>12436329</v>
      </c>
    </row>
    <row r="286" spans="1:9" x14ac:dyDescent="0.3">
      <c r="A286" s="17" t="str">
        <f t="shared" si="16"/>
        <v>1010283</v>
      </c>
      <c r="B286" s="17">
        <v>101</v>
      </c>
      <c r="C286" s="17">
        <v>283</v>
      </c>
      <c r="D286" s="17" t="s">
        <v>917</v>
      </c>
      <c r="E286" s="17">
        <f t="shared" si="17"/>
        <v>12500554</v>
      </c>
      <c r="F286" s="17" t="s">
        <v>918</v>
      </c>
      <c r="G286" s="17">
        <f t="shared" si="18"/>
        <v>12500554</v>
      </c>
      <c r="H286" s="17" t="s">
        <v>919</v>
      </c>
      <c r="I286" s="17">
        <f t="shared" si="19"/>
        <v>12500554</v>
      </c>
    </row>
    <row r="287" spans="1:9" x14ac:dyDescent="0.3">
      <c r="A287" s="17" t="str">
        <f t="shared" si="16"/>
        <v>1010284</v>
      </c>
      <c r="B287" s="17">
        <v>101</v>
      </c>
      <c r="C287" s="17">
        <v>284</v>
      </c>
      <c r="D287" s="17" t="s">
        <v>917</v>
      </c>
      <c r="E287" s="17">
        <f t="shared" si="17"/>
        <v>12564881</v>
      </c>
      <c r="F287" s="17" t="s">
        <v>918</v>
      </c>
      <c r="G287" s="17">
        <f t="shared" si="18"/>
        <v>12564881</v>
      </c>
      <c r="H287" s="17" t="s">
        <v>919</v>
      </c>
      <c r="I287" s="17">
        <f t="shared" si="19"/>
        <v>12564881</v>
      </c>
    </row>
    <row r="288" spans="1:9" x14ac:dyDescent="0.3">
      <c r="A288" s="17" t="str">
        <f t="shared" si="16"/>
        <v>1010285</v>
      </c>
      <c r="B288" s="17">
        <v>101</v>
      </c>
      <c r="C288" s="17">
        <v>285</v>
      </c>
      <c r="D288" s="17" t="s">
        <v>917</v>
      </c>
      <c r="E288" s="17">
        <f t="shared" si="17"/>
        <v>12629310</v>
      </c>
      <c r="F288" s="17" t="s">
        <v>918</v>
      </c>
      <c r="G288" s="17">
        <f t="shared" si="18"/>
        <v>12629310</v>
      </c>
      <c r="H288" s="17" t="s">
        <v>919</v>
      </c>
      <c r="I288" s="17">
        <f t="shared" si="19"/>
        <v>12629310</v>
      </c>
    </row>
    <row r="289" spans="1:9" x14ac:dyDescent="0.3">
      <c r="A289" s="17" t="str">
        <f t="shared" si="16"/>
        <v>1010286</v>
      </c>
      <c r="B289" s="17">
        <v>101</v>
      </c>
      <c r="C289" s="17">
        <v>286</v>
      </c>
      <c r="D289" s="17" t="s">
        <v>917</v>
      </c>
      <c r="E289" s="17">
        <f t="shared" si="17"/>
        <v>12693842</v>
      </c>
      <c r="F289" s="17" t="s">
        <v>918</v>
      </c>
      <c r="G289" s="17">
        <f t="shared" si="18"/>
        <v>12693842</v>
      </c>
      <c r="H289" s="17" t="s">
        <v>919</v>
      </c>
      <c r="I289" s="17">
        <f t="shared" si="19"/>
        <v>12693842</v>
      </c>
    </row>
    <row r="290" spans="1:9" x14ac:dyDescent="0.3">
      <c r="A290" s="17" t="str">
        <f t="shared" si="16"/>
        <v>1010287</v>
      </c>
      <c r="B290" s="17">
        <v>101</v>
      </c>
      <c r="C290" s="17">
        <v>287</v>
      </c>
      <c r="D290" s="17" t="s">
        <v>917</v>
      </c>
      <c r="E290" s="17">
        <f t="shared" si="17"/>
        <v>12758476</v>
      </c>
      <c r="F290" s="17" t="s">
        <v>918</v>
      </c>
      <c r="G290" s="17">
        <f t="shared" si="18"/>
        <v>12758476</v>
      </c>
      <c r="H290" s="17" t="s">
        <v>919</v>
      </c>
      <c r="I290" s="17">
        <f t="shared" si="19"/>
        <v>12758476</v>
      </c>
    </row>
    <row r="291" spans="1:9" x14ac:dyDescent="0.3">
      <c r="A291" s="17" t="str">
        <f t="shared" si="16"/>
        <v>1010288</v>
      </c>
      <c r="B291" s="17">
        <v>101</v>
      </c>
      <c r="C291" s="17">
        <v>288</v>
      </c>
      <c r="D291" s="17" t="s">
        <v>917</v>
      </c>
      <c r="E291" s="17">
        <f t="shared" si="17"/>
        <v>12823211</v>
      </c>
      <c r="F291" s="17" t="s">
        <v>918</v>
      </c>
      <c r="G291" s="17">
        <f t="shared" si="18"/>
        <v>12823211</v>
      </c>
      <c r="H291" s="17" t="s">
        <v>919</v>
      </c>
      <c r="I291" s="17">
        <f t="shared" si="19"/>
        <v>12823211</v>
      </c>
    </row>
    <row r="292" spans="1:9" x14ac:dyDescent="0.3">
      <c r="A292" s="17" t="str">
        <f t="shared" si="16"/>
        <v>1010289</v>
      </c>
      <c r="B292" s="17">
        <v>101</v>
      </c>
      <c r="C292" s="17">
        <v>289</v>
      </c>
      <c r="D292" s="17" t="s">
        <v>917</v>
      </c>
      <c r="E292" s="17">
        <f t="shared" si="17"/>
        <v>12888048</v>
      </c>
      <c r="F292" s="17" t="s">
        <v>918</v>
      </c>
      <c r="G292" s="17">
        <f t="shared" si="18"/>
        <v>12888048</v>
      </c>
      <c r="H292" s="17" t="s">
        <v>919</v>
      </c>
      <c r="I292" s="17">
        <f t="shared" si="19"/>
        <v>12888048</v>
      </c>
    </row>
    <row r="293" spans="1:9" x14ac:dyDescent="0.3">
      <c r="A293" s="17" t="str">
        <f t="shared" si="16"/>
        <v>1010290</v>
      </c>
      <c r="B293" s="17">
        <v>101</v>
      </c>
      <c r="C293" s="17">
        <v>290</v>
      </c>
      <c r="D293" s="17" t="s">
        <v>917</v>
      </c>
      <c r="E293" s="17">
        <f t="shared" si="17"/>
        <v>12952987</v>
      </c>
      <c r="F293" s="17" t="s">
        <v>918</v>
      </c>
      <c r="G293" s="17">
        <f t="shared" si="18"/>
        <v>12952987</v>
      </c>
      <c r="H293" s="17" t="s">
        <v>919</v>
      </c>
      <c r="I293" s="17">
        <f t="shared" si="19"/>
        <v>12952987</v>
      </c>
    </row>
    <row r="294" spans="1:9" x14ac:dyDescent="0.3">
      <c r="A294" s="17" t="str">
        <f t="shared" si="16"/>
        <v>1010291</v>
      </c>
      <c r="B294" s="17">
        <v>101</v>
      </c>
      <c r="C294" s="17">
        <v>291</v>
      </c>
      <c r="D294" s="17" t="s">
        <v>917</v>
      </c>
      <c r="E294" s="17">
        <f t="shared" si="17"/>
        <v>13018026</v>
      </c>
      <c r="F294" s="17" t="s">
        <v>918</v>
      </c>
      <c r="G294" s="17">
        <f t="shared" si="18"/>
        <v>13018026</v>
      </c>
      <c r="H294" s="17" t="s">
        <v>919</v>
      </c>
      <c r="I294" s="17">
        <f t="shared" si="19"/>
        <v>13018026</v>
      </c>
    </row>
    <row r="295" spans="1:9" x14ac:dyDescent="0.3">
      <c r="A295" s="17" t="str">
        <f t="shared" si="16"/>
        <v>1010292</v>
      </c>
      <c r="B295" s="17">
        <v>101</v>
      </c>
      <c r="C295" s="17">
        <v>292</v>
      </c>
      <c r="D295" s="17" t="s">
        <v>917</v>
      </c>
      <c r="E295" s="17">
        <f t="shared" si="17"/>
        <v>13083167</v>
      </c>
      <c r="F295" s="17" t="s">
        <v>918</v>
      </c>
      <c r="G295" s="17">
        <f t="shared" si="18"/>
        <v>13083167</v>
      </c>
      <c r="H295" s="17" t="s">
        <v>919</v>
      </c>
      <c r="I295" s="17">
        <f t="shared" si="19"/>
        <v>13083167</v>
      </c>
    </row>
    <row r="296" spans="1:9" x14ac:dyDescent="0.3">
      <c r="A296" s="17" t="str">
        <f t="shared" si="16"/>
        <v>1010293</v>
      </c>
      <c r="B296" s="17">
        <v>101</v>
      </c>
      <c r="C296" s="17">
        <v>293</v>
      </c>
      <c r="D296" s="17" t="s">
        <v>917</v>
      </c>
      <c r="E296" s="17">
        <f t="shared" si="17"/>
        <v>13148408</v>
      </c>
      <c r="F296" s="17" t="s">
        <v>918</v>
      </c>
      <c r="G296" s="17">
        <f t="shared" si="18"/>
        <v>13148408</v>
      </c>
      <c r="H296" s="17" t="s">
        <v>919</v>
      </c>
      <c r="I296" s="17">
        <f t="shared" si="19"/>
        <v>13148408</v>
      </c>
    </row>
    <row r="297" spans="1:9" x14ac:dyDescent="0.3">
      <c r="A297" s="17" t="str">
        <f t="shared" si="16"/>
        <v>1010294</v>
      </c>
      <c r="B297" s="17">
        <v>101</v>
      </c>
      <c r="C297" s="17">
        <v>294</v>
      </c>
      <c r="D297" s="17" t="s">
        <v>917</v>
      </c>
      <c r="E297" s="17">
        <f t="shared" si="17"/>
        <v>13213750</v>
      </c>
      <c r="F297" s="17" t="s">
        <v>918</v>
      </c>
      <c r="G297" s="17">
        <f t="shared" si="18"/>
        <v>13213750</v>
      </c>
      <c r="H297" s="17" t="s">
        <v>919</v>
      </c>
      <c r="I297" s="17">
        <f t="shared" si="19"/>
        <v>13213750</v>
      </c>
    </row>
    <row r="298" spans="1:9" x14ac:dyDescent="0.3">
      <c r="A298" s="17" t="str">
        <f t="shared" si="16"/>
        <v>1010295</v>
      </c>
      <c r="B298" s="17">
        <v>101</v>
      </c>
      <c r="C298" s="17">
        <v>295</v>
      </c>
      <c r="D298" s="17" t="s">
        <v>917</v>
      </c>
      <c r="E298" s="17">
        <f t="shared" si="17"/>
        <v>13279193</v>
      </c>
      <c r="F298" s="17" t="s">
        <v>918</v>
      </c>
      <c r="G298" s="17">
        <f t="shared" si="18"/>
        <v>13279193</v>
      </c>
      <c r="H298" s="17" t="s">
        <v>919</v>
      </c>
      <c r="I298" s="17">
        <f t="shared" si="19"/>
        <v>13279193</v>
      </c>
    </row>
    <row r="299" spans="1:9" x14ac:dyDescent="0.3">
      <c r="A299" s="17" t="str">
        <f t="shared" si="16"/>
        <v>1010296</v>
      </c>
      <c r="B299" s="17">
        <v>101</v>
      </c>
      <c r="C299" s="17">
        <v>296</v>
      </c>
      <c r="D299" s="17" t="s">
        <v>917</v>
      </c>
      <c r="E299" s="17">
        <f t="shared" si="17"/>
        <v>13344735</v>
      </c>
      <c r="F299" s="17" t="s">
        <v>918</v>
      </c>
      <c r="G299" s="17">
        <f t="shared" si="18"/>
        <v>13344735</v>
      </c>
      <c r="H299" s="17" t="s">
        <v>919</v>
      </c>
      <c r="I299" s="17">
        <f t="shared" si="19"/>
        <v>13344735</v>
      </c>
    </row>
    <row r="300" spans="1:9" x14ac:dyDescent="0.3">
      <c r="A300" s="17" t="str">
        <f t="shared" si="16"/>
        <v>1010297</v>
      </c>
      <c r="B300" s="17">
        <v>101</v>
      </c>
      <c r="C300" s="17">
        <v>297</v>
      </c>
      <c r="D300" s="17" t="s">
        <v>917</v>
      </c>
      <c r="E300" s="17">
        <f t="shared" si="17"/>
        <v>13410378</v>
      </c>
      <c r="F300" s="17" t="s">
        <v>918</v>
      </c>
      <c r="G300" s="17">
        <f t="shared" si="18"/>
        <v>13410378</v>
      </c>
      <c r="H300" s="17" t="s">
        <v>919</v>
      </c>
      <c r="I300" s="17">
        <f t="shared" si="19"/>
        <v>13410378</v>
      </c>
    </row>
    <row r="301" spans="1:9" x14ac:dyDescent="0.3">
      <c r="A301" s="17" t="str">
        <f t="shared" si="16"/>
        <v>1010298</v>
      </c>
      <c r="B301" s="17">
        <v>101</v>
      </c>
      <c r="C301" s="17">
        <v>298</v>
      </c>
      <c r="D301" s="17" t="s">
        <v>917</v>
      </c>
      <c r="E301" s="17">
        <f t="shared" si="17"/>
        <v>13476121</v>
      </c>
      <c r="F301" s="17" t="s">
        <v>918</v>
      </c>
      <c r="G301" s="17">
        <f t="shared" si="18"/>
        <v>13476121</v>
      </c>
      <c r="H301" s="17" t="s">
        <v>919</v>
      </c>
      <c r="I301" s="17">
        <f t="shared" si="19"/>
        <v>13476121</v>
      </c>
    </row>
    <row r="302" spans="1:9" x14ac:dyDescent="0.3">
      <c r="A302" s="17" t="str">
        <f t="shared" si="16"/>
        <v>1010299</v>
      </c>
      <c r="B302" s="17">
        <v>101</v>
      </c>
      <c r="C302" s="17">
        <v>299</v>
      </c>
      <c r="D302" s="17" t="s">
        <v>917</v>
      </c>
      <c r="E302" s="17">
        <f t="shared" si="17"/>
        <v>13541963</v>
      </c>
      <c r="F302" s="17" t="s">
        <v>918</v>
      </c>
      <c r="G302" s="17">
        <f t="shared" si="18"/>
        <v>13541963</v>
      </c>
      <c r="H302" s="17" t="s">
        <v>919</v>
      </c>
      <c r="I302" s="17">
        <f t="shared" si="19"/>
        <v>13541963</v>
      </c>
    </row>
    <row r="303" spans="1:9" x14ac:dyDescent="0.3">
      <c r="A303" s="17" t="str">
        <f t="shared" si="16"/>
        <v>1010300</v>
      </c>
      <c r="B303" s="17">
        <v>101</v>
      </c>
      <c r="C303" s="17">
        <v>300</v>
      </c>
      <c r="D303" s="17" t="s">
        <v>917</v>
      </c>
      <c r="E303" s="17">
        <f t="shared" si="17"/>
        <v>13607905</v>
      </c>
      <c r="F303" s="17" t="s">
        <v>918</v>
      </c>
      <c r="G303" s="17">
        <f t="shared" si="18"/>
        <v>13607905</v>
      </c>
      <c r="H303" s="17" t="s">
        <v>919</v>
      </c>
      <c r="I303" s="17">
        <f t="shared" si="19"/>
        <v>13607905</v>
      </c>
    </row>
    <row r="304" spans="1:9" x14ac:dyDescent="0.3">
      <c r="A304" s="17" t="str">
        <f t="shared" si="16"/>
        <v>1020001</v>
      </c>
      <c r="B304" s="17">
        <v>102</v>
      </c>
      <c r="C304" s="17">
        <v>1</v>
      </c>
      <c r="D304" s="17" t="s">
        <v>917</v>
      </c>
      <c r="E304" s="17">
        <v>0</v>
      </c>
      <c r="F304" s="17" t="s">
        <v>918</v>
      </c>
      <c r="G304" s="17">
        <v>0</v>
      </c>
      <c r="H304" s="17" t="s">
        <v>919</v>
      </c>
      <c r="I304" s="17">
        <v>0</v>
      </c>
    </row>
    <row r="305" spans="1:9" x14ac:dyDescent="0.3">
      <c r="A305" s="17" t="str">
        <f t="shared" si="16"/>
        <v>1020002</v>
      </c>
      <c r="B305" s="17">
        <v>102</v>
      </c>
      <c r="C305" s="17">
        <v>2</v>
      </c>
      <c r="D305" s="17" t="s">
        <v>917</v>
      </c>
      <c r="E305" s="17">
        <v>4000</v>
      </c>
      <c r="F305" s="17" t="s">
        <v>918</v>
      </c>
      <c r="G305" s="17">
        <v>4000</v>
      </c>
      <c r="H305" s="17" t="s">
        <v>919</v>
      </c>
      <c r="I305" s="17">
        <v>4000</v>
      </c>
    </row>
    <row r="306" spans="1:9" x14ac:dyDescent="0.3">
      <c r="A306" s="17" t="str">
        <f t="shared" si="16"/>
        <v>1020003</v>
      </c>
      <c r="B306" s="17">
        <v>102</v>
      </c>
      <c r="C306" s="17">
        <v>3</v>
      </c>
      <c r="D306" s="17" t="s">
        <v>917</v>
      </c>
      <c r="E306" s="17">
        <v>11551</v>
      </c>
      <c r="F306" s="17" t="s">
        <v>918</v>
      </c>
      <c r="G306" s="17">
        <v>11551</v>
      </c>
      <c r="H306" s="17" t="s">
        <v>919</v>
      </c>
      <c r="I306" s="17">
        <v>11551</v>
      </c>
    </row>
    <row r="307" spans="1:9" x14ac:dyDescent="0.3">
      <c r="A307" s="17" t="str">
        <f t="shared" si="16"/>
        <v>1020004</v>
      </c>
      <c r="B307" s="17">
        <v>102</v>
      </c>
      <c r="C307" s="17">
        <v>4</v>
      </c>
      <c r="D307" s="17" t="s">
        <v>917</v>
      </c>
      <c r="E307" s="17">
        <v>21481</v>
      </c>
      <c r="F307" s="17" t="s">
        <v>918</v>
      </c>
      <c r="G307" s="17">
        <v>21481</v>
      </c>
      <c r="H307" s="17" t="s">
        <v>919</v>
      </c>
      <c r="I307" s="17">
        <v>21481</v>
      </c>
    </row>
    <row r="308" spans="1:9" x14ac:dyDescent="0.3">
      <c r="A308" s="17" t="str">
        <f t="shared" si="16"/>
        <v>1020005</v>
      </c>
      <c r="B308" s="17">
        <v>102</v>
      </c>
      <c r="C308" s="17">
        <v>5</v>
      </c>
      <c r="D308" s="17" t="s">
        <v>917</v>
      </c>
      <c r="E308" s="17">
        <v>33359</v>
      </c>
      <c r="F308" s="17" t="s">
        <v>918</v>
      </c>
      <c r="G308" s="17">
        <v>33359</v>
      </c>
      <c r="H308" s="17" t="s">
        <v>919</v>
      </c>
      <c r="I308" s="17">
        <v>33359</v>
      </c>
    </row>
    <row r="309" spans="1:9" x14ac:dyDescent="0.3">
      <c r="A309" s="17" t="str">
        <f t="shared" si="16"/>
        <v>1020006</v>
      </c>
      <c r="B309" s="17">
        <v>102</v>
      </c>
      <c r="C309" s="17">
        <v>6</v>
      </c>
      <c r="D309" s="17" t="s">
        <v>917</v>
      </c>
      <c r="E309" s="17">
        <v>46934</v>
      </c>
      <c r="F309" s="17" t="s">
        <v>918</v>
      </c>
      <c r="G309" s="17">
        <v>46934</v>
      </c>
      <c r="H309" s="17" t="s">
        <v>919</v>
      </c>
      <c r="I309" s="17">
        <v>46934</v>
      </c>
    </row>
    <row r="310" spans="1:9" x14ac:dyDescent="0.3">
      <c r="A310" s="17" t="str">
        <f t="shared" si="16"/>
        <v>1020007</v>
      </c>
      <c r="B310" s="17">
        <v>102</v>
      </c>
      <c r="C310" s="17">
        <v>7</v>
      </c>
      <c r="D310" s="17" t="s">
        <v>917</v>
      </c>
      <c r="E310" s="17">
        <v>62034</v>
      </c>
      <c r="F310" s="17" t="s">
        <v>918</v>
      </c>
      <c r="G310" s="17">
        <v>62034</v>
      </c>
      <c r="H310" s="17" t="s">
        <v>919</v>
      </c>
      <c r="I310" s="17">
        <v>62034</v>
      </c>
    </row>
    <row r="311" spans="1:9" x14ac:dyDescent="0.3">
      <c r="A311" s="17" t="str">
        <f t="shared" si="16"/>
        <v>1020008</v>
      </c>
      <c r="B311" s="17">
        <v>102</v>
      </c>
      <c r="C311" s="17">
        <v>8</v>
      </c>
      <c r="D311" s="17" t="s">
        <v>917</v>
      </c>
      <c r="E311" s="17">
        <v>78534</v>
      </c>
      <c r="F311" s="17" t="s">
        <v>918</v>
      </c>
      <c r="G311" s="17">
        <v>78534</v>
      </c>
      <c r="H311" s="17" t="s">
        <v>919</v>
      </c>
      <c r="I311" s="17">
        <v>78534</v>
      </c>
    </row>
    <row r="312" spans="1:9" x14ac:dyDescent="0.3">
      <c r="A312" s="17" t="str">
        <f t="shared" si="16"/>
        <v>1020009</v>
      </c>
      <c r="B312" s="17">
        <v>102</v>
      </c>
      <c r="C312" s="17">
        <v>9</v>
      </c>
      <c r="D312" s="17" t="s">
        <v>917</v>
      </c>
      <c r="E312" s="17">
        <v>96336</v>
      </c>
      <c r="F312" s="17" t="s">
        <v>918</v>
      </c>
      <c r="G312" s="17">
        <v>96336</v>
      </c>
      <c r="H312" s="17" t="s">
        <v>919</v>
      </c>
      <c r="I312" s="17">
        <v>96336</v>
      </c>
    </row>
    <row r="313" spans="1:9" x14ac:dyDescent="0.3">
      <c r="A313" s="17" t="str">
        <f t="shared" si="16"/>
        <v>1020010</v>
      </c>
      <c r="B313" s="17">
        <v>102</v>
      </c>
      <c r="C313" s="17">
        <v>10</v>
      </c>
      <c r="D313" s="17" t="s">
        <v>917</v>
      </c>
      <c r="E313" s="17">
        <v>115359</v>
      </c>
      <c r="F313" s="17" t="s">
        <v>918</v>
      </c>
      <c r="G313" s="17">
        <v>115359</v>
      </c>
      <c r="H313" s="17" t="s">
        <v>919</v>
      </c>
      <c r="I313" s="17">
        <v>115359</v>
      </c>
    </row>
    <row r="314" spans="1:9" x14ac:dyDescent="0.3">
      <c r="A314" s="17" t="str">
        <f t="shared" si="16"/>
        <v>1020011</v>
      </c>
      <c r="B314" s="17">
        <v>102</v>
      </c>
      <c r="C314" s="17">
        <v>11</v>
      </c>
      <c r="D314" s="17" t="s">
        <v>917</v>
      </c>
      <c r="E314" s="17">
        <v>135538</v>
      </c>
      <c r="F314" s="17" t="s">
        <v>918</v>
      </c>
      <c r="G314" s="17">
        <v>135538</v>
      </c>
      <c r="H314" s="17" t="s">
        <v>919</v>
      </c>
      <c r="I314" s="17">
        <v>135538</v>
      </c>
    </row>
    <row r="315" spans="1:9" x14ac:dyDescent="0.3">
      <c r="A315" s="17" t="str">
        <f t="shared" si="16"/>
        <v>1020012</v>
      </c>
      <c r="B315" s="17">
        <v>102</v>
      </c>
      <c r="C315" s="17">
        <v>12</v>
      </c>
      <c r="D315" s="17" t="s">
        <v>917</v>
      </c>
      <c r="E315" s="17">
        <v>156816</v>
      </c>
      <c r="F315" s="17" t="s">
        <v>918</v>
      </c>
      <c r="G315" s="17">
        <v>156816</v>
      </c>
      <c r="H315" s="17" t="s">
        <v>919</v>
      </c>
      <c r="I315" s="17">
        <v>156816</v>
      </c>
    </row>
    <row r="316" spans="1:9" x14ac:dyDescent="0.3">
      <c r="A316" s="17" t="str">
        <f t="shared" si="16"/>
        <v>1020013</v>
      </c>
      <c r="B316" s="17">
        <v>102</v>
      </c>
      <c r="C316" s="17">
        <v>13</v>
      </c>
      <c r="D316" s="17" t="s">
        <v>917</v>
      </c>
      <c r="E316" s="17">
        <v>179146</v>
      </c>
      <c r="F316" s="17" t="s">
        <v>918</v>
      </c>
      <c r="G316" s="17">
        <v>179146</v>
      </c>
      <c r="H316" s="17" t="s">
        <v>919</v>
      </c>
      <c r="I316" s="17">
        <v>179146</v>
      </c>
    </row>
    <row r="317" spans="1:9" x14ac:dyDescent="0.3">
      <c r="A317" s="17" t="str">
        <f t="shared" si="16"/>
        <v>1020014</v>
      </c>
      <c r="B317" s="17">
        <v>102</v>
      </c>
      <c r="C317" s="17">
        <v>14</v>
      </c>
      <c r="D317" s="17" t="s">
        <v>917</v>
      </c>
      <c r="E317" s="17">
        <v>202485</v>
      </c>
      <c r="F317" s="17" t="s">
        <v>918</v>
      </c>
      <c r="G317" s="17">
        <v>202485</v>
      </c>
      <c r="H317" s="17" t="s">
        <v>919</v>
      </c>
      <c r="I317" s="17">
        <v>202485</v>
      </c>
    </row>
    <row r="318" spans="1:9" x14ac:dyDescent="0.3">
      <c r="A318" s="17" t="str">
        <f t="shared" si="16"/>
        <v>1020015</v>
      </c>
      <c r="B318" s="17">
        <v>102</v>
      </c>
      <c r="C318" s="17">
        <v>15</v>
      </c>
      <c r="D318" s="17" t="s">
        <v>917</v>
      </c>
      <c r="E318" s="17">
        <v>226796</v>
      </c>
      <c r="F318" s="17" t="s">
        <v>918</v>
      </c>
      <c r="G318" s="17">
        <v>226796</v>
      </c>
      <c r="H318" s="17" t="s">
        <v>919</v>
      </c>
      <c r="I318" s="17">
        <v>226796</v>
      </c>
    </row>
    <row r="319" spans="1:9" x14ac:dyDescent="0.3">
      <c r="A319" s="17" t="str">
        <f t="shared" si="16"/>
        <v>1020016</v>
      </c>
      <c r="B319" s="17">
        <v>102</v>
      </c>
      <c r="C319" s="17">
        <v>16</v>
      </c>
      <c r="D319" s="17" t="s">
        <v>917</v>
      </c>
      <c r="E319" s="17">
        <v>252046</v>
      </c>
      <c r="F319" s="17" t="s">
        <v>918</v>
      </c>
      <c r="G319" s="17">
        <v>252046</v>
      </c>
      <c r="H319" s="17" t="s">
        <v>919</v>
      </c>
      <c r="I319" s="17">
        <v>252046</v>
      </c>
    </row>
    <row r="320" spans="1:9" x14ac:dyDescent="0.3">
      <c r="A320" s="17" t="str">
        <f t="shared" si="16"/>
        <v>1020017</v>
      </c>
      <c r="B320" s="17">
        <v>102</v>
      </c>
      <c r="C320" s="17">
        <v>17</v>
      </c>
      <c r="D320" s="17" t="s">
        <v>917</v>
      </c>
      <c r="E320" s="17">
        <v>278204</v>
      </c>
      <c r="F320" s="17" t="s">
        <v>918</v>
      </c>
      <c r="G320" s="17">
        <v>278204</v>
      </c>
      <c r="H320" s="17" t="s">
        <v>919</v>
      </c>
      <c r="I320" s="17">
        <v>278204</v>
      </c>
    </row>
    <row r="321" spans="1:9" x14ac:dyDescent="0.3">
      <c r="A321" s="17" t="str">
        <f t="shared" si="16"/>
        <v>1020018</v>
      </c>
      <c r="B321" s="17">
        <v>102</v>
      </c>
      <c r="C321" s="17">
        <v>18</v>
      </c>
      <c r="D321" s="17" t="s">
        <v>917</v>
      </c>
      <c r="E321" s="17">
        <v>305244</v>
      </c>
      <c r="F321" s="17" t="s">
        <v>918</v>
      </c>
      <c r="G321" s="17">
        <v>305244</v>
      </c>
      <c r="H321" s="17" t="s">
        <v>919</v>
      </c>
      <c r="I321" s="17">
        <v>305244</v>
      </c>
    </row>
    <row r="322" spans="1:9" x14ac:dyDescent="0.3">
      <c r="A322" s="17" t="str">
        <f t="shared" si="16"/>
        <v>1020019</v>
      </c>
      <c r="B322" s="17">
        <v>102</v>
      </c>
      <c r="C322" s="17">
        <v>19</v>
      </c>
      <c r="D322" s="17" t="s">
        <v>917</v>
      </c>
      <c r="E322" s="17">
        <v>333140</v>
      </c>
      <c r="F322" s="17" t="s">
        <v>918</v>
      </c>
      <c r="G322" s="17">
        <v>333140</v>
      </c>
      <c r="H322" s="17" t="s">
        <v>919</v>
      </c>
      <c r="I322" s="17">
        <v>333140</v>
      </c>
    </row>
    <row r="323" spans="1:9" x14ac:dyDescent="0.3">
      <c r="A323" s="17" t="str">
        <f t="shared" si="16"/>
        <v>1020020</v>
      </c>
      <c r="B323" s="17">
        <v>102</v>
      </c>
      <c r="C323" s="17">
        <v>20</v>
      </c>
      <c r="D323" s="17" t="s">
        <v>917</v>
      </c>
      <c r="E323" s="17">
        <v>361870</v>
      </c>
      <c r="F323" s="17" t="s">
        <v>918</v>
      </c>
      <c r="G323" s="17">
        <v>361870</v>
      </c>
      <c r="H323" s="17" t="s">
        <v>919</v>
      </c>
      <c r="I323" s="17">
        <v>361870</v>
      </c>
    </row>
    <row r="324" spans="1:9" x14ac:dyDescent="0.3">
      <c r="A324" s="17" t="str">
        <f t="shared" ref="A324:A387" si="20">B324&amp;TEXT(C324,"0000")</f>
        <v>1020021</v>
      </c>
      <c r="B324" s="17">
        <v>102</v>
      </c>
      <c r="C324" s="17">
        <v>21</v>
      </c>
      <c r="D324" s="17" t="s">
        <v>917</v>
      </c>
      <c r="E324" s="17">
        <v>391414</v>
      </c>
      <c r="F324" s="17" t="s">
        <v>918</v>
      </c>
      <c r="G324" s="17">
        <v>391414</v>
      </c>
      <c r="H324" s="17" t="s">
        <v>919</v>
      </c>
      <c r="I324" s="17">
        <v>391414</v>
      </c>
    </row>
    <row r="325" spans="1:9" x14ac:dyDescent="0.3">
      <c r="A325" s="17" t="str">
        <f t="shared" si="20"/>
        <v>1020022</v>
      </c>
      <c r="B325" s="17">
        <v>102</v>
      </c>
      <c r="C325" s="17">
        <v>22</v>
      </c>
      <c r="D325" s="17" t="s">
        <v>917</v>
      </c>
      <c r="E325" s="17">
        <v>421750</v>
      </c>
      <c r="F325" s="17" t="s">
        <v>918</v>
      </c>
      <c r="G325" s="17">
        <v>421750</v>
      </c>
      <c r="H325" s="17" t="s">
        <v>919</v>
      </c>
      <c r="I325" s="17">
        <v>421750</v>
      </c>
    </row>
    <row r="326" spans="1:9" x14ac:dyDescent="0.3">
      <c r="A326" s="17" t="str">
        <f t="shared" si="20"/>
        <v>1020023</v>
      </c>
      <c r="B326" s="17">
        <v>102</v>
      </c>
      <c r="C326" s="17">
        <v>23</v>
      </c>
      <c r="D326" s="17" t="s">
        <v>917</v>
      </c>
      <c r="E326" s="17">
        <v>452863</v>
      </c>
      <c r="F326" s="17" t="s">
        <v>918</v>
      </c>
      <c r="G326" s="17">
        <v>452863</v>
      </c>
      <c r="H326" s="17" t="s">
        <v>919</v>
      </c>
      <c r="I326" s="17">
        <v>452863</v>
      </c>
    </row>
    <row r="327" spans="1:9" x14ac:dyDescent="0.3">
      <c r="A327" s="17" t="str">
        <f t="shared" si="20"/>
        <v>1020024</v>
      </c>
      <c r="B327" s="17">
        <v>102</v>
      </c>
      <c r="C327" s="17">
        <v>24</v>
      </c>
      <c r="D327" s="17" t="s">
        <v>917</v>
      </c>
      <c r="E327" s="17">
        <v>484734</v>
      </c>
      <c r="F327" s="17" t="s">
        <v>918</v>
      </c>
      <c r="G327" s="17">
        <v>484734</v>
      </c>
      <c r="H327" s="17" t="s">
        <v>919</v>
      </c>
      <c r="I327" s="17">
        <v>484734</v>
      </c>
    </row>
    <row r="328" spans="1:9" x14ac:dyDescent="0.3">
      <c r="A328" s="17" t="str">
        <f t="shared" si="20"/>
        <v>1020025</v>
      </c>
      <c r="B328" s="17">
        <v>102</v>
      </c>
      <c r="C328" s="17">
        <v>25</v>
      </c>
      <c r="D328" s="17" t="s">
        <v>917</v>
      </c>
      <c r="E328" s="17">
        <v>517348</v>
      </c>
      <c r="F328" s="17" t="s">
        <v>918</v>
      </c>
      <c r="G328" s="17">
        <v>517348</v>
      </c>
      <c r="H328" s="17" t="s">
        <v>919</v>
      </c>
      <c r="I328" s="17">
        <v>517348</v>
      </c>
    </row>
    <row r="329" spans="1:9" x14ac:dyDescent="0.3">
      <c r="A329" s="17" t="str">
        <f t="shared" si="20"/>
        <v>1020026</v>
      </c>
      <c r="B329" s="17">
        <v>102</v>
      </c>
      <c r="C329" s="17">
        <v>26</v>
      </c>
      <c r="D329" s="17" t="s">
        <v>917</v>
      </c>
      <c r="E329" s="17">
        <v>550691</v>
      </c>
      <c r="F329" s="17" t="s">
        <v>918</v>
      </c>
      <c r="G329" s="17">
        <v>550691</v>
      </c>
      <c r="H329" s="17" t="s">
        <v>919</v>
      </c>
      <c r="I329" s="17">
        <v>550691</v>
      </c>
    </row>
    <row r="330" spans="1:9" x14ac:dyDescent="0.3">
      <c r="A330" s="17" t="str">
        <f t="shared" si="20"/>
        <v>1020027</v>
      </c>
      <c r="B330" s="17">
        <v>102</v>
      </c>
      <c r="C330" s="17">
        <v>27</v>
      </c>
      <c r="D330" s="17" t="s">
        <v>917</v>
      </c>
      <c r="E330" s="17">
        <v>584749</v>
      </c>
      <c r="F330" s="17" t="s">
        <v>918</v>
      </c>
      <c r="G330" s="17">
        <v>584749</v>
      </c>
      <c r="H330" s="17" t="s">
        <v>919</v>
      </c>
      <c r="I330" s="17">
        <v>584749</v>
      </c>
    </row>
    <row r="331" spans="1:9" x14ac:dyDescent="0.3">
      <c r="A331" s="17" t="str">
        <f t="shared" si="20"/>
        <v>1020028</v>
      </c>
      <c r="B331" s="17">
        <v>102</v>
      </c>
      <c r="C331" s="17">
        <v>28</v>
      </c>
      <c r="D331" s="17" t="s">
        <v>917</v>
      </c>
      <c r="E331" s="17">
        <v>619507</v>
      </c>
      <c r="F331" s="17" t="s">
        <v>918</v>
      </c>
      <c r="G331" s="17">
        <v>619507</v>
      </c>
      <c r="H331" s="17" t="s">
        <v>919</v>
      </c>
      <c r="I331" s="17">
        <v>619507</v>
      </c>
    </row>
    <row r="332" spans="1:9" x14ac:dyDescent="0.3">
      <c r="A332" s="17" t="str">
        <f t="shared" si="20"/>
        <v>1020029</v>
      </c>
      <c r="B332" s="17">
        <v>102</v>
      </c>
      <c r="C332" s="17">
        <v>29</v>
      </c>
      <c r="D332" s="17" t="s">
        <v>917</v>
      </c>
      <c r="E332" s="17">
        <v>654955</v>
      </c>
      <c r="F332" s="17" t="s">
        <v>918</v>
      </c>
      <c r="G332" s="17">
        <v>654955</v>
      </c>
      <c r="H332" s="17" t="s">
        <v>919</v>
      </c>
      <c r="I332" s="17">
        <v>654955</v>
      </c>
    </row>
    <row r="333" spans="1:9" x14ac:dyDescent="0.3">
      <c r="A333" s="17" t="str">
        <f t="shared" si="20"/>
        <v>1020030</v>
      </c>
      <c r="B333" s="17">
        <v>102</v>
      </c>
      <c r="C333" s="17">
        <v>30</v>
      </c>
      <c r="D333" s="17" t="s">
        <v>917</v>
      </c>
      <c r="E333" s="17">
        <v>691081</v>
      </c>
      <c r="F333" s="17" t="s">
        <v>918</v>
      </c>
      <c r="G333" s="17">
        <v>691081</v>
      </c>
      <c r="H333" s="17" t="s">
        <v>919</v>
      </c>
      <c r="I333" s="17">
        <v>691081</v>
      </c>
    </row>
    <row r="334" spans="1:9" x14ac:dyDescent="0.3">
      <c r="A334" s="17" t="str">
        <f t="shared" si="20"/>
        <v>1020031</v>
      </c>
      <c r="B334" s="17">
        <v>102</v>
      </c>
      <c r="C334" s="17">
        <v>31</v>
      </c>
      <c r="D334" s="17" t="s">
        <v>917</v>
      </c>
      <c r="E334" s="17">
        <v>727873</v>
      </c>
      <c r="F334" s="17" t="s">
        <v>918</v>
      </c>
      <c r="G334" s="17">
        <v>727873</v>
      </c>
      <c r="H334" s="17" t="s">
        <v>919</v>
      </c>
      <c r="I334" s="17">
        <v>727873</v>
      </c>
    </row>
    <row r="335" spans="1:9" x14ac:dyDescent="0.3">
      <c r="A335" s="17" t="str">
        <f t="shared" si="20"/>
        <v>1020032</v>
      </c>
      <c r="B335" s="17">
        <v>102</v>
      </c>
      <c r="C335" s="17">
        <v>32</v>
      </c>
      <c r="D335" s="17" t="s">
        <v>917</v>
      </c>
      <c r="E335" s="17">
        <v>765321</v>
      </c>
      <c r="F335" s="17" t="s">
        <v>918</v>
      </c>
      <c r="G335" s="17">
        <v>765321</v>
      </c>
      <c r="H335" s="17" t="s">
        <v>919</v>
      </c>
      <c r="I335" s="17">
        <v>765321</v>
      </c>
    </row>
    <row r="336" spans="1:9" x14ac:dyDescent="0.3">
      <c r="A336" s="17" t="str">
        <f t="shared" si="20"/>
        <v>1020033</v>
      </c>
      <c r="B336" s="17">
        <v>102</v>
      </c>
      <c r="C336" s="17">
        <v>33</v>
      </c>
      <c r="D336" s="17" t="s">
        <v>917</v>
      </c>
      <c r="E336" s="17">
        <v>803414</v>
      </c>
      <c r="F336" s="17" t="s">
        <v>918</v>
      </c>
      <c r="G336" s="17">
        <v>803414</v>
      </c>
      <c r="H336" s="17" t="s">
        <v>919</v>
      </c>
      <c r="I336" s="17">
        <v>803414</v>
      </c>
    </row>
    <row r="337" spans="1:9" x14ac:dyDescent="0.3">
      <c r="A337" s="17" t="str">
        <f t="shared" si="20"/>
        <v>1020034</v>
      </c>
      <c r="B337" s="17">
        <v>102</v>
      </c>
      <c r="C337" s="17">
        <v>34</v>
      </c>
      <c r="D337" s="17" t="s">
        <v>917</v>
      </c>
      <c r="E337" s="17">
        <v>842144</v>
      </c>
      <c r="F337" s="17" t="s">
        <v>918</v>
      </c>
      <c r="G337" s="17">
        <v>842144</v>
      </c>
      <c r="H337" s="17" t="s">
        <v>919</v>
      </c>
      <c r="I337" s="17">
        <v>842144</v>
      </c>
    </row>
    <row r="338" spans="1:9" x14ac:dyDescent="0.3">
      <c r="A338" s="17" t="str">
        <f t="shared" si="20"/>
        <v>1020035</v>
      </c>
      <c r="B338" s="17">
        <v>102</v>
      </c>
      <c r="C338" s="17">
        <v>35</v>
      </c>
      <c r="D338" s="17" t="s">
        <v>917</v>
      </c>
      <c r="E338" s="17">
        <v>881501</v>
      </c>
      <c r="F338" s="17" t="s">
        <v>918</v>
      </c>
      <c r="G338" s="17">
        <v>881501</v>
      </c>
      <c r="H338" s="17" t="s">
        <v>919</v>
      </c>
      <c r="I338" s="17">
        <v>881501</v>
      </c>
    </row>
    <row r="339" spans="1:9" x14ac:dyDescent="0.3">
      <c r="A339" s="17" t="str">
        <f t="shared" si="20"/>
        <v>1020036</v>
      </c>
      <c r="B339" s="17">
        <v>102</v>
      </c>
      <c r="C339" s="17">
        <v>36</v>
      </c>
      <c r="D339" s="17" t="s">
        <v>917</v>
      </c>
      <c r="E339" s="17">
        <v>921476</v>
      </c>
      <c r="F339" s="17" t="s">
        <v>918</v>
      </c>
      <c r="G339" s="17">
        <v>921476</v>
      </c>
      <c r="H339" s="17" t="s">
        <v>919</v>
      </c>
      <c r="I339" s="17">
        <v>921476</v>
      </c>
    </row>
    <row r="340" spans="1:9" x14ac:dyDescent="0.3">
      <c r="A340" s="17" t="str">
        <f t="shared" si="20"/>
        <v>1020037</v>
      </c>
      <c r="B340" s="17">
        <v>102</v>
      </c>
      <c r="C340" s="17">
        <v>37</v>
      </c>
      <c r="D340" s="17" t="s">
        <v>917</v>
      </c>
      <c r="E340" s="17">
        <v>962061</v>
      </c>
      <c r="F340" s="17" t="s">
        <v>918</v>
      </c>
      <c r="G340" s="17">
        <v>962061</v>
      </c>
      <c r="H340" s="17" t="s">
        <v>919</v>
      </c>
      <c r="I340" s="17">
        <v>962061</v>
      </c>
    </row>
    <row r="341" spans="1:9" x14ac:dyDescent="0.3">
      <c r="A341" s="17" t="str">
        <f t="shared" si="20"/>
        <v>1020038</v>
      </c>
      <c r="B341" s="17">
        <v>102</v>
      </c>
      <c r="C341" s="17">
        <v>38</v>
      </c>
      <c r="D341" s="17" t="s">
        <v>917</v>
      </c>
      <c r="E341" s="17">
        <v>1003249</v>
      </c>
      <c r="F341" s="17" t="s">
        <v>918</v>
      </c>
      <c r="G341" s="17">
        <v>1003249</v>
      </c>
      <c r="H341" s="17" t="s">
        <v>919</v>
      </c>
      <c r="I341" s="17">
        <v>1003249</v>
      </c>
    </row>
    <row r="342" spans="1:9" x14ac:dyDescent="0.3">
      <c r="A342" s="17" t="str">
        <f t="shared" si="20"/>
        <v>1020039</v>
      </c>
      <c r="B342" s="17">
        <v>102</v>
      </c>
      <c r="C342" s="17">
        <v>39</v>
      </c>
      <c r="D342" s="17" t="s">
        <v>917</v>
      </c>
      <c r="E342" s="17">
        <v>1045030</v>
      </c>
      <c r="F342" s="17" t="s">
        <v>918</v>
      </c>
      <c r="G342" s="17">
        <v>1045030</v>
      </c>
      <c r="H342" s="17" t="s">
        <v>919</v>
      </c>
      <c r="I342" s="17">
        <v>1045030</v>
      </c>
    </row>
    <row r="343" spans="1:9" x14ac:dyDescent="0.3">
      <c r="A343" s="17" t="str">
        <f t="shared" si="20"/>
        <v>1020040</v>
      </c>
      <c r="B343" s="17">
        <v>102</v>
      </c>
      <c r="C343" s="17">
        <v>40</v>
      </c>
      <c r="D343" s="17" t="s">
        <v>917</v>
      </c>
      <c r="E343" s="17">
        <v>1087399</v>
      </c>
      <c r="F343" s="17" t="s">
        <v>918</v>
      </c>
      <c r="G343" s="17">
        <v>1087399</v>
      </c>
      <c r="H343" s="17" t="s">
        <v>919</v>
      </c>
      <c r="I343" s="17">
        <v>1087399</v>
      </c>
    </row>
    <row r="344" spans="1:9" x14ac:dyDescent="0.3">
      <c r="A344" s="17" t="str">
        <f t="shared" si="20"/>
        <v>1020041</v>
      </c>
      <c r="B344" s="17">
        <v>102</v>
      </c>
      <c r="C344" s="17">
        <v>41</v>
      </c>
      <c r="D344" s="17" t="s">
        <v>917</v>
      </c>
      <c r="E344" s="17">
        <v>1130347</v>
      </c>
      <c r="F344" s="17" t="s">
        <v>918</v>
      </c>
      <c r="G344" s="17">
        <v>1130347</v>
      </c>
      <c r="H344" s="17" t="s">
        <v>919</v>
      </c>
      <c r="I344" s="17">
        <v>1130347</v>
      </c>
    </row>
    <row r="345" spans="1:9" x14ac:dyDescent="0.3">
      <c r="A345" s="17" t="str">
        <f t="shared" si="20"/>
        <v>1020042</v>
      </c>
      <c r="B345" s="17">
        <v>102</v>
      </c>
      <c r="C345" s="17">
        <v>42</v>
      </c>
      <c r="D345" s="17" t="s">
        <v>917</v>
      </c>
      <c r="E345" s="17">
        <v>1173868</v>
      </c>
      <c r="F345" s="17" t="s">
        <v>918</v>
      </c>
      <c r="G345" s="17">
        <v>1173868</v>
      </c>
      <c r="H345" s="17" t="s">
        <v>919</v>
      </c>
      <c r="I345" s="17">
        <v>1173868</v>
      </c>
    </row>
    <row r="346" spans="1:9" x14ac:dyDescent="0.3">
      <c r="A346" s="17" t="str">
        <f t="shared" si="20"/>
        <v>1020043</v>
      </c>
      <c r="B346" s="17">
        <v>102</v>
      </c>
      <c r="C346" s="17">
        <v>43</v>
      </c>
      <c r="D346" s="17" t="s">
        <v>917</v>
      </c>
      <c r="E346" s="17">
        <v>1217955</v>
      </c>
      <c r="F346" s="17" t="s">
        <v>918</v>
      </c>
      <c r="G346" s="17">
        <v>1217955</v>
      </c>
      <c r="H346" s="17" t="s">
        <v>919</v>
      </c>
      <c r="I346" s="17">
        <v>1217955</v>
      </c>
    </row>
    <row r="347" spans="1:9" x14ac:dyDescent="0.3">
      <c r="A347" s="17" t="str">
        <f t="shared" si="20"/>
        <v>1020044</v>
      </c>
      <c r="B347" s="17">
        <v>102</v>
      </c>
      <c r="C347" s="17">
        <v>44</v>
      </c>
      <c r="D347" s="17" t="s">
        <v>917</v>
      </c>
      <c r="E347" s="17">
        <v>1262603</v>
      </c>
      <c r="F347" s="17" t="s">
        <v>918</v>
      </c>
      <c r="G347" s="17">
        <v>1262603</v>
      </c>
      <c r="H347" s="17" t="s">
        <v>919</v>
      </c>
      <c r="I347" s="17">
        <v>1262603</v>
      </c>
    </row>
    <row r="348" spans="1:9" x14ac:dyDescent="0.3">
      <c r="A348" s="17" t="str">
        <f t="shared" si="20"/>
        <v>1020045</v>
      </c>
      <c r="B348" s="17">
        <v>102</v>
      </c>
      <c r="C348" s="17">
        <v>45</v>
      </c>
      <c r="D348" s="17" t="s">
        <v>917</v>
      </c>
      <c r="E348" s="17">
        <v>1307804</v>
      </c>
      <c r="F348" s="17" t="s">
        <v>918</v>
      </c>
      <c r="G348" s="17">
        <v>1307804</v>
      </c>
      <c r="H348" s="17" t="s">
        <v>919</v>
      </c>
      <c r="I348" s="17">
        <v>1307804</v>
      </c>
    </row>
    <row r="349" spans="1:9" x14ac:dyDescent="0.3">
      <c r="A349" s="17" t="str">
        <f t="shared" si="20"/>
        <v>1020046</v>
      </c>
      <c r="B349" s="17">
        <v>102</v>
      </c>
      <c r="C349" s="17">
        <v>46</v>
      </c>
      <c r="D349" s="17" t="s">
        <v>917</v>
      </c>
      <c r="E349" s="17">
        <v>1353553</v>
      </c>
      <c r="F349" s="17" t="s">
        <v>918</v>
      </c>
      <c r="G349" s="17">
        <v>1353553</v>
      </c>
      <c r="H349" s="17" t="s">
        <v>919</v>
      </c>
      <c r="I349" s="17">
        <v>1353553</v>
      </c>
    </row>
    <row r="350" spans="1:9" x14ac:dyDescent="0.3">
      <c r="A350" s="17" t="str">
        <f t="shared" si="20"/>
        <v>1020047</v>
      </c>
      <c r="B350" s="17">
        <v>102</v>
      </c>
      <c r="C350" s="17">
        <v>47</v>
      </c>
      <c r="D350" s="17" t="s">
        <v>917</v>
      </c>
      <c r="E350" s="17">
        <v>1399843</v>
      </c>
      <c r="F350" s="17" t="s">
        <v>918</v>
      </c>
      <c r="G350" s="17">
        <v>1399843</v>
      </c>
      <c r="H350" s="17" t="s">
        <v>919</v>
      </c>
      <c r="I350" s="17">
        <v>1399843</v>
      </c>
    </row>
    <row r="351" spans="1:9" x14ac:dyDescent="0.3">
      <c r="A351" s="17" t="str">
        <f t="shared" si="20"/>
        <v>1020048</v>
      </c>
      <c r="B351" s="17">
        <v>102</v>
      </c>
      <c r="C351" s="17">
        <v>48</v>
      </c>
      <c r="D351" s="17" t="s">
        <v>917</v>
      </c>
      <c r="E351" s="17">
        <v>1446671</v>
      </c>
      <c r="F351" s="17" t="s">
        <v>918</v>
      </c>
      <c r="G351" s="17">
        <v>1446671</v>
      </c>
      <c r="H351" s="17" t="s">
        <v>919</v>
      </c>
      <c r="I351" s="17">
        <v>1446671</v>
      </c>
    </row>
    <row r="352" spans="1:9" x14ac:dyDescent="0.3">
      <c r="A352" s="17" t="str">
        <f t="shared" si="20"/>
        <v>1020049</v>
      </c>
      <c r="B352" s="17">
        <v>102</v>
      </c>
      <c r="C352" s="17">
        <v>49</v>
      </c>
      <c r="D352" s="17" t="s">
        <v>917</v>
      </c>
      <c r="E352" s="17">
        <v>1494029</v>
      </c>
      <c r="F352" s="17" t="s">
        <v>918</v>
      </c>
      <c r="G352" s="17">
        <v>1494029</v>
      </c>
      <c r="H352" s="17" t="s">
        <v>919</v>
      </c>
      <c r="I352" s="17">
        <v>1494029</v>
      </c>
    </row>
    <row r="353" spans="1:9" x14ac:dyDescent="0.3">
      <c r="A353" s="17" t="str">
        <f t="shared" si="20"/>
        <v>1020050</v>
      </c>
      <c r="B353" s="17">
        <v>102</v>
      </c>
      <c r="C353" s="17">
        <v>50</v>
      </c>
      <c r="D353" s="17" t="s">
        <v>917</v>
      </c>
      <c r="E353" s="17">
        <v>1541913</v>
      </c>
      <c r="F353" s="17" t="s">
        <v>918</v>
      </c>
      <c r="G353" s="17">
        <v>1541913</v>
      </c>
      <c r="H353" s="17" t="s">
        <v>919</v>
      </c>
      <c r="I353" s="17">
        <v>1541913</v>
      </c>
    </row>
    <row r="354" spans="1:9" x14ac:dyDescent="0.3">
      <c r="A354" s="17" t="str">
        <f t="shared" si="20"/>
        <v>1020051</v>
      </c>
      <c r="B354" s="17">
        <v>102</v>
      </c>
      <c r="C354" s="17">
        <v>51</v>
      </c>
      <c r="D354" s="17" t="s">
        <v>917</v>
      </c>
      <c r="E354" s="17">
        <v>1590318</v>
      </c>
      <c r="F354" s="17" t="s">
        <v>918</v>
      </c>
      <c r="G354" s="17">
        <v>1590318</v>
      </c>
      <c r="H354" s="17" t="s">
        <v>919</v>
      </c>
      <c r="I354" s="17">
        <v>1590318</v>
      </c>
    </row>
    <row r="355" spans="1:9" x14ac:dyDescent="0.3">
      <c r="A355" s="17" t="str">
        <f t="shared" si="20"/>
        <v>1020052</v>
      </c>
      <c r="B355" s="17">
        <v>102</v>
      </c>
      <c r="C355" s="17">
        <v>52</v>
      </c>
      <c r="D355" s="17" t="s">
        <v>917</v>
      </c>
      <c r="E355" s="17">
        <v>1639239</v>
      </c>
      <c r="F355" s="17" t="s">
        <v>918</v>
      </c>
      <c r="G355" s="17">
        <v>1639239</v>
      </c>
      <c r="H355" s="17" t="s">
        <v>919</v>
      </c>
      <c r="I355" s="17">
        <v>1639239</v>
      </c>
    </row>
    <row r="356" spans="1:9" x14ac:dyDescent="0.3">
      <c r="A356" s="17" t="str">
        <f t="shared" si="20"/>
        <v>1020053</v>
      </c>
      <c r="B356" s="17">
        <v>102</v>
      </c>
      <c r="C356" s="17">
        <v>53</v>
      </c>
      <c r="D356" s="17" t="s">
        <v>917</v>
      </c>
      <c r="E356" s="17">
        <v>1688671</v>
      </c>
      <c r="F356" s="17" t="s">
        <v>918</v>
      </c>
      <c r="G356" s="17">
        <v>1688671</v>
      </c>
      <c r="H356" s="17" t="s">
        <v>919</v>
      </c>
      <c r="I356" s="17">
        <v>1688671</v>
      </c>
    </row>
    <row r="357" spans="1:9" x14ac:dyDescent="0.3">
      <c r="A357" s="17" t="str">
        <f t="shared" si="20"/>
        <v>1020054</v>
      </c>
      <c r="B357" s="17">
        <v>102</v>
      </c>
      <c r="C357" s="17">
        <v>54</v>
      </c>
      <c r="D357" s="17" t="s">
        <v>917</v>
      </c>
      <c r="E357" s="17">
        <v>1738610</v>
      </c>
      <c r="F357" s="17" t="s">
        <v>918</v>
      </c>
      <c r="G357" s="17">
        <v>1738610</v>
      </c>
      <c r="H357" s="17" t="s">
        <v>919</v>
      </c>
      <c r="I357" s="17">
        <v>1738610</v>
      </c>
    </row>
    <row r="358" spans="1:9" x14ac:dyDescent="0.3">
      <c r="A358" s="17" t="str">
        <f t="shared" si="20"/>
        <v>1020055</v>
      </c>
      <c r="B358" s="17">
        <v>102</v>
      </c>
      <c r="C358" s="17">
        <v>55</v>
      </c>
      <c r="D358" s="17" t="s">
        <v>917</v>
      </c>
      <c r="E358" s="17">
        <v>1789050</v>
      </c>
      <c r="F358" s="17" t="s">
        <v>918</v>
      </c>
      <c r="G358" s="17">
        <v>1789050</v>
      </c>
      <c r="H358" s="17" t="s">
        <v>919</v>
      </c>
      <c r="I358" s="17">
        <v>1789050</v>
      </c>
    </row>
    <row r="359" spans="1:9" x14ac:dyDescent="0.3">
      <c r="A359" s="17" t="str">
        <f t="shared" si="20"/>
        <v>1020056</v>
      </c>
      <c r="B359" s="17">
        <v>102</v>
      </c>
      <c r="C359" s="17">
        <v>56</v>
      </c>
      <c r="D359" s="17" t="s">
        <v>917</v>
      </c>
      <c r="E359" s="17">
        <v>1839988</v>
      </c>
      <c r="F359" s="17" t="s">
        <v>918</v>
      </c>
      <c r="G359" s="17">
        <v>1839988</v>
      </c>
      <c r="H359" s="17" t="s">
        <v>919</v>
      </c>
      <c r="I359" s="17">
        <v>1839988</v>
      </c>
    </row>
    <row r="360" spans="1:9" x14ac:dyDescent="0.3">
      <c r="A360" s="17" t="str">
        <f t="shared" si="20"/>
        <v>1020057</v>
      </c>
      <c r="B360" s="17">
        <v>102</v>
      </c>
      <c r="C360" s="17">
        <v>57</v>
      </c>
      <c r="D360" s="17" t="s">
        <v>917</v>
      </c>
      <c r="E360" s="17">
        <v>1891419</v>
      </c>
      <c r="F360" s="17" t="s">
        <v>918</v>
      </c>
      <c r="G360" s="17">
        <v>1891419</v>
      </c>
      <c r="H360" s="17" t="s">
        <v>919</v>
      </c>
      <c r="I360" s="17">
        <v>1891419</v>
      </c>
    </row>
    <row r="361" spans="1:9" x14ac:dyDescent="0.3">
      <c r="A361" s="17" t="str">
        <f t="shared" si="20"/>
        <v>1020058</v>
      </c>
      <c r="B361" s="17">
        <v>102</v>
      </c>
      <c r="C361" s="17">
        <v>58</v>
      </c>
      <c r="D361" s="17" t="s">
        <v>917</v>
      </c>
      <c r="E361" s="17">
        <v>1943339</v>
      </c>
      <c r="F361" s="17" t="s">
        <v>918</v>
      </c>
      <c r="G361" s="17">
        <v>1943339</v>
      </c>
      <c r="H361" s="17" t="s">
        <v>919</v>
      </c>
      <c r="I361" s="17">
        <v>1943339</v>
      </c>
    </row>
    <row r="362" spans="1:9" x14ac:dyDescent="0.3">
      <c r="A362" s="17" t="str">
        <f t="shared" si="20"/>
        <v>1020059</v>
      </c>
      <c r="B362" s="17">
        <v>102</v>
      </c>
      <c r="C362" s="17">
        <v>59</v>
      </c>
      <c r="D362" s="17" t="s">
        <v>917</v>
      </c>
      <c r="E362" s="17">
        <v>1995744</v>
      </c>
      <c r="F362" s="17" t="s">
        <v>918</v>
      </c>
      <c r="G362" s="17">
        <v>1995744</v>
      </c>
      <c r="H362" s="17" t="s">
        <v>919</v>
      </c>
      <c r="I362" s="17">
        <v>1995744</v>
      </c>
    </row>
    <row r="363" spans="1:9" x14ac:dyDescent="0.3">
      <c r="A363" s="17" t="str">
        <f t="shared" si="20"/>
        <v>1020060</v>
      </c>
      <c r="B363" s="17">
        <v>102</v>
      </c>
      <c r="C363" s="17">
        <v>60</v>
      </c>
      <c r="D363" s="17" t="s">
        <v>917</v>
      </c>
      <c r="E363" s="17">
        <v>2048630</v>
      </c>
      <c r="F363" s="17" t="s">
        <v>918</v>
      </c>
      <c r="G363" s="17">
        <v>2048630</v>
      </c>
      <c r="H363" s="17" t="s">
        <v>919</v>
      </c>
      <c r="I363" s="17">
        <v>2048630</v>
      </c>
    </row>
    <row r="364" spans="1:9" x14ac:dyDescent="0.3">
      <c r="A364" s="17" t="str">
        <f t="shared" si="20"/>
        <v>1020061</v>
      </c>
      <c r="B364" s="17">
        <v>102</v>
      </c>
      <c r="C364" s="17">
        <v>61</v>
      </c>
      <c r="D364" s="17" t="s">
        <v>917</v>
      </c>
      <c r="E364" s="17">
        <v>2101994</v>
      </c>
      <c r="F364" s="17" t="s">
        <v>918</v>
      </c>
      <c r="G364" s="17">
        <v>2101994</v>
      </c>
      <c r="H364" s="17" t="s">
        <v>919</v>
      </c>
      <c r="I364" s="17">
        <v>2101994</v>
      </c>
    </row>
    <row r="365" spans="1:9" x14ac:dyDescent="0.3">
      <c r="A365" s="17" t="str">
        <f t="shared" si="20"/>
        <v>1020062</v>
      </c>
      <c r="B365" s="17">
        <v>102</v>
      </c>
      <c r="C365" s="17">
        <v>62</v>
      </c>
      <c r="D365" s="17" t="s">
        <v>917</v>
      </c>
      <c r="E365" s="17">
        <v>2155831</v>
      </c>
      <c r="F365" s="17" t="s">
        <v>918</v>
      </c>
      <c r="G365" s="17">
        <v>2155831</v>
      </c>
      <c r="H365" s="17" t="s">
        <v>919</v>
      </c>
      <c r="I365" s="17">
        <v>2155831</v>
      </c>
    </row>
    <row r="366" spans="1:9" x14ac:dyDescent="0.3">
      <c r="A366" s="17" t="str">
        <f t="shared" si="20"/>
        <v>1020063</v>
      </c>
      <c r="B366" s="17">
        <v>102</v>
      </c>
      <c r="C366" s="17">
        <v>63</v>
      </c>
      <c r="D366" s="17" t="s">
        <v>917</v>
      </c>
      <c r="E366" s="17">
        <v>2210137</v>
      </c>
      <c r="F366" s="17" t="s">
        <v>918</v>
      </c>
      <c r="G366" s="17">
        <v>2210137</v>
      </c>
      <c r="H366" s="17" t="s">
        <v>919</v>
      </c>
      <c r="I366" s="17">
        <v>2210137</v>
      </c>
    </row>
    <row r="367" spans="1:9" x14ac:dyDescent="0.3">
      <c r="A367" s="17" t="str">
        <f t="shared" si="20"/>
        <v>1020064</v>
      </c>
      <c r="B367" s="17">
        <v>102</v>
      </c>
      <c r="C367" s="17">
        <v>64</v>
      </c>
      <c r="D367" s="17" t="s">
        <v>917</v>
      </c>
      <c r="E367" s="17">
        <v>2264910</v>
      </c>
      <c r="F367" s="17" t="s">
        <v>918</v>
      </c>
      <c r="G367" s="17">
        <v>2264910</v>
      </c>
      <c r="H367" s="17" t="s">
        <v>919</v>
      </c>
      <c r="I367" s="17">
        <v>2264910</v>
      </c>
    </row>
    <row r="368" spans="1:9" x14ac:dyDescent="0.3">
      <c r="A368" s="17" t="str">
        <f t="shared" si="20"/>
        <v>1020065</v>
      </c>
      <c r="B368" s="17">
        <v>102</v>
      </c>
      <c r="C368" s="17">
        <v>65</v>
      </c>
      <c r="D368" s="17" t="s">
        <v>917</v>
      </c>
      <c r="E368" s="17">
        <v>2320146</v>
      </c>
      <c r="F368" s="17" t="s">
        <v>918</v>
      </c>
      <c r="G368" s="17">
        <v>2320146</v>
      </c>
      <c r="H368" s="17" t="s">
        <v>919</v>
      </c>
      <c r="I368" s="17">
        <v>2320146</v>
      </c>
    </row>
    <row r="369" spans="1:9" x14ac:dyDescent="0.3">
      <c r="A369" s="17" t="str">
        <f t="shared" si="20"/>
        <v>1020066</v>
      </c>
      <c r="B369" s="17">
        <v>102</v>
      </c>
      <c r="C369" s="17">
        <v>66</v>
      </c>
      <c r="D369" s="17" t="s">
        <v>917</v>
      </c>
      <c r="E369" s="17">
        <v>2375841</v>
      </c>
      <c r="F369" s="17" t="s">
        <v>918</v>
      </c>
      <c r="G369" s="17">
        <v>2375841</v>
      </c>
      <c r="H369" s="17" t="s">
        <v>919</v>
      </c>
      <c r="I369" s="17">
        <v>2375841</v>
      </c>
    </row>
    <row r="370" spans="1:9" x14ac:dyDescent="0.3">
      <c r="A370" s="17" t="str">
        <f t="shared" si="20"/>
        <v>1020067</v>
      </c>
      <c r="B370" s="17">
        <v>102</v>
      </c>
      <c r="C370" s="17">
        <v>67</v>
      </c>
      <c r="D370" s="17" t="s">
        <v>917</v>
      </c>
      <c r="E370" s="17">
        <v>2431992</v>
      </c>
      <c r="F370" s="17" t="s">
        <v>918</v>
      </c>
      <c r="G370" s="17">
        <v>2431992</v>
      </c>
      <c r="H370" s="17" t="s">
        <v>919</v>
      </c>
      <c r="I370" s="17">
        <v>2431992</v>
      </c>
    </row>
    <row r="371" spans="1:9" x14ac:dyDescent="0.3">
      <c r="A371" s="17" t="str">
        <f t="shared" si="20"/>
        <v>1020068</v>
      </c>
      <c r="B371" s="17">
        <v>102</v>
      </c>
      <c r="C371" s="17">
        <v>68</v>
      </c>
      <c r="D371" s="17" t="s">
        <v>917</v>
      </c>
      <c r="E371" s="17">
        <v>2488596</v>
      </c>
      <c r="F371" s="17" t="s">
        <v>918</v>
      </c>
      <c r="G371" s="17">
        <v>2488596</v>
      </c>
      <c r="H371" s="17" t="s">
        <v>919</v>
      </c>
      <c r="I371" s="17">
        <v>2488596</v>
      </c>
    </row>
    <row r="372" spans="1:9" x14ac:dyDescent="0.3">
      <c r="A372" s="17" t="str">
        <f t="shared" si="20"/>
        <v>1020069</v>
      </c>
      <c r="B372" s="17">
        <v>102</v>
      </c>
      <c r="C372" s="17">
        <v>69</v>
      </c>
      <c r="D372" s="17" t="s">
        <v>917</v>
      </c>
      <c r="E372" s="17">
        <v>2545650</v>
      </c>
      <c r="F372" s="17" t="s">
        <v>918</v>
      </c>
      <c r="G372" s="17">
        <v>2545650</v>
      </c>
      <c r="H372" s="17" t="s">
        <v>919</v>
      </c>
      <c r="I372" s="17">
        <v>2545650</v>
      </c>
    </row>
    <row r="373" spans="1:9" x14ac:dyDescent="0.3">
      <c r="A373" s="17" t="str">
        <f t="shared" si="20"/>
        <v>1020070</v>
      </c>
      <c r="B373" s="17">
        <v>102</v>
      </c>
      <c r="C373" s="17">
        <v>70</v>
      </c>
      <c r="D373" s="17" t="s">
        <v>917</v>
      </c>
      <c r="E373" s="17">
        <v>2603149</v>
      </c>
      <c r="F373" s="17" t="s">
        <v>918</v>
      </c>
      <c r="G373" s="17">
        <v>2603149</v>
      </c>
      <c r="H373" s="17" t="s">
        <v>919</v>
      </c>
      <c r="I373" s="17">
        <v>2603149</v>
      </c>
    </row>
    <row r="374" spans="1:9" x14ac:dyDescent="0.3">
      <c r="A374" s="17" t="str">
        <f t="shared" si="20"/>
        <v>1020071</v>
      </c>
      <c r="B374" s="17">
        <v>102</v>
      </c>
      <c r="C374" s="17">
        <v>71</v>
      </c>
      <c r="D374" s="17" t="s">
        <v>917</v>
      </c>
      <c r="E374" s="17">
        <v>2661093</v>
      </c>
      <c r="F374" s="17" t="s">
        <v>918</v>
      </c>
      <c r="G374" s="17">
        <v>2661093</v>
      </c>
      <c r="H374" s="17" t="s">
        <v>919</v>
      </c>
      <c r="I374" s="17">
        <v>2661093</v>
      </c>
    </row>
    <row r="375" spans="1:9" x14ac:dyDescent="0.3">
      <c r="A375" s="17" t="str">
        <f t="shared" si="20"/>
        <v>1020072</v>
      </c>
      <c r="B375" s="17">
        <v>102</v>
      </c>
      <c r="C375" s="17">
        <v>72</v>
      </c>
      <c r="D375" s="17" t="s">
        <v>917</v>
      </c>
      <c r="E375" s="17">
        <v>2719476</v>
      </c>
      <c r="F375" s="17" t="s">
        <v>918</v>
      </c>
      <c r="G375" s="17">
        <v>2719476</v>
      </c>
      <c r="H375" s="17" t="s">
        <v>919</v>
      </c>
      <c r="I375" s="17">
        <v>2719476</v>
      </c>
    </row>
    <row r="376" spans="1:9" x14ac:dyDescent="0.3">
      <c r="A376" s="17" t="str">
        <f t="shared" si="20"/>
        <v>1020073</v>
      </c>
      <c r="B376" s="17">
        <v>102</v>
      </c>
      <c r="C376" s="17">
        <v>73</v>
      </c>
      <c r="D376" s="17" t="s">
        <v>917</v>
      </c>
      <c r="E376" s="17">
        <v>2778297</v>
      </c>
      <c r="F376" s="17" t="s">
        <v>918</v>
      </c>
      <c r="G376" s="17">
        <v>2778297</v>
      </c>
      <c r="H376" s="17" t="s">
        <v>919</v>
      </c>
      <c r="I376" s="17">
        <v>2778297</v>
      </c>
    </row>
    <row r="377" spans="1:9" x14ac:dyDescent="0.3">
      <c r="A377" s="17" t="str">
        <f t="shared" si="20"/>
        <v>1020074</v>
      </c>
      <c r="B377" s="17">
        <v>102</v>
      </c>
      <c r="C377" s="17">
        <v>74</v>
      </c>
      <c r="D377" s="17" t="s">
        <v>917</v>
      </c>
      <c r="E377" s="17">
        <v>2837553</v>
      </c>
      <c r="F377" s="17" t="s">
        <v>918</v>
      </c>
      <c r="G377" s="17">
        <v>2837553</v>
      </c>
      <c r="H377" s="17" t="s">
        <v>919</v>
      </c>
      <c r="I377" s="17">
        <v>2837553</v>
      </c>
    </row>
    <row r="378" spans="1:9" x14ac:dyDescent="0.3">
      <c r="A378" s="17" t="str">
        <f t="shared" si="20"/>
        <v>1020075</v>
      </c>
      <c r="B378" s="17">
        <v>102</v>
      </c>
      <c r="C378" s="17">
        <v>75</v>
      </c>
      <c r="D378" s="17" t="s">
        <v>917</v>
      </c>
      <c r="E378" s="17">
        <v>2897240</v>
      </c>
      <c r="F378" s="17" t="s">
        <v>918</v>
      </c>
      <c r="G378" s="17">
        <v>2897240</v>
      </c>
      <c r="H378" s="17" t="s">
        <v>919</v>
      </c>
      <c r="I378" s="17">
        <v>2897240</v>
      </c>
    </row>
    <row r="379" spans="1:9" x14ac:dyDescent="0.3">
      <c r="A379" s="17" t="str">
        <f t="shared" si="20"/>
        <v>1020076</v>
      </c>
      <c r="B379" s="17">
        <v>102</v>
      </c>
      <c r="C379" s="17">
        <v>76</v>
      </c>
      <c r="D379" s="17" t="s">
        <v>917</v>
      </c>
      <c r="E379" s="17">
        <v>2957357</v>
      </c>
      <c r="F379" s="17" t="s">
        <v>918</v>
      </c>
      <c r="G379" s="17">
        <v>2957357</v>
      </c>
      <c r="H379" s="17" t="s">
        <v>919</v>
      </c>
      <c r="I379" s="17">
        <v>2957357</v>
      </c>
    </row>
    <row r="380" spans="1:9" x14ac:dyDescent="0.3">
      <c r="A380" s="17" t="str">
        <f t="shared" si="20"/>
        <v>1020077</v>
      </c>
      <c r="B380" s="17">
        <v>102</v>
      </c>
      <c r="C380" s="17">
        <v>77</v>
      </c>
      <c r="D380" s="17" t="s">
        <v>917</v>
      </c>
      <c r="E380" s="17">
        <v>3017900</v>
      </c>
      <c r="F380" s="17" t="s">
        <v>918</v>
      </c>
      <c r="G380" s="17">
        <v>3017900</v>
      </c>
      <c r="H380" s="17" t="s">
        <v>919</v>
      </c>
      <c r="I380" s="17">
        <v>3017900</v>
      </c>
    </row>
    <row r="381" spans="1:9" x14ac:dyDescent="0.3">
      <c r="A381" s="17" t="str">
        <f t="shared" si="20"/>
        <v>1020078</v>
      </c>
      <c r="B381" s="17">
        <v>102</v>
      </c>
      <c r="C381" s="17">
        <v>78</v>
      </c>
      <c r="D381" s="17" t="s">
        <v>917</v>
      </c>
      <c r="E381" s="17">
        <v>3078866</v>
      </c>
      <c r="F381" s="17" t="s">
        <v>918</v>
      </c>
      <c r="G381" s="17">
        <v>3078866</v>
      </c>
      <c r="H381" s="17" t="s">
        <v>919</v>
      </c>
      <c r="I381" s="17">
        <v>3078866</v>
      </c>
    </row>
    <row r="382" spans="1:9" x14ac:dyDescent="0.3">
      <c r="A382" s="17" t="str">
        <f t="shared" si="20"/>
        <v>1020079</v>
      </c>
      <c r="B382" s="17">
        <v>102</v>
      </c>
      <c r="C382" s="17">
        <v>79</v>
      </c>
      <c r="D382" s="17" t="s">
        <v>917</v>
      </c>
      <c r="E382" s="17">
        <v>3140254</v>
      </c>
      <c r="F382" s="17" t="s">
        <v>918</v>
      </c>
      <c r="G382" s="17">
        <v>3140254</v>
      </c>
      <c r="H382" s="17" t="s">
        <v>919</v>
      </c>
      <c r="I382" s="17">
        <v>3140254</v>
      </c>
    </row>
    <row r="383" spans="1:9" x14ac:dyDescent="0.3">
      <c r="A383" s="17" t="str">
        <f t="shared" si="20"/>
        <v>1020080</v>
      </c>
      <c r="B383" s="17">
        <v>102</v>
      </c>
      <c r="C383" s="17">
        <v>80</v>
      </c>
      <c r="D383" s="17" t="s">
        <v>917</v>
      </c>
      <c r="E383" s="17">
        <v>3202060</v>
      </c>
      <c r="F383" s="17" t="s">
        <v>918</v>
      </c>
      <c r="G383" s="17">
        <v>3202060</v>
      </c>
      <c r="H383" s="17" t="s">
        <v>919</v>
      </c>
      <c r="I383" s="17">
        <v>3202060</v>
      </c>
    </row>
    <row r="384" spans="1:9" x14ac:dyDescent="0.3">
      <c r="A384" s="17" t="str">
        <f t="shared" si="20"/>
        <v>1020081</v>
      </c>
      <c r="B384" s="17">
        <v>102</v>
      </c>
      <c r="C384" s="17">
        <v>81</v>
      </c>
      <c r="D384" s="17" t="s">
        <v>917</v>
      </c>
      <c r="E384" s="17">
        <v>3264282</v>
      </c>
      <c r="F384" s="17" t="s">
        <v>918</v>
      </c>
      <c r="G384" s="17">
        <v>3264282</v>
      </c>
      <c r="H384" s="17" t="s">
        <v>919</v>
      </c>
      <c r="I384" s="17">
        <v>3264282</v>
      </c>
    </row>
    <row r="385" spans="1:9" x14ac:dyDescent="0.3">
      <c r="A385" s="17" t="str">
        <f t="shared" si="20"/>
        <v>1020082</v>
      </c>
      <c r="B385" s="17">
        <v>102</v>
      </c>
      <c r="C385" s="17">
        <v>82</v>
      </c>
      <c r="D385" s="17" t="s">
        <v>917</v>
      </c>
      <c r="E385" s="17">
        <v>3326918</v>
      </c>
      <c r="F385" s="17" t="s">
        <v>918</v>
      </c>
      <c r="G385" s="17">
        <v>3326918</v>
      </c>
      <c r="H385" s="17" t="s">
        <v>919</v>
      </c>
      <c r="I385" s="17">
        <v>3326918</v>
      </c>
    </row>
    <row r="386" spans="1:9" x14ac:dyDescent="0.3">
      <c r="A386" s="17" t="str">
        <f t="shared" si="20"/>
        <v>1020083</v>
      </c>
      <c r="B386" s="17">
        <v>102</v>
      </c>
      <c r="C386" s="17">
        <v>83</v>
      </c>
      <c r="D386" s="17" t="s">
        <v>917</v>
      </c>
      <c r="E386" s="17">
        <v>3389965</v>
      </c>
      <c r="F386" s="17" t="s">
        <v>918</v>
      </c>
      <c r="G386" s="17">
        <v>3389965</v>
      </c>
      <c r="H386" s="17" t="s">
        <v>919</v>
      </c>
      <c r="I386" s="17">
        <v>3389965</v>
      </c>
    </row>
    <row r="387" spans="1:9" x14ac:dyDescent="0.3">
      <c r="A387" s="17" t="str">
        <f t="shared" si="20"/>
        <v>1020084</v>
      </c>
      <c r="B387" s="17">
        <v>102</v>
      </c>
      <c r="C387" s="17">
        <v>84</v>
      </c>
      <c r="D387" s="17" t="s">
        <v>917</v>
      </c>
      <c r="E387" s="17">
        <v>3453421</v>
      </c>
      <c r="F387" s="17" t="s">
        <v>918</v>
      </c>
      <c r="G387" s="17">
        <v>3453421</v>
      </c>
      <c r="H387" s="17" t="s">
        <v>919</v>
      </c>
      <c r="I387" s="17">
        <v>3453421</v>
      </c>
    </row>
    <row r="388" spans="1:9" x14ac:dyDescent="0.3">
      <c r="A388" s="17" t="str">
        <f t="shared" ref="A388:A451" si="21">B388&amp;TEXT(C388,"0000")</f>
        <v>1020085</v>
      </c>
      <c r="B388" s="17">
        <v>102</v>
      </c>
      <c r="C388" s="17">
        <v>85</v>
      </c>
      <c r="D388" s="17" t="s">
        <v>917</v>
      </c>
      <c r="E388" s="17">
        <v>3517283</v>
      </c>
      <c r="F388" s="17" t="s">
        <v>918</v>
      </c>
      <c r="G388" s="17">
        <v>3517283</v>
      </c>
      <c r="H388" s="17" t="s">
        <v>919</v>
      </c>
      <c r="I388" s="17">
        <v>3517283</v>
      </c>
    </row>
    <row r="389" spans="1:9" x14ac:dyDescent="0.3">
      <c r="A389" s="17" t="str">
        <f t="shared" si="21"/>
        <v>1020086</v>
      </c>
      <c r="B389" s="17">
        <v>102</v>
      </c>
      <c r="C389" s="17">
        <v>86</v>
      </c>
      <c r="D389" s="17" t="s">
        <v>917</v>
      </c>
      <c r="E389" s="17">
        <v>3581549</v>
      </c>
      <c r="F389" s="17" t="s">
        <v>918</v>
      </c>
      <c r="G389" s="17">
        <v>3581549</v>
      </c>
      <c r="H389" s="17" t="s">
        <v>919</v>
      </c>
      <c r="I389" s="17">
        <v>3581549</v>
      </c>
    </row>
    <row r="390" spans="1:9" x14ac:dyDescent="0.3">
      <c r="A390" s="17" t="str">
        <f t="shared" si="21"/>
        <v>1020087</v>
      </c>
      <c r="B390" s="17">
        <v>102</v>
      </c>
      <c r="C390" s="17">
        <v>87</v>
      </c>
      <c r="D390" s="17" t="s">
        <v>917</v>
      </c>
      <c r="E390" s="17">
        <v>3646218</v>
      </c>
      <c r="F390" s="17" t="s">
        <v>918</v>
      </c>
      <c r="G390" s="17">
        <v>3646218</v>
      </c>
      <c r="H390" s="17" t="s">
        <v>919</v>
      </c>
      <c r="I390" s="17">
        <v>3646218</v>
      </c>
    </row>
    <row r="391" spans="1:9" x14ac:dyDescent="0.3">
      <c r="A391" s="17" t="str">
        <f t="shared" si="21"/>
        <v>1020088</v>
      </c>
      <c r="B391" s="17">
        <v>102</v>
      </c>
      <c r="C391" s="17">
        <v>88</v>
      </c>
      <c r="D391" s="17" t="s">
        <v>917</v>
      </c>
      <c r="E391" s="17">
        <v>3711286</v>
      </c>
      <c r="F391" s="17" t="s">
        <v>918</v>
      </c>
      <c r="G391" s="17">
        <v>3711286</v>
      </c>
      <c r="H391" s="17" t="s">
        <v>919</v>
      </c>
      <c r="I391" s="17">
        <v>3711286</v>
      </c>
    </row>
    <row r="392" spans="1:9" x14ac:dyDescent="0.3">
      <c r="A392" s="17" t="str">
        <f t="shared" si="21"/>
        <v>1020089</v>
      </c>
      <c r="B392" s="17">
        <v>102</v>
      </c>
      <c r="C392" s="17">
        <v>89</v>
      </c>
      <c r="D392" s="17" t="s">
        <v>917</v>
      </c>
      <c r="E392" s="17">
        <v>3776752</v>
      </c>
      <c r="F392" s="17" t="s">
        <v>918</v>
      </c>
      <c r="G392" s="17">
        <v>3776752</v>
      </c>
      <c r="H392" s="17" t="s">
        <v>919</v>
      </c>
      <c r="I392" s="17">
        <v>3776752</v>
      </c>
    </row>
    <row r="393" spans="1:9" x14ac:dyDescent="0.3">
      <c r="A393" s="17" t="str">
        <f t="shared" si="21"/>
        <v>1020090</v>
      </c>
      <c r="B393" s="17">
        <v>102</v>
      </c>
      <c r="C393" s="17">
        <v>90</v>
      </c>
      <c r="D393" s="17" t="s">
        <v>917</v>
      </c>
      <c r="E393" s="17">
        <v>3842613</v>
      </c>
      <c r="F393" s="17" t="s">
        <v>918</v>
      </c>
      <c r="G393" s="17">
        <v>3842613</v>
      </c>
      <c r="H393" s="17" t="s">
        <v>919</v>
      </c>
      <c r="I393" s="17">
        <v>3842613</v>
      </c>
    </row>
    <row r="394" spans="1:9" x14ac:dyDescent="0.3">
      <c r="A394" s="17" t="str">
        <f t="shared" si="21"/>
        <v>1020091</v>
      </c>
      <c r="B394" s="17">
        <v>102</v>
      </c>
      <c r="C394" s="17">
        <v>91</v>
      </c>
      <c r="D394" s="17" t="s">
        <v>917</v>
      </c>
      <c r="E394" s="17">
        <v>3908868</v>
      </c>
      <c r="F394" s="17" t="s">
        <v>918</v>
      </c>
      <c r="G394" s="17">
        <v>3908868</v>
      </c>
      <c r="H394" s="17" t="s">
        <v>919</v>
      </c>
      <c r="I394" s="17">
        <v>3908868</v>
      </c>
    </row>
    <row r="395" spans="1:9" x14ac:dyDescent="0.3">
      <c r="A395" s="17" t="str">
        <f t="shared" si="21"/>
        <v>1020092</v>
      </c>
      <c r="B395" s="17">
        <v>102</v>
      </c>
      <c r="C395" s="17">
        <v>92</v>
      </c>
      <c r="D395" s="17" t="s">
        <v>917</v>
      </c>
      <c r="E395" s="17">
        <v>3975514</v>
      </c>
      <c r="F395" s="17" t="s">
        <v>918</v>
      </c>
      <c r="G395" s="17">
        <v>3975514</v>
      </c>
      <c r="H395" s="17" t="s">
        <v>919</v>
      </c>
      <c r="I395" s="17">
        <v>3975514</v>
      </c>
    </row>
    <row r="396" spans="1:9" x14ac:dyDescent="0.3">
      <c r="A396" s="17" t="str">
        <f t="shared" si="21"/>
        <v>1020093</v>
      </c>
      <c r="B396" s="17">
        <v>102</v>
      </c>
      <c r="C396" s="17">
        <v>93</v>
      </c>
      <c r="D396" s="17" t="s">
        <v>917</v>
      </c>
      <c r="E396" s="17">
        <v>4042550</v>
      </c>
      <c r="F396" s="17" t="s">
        <v>918</v>
      </c>
      <c r="G396" s="17">
        <v>4042550</v>
      </c>
      <c r="H396" s="17" t="s">
        <v>919</v>
      </c>
      <c r="I396" s="17">
        <v>4042550</v>
      </c>
    </row>
    <row r="397" spans="1:9" x14ac:dyDescent="0.3">
      <c r="A397" s="17" t="str">
        <f t="shared" si="21"/>
        <v>1020094</v>
      </c>
      <c r="B397" s="17">
        <v>102</v>
      </c>
      <c r="C397" s="17">
        <v>94</v>
      </c>
      <c r="D397" s="17" t="s">
        <v>917</v>
      </c>
      <c r="E397" s="17">
        <v>4109972</v>
      </c>
      <c r="F397" s="17" t="s">
        <v>918</v>
      </c>
      <c r="G397" s="17">
        <v>4109972</v>
      </c>
      <c r="H397" s="17" t="s">
        <v>919</v>
      </c>
      <c r="I397" s="17">
        <v>4109972</v>
      </c>
    </row>
    <row r="398" spans="1:9" x14ac:dyDescent="0.3">
      <c r="A398" s="17" t="str">
        <f t="shared" si="21"/>
        <v>1020095</v>
      </c>
      <c r="B398" s="17">
        <v>102</v>
      </c>
      <c r="C398" s="17">
        <v>95</v>
      </c>
      <c r="D398" s="17" t="s">
        <v>917</v>
      </c>
      <c r="E398" s="17">
        <v>4177780</v>
      </c>
      <c r="F398" s="17" t="s">
        <v>918</v>
      </c>
      <c r="G398" s="17">
        <v>4177780</v>
      </c>
      <c r="H398" s="17" t="s">
        <v>919</v>
      </c>
      <c r="I398" s="17">
        <v>4177780</v>
      </c>
    </row>
    <row r="399" spans="1:9" x14ac:dyDescent="0.3">
      <c r="A399" s="17" t="str">
        <f t="shared" si="21"/>
        <v>1020096</v>
      </c>
      <c r="B399" s="17">
        <v>102</v>
      </c>
      <c r="C399" s="17">
        <v>96</v>
      </c>
      <c r="D399" s="17" t="s">
        <v>917</v>
      </c>
      <c r="E399" s="17">
        <v>4245972</v>
      </c>
      <c r="F399" s="17" t="s">
        <v>918</v>
      </c>
      <c r="G399" s="17">
        <v>4245972</v>
      </c>
      <c r="H399" s="17" t="s">
        <v>919</v>
      </c>
      <c r="I399" s="17">
        <v>4245972</v>
      </c>
    </row>
    <row r="400" spans="1:9" x14ac:dyDescent="0.3">
      <c r="A400" s="17" t="str">
        <f t="shared" si="21"/>
        <v>1020097</v>
      </c>
      <c r="B400" s="17">
        <v>102</v>
      </c>
      <c r="C400" s="17">
        <v>97</v>
      </c>
      <c r="D400" s="17" t="s">
        <v>917</v>
      </c>
      <c r="E400" s="17">
        <v>4314545</v>
      </c>
      <c r="F400" s="17" t="s">
        <v>918</v>
      </c>
      <c r="G400" s="17">
        <v>4314545</v>
      </c>
      <c r="H400" s="17" t="s">
        <v>919</v>
      </c>
      <c r="I400" s="17">
        <v>4314545</v>
      </c>
    </row>
    <row r="401" spans="1:9" x14ac:dyDescent="0.3">
      <c r="A401" s="17" t="str">
        <f t="shared" si="21"/>
        <v>1020098</v>
      </c>
      <c r="B401" s="17">
        <v>102</v>
      </c>
      <c r="C401" s="17">
        <v>98</v>
      </c>
      <c r="D401" s="17" t="s">
        <v>917</v>
      </c>
      <c r="E401" s="17">
        <v>4383497</v>
      </c>
      <c r="F401" s="17" t="s">
        <v>918</v>
      </c>
      <c r="G401" s="17">
        <v>4383497</v>
      </c>
      <c r="H401" s="17" t="s">
        <v>919</v>
      </c>
      <c r="I401" s="17">
        <v>4383497</v>
      </c>
    </row>
    <row r="402" spans="1:9" x14ac:dyDescent="0.3">
      <c r="A402" s="17" t="str">
        <f t="shared" si="21"/>
        <v>1020099</v>
      </c>
      <c r="B402" s="17">
        <v>102</v>
      </c>
      <c r="C402" s="17">
        <v>99</v>
      </c>
      <c r="D402" s="17" t="s">
        <v>917</v>
      </c>
      <c r="E402" s="17">
        <v>4452828</v>
      </c>
      <c r="F402" s="17" t="s">
        <v>918</v>
      </c>
      <c r="G402" s="17">
        <v>4452828</v>
      </c>
      <c r="H402" s="17" t="s">
        <v>919</v>
      </c>
      <c r="I402" s="17">
        <v>4452828</v>
      </c>
    </row>
    <row r="403" spans="1:9" x14ac:dyDescent="0.3">
      <c r="A403" s="17" t="str">
        <f t="shared" si="21"/>
        <v>1020100</v>
      </c>
      <c r="B403" s="17">
        <v>102</v>
      </c>
      <c r="C403" s="17">
        <v>100</v>
      </c>
      <c r="D403" s="17" t="s">
        <v>917</v>
      </c>
      <c r="E403" s="17">
        <v>4522534</v>
      </c>
      <c r="F403" s="17" t="s">
        <v>918</v>
      </c>
      <c r="G403" s="17">
        <v>4522534</v>
      </c>
      <c r="H403" s="17" t="s">
        <v>919</v>
      </c>
      <c r="I403" s="17">
        <v>4522534</v>
      </c>
    </row>
    <row r="404" spans="1:9" x14ac:dyDescent="0.3">
      <c r="A404" s="17" t="str">
        <f t="shared" si="21"/>
        <v>1020101</v>
      </c>
      <c r="B404" s="17">
        <v>102</v>
      </c>
      <c r="C404" s="17">
        <v>101</v>
      </c>
      <c r="D404" s="17" t="s">
        <v>917</v>
      </c>
      <c r="E404" s="17">
        <v>4592614</v>
      </c>
      <c r="F404" s="17" t="s">
        <v>918</v>
      </c>
      <c r="G404" s="17">
        <v>4592614</v>
      </c>
      <c r="H404" s="17" t="s">
        <v>919</v>
      </c>
      <c r="I404" s="17">
        <v>4592614</v>
      </c>
    </row>
    <row r="405" spans="1:9" x14ac:dyDescent="0.3">
      <c r="A405" s="17" t="str">
        <f t="shared" si="21"/>
        <v>1020102</v>
      </c>
      <c r="B405" s="17">
        <v>102</v>
      </c>
      <c r="C405" s="17">
        <v>102</v>
      </c>
      <c r="D405" s="17" t="s">
        <v>917</v>
      </c>
      <c r="E405" s="17">
        <v>4663067</v>
      </c>
      <c r="F405" s="17" t="s">
        <v>918</v>
      </c>
      <c r="G405" s="17">
        <v>4663067</v>
      </c>
      <c r="H405" s="17" t="s">
        <v>919</v>
      </c>
      <c r="I405" s="17">
        <v>4663067</v>
      </c>
    </row>
    <row r="406" spans="1:9" x14ac:dyDescent="0.3">
      <c r="A406" s="17" t="str">
        <f t="shared" si="21"/>
        <v>1020103</v>
      </c>
      <c r="B406" s="17">
        <v>102</v>
      </c>
      <c r="C406" s="17">
        <v>103</v>
      </c>
      <c r="D406" s="17" t="s">
        <v>917</v>
      </c>
      <c r="E406" s="17">
        <v>4733891</v>
      </c>
      <c r="F406" s="17" t="s">
        <v>918</v>
      </c>
      <c r="G406" s="17">
        <v>4733891</v>
      </c>
      <c r="H406" s="17" t="s">
        <v>919</v>
      </c>
      <c r="I406" s="17">
        <v>4733891</v>
      </c>
    </row>
    <row r="407" spans="1:9" x14ac:dyDescent="0.3">
      <c r="A407" s="17" t="str">
        <f t="shared" si="21"/>
        <v>1020104</v>
      </c>
      <c r="B407" s="17">
        <v>102</v>
      </c>
      <c r="C407" s="17">
        <v>104</v>
      </c>
      <c r="D407" s="17" t="s">
        <v>917</v>
      </c>
      <c r="E407" s="17">
        <v>4805084</v>
      </c>
      <c r="F407" s="17" t="s">
        <v>918</v>
      </c>
      <c r="G407" s="17">
        <v>4805084</v>
      </c>
      <c r="H407" s="17" t="s">
        <v>919</v>
      </c>
      <c r="I407" s="17">
        <v>4805084</v>
      </c>
    </row>
    <row r="408" spans="1:9" x14ac:dyDescent="0.3">
      <c r="A408" s="17" t="str">
        <f t="shared" si="21"/>
        <v>1020105</v>
      </c>
      <c r="B408" s="17">
        <v>102</v>
      </c>
      <c r="C408" s="17">
        <v>105</v>
      </c>
      <c r="D408" s="17" t="s">
        <v>917</v>
      </c>
      <c r="E408" s="17">
        <v>4876643</v>
      </c>
      <c r="F408" s="17" t="s">
        <v>918</v>
      </c>
      <c r="G408" s="17">
        <v>4876643</v>
      </c>
      <c r="H408" s="17" t="s">
        <v>919</v>
      </c>
      <c r="I408" s="17">
        <v>4876643</v>
      </c>
    </row>
    <row r="409" spans="1:9" x14ac:dyDescent="0.3">
      <c r="A409" s="17" t="str">
        <f t="shared" si="21"/>
        <v>1020106</v>
      </c>
      <c r="B409" s="17">
        <v>102</v>
      </c>
      <c r="C409" s="17">
        <v>106</v>
      </c>
      <c r="D409" s="17" t="s">
        <v>917</v>
      </c>
      <c r="E409" s="17">
        <v>4948569</v>
      </c>
      <c r="F409" s="17" t="s">
        <v>918</v>
      </c>
      <c r="G409" s="17">
        <v>4948569</v>
      </c>
      <c r="H409" s="17" t="s">
        <v>919</v>
      </c>
      <c r="I409" s="17">
        <v>4948569</v>
      </c>
    </row>
    <row r="410" spans="1:9" x14ac:dyDescent="0.3">
      <c r="A410" s="17" t="str">
        <f t="shared" si="21"/>
        <v>1020107</v>
      </c>
      <c r="B410" s="17">
        <v>102</v>
      </c>
      <c r="C410" s="17">
        <v>107</v>
      </c>
      <c r="D410" s="17" t="s">
        <v>917</v>
      </c>
      <c r="E410" s="17">
        <v>5020858</v>
      </c>
      <c r="F410" s="17" t="s">
        <v>918</v>
      </c>
      <c r="G410" s="17">
        <v>5020858</v>
      </c>
      <c r="H410" s="17" t="s">
        <v>919</v>
      </c>
      <c r="I410" s="17">
        <v>5020858</v>
      </c>
    </row>
    <row r="411" spans="1:9" x14ac:dyDescent="0.3">
      <c r="A411" s="17" t="str">
        <f t="shared" si="21"/>
        <v>1020108</v>
      </c>
      <c r="B411" s="17">
        <v>102</v>
      </c>
      <c r="C411" s="17">
        <v>108</v>
      </c>
      <c r="D411" s="17" t="s">
        <v>917</v>
      </c>
      <c r="E411" s="17">
        <v>5093510</v>
      </c>
      <c r="F411" s="17" t="s">
        <v>918</v>
      </c>
      <c r="G411" s="17">
        <v>5093510</v>
      </c>
      <c r="H411" s="17" t="s">
        <v>919</v>
      </c>
      <c r="I411" s="17">
        <v>5093510</v>
      </c>
    </row>
    <row r="412" spans="1:9" x14ac:dyDescent="0.3">
      <c r="A412" s="17" t="str">
        <f t="shared" si="21"/>
        <v>1020109</v>
      </c>
      <c r="B412" s="17">
        <v>102</v>
      </c>
      <c r="C412" s="17">
        <v>109</v>
      </c>
      <c r="D412" s="17" t="s">
        <v>917</v>
      </c>
      <c r="E412" s="17">
        <v>5166523</v>
      </c>
      <c r="F412" s="17" t="s">
        <v>918</v>
      </c>
      <c r="G412" s="17">
        <v>5166523</v>
      </c>
      <c r="H412" s="17" t="s">
        <v>919</v>
      </c>
      <c r="I412" s="17">
        <v>5166523</v>
      </c>
    </row>
    <row r="413" spans="1:9" x14ac:dyDescent="0.3">
      <c r="A413" s="17" t="str">
        <f t="shared" si="21"/>
        <v>1020110</v>
      </c>
      <c r="B413" s="17">
        <v>102</v>
      </c>
      <c r="C413" s="17">
        <v>110</v>
      </c>
      <c r="D413" s="17" t="s">
        <v>917</v>
      </c>
      <c r="E413" s="17">
        <v>5239894</v>
      </c>
      <c r="F413" s="17" t="s">
        <v>918</v>
      </c>
      <c r="G413" s="17">
        <v>5239894</v>
      </c>
      <c r="H413" s="17" t="s">
        <v>919</v>
      </c>
      <c r="I413" s="17">
        <v>5239894</v>
      </c>
    </row>
    <row r="414" spans="1:9" x14ac:dyDescent="0.3">
      <c r="A414" s="17" t="str">
        <f t="shared" si="21"/>
        <v>1020111</v>
      </c>
      <c r="B414" s="17">
        <v>102</v>
      </c>
      <c r="C414" s="17">
        <v>111</v>
      </c>
      <c r="D414" s="17" t="s">
        <v>917</v>
      </c>
      <c r="E414" s="17">
        <v>5313624</v>
      </c>
      <c r="F414" s="17" t="s">
        <v>918</v>
      </c>
      <c r="G414" s="17">
        <v>5313624</v>
      </c>
      <c r="H414" s="17" t="s">
        <v>919</v>
      </c>
      <c r="I414" s="17">
        <v>5313624</v>
      </c>
    </row>
    <row r="415" spans="1:9" x14ac:dyDescent="0.3">
      <c r="A415" s="17" t="str">
        <f t="shared" si="21"/>
        <v>1020112</v>
      </c>
      <c r="B415" s="17">
        <v>102</v>
      </c>
      <c r="C415" s="17">
        <v>112</v>
      </c>
      <c r="D415" s="17" t="s">
        <v>917</v>
      </c>
      <c r="E415" s="17">
        <v>5387709</v>
      </c>
      <c r="F415" s="17" t="s">
        <v>918</v>
      </c>
      <c r="G415" s="17">
        <v>5387709</v>
      </c>
      <c r="H415" s="17" t="s">
        <v>919</v>
      </c>
      <c r="I415" s="17">
        <v>5387709</v>
      </c>
    </row>
    <row r="416" spans="1:9" x14ac:dyDescent="0.3">
      <c r="A416" s="17" t="str">
        <f t="shared" si="21"/>
        <v>1020113</v>
      </c>
      <c r="B416" s="17">
        <v>102</v>
      </c>
      <c r="C416" s="17">
        <v>113</v>
      </c>
      <c r="D416" s="17" t="s">
        <v>917</v>
      </c>
      <c r="E416" s="17">
        <v>5462149</v>
      </c>
      <c r="F416" s="17" t="s">
        <v>918</v>
      </c>
      <c r="G416" s="17">
        <v>5462149</v>
      </c>
      <c r="H416" s="17" t="s">
        <v>919</v>
      </c>
      <c r="I416" s="17">
        <v>5462149</v>
      </c>
    </row>
    <row r="417" spans="1:9" x14ac:dyDescent="0.3">
      <c r="A417" s="17" t="str">
        <f t="shared" si="21"/>
        <v>1020114</v>
      </c>
      <c r="B417" s="17">
        <v>102</v>
      </c>
      <c r="C417" s="17">
        <v>114</v>
      </c>
      <c r="D417" s="17" t="s">
        <v>917</v>
      </c>
      <c r="E417" s="17">
        <v>5536942</v>
      </c>
      <c r="F417" s="17" t="s">
        <v>918</v>
      </c>
      <c r="G417" s="17">
        <v>5536942</v>
      </c>
      <c r="H417" s="17" t="s">
        <v>919</v>
      </c>
      <c r="I417" s="17">
        <v>5536942</v>
      </c>
    </row>
    <row r="418" spans="1:9" x14ac:dyDescent="0.3">
      <c r="A418" s="17" t="str">
        <f t="shared" si="21"/>
        <v>1020115</v>
      </c>
      <c r="B418" s="17">
        <v>102</v>
      </c>
      <c r="C418" s="17">
        <v>115</v>
      </c>
      <c r="D418" s="17" t="s">
        <v>917</v>
      </c>
      <c r="E418" s="17">
        <v>5612087</v>
      </c>
      <c r="F418" s="17" t="s">
        <v>918</v>
      </c>
      <c r="G418" s="17">
        <v>5612087</v>
      </c>
      <c r="H418" s="17" t="s">
        <v>919</v>
      </c>
      <c r="I418" s="17">
        <v>5612087</v>
      </c>
    </row>
    <row r="419" spans="1:9" x14ac:dyDescent="0.3">
      <c r="A419" s="17" t="str">
        <f t="shared" si="21"/>
        <v>1020116</v>
      </c>
      <c r="B419" s="17">
        <v>102</v>
      </c>
      <c r="C419" s="17">
        <v>116</v>
      </c>
      <c r="D419" s="17" t="s">
        <v>917</v>
      </c>
      <c r="E419" s="17">
        <v>5687582</v>
      </c>
      <c r="F419" s="17" t="s">
        <v>918</v>
      </c>
      <c r="G419" s="17">
        <v>5687582</v>
      </c>
      <c r="H419" s="17" t="s">
        <v>919</v>
      </c>
      <c r="I419" s="17">
        <v>5687582</v>
      </c>
    </row>
    <row r="420" spans="1:9" x14ac:dyDescent="0.3">
      <c r="A420" s="17" t="str">
        <f t="shared" si="21"/>
        <v>1020117</v>
      </c>
      <c r="B420" s="17">
        <v>102</v>
      </c>
      <c r="C420" s="17">
        <v>117</v>
      </c>
      <c r="D420" s="17" t="s">
        <v>917</v>
      </c>
      <c r="E420" s="17">
        <v>5763426</v>
      </c>
      <c r="F420" s="17" t="s">
        <v>918</v>
      </c>
      <c r="G420" s="17">
        <v>5763426</v>
      </c>
      <c r="H420" s="17" t="s">
        <v>919</v>
      </c>
      <c r="I420" s="17">
        <v>5763426</v>
      </c>
    </row>
    <row r="421" spans="1:9" x14ac:dyDescent="0.3">
      <c r="A421" s="17" t="str">
        <f t="shared" si="21"/>
        <v>1020118</v>
      </c>
      <c r="B421" s="17">
        <v>102</v>
      </c>
      <c r="C421" s="17">
        <v>118</v>
      </c>
      <c r="D421" s="17" t="s">
        <v>917</v>
      </c>
      <c r="E421" s="17">
        <v>5839617</v>
      </c>
      <c r="F421" s="17" t="s">
        <v>918</v>
      </c>
      <c r="G421" s="17">
        <v>5839617</v>
      </c>
      <c r="H421" s="17" t="s">
        <v>919</v>
      </c>
      <c r="I421" s="17">
        <v>5839617</v>
      </c>
    </row>
    <row r="422" spans="1:9" x14ac:dyDescent="0.3">
      <c r="A422" s="17" t="str">
        <f t="shared" si="21"/>
        <v>1020119</v>
      </c>
      <c r="B422" s="17">
        <v>102</v>
      </c>
      <c r="C422" s="17">
        <v>119</v>
      </c>
      <c r="D422" s="17" t="s">
        <v>917</v>
      </c>
      <c r="E422" s="17">
        <v>5916154</v>
      </c>
      <c r="F422" s="17" t="s">
        <v>918</v>
      </c>
      <c r="G422" s="17">
        <v>5916154</v>
      </c>
      <c r="H422" s="17" t="s">
        <v>919</v>
      </c>
      <c r="I422" s="17">
        <v>5916154</v>
      </c>
    </row>
    <row r="423" spans="1:9" x14ac:dyDescent="0.3">
      <c r="A423" s="17" t="str">
        <f t="shared" si="21"/>
        <v>1020120</v>
      </c>
      <c r="B423" s="17">
        <v>102</v>
      </c>
      <c r="C423" s="17">
        <v>120</v>
      </c>
      <c r="D423" s="17" t="s">
        <v>917</v>
      </c>
      <c r="E423" s="17">
        <v>5993035</v>
      </c>
      <c r="F423" s="17" t="s">
        <v>918</v>
      </c>
      <c r="G423" s="17">
        <v>5993035</v>
      </c>
      <c r="H423" s="17" t="s">
        <v>919</v>
      </c>
      <c r="I423" s="17">
        <v>5993035</v>
      </c>
    </row>
    <row r="424" spans="1:9" x14ac:dyDescent="0.3">
      <c r="A424" s="17" t="str">
        <f t="shared" si="21"/>
        <v>1020121</v>
      </c>
      <c r="B424" s="17">
        <v>102</v>
      </c>
      <c r="C424" s="17">
        <v>121</v>
      </c>
      <c r="D424" s="17" t="s">
        <v>917</v>
      </c>
      <c r="E424" s="17">
        <v>6070260</v>
      </c>
      <c r="F424" s="17" t="s">
        <v>918</v>
      </c>
      <c r="G424" s="17">
        <v>6070260</v>
      </c>
      <c r="H424" s="17" t="s">
        <v>919</v>
      </c>
      <c r="I424" s="17">
        <v>6070260</v>
      </c>
    </row>
    <row r="425" spans="1:9" x14ac:dyDescent="0.3">
      <c r="A425" s="17" t="str">
        <f t="shared" si="21"/>
        <v>1020122</v>
      </c>
      <c r="B425" s="17">
        <v>102</v>
      </c>
      <c r="C425" s="17">
        <v>122</v>
      </c>
      <c r="D425" s="17" t="s">
        <v>917</v>
      </c>
      <c r="E425" s="17">
        <v>6147827</v>
      </c>
      <c r="F425" s="17" t="s">
        <v>918</v>
      </c>
      <c r="G425" s="17">
        <v>6147827</v>
      </c>
      <c r="H425" s="17" t="s">
        <v>919</v>
      </c>
      <c r="I425" s="17">
        <v>6147827</v>
      </c>
    </row>
    <row r="426" spans="1:9" x14ac:dyDescent="0.3">
      <c r="A426" s="17" t="str">
        <f t="shared" si="21"/>
        <v>1020123</v>
      </c>
      <c r="B426" s="17">
        <v>102</v>
      </c>
      <c r="C426" s="17">
        <v>123</v>
      </c>
      <c r="D426" s="17" t="s">
        <v>917</v>
      </c>
      <c r="E426" s="17">
        <v>6225734</v>
      </c>
      <c r="F426" s="17" t="s">
        <v>918</v>
      </c>
      <c r="G426" s="17">
        <v>6225734</v>
      </c>
      <c r="H426" s="17" t="s">
        <v>919</v>
      </c>
      <c r="I426" s="17">
        <v>6225734</v>
      </c>
    </row>
    <row r="427" spans="1:9" x14ac:dyDescent="0.3">
      <c r="A427" s="17" t="str">
        <f t="shared" si="21"/>
        <v>1020124</v>
      </c>
      <c r="B427" s="17">
        <v>102</v>
      </c>
      <c r="C427" s="17">
        <v>124</v>
      </c>
      <c r="D427" s="17" t="s">
        <v>917</v>
      </c>
      <c r="E427" s="17">
        <v>6303980</v>
      </c>
      <c r="F427" s="17" t="s">
        <v>918</v>
      </c>
      <c r="G427" s="17">
        <v>6303980</v>
      </c>
      <c r="H427" s="17" t="s">
        <v>919</v>
      </c>
      <c r="I427" s="17">
        <v>6303980</v>
      </c>
    </row>
    <row r="428" spans="1:9" x14ac:dyDescent="0.3">
      <c r="A428" s="17" t="str">
        <f t="shared" si="21"/>
        <v>1020125</v>
      </c>
      <c r="B428" s="17">
        <v>102</v>
      </c>
      <c r="C428" s="17">
        <v>125</v>
      </c>
      <c r="D428" s="17" t="s">
        <v>917</v>
      </c>
      <c r="E428" s="17">
        <v>6382564</v>
      </c>
      <c r="F428" s="17" t="s">
        <v>918</v>
      </c>
      <c r="G428" s="17">
        <v>6382564</v>
      </c>
      <c r="H428" s="17" t="s">
        <v>919</v>
      </c>
      <c r="I428" s="17">
        <v>6382564</v>
      </c>
    </row>
    <row r="429" spans="1:9" x14ac:dyDescent="0.3">
      <c r="A429" s="17" t="str">
        <f t="shared" si="21"/>
        <v>1020126</v>
      </c>
      <c r="B429" s="17">
        <v>102</v>
      </c>
      <c r="C429" s="17">
        <v>126</v>
      </c>
      <c r="D429" s="17" t="s">
        <v>917</v>
      </c>
      <c r="E429" s="17">
        <v>6461485</v>
      </c>
      <c r="F429" s="17" t="s">
        <v>918</v>
      </c>
      <c r="G429" s="17">
        <v>6461485</v>
      </c>
      <c r="H429" s="17" t="s">
        <v>919</v>
      </c>
      <c r="I429" s="17">
        <v>6461485</v>
      </c>
    </row>
    <row r="430" spans="1:9" x14ac:dyDescent="0.3">
      <c r="A430" s="17" t="str">
        <f t="shared" si="21"/>
        <v>1020127</v>
      </c>
      <c r="B430" s="17">
        <v>102</v>
      </c>
      <c r="C430" s="17">
        <v>127</v>
      </c>
      <c r="D430" s="17" t="s">
        <v>917</v>
      </c>
      <c r="E430" s="17">
        <v>6540741</v>
      </c>
      <c r="F430" s="17" t="s">
        <v>918</v>
      </c>
      <c r="G430" s="17">
        <v>6540741</v>
      </c>
      <c r="H430" s="17" t="s">
        <v>919</v>
      </c>
      <c r="I430" s="17">
        <v>6540741</v>
      </c>
    </row>
    <row r="431" spans="1:9" x14ac:dyDescent="0.3">
      <c r="A431" s="17" t="str">
        <f t="shared" si="21"/>
        <v>1020128</v>
      </c>
      <c r="B431" s="17">
        <v>102</v>
      </c>
      <c r="C431" s="17">
        <v>128</v>
      </c>
      <c r="D431" s="17" t="s">
        <v>917</v>
      </c>
      <c r="E431" s="17">
        <v>6620331</v>
      </c>
      <c r="F431" s="17" t="s">
        <v>918</v>
      </c>
      <c r="G431" s="17">
        <v>6620331</v>
      </c>
      <c r="H431" s="17" t="s">
        <v>919</v>
      </c>
      <c r="I431" s="17">
        <v>6620331</v>
      </c>
    </row>
    <row r="432" spans="1:9" x14ac:dyDescent="0.3">
      <c r="A432" s="17" t="str">
        <f t="shared" si="21"/>
        <v>1020129</v>
      </c>
      <c r="B432" s="17">
        <v>102</v>
      </c>
      <c r="C432" s="17">
        <v>129</v>
      </c>
      <c r="D432" s="17" t="s">
        <v>917</v>
      </c>
      <c r="E432" s="17">
        <v>6700254</v>
      </c>
      <c r="F432" s="17" t="s">
        <v>918</v>
      </c>
      <c r="G432" s="17">
        <v>6700254</v>
      </c>
      <c r="H432" s="17" t="s">
        <v>919</v>
      </c>
      <c r="I432" s="17">
        <v>6700254</v>
      </c>
    </row>
    <row r="433" spans="1:9" x14ac:dyDescent="0.3">
      <c r="A433" s="17" t="str">
        <f t="shared" si="21"/>
        <v>1020130</v>
      </c>
      <c r="B433" s="17">
        <v>102</v>
      </c>
      <c r="C433" s="17">
        <v>130</v>
      </c>
      <c r="D433" s="17" t="s">
        <v>917</v>
      </c>
      <c r="E433" s="17">
        <v>6780508</v>
      </c>
      <c r="F433" s="17" t="s">
        <v>918</v>
      </c>
      <c r="G433" s="17">
        <v>6780508</v>
      </c>
      <c r="H433" s="17" t="s">
        <v>919</v>
      </c>
      <c r="I433" s="17">
        <v>6780508</v>
      </c>
    </row>
    <row r="434" spans="1:9" x14ac:dyDescent="0.3">
      <c r="A434" s="17" t="str">
        <f t="shared" si="21"/>
        <v>1020131</v>
      </c>
      <c r="B434" s="17">
        <v>102</v>
      </c>
      <c r="C434" s="17">
        <v>131</v>
      </c>
      <c r="D434" s="17" t="s">
        <v>917</v>
      </c>
      <c r="E434" s="17">
        <v>6861093</v>
      </c>
      <c r="F434" s="17" t="s">
        <v>918</v>
      </c>
      <c r="G434" s="17">
        <v>6861093</v>
      </c>
      <c r="H434" s="17" t="s">
        <v>919</v>
      </c>
      <c r="I434" s="17">
        <v>6861093</v>
      </c>
    </row>
    <row r="435" spans="1:9" x14ac:dyDescent="0.3">
      <c r="A435" s="17" t="str">
        <f t="shared" si="21"/>
        <v>1020132</v>
      </c>
      <c r="B435" s="17">
        <v>102</v>
      </c>
      <c r="C435" s="17">
        <v>132</v>
      </c>
      <c r="D435" s="17" t="s">
        <v>917</v>
      </c>
      <c r="E435" s="17">
        <v>6942007</v>
      </c>
      <c r="F435" s="17" t="s">
        <v>918</v>
      </c>
      <c r="G435" s="17">
        <v>6942007</v>
      </c>
      <c r="H435" s="17" t="s">
        <v>919</v>
      </c>
      <c r="I435" s="17">
        <v>6942007</v>
      </c>
    </row>
    <row r="436" spans="1:9" x14ac:dyDescent="0.3">
      <c r="A436" s="17" t="str">
        <f t="shared" si="21"/>
        <v>1020133</v>
      </c>
      <c r="B436" s="17">
        <v>102</v>
      </c>
      <c r="C436" s="17">
        <v>133</v>
      </c>
      <c r="D436" s="17" t="s">
        <v>917</v>
      </c>
      <c r="E436" s="17">
        <v>7023250</v>
      </c>
      <c r="F436" s="17" t="s">
        <v>918</v>
      </c>
      <c r="G436" s="17">
        <v>7023250</v>
      </c>
      <c r="H436" s="17" t="s">
        <v>919</v>
      </c>
      <c r="I436" s="17">
        <v>7023250</v>
      </c>
    </row>
    <row r="437" spans="1:9" x14ac:dyDescent="0.3">
      <c r="A437" s="17" t="str">
        <f t="shared" si="21"/>
        <v>1020134</v>
      </c>
      <c r="B437" s="17">
        <v>102</v>
      </c>
      <c r="C437" s="17">
        <v>134</v>
      </c>
      <c r="D437" s="17" t="s">
        <v>917</v>
      </c>
      <c r="E437" s="17">
        <v>7104819</v>
      </c>
      <c r="F437" s="17" t="s">
        <v>918</v>
      </c>
      <c r="G437" s="17">
        <v>7104819</v>
      </c>
      <c r="H437" s="17" t="s">
        <v>919</v>
      </c>
      <c r="I437" s="17">
        <v>7104819</v>
      </c>
    </row>
    <row r="438" spans="1:9" x14ac:dyDescent="0.3">
      <c r="A438" s="17" t="str">
        <f t="shared" si="21"/>
        <v>1020135</v>
      </c>
      <c r="B438" s="17">
        <v>102</v>
      </c>
      <c r="C438" s="17">
        <v>135</v>
      </c>
      <c r="D438" s="17" t="s">
        <v>917</v>
      </c>
      <c r="E438" s="17">
        <v>7186714</v>
      </c>
      <c r="F438" s="17" t="s">
        <v>918</v>
      </c>
      <c r="G438" s="17">
        <v>7186714</v>
      </c>
      <c r="H438" s="17" t="s">
        <v>919</v>
      </c>
      <c r="I438" s="17">
        <v>7186714</v>
      </c>
    </row>
    <row r="439" spans="1:9" x14ac:dyDescent="0.3">
      <c r="A439" s="17" t="str">
        <f t="shared" si="21"/>
        <v>1020136</v>
      </c>
      <c r="B439" s="17">
        <v>102</v>
      </c>
      <c r="C439" s="17">
        <v>136</v>
      </c>
      <c r="D439" s="17" t="s">
        <v>917</v>
      </c>
      <c r="E439" s="17">
        <v>7268933</v>
      </c>
      <c r="F439" s="17" t="s">
        <v>918</v>
      </c>
      <c r="G439" s="17">
        <v>7268933</v>
      </c>
      <c r="H439" s="17" t="s">
        <v>919</v>
      </c>
      <c r="I439" s="17">
        <v>7268933</v>
      </c>
    </row>
    <row r="440" spans="1:9" x14ac:dyDescent="0.3">
      <c r="A440" s="17" t="str">
        <f t="shared" si="21"/>
        <v>1020137</v>
      </c>
      <c r="B440" s="17">
        <v>102</v>
      </c>
      <c r="C440" s="17">
        <v>137</v>
      </c>
      <c r="D440" s="17" t="s">
        <v>917</v>
      </c>
      <c r="E440" s="17">
        <v>7351476</v>
      </c>
      <c r="F440" s="17" t="s">
        <v>918</v>
      </c>
      <c r="G440" s="17">
        <v>7351476</v>
      </c>
      <c r="H440" s="17" t="s">
        <v>919</v>
      </c>
      <c r="I440" s="17">
        <v>7351476</v>
      </c>
    </row>
    <row r="441" spans="1:9" x14ac:dyDescent="0.3">
      <c r="A441" s="17" t="str">
        <f t="shared" si="21"/>
        <v>1020138</v>
      </c>
      <c r="B441" s="17">
        <v>102</v>
      </c>
      <c r="C441" s="17">
        <v>138</v>
      </c>
      <c r="D441" s="17" t="s">
        <v>917</v>
      </c>
      <c r="E441" s="17">
        <v>7434341</v>
      </c>
      <c r="F441" s="17" t="s">
        <v>918</v>
      </c>
      <c r="G441" s="17">
        <v>7434341</v>
      </c>
      <c r="H441" s="17" t="s">
        <v>919</v>
      </c>
      <c r="I441" s="17">
        <v>7434341</v>
      </c>
    </row>
    <row r="442" spans="1:9" x14ac:dyDescent="0.3">
      <c r="A442" s="17" t="str">
        <f t="shared" si="21"/>
        <v>1020139</v>
      </c>
      <c r="B442" s="17">
        <v>102</v>
      </c>
      <c r="C442" s="17">
        <v>139</v>
      </c>
      <c r="D442" s="17" t="s">
        <v>917</v>
      </c>
      <c r="E442" s="17">
        <v>7517527</v>
      </c>
      <c r="F442" s="17" t="s">
        <v>918</v>
      </c>
      <c r="G442" s="17">
        <v>7517527</v>
      </c>
      <c r="H442" s="17" t="s">
        <v>919</v>
      </c>
      <c r="I442" s="17">
        <v>7517527</v>
      </c>
    </row>
    <row r="443" spans="1:9" x14ac:dyDescent="0.3">
      <c r="A443" s="17" t="str">
        <f t="shared" si="21"/>
        <v>1020140</v>
      </c>
      <c r="B443" s="17">
        <v>102</v>
      </c>
      <c r="C443" s="17">
        <v>140</v>
      </c>
      <c r="D443" s="17" t="s">
        <v>917</v>
      </c>
      <c r="E443" s="17">
        <v>7601033</v>
      </c>
      <c r="F443" s="17" t="s">
        <v>918</v>
      </c>
      <c r="G443" s="17">
        <v>7601033</v>
      </c>
      <c r="H443" s="17" t="s">
        <v>919</v>
      </c>
      <c r="I443" s="17">
        <v>7601033</v>
      </c>
    </row>
    <row r="444" spans="1:9" x14ac:dyDescent="0.3">
      <c r="A444" s="17" t="str">
        <f t="shared" si="21"/>
        <v>1020141</v>
      </c>
      <c r="B444" s="17">
        <v>102</v>
      </c>
      <c r="C444" s="17">
        <v>141</v>
      </c>
      <c r="D444" s="17" t="s">
        <v>917</v>
      </c>
      <c r="E444" s="17">
        <v>7684859</v>
      </c>
      <c r="F444" s="17" t="s">
        <v>918</v>
      </c>
      <c r="G444" s="17">
        <v>7684859</v>
      </c>
      <c r="H444" s="17" t="s">
        <v>919</v>
      </c>
      <c r="I444" s="17">
        <v>7684859</v>
      </c>
    </row>
    <row r="445" spans="1:9" x14ac:dyDescent="0.3">
      <c r="A445" s="17" t="str">
        <f t="shared" si="21"/>
        <v>1020142</v>
      </c>
      <c r="B445" s="17">
        <v>102</v>
      </c>
      <c r="C445" s="17">
        <v>142</v>
      </c>
      <c r="D445" s="17" t="s">
        <v>917</v>
      </c>
      <c r="E445" s="17">
        <v>7769002</v>
      </c>
      <c r="F445" s="17" t="s">
        <v>918</v>
      </c>
      <c r="G445" s="17">
        <v>7769002</v>
      </c>
      <c r="H445" s="17" t="s">
        <v>919</v>
      </c>
      <c r="I445" s="17">
        <v>7769002</v>
      </c>
    </row>
    <row r="446" spans="1:9" x14ac:dyDescent="0.3">
      <c r="A446" s="17" t="str">
        <f t="shared" si="21"/>
        <v>1020143</v>
      </c>
      <c r="B446" s="17">
        <v>102</v>
      </c>
      <c r="C446" s="17">
        <v>143</v>
      </c>
      <c r="D446" s="17" t="s">
        <v>917</v>
      </c>
      <c r="E446" s="17">
        <v>7853462</v>
      </c>
      <c r="F446" s="17" t="s">
        <v>918</v>
      </c>
      <c r="G446" s="17">
        <v>7853462</v>
      </c>
      <c r="H446" s="17" t="s">
        <v>919</v>
      </c>
      <c r="I446" s="17">
        <v>7853462</v>
      </c>
    </row>
    <row r="447" spans="1:9" x14ac:dyDescent="0.3">
      <c r="A447" s="17" t="str">
        <f t="shared" si="21"/>
        <v>1020144</v>
      </c>
      <c r="B447" s="17">
        <v>102</v>
      </c>
      <c r="C447" s="17">
        <v>144</v>
      </c>
      <c r="D447" s="17" t="s">
        <v>917</v>
      </c>
      <c r="E447" s="17">
        <v>7938238</v>
      </c>
      <c r="F447" s="17" t="s">
        <v>918</v>
      </c>
      <c r="G447" s="17">
        <v>7938238</v>
      </c>
      <c r="H447" s="17" t="s">
        <v>919</v>
      </c>
      <c r="I447" s="17">
        <v>7938238</v>
      </c>
    </row>
    <row r="448" spans="1:9" x14ac:dyDescent="0.3">
      <c r="A448" s="17" t="str">
        <f t="shared" si="21"/>
        <v>1020145</v>
      </c>
      <c r="B448" s="17">
        <v>102</v>
      </c>
      <c r="C448" s="17">
        <v>145</v>
      </c>
      <c r="D448" s="17" t="s">
        <v>917</v>
      </c>
      <c r="E448" s="17">
        <v>8023329</v>
      </c>
      <c r="F448" s="17" t="s">
        <v>918</v>
      </c>
      <c r="G448" s="17">
        <v>8023329</v>
      </c>
      <c r="H448" s="17" t="s">
        <v>919</v>
      </c>
      <c r="I448" s="17">
        <v>8023329</v>
      </c>
    </row>
    <row r="449" spans="1:9" x14ac:dyDescent="0.3">
      <c r="A449" s="17" t="str">
        <f t="shared" si="21"/>
        <v>1020146</v>
      </c>
      <c r="B449" s="17">
        <v>102</v>
      </c>
      <c r="C449" s="17">
        <v>146</v>
      </c>
      <c r="D449" s="17" t="s">
        <v>917</v>
      </c>
      <c r="E449" s="17">
        <v>8108734</v>
      </c>
      <c r="F449" s="17" t="s">
        <v>918</v>
      </c>
      <c r="G449" s="17">
        <v>8108734</v>
      </c>
      <c r="H449" s="17" t="s">
        <v>919</v>
      </c>
      <c r="I449" s="17">
        <v>8108734</v>
      </c>
    </row>
    <row r="450" spans="1:9" x14ac:dyDescent="0.3">
      <c r="A450" s="17" t="str">
        <f t="shared" si="21"/>
        <v>1020147</v>
      </c>
      <c r="B450" s="17">
        <v>102</v>
      </c>
      <c r="C450" s="17">
        <v>147</v>
      </c>
      <c r="D450" s="17" t="s">
        <v>917</v>
      </c>
      <c r="E450" s="17">
        <v>8194451</v>
      </c>
      <c r="F450" s="17" t="s">
        <v>918</v>
      </c>
      <c r="G450" s="17">
        <v>8194451</v>
      </c>
      <c r="H450" s="17" t="s">
        <v>919</v>
      </c>
      <c r="I450" s="17">
        <v>8194451</v>
      </c>
    </row>
    <row r="451" spans="1:9" x14ac:dyDescent="0.3">
      <c r="A451" s="17" t="str">
        <f t="shared" si="21"/>
        <v>1020148</v>
      </c>
      <c r="B451" s="17">
        <v>102</v>
      </c>
      <c r="C451" s="17">
        <v>148</v>
      </c>
      <c r="D451" s="17" t="s">
        <v>917</v>
      </c>
      <c r="E451" s="17">
        <v>8280480</v>
      </c>
      <c r="F451" s="17" t="s">
        <v>918</v>
      </c>
      <c r="G451" s="17">
        <v>8280480</v>
      </c>
      <c r="H451" s="17" t="s">
        <v>919</v>
      </c>
      <c r="I451" s="17">
        <v>8280480</v>
      </c>
    </row>
    <row r="452" spans="1:9" x14ac:dyDescent="0.3">
      <c r="A452" s="17" t="str">
        <f t="shared" ref="A452:A515" si="22">B452&amp;TEXT(C452,"0000")</f>
        <v>1020149</v>
      </c>
      <c r="B452" s="17">
        <v>102</v>
      </c>
      <c r="C452" s="17">
        <v>149</v>
      </c>
      <c r="D452" s="17" t="s">
        <v>917</v>
      </c>
      <c r="E452" s="17">
        <v>8366820</v>
      </c>
      <c r="F452" s="17" t="s">
        <v>918</v>
      </c>
      <c r="G452" s="17">
        <v>8366820</v>
      </c>
      <c r="H452" s="17" t="s">
        <v>919</v>
      </c>
      <c r="I452" s="17">
        <v>8366820</v>
      </c>
    </row>
    <row r="453" spans="1:9" x14ac:dyDescent="0.3">
      <c r="A453" s="17" t="str">
        <f t="shared" si="22"/>
        <v>1020150</v>
      </c>
      <c r="B453" s="17">
        <v>102</v>
      </c>
      <c r="C453" s="17">
        <v>150</v>
      </c>
      <c r="D453" s="17" t="s">
        <v>917</v>
      </c>
      <c r="E453" s="17">
        <v>8453469</v>
      </c>
      <c r="F453" s="17" t="s">
        <v>918</v>
      </c>
      <c r="G453" s="17">
        <v>8453469</v>
      </c>
      <c r="H453" s="17" t="s">
        <v>919</v>
      </c>
      <c r="I453" s="17">
        <v>8453469</v>
      </c>
    </row>
    <row r="454" spans="1:9" x14ac:dyDescent="0.3">
      <c r="A454" s="17" t="str">
        <f t="shared" si="22"/>
        <v>1020151</v>
      </c>
      <c r="B454" s="17">
        <v>102</v>
      </c>
      <c r="C454" s="17">
        <v>151</v>
      </c>
      <c r="D454" s="17" t="s">
        <v>917</v>
      </c>
      <c r="E454" s="17">
        <v>8540428</v>
      </c>
      <c r="F454" s="17" t="s">
        <v>918</v>
      </c>
      <c r="G454" s="17">
        <v>8540428</v>
      </c>
      <c r="H454" s="17" t="s">
        <v>919</v>
      </c>
      <c r="I454" s="17">
        <v>8540428</v>
      </c>
    </row>
    <row r="455" spans="1:9" x14ac:dyDescent="0.3">
      <c r="A455" s="17" t="str">
        <f t="shared" si="22"/>
        <v>1020152</v>
      </c>
      <c r="B455" s="17">
        <v>102</v>
      </c>
      <c r="C455" s="17">
        <v>152</v>
      </c>
      <c r="D455" s="17" t="s">
        <v>917</v>
      </c>
      <c r="E455" s="17">
        <v>8627694</v>
      </c>
      <c r="F455" s="17" t="s">
        <v>918</v>
      </c>
      <c r="G455" s="17">
        <v>8627694</v>
      </c>
      <c r="H455" s="17" t="s">
        <v>919</v>
      </c>
      <c r="I455" s="17">
        <v>8627694</v>
      </c>
    </row>
    <row r="456" spans="1:9" x14ac:dyDescent="0.3">
      <c r="A456" s="17" t="str">
        <f t="shared" si="22"/>
        <v>1020153</v>
      </c>
      <c r="B456" s="17">
        <v>102</v>
      </c>
      <c r="C456" s="17">
        <v>153</v>
      </c>
      <c r="D456" s="17" t="s">
        <v>917</v>
      </c>
      <c r="E456" s="17">
        <v>8715267</v>
      </c>
      <c r="F456" s="17" t="s">
        <v>918</v>
      </c>
      <c r="G456" s="17">
        <v>8715267</v>
      </c>
      <c r="H456" s="17" t="s">
        <v>919</v>
      </c>
      <c r="I456" s="17">
        <v>8715267</v>
      </c>
    </row>
    <row r="457" spans="1:9" x14ac:dyDescent="0.3">
      <c r="A457" s="17" t="str">
        <f t="shared" si="22"/>
        <v>1020154</v>
      </c>
      <c r="B457" s="17">
        <v>102</v>
      </c>
      <c r="C457" s="17">
        <v>154</v>
      </c>
      <c r="D457" s="17" t="s">
        <v>917</v>
      </c>
      <c r="E457" s="17">
        <v>8803146</v>
      </c>
      <c r="F457" s="17" t="s">
        <v>918</v>
      </c>
      <c r="G457" s="17">
        <v>8803146</v>
      </c>
      <c r="H457" s="17" t="s">
        <v>919</v>
      </c>
      <c r="I457" s="17">
        <v>8803146</v>
      </c>
    </row>
    <row r="458" spans="1:9" x14ac:dyDescent="0.3">
      <c r="A458" s="17" t="str">
        <f t="shared" si="22"/>
        <v>1020155</v>
      </c>
      <c r="B458" s="17">
        <v>102</v>
      </c>
      <c r="C458" s="17">
        <v>155</v>
      </c>
      <c r="D458" s="17" t="s">
        <v>917</v>
      </c>
      <c r="E458" s="17">
        <v>8891329</v>
      </c>
      <c r="F458" s="17" t="s">
        <v>918</v>
      </c>
      <c r="G458" s="17">
        <v>8891329</v>
      </c>
      <c r="H458" s="17" t="s">
        <v>919</v>
      </c>
      <c r="I458" s="17">
        <v>8891329</v>
      </c>
    </row>
    <row r="459" spans="1:9" x14ac:dyDescent="0.3">
      <c r="A459" s="17" t="str">
        <f t="shared" si="22"/>
        <v>1020156</v>
      </c>
      <c r="B459" s="17">
        <v>102</v>
      </c>
      <c r="C459" s="17">
        <v>156</v>
      </c>
      <c r="D459" s="17" t="s">
        <v>917</v>
      </c>
      <c r="E459" s="17">
        <v>8979817</v>
      </c>
      <c r="F459" s="17" t="s">
        <v>918</v>
      </c>
      <c r="G459" s="17">
        <v>8979817</v>
      </c>
      <c r="H459" s="17" t="s">
        <v>919</v>
      </c>
      <c r="I459" s="17">
        <v>8979817</v>
      </c>
    </row>
    <row r="460" spans="1:9" x14ac:dyDescent="0.3">
      <c r="A460" s="17" t="str">
        <f t="shared" si="22"/>
        <v>1020157</v>
      </c>
      <c r="B460" s="17">
        <v>102</v>
      </c>
      <c r="C460" s="17">
        <v>157</v>
      </c>
      <c r="D460" s="17" t="s">
        <v>917</v>
      </c>
      <c r="E460" s="17">
        <v>9068608</v>
      </c>
      <c r="F460" s="17" t="s">
        <v>918</v>
      </c>
      <c r="G460" s="17">
        <v>9068608</v>
      </c>
      <c r="H460" s="17" t="s">
        <v>919</v>
      </c>
      <c r="I460" s="17">
        <v>9068608</v>
      </c>
    </row>
    <row r="461" spans="1:9" x14ac:dyDescent="0.3">
      <c r="A461" s="17" t="str">
        <f t="shared" si="22"/>
        <v>1020158</v>
      </c>
      <c r="B461" s="17">
        <v>102</v>
      </c>
      <c r="C461" s="17">
        <v>158</v>
      </c>
      <c r="D461" s="17" t="s">
        <v>917</v>
      </c>
      <c r="E461" s="17">
        <v>9157701</v>
      </c>
      <c r="F461" s="17" t="s">
        <v>918</v>
      </c>
      <c r="G461" s="17">
        <v>9157701</v>
      </c>
      <c r="H461" s="17" t="s">
        <v>919</v>
      </c>
      <c r="I461" s="17">
        <v>9157701</v>
      </c>
    </row>
    <row r="462" spans="1:9" x14ac:dyDescent="0.3">
      <c r="A462" s="17" t="str">
        <f t="shared" si="22"/>
        <v>1020159</v>
      </c>
      <c r="B462" s="17">
        <v>102</v>
      </c>
      <c r="C462" s="17">
        <v>159</v>
      </c>
      <c r="D462" s="17" t="s">
        <v>917</v>
      </c>
      <c r="E462" s="17">
        <v>9247095</v>
      </c>
      <c r="F462" s="17" t="s">
        <v>918</v>
      </c>
      <c r="G462" s="17">
        <v>9247095</v>
      </c>
      <c r="H462" s="17" t="s">
        <v>919</v>
      </c>
      <c r="I462" s="17">
        <v>9247095</v>
      </c>
    </row>
    <row r="463" spans="1:9" x14ac:dyDescent="0.3">
      <c r="A463" s="17" t="str">
        <f t="shared" si="22"/>
        <v>1020160</v>
      </c>
      <c r="B463" s="17">
        <v>102</v>
      </c>
      <c r="C463" s="17">
        <v>160</v>
      </c>
      <c r="D463" s="17" t="s">
        <v>917</v>
      </c>
      <c r="E463" s="17">
        <v>9336790</v>
      </c>
      <c r="F463" s="17" t="s">
        <v>918</v>
      </c>
      <c r="G463" s="17">
        <v>9336790</v>
      </c>
      <c r="H463" s="17" t="s">
        <v>919</v>
      </c>
      <c r="I463" s="17">
        <v>9336790</v>
      </c>
    </row>
    <row r="464" spans="1:9" x14ac:dyDescent="0.3">
      <c r="A464" s="17" t="str">
        <f t="shared" si="22"/>
        <v>1020161</v>
      </c>
      <c r="B464" s="17">
        <v>102</v>
      </c>
      <c r="C464" s="17">
        <v>161</v>
      </c>
      <c r="D464" s="17" t="s">
        <v>917</v>
      </c>
      <c r="E464" s="17">
        <v>9426784</v>
      </c>
      <c r="F464" s="17" t="s">
        <v>918</v>
      </c>
      <c r="G464" s="17">
        <v>9426784</v>
      </c>
      <c r="H464" s="17" t="s">
        <v>919</v>
      </c>
      <c r="I464" s="17">
        <v>9426784</v>
      </c>
    </row>
    <row r="465" spans="1:9" x14ac:dyDescent="0.3">
      <c r="A465" s="17" t="str">
        <f t="shared" si="22"/>
        <v>1020162</v>
      </c>
      <c r="B465" s="17">
        <v>102</v>
      </c>
      <c r="C465" s="17">
        <v>162</v>
      </c>
      <c r="D465" s="17" t="s">
        <v>917</v>
      </c>
      <c r="E465" s="17">
        <v>9517077</v>
      </c>
      <c r="F465" s="17" t="s">
        <v>918</v>
      </c>
      <c r="G465" s="17">
        <v>9517077</v>
      </c>
      <c r="H465" s="17" t="s">
        <v>919</v>
      </c>
      <c r="I465" s="17">
        <v>9517077</v>
      </c>
    </row>
    <row r="466" spans="1:9" x14ac:dyDescent="0.3">
      <c r="A466" s="17" t="str">
        <f t="shared" si="22"/>
        <v>1020163</v>
      </c>
      <c r="B466" s="17">
        <v>102</v>
      </c>
      <c r="C466" s="17">
        <v>163</v>
      </c>
      <c r="D466" s="17" t="s">
        <v>917</v>
      </c>
      <c r="E466" s="17">
        <v>9607667</v>
      </c>
      <c r="F466" s="17" t="s">
        <v>918</v>
      </c>
      <c r="G466" s="17">
        <v>9607667</v>
      </c>
      <c r="H466" s="17" t="s">
        <v>919</v>
      </c>
      <c r="I466" s="17">
        <v>9607667</v>
      </c>
    </row>
    <row r="467" spans="1:9" x14ac:dyDescent="0.3">
      <c r="A467" s="17" t="str">
        <f t="shared" si="22"/>
        <v>1020164</v>
      </c>
      <c r="B467" s="17">
        <v>102</v>
      </c>
      <c r="C467" s="17">
        <v>164</v>
      </c>
      <c r="D467" s="17" t="s">
        <v>917</v>
      </c>
      <c r="E467" s="17">
        <v>9698555</v>
      </c>
      <c r="F467" s="17" t="s">
        <v>918</v>
      </c>
      <c r="G467" s="17">
        <v>9698555</v>
      </c>
      <c r="H467" s="17" t="s">
        <v>919</v>
      </c>
      <c r="I467" s="17">
        <v>9698555</v>
      </c>
    </row>
    <row r="468" spans="1:9" x14ac:dyDescent="0.3">
      <c r="A468" s="17" t="str">
        <f t="shared" si="22"/>
        <v>1020165</v>
      </c>
      <c r="B468" s="17">
        <v>102</v>
      </c>
      <c r="C468" s="17">
        <v>165</v>
      </c>
      <c r="D468" s="17" t="s">
        <v>917</v>
      </c>
      <c r="E468" s="17">
        <v>9789738</v>
      </c>
      <c r="F468" s="17" t="s">
        <v>918</v>
      </c>
      <c r="G468" s="17">
        <v>9789738</v>
      </c>
      <c r="H468" s="17" t="s">
        <v>919</v>
      </c>
      <c r="I468" s="17">
        <v>9789738</v>
      </c>
    </row>
    <row r="469" spans="1:9" x14ac:dyDescent="0.3">
      <c r="A469" s="17" t="str">
        <f t="shared" si="22"/>
        <v>1020166</v>
      </c>
      <c r="B469" s="17">
        <v>102</v>
      </c>
      <c r="C469" s="17">
        <v>166</v>
      </c>
      <c r="D469" s="17" t="s">
        <v>917</v>
      </c>
      <c r="E469" s="17">
        <v>9881217</v>
      </c>
      <c r="F469" s="17" t="s">
        <v>918</v>
      </c>
      <c r="G469" s="17">
        <v>9881217</v>
      </c>
      <c r="H469" s="17" t="s">
        <v>919</v>
      </c>
      <c r="I469" s="17">
        <v>9881217</v>
      </c>
    </row>
    <row r="470" spans="1:9" x14ac:dyDescent="0.3">
      <c r="A470" s="17" t="str">
        <f t="shared" si="22"/>
        <v>1020167</v>
      </c>
      <c r="B470" s="17">
        <v>102</v>
      </c>
      <c r="C470" s="17">
        <v>167</v>
      </c>
      <c r="D470" s="17" t="s">
        <v>917</v>
      </c>
      <c r="E470" s="17">
        <v>9972990</v>
      </c>
      <c r="F470" s="17" t="s">
        <v>918</v>
      </c>
      <c r="G470" s="17">
        <v>9972990</v>
      </c>
      <c r="H470" s="17" t="s">
        <v>919</v>
      </c>
      <c r="I470" s="17">
        <v>9972990</v>
      </c>
    </row>
    <row r="471" spans="1:9" x14ac:dyDescent="0.3">
      <c r="A471" s="17" t="str">
        <f t="shared" si="22"/>
        <v>1020168</v>
      </c>
      <c r="B471" s="17">
        <v>102</v>
      </c>
      <c r="C471" s="17">
        <v>168</v>
      </c>
      <c r="D471" s="17" t="s">
        <v>917</v>
      </c>
      <c r="E471" s="17">
        <v>10065056</v>
      </c>
      <c r="F471" s="17" t="s">
        <v>918</v>
      </c>
      <c r="G471" s="17">
        <v>10065056</v>
      </c>
      <c r="H471" s="17" t="s">
        <v>919</v>
      </c>
      <c r="I471" s="17">
        <v>10065056</v>
      </c>
    </row>
    <row r="472" spans="1:9" x14ac:dyDescent="0.3">
      <c r="A472" s="17" t="str">
        <f t="shared" si="22"/>
        <v>1020169</v>
      </c>
      <c r="B472" s="17">
        <v>102</v>
      </c>
      <c r="C472" s="17">
        <v>169</v>
      </c>
      <c r="D472" s="17" t="s">
        <v>917</v>
      </c>
      <c r="E472" s="17">
        <v>10157415</v>
      </c>
      <c r="F472" s="17" t="s">
        <v>918</v>
      </c>
      <c r="G472" s="17">
        <v>10157415</v>
      </c>
      <c r="H472" s="17" t="s">
        <v>919</v>
      </c>
      <c r="I472" s="17">
        <v>10157415</v>
      </c>
    </row>
    <row r="473" spans="1:9" x14ac:dyDescent="0.3">
      <c r="A473" s="17" t="str">
        <f t="shared" si="22"/>
        <v>1020170</v>
      </c>
      <c r="B473" s="17">
        <v>102</v>
      </c>
      <c r="C473" s="17">
        <v>170</v>
      </c>
      <c r="D473" s="17" t="s">
        <v>917</v>
      </c>
      <c r="E473" s="17">
        <v>10250066</v>
      </c>
      <c r="F473" s="17" t="s">
        <v>918</v>
      </c>
      <c r="G473" s="17">
        <v>10250066</v>
      </c>
      <c r="H473" s="17" t="s">
        <v>919</v>
      </c>
      <c r="I473" s="17">
        <v>10250066</v>
      </c>
    </row>
    <row r="474" spans="1:9" x14ac:dyDescent="0.3">
      <c r="A474" s="17" t="str">
        <f t="shared" si="22"/>
        <v>1020171</v>
      </c>
      <c r="B474" s="17">
        <v>102</v>
      </c>
      <c r="C474" s="17">
        <v>171</v>
      </c>
      <c r="D474" s="17" t="s">
        <v>917</v>
      </c>
      <c r="E474" s="17">
        <v>10343008</v>
      </c>
      <c r="F474" s="17" t="s">
        <v>918</v>
      </c>
      <c r="G474" s="17">
        <v>10343008</v>
      </c>
      <c r="H474" s="17" t="s">
        <v>919</v>
      </c>
      <c r="I474" s="17">
        <v>10343008</v>
      </c>
    </row>
    <row r="475" spans="1:9" x14ac:dyDescent="0.3">
      <c r="A475" s="17" t="str">
        <f t="shared" si="22"/>
        <v>1020172</v>
      </c>
      <c r="B475" s="17">
        <v>102</v>
      </c>
      <c r="C475" s="17">
        <v>172</v>
      </c>
      <c r="D475" s="17" t="s">
        <v>917</v>
      </c>
      <c r="E475" s="17">
        <v>10436240</v>
      </c>
      <c r="F475" s="17" t="s">
        <v>918</v>
      </c>
      <c r="G475" s="17">
        <v>10436240</v>
      </c>
      <c r="H475" s="17" t="s">
        <v>919</v>
      </c>
      <c r="I475" s="17">
        <v>10436240</v>
      </c>
    </row>
    <row r="476" spans="1:9" x14ac:dyDescent="0.3">
      <c r="A476" s="17" t="str">
        <f t="shared" si="22"/>
        <v>1020173</v>
      </c>
      <c r="B476" s="17">
        <v>102</v>
      </c>
      <c r="C476" s="17">
        <v>173</v>
      </c>
      <c r="D476" s="17" t="s">
        <v>917</v>
      </c>
      <c r="E476" s="17">
        <v>10529761</v>
      </c>
      <c r="F476" s="17" t="s">
        <v>918</v>
      </c>
      <c r="G476" s="17">
        <v>10529761</v>
      </c>
      <c r="H476" s="17" t="s">
        <v>919</v>
      </c>
      <c r="I476" s="17">
        <v>10529761</v>
      </c>
    </row>
    <row r="477" spans="1:9" x14ac:dyDescent="0.3">
      <c r="A477" s="17" t="str">
        <f t="shared" si="22"/>
        <v>1020174</v>
      </c>
      <c r="B477" s="17">
        <v>102</v>
      </c>
      <c r="C477" s="17">
        <v>174</v>
      </c>
      <c r="D477" s="17" t="s">
        <v>917</v>
      </c>
      <c r="E477" s="17">
        <v>10623571</v>
      </c>
      <c r="F477" s="17" t="s">
        <v>918</v>
      </c>
      <c r="G477" s="17">
        <v>10623571</v>
      </c>
      <c r="H477" s="17" t="s">
        <v>919</v>
      </c>
      <c r="I477" s="17">
        <v>10623571</v>
      </c>
    </row>
    <row r="478" spans="1:9" x14ac:dyDescent="0.3">
      <c r="A478" s="17" t="str">
        <f t="shared" si="22"/>
        <v>1020175</v>
      </c>
      <c r="B478" s="17">
        <v>102</v>
      </c>
      <c r="C478" s="17">
        <v>175</v>
      </c>
      <c r="D478" s="17" t="s">
        <v>917</v>
      </c>
      <c r="E478" s="17">
        <v>10717669</v>
      </c>
      <c r="F478" s="17" t="s">
        <v>918</v>
      </c>
      <c r="G478" s="17">
        <v>10717669</v>
      </c>
      <c r="H478" s="17" t="s">
        <v>919</v>
      </c>
      <c r="I478" s="17">
        <v>10717669</v>
      </c>
    </row>
    <row r="479" spans="1:9" x14ac:dyDescent="0.3">
      <c r="A479" s="17" t="str">
        <f t="shared" si="22"/>
        <v>1020176</v>
      </c>
      <c r="B479" s="17">
        <v>102</v>
      </c>
      <c r="C479" s="17">
        <v>176</v>
      </c>
      <c r="D479" s="17" t="s">
        <v>917</v>
      </c>
      <c r="E479" s="17">
        <v>10812054</v>
      </c>
      <c r="F479" s="17" t="s">
        <v>918</v>
      </c>
      <c r="G479" s="17">
        <v>10812054</v>
      </c>
      <c r="H479" s="17" t="s">
        <v>919</v>
      </c>
      <c r="I479" s="17">
        <v>10812054</v>
      </c>
    </row>
    <row r="480" spans="1:9" x14ac:dyDescent="0.3">
      <c r="A480" s="17" t="str">
        <f t="shared" si="22"/>
        <v>1020177</v>
      </c>
      <c r="B480" s="17">
        <v>102</v>
      </c>
      <c r="C480" s="17">
        <v>177</v>
      </c>
      <c r="D480" s="17" t="s">
        <v>917</v>
      </c>
      <c r="E480" s="17">
        <v>10906725</v>
      </c>
      <c r="F480" s="17" t="s">
        <v>918</v>
      </c>
      <c r="G480" s="17">
        <v>10906725</v>
      </c>
      <c r="H480" s="17" t="s">
        <v>919</v>
      </c>
      <c r="I480" s="17">
        <v>10906725</v>
      </c>
    </row>
    <row r="481" spans="1:9" x14ac:dyDescent="0.3">
      <c r="A481" s="17" t="str">
        <f t="shared" si="22"/>
        <v>1020178</v>
      </c>
      <c r="B481" s="17">
        <v>102</v>
      </c>
      <c r="C481" s="17">
        <v>178</v>
      </c>
      <c r="D481" s="17" t="s">
        <v>917</v>
      </c>
      <c r="E481" s="17">
        <v>11001682</v>
      </c>
      <c r="F481" s="17" t="s">
        <v>918</v>
      </c>
      <c r="G481" s="17">
        <v>11001682</v>
      </c>
      <c r="H481" s="17" t="s">
        <v>919</v>
      </c>
      <c r="I481" s="17">
        <v>11001682</v>
      </c>
    </row>
    <row r="482" spans="1:9" x14ac:dyDescent="0.3">
      <c r="A482" s="17" t="str">
        <f t="shared" si="22"/>
        <v>1020179</v>
      </c>
      <c r="B482" s="17">
        <v>102</v>
      </c>
      <c r="C482" s="17">
        <v>179</v>
      </c>
      <c r="D482" s="17" t="s">
        <v>917</v>
      </c>
      <c r="E482" s="17">
        <v>11096924</v>
      </c>
      <c r="F482" s="17" t="s">
        <v>918</v>
      </c>
      <c r="G482" s="17">
        <v>11096924</v>
      </c>
      <c r="H482" s="17" t="s">
        <v>919</v>
      </c>
      <c r="I482" s="17">
        <v>11096924</v>
      </c>
    </row>
    <row r="483" spans="1:9" x14ac:dyDescent="0.3">
      <c r="A483" s="17" t="str">
        <f t="shared" si="22"/>
        <v>1020180</v>
      </c>
      <c r="B483" s="17">
        <v>102</v>
      </c>
      <c r="C483" s="17">
        <v>180</v>
      </c>
      <c r="D483" s="17" t="s">
        <v>917</v>
      </c>
      <c r="E483" s="17">
        <v>11192449</v>
      </c>
      <c r="F483" s="17" t="s">
        <v>918</v>
      </c>
      <c r="G483" s="17">
        <v>11192449</v>
      </c>
      <c r="H483" s="17" t="s">
        <v>919</v>
      </c>
      <c r="I483" s="17">
        <v>11192449</v>
      </c>
    </row>
    <row r="484" spans="1:9" x14ac:dyDescent="0.3">
      <c r="A484" s="17" t="str">
        <f t="shared" si="22"/>
        <v>1020181</v>
      </c>
      <c r="B484" s="17">
        <v>102</v>
      </c>
      <c r="C484" s="17">
        <v>181</v>
      </c>
      <c r="D484" s="17" t="s">
        <v>917</v>
      </c>
      <c r="E484" s="17">
        <v>11288258</v>
      </c>
      <c r="F484" s="17" t="s">
        <v>918</v>
      </c>
      <c r="G484" s="17">
        <v>11288258</v>
      </c>
      <c r="H484" s="17" t="s">
        <v>919</v>
      </c>
      <c r="I484" s="17">
        <v>11288258</v>
      </c>
    </row>
    <row r="485" spans="1:9" x14ac:dyDescent="0.3">
      <c r="A485" s="17" t="str">
        <f t="shared" si="22"/>
        <v>1020182</v>
      </c>
      <c r="B485" s="17">
        <v>102</v>
      </c>
      <c r="C485" s="17">
        <v>182</v>
      </c>
      <c r="D485" s="17" t="s">
        <v>917</v>
      </c>
      <c r="E485" s="17">
        <v>11384349</v>
      </c>
      <c r="F485" s="17" t="s">
        <v>918</v>
      </c>
      <c r="G485" s="17">
        <v>11384349</v>
      </c>
      <c r="H485" s="17" t="s">
        <v>919</v>
      </c>
      <c r="I485" s="17">
        <v>11384349</v>
      </c>
    </row>
    <row r="486" spans="1:9" x14ac:dyDescent="0.3">
      <c r="A486" s="17" t="str">
        <f t="shared" si="22"/>
        <v>1020183</v>
      </c>
      <c r="B486" s="17">
        <v>102</v>
      </c>
      <c r="C486" s="17">
        <v>183</v>
      </c>
      <c r="D486" s="17" t="s">
        <v>917</v>
      </c>
      <c r="E486" s="17">
        <v>11480722</v>
      </c>
      <c r="F486" s="17" t="s">
        <v>918</v>
      </c>
      <c r="G486" s="17">
        <v>11480722</v>
      </c>
      <c r="H486" s="17" t="s">
        <v>919</v>
      </c>
      <c r="I486" s="17">
        <v>11480722</v>
      </c>
    </row>
    <row r="487" spans="1:9" x14ac:dyDescent="0.3">
      <c r="A487" s="17" t="str">
        <f t="shared" si="22"/>
        <v>1020184</v>
      </c>
      <c r="B487" s="17">
        <v>102</v>
      </c>
      <c r="C487" s="17">
        <v>184</v>
      </c>
      <c r="D487" s="17" t="s">
        <v>917</v>
      </c>
      <c r="E487" s="17">
        <v>11577377</v>
      </c>
      <c r="F487" s="17" t="s">
        <v>918</v>
      </c>
      <c r="G487" s="17">
        <v>11577377</v>
      </c>
      <c r="H487" s="17" t="s">
        <v>919</v>
      </c>
      <c r="I487" s="17">
        <v>11577377</v>
      </c>
    </row>
    <row r="488" spans="1:9" x14ac:dyDescent="0.3">
      <c r="A488" s="17" t="str">
        <f t="shared" si="22"/>
        <v>1020185</v>
      </c>
      <c r="B488" s="17">
        <v>102</v>
      </c>
      <c r="C488" s="17">
        <v>185</v>
      </c>
      <c r="D488" s="17" t="s">
        <v>917</v>
      </c>
      <c r="E488" s="17">
        <v>11674311</v>
      </c>
      <c r="F488" s="17" t="s">
        <v>918</v>
      </c>
      <c r="G488" s="17">
        <v>11674311</v>
      </c>
      <c r="H488" s="17" t="s">
        <v>919</v>
      </c>
      <c r="I488" s="17">
        <v>11674311</v>
      </c>
    </row>
    <row r="489" spans="1:9" x14ac:dyDescent="0.3">
      <c r="A489" s="17" t="str">
        <f t="shared" si="22"/>
        <v>1020186</v>
      </c>
      <c r="B489" s="17">
        <v>102</v>
      </c>
      <c r="C489" s="17">
        <v>186</v>
      </c>
      <c r="D489" s="17" t="s">
        <v>917</v>
      </c>
      <c r="E489" s="17">
        <v>11771525</v>
      </c>
      <c r="F489" s="17" t="s">
        <v>918</v>
      </c>
      <c r="G489" s="17">
        <v>11771525</v>
      </c>
      <c r="H489" s="17" t="s">
        <v>919</v>
      </c>
      <c r="I489" s="17">
        <v>11771525</v>
      </c>
    </row>
    <row r="490" spans="1:9" x14ac:dyDescent="0.3">
      <c r="A490" s="17" t="str">
        <f t="shared" si="22"/>
        <v>1020187</v>
      </c>
      <c r="B490" s="17">
        <v>102</v>
      </c>
      <c r="C490" s="17">
        <v>187</v>
      </c>
      <c r="D490" s="17" t="s">
        <v>917</v>
      </c>
      <c r="E490" s="17">
        <v>11869018</v>
      </c>
      <c r="F490" s="17" t="s">
        <v>918</v>
      </c>
      <c r="G490" s="17">
        <v>11869018</v>
      </c>
      <c r="H490" s="17" t="s">
        <v>919</v>
      </c>
      <c r="I490" s="17">
        <v>11869018</v>
      </c>
    </row>
    <row r="491" spans="1:9" x14ac:dyDescent="0.3">
      <c r="A491" s="17" t="str">
        <f t="shared" si="22"/>
        <v>1020188</v>
      </c>
      <c r="B491" s="17">
        <v>102</v>
      </c>
      <c r="C491" s="17">
        <v>188</v>
      </c>
      <c r="D491" s="17" t="s">
        <v>917</v>
      </c>
      <c r="E491" s="17">
        <v>11966789</v>
      </c>
      <c r="F491" s="17" t="s">
        <v>918</v>
      </c>
      <c r="G491" s="17">
        <v>11966789</v>
      </c>
      <c r="H491" s="17" t="s">
        <v>919</v>
      </c>
      <c r="I491" s="17">
        <v>11966789</v>
      </c>
    </row>
    <row r="492" spans="1:9" x14ac:dyDescent="0.3">
      <c r="A492" s="17" t="str">
        <f t="shared" si="22"/>
        <v>1020189</v>
      </c>
      <c r="B492" s="17">
        <v>102</v>
      </c>
      <c r="C492" s="17">
        <v>189</v>
      </c>
      <c r="D492" s="17" t="s">
        <v>917</v>
      </c>
      <c r="E492" s="17">
        <v>12064838</v>
      </c>
      <c r="F492" s="17" t="s">
        <v>918</v>
      </c>
      <c r="G492" s="17">
        <v>12064838</v>
      </c>
      <c r="H492" s="17" t="s">
        <v>919</v>
      </c>
      <c r="I492" s="17">
        <v>12064838</v>
      </c>
    </row>
    <row r="493" spans="1:9" x14ac:dyDescent="0.3">
      <c r="A493" s="17" t="str">
        <f t="shared" si="22"/>
        <v>1020190</v>
      </c>
      <c r="B493" s="17">
        <v>102</v>
      </c>
      <c r="C493" s="17">
        <v>190</v>
      </c>
      <c r="D493" s="17" t="s">
        <v>917</v>
      </c>
      <c r="E493" s="17">
        <v>12163164</v>
      </c>
      <c r="F493" s="17" t="s">
        <v>918</v>
      </c>
      <c r="G493" s="17">
        <v>12163164</v>
      </c>
      <c r="H493" s="17" t="s">
        <v>919</v>
      </c>
      <c r="I493" s="17">
        <v>12163164</v>
      </c>
    </row>
    <row r="494" spans="1:9" x14ac:dyDescent="0.3">
      <c r="A494" s="17" t="str">
        <f t="shared" si="22"/>
        <v>1020191</v>
      </c>
      <c r="B494" s="17">
        <v>102</v>
      </c>
      <c r="C494" s="17">
        <v>191</v>
      </c>
      <c r="D494" s="17" t="s">
        <v>917</v>
      </c>
      <c r="E494" s="17">
        <v>12261765</v>
      </c>
      <c r="F494" s="17" t="s">
        <v>918</v>
      </c>
      <c r="G494" s="17">
        <v>12261765</v>
      </c>
      <c r="H494" s="17" t="s">
        <v>919</v>
      </c>
      <c r="I494" s="17">
        <v>12261765</v>
      </c>
    </row>
    <row r="495" spans="1:9" x14ac:dyDescent="0.3">
      <c r="A495" s="17" t="str">
        <f t="shared" si="22"/>
        <v>1020192</v>
      </c>
      <c r="B495" s="17">
        <v>102</v>
      </c>
      <c r="C495" s="17">
        <v>192</v>
      </c>
      <c r="D495" s="17" t="s">
        <v>917</v>
      </c>
      <c r="E495" s="17">
        <v>12360642</v>
      </c>
      <c r="F495" s="17" t="s">
        <v>918</v>
      </c>
      <c r="G495" s="17">
        <v>12360642</v>
      </c>
      <c r="H495" s="17" t="s">
        <v>919</v>
      </c>
      <c r="I495" s="17">
        <v>12360642</v>
      </c>
    </row>
    <row r="496" spans="1:9" x14ac:dyDescent="0.3">
      <c r="A496" s="17" t="str">
        <f t="shared" si="22"/>
        <v>1020193</v>
      </c>
      <c r="B496" s="17">
        <v>102</v>
      </c>
      <c r="C496" s="17">
        <v>193</v>
      </c>
      <c r="D496" s="17" t="s">
        <v>917</v>
      </c>
      <c r="E496" s="17">
        <v>12459794</v>
      </c>
      <c r="F496" s="17" t="s">
        <v>918</v>
      </c>
      <c r="G496" s="17">
        <v>12459794</v>
      </c>
      <c r="H496" s="17" t="s">
        <v>919</v>
      </c>
      <c r="I496" s="17">
        <v>12459794</v>
      </c>
    </row>
    <row r="497" spans="1:9" x14ac:dyDescent="0.3">
      <c r="A497" s="17" t="str">
        <f t="shared" si="22"/>
        <v>1020194</v>
      </c>
      <c r="B497" s="17">
        <v>102</v>
      </c>
      <c r="C497" s="17">
        <v>194</v>
      </c>
      <c r="D497" s="17" t="s">
        <v>917</v>
      </c>
      <c r="E497" s="17">
        <v>12559220</v>
      </c>
      <c r="F497" s="17" t="s">
        <v>918</v>
      </c>
      <c r="G497" s="17">
        <v>12559220</v>
      </c>
      <c r="H497" s="17" t="s">
        <v>919</v>
      </c>
      <c r="I497" s="17">
        <v>12559220</v>
      </c>
    </row>
    <row r="498" spans="1:9" x14ac:dyDescent="0.3">
      <c r="A498" s="17" t="str">
        <f t="shared" si="22"/>
        <v>1020195</v>
      </c>
      <c r="B498" s="17">
        <v>102</v>
      </c>
      <c r="C498" s="17">
        <v>195</v>
      </c>
      <c r="D498" s="17" t="s">
        <v>917</v>
      </c>
      <c r="E498" s="17">
        <v>12658919</v>
      </c>
      <c r="F498" s="17" t="s">
        <v>918</v>
      </c>
      <c r="G498" s="17">
        <v>12658919</v>
      </c>
      <c r="H498" s="17" t="s">
        <v>919</v>
      </c>
      <c r="I498" s="17">
        <v>12658919</v>
      </c>
    </row>
    <row r="499" spans="1:9" x14ac:dyDescent="0.3">
      <c r="A499" s="17" t="str">
        <f t="shared" si="22"/>
        <v>1020196</v>
      </c>
      <c r="B499" s="17">
        <v>102</v>
      </c>
      <c r="C499" s="17">
        <v>196</v>
      </c>
      <c r="D499" s="17" t="s">
        <v>917</v>
      </c>
      <c r="E499" s="17">
        <v>12758892</v>
      </c>
      <c r="F499" s="17" t="s">
        <v>918</v>
      </c>
      <c r="G499" s="17">
        <v>12758892</v>
      </c>
      <c r="H499" s="17" t="s">
        <v>919</v>
      </c>
      <c r="I499" s="17">
        <v>12758892</v>
      </c>
    </row>
    <row r="500" spans="1:9" x14ac:dyDescent="0.3">
      <c r="A500" s="17" t="str">
        <f t="shared" si="22"/>
        <v>1020197</v>
      </c>
      <c r="B500" s="17">
        <v>102</v>
      </c>
      <c r="C500" s="17">
        <v>197</v>
      </c>
      <c r="D500" s="17" t="s">
        <v>917</v>
      </c>
      <c r="E500" s="17">
        <v>12859136</v>
      </c>
      <c r="F500" s="17" t="s">
        <v>918</v>
      </c>
      <c r="G500" s="17">
        <v>12859136</v>
      </c>
      <c r="H500" s="17" t="s">
        <v>919</v>
      </c>
      <c r="I500" s="17">
        <v>12859136</v>
      </c>
    </row>
    <row r="501" spans="1:9" x14ac:dyDescent="0.3">
      <c r="A501" s="17" t="str">
        <f t="shared" si="22"/>
        <v>1020198</v>
      </c>
      <c r="B501" s="17">
        <v>102</v>
      </c>
      <c r="C501" s="17">
        <v>198</v>
      </c>
      <c r="D501" s="17" t="s">
        <v>917</v>
      </c>
      <c r="E501" s="17">
        <v>12959651</v>
      </c>
      <c r="F501" s="17" t="s">
        <v>918</v>
      </c>
      <c r="G501" s="17">
        <v>12959651</v>
      </c>
      <c r="H501" s="17" t="s">
        <v>919</v>
      </c>
      <c r="I501" s="17">
        <v>12959651</v>
      </c>
    </row>
    <row r="502" spans="1:9" x14ac:dyDescent="0.3">
      <c r="A502" s="17" t="str">
        <f t="shared" si="22"/>
        <v>1020199</v>
      </c>
      <c r="B502" s="17">
        <v>102</v>
      </c>
      <c r="C502" s="17">
        <v>199</v>
      </c>
      <c r="D502" s="17" t="s">
        <v>917</v>
      </c>
      <c r="E502" s="17">
        <v>13060438</v>
      </c>
      <c r="F502" s="17" t="s">
        <v>918</v>
      </c>
      <c r="G502" s="17">
        <v>13060438</v>
      </c>
      <c r="H502" s="17" t="s">
        <v>919</v>
      </c>
      <c r="I502" s="17">
        <v>13060438</v>
      </c>
    </row>
    <row r="503" spans="1:9" x14ac:dyDescent="0.3">
      <c r="A503" s="17" t="str">
        <f t="shared" si="22"/>
        <v>1020200</v>
      </c>
      <c r="B503" s="17">
        <v>102</v>
      </c>
      <c r="C503" s="17">
        <v>200</v>
      </c>
      <c r="D503" s="17" t="s">
        <v>917</v>
      </c>
      <c r="E503" s="17">
        <v>13161494</v>
      </c>
      <c r="F503" s="17" t="s">
        <v>918</v>
      </c>
      <c r="G503" s="17">
        <v>13161494</v>
      </c>
      <c r="H503" s="17" t="s">
        <v>919</v>
      </c>
      <c r="I503" s="17">
        <v>13161494</v>
      </c>
    </row>
    <row r="504" spans="1:9" x14ac:dyDescent="0.3">
      <c r="A504" s="17" t="str">
        <f t="shared" si="22"/>
        <v>1020201</v>
      </c>
      <c r="B504" s="17">
        <v>102</v>
      </c>
      <c r="C504" s="17">
        <v>201</v>
      </c>
      <c r="D504" s="17" t="s">
        <v>917</v>
      </c>
      <c r="E504" s="17">
        <v>13262820</v>
      </c>
      <c r="F504" s="17" t="s">
        <v>918</v>
      </c>
      <c r="G504" s="17">
        <v>13262820</v>
      </c>
      <c r="H504" s="17" t="s">
        <v>919</v>
      </c>
      <c r="I504" s="17">
        <v>13262820</v>
      </c>
    </row>
    <row r="505" spans="1:9" x14ac:dyDescent="0.3">
      <c r="A505" s="17" t="str">
        <f t="shared" si="22"/>
        <v>1020202</v>
      </c>
      <c r="B505" s="17">
        <v>102</v>
      </c>
      <c r="C505" s="17">
        <v>202</v>
      </c>
      <c r="D505" s="17" t="s">
        <v>917</v>
      </c>
      <c r="E505" s="17">
        <v>13364415</v>
      </c>
      <c r="F505" s="17" t="s">
        <v>918</v>
      </c>
      <c r="G505" s="17">
        <v>13364415</v>
      </c>
      <c r="H505" s="17" t="s">
        <v>919</v>
      </c>
      <c r="I505" s="17">
        <v>13364415</v>
      </c>
    </row>
    <row r="506" spans="1:9" x14ac:dyDescent="0.3">
      <c r="A506" s="17" t="str">
        <f t="shared" si="22"/>
        <v>1020203</v>
      </c>
      <c r="B506" s="17">
        <v>102</v>
      </c>
      <c r="C506" s="17">
        <v>203</v>
      </c>
      <c r="D506" s="17" t="s">
        <v>917</v>
      </c>
      <c r="E506" s="17">
        <v>13466278</v>
      </c>
      <c r="F506" s="17" t="s">
        <v>918</v>
      </c>
      <c r="G506" s="17">
        <v>13466278</v>
      </c>
      <c r="H506" s="17" t="s">
        <v>919</v>
      </c>
      <c r="I506" s="17">
        <v>13466278</v>
      </c>
    </row>
    <row r="507" spans="1:9" x14ac:dyDescent="0.3">
      <c r="A507" s="17" t="str">
        <f t="shared" si="22"/>
        <v>1020204</v>
      </c>
      <c r="B507" s="17">
        <v>102</v>
      </c>
      <c r="C507" s="17">
        <v>204</v>
      </c>
      <c r="D507" s="17" t="s">
        <v>917</v>
      </c>
      <c r="E507" s="17">
        <v>13568409</v>
      </c>
      <c r="F507" s="17" t="s">
        <v>918</v>
      </c>
      <c r="G507" s="17">
        <v>13568409</v>
      </c>
      <c r="H507" s="17" t="s">
        <v>919</v>
      </c>
      <c r="I507" s="17">
        <v>13568409</v>
      </c>
    </row>
    <row r="508" spans="1:9" x14ac:dyDescent="0.3">
      <c r="A508" s="17" t="str">
        <f t="shared" si="22"/>
        <v>1020205</v>
      </c>
      <c r="B508" s="17">
        <v>102</v>
      </c>
      <c r="C508" s="17">
        <v>205</v>
      </c>
      <c r="D508" s="17" t="s">
        <v>917</v>
      </c>
      <c r="E508" s="17">
        <v>13670807</v>
      </c>
      <c r="F508" s="17" t="s">
        <v>918</v>
      </c>
      <c r="G508" s="17">
        <v>13670807</v>
      </c>
      <c r="H508" s="17" t="s">
        <v>919</v>
      </c>
      <c r="I508" s="17">
        <v>13670807</v>
      </c>
    </row>
    <row r="509" spans="1:9" x14ac:dyDescent="0.3">
      <c r="A509" s="17" t="str">
        <f t="shared" si="22"/>
        <v>1020206</v>
      </c>
      <c r="B509" s="17">
        <v>102</v>
      </c>
      <c r="C509" s="17">
        <v>206</v>
      </c>
      <c r="D509" s="17" t="s">
        <v>917</v>
      </c>
      <c r="E509" s="17">
        <v>13773471</v>
      </c>
      <c r="F509" s="17" t="s">
        <v>918</v>
      </c>
      <c r="G509" s="17">
        <v>13773471</v>
      </c>
      <c r="H509" s="17" t="s">
        <v>919</v>
      </c>
      <c r="I509" s="17">
        <v>13773471</v>
      </c>
    </row>
    <row r="510" spans="1:9" x14ac:dyDescent="0.3">
      <c r="A510" s="17" t="str">
        <f t="shared" si="22"/>
        <v>1020207</v>
      </c>
      <c r="B510" s="17">
        <v>102</v>
      </c>
      <c r="C510" s="17">
        <v>207</v>
      </c>
      <c r="D510" s="17" t="s">
        <v>917</v>
      </c>
      <c r="E510" s="17">
        <v>13876401</v>
      </c>
      <c r="F510" s="17" t="s">
        <v>918</v>
      </c>
      <c r="G510" s="17">
        <v>13876401</v>
      </c>
      <c r="H510" s="17" t="s">
        <v>919</v>
      </c>
      <c r="I510" s="17">
        <v>13876401</v>
      </c>
    </row>
    <row r="511" spans="1:9" x14ac:dyDescent="0.3">
      <c r="A511" s="17" t="str">
        <f t="shared" si="22"/>
        <v>1020208</v>
      </c>
      <c r="B511" s="17">
        <v>102</v>
      </c>
      <c r="C511" s="17">
        <v>208</v>
      </c>
      <c r="D511" s="17" t="s">
        <v>917</v>
      </c>
      <c r="E511" s="17">
        <v>13979596</v>
      </c>
      <c r="F511" s="17" t="s">
        <v>918</v>
      </c>
      <c r="G511" s="17">
        <v>13979596</v>
      </c>
      <c r="H511" s="17" t="s">
        <v>919</v>
      </c>
      <c r="I511" s="17">
        <v>13979596</v>
      </c>
    </row>
    <row r="512" spans="1:9" x14ac:dyDescent="0.3">
      <c r="A512" s="17" t="str">
        <f t="shared" si="22"/>
        <v>1020209</v>
      </c>
      <c r="B512" s="17">
        <v>102</v>
      </c>
      <c r="C512" s="17">
        <v>209</v>
      </c>
      <c r="D512" s="17" t="s">
        <v>917</v>
      </c>
      <c r="E512" s="17">
        <v>14083056</v>
      </c>
      <c r="F512" s="17" t="s">
        <v>918</v>
      </c>
      <c r="G512" s="17">
        <v>14083056</v>
      </c>
      <c r="H512" s="17" t="s">
        <v>919</v>
      </c>
      <c r="I512" s="17">
        <v>14083056</v>
      </c>
    </row>
    <row r="513" spans="1:9" x14ac:dyDescent="0.3">
      <c r="A513" s="17" t="str">
        <f t="shared" si="22"/>
        <v>1020210</v>
      </c>
      <c r="B513" s="17">
        <v>102</v>
      </c>
      <c r="C513" s="17">
        <v>210</v>
      </c>
      <c r="D513" s="17" t="s">
        <v>917</v>
      </c>
      <c r="E513" s="17">
        <v>14186779</v>
      </c>
      <c r="F513" s="17" t="s">
        <v>918</v>
      </c>
      <c r="G513" s="17">
        <v>14186779</v>
      </c>
      <c r="H513" s="17" t="s">
        <v>919</v>
      </c>
      <c r="I513" s="17">
        <v>14186779</v>
      </c>
    </row>
    <row r="514" spans="1:9" x14ac:dyDescent="0.3">
      <c r="A514" s="17" t="str">
        <f t="shared" si="22"/>
        <v>1020211</v>
      </c>
      <c r="B514" s="17">
        <v>102</v>
      </c>
      <c r="C514" s="17">
        <v>211</v>
      </c>
      <c r="D514" s="17" t="s">
        <v>917</v>
      </c>
      <c r="E514" s="17">
        <v>14290766</v>
      </c>
      <c r="F514" s="17" t="s">
        <v>918</v>
      </c>
      <c r="G514" s="17">
        <v>14290766</v>
      </c>
      <c r="H514" s="17" t="s">
        <v>919</v>
      </c>
      <c r="I514" s="17">
        <v>14290766</v>
      </c>
    </row>
    <row r="515" spans="1:9" x14ac:dyDescent="0.3">
      <c r="A515" s="17" t="str">
        <f t="shared" si="22"/>
        <v>1020212</v>
      </c>
      <c r="B515" s="17">
        <v>102</v>
      </c>
      <c r="C515" s="17">
        <v>212</v>
      </c>
      <c r="D515" s="17" t="s">
        <v>917</v>
      </c>
      <c r="E515" s="17">
        <v>14395016</v>
      </c>
      <c r="F515" s="17" t="s">
        <v>918</v>
      </c>
      <c r="G515" s="17">
        <v>14395016</v>
      </c>
      <c r="H515" s="17" t="s">
        <v>919</v>
      </c>
      <c r="I515" s="17">
        <v>14395016</v>
      </c>
    </row>
    <row r="516" spans="1:9" x14ac:dyDescent="0.3">
      <c r="A516" s="17" t="str">
        <f t="shared" ref="A516:A579" si="23">B516&amp;TEXT(C516,"0000")</f>
        <v>1020213</v>
      </c>
      <c r="B516" s="17">
        <v>102</v>
      </c>
      <c r="C516" s="17">
        <v>213</v>
      </c>
      <c r="D516" s="17" t="s">
        <v>917</v>
      </c>
      <c r="E516" s="17">
        <v>14499528</v>
      </c>
      <c r="F516" s="17" t="s">
        <v>918</v>
      </c>
      <c r="G516" s="17">
        <v>14499528</v>
      </c>
      <c r="H516" s="17" t="s">
        <v>919</v>
      </c>
      <c r="I516" s="17">
        <v>14499528</v>
      </c>
    </row>
    <row r="517" spans="1:9" x14ac:dyDescent="0.3">
      <c r="A517" s="17" t="str">
        <f t="shared" si="23"/>
        <v>1020214</v>
      </c>
      <c r="B517" s="17">
        <v>102</v>
      </c>
      <c r="C517" s="17">
        <v>214</v>
      </c>
      <c r="D517" s="17" t="s">
        <v>917</v>
      </c>
      <c r="E517" s="17">
        <v>14604301</v>
      </c>
      <c r="F517" s="17" t="s">
        <v>918</v>
      </c>
      <c r="G517" s="17">
        <v>14604301</v>
      </c>
      <c r="H517" s="17" t="s">
        <v>919</v>
      </c>
      <c r="I517" s="17">
        <v>14604301</v>
      </c>
    </row>
    <row r="518" spans="1:9" x14ac:dyDescent="0.3">
      <c r="A518" s="17" t="str">
        <f t="shared" si="23"/>
        <v>1020215</v>
      </c>
      <c r="B518" s="17">
        <v>102</v>
      </c>
      <c r="C518" s="17">
        <v>215</v>
      </c>
      <c r="D518" s="17" t="s">
        <v>917</v>
      </c>
      <c r="E518" s="17">
        <v>14709336</v>
      </c>
      <c r="F518" s="17" t="s">
        <v>918</v>
      </c>
      <c r="G518" s="17">
        <v>14709336</v>
      </c>
      <c r="H518" s="17" t="s">
        <v>919</v>
      </c>
      <c r="I518" s="17">
        <v>14709336</v>
      </c>
    </row>
    <row r="519" spans="1:9" x14ac:dyDescent="0.3">
      <c r="A519" s="17" t="str">
        <f t="shared" si="23"/>
        <v>1020216</v>
      </c>
      <c r="B519" s="17">
        <v>102</v>
      </c>
      <c r="C519" s="17">
        <v>216</v>
      </c>
      <c r="D519" s="17" t="s">
        <v>917</v>
      </c>
      <c r="E519" s="17">
        <v>14814631</v>
      </c>
      <c r="F519" s="17" t="s">
        <v>918</v>
      </c>
      <c r="G519" s="17">
        <v>14814631</v>
      </c>
      <c r="H519" s="17" t="s">
        <v>919</v>
      </c>
      <c r="I519" s="17">
        <v>14814631</v>
      </c>
    </row>
    <row r="520" spans="1:9" x14ac:dyDescent="0.3">
      <c r="A520" s="17" t="str">
        <f t="shared" si="23"/>
        <v>1020217</v>
      </c>
      <c r="B520" s="17">
        <v>102</v>
      </c>
      <c r="C520" s="17">
        <v>217</v>
      </c>
      <c r="D520" s="17" t="s">
        <v>917</v>
      </c>
      <c r="E520" s="17">
        <v>14920186</v>
      </c>
      <c r="F520" s="17" t="s">
        <v>918</v>
      </c>
      <c r="G520" s="17">
        <v>14920186</v>
      </c>
      <c r="H520" s="17" t="s">
        <v>919</v>
      </c>
      <c r="I520" s="17">
        <v>14920186</v>
      </c>
    </row>
    <row r="521" spans="1:9" x14ac:dyDescent="0.3">
      <c r="A521" s="17" t="str">
        <f t="shared" si="23"/>
        <v>1020218</v>
      </c>
      <c r="B521" s="17">
        <v>102</v>
      </c>
      <c r="C521" s="17">
        <v>218</v>
      </c>
      <c r="D521" s="17" t="s">
        <v>917</v>
      </c>
      <c r="E521" s="17">
        <v>15026000</v>
      </c>
      <c r="F521" s="17" t="s">
        <v>918</v>
      </c>
      <c r="G521" s="17">
        <v>15026000</v>
      </c>
      <c r="H521" s="17" t="s">
        <v>919</v>
      </c>
      <c r="I521" s="17">
        <v>15026000</v>
      </c>
    </row>
    <row r="522" spans="1:9" x14ac:dyDescent="0.3">
      <c r="A522" s="17" t="str">
        <f t="shared" si="23"/>
        <v>1020219</v>
      </c>
      <c r="B522" s="17">
        <v>102</v>
      </c>
      <c r="C522" s="17">
        <v>219</v>
      </c>
      <c r="D522" s="17" t="s">
        <v>917</v>
      </c>
      <c r="E522" s="17">
        <v>15132073</v>
      </c>
      <c r="F522" s="17" t="s">
        <v>918</v>
      </c>
      <c r="G522" s="17">
        <v>15132073</v>
      </c>
      <c r="H522" s="17" t="s">
        <v>919</v>
      </c>
      <c r="I522" s="17">
        <v>15132073</v>
      </c>
    </row>
    <row r="523" spans="1:9" x14ac:dyDescent="0.3">
      <c r="A523" s="17" t="str">
        <f t="shared" si="23"/>
        <v>1020220</v>
      </c>
      <c r="B523" s="17">
        <v>102</v>
      </c>
      <c r="C523" s="17">
        <v>220</v>
      </c>
      <c r="D523" s="17" t="s">
        <v>917</v>
      </c>
      <c r="E523" s="17">
        <v>15238404</v>
      </c>
      <c r="F523" s="17" t="s">
        <v>918</v>
      </c>
      <c r="G523" s="17">
        <v>15238404</v>
      </c>
      <c r="H523" s="17" t="s">
        <v>919</v>
      </c>
      <c r="I523" s="17">
        <v>15238404</v>
      </c>
    </row>
    <row r="524" spans="1:9" x14ac:dyDescent="0.3">
      <c r="A524" s="17" t="str">
        <f t="shared" si="23"/>
        <v>1020221</v>
      </c>
      <c r="B524" s="17">
        <v>102</v>
      </c>
      <c r="C524" s="17">
        <v>221</v>
      </c>
      <c r="D524" s="17" t="s">
        <v>917</v>
      </c>
      <c r="E524" s="17">
        <v>15344993</v>
      </c>
      <c r="F524" s="17" t="s">
        <v>918</v>
      </c>
      <c r="G524" s="17">
        <v>15344993</v>
      </c>
      <c r="H524" s="17" t="s">
        <v>919</v>
      </c>
      <c r="I524" s="17">
        <v>15344993</v>
      </c>
    </row>
    <row r="525" spans="1:9" x14ac:dyDescent="0.3">
      <c r="A525" s="17" t="str">
        <f t="shared" si="23"/>
        <v>1020222</v>
      </c>
      <c r="B525" s="17">
        <v>102</v>
      </c>
      <c r="C525" s="17">
        <v>222</v>
      </c>
      <c r="D525" s="17" t="s">
        <v>917</v>
      </c>
      <c r="E525" s="17">
        <v>15451839</v>
      </c>
      <c r="F525" s="17" t="s">
        <v>918</v>
      </c>
      <c r="G525" s="17">
        <v>15451839</v>
      </c>
      <c r="H525" s="17" t="s">
        <v>919</v>
      </c>
      <c r="I525" s="17">
        <v>15451839</v>
      </c>
    </row>
    <row r="526" spans="1:9" x14ac:dyDescent="0.3">
      <c r="A526" s="17" t="str">
        <f t="shared" si="23"/>
        <v>1020223</v>
      </c>
      <c r="B526" s="17">
        <v>102</v>
      </c>
      <c r="C526" s="17">
        <v>223</v>
      </c>
      <c r="D526" s="17" t="s">
        <v>917</v>
      </c>
      <c r="E526" s="17">
        <v>15558941</v>
      </c>
      <c r="F526" s="17" t="s">
        <v>918</v>
      </c>
      <c r="G526" s="17">
        <v>15558941</v>
      </c>
      <c r="H526" s="17" t="s">
        <v>919</v>
      </c>
      <c r="I526" s="17">
        <v>15558941</v>
      </c>
    </row>
    <row r="527" spans="1:9" x14ac:dyDescent="0.3">
      <c r="A527" s="17" t="str">
        <f t="shared" si="23"/>
        <v>1020224</v>
      </c>
      <c r="B527" s="17">
        <v>102</v>
      </c>
      <c r="C527" s="17">
        <v>224</v>
      </c>
      <c r="D527" s="17" t="s">
        <v>917</v>
      </c>
      <c r="E527" s="17">
        <v>15666300</v>
      </c>
      <c r="F527" s="17" t="s">
        <v>918</v>
      </c>
      <c r="G527" s="17">
        <v>15666300</v>
      </c>
      <c r="H527" s="17" t="s">
        <v>919</v>
      </c>
      <c r="I527" s="17">
        <v>15666300</v>
      </c>
    </row>
    <row r="528" spans="1:9" x14ac:dyDescent="0.3">
      <c r="A528" s="17" t="str">
        <f t="shared" si="23"/>
        <v>1020225</v>
      </c>
      <c r="B528" s="17">
        <v>102</v>
      </c>
      <c r="C528" s="17">
        <v>225</v>
      </c>
      <c r="D528" s="17" t="s">
        <v>917</v>
      </c>
      <c r="E528" s="17">
        <v>15773914</v>
      </c>
      <c r="F528" s="17" t="s">
        <v>918</v>
      </c>
      <c r="G528" s="17">
        <v>15773914</v>
      </c>
      <c r="H528" s="17" t="s">
        <v>919</v>
      </c>
      <c r="I528" s="17">
        <v>15773914</v>
      </c>
    </row>
    <row r="529" spans="1:9" x14ac:dyDescent="0.3">
      <c r="A529" s="17" t="str">
        <f t="shared" si="23"/>
        <v>1020226</v>
      </c>
      <c r="B529" s="17">
        <v>102</v>
      </c>
      <c r="C529" s="17">
        <v>226</v>
      </c>
      <c r="D529" s="17" t="s">
        <v>917</v>
      </c>
      <c r="E529" s="17">
        <v>15881782</v>
      </c>
      <c r="F529" s="17" t="s">
        <v>918</v>
      </c>
      <c r="G529" s="17">
        <v>15881782</v>
      </c>
      <c r="H529" s="17" t="s">
        <v>919</v>
      </c>
      <c r="I529" s="17">
        <v>15881782</v>
      </c>
    </row>
    <row r="530" spans="1:9" x14ac:dyDescent="0.3">
      <c r="A530" s="17" t="str">
        <f t="shared" si="23"/>
        <v>1020227</v>
      </c>
      <c r="B530" s="17">
        <v>102</v>
      </c>
      <c r="C530" s="17">
        <v>227</v>
      </c>
      <c r="D530" s="17" t="s">
        <v>917</v>
      </c>
      <c r="E530" s="17">
        <v>15989906</v>
      </c>
      <c r="F530" s="17" t="s">
        <v>918</v>
      </c>
      <c r="G530" s="17">
        <v>15989906</v>
      </c>
      <c r="H530" s="17" t="s">
        <v>919</v>
      </c>
      <c r="I530" s="17">
        <v>15989906</v>
      </c>
    </row>
    <row r="531" spans="1:9" x14ac:dyDescent="0.3">
      <c r="A531" s="17" t="str">
        <f t="shared" si="23"/>
        <v>1020228</v>
      </c>
      <c r="B531" s="17">
        <v>102</v>
      </c>
      <c r="C531" s="17">
        <v>228</v>
      </c>
      <c r="D531" s="17" t="s">
        <v>917</v>
      </c>
      <c r="E531" s="17">
        <v>16098283</v>
      </c>
      <c r="F531" s="17" t="s">
        <v>918</v>
      </c>
      <c r="G531" s="17">
        <v>16098283</v>
      </c>
      <c r="H531" s="17" t="s">
        <v>919</v>
      </c>
      <c r="I531" s="17">
        <v>16098283</v>
      </c>
    </row>
    <row r="532" spans="1:9" x14ac:dyDescent="0.3">
      <c r="A532" s="17" t="str">
        <f t="shared" si="23"/>
        <v>1020229</v>
      </c>
      <c r="B532" s="17">
        <v>102</v>
      </c>
      <c r="C532" s="17">
        <v>229</v>
      </c>
      <c r="D532" s="17" t="s">
        <v>917</v>
      </c>
      <c r="E532" s="17">
        <v>16206913</v>
      </c>
      <c r="F532" s="17" t="s">
        <v>918</v>
      </c>
      <c r="G532" s="17">
        <v>16206913</v>
      </c>
      <c r="H532" s="17" t="s">
        <v>919</v>
      </c>
      <c r="I532" s="17">
        <v>16206913</v>
      </c>
    </row>
    <row r="533" spans="1:9" x14ac:dyDescent="0.3">
      <c r="A533" s="17" t="str">
        <f t="shared" si="23"/>
        <v>1020230</v>
      </c>
      <c r="B533" s="17">
        <v>102</v>
      </c>
      <c r="C533" s="17">
        <v>230</v>
      </c>
      <c r="D533" s="17" t="s">
        <v>917</v>
      </c>
      <c r="E533" s="17">
        <v>16315796</v>
      </c>
      <c r="F533" s="17" t="s">
        <v>918</v>
      </c>
      <c r="G533" s="17">
        <v>16315796</v>
      </c>
      <c r="H533" s="17" t="s">
        <v>919</v>
      </c>
      <c r="I533" s="17">
        <v>16315796</v>
      </c>
    </row>
    <row r="534" spans="1:9" x14ac:dyDescent="0.3">
      <c r="A534" s="17" t="str">
        <f t="shared" si="23"/>
        <v>1020231</v>
      </c>
      <c r="B534" s="17">
        <v>102</v>
      </c>
      <c r="C534" s="17">
        <v>231</v>
      </c>
      <c r="D534" s="17" t="s">
        <v>917</v>
      </c>
      <c r="E534" s="17">
        <v>16424932</v>
      </c>
      <c r="F534" s="17" t="s">
        <v>918</v>
      </c>
      <c r="G534" s="17">
        <v>16424932</v>
      </c>
      <c r="H534" s="17" t="s">
        <v>919</v>
      </c>
      <c r="I534" s="17">
        <v>16424932</v>
      </c>
    </row>
    <row r="535" spans="1:9" x14ac:dyDescent="0.3">
      <c r="A535" s="17" t="str">
        <f t="shared" si="23"/>
        <v>1020232</v>
      </c>
      <c r="B535" s="17">
        <v>102</v>
      </c>
      <c r="C535" s="17">
        <v>232</v>
      </c>
      <c r="D535" s="17" t="s">
        <v>917</v>
      </c>
      <c r="E535" s="17">
        <v>16534319</v>
      </c>
      <c r="F535" s="17" t="s">
        <v>918</v>
      </c>
      <c r="G535" s="17">
        <v>16534319</v>
      </c>
      <c r="H535" s="17" t="s">
        <v>919</v>
      </c>
      <c r="I535" s="17">
        <v>16534319</v>
      </c>
    </row>
    <row r="536" spans="1:9" x14ac:dyDescent="0.3">
      <c r="A536" s="17" t="str">
        <f t="shared" si="23"/>
        <v>1020233</v>
      </c>
      <c r="B536" s="17">
        <v>102</v>
      </c>
      <c r="C536" s="17">
        <v>233</v>
      </c>
      <c r="D536" s="17" t="s">
        <v>917</v>
      </c>
      <c r="E536" s="17">
        <v>16643958</v>
      </c>
      <c r="F536" s="17" t="s">
        <v>918</v>
      </c>
      <c r="G536" s="17">
        <v>16643958</v>
      </c>
      <c r="H536" s="17" t="s">
        <v>919</v>
      </c>
      <c r="I536" s="17">
        <v>16643958</v>
      </c>
    </row>
    <row r="537" spans="1:9" x14ac:dyDescent="0.3">
      <c r="A537" s="17" t="str">
        <f t="shared" si="23"/>
        <v>1020234</v>
      </c>
      <c r="B537" s="17">
        <v>102</v>
      </c>
      <c r="C537" s="17">
        <v>234</v>
      </c>
      <c r="D537" s="17" t="s">
        <v>917</v>
      </c>
      <c r="E537" s="17">
        <v>16753847</v>
      </c>
      <c r="F537" s="17" t="s">
        <v>918</v>
      </c>
      <c r="G537" s="17">
        <v>16753847</v>
      </c>
      <c r="H537" s="17" t="s">
        <v>919</v>
      </c>
      <c r="I537" s="17">
        <v>16753847</v>
      </c>
    </row>
    <row r="538" spans="1:9" x14ac:dyDescent="0.3">
      <c r="A538" s="17" t="str">
        <f t="shared" si="23"/>
        <v>1020235</v>
      </c>
      <c r="B538" s="17">
        <v>102</v>
      </c>
      <c r="C538" s="17">
        <v>235</v>
      </c>
      <c r="D538" s="17" t="s">
        <v>917</v>
      </c>
      <c r="E538" s="17">
        <v>16863987</v>
      </c>
      <c r="F538" s="17" t="s">
        <v>918</v>
      </c>
      <c r="G538" s="17">
        <v>16863987</v>
      </c>
      <c r="H538" s="17" t="s">
        <v>919</v>
      </c>
      <c r="I538" s="17">
        <v>16863987</v>
      </c>
    </row>
    <row r="539" spans="1:9" x14ac:dyDescent="0.3">
      <c r="A539" s="17" t="str">
        <f t="shared" si="23"/>
        <v>1020236</v>
      </c>
      <c r="B539" s="17">
        <v>102</v>
      </c>
      <c r="C539" s="17">
        <v>236</v>
      </c>
      <c r="D539" s="17" t="s">
        <v>917</v>
      </c>
      <c r="E539" s="17">
        <v>16974376</v>
      </c>
      <c r="F539" s="17" t="s">
        <v>918</v>
      </c>
      <c r="G539" s="17">
        <v>16974376</v>
      </c>
      <c r="H539" s="17" t="s">
        <v>919</v>
      </c>
      <c r="I539" s="17">
        <v>16974376</v>
      </c>
    </row>
    <row r="540" spans="1:9" x14ac:dyDescent="0.3">
      <c r="A540" s="17" t="str">
        <f t="shared" si="23"/>
        <v>1020237</v>
      </c>
      <c r="B540" s="17">
        <v>102</v>
      </c>
      <c r="C540" s="17">
        <v>237</v>
      </c>
      <c r="D540" s="17" t="s">
        <v>917</v>
      </c>
      <c r="E540" s="17">
        <v>17085015</v>
      </c>
      <c r="F540" s="17" t="s">
        <v>918</v>
      </c>
      <c r="G540" s="17">
        <v>17085015</v>
      </c>
      <c r="H540" s="17" t="s">
        <v>919</v>
      </c>
      <c r="I540" s="17">
        <v>17085015</v>
      </c>
    </row>
    <row r="541" spans="1:9" x14ac:dyDescent="0.3">
      <c r="A541" s="17" t="str">
        <f t="shared" si="23"/>
        <v>1020238</v>
      </c>
      <c r="B541" s="17">
        <v>102</v>
      </c>
      <c r="C541" s="17">
        <v>238</v>
      </c>
      <c r="D541" s="17" t="s">
        <v>917</v>
      </c>
      <c r="E541" s="17">
        <v>17195902</v>
      </c>
      <c r="F541" s="17" t="s">
        <v>918</v>
      </c>
      <c r="G541" s="17">
        <v>17195902</v>
      </c>
      <c r="H541" s="17" t="s">
        <v>919</v>
      </c>
      <c r="I541" s="17">
        <v>17195902</v>
      </c>
    </row>
    <row r="542" spans="1:9" x14ac:dyDescent="0.3">
      <c r="A542" s="17" t="str">
        <f t="shared" si="23"/>
        <v>1020239</v>
      </c>
      <c r="B542" s="17">
        <v>102</v>
      </c>
      <c r="C542" s="17">
        <v>239</v>
      </c>
      <c r="D542" s="17" t="s">
        <v>917</v>
      </c>
      <c r="E542" s="17">
        <v>17307038</v>
      </c>
      <c r="F542" s="17" t="s">
        <v>918</v>
      </c>
      <c r="G542" s="17">
        <v>17307038</v>
      </c>
      <c r="H542" s="17" t="s">
        <v>919</v>
      </c>
      <c r="I542" s="17">
        <v>17307038</v>
      </c>
    </row>
    <row r="543" spans="1:9" x14ac:dyDescent="0.3">
      <c r="A543" s="17" t="str">
        <f t="shared" si="23"/>
        <v>1020240</v>
      </c>
      <c r="B543" s="17">
        <v>102</v>
      </c>
      <c r="C543" s="17">
        <v>240</v>
      </c>
      <c r="D543" s="17" t="s">
        <v>917</v>
      </c>
      <c r="E543" s="17">
        <v>17418421</v>
      </c>
      <c r="F543" s="17" t="s">
        <v>918</v>
      </c>
      <c r="G543" s="17">
        <v>17418421</v>
      </c>
      <c r="H543" s="17" t="s">
        <v>919</v>
      </c>
      <c r="I543" s="17">
        <v>17418421</v>
      </c>
    </row>
    <row r="544" spans="1:9" x14ac:dyDescent="0.3">
      <c r="A544" s="17" t="str">
        <f t="shared" si="23"/>
        <v>1020241</v>
      </c>
      <c r="B544" s="17">
        <v>102</v>
      </c>
      <c r="C544" s="17">
        <v>241</v>
      </c>
      <c r="D544" s="17" t="s">
        <v>917</v>
      </c>
      <c r="E544" s="17">
        <v>17530051</v>
      </c>
      <c r="F544" s="17" t="s">
        <v>918</v>
      </c>
      <c r="G544" s="17">
        <v>17530051</v>
      </c>
      <c r="H544" s="17" t="s">
        <v>919</v>
      </c>
      <c r="I544" s="17">
        <v>17530051</v>
      </c>
    </row>
    <row r="545" spans="1:9" x14ac:dyDescent="0.3">
      <c r="A545" s="17" t="str">
        <f t="shared" si="23"/>
        <v>1020242</v>
      </c>
      <c r="B545" s="17">
        <v>102</v>
      </c>
      <c r="C545" s="17">
        <v>242</v>
      </c>
      <c r="D545" s="17" t="s">
        <v>917</v>
      </c>
      <c r="E545" s="17">
        <v>17641929</v>
      </c>
      <c r="F545" s="17" t="s">
        <v>918</v>
      </c>
      <c r="G545" s="17">
        <v>17641929</v>
      </c>
      <c r="H545" s="17" t="s">
        <v>919</v>
      </c>
      <c r="I545" s="17">
        <v>17641929</v>
      </c>
    </row>
    <row r="546" spans="1:9" x14ac:dyDescent="0.3">
      <c r="A546" s="17" t="str">
        <f t="shared" si="23"/>
        <v>1020243</v>
      </c>
      <c r="B546" s="17">
        <v>102</v>
      </c>
      <c r="C546" s="17">
        <v>243</v>
      </c>
      <c r="D546" s="17" t="s">
        <v>917</v>
      </c>
      <c r="E546" s="17">
        <v>17754053</v>
      </c>
      <c r="F546" s="17" t="s">
        <v>918</v>
      </c>
      <c r="G546" s="17">
        <v>17754053</v>
      </c>
      <c r="H546" s="17" t="s">
        <v>919</v>
      </c>
      <c r="I546" s="17">
        <v>17754053</v>
      </c>
    </row>
    <row r="547" spans="1:9" x14ac:dyDescent="0.3">
      <c r="A547" s="17" t="str">
        <f t="shared" si="23"/>
        <v>1020244</v>
      </c>
      <c r="B547" s="17">
        <v>102</v>
      </c>
      <c r="C547" s="17">
        <v>244</v>
      </c>
      <c r="D547" s="17" t="s">
        <v>917</v>
      </c>
      <c r="E547" s="17">
        <v>17866422</v>
      </c>
      <c r="F547" s="17" t="s">
        <v>918</v>
      </c>
      <c r="G547" s="17">
        <v>17866422</v>
      </c>
      <c r="H547" s="17" t="s">
        <v>919</v>
      </c>
      <c r="I547" s="17">
        <v>17866422</v>
      </c>
    </row>
    <row r="548" spans="1:9" x14ac:dyDescent="0.3">
      <c r="A548" s="17" t="str">
        <f t="shared" si="23"/>
        <v>1020245</v>
      </c>
      <c r="B548" s="17">
        <v>102</v>
      </c>
      <c r="C548" s="17">
        <v>245</v>
      </c>
      <c r="D548" s="17" t="s">
        <v>917</v>
      </c>
      <c r="E548" s="17">
        <v>17979037</v>
      </c>
      <c r="F548" s="17" t="s">
        <v>918</v>
      </c>
      <c r="G548" s="17">
        <v>17979037</v>
      </c>
      <c r="H548" s="17" t="s">
        <v>919</v>
      </c>
      <c r="I548" s="17">
        <v>17979037</v>
      </c>
    </row>
    <row r="549" spans="1:9" x14ac:dyDescent="0.3">
      <c r="A549" s="17" t="str">
        <f t="shared" si="23"/>
        <v>1020246</v>
      </c>
      <c r="B549" s="17">
        <v>102</v>
      </c>
      <c r="C549" s="17">
        <v>246</v>
      </c>
      <c r="D549" s="17" t="s">
        <v>917</v>
      </c>
      <c r="E549" s="17">
        <v>18091897</v>
      </c>
      <c r="F549" s="17" t="s">
        <v>918</v>
      </c>
      <c r="G549" s="17">
        <v>18091897</v>
      </c>
      <c r="H549" s="17" t="s">
        <v>919</v>
      </c>
      <c r="I549" s="17">
        <v>18091897</v>
      </c>
    </row>
    <row r="550" spans="1:9" x14ac:dyDescent="0.3">
      <c r="A550" s="17" t="str">
        <f t="shared" si="23"/>
        <v>1020247</v>
      </c>
      <c r="B550" s="17">
        <v>102</v>
      </c>
      <c r="C550" s="17">
        <v>247</v>
      </c>
      <c r="D550" s="17" t="s">
        <v>917</v>
      </c>
      <c r="E550" s="17">
        <v>18205001</v>
      </c>
      <c r="F550" s="17" t="s">
        <v>918</v>
      </c>
      <c r="G550" s="17">
        <v>18205001</v>
      </c>
      <c r="H550" s="17" t="s">
        <v>919</v>
      </c>
      <c r="I550" s="17">
        <v>18205001</v>
      </c>
    </row>
    <row r="551" spans="1:9" x14ac:dyDescent="0.3">
      <c r="A551" s="17" t="str">
        <f t="shared" si="23"/>
        <v>1020248</v>
      </c>
      <c r="B551" s="17">
        <v>102</v>
      </c>
      <c r="C551" s="17">
        <v>248</v>
      </c>
      <c r="D551" s="17" t="s">
        <v>917</v>
      </c>
      <c r="E551" s="17">
        <v>18318349</v>
      </c>
      <c r="F551" s="17" t="s">
        <v>918</v>
      </c>
      <c r="G551" s="17">
        <v>18318349</v>
      </c>
      <c r="H551" s="17" t="s">
        <v>919</v>
      </c>
      <c r="I551" s="17">
        <v>18318349</v>
      </c>
    </row>
    <row r="552" spans="1:9" x14ac:dyDescent="0.3">
      <c r="A552" s="17" t="str">
        <f t="shared" si="23"/>
        <v>1020249</v>
      </c>
      <c r="B552" s="17">
        <v>102</v>
      </c>
      <c r="C552" s="17">
        <v>249</v>
      </c>
      <c r="D552" s="17" t="s">
        <v>917</v>
      </c>
      <c r="E552" s="17">
        <v>18431941</v>
      </c>
      <c r="F552" s="17" t="s">
        <v>918</v>
      </c>
      <c r="G552" s="17">
        <v>18431941</v>
      </c>
      <c r="H552" s="17" t="s">
        <v>919</v>
      </c>
      <c r="I552" s="17">
        <v>18431941</v>
      </c>
    </row>
    <row r="553" spans="1:9" x14ac:dyDescent="0.3">
      <c r="A553" s="17" t="str">
        <f t="shared" si="23"/>
        <v>1020250</v>
      </c>
      <c r="B553" s="17">
        <v>102</v>
      </c>
      <c r="C553" s="17">
        <v>250</v>
      </c>
      <c r="D553" s="17" t="s">
        <v>917</v>
      </c>
      <c r="E553" s="17">
        <v>18545775</v>
      </c>
      <c r="F553" s="17" t="s">
        <v>918</v>
      </c>
      <c r="G553" s="17">
        <v>18545775</v>
      </c>
      <c r="H553" s="17" t="s">
        <v>919</v>
      </c>
      <c r="I553" s="17">
        <v>18545775</v>
      </c>
    </row>
    <row r="554" spans="1:9" x14ac:dyDescent="0.3">
      <c r="A554" s="17" t="str">
        <f t="shared" si="23"/>
        <v>1020251</v>
      </c>
      <c r="B554" s="17">
        <v>102</v>
      </c>
      <c r="C554" s="17">
        <v>251</v>
      </c>
      <c r="D554" s="17" t="s">
        <v>917</v>
      </c>
      <c r="E554" s="17">
        <v>18659852</v>
      </c>
      <c r="F554" s="17" t="s">
        <v>918</v>
      </c>
      <c r="G554" s="17">
        <v>18659852</v>
      </c>
      <c r="H554" s="17" t="s">
        <v>919</v>
      </c>
      <c r="I554" s="17">
        <v>18659852</v>
      </c>
    </row>
    <row r="555" spans="1:9" x14ac:dyDescent="0.3">
      <c r="A555" s="17" t="str">
        <f t="shared" si="23"/>
        <v>1020252</v>
      </c>
      <c r="B555" s="17">
        <v>102</v>
      </c>
      <c r="C555" s="17">
        <v>252</v>
      </c>
      <c r="D555" s="17" t="s">
        <v>917</v>
      </c>
      <c r="E555" s="17">
        <v>18774172</v>
      </c>
      <c r="F555" s="17" t="s">
        <v>918</v>
      </c>
      <c r="G555" s="17">
        <v>18774172</v>
      </c>
      <c r="H555" s="17" t="s">
        <v>919</v>
      </c>
      <c r="I555" s="17">
        <v>18774172</v>
      </c>
    </row>
    <row r="556" spans="1:9" x14ac:dyDescent="0.3">
      <c r="A556" s="17" t="str">
        <f t="shared" si="23"/>
        <v>1020253</v>
      </c>
      <c r="B556" s="17">
        <v>102</v>
      </c>
      <c r="C556" s="17">
        <v>253</v>
      </c>
      <c r="D556" s="17" t="s">
        <v>917</v>
      </c>
      <c r="E556" s="17">
        <v>18888733</v>
      </c>
      <c r="F556" s="17" t="s">
        <v>918</v>
      </c>
      <c r="G556" s="17">
        <v>18888733</v>
      </c>
      <c r="H556" s="17" t="s">
        <v>919</v>
      </c>
      <c r="I556" s="17">
        <v>18888733</v>
      </c>
    </row>
    <row r="557" spans="1:9" x14ac:dyDescent="0.3">
      <c r="A557" s="17" t="str">
        <f t="shared" si="23"/>
        <v>1020254</v>
      </c>
      <c r="B557" s="17">
        <v>102</v>
      </c>
      <c r="C557" s="17">
        <v>254</v>
      </c>
      <c r="D557" s="17" t="s">
        <v>917</v>
      </c>
      <c r="E557" s="17">
        <v>19003535</v>
      </c>
      <c r="F557" s="17" t="s">
        <v>918</v>
      </c>
      <c r="G557" s="17">
        <v>19003535</v>
      </c>
      <c r="H557" s="17" t="s">
        <v>919</v>
      </c>
      <c r="I557" s="17">
        <v>19003535</v>
      </c>
    </row>
    <row r="558" spans="1:9" x14ac:dyDescent="0.3">
      <c r="A558" s="17" t="str">
        <f t="shared" si="23"/>
        <v>1020255</v>
      </c>
      <c r="B558" s="17">
        <v>102</v>
      </c>
      <c r="C558" s="17">
        <v>255</v>
      </c>
      <c r="D558" s="17" t="s">
        <v>917</v>
      </c>
      <c r="E558" s="17">
        <v>19118578</v>
      </c>
      <c r="F558" s="17" t="s">
        <v>918</v>
      </c>
      <c r="G558" s="17">
        <v>19118578</v>
      </c>
      <c r="H558" s="17" t="s">
        <v>919</v>
      </c>
      <c r="I558" s="17">
        <v>19118578</v>
      </c>
    </row>
    <row r="559" spans="1:9" x14ac:dyDescent="0.3">
      <c r="A559" s="17" t="str">
        <f t="shared" si="23"/>
        <v>1020256</v>
      </c>
      <c r="B559" s="17">
        <v>102</v>
      </c>
      <c r="C559" s="17">
        <v>256</v>
      </c>
      <c r="D559" s="17" t="s">
        <v>917</v>
      </c>
      <c r="E559" s="17">
        <v>19233861</v>
      </c>
      <c r="F559" s="17" t="s">
        <v>918</v>
      </c>
      <c r="G559" s="17">
        <v>19233861</v>
      </c>
      <c r="H559" s="17" t="s">
        <v>919</v>
      </c>
      <c r="I559" s="17">
        <v>19233861</v>
      </c>
    </row>
    <row r="560" spans="1:9" x14ac:dyDescent="0.3">
      <c r="A560" s="17" t="str">
        <f t="shared" si="23"/>
        <v>1020257</v>
      </c>
      <c r="B560" s="17">
        <v>102</v>
      </c>
      <c r="C560" s="17">
        <v>257</v>
      </c>
      <c r="D560" s="17" t="s">
        <v>917</v>
      </c>
      <c r="E560" s="17">
        <v>19349384</v>
      </c>
      <c r="F560" s="17" t="s">
        <v>918</v>
      </c>
      <c r="G560" s="17">
        <v>19349384</v>
      </c>
      <c r="H560" s="17" t="s">
        <v>919</v>
      </c>
      <c r="I560" s="17">
        <v>19349384</v>
      </c>
    </row>
    <row r="561" spans="1:9" x14ac:dyDescent="0.3">
      <c r="A561" s="17" t="str">
        <f t="shared" si="23"/>
        <v>1020258</v>
      </c>
      <c r="B561" s="17">
        <v>102</v>
      </c>
      <c r="C561" s="17">
        <v>258</v>
      </c>
      <c r="D561" s="17" t="s">
        <v>917</v>
      </c>
      <c r="E561" s="17">
        <v>19465146</v>
      </c>
      <c r="F561" s="17" t="s">
        <v>918</v>
      </c>
      <c r="G561" s="17">
        <v>19465146</v>
      </c>
      <c r="H561" s="17" t="s">
        <v>919</v>
      </c>
      <c r="I561" s="17">
        <v>19465146</v>
      </c>
    </row>
    <row r="562" spans="1:9" x14ac:dyDescent="0.3">
      <c r="A562" s="17" t="str">
        <f t="shared" si="23"/>
        <v>1020259</v>
      </c>
      <c r="B562" s="17">
        <v>102</v>
      </c>
      <c r="C562" s="17">
        <v>259</v>
      </c>
      <c r="D562" s="17" t="s">
        <v>917</v>
      </c>
      <c r="E562" s="17">
        <v>19581148</v>
      </c>
      <c r="F562" s="17" t="s">
        <v>918</v>
      </c>
      <c r="G562" s="17">
        <v>19581148</v>
      </c>
      <c r="H562" s="17" t="s">
        <v>919</v>
      </c>
      <c r="I562" s="17">
        <v>19581148</v>
      </c>
    </row>
    <row r="563" spans="1:9" x14ac:dyDescent="0.3">
      <c r="A563" s="17" t="str">
        <f t="shared" si="23"/>
        <v>1020260</v>
      </c>
      <c r="B563" s="17">
        <v>102</v>
      </c>
      <c r="C563" s="17">
        <v>260</v>
      </c>
      <c r="D563" s="17" t="s">
        <v>917</v>
      </c>
      <c r="E563" s="17">
        <v>19697388</v>
      </c>
      <c r="F563" s="17" t="s">
        <v>918</v>
      </c>
      <c r="G563" s="17">
        <v>19697388</v>
      </c>
      <c r="H563" s="17" t="s">
        <v>919</v>
      </c>
      <c r="I563" s="17">
        <v>19697388</v>
      </c>
    </row>
    <row r="564" spans="1:9" x14ac:dyDescent="0.3">
      <c r="A564" s="17" t="str">
        <f t="shared" si="23"/>
        <v>1020261</v>
      </c>
      <c r="B564" s="17">
        <v>102</v>
      </c>
      <c r="C564" s="17">
        <v>261</v>
      </c>
      <c r="D564" s="17" t="s">
        <v>917</v>
      </c>
      <c r="E564" s="17">
        <v>19813866</v>
      </c>
      <c r="F564" s="17" t="s">
        <v>918</v>
      </c>
      <c r="G564" s="17">
        <v>19813866</v>
      </c>
      <c r="H564" s="17" t="s">
        <v>919</v>
      </c>
      <c r="I564" s="17">
        <v>19813866</v>
      </c>
    </row>
    <row r="565" spans="1:9" x14ac:dyDescent="0.3">
      <c r="A565" s="17" t="str">
        <f t="shared" si="23"/>
        <v>1020262</v>
      </c>
      <c r="B565" s="17">
        <v>102</v>
      </c>
      <c r="C565" s="17">
        <v>262</v>
      </c>
      <c r="D565" s="17" t="s">
        <v>917</v>
      </c>
      <c r="E565" s="17">
        <v>19930581</v>
      </c>
      <c r="F565" s="17" t="s">
        <v>918</v>
      </c>
      <c r="G565" s="17">
        <v>19930581</v>
      </c>
      <c r="H565" s="17" t="s">
        <v>919</v>
      </c>
      <c r="I565" s="17">
        <v>19930581</v>
      </c>
    </row>
    <row r="566" spans="1:9" x14ac:dyDescent="0.3">
      <c r="A566" s="17" t="str">
        <f t="shared" si="23"/>
        <v>1020263</v>
      </c>
      <c r="B566" s="17">
        <v>102</v>
      </c>
      <c r="C566" s="17">
        <v>263</v>
      </c>
      <c r="D566" s="17" t="s">
        <v>917</v>
      </c>
      <c r="E566" s="17">
        <v>20047534</v>
      </c>
      <c r="F566" s="17" t="s">
        <v>918</v>
      </c>
      <c r="G566" s="17">
        <v>20047534</v>
      </c>
      <c r="H566" s="17" t="s">
        <v>919</v>
      </c>
      <c r="I566" s="17">
        <v>20047534</v>
      </c>
    </row>
    <row r="567" spans="1:9" x14ac:dyDescent="0.3">
      <c r="A567" s="17" t="str">
        <f t="shared" si="23"/>
        <v>1020264</v>
      </c>
      <c r="B567" s="17">
        <v>102</v>
      </c>
      <c r="C567" s="17">
        <v>264</v>
      </c>
      <c r="D567" s="17" t="s">
        <v>917</v>
      </c>
      <c r="E567" s="17">
        <v>20164724</v>
      </c>
      <c r="F567" s="17" t="s">
        <v>918</v>
      </c>
      <c r="G567" s="17">
        <v>20164724</v>
      </c>
      <c r="H567" s="17" t="s">
        <v>919</v>
      </c>
      <c r="I567" s="17">
        <v>20164724</v>
      </c>
    </row>
    <row r="568" spans="1:9" x14ac:dyDescent="0.3">
      <c r="A568" s="17" t="str">
        <f t="shared" si="23"/>
        <v>1020265</v>
      </c>
      <c r="B568" s="17">
        <v>102</v>
      </c>
      <c r="C568" s="17">
        <v>265</v>
      </c>
      <c r="D568" s="17" t="s">
        <v>917</v>
      </c>
      <c r="E568" s="17">
        <v>20282150</v>
      </c>
      <c r="F568" s="17" t="s">
        <v>918</v>
      </c>
      <c r="G568" s="17">
        <v>20282150</v>
      </c>
      <c r="H568" s="17" t="s">
        <v>919</v>
      </c>
      <c r="I568" s="17">
        <v>20282150</v>
      </c>
    </row>
    <row r="569" spans="1:9" x14ac:dyDescent="0.3">
      <c r="A569" s="17" t="str">
        <f t="shared" si="23"/>
        <v>1020266</v>
      </c>
      <c r="B569" s="17">
        <v>102</v>
      </c>
      <c r="C569" s="17">
        <v>266</v>
      </c>
      <c r="D569" s="17" t="s">
        <v>917</v>
      </c>
      <c r="E569" s="17">
        <v>20399813</v>
      </c>
      <c r="F569" s="17" t="s">
        <v>918</v>
      </c>
      <c r="G569" s="17">
        <v>20399813</v>
      </c>
      <c r="H569" s="17" t="s">
        <v>919</v>
      </c>
      <c r="I569" s="17">
        <v>20399813</v>
      </c>
    </row>
    <row r="570" spans="1:9" x14ac:dyDescent="0.3">
      <c r="A570" s="17" t="str">
        <f t="shared" si="23"/>
        <v>1020267</v>
      </c>
      <c r="B570" s="17">
        <v>102</v>
      </c>
      <c r="C570" s="17">
        <v>267</v>
      </c>
      <c r="D570" s="17" t="s">
        <v>917</v>
      </c>
      <c r="E570" s="17">
        <v>20517710</v>
      </c>
      <c r="F570" s="17" t="s">
        <v>918</v>
      </c>
      <c r="G570" s="17">
        <v>20517710</v>
      </c>
      <c r="H570" s="17" t="s">
        <v>919</v>
      </c>
      <c r="I570" s="17">
        <v>20517710</v>
      </c>
    </row>
    <row r="571" spans="1:9" x14ac:dyDescent="0.3">
      <c r="A571" s="17" t="str">
        <f t="shared" si="23"/>
        <v>1020268</v>
      </c>
      <c r="B571" s="17">
        <v>102</v>
      </c>
      <c r="C571" s="17">
        <v>268</v>
      </c>
      <c r="D571" s="17" t="s">
        <v>917</v>
      </c>
      <c r="E571" s="17">
        <v>20635843</v>
      </c>
      <c r="F571" s="17" t="s">
        <v>918</v>
      </c>
      <c r="G571" s="17">
        <v>20635843</v>
      </c>
      <c r="H571" s="17" t="s">
        <v>919</v>
      </c>
      <c r="I571" s="17">
        <v>20635843</v>
      </c>
    </row>
    <row r="572" spans="1:9" x14ac:dyDescent="0.3">
      <c r="A572" s="17" t="str">
        <f t="shared" si="23"/>
        <v>1020269</v>
      </c>
      <c r="B572" s="17">
        <v>102</v>
      </c>
      <c r="C572" s="17">
        <v>269</v>
      </c>
      <c r="D572" s="17" t="s">
        <v>917</v>
      </c>
      <c r="E572" s="17">
        <v>20754211</v>
      </c>
      <c r="F572" s="17" t="s">
        <v>918</v>
      </c>
      <c r="G572" s="17">
        <v>20754211</v>
      </c>
      <c r="H572" s="17" t="s">
        <v>919</v>
      </c>
      <c r="I572" s="17">
        <v>20754211</v>
      </c>
    </row>
    <row r="573" spans="1:9" x14ac:dyDescent="0.3">
      <c r="A573" s="17" t="str">
        <f t="shared" si="23"/>
        <v>1020270</v>
      </c>
      <c r="B573" s="17">
        <v>102</v>
      </c>
      <c r="C573" s="17">
        <v>270</v>
      </c>
      <c r="D573" s="17" t="s">
        <v>917</v>
      </c>
      <c r="E573" s="17">
        <v>20872813</v>
      </c>
      <c r="F573" s="17" t="s">
        <v>918</v>
      </c>
      <c r="G573" s="17">
        <v>20872813</v>
      </c>
      <c r="H573" s="17" t="s">
        <v>919</v>
      </c>
      <c r="I573" s="17">
        <v>20872813</v>
      </c>
    </row>
    <row r="574" spans="1:9" x14ac:dyDescent="0.3">
      <c r="A574" s="17" t="str">
        <f t="shared" si="23"/>
        <v>1020271</v>
      </c>
      <c r="B574" s="17">
        <v>102</v>
      </c>
      <c r="C574" s="17">
        <v>271</v>
      </c>
      <c r="D574" s="17" t="s">
        <v>917</v>
      </c>
      <c r="E574" s="17">
        <v>20991649</v>
      </c>
      <c r="F574" s="17" t="s">
        <v>918</v>
      </c>
      <c r="G574" s="17">
        <v>20991649</v>
      </c>
      <c r="H574" s="17" t="s">
        <v>919</v>
      </c>
      <c r="I574" s="17">
        <v>20991649</v>
      </c>
    </row>
    <row r="575" spans="1:9" x14ac:dyDescent="0.3">
      <c r="A575" s="17" t="str">
        <f t="shared" si="23"/>
        <v>1020272</v>
      </c>
      <c r="B575" s="17">
        <v>102</v>
      </c>
      <c r="C575" s="17">
        <v>272</v>
      </c>
      <c r="D575" s="17" t="s">
        <v>917</v>
      </c>
      <c r="E575" s="17">
        <v>21110718</v>
      </c>
      <c r="F575" s="17" t="s">
        <v>918</v>
      </c>
      <c r="G575" s="17">
        <v>21110718</v>
      </c>
      <c r="H575" s="17" t="s">
        <v>919</v>
      </c>
      <c r="I575" s="17">
        <v>21110718</v>
      </c>
    </row>
    <row r="576" spans="1:9" x14ac:dyDescent="0.3">
      <c r="A576" s="17" t="str">
        <f t="shared" si="23"/>
        <v>1020273</v>
      </c>
      <c r="B576" s="17">
        <v>102</v>
      </c>
      <c r="C576" s="17">
        <v>273</v>
      </c>
      <c r="D576" s="17" t="s">
        <v>917</v>
      </c>
      <c r="E576" s="17">
        <v>21230021</v>
      </c>
      <c r="F576" s="17" t="s">
        <v>918</v>
      </c>
      <c r="G576" s="17">
        <v>21230021</v>
      </c>
      <c r="H576" s="17" t="s">
        <v>919</v>
      </c>
      <c r="I576" s="17">
        <v>21230021</v>
      </c>
    </row>
    <row r="577" spans="1:9" x14ac:dyDescent="0.3">
      <c r="A577" s="17" t="str">
        <f t="shared" si="23"/>
        <v>1020274</v>
      </c>
      <c r="B577" s="17">
        <v>102</v>
      </c>
      <c r="C577" s="17">
        <v>274</v>
      </c>
      <c r="D577" s="17" t="s">
        <v>917</v>
      </c>
      <c r="E577" s="17">
        <v>21349556</v>
      </c>
      <c r="F577" s="17" t="s">
        <v>918</v>
      </c>
      <c r="G577" s="17">
        <v>21349556</v>
      </c>
      <c r="H577" s="17" t="s">
        <v>919</v>
      </c>
      <c r="I577" s="17">
        <v>21349556</v>
      </c>
    </row>
    <row r="578" spans="1:9" x14ac:dyDescent="0.3">
      <c r="A578" s="17" t="str">
        <f t="shared" si="23"/>
        <v>1020275</v>
      </c>
      <c r="B578" s="17">
        <v>102</v>
      </c>
      <c r="C578" s="17">
        <v>275</v>
      </c>
      <c r="D578" s="17" t="s">
        <v>917</v>
      </c>
      <c r="E578" s="17">
        <v>21469323</v>
      </c>
      <c r="F578" s="17" t="s">
        <v>918</v>
      </c>
      <c r="G578" s="17">
        <v>21469323</v>
      </c>
      <c r="H578" s="17" t="s">
        <v>919</v>
      </c>
      <c r="I578" s="17">
        <v>21469323</v>
      </c>
    </row>
    <row r="579" spans="1:9" x14ac:dyDescent="0.3">
      <c r="A579" s="17" t="str">
        <f t="shared" si="23"/>
        <v>1020276</v>
      </c>
      <c r="B579" s="17">
        <v>102</v>
      </c>
      <c r="C579" s="17">
        <v>276</v>
      </c>
      <c r="D579" s="17" t="s">
        <v>917</v>
      </c>
      <c r="E579" s="17">
        <v>21589322</v>
      </c>
      <c r="F579" s="17" t="s">
        <v>918</v>
      </c>
      <c r="G579" s="17">
        <v>21589322</v>
      </c>
      <c r="H579" s="17" t="s">
        <v>919</v>
      </c>
      <c r="I579" s="17">
        <v>21589322</v>
      </c>
    </row>
    <row r="580" spans="1:9" x14ac:dyDescent="0.3">
      <c r="A580" s="17" t="str">
        <f t="shared" ref="A580:A643" si="24">B580&amp;TEXT(C580,"0000")</f>
        <v>1020277</v>
      </c>
      <c r="B580" s="17">
        <v>102</v>
      </c>
      <c r="C580" s="17">
        <v>277</v>
      </c>
      <c r="D580" s="17" t="s">
        <v>917</v>
      </c>
      <c r="E580" s="17">
        <v>21709553</v>
      </c>
      <c r="F580" s="17" t="s">
        <v>918</v>
      </c>
      <c r="G580" s="17">
        <v>21709553</v>
      </c>
      <c r="H580" s="17" t="s">
        <v>919</v>
      </c>
      <c r="I580" s="17">
        <v>21709553</v>
      </c>
    </row>
    <row r="581" spans="1:9" x14ac:dyDescent="0.3">
      <c r="A581" s="17" t="str">
        <f t="shared" si="24"/>
        <v>1020278</v>
      </c>
      <c r="B581" s="17">
        <v>102</v>
      </c>
      <c r="C581" s="17">
        <v>278</v>
      </c>
      <c r="D581" s="17" t="s">
        <v>917</v>
      </c>
      <c r="E581" s="17">
        <v>21830015</v>
      </c>
      <c r="F581" s="17" t="s">
        <v>918</v>
      </c>
      <c r="G581" s="17">
        <v>21830015</v>
      </c>
      <c r="H581" s="17" t="s">
        <v>919</v>
      </c>
      <c r="I581" s="17">
        <v>21830015</v>
      </c>
    </row>
    <row r="582" spans="1:9" x14ac:dyDescent="0.3">
      <c r="A582" s="17" t="str">
        <f t="shared" si="24"/>
        <v>1020279</v>
      </c>
      <c r="B582" s="17">
        <v>102</v>
      </c>
      <c r="C582" s="17">
        <v>279</v>
      </c>
      <c r="D582" s="17" t="s">
        <v>917</v>
      </c>
      <c r="E582" s="17">
        <v>21950708</v>
      </c>
      <c r="F582" s="17" t="s">
        <v>918</v>
      </c>
      <c r="G582" s="17">
        <v>21950708</v>
      </c>
      <c r="H582" s="17" t="s">
        <v>919</v>
      </c>
      <c r="I582" s="17">
        <v>21950708</v>
      </c>
    </row>
    <row r="583" spans="1:9" x14ac:dyDescent="0.3">
      <c r="A583" s="17" t="str">
        <f t="shared" si="24"/>
        <v>1020280</v>
      </c>
      <c r="B583" s="17">
        <v>102</v>
      </c>
      <c r="C583" s="17">
        <v>280</v>
      </c>
      <c r="D583" s="17" t="s">
        <v>917</v>
      </c>
      <c r="E583" s="17">
        <v>22071631</v>
      </c>
      <c r="F583" s="17" t="s">
        <v>918</v>
      </c>
      <c r="G583" s="17">
        <v>22071631</v>
      </c>
      <c r="H583" s="17" t="s">
        <v>919</v>
      </c>
      <c r="I583" s="17">
        <v>22071631</v>
      </c>
    </row>
    <row r="584" spans="1:9" x14ac:dyDescent="0.3">
      <c r="A584" s="17" t="str">
        <f t="shared" si="24"/>
        <v>1020281</v>
      </c>
      <c r="B584" s="17">
        <v>102</v>
      </c>
      <c r="C584" s="17">
        <v>281</v>
      </c>
      <c r="D584" s="17" t="s">
        <v>917</v>
      </c>
      <c r="E584" s="17">
        <v>22192784</v>
      </c>
      <c r="F584" s="17" t="s">
        <v>918</v>
      </c>
      <c r="G584" s="17">
        <v>22192784</v>
      </c>
      <c r="H584" s="17" t="s">
        <v>919</v>
      </c>
      <c r="I584" s="17">
        <v>22192784</v>
      </c>
    </row>
    <row r="585" spans="1:9" x14ac:dyDescent="0.3">
      <c r="A585" s="17" t="str">
        <f t="shared" si="24"/>
        <v>1020282</v>
      </c>
      <c r="B585" s="17">
        <v>102</v>
      </c>
      <c r="C585" s="17">
        <v>282</v>
      </c>
      <c r="D585" s="17" t="s">
        <v>917</v>
      </c>
      <c r="E585" s="17">
        <v>22314166</v>
      </c>
      <c r="F585" s="17" t="s">
        <v>918</v>
      </c>
      <c r="G585" s="17">
        <v>22314166</v>
      </c>
      <c r="H585" s="17" t="s">
        <v>919</v>
      </c>
      <c r="I585" s="17">
        <v>22314166</v>
      </c>
    </row>
    <row r="586" spans="1:9" x14ac:dyDescent="0.3">
      <c r="A586" s="17" t="str">
        <f t="shared" si="24"/>
        <v>1020283</v>
      </c>
      <c r="B586" s="17">
        <v>102</v>
      </c>
      <c r="C586" s="17">
        <v>283</v>
      </c>
      <c r="D586" s="17" t="s">
        <v>917</v>
      </c>
      <c r="E586" s="17">
        <v>22435778</v>
      </c>
      <c r="F586" s="17" t="s">
        <v>918</v>
      </c>
      <c r="G586" s="17">
        <v>22435778</v>
      </c>
      <c r="H586" s="17" t="s">
        <v>919</v>
      </c>
      <c r="I586" s="17">
        <v>22435778</v>
      </c>
    </row>
    <row r="587" spans="1:9" x14ac:dyDescent="0.3">
      <c r="A587" s="17" t="str">
        <f t="shared" si="24"/>
        <v>1020284</v>
      </c>
      <c r="B587" s="17">
        <v>102</v>
      </c>
      <c r="C587" s="17">
        <v>284</v>
      </c>
      <c r="D587" s="17" t="s">
        <v>917</v>
      </c>
      <c r="E587" s="17">
        <v>22557618</v>
      </c>
      <c r="F587" s="17" t="s">
        <v>918</v>
      </c>
      <c r="G587" s="17">
        <v>22557618</v>
      </c>
      <c r="H587" s="17" t="s">
        <v>919</v>
      </c>
      <c r="I587" s="17">
        <v>22557618</v>
      </c>
    </row>
    <row r="588" spans="1:9" x14ac:dyDescent="0.3">
      <c r="A588" s="17" t="str">
        <f t="shared" si="24"/>
        <v>1020285</v>
      </c>
      <c r="B588" s="17">
        <v>102</v>
      </c>
      <c r="C588" s="17">
        <v>285</v>
      </c>
      <c r="D588" s="17" t="s">
        <v>917</v>
      </c>
      <c r="E588" s="17">
        <v>22679687</v>
      </c>
      <c r="F588" s="17" t="s">
        <v>918</v>
      </c>
      <c r="G588" s="17">
        <v>22679687</v>
      </c>
      <c r="H588" s="17" t="s">
        <v>919</v>
      </c>
      <c r="I588" s="17">
        <v>22679687</v>
      </c>
    </row>
    <row r="589" spans="1:9" x14ac:dyDescent="0.3">
      <c r="A589" s="17" t="str">
        <f t="shared" si="24"/>
        <v>1020286</v>
      </c>
      <c r="B589" s="17">
        <v>102</v>
      </c>
      <c r="C589" s="17">
        <v>286</v>
      </c>
      <c r="D589" s="17" t="s">
        <v>917</v>
      </c>
      <c r="E589" s="17">
        <v>22801984</v>
      </c>
      <c r="F589" s="17" t="s">
        <v>918</v>
      </c>
      <c r="G589" s="17">
        <v>22801984</v>
      </c>
      <c r="H589" s="17" t="s">
        <v>919</v>
      </c>
      <c r="I589" s="17">
        <v>22801984</v>
      </c>
    </row>
    <row r="590" spans="1:9" x14ac:dyDescent="0.3">
      <c r="A590" s="17" t="str">
        <f t="shared" si="24"/>
        <v>1020287</v>
      </c>
      <c r="B590" s="17">
        <v>102</v>
      </c>
      <c r="C590" s="17">
        <v>287</v>
      </c>
      <c r="D590" s="17" t="s">
        <v>917</v>
      </c>
      <c r="E590" s="17">
        <v>22924508</v>
      </c>
      <c r="F590" s="17" t="s">
        <v>918</v>
      </c>
      <c r="G590" s="17">
        <v>22924508</v>
      </c>
      <c r="H590" s="17" t="s">
        <v>919</v>
      </c>
      <c r="I590" s="17">
        <v>22924508</v>
      </c>
    </row>
    <row r="591" spans="1:9" x14ac:dyDescent="0.3">
      <c r="A591" s="17" t="str">
        <f t="shared" si="24"/>
        <v>1020288</v>
      </c>
      <c r="B591" s="17">
        <v>102</v>
      </c>
      <c r="C591" s="17">
        <v>288</v>
      </c>
      <c r="D591" s="17" t="s">
        <v>917</v>
      </c>
      <c r="E591" s="17">
        <v>23047260</v>
      </c>
      <c r="F591" s="17" t="s">
        <v>918</v>
      </c>
      <c r="G591" s="17">
        <v>23047260</v>
      </c>
      <c r="H591" s="17" t="s">
        <v>919</v>
      </c>
      <c r="I591" s="17">
        <v>23047260</v>
      </c>
    </row>
    <row r="592" spans="1:9" x14ac:dyDescent="0.3">
      <c r="A592" s="17" t="str">
        <f t="shared" si="24"/>
        <v>1020289</v>
      </c>
      <c r="B592" s="17">
        <v>102</v>
      </c>
      <c r="C592" s="17">
        <v>289</v>
      </c>
      <c r="D592" s="17" t="s">
        <v>917</v>
      </c>
      <c r="E592" s="17">
        <v>23170238</v>
      </c>
      <c r="F592" s="17" t="s">
        <v>918</v>
      </c>
      <c r="G592" s="17">
        <v>23170238</v>
      </c>
      <c r="H592" s="17" t="s">
        <v>919</v>
      </c>
      <c r="I592" s="17">
        <v>23170238</v>
      </c>
    </row>
    <row r="593" spans="1:9" x14ac:dyDescent="0.3">
      <c r="A593" s="17" t="str">
        <f t="shared" si="24"/>
        <v>1020290</v>
      </c>
      <c r="B593" s="17">
        <v>102</v>
      </c>
      <c r="C593" s="17">
        <v>290</v>
      </c>
      <c r="D593" s="17" t="s">
        <v>917</v>
      </c>
      <c r="E593" s="17">
        <v>23293443</v>
      </c>
      <c r="F593" s="17" t="s">
        <v>918</v>
      </c>
      <c r="G593" s="17">
        <v>23293443</v>
      </c>
      <c r="H593" s="17" t="s">
        <v>919</v>
      </c>
      <c r="I593" s="17">
        <v>23293443</v>
      </c>
    </row>
    <row r="594" spans="1:9" x14ac:dyDescent="0.3">
      <c r="A594" s="17" t="str">
        <f t="shared" si="24"/>
        <v>1020291</v>
      </c>
      <c r="B594" s="17">
        <v>102</v>
      </c>
      <c r="C594" s="17">
        <v>291</v>
      </c>
      <c r="D594" s="17" t="s">
        <v>917</v>
      </c>
      <c r="E594" s="17">
        <v>23416874</v>
      </c>
      <c r="F594" s="17" t="s">
        <v>918</v>
      </c>
      <c r="G594" s="17">
        <v>23416874</v>
      </c>
      <c r="H594" s="17" t="s">
        <v>919</v>
      </c>
      <c r="I594" s="17">
        <v>23416874</v>
      </c>
    </row>
    <row r="595" spans="1:9" x14ac:dyDescent="0.3">
      <c r="A595" s="17" t="str">
        <f t="shared" si="24"/>
        <v>1020292</v>
      </c>
      <c r="B595" s="17">
        <v>102</v>
      </c>
      <c r="C595" s="17">
        <v>292</v>
      </c>
      <c r="D595" s="17" t="s">
        <v>917</v>
      </c>
      <c r="E595" s="17">
        <v>23540532</v>
      </c>
      <c r="F595" s="17" t="s">
        <v>918</v>
      </c>
      <c r="G595" s="17">
        <v>23540532</v>
      </c>
      <c r="H595" s="17" t="s">
        <v>919</v>
      </c>
      <c r="I595" s="17">
        <v>23540532</v>
      </c>
    </row>
    <row r="596" spans="1:9" x14ac:dyDescent="0.3">
      <c r="A596" s="17" t="str">
        <f t="shared" si="24"/>
        <v>1020293</v>
      </c>
      <c r="B596" s="17">
        <v>102</v>
      </c>
      <c r="C596" s="17">
        <v>293</v>
      </c>
      <c r="D596" s="17" t="s">
        <v>917</v>
      </c>
      <c r="E596" s="17">
        <v>23664414</v>
      </c>
      <c r="F596" s="17" t="s">
        <v>918</v>
      </c>
      <c r="G596" s="17">
        <v>23664414</v>
      </c>
      <c r="H596" s="17" t="s">
        <v>919</v>
      </c>
      <c r="I596" s="17">
        <v>23664414</v>
      </c>
    </row>
    <row r="597" spans="1:9" x14ac:dyDescent="0.3">
      <c r="A597" s="17" t="str">
        <f t="shared" si="24"/>
        <v>1020294</v>
      </c>
      <c r="B597" s="17">
        <v>102</v>
      </c>
      <c r="C597" s="17">
        <v>294</v>
      </c>
      <c r="D597" s="17" t="s">
        <v>917</v>
      </c>
      <c r="E597" s="17">
        <v>23788521</v>
      </c>
      <c r="F597" s="17" t="s">
        <v>918</v>
      </c>
      <c r="G597" s="17">
        <v>23788521</v>
      </c>
      <c r="H597" s="17" t="s">
        <v>919</v>
      </c>
      <c r="I597" s="17">
        <v>23788521</v>
      </c>
    </row>
    <row r="598" spans="1:9" x14ac:dyDescent="0.3">
      <c r="A598" s="17" t="str">
        <f t="shared" si="24"/>
        <v>1020295</v>
      </c>
      <c r="B598" s="17">
        <v>102</v>
      </c>
      <c r="C598" s="17">
        <v>295</v>
      </c>
      <c r="D598" s="17" t="s">
        <v>917</v>
      </c>
      <c r="E598" s="17">
        <v>23912854</v>
      </c>
      <c r="F598" s="17" t="s">
        <v>918</v>
      </c>
      <c r="G598" s="17">
        <v>23912854</v>
      </c>
      <c r="H598" s="17" t="s">
        <v>919</v>
      </c>
      <c r="I598" s="17">
        <v>23912854</v>
      </c>
    </row>
    <row r="599" spans="1:9" x14ac:dyDescent="0.3">
      <c r="A599" s="17" t="str">
        <f t="shared" si="24"/>
        <v>1020296</v>
      </c>
      <c r="B599" s="17">
        <v>102</v>
      </c>
      <c r="C599" s="17">
        <v>296</v>
      </c>
      <c r="D599" s="17" t="s">
        <v>917</v>
      </c>
      <c r="E599" s="17">
        <v>24037410</v>
      </c>
      <c r="F599" s="17" t="s">
        <v>918</v>
      </c>
      <c r="G599" s="17">
        <v>24037410</v>
      </c>
      <c r="H599" s="17" t="s">
        <v>919</v>
      </c>
      <c r="I599" s="17">
        <v>24037410</v>
      </c>
    </row>
    <row r="600" spans="1:9" x14ac:dyDescent="0.3">
      <c r="A600" s="17" t="str">
        <f t="shared" si="24"/>
        <v>1020297</v>
      </c>
      <c r="B600" s="17">
        <v>102</v>
      </c>
      <c r="C600" s="17">
        <v>297</v>
      </c>
      <c r="D600" s="17" t="s">
        <v>917</v>
      </c>
      <c r="E600" s="17">
        <v>24162191</v>
      </c>
      <c r="F600" s="17" t="s">
        <v>918</v>
      </c>
      <c r="G600" s="17">
        <v>24162191</v>
      </c>
      <c r="H600" s="17" t="s">
        <v>919</v>
      </c>
      <c r="I600" s="17">
        <v>24162191</v>
      </c>
    </row>
    <row r="601" spans="1:9" x14ac:dyDescent="0.3">
      <c r="A601" s="17" t="str">
        <f t="shared" si="24"/>
        <v>1020298</v>
      </c>
      <c r="B601" s="17">
        <v>102</v>
      </c>
      <c r="C601" s="17">
        <v>298</v>
      </c>
      <c r="D601" s="17" t="s">
        <v>917</v>
      </c>
      <c r="E601" s="17">
        <v>24287195</v>
      </c>
      <c r="F601" s="17" t="s">
        <v>918</v>
      </c>
      <c r="G601" s="17">
        <v>24287195</v>
      </c>
      <c r="H601" s="17" t="s">
        <v>919</v>
      </c>
      <c r="I601" s="17">
        <v>24287195</v>
      </c>
    </row>
    <row r="602" spans="1:9" x14ac:dyDescent="0.3">
      <c r="A602" s="17" t="str">
        <f t="shared" si="24"/>
        <v>1020299</v>
      </c>
      <c r="B602" s="17">
        <v>102</v>
      </c>
      <c r="C602" s="17">
        <v>299</v>
      </c>
      <c r="D602" s="17" t="s">
        <v>917</v>
      </c>
      <c r="E602" s="17">
        <v>24412422</v>
      </c>
      <c r="F602" s="17" t="s">
        <v>918</v>
      </c>
      <c r="G602" s="17">
        <v>24412422</v>
      </c>
      <c r="H602" s="17" t="s">
        <v>919</v>
      </c>
      <c r="I602" s="17">
        <v>24412422</v>
      </c>
    </row>
    <row r="603" spans="1:9" x14ac:dyDescent="0.3">
      <c r="A603" s="17" t="str">
        <f t="shared" si="24"/>
        <v>1020300</v>
      </c>
      <c r="B603" s="17">
        <v>102</v>
      </c>
      <c r="C603" s="17">
        <v>300</v>
      </c>
      <c r="D603" s="17" t="s">
        <v>917</v>
      </c>
      <c r="E603" s="17">
        <v>24537873</v>
      </c>
      <c r="F603" s="17" t="s">
        <v>918</v>
      </c>
      <c r="G603" s="17">
        <v>24537873</v>
      </c>
      <c r="H603" s="17" t="s">
        <v>919</v>
      </c>
      <c r="I603" s="17">
        <v>24537873</v>
      </c>
    </row>
    <row r="604" spans="1:9" x14ac:dyDescent="0.3">
      <c r="A604" s="17" t="str">
        <f t="shared" si="24"/>
        <v>1030001</v>
      </c>
      <c r="B604" s="17">
        <v>103</v>
      </c>
      <c r="C604" s="17">
        <v>1</v>
      </c>
      <c r="D604" s="17" t="s">
        <v>917</v>
      </c>
      <c r="E604" s="17">
        <v>0</v>
      </c>
      <c r="F604" s="17" t="s">
        <v>918</v>
      </c>
      <c r="G604" s="17">
        <v>0</v>
      </c>
      <c r="H604" s="17" t="s">
        <v>919</v>
      </c>
      <c r="I604" s="17">
        <v>0</v>
      </c>
    </row>
    <row r="605" spans="1:9" x14ac:dyDescent="0.3">
      <c r="A605" s="17" t="str">
        <f t="shared" si="24"/>
        <v>1030002</v>
      </c>
      <c r="B605" s="17">
        <v>103</v>
      </c>
      <c r="C605" s="17">
        <v>2</v>
      </c>
      <c r="D605" s="17" t="s">
        <v>917</v>
      </c>
      <c r="E605" s="17">
        <v>4500</v>
      </c>
      <c r="F605" s="17" t="s">
        <v>918</v>
      </c>
      <c r="G605" s="17">
        <v>4500</v>
      </c>
      <c r="H605" s="17" t="s">
        <v>919</v>
      </c>
      <c r="I605" s="17">
        <v>4500</v>
      </c>
    </row>
    <row r="606" spans="1:9" x14ac:dyDescent="0.3">
      <c r="A606" s="17" t="str">
        <f t="shared" si="24"/>
        <v>1030003</v>
      </c>
      <c r="B606" s="17">
        <v>103</v>
      </c>
      <c r="C606" s="17">
        <v>3</v>
      </c>
      <c r="D606" s="17" t="s">
        <v>917</v>
      </c>
      <c r="E606" s="17">
        <v>9382</v>
      </c>
      <c r="F606" s="17" t="s">
        <v>918</v>
      </c>
      <c r="G606" s="17">
        <v>9382</v>
      </c>
      <c r="H606" s="17" t="s">
        <v>919</v>
      </c>
      <c r="I606" s="17">
        <v>9382</v>
      </c>
    </row>
    <row r="607" spans="1:9" x14ac:dyDescent="0.3">
      <c r="A607" s="17" t="str">
        <f t="shared" si="24"/>
        <v>1030004</v>
      </c>
      <c r="B607" s="17">
        <v>103</v>
      </c>
      <c r="C607" s="17">
        <v>4</v>
      </c>
      <c r="D607" s="17" t="s">
        <v>917</v>
      </c>
      <c r="E607" s="17">
        <v>14420</v>
      </c>
      <c r="F607" s="17" t="s">
        <v>918</v>
      </c>
      <c r="G607" s="17">
        <v>14420</v>
      </c>
      <c r="H607" s="17" t="s">
        <v>919</v>
      </c>
      <c r="I607" s="17">
        <v>14420</v>
      </c>
    </row>
    <row r="608" spans="1:9" x14ac:dyDescent="0.3">
      <c r="A608" s="17" t="str">
        <f t="shared" si="24"/>
        <v>1030005</v>
      </c>
      <c r="B608" s="17">
        <v>103</v>
      </c>
      <c r="C608" s="17">
        <v>5</v>
      </c>
      <c r="D608" s="17" t="s">
        <v>917</v>
      </c>
      <c r="E608" s="17">
        <v>19561</v>
      </c>
      <c r="F608" s="17" t="s">
        <v>918</v>
      </c>
      <c r="G608" s="17">
        <v>19561</v>
      </c>
      <c r="H608" s="17" t="s">
        <v>919</v>
      </c>
      <c r="I608" s="17">
        <v>19561</v>
      </c>
    </row>
    <row r="609" spans="1:9" x14ac:dyDescent="0.3">
      <c r="A609" s="17" t="str">
        <f t="shared" si="24"/>
        <v>1030006</v>
      </c>
      <c r="B609" s="17">
        <v>103</v>
      </c>
      <c r="C609" s="17">
        <v>6</v>
      </c>
      <c r="D609" s="17" t="s">
        <v>917</v>
      </c>
      <c r="E609" s="17">
        <v>24781</v>
      </c>
      <c r="F609" s="17" t="s">
        <v>918</v>
      </c>
      <c r="G609" s="17">
        <v>24781</v>
      </c>
      <c r="H609" s="17" t="s">
        <v>919</v>
      </c>
      <c r="I609" s="17">
        <v>24781</v>
      </c>
    </row>
    <row r="610" spans="1:9" x14ac:dyDescent="0.3">
      <c r="A610" s="17" t="str">
        <f t="shared" si="24"/>
        <v>1030007</v>
      </c>
      <c r="B610" s="17">
        <v>103</v>
      </c>
      <c r="C610" s="17">
        <v>7</v>
      </c>
      <c r="D610" s="17" t="s">
        <v>917</v>
      </c>
      <c r="E610" s="17">
        <v>30064</v>
      </c>
      <c r="F610" s="17" t="s">
        <v>918</v>
      </c>
      <c r="G610" s="17">
        <v>30064</v>
      </c>
      <c r="H610" s="17" t="s">
        <v>919</v>
      </c>
      <c r="I610" s="17">
        <v>30064</v>
      </c>
    </row>
    <row r="611" spans="1:9" x14ac:dyDescent="0.3">
      <c r="A611" s="17" t="str">
        <f t="shared" si="24"/>
        <v>1030008</v>
      </c>
      <c r="B611" s="17">
        <v>103</v>
      </c>
      <c r="C611" s="17">
        <v>8</v>
      </c>
      <c r="D611" s="17" t="s">
        <v>917</v>
      </c>
      <c r="E611" s="17">
        <v>35401</v>
      </c>
      <c r="F611" s="17" t="s">
        <v>918</v>
      </c>
      <c r="G611" s="17">
        <v>35401</v>
      </c>
      <c r="H611" s="17" t="s">
        <v>919</v>
      </c>
      <c r="I611" s="17">
        <v>35401</v>
      </c>
    </row>
    <row r="612" spans="1:9" x14ac:dyDescent="0.3">
      <c r="A612" s="17" t="str">
        <f t="shared" si="24"/>
        <v>1030009</v>
      </c>
      <c r="B612" s="17">
        <v>103</v>
      </c>
      <c r="C612" s="17">
        <v>9</v>
      </c>
      <c r="D612" s="17" t="s">
        <v>917</v>
      </c>
      <c r="E612" s="17">
        <v>40784</v>
      </c>
      <c r="F612" s="17" t="s">
        <v>918</v>
      </c>
      <c r="G612" s="17">
        <v>40784</v>
      </c>
      <c r="H612" s="17" t="s">
        <v>919</v>
      </c>
      <c r="I612" s="17">
        <v>40784</v>
      </c>
    </row>
    <row r="613" spans="1:9" x14ac:dyDescent="0.3">
      <c r="A613" s="17" t="str">
        <f t="shared" si="24"/>
        <v>1030010</v>
      </c>
      <c r="B613" s="17">
        <v>103</v>
      </c>
      <c r="C613" s="17">
        <v>10</v>
      </c>
      <c r="D613" s="17" t="s">
        <v>917</v>
      </c>
      <c r="E613" s="17">
        <v>46207</v>
      </c>
      <c r="F613" s="17" t="s">
        <v>918</v>
      </c>
      <c r="G613" s="17">
        <v>46207</v>
      </c>
      <c r="H613" s="17" t="s">
        <v>919</v>
      </c>
      <c r="I613" s="17">
        <v>46207</v>
      </c>
    </row>
    <row r="614" spans="1:9" x14ac:dyDescent="0.3">
      <c r="A614" s="17" t="str">
        <f t="shared" si="24"/>
        <v>1030011</v>
      </c>
      <c r="B614" s="17">
        <v>103</v>
      </c>
      <c r="C614" s="17">
        <v>11</v>
      </c>
      <c r="D614" s="17" t="s">
        <v>917</v>
      </c>
      <c r="E614" s="17">
        <v>51667</v>
      </c>
      <c r="F614" s="17" t="s">
        <v>918</v>
      </c>
      <c r="G614" s="17">
        <v>51667</v>
      </c>
      <c r="H614" s="17" t="s">
        <v>919</v>
      </c>
      <c r="I614" s="17">
        <v>51667</v>
      </c>
    </row>
    <row r="615" spans="1:9" x14ac:dyDescent="0.3">
      <c r="A615" s="17" t="str">
        <f t="shared" si="24"/>
        <v>1030012</v>
      </c>
      <c r="B615" s="17">
        <v>103</v>
      </c>
      <c r="C615" s="17">
        <v>12</v>
      </c>
      <c r="D615" s="17" t="s">
        <v>917</v>
      </c>
      <c r="E615" s="17">
        <v>57160</v>
      </c>
      <c r="F615" s="17" t="s">
        <v>918</v>
      </c>
      <c r="G615" s="17">
        <v>57160</v>
      </c>
      <c r="H615" s="17" t="s">
        <v>919</v>
      </c>
      <c r="I615" s="17">
        <v>57160</v>
      </c>
    </row>
    <row r="616" spans="1:9" x14ac:dyDescent="0.3">
      <c r="A616" s="17" t="str">
        <f t="shared" si="24"/>
        <v>1030013</v>
      </c>
      <c r="B616" s="17">
        <v>103</v>
      </c>
      <c r="C616" s="17">
        <v>13</v>
      </c>
      <c r="D616" s="17" t="s">
        <v>917</v>
      </c>
      <c r="E616" s="17">
        <v>62682</v>
      </c>
      <c r="F616" s="17" t="s">
        <v>918</v>
      </c>
      <c r="G616" s="17">
        <v>62682</v>
      </c>
      <c r="H616" s="17" t="s">
        <v>919</v>
      </c>
      <c r="I616" s="17">
        <v>62682</v>
      </c>
    </row>
    <row r="617" spans="1:9" x14ac:dyDescent="0.3">
      <c r="A617" s="17" t="str">
        <f t="shared" si="24"/>
        <v>1030014</v>
      </c>
      <c r="B617" s="17">
        <v>103</v>
      </c>
      <c r="C617" s="17">
        <v>14</v>
      </c>
      <c r="D617" s="17" t="s">
        <v>917</v>
      </c>
      <c r="E617" s="17">
        <v>68233</v>
      </c>
      <c r="F617" s="17" t="s">
        <v>918</v>
      </c>
      <c r="G617" s="17">
        <v>68233</v>
      </c>
      <c r="H617" s="17" t="s">
        <v>919</v>
      </c>
      <c r="I617" s="17">
        <v>68233</v>
      </c>
    </row>
    <row r="618" spans="1:9" x14ac:dyDescent="0.3">
      <c r="A618" s="17" t="str">
        <f t="shared" si="24"/>
        <v>1030015</v>
      </c>
      <c r="B618" s="17">
        <v>103</v>
      </c>
      <c r="C618" s="17">
        <v>15</v>
      </c>
      <c r="D618" s="17" t="s">
        <v>917</v>
      </c>
      <c r="E618" s="17">
        <v>88785</v>
      </c>
      <c r="F618" s="17" t="s">
        <v>918</v>
      </c>
      <c r="G618" s="17">
        <v>88785</v>
      </c>
      <c r="H618" s="17" t="s">
        <v>919</v>
      </c>
      <c r="I618" s="17">
        <v>88785</v>
      </c>
    </row>
    <row r="619" spans="1:9" x14ac:dyDescent="0.3">
      <c r="A619" s="17" t="str">
        <f t="shared" si="24"/>
        <v>1030016</v>
      </c>
      <c r="B619" s="17">
        <v>103</v>
      </c>
      <c r="C619" s="17">
        <v>16</v>
      </c>
      <c r="D619" s="17" t="s">
        <v>917</v>
      </c>
      <c r="E619" s="17">
        <v>98618</v>
      </c>
      <c r="F619" s="17" t="s">
        <v>918</v>
      </c>
      <c r="G619" s="17">
        <v>98618</v>
      </c>
      <c r="H619" s="17" t="s">
        <v>919</v>
      </c>
      <c r="I619" s="17">
        <v>98618</v>
      </c>
    </row>
    <row r="620" spans="1:9" x14ac:dyDescent="0.3">
      <c r="A620" s="17" t="str">
        <f t="shared" si="24"/>
        <v>1030017</v>
      </c>
      <c r="B620" s="17">
        <v>103</v>
      </c>
      <c r="C620" s="17">
        <v>17</v>
      </c>
      <c r="D620" s="17" t="s">
        <v>917</v>
      </c>
      <c r="E620" s="17">
        <v>106147</v>
      </c>
      <c r="F620" s="17" t="s">
        <v>918</v>
      </c>
      <c r="G620" s="17">
        <v>106147</v>
      </c>
      <c r="H620" s="17" t="s">
        <v>919</v>
      </c>
      <c r="I620" s="17">
        <v>106147</v>
      </c>
    </row>
    <row r="621" spans="1:9" x14ac:dyDescent="0.3">
      <c r="A621" s="17" t="str">
        <f t="shared" si="24"/>
        <v>1030018</v>
      </c>
      <c r="B621" s="17">
        <v>103</v>
      </c>
      <c r="C621" s="17">
        <v>18</v>
      </c>
      <c r="D621" s="17" t="s">
        <v>917</v>
      </c>
      <c r="E621" s="17">
        <v>117012</v>
      </c>
      <c r="F621" s="17" t="s">
        <v>918</v>
      </c>
      <c r="G621" s="17">
        <v>117012</v>
      </c>
      <c r="H621" s="17" t="s">
        <v>919</v>
      </c>
      <c r="I621" s="17">
        <v>117012</v>
      </c>
    </row>
    <row r="622" spans="1:9" x14ac:dyDescent="0.3">
      <c r="A622" s="17" t="str">
        <f t="shared" si="24"/>
        <v>1030019</v>
      </c>
      <c r="B622" s="17">
        <v>103</v>
      </c>
      <c r="C622" s="17">
        <v>19</v>
      </c>
      <c r="D622" s="17" t="s">
        <v>917</v>
      </c>
      <c r="E622" s="17">
        <v>124961</v>
      </c>
      <c r="F622" s="17" t="s">
        <v>918</v>
      </c>
      <c r="G622" s="17">
        <v>124961</v>
      </c>
      <c r="H622" s="17" t="s">
        <v>919</v>
      </c>
      <c r="I622" s="17">
        <v>124961</v>
      </c>
    </row>
    <row r="623" spans="1:9" x14ac:dyDescent="0.3">
      <c r="A623" s="17" t="str">
        <f t="shared" si="24"/>
        <v>1030020</v>
      </c>
      <c r="B623" s="17">
        <v>103</v>
      </c>
      <c r="C623" s="17">
        <v>20</v>
      </c>
      <c r="D623" s="17" t="s">
        <v>917</v>
      </c>
      <c r="E623" s="17">
        <v>136951</v>
      </c>
      <c r="F623" s="17" t="s">
        <v>918</v>
      </c>
      <c r="G623" s="17">
        <v>136951</v>
      </c>
      <c r="H623" s="17" t="s">
        <v>919</v>
      </c>
      <c r="I623" s="17">
        <v>136951</v>
      </c>
    </row>
    <row r="624" spans="1:9" x14ac:dyDescent="0.3">
      <c r="A624" s="17" t="str">
        <f t="shared" si="24"/>
        <v>1030021</v>
      </c>
      <c r="B624" s="17">
        <v>103</v>
      </c>
      <c r="C624" s="17">
        <v>21</v>
      </c>
      <c r="D624" s="17" t="s">
        <v>917</v>
      </c>
      <c r="E624" s="17">
        <v>145347</v>
      </c>
      <c r="F624" s="17" t="s">
        <v>918</v>
      </c>
      <c r="G624" s="17">
        <v>145347</v>
      </c>
      <c r="H624" s="17" t="s">
        <v>919</v>
      </c>
      <c r="I624" s="17">
        <v>145347</v>
      </c>
    </row>
    <row r="625" spans="1:9" x14ac:dyDescent="0.3">
      <c r="A625" s="17" t="str">
        <f t="shared" si="24"/>
        <v>1030022</v>
      </c>
      <c r="B625" s="17">
        <v>103</v>
      </c>
      <c r="C625" s="17">
        <v>22</v>
      </c>
      <c r="D625" s="17" t="s">
        <v>917</v>
      </c>
      <c r="E625" s="17">
        <v>158566</v>
      </c>
      <c r="F625" s="17" t="s">
        <v>918</v>
      </c>
      <c r="G625" s="17">
        <v>158566</v>
      </c>
      <c r="H625" s="17" t="s">
        <v>919</v>
      </c>
      <c r="I625" s="17">
        <v>158566</v>
      </c>
    </row>
    <row r="626" spans="1:9" x14ac:dyDescent="0.3">
      <c r="A626" s="17" t="str">
        <f t="shared" si="24"/>
        <v>1030023</v>
      </c>
      <c r="B626" s="17">
        <v>103</v>
      </c>
      <c r="C626" s="17">
        <v>23</v>
      </c>
      <c r="D626" s="17" t="s">
        <v>917</v>
      </c>
      <c r="E626" s="17">
        <v>167435</v>
      </c>
      <c r="F626" s="17" t="s">
        <v>918</v>
      </c>
      <c r="G626" s="17">
        <v>167435</v>
      </c>
      <c r="H626" s="17" t="s">
        <v>919</v>
      </c>
      <c r="I626" s="17">
        <v>167435</v>
      </c>
    </row>
    <row r="627" spans="1:9" x14ac:dyDescent="0.3">
      <c r="A627" s="17" t="str">
        <f t="shared" si="24"/>
        <v>1030024</v>
      </c>
      <c r="B627" s="17">
        <v>103</v>
      </c>
      <c r="C627" s="17">
        <v>24</v>
      </c>
      <c r="D627" s="17" t="s">
        <v>917</v>
      </c>
      <c r="E627" s="17">
        <v>181992</v>
      </c>
      <c r="F627" s="17" t="s">
        <v>918</v>
      </c>
      <c r="G627" s="17">
        <v>181992</v>
      </c>
      <c r="H627" s="17" t="s">
        <v>919</v>
      </c>
      <c r="I627" s="17">
        <v>181992</v>
      </c>
    </row>
    <row r="628" spans="1:9" x14ac:dyDescent="0.3">
      <c r="A628" s="17" t="str">
        <f t="shared" si="24"/>
        <v>1030025</v>
      </c>
      <c r="B628" s="17">
        <v>103</v>
      </c>
      <c r="C628" s="17">
        <v>25</v>
      </c>
      <c r="D628" s="17" t="s">
        <v>917</v>
      </c>
      <c r="E628" s="17">
        <v>191365</v>
      </c>
      <c r="F628" s="17" t="s">
        <v>918</v>
      </c>
      <c r="G628" s="17">
        <v>191365</v>
      </c>
      <c r="H628" s="17" t="s">
        <v>919</v>
      </c>
      <c r="I628" s="17">
        <v>191365</v>
      </c>
    </row>
    <row r="629" spans="1:9" x14ac:dyDescent="0.3">
      <c r="A629" s="17" t="str">
        <f t="shared" si="24"/>
        <v>1030026</v>
      </c>
      <c r="B629" s="17">
        <v>103</v>
      </c>
      <c r="C629" s="17">
        <v>26</v>
      </c>
      <c r="D629" s="17" t="s">
        <v>917</v>
      </c>
      <c r="E629" s="17">
        <v>207377</v>
      </c>
      <c r="F629" s="17" t="s">
        <v>918</v>
      </c>
      <c r="G629" s="17">
        <v>207377</v>
      </c>
      <c r="H629" s="17" t="s">
        <v>919</v>
      </c>
      <c r="I629" s="17">
        <v>207377</v>
      </c>
    </row>
    <row r="630" spans="1:9" x14ac:dyDescent="0.3">
      <c r="A630" s="17" t="str">
        <f t="shared" si="24"/>
        <v>1030027</v>
      </c>
      <c r="B630" s="17">
        <v>103</v>
      </c>
      <c r="C630" s="17">
        <v>27</v>
      </c>
      <c r="D630" s="17" t="s">
        <v>917</v>
      </c>
      <c r="E630" s="17">
        <v>217286</v>
      </c>
      <c r="F630" s="17" t="s">
        <v>918</v>
      </c>
      <c r="G630" s="17">
        <v>217286</v>
      </c>
      <c r="H630" s="17" t="s">
        <v>919</v>
      </c>
      <c r="I630" s="17">
        <v>217286</v>
      </c>
    </row>
    <row r="631" spans="1:9" x14ac:dyDescent="0.3">
      <c r="A631" s="17" t="str">
        <f t="shared" si="24"/>
        <v>1030028</v>
      </c>
      <c r="B631" s="17">
        <v>103</v>
      </c>
      <c r="C631" s="17">
        <v>28</v>
      </c>
      <c r="D631" s="17" t="s">
        <v>917</v>
      </c>
      <c r="E631" s="17">
        <v>234882</v>
      </c>
      <c r="F631" s="17" t="s">
        <v>918</v>
      </c>
      <c r="G631" s="17">
        <v>234882</v>
      </c>
      <c r="H631" s="17" t="s">
        <v>919</v>
      </c>
      <c r="I631" s="17">
        <v>234882</v>
      </c>
    </row>
    <row r="632" spans="1:9" x14ac:dyDescent="0.3">
      <c r="A632" s="17" t="str">
        <f t="shared" si="24"/>
        <v>1030029</v>
      </c>
      <c r="B632" s="17">
        <v>103</v>
      </c>
      <c r="C632" s="17">
        <v>29</v>
      </c>
      <c r="D632" s="17" t="s">
        <v>917</v>
      </c>
      <c r="E632" s="17">
        <v>245359</v>
      </c>
      <c r="F632" s="17" t="s">
        <v>918</v>
      </c>
      <c r="G632" s="17">
        <v>245359</v>
      </c>
      <c r="H632" s="17" t="s">
        <v>919</v>
      </c>
      <c r="I632" s="17">
        <v>245359</v>
      </c>
    </row>
    <row r="633" spans="1:9" x14ac:dyDescent="0.3">
      <c r="A633" s="17" t="str">
        <f t="shared" si="24"/>
        <v>1030030</v>
      </c>
      <c r="B633" s="17">
        <v>103</v>
      </c>
      <c r="C633" s="17">
        <v>30</v>
      </c>
      <c r="D633" s="17" t="s">
        <v>917</v>
      </c>
      <c r="E633" s="17">
        <v>264676</v>
      </c>
      <c r="F633" s="17" t="s">
        <v>918</v>
      </c>
      <c r="G633" s="17">
        <v>264676</v>
      </c>
      <c r="H633" s="17" t="s">
        <v>919</v>
      </c>
      <c r="I633" s="17">
        <v>264676</v>
      </c>
    </row>
    <row r="634" spans="1:9" x14ac:dyDescent="0.3">
      <c r="A634" s="17" t="str">
        <f t="shared" si="24"/>
        <v>1030031</v>
      </c>
      <c r="B634" s="17">
        <v>103</v>
      </c>
      <c r="C634" s="17">
        <v>31</v>
      </c>
      <c r="D634" s="17" t="s">
        <v>917</v>
      </c>
      <c r="E634" s="17">
        <v>275759</v>
      </c>
      <c r="F634" s="17" t="s">
        <v>918</v>
      </c>
      <c r="G634" s="17">
        <v>275759</v>
      </c>
      <c r="H634" s="17" t="s">
        <v>919</v>
      </c>
      <c r="I634" s="17">
        <v>275759</v>
      </c>
    </row>
    <row r="635" spans="1:9" x14ac:dyDescent="0.3">
      <c r="A635" s="17" t="str">
        <f t="shared" si="24"/>
        <v>1030032</v>
      </c>
      <c r="B635" s="17">
        <v>103</v>
      </c>
      <c r="C635" s="17">
        <v>32</v>
      </c>
      <c r="D635" s="17" t="s">
        <v>917</v>
      </c>
      <c r="E635" s="17">
        <v>296943</v>
      </c>
      <c r="F635" s="17" t="s">
        <v>918</v>
      </c>
      <c r="G635" s="17">
        <v>296943</v>
      </c>
      <c r="H635" s="17" t="s">
        <v>919</v>
      </c>
      <c r="I635" s="17">
        <v>296943</v>
      </c>
    </row>
    <row r="636" spans="1:9" x14ac:dyDescent="0.3">
      <c r="A636" s="17" t="str">
        <f t="shared" si="24"/>
        <v>1030033</v>
      </c>
      <c r="B636" s="17">
        <v>103</v>
      </c>
      <c r="C636" s="17">
        <v>33</v>
      </c>
      <c r="D636" s="17" t="s">
        <v>917</v>
      </c>
      <c r="E636" s="17">
        <v>308671</v>
      </c>
      <c r="F636" s="17" t="s">
        <v>918</v>
      </c>
      <c r="G636" s="17">
        <v>308671</v>
      </c>
      <c r="H636" s="17" t="s">
        <v>919</v>
      </c>
      <c r="I636" s="17">
        <v>308671</v>
      </c>
    </row>
    <row r="637" spans="1:9" x14ac:dyDescent="0.3">
      <c r="A637" s="17" t="str">
        <f t="shared" si="24"/>
        <v>1030034</v>
      </c>
      <c r="B637" s="17">
        <v>103</v>
      </c>
      <c r="C637" s="17">
        <v>34</v>
      </c>
      <c r="D637" s="17" t="s">
        <v>917</v>
      </c>
      <c r="E637" s="17">
        <v>331883</v>
      </c>
      <c r="F637" s="17" t="s">
        <v>918</v>
      </c>
      <c r="G637" s="17">
        <v>331883</v>
      </c>
      <c r="H637" s="17" t="s">
        <v>919</v>
      </c>
      <c r="I637" s="17">
        <v>331883</v>
      </c>
    </row>
    <row r="638" spans="1:9" x14ac:dyDescent="0.3">
      <c r="A638" s="17" t="str">
        <f t="shared" si="24"/>
        <v>1030035</v>
      </c>
      <c r="B638" s="17">
        <v>103</v>
      </c>
      <c r="C638" s="17">
        <v>35</v>
      </c>
      <c r="D638" s="17" t="s">
        <v>917</v>
      </c>
      <c r="E638" s="17">
        <v>344296</v>
      </c>
      <c r="F638" s="17" t="s">
        <v>918</v>
      </c>
      <c r="G638" s="17">
        <v>344296</v>
      </c>
      <c r="H638" s="17" t="s">
        <v>919</v>
      </c>
      <c r="I638" s="17">
        <v>344296</v>
      </c>
    </row>
    <row r="639" spans="1:9" x14ac:dyDescent="0.3">
      <c r="A639" s="17" t="str">
        <f t="shared" si="24"/>
        <v>1030036</v>
      </c>
      <c r="B639" s="17">
        <v>103</v>
      </c>
      <c r="C639" s="17">
        <v>36</v>
      </c>
      <c r="D639" s="17" t="s">
        <v>917</v>
      </c>
      <c r="E639" s="17">
        <v>369706</v>
      </c>
      <c r="F639" s="17" t="s">
        <v>918</v>
      </c>
      <c r="G639" s="17">
        <v>369706</v>
      </c>
      <c r="H639" s="17" t="s">
        <v>919</v>
      </c>
      <c r="I639" s="17">
        <v>369706</v>
      </c>
    </row>
    <row r="640" spans="1:9" x14ac:dyDescent="0.3">
      <c r="A640" s="17" t="str">
        <f t="shared" si="24"/>
        <v>1030037</v>
      </c>
      <c r="B640" s="17">
        <v>103</v>
      </c>
      <c r="C640" s="17">
        <v>37</v>
      </c>
      <c r="D640" s="17" t="s">
        <v>917</v>
      </c>
      <c r="E640" s="17">
        <v>382849</v>
      </c>
      <c r="F640" s="17" t="s">
        <v>918</v>
      </c>
      <c r="G640" s="17">
        <v>382849</v>
      </c>
      <c r="H640" s="17" t="s">
        <v>919</v>
      </c>
      <c r="I640" s="17">
        <v>382849</v>
      </c>
    </row>
    <row r="641" spans="1:9" x14ac:dyDescent="0.3">
      <c r="A641" s="17" t="str">
        <f t="shared" si="24"/>
        <v>1030038</v>
      </c>
      <c r="B641" s="17">
        <v>103</v>
      </c>
      <c r="C641" s="17">
        <v>38</v>
      </c>
      <c r="D641" s="17" t="s">
        <v>917</v>
      </c>
      <c r="E641" s="17">
        <v>410643</v>
      </c>
      <c r="F641" s="17" t="s">
        <v>918</v>
      </c>
      <c r="G641" s="17">
        <v>410643</v>
      </c>
      <c r="H641" s="17" t="s">
        <v>919</v>
      </c>
      <c r="I641" s="17">
        <v>410643</v>
      </c>
    </row>
    <row r="642" spans="1:9" x14ac:dyDescent="0.3">
      <c r="A642" s="17" t="str">
        <f t="shared" si="24"/>
        <v>1030039</v>
      </c>
      <c r="B642" s="17">
        <v>103</v>
      </c>
      <c r="C642" s="17">
        <v>39</v>
      </c>
      <c r="D642" s="17" t="s">
        <v>917</v>
      </c>
      <c r="E642" s="17">
        <v>424563</v>
      </c>
      <c r="F642" s="17" t="s">
        <v>918</v>
      </c>
      <c r="G642" s="17">
        <v>424563</v>
      </c>
      <c r="H642" s="17" t="s">
        <v>919</v>
      </c>
      <c r="I642" s="17">
        <v>424563</v>
      </c>
    </row>
    <row r="643" spans="1:9" x14ac:dyDescent="0.3">
      <c r="A643" s="17" t="str">
        <f t="shared" si="24"/>
        <v>1030040</v>
      </c>
      <c r="B643" s="17">
        <v>103</v>
      </c>
      <c r="C643" s="17">
        <v>40</v>
      </c>
      <c r="D643" s="17" t="s">
        <v>917</v>
      </c>
      <c r="E643" s="17">
        <v>454940</v>
      </c>
      <c r="F643" s="17" t="s">
        <v>918</v>
      </c>
      <c r="G643" s="17">
        <v>454940</v>
      </c>
      <c r="H643" s="17" t="s">
        <v>919</v>
      </c>
      <c r="I643" s="17">
        <v>454940</v>
      </c>
    </row>
    <row r="644" spans="1:9" x14ac:dyDescent="0.3">
      <c r="A644" s="17" t="str">
        <f t="shared" ref="A644:A707" si="25">B644&amp;TEXT(C644,"0000")</f>
        <v>1030041</v>
      </c>
      <c r="B644" s="17">
        <v>103</v>
      </c>
      <c r="C644" s="17">
        <v>41</v>
      </c>
      <c r="D644" s="17" t="s">
        <v>917</v>
      </c>
      <c r="E644" s="17">
        <v>469687</v>
      </c>
      <c r="F644" s="17" t="s">
        <v>918</v>
      </c>
      <c r="G644" s="17">
        <v>469687</v>
      </c>
      <c r="H644" s="17" t="s">
        <v>919</v>
      </c>
      <c r="I644" s="17">
        <v>469687</v>
      </c>
    </row>
    <row r="645" spans="1:9" x14ac:dyDescent="0.3">
      <c r="A645" s="17" t="str">
        <f t="shared" si="25"/>
        <v>1030042</v>
      </c>
      <c r="B645" s="17">
        <v>103</v>
      </c>
      <c r="C645" s="17">
        <v>42</v>
      </c>
      <c r="D645" s="17" t="s">
        <v>917</v>
      </c>
      <c r="E645" s="17">
        <v>502861</v>
      </c>
      <c r="F645" s="17" t="s">
        <v>918</v>
      </c>
      <c r="G645" s="17">
        <v>502861</v>
      </c>
      <c r="H645" s="17" t="s">
        <v>919</v>
      </c>
      <c r="I645" s="17">
        <v>502861</v>
      </c>
    </row>
    <row r="646" spans="1:9" x14ac:dyDescent="0.3">
      <c r="A646" s="17" t="str">
        <f t="shared" si="25"/>
        <v>1030043</v>
      </c>
      <c r="B646" s="17">
        <v>103</v>
      </c>
      <c r="C646" s="17">
        <v>43</v>
      </c>
      <c r="D646" s="17" t="s">
        <v>917</v>
      </c>
      <c r="E646" s="17">
        <v>518488</v>
      </c>
      <c r="F646" s="17" t="s">
        <v>918</v>
      </c>
      <c r="G646" s="17">
        <v>518488</v>
      </c>
      <c r="H646" s="17" t="s">
        <v>919</v>
      </c>
      <c r="I646" s="17">
        <v>518488</v>
      </c>
    </row>
    <row r="647" spans="1:9" x14ac:dyDescent="0.3">
      <c r="A647" s="17" t="str">
        <f t="shared" si="25"/>
        <v>1030044</v>
      </c>
      <c r="B647" s="17">
        <v>103</v>
      </c>
      <c r="C647" s="17">
        <v>44</v>
      </c>
      <c r="D647" s="17" t="s">
        <v>917</v>
      </c>
      <c r="E647" s="17">
        <v>554692</v>
      </c>
      <c r="F647" s="17" t="s">
        <v>918</v>
      </c>
      <c r="G647" s="17">
        <v>554692</v>
      </c>
      <c r="H647" s="17" t="s">
        <v>919</v>
      </c>
      <c r="I647" s="17">
        <v>554692</v>
      </c>
    </row>
    <row r="648" spans="1:9" x14ac:dyDescent="0.3">
      <c r="A648" s="17" t="str">
        <f t="shared" si="25"/>
        <v>1030045</v>
      </c>
      <c r="B648" s="17">
        <v>103</v>
      </c>
      <c r="C648" s="17">
        <v>45</v>
      </c>
      <c r="D648" s="17" t="s">
        <v>917</v>
      </c>
      <c r="E648" s="17">
        <v>571258</v>
      </c>
      <c r="F648" s="17" t="s">
        <v>918</v>
      </c>
      <c r="G648" s="17">
        <v>571258</v>
      </c>
      <c r="H648" s="17" t="s">
        <v>919</v>
      </c>
      <c r="I648" s="17">
        <v>571258</v>
      </c>
    </row>
    <row r="649" spans="1:9" x14ac:dyDescent="0.3">
      <c r="A649" s="17" t="str">
        <f t="shared" si="25"/>
        <v>1030046</v>
      </c>
      <c r="B649" s="17">
        <v>103</v>
      </c>
      <c r="C649" s="17">
        <v>46</v>
      </c>
      <c r="D649" s="17" t="s">
        <v>917</v>
      </c>
      <c r="E649" s="17">
        <v>610740</v>
      </c>
      <c r="F649" s="17" t="s">
        <v>918</v>
      </c>
      <c r="G649" s="17">
        <v>610740</v>
      </c>
      <c r="H649" s="17" t="s">
        <v>919</v>
      </c>
      <c r="I649" s="17">
        <v>610740</v>
      </c>
    </row>
    <row r="650" spans="1:9" x14ac:dyDescent="0.3">
      <c r="A650" s="17" t="str">
        <f t="shared" si="25"/>
        <v>1030047</v>
      </c>
      <c r="B650" s="17">
        <v>103</v>
      </c>
      <c r="C650" s="17">
        <v>47</v>
      </c>
      <c r="D650" s="17" t="s">
        <v>917</v>
      </c>
      <c r="E650" s="17">
        <v>628304</v>
      </c>
      <c r="F650" s="17" t="s">
        <v>918</v>
      </c>
      <c r="G650" s="17">
        <v>628304</v>
      </c>
      <c r="H650" s="17" t="s">
        <v>919</v>
      </c>
      <c r="I650" s="17">
        <v>628304</v>
      </c>
    </row>
    <row r="651" spans="1:9" x14ac:dyDescent="0.3">
      <c r="A651" s="17" t="str">
        <f t="shared" si="25"/>
        <v>1030048</v>
      </c>
      <c r="B651" s="17">
        <v>103</v>
      </c>
      <c r="C651" s="17">
        <v>48</v>
      </c>
      <c r="D651" s="17" t="s">
        <v>917</v>
      </c>
      <c r="E651" s="17">
        <v>671336</v>
      </c>
      <c r="F651" s="17" t="s">
        <v>918</v>
      </c>
      <c r="G651" s="17">
        <v>671336</v>
      </c>
      <c r="H651" s="17" t="s">
        <v>919</v>
      </c>
      <c r="I651" s="17">
        <v>671336</v>
      </c>
    </row>
    <row r="652" spans="1:9" x14ac:dyDescent="0.3">
      <c r="A652" s="17" t="str">
        <f t="shared" si="25"/>
        <v>1030049</v>
      </c>
      <c r="B652" s="17">
        <v>103</v>
      </c>
      <c r="C652" s="17">
        <v>49</v>
      </c>
      <c r="D652" s="17" t="s">
        <v>917</v>
      </c>
      <c r="E652" s="17">
        <v>689964</v>
      </c>
      <c r="F652" s="17" t="s">
        <v>918</v>
      </c>
      <c r="G652" s="17">
        <v>689964</v>
      </c>
      <c r="H652" s="17" t="s">
        <v>919</v>
      </c>
      <c r="I652" s="17">
        <v>689964</v>
      </c>
    </row>
    <row r="653" spans="1:9" x14ac:dyDescent="0.3">
      <c r="A653" s="17" t="str">
        <f t="shared" si="25"/>
        <v>1030050</v>
      </c>
      <c r="B653" s="17">
        <v>103</v>
      </c>
      <c r="C653" s="17">
        <v>50</v>
      </c>
      <c r="D653" s="17" t="s">
        <v>917</v>
      </c>
      <c r="E653" s="17">
        <v>736834</v>
      </c>
      <c r="F653" s="17" t="s">
        <v>918</v>
      </c>
      <c r="G653" s="17">
        <v>736834</v>
      </c>
      <c r="H653" s="17" t="s">
        <v>919</v>
      </c>
      <c r="I653" s="17">
        <v>736834</v>
      </c>
    </row>
    <row r="654" spans="1:9" x14ac:dyDescent="0.3">
      <c r="A654" s="17" t="str">
        <f t="shared" si="25"/>
        <v>1030051</v>
      </c>
      <c r="B654" s="17">
        <v>103</v>
      </c>
      <c r="C654" s="17">
        <v>51</v>
      </c>
      <c r="D654" s="17" t="s">
        <v>917</v>
      </c>
      <c r="E654" s="17">
        <v>756595</v>
      </c>
      <c r="F654" s="17" t="s">
        <v>918</v>
      </c>
      <c r="G654" s="17">
        <v>756595</v>
      </c>
      <c r="H654" s="17" t="s">
        <v>919</v>
      </c>
      <c r="I654" s="17">
        <v>756595</v>
      </c>
    </row>
    <row r="655" spans="1:9" x14ac:dyDescent="0.3">
      <c r="A655" s="17" t="str">
        <f t="shared" si="25"/>
        <v>1030052</v>
      </c>
      <c r="B655" s="17">
        <v>103</v>
      </c>
      <c r="C655" s="17">
        <v>52</v>
      </c>
      <c r="D655" s="17" t="s">
        <v>917</v>
      </c>
      <c r="E655" s="17">
        <v>807616</v>
      </c>
      <c r="F655" s="17" t="s">
        <v>918</v>
      </c>
      <c r="G655" s="17">
        <v>807616</v>
      </c>
      <c r="H655" s="17" t="s">
        <v>919</v>
      </c>
      <c r="I655" s="17">
        <v>807616</v>
      </c>
    </row>
    <row r="656" spans="1:9" x14ac:dyDescent="0.3">
      <c r="A656" s="17" t="str">
        <f t="shared" si="25"/>
        <v>1030053</v>
      </c>
      <c r="B656" s="17">
        <v>103</v>
      </c>
      <c r="C656" s="17">
        <v>53</v>
      </c>
      <c r="D656" s="17" t="s">
        <v>917</v>
      </c>
      <c r="E656" s="17">
        <v>828585</v>
      </c>
      <c r="F656" s="17" t="s">
        <v>918</v>
      </c>
      <c r="G656" s="17">
        <v>828585</v>
      </c>
      <c r="H656" s="17" t="s">
        <v>919</v>
      </c>
      <c r="I656" s="17">
        <v>828585</v>
      </c>
    </row>
    <row r="657" spans="1:9" x14ac:dyDescent="0.3">
      <c r="A657" s="17" t="str">
        <f t="shared" si="25"/>
        <v>1030054</v>
      </c>
      <c r="B657" s="17">
        <v>103</v>
      </c>
      <c r="C657" s="17">
        <v>54</v>
      </c>
      <c r="D657" s="17" t="s">
        <v>917</v>
      </c>
      <c r="E657" s="17">
        <v>884096</v>
      </c>
      <c r="F657" s="17" t="s">
        <v>918</v>
      </c>
      <c r="G657" s="17">
        <v>884096</v>
      </c>
      <c r="H657" s="17" t="s">
        <v>919</v>
      </c>
      <c r="I657" s="17">
        <v>884096</v>
      </c>
    </row>
    <row r="658" spans="1:9" x14ac:dyDescent="0.3">
      <c r="A658" s="17" t="str">
        <f t="shared" si="25"/>
        <v>1030055</v>
      </c>
      <c r="B658" s="17">
        <v>103</v>
      </c>
      <c r="C658" s="17">
        <v>55</v>
      </c>
      <c r="D658" s="17" t="s">
        <v>917</v>
      </c>
      <c r="E658" s="17">
        <v>906351</v>
      </c>
      <c r="F658" s="17" t="s">
        <v>918</v>
      </c>
      <c r="G658" s="17">
        <v>906351</v>
      </c>
      <c r="H658" s="17" t="s">
        <v>919</v>
      </c>
      <c r="I658" s="17">
        <v>906351</v>
      </c>
    </row>
    <row r="659" spans="1:9" x14ac:dyDescent="0.3">
      <c r="A659" s="17" t="str">
        <f t="shared" si="25"/>
        <v>1030056</v>
      </c>
      <c r="B659" s="17">
        <v>103</v>
      </c>
      <c r="C659" s="17">
        <v>56</v>
      </c>
      <c r="D659" s="17" t="s">
        <v>917</v>
      </c>
      <c r="E659" s="17">
        <v>966715</v>
      </c>
      <c r="F659" s="17" t="s">
        <v>918</v>
      </c>
      <c r="G659" s="17">
        <v>966715</v>
      </c>
      <c r="H659" s="17" t="s">
        <v>919</v>
      </c>
      <c r="I659" s="17">
        <v>966715</v>
      </c>
    </row>
    <row r="660" spans="1:9" x14ac:dyDescent="0.3">
      <c r="A660" s="17" t="str">
        <f t="shared" si="25"/>
        <v>1030057</v>
      </c>
      <c r="B660" s="17">
        <v>103</v>
      </c>
      <c r="C660" s="17">
        <v>57</v>
      </c>
      <c r="D660" s="17" t="s">
        <v>917</v>
      </c>
      <c r="E660" s="17">
        <v>990340</v>
      </c>
      <c r="F660" s="17" t="s">
        <v>918</v>
      </c>
      <c r="G660" s="17">
        <v>990340</v>
      </c>
      <c r="H660" s="17" t="s">
        <v>919</v>
      </c>
      <c r="I660" s="17">
        <v>990340</v>
      </c>
    </row>
    <row r="661" spans="1:9" x14ac:dyDescent="0.3">
      <c r="A661" s="17" t="str">
        <f t="shared" si="25"/>
        <v>1030058</v>
      </c>
      <c r="B661" s="17">
        <v>103</v>
      </c>
      <c r="C661" s="17">
        <v>58</v>
      </c>
      <c r="D661" s="17" t="s">
        <v>917</v>
      </c>
      <c r="E661" s="17">
        <v>1055951</v>
      </c>
      <c r="F661" s="17" t="s">
        <v>918</v>
      </c>
      <c r="G661" s="17">
        <v>1055951</v>
      </c>
      <c r="H661" s="17" t="s">
        <v>919</v>
      </c>
      <c r="I661" s="17">
        <v>1055951</v>
      </c>
    </row>
    <row r="662" spans="1:9" x14ac:dyDescent="0.3">
      <c r="A662" s="17" t="str">
        <f t="shared" si="25"/>
        <v>1030059</v>
      </c>
      <c r="B662" s="17">
        <v>103</v>
      </c>
      <c r="C662" s="17">
        <v>59</v>
      </c>
      <c r="D662" s="17" t="s">
        <v>917</v>
      </c>
      <c r="E662" s="17">
        <v>1081036</v>
      </c>
      <c r="F662" s="17" t="s">
        <v>918</v>
      </c>
      <c r="G662" s="17">
        <v>1081036</v>
      </c>
      <c r="H662" s="17" t="s">
        <v>919</v>
      </c>
      <c r="I662" s="17">
        <v>1081036</v>
      </c>
    </row>
    <row r="663" spans="1:9" x14ac:dyDescent="0.3">
      <c r="A663" s="17" t="str">
        <f t="shared" si="25"/>
        <v>1030060</v>
      </c>
      <c r="B663" s="17">
        <v>103</v>
      </c>
      <c r="C663" s="17">
        <v>60</v>
      </c>
      <c r="D663" s="17" t="s">
        <v>917</v>
      </c>
      <c r="E663" s="17">
        <v>1152315</v>
      </c>
      <c r="F663" s="17" t="s">
        <v>918</v>
      </c>
      <c r="G663" s="17">
        <v>1152315</v>
      </c>
      <c r="H663" s="17" t="s">
        <v>919</v>
      </c>
      <c r="I663" s="17">
        <v>1152315</v>
      </c>
    </row>
    <row r="664" spans="1:9" x14ac:dyDescent="0.3">
      <c r="A664" s="17" t="str">
        <f t="shared" si="25"/>
        <v>1030061</v>
      </c>
      <c r="B664" s="17">
        <v>103</v>
      </c>
      <c r="C664" s="17">
        <v>61</v>
      </c>
      <c r="D664" s="17" t="s">
        <v>917</v>
      </c>
      <c r="E664" s="17">
        <v>1178958</v>
      </c>
      <c r="F664" s="17" t="s">
        <v>918</v>
      </c>
      <c r="G664" s="17">
        <v>1178958</v>
      </c>
      <c r="H664" s="17" t="s">
        <v>919</v>
      </c>
      <c r="I664" s="17">
        <v>1178958</v>
      </c>
    </row>
    <row r="665" spans="1:9" x14ac:dyDescent="0.3">
      <c r="A665" s="17" t="str">
        <f t="shared" si="25"/>
        <v>1030062</v>
      </c>
      <c r="B665" s="17">
        <v>103</v>
      </c>
      <c r="C665" s="17">
        <v>62</v>
      </c>
      <c r="D665" s="17" t="s">
        <v>917</v>
      </c>
      <c r="E665" s="17">
        <v>1256361</v>
      </c>
      <c r="F665" s="17" t="s">
        <v>918</v>
      </c>
      <c r="G665" s="17">
        <v>1256361</v>
      </c>
      <c r="H665" s="17" t="s">
        <v>919</v>
      </c>
      <c r="I665" s="17">
        <v>1256361</v>
      </c>
    </row>
    <row r="666" spans="1:9" x14ac:dyDescent="0.3">
      <c r="A666" s="17" t="str">
        <f t="shared" si="25"/>
        <v>1030063</v>
      </c>
      <c r="B666" s="17">
        <v>103</v>
      </c>
      <c r="C666" s="17">
        <v>63</v>
      </c>
      <c r="D666" s="17" t="s">
        <v>917</v>
      </c>
      <c r="E666" s="17">
        <v>1284663</v>
      </c>
      <c r="F666" s="17" t="s">
        <v>918</v>
      </c>
      <c r="G666" s="17">
        <v>1284663</v>
      </c>
      <c r="H666" s="17" t="s">
        <v>919</v>
      </c>
      <c r="I666" s="17">
        <v>1284663</v>
      </c>
    </row>
    <row r="667" spans="1:9" x14ac:dyDescent="0.3">
      <c r="A667" s="17" t="str">
        <f t="shared" si="25"/>
        <v>1030064</v>
      </c>
      <c r="B667" s="17">
        <v>103</v>
      </c>
      <c r="C667" s="17">
        <v>64</v>
      </c>
      <c r="D667" s="17" t="s">
        <v>917</v>
      </c>
      <c r="E667" s="17">
        <v>1368682</v>
      </c>
      <c r="F667" s="17" t="s">
        <v>918</v>
      </c>
      <c r="G667" s="17">
        <v>1368682</v>
      </c>
      <c r="H667" s="17" t="s">
        <v>919</v>
      </c>
      <c r="I667" s="17">
        <v>1368682</v>
      </c>
    </row>
    <row r="668" spans="1:9" x14ac:dyDescent="0.3">
      <c r="A668" s="17" t="str">
        <f t="shared" si="25"/>
        <v>1030065</v>
      </c>
      <c r="B668" s="17">
        <v>103</v>
      </c>
      <c r="C668" s="17">
        <v>65</v>
      </c>
      <c r="D668" s="17" t="s">
        <v>917</v>
      </c>
      <c r="E668" s="17">
        <v>1398753</v>
      </c>
      <c r="F668" s="17" t="s">
        <v>918</v>
      </c>
      <c r="G668" s="17">
        <v>1398753</v>
      </c>
      <c r="H668" s="17" t="s">
        <v>919</v>
      </c>
      <c r="I668" s="17">
        <v>1398753</v>
      </c>
    </row>
    <row r="669" spans="1:9" x14ac:dyDescent="0.3">
      <c r="A669" s="17" t="str">
        <f t="shared" si="25"/>
        <v>1030066</v>
      </c>
      <c r="B669" s="17">
        <v>103</v>
      </c>
      <c r="C669" s="17">
        <v>66</v>
      </c>
      <c r="D669" s="17" t="s">
        <v>917</v>
      </c>
      <c r="E669" s="17">
        <v>1489917</v>
      </c>
      <c r="F669" s="17" t="s">
        <v>918</v>
      </c>
      <c r="G669" s="17">
        <v>1489917</v>
      </c>
      <c r="H669" s="17" t="s">
        <v>919</v>
      </c>
      <c r="I669" s="17">
        <v>1489917</v>
      </c>
    </row>
    <row r="670" spans="1:9" x14ac:dyDescent="0.3">
      <c r="A670" s="17" t="str">
        <f t="shared" si="25"/>
        <v>1030067</v>
      </c>
      <c r="B670" s="17">
        <v>103</v>
      </c>
      <c r="C670" s="17">
        <v>67</v>
      </c>
      <c r="D670" s="17" t="s">
        <v>917</v>
      </c>
      <c r="E670" s="17">
        <v>1521874</v>
      </c>
      <c r="F670" s="17" t="s">
        <v>918</v>
      </c>
      <c r="G670" s="17">
        <v>1521874</v>
      </c>
      <c r="H670" s="17" t="s">
        <v>919</v>
      </c>
      <c r="I670" s="17">
        <v>1521874</v>
      </c>
    </row>
    <row r="671" spans="1:9" x14ac:dyDescent="0.3">
      <c r="A671" s="17" t="str">
        <f t="shared" si="25"/>
        <v>1030068</v>
      </c>
      <c r="B671" s="17">
        <v>103</v>
      </c>
      <c r="C671" s="17">
        <v>68</v>
      </c>
      <c r="D671" s="17" t="s">
        <v>917</v>
      </c>
      <c r="E671" s="17">
        <v>1620755</v>
      </c>
      <c r="F671" s="17" t="s">
        <v>918</v>
      </c>
      <c r="G671" s="17">
        <v>1620755</v>
      </c>
      <c r="H671" s="17" t="s">
        <v>919</v>
      </c>
      <c r="I671" s="17">
        <v>1620755</v>
      </c>
    </row>
    <row r="672" spans="1:9" x14ac:dyDescent="0.3">
      <c r="A672" s="17" t="str">
        <f t="shared" si="25"/>
        <v>1030069</v>
      </c>
      <c r="B672" s="17">
        <v>103</v>
      </c>
      <c r="C672" s="17">
        <v>69</v>
      </c>
      <c r="D672" s="17" t="s">
        <v>917</v>
      </c>
      <c r="E672" s="17">
        <v>1654722</v>
      </c>
      <c r="F672" s="17" t="s">
        <v>918</v>
      </c>
      <c r="G672" s="17">
        <v>1654722</v>
      </c>
      <c r="H672" s="17" t="s">
        <v>919</v>
      </c>
      <c r="I672" s="17">
        <v>1654722</v>
      </c>
    </row>
    <row r="673" spans="1:9" x14ac:dyDescent="0.3">
      <c r="A673" s="17" t="str">
        <f t="shared" si="25"/>
        <v>1030070</v>
      </c>
      <c r="B673" s="17">
        <v>103</v>
      </c>
      <c r="C673" s="17">
        <v>70</v>
      </c>
      <c r="D673" s="17" t="s">
        <v>917</v>
      </c>
      <c r="E673" s="17">
        <v>1761934</v>
      </c>
      <c r="F673" s="17" t="s">
        <v>918</v>
      </c>
      <c r="G673" s="17">
        <v>1761934</v>
      </c>
      <c r="H673" s="17" t="s">
        <v>919</v>
      </c>
      <c r="I673" s="17">
        <v>1761934</v>
      </c>
    </row>
    <row r="674" spans="1:9" x14ac:dyDescent="0.3">
      <c r="A674" s="17" t="str">
        <f t="shared" si="25"/>
        <v>1030071</v>
      </c>
      <c r="B674" s="17">
        <v>103</v>
      </c>
      <c r="C674" s="17">
        <v>71</v>
      </c>
      <c r="D674" s="17" t="s">
        <v>917</v>
      </c>
      <c r="E674" s="17">
        <v>1798046</v>
      </c>
      <c r="F674" s="17" t="s">
        <v>918</v>
      </c>
      <c r="G674" s="17">
        <v>1798046</v>
      </c>
      <c r="H674" s="17" t="s">
        <v>919</v>
      </c>
      <c r="I674" s="17">
        <v>1798046</v>
      </c>
    </row>
    <row r="675" spans="1:9" x14ac:dyDescent="0.3">
      <c r="A675" s="17" t="str">
        <f t="shared" si="25"/>
        <v>1030072</v>
      </c>
      <c r="B675" s="17">
        <v>103</v>
      </c>
      <c r="C675" s="17">
        <v>72</v>
      </c>
      <c r="D675" s="17" t="s">
        <v>917</v>
      </c>
      <c r="E675" s="17">
        <v>1914253</v>
      </c>
      <c r="F675" s="17" t="s">
        <v>918</v>
      </c>
      <c r="G675" s="17">
        <v>1914253</v>
      </c>
      <c r="H675" s="17" t="s">
        <v>919</v>
      </c>
      <c r="I675" s="17">
        <v>1914253</v>
      </c>
    </row>
    <row r="676" spans="1:9" x14ac:dyDescent="0.3">
      <c r="A676" s="17" t="str">
        <f t="shared" si="25"/>
        <v>1030073</v>
      </c>
      <c r="B676" s="17">
        <v>103</v>
      </c>
      <c r="C676" s="17">
        <v>73</v>
      </c>
      <c r="D676" s="17" t="s">
        <v>917</v>
      </c>
      <c r="E676" s="17">
        <v>1952651</v>
      </c>
      <c r="F676" s="17" t="s">
        <v>918</v>
      </c>
      <c r="G676" s="17">
        <v>1952651</v>
      </c>
      <c r="H676" s="17" t="s">
        <v>919</v>
      </c>
      <c r="I676" s="17">
        <v>1952651</v>
      </c>
    </row>
    <row r="677" spans="1:9" x14ac:dyDescent="0.3">
      <c r="A677" s="17" t="str">
        <f t="shared" si="25"/>
        <v>1030074</v>
      </c>
      <c r="B677" s="17">
        <v>103</v>
      </c>
      <c r="C677" s="17">
        <v>74</v>
      </c>
      <c r="D677" s="17" t="s">
        <v>917</v>
      </c>
      <c r="E677" s="17">
        <v>2078568</v>
      </c>
      <c r="F677" s="17" t="s">
        <v>918</v>
      </c>
      <c r="G677" s="17">
        <v>2078568</v>
      </c>
      <c r="H677" s="17" t="s">
        <v>919</v>
      </c>
      <c r="I677" s="17">
        <v>2078568</v>
      </c>
    </row>
    <row r="678" spans="1:9" x14ac:dyDescent="0.3">
      <c r="A678" s="17" t="str">
        <f t="shared" si="25"/>
        <v>1030075</v>
      </c>
      <c r="B678" s="17">
        <v>103</v>
      </c>
      <c r="C678" s="17">
        <v>75</v>
      </c>
      <c r="D678" s="17" t="s">
        <v>917</v>
      </c>
      <c r="E678" s="17">
        <v>2119405</v>
      </c>
      <c r="F678" s="17" t="s">
        <v>918</v>
      </c>
      <c r="G678" s="17">
        <v>2119405</v>
      </c>
      <c r="H678" s="17" t="s">
        <v>919</v>
      </c>
      <c r="I678" s="17">
        <v>2119405</v>
      </c>
    </row>
    <row r="679" spans="1:9" x14ac:dyDescent="0.3">
      <c r="A679" s="17" t="str">
        <f t="shared" si="25"/>
        <v>1030076</v>
      </c>
      <c r="B679" s="17">
        <v>103</v>
      </c>
      <c r="C679" s="17">
        <v>76</v>
      </c>
      <c r="D679" s="17" t="s">
        <v>917</v>
      </c>
      <c r="E679" s="17">
        <v>2255801</v>
      </c>
      <c r="F679" s="17" t="s">
        <v>918</v>
      </c>
      <c r="G679" s="17">
        <v>2255801</v>
      </c>
      <c r="H679" s="17" t="s">
        <v>919</v>
      </c>
      <c r="I679" s="17">
        <v>2255801</v>
      </c>
    </row>
    <row r="680" spans="1:9" x14ac:dyDescent="0.3">
      <c r="A680" s="17" t="str">
        <f t="shared" si="25"/>
        <v>1030077</v>
      </c>
      <c r="B680" s="17">
        <v>103</v>
      </c>
      <c r="C680" s="17">
        <v>77</v>
      </c>
      <c r="D680" s="17" t="s">
        <v>917</v>
      </c>
      <c r="E680" s="17">
        <v>2299239</v>
      </c>
      <c r="F680" s="17" t="s">
        <v>918</v>
      </c>
      <c r="G680" s="17">
        <v>2299239</v>
      </c>
      <c r="H680" s="17" t="s">
        <v>919</v>
      </c>
      <c r="I680" s="17">
        <v>2299239</v>
      </c>
    </row>
    <row r="681" spans="1:9" x14ac:dyDescent="0.3">
      <c r="A681" s="17" t="str">
        <f t="shared" si="25"/>
        <v>1030078</v>
      </c>
      <c r="B681" s="17">
        <v>103</v>
      </c>
      <c r="C681" s="17">
        <v>78</v>
      </c>
      <c r="D681" s="17" t="s">
        <v>917</v>
      </c>
      <c r="E681" s="17">
        <v>2446944</v>
      </c>
      <c r="F681" s="17" t="s">
        <v>918</v>
      </c>
      <c r="G681" s="17">
        <v>2446944</v>
      </c>
      <c r="H681" s="17" t="s">
        <v>919</v>
      </c>
      <c r="I681" s="17">
        <v>2446944</v>
      </c>
    </row>
    <row r="682" spans="1:9" x14ac:dyDescent="0.3">
      <c r="A682" s="17" t="str">
        <f t="shared" si="25"/>
        <v>1030079</v>
      </c>
      <c r="B682" s="17">
        <v>103</v>
      </c>
      <c r="C682" s="17">
        <v>79</v>
      </c>
      <c r="D682" s="17" t="s">
        <v>917</v>
      </c>
      <c r="E682" s="17">
        <v>2493157</v>
      </c>
      <c r="F682" s="17" t="s">
        <v>918</v>
      </c>
      <c r="G682" s="17">
        <v>2493157</v>
      </c>
      <c r="H682" s="17" t="s">
        <v>919</v>
      </c>
      <c r="I682" s="17">
        <v>2493157</v>
      </c>
    </row>
    <row r="683" spans="1:9" x14ac:dyDescent="0.3">
      <c r="A683" s="17" t="str">
        <f t="shared" si="25"/>
        <v>1030080</v>
      </c>
      <c r="B683" s="17">
        <v>103</v>
      </c>
      <c r="C683" s="17">
        <v>80</v>
      </c>
      <c r="D683" s="17" t="s">
        <v>917</v>
      </c>
      <c r="E683" s="17">
        <v>2653066</v>
      </c>
      <c r="F683" s="17" t="s">
        <v>918</v>
      </c>
      <c r="G683" s="17">
        <v>2653066</v>
      </c>
      <c r="H683" s="17" t="s">
        <v>919</v>
      </c>
      <c r="I683" s="17">
        <v>2653066</v>
      </c>
    </row>
    <row r="684" spans="1:9" x14ac:dyDescent="0.3">
      <c r="A684" s="17" t="str">
        <f t="shared" si="25"/>
        <v>1030081</v>
      </c>
      <c r="B684" s="17">
        <v>103</v>
      </c>
      <c r="C684" s="17">
        <v>81</v>
      </c>
      <c r="D684" s="17" t="s">
        <v>917</v>
      </c>
      <c r="E684" s="17">
        <v>2702240</v>
      </c>
      <c r="F684" s="17" t="s">
        <v>918</v>
      </c>
      <c r="G684" s="17">
        <v>2702240</v>
      </c>
      <c r="H684" s="17" t="s">
        <v>919</v>
      </c>
      <c r="I684" s="17">
        <v>2702240</v>
      </c>
    </row>
    <row r="685" spans="1:9" x14ac:dyDescent="0.3">
      <c r="A685" s="17" t="str">
        <f t="shared" si="25"/>
        <v>1030082</v>
      </c>
      <c r="B685" s="17">
        <v>103</v>
      </c>
      <c r="C685" s="17">
        <v>82</v>
      </c>
      <c r="D685" s="17" t="s">
        <v>917</v>
      </c>
      <c r="E685" s="17">
        <v>3427874</v>
      </c>
      <c r="F685" s="17" t="s">
        <v>918</v>
      </c>
      <c r="G685" s="17">
        <v>3427874</v>
      </c>
      <c r="H685" s="17" t="s">
        <v>919</v>
      </c>
      <c r="I685" s="17">
        <v>3427874</v>
      </c>
    </row>
    <row r="686" spans="1:9" x14ac:dyDescent="0.3">
      <c r="A686" s="17" t="str">
        <f t="shared" si="25"/>
        <v>1030083</v>
      </c>
      <c r="B686" s="17">
        <v>103</v>
      </c>
      <c r="C686" s="17">
        <v>83</v>
      </c>
      <c r="D686" s="17" t="s">
        <v>917</v>
      </c>
      <c r="E686" s="17">
        <v>3649300</v>
      </c>
      <c r="F686" s="17" t="s">
        <v>918</v>
      </c>
      <c r="G686" s="17">
        <v>3649300</v>
      </c>
      <c r="H686" s="17" t="s">
        <v>919</v>
      </c>
      <c r="I686" s="17">
        <v>3649300</v>
      </c>
    </row>
    <row r="687" spans="1:9" x14ac:dyDescent="0.3">
      <c r="A687" s="17" t="str">
        <f t="shared" si="25"/>
        <v>1030084</v>
      </c>
      <c r="B687" s="17">
        <v>103</v>
      </c>
      <c r="C687" s="17">
        <v>84</v>
      </c>
      <c r="D687" s="17" t="s">
        <v>917</v>
      </c>
      <c r="E687" s="17">
        <v>3717160</v>
      </c>
      <c r="F687" s="17" t="s">
        <v>918</v>
      </c>
      <c r="G687" s="17">
        <v>3717160</v>
      </c>
      <c r="H687" s="17" t="s">
        <v>919</v>
      </c>
      <c r="I687" s="17">
        <v>3717160</v>
      </c>
    </row>
    <row r="688" spans="1:9" x14ac:dyDescent="0.3">
      <c r="A688" s="17" t="str">
        <f t="shared" si="25"/>
        <v>1030085</v>
      </c>
      <c r="B688" s="17">
        <v>103</v>
      </c>
      <c r="C688" s="17">
        <v>85</v>
      </c>
      <c r="D688" s="17" t="s">
        <v>917</v>
      </c>
      <c r="E688" s="17">
        <v>3956943</v>
      </c>
      <c r="F688" s="17" t="s">
        <v>918</v>
      </c>
      <c r="G688" s="17">
        <v>3956943</v>
      </c>
      <c r="H688" s="17" t="s">
        <v>919</v>
      </c>
      <c r="I688" s="17">
        <v>3956943</v>
      </c>
    </row>
    <row r="689" spans="1:9" x14ac:dyDescent="0.3">
      <c r="A689" s="17" t="str">
        <f t="shared" si="25"/>
        <v>1030086</v>
      </c>
      <c r="B689" s="17">
        <v>103</v>
      </c>
      <c r="C689" s="17">
        <v>86</v>
      </c>
      <c r="D689" s="17" t="s">
        <v>917</v>
      </c>
      <c r="E689" s="17">
        <v>4029243</v>
      </c>
      <c r="F689" s="17" t="s">
        <v>918</v>
      </c>
      <c r="G689" s="17">
        <v>4029243</v>
      </c>
      <c r="H689" s="17" t="s">
        <v>919</v>
      </c>
      <c r="I689" s="17">
        <v>4029243</v>
      </c>
    </row>
    <row r="690" spans="1:9" x14ac:dyDescent="0.3">
      <c r="A690" s="17" t="str">
        <f t="shared" si="25"/>
        <v>1030087</v>
      </c>
      <c r="B690" s="17">
        <v>103</v>
      </c>
      <c r="C690" s="17">
        <v>87</v>
      </c>
      <c r="D690" s="17" t="s">
        <v>917</v>
      </c>
      <c r="E690" s="17">
        <v>4288843</v>
      </c>
      <c r="F690" s="17" t="s">
        <v>918</v>
      </c>
      <c r="G690" s="17">
        <v>4288843</v>
      </c>
      <c r="H690" s="17" t="s">
        <v>919</v>
      </c>
      <c r="I690" s="17">
        <v>4288843</v>
      </c>
    </row>
    <row r="691" spans="1:9" x14ac:dyDescent="0.3">
      <c r="A691" s="17" t="str">
        <f t="shared" si="25"/>
        <v>1030088</v>
      </c>
      <c r="B691" s="17">
        <v>103</v>
      </c>
      <c r="C691" s="17">
        <v>88</v>
      </c>
      <c r="D691" s="17" t="s">
        <v>917</v>
      </c>
      <c r="E691" s="17">
        <v>4365884</v>
      </c>
      <c r="F691" s="17" t="s">
        <v>918</v>
      </c>
      <c r="G691" s="17">
        <v>4365884</v>
      </c>
      <c r="H691" s="17" t="s">
        <v>919</v>
      </c>
      <c r="I691" s="17">
        <v>4365884</v>
      </c>
    </row>
    <row r="692" spans="1:9" x14ac:dyDescent="0.3">
      <c r="A692" s="17" t="str">
        <f t="shared" si="25"/>
        <v>1030089</v>
      </c>
      <c r="B692" s="17">
        <v>103</v>
      </c>
      <c r="C692" s="17">
        <v>89</v>
      </c>
      <c r="D692" s="17" t="s">
        <v>917</v>
      </c>
      <c r="E692" s="17">
        <v>4646871</v>
      </c>
      <c r="F692" s="17" t="s">
        <v>918</v>
      </c>
      <c r="G692" s="17">
        <v>4646871</v>
      </c>
      <c r="H692" s="17" t="s">
        <v>919</v>
      </c>
      <c r="I692" s="17">
        <v>4646871</v>
      </c>
    </row>
    <row r="693" spans="1:9" x14ac:dyDescent="0.3">
      <c r="A693" s="17" t="str">
        <f t="shared" si="25"/>
        <v>1030090</v>
      </c>
      <c r="B693" s="17">
        <v>103</v>
      </c>
      <c r="C693" s="17">
        <v>90</v>
      </c>
      <c r="D693" s="17" t="s">
        <v>917</v>
      </c>
      <c r="E693" s="17">
        <v>4946078</v>
      </c>
      <c r="F693" s="17" t="s">
        <v>918</v>
      </c>
      <c r="G693" s="17">
        <v>4946078</v>
      </c>
      <c r="H693" s="17" t="s">
        <v>919</v>
      </c>
      <c r="I693" s="17">
        <v>4946078</v>
      </c>
    </row>
    <row r="694" spans="1:9" x14ac:dyDescent="0.3">
      <c r="A694" s="17" t="str">
        <f t="shared" si="25"/>
        <v>1030091</v>
      </c>
      <c r="B694" s="17">
        <v>103</v>
      </c>
      <c r="C694" s="17">
        <v>91</v>
      </c>
      <c r="D694" s="17" t="s">
        <v>917</v>
      </c>
      <c r="E694" s="17">
        <v>5033045</v>
      </c>
      <c r="F694" s="17" t="s">
        <v>918</v>
      </c>
      <c r="G694" s="17">
        <v>5033045</v>
      </c>
      <c r="H694" s="17" t="s">
        <v>919</v>
      </c>
      <c r="I694" s="17">
        <v>5033045</v>
      </c>
    </row>
    <row r="695" spans="1:9" x14ac:dyDescent="0.3">
      <c r="A695" s="17" t="str">
        <f t="shared" si="25"/>
        <v>1030092</v>
      </c>
      <c r="B695" s="17">
        <v>103</v>
      </c>
      <c r="C695" s="17">
        <v>92</v>
      </c>
      <c r="D695" s="17" t="s">
        <v>917</v>
      </c>
      <c r="E695" s="17">
        <v>5356826</v>
      </c>
      <c r="F695" s="17" t="s">
        <v>918</v>
      </c>
      <c r="G695" s="17">
        <v>5356826</v>
      </c>
      <c r="H695" s="17" t="s">
        <v>919</v>
      </c>
      <c r="I695" s="17">
        <v>5356826</v>
      </c>
    </row>
    <row r="696" spans="1:9" x14ac:dyDescent="0.3">
      <c r="A696" s="17" t="str">
        <f t="shared" si="25"/>
        <v>1030093</v>
      </c>
      <c r="B696" s="17">
        <v>103</v>
      </c>
      <c r="C696" s="17">
        <v>93</v>
      </c>
      <c r="D696" s="17" t="s">
        <v>917</v>
      </c>
      <c r="E696" s="17">
        <v>5449534</v>
      </c>
      <c r="F696" s="17" t="s">
        <v>918</v>
      </c>
      <c r="G696" s="17">
        <v>5449534</v>
      </c>
      <c r="H696" s="17" t="s">
        <v>919</v>
      </c>
      <c r="I696" s="17">
        <v>5449534</v>
      </c>
    </row>
    <row r="697" spans="1:9" x14ac:dyDescent="0.3">
      <c r="A697" s="17" t="str">
        <f t="shared" si="25"/>
        <v>1030094</v>
      </c>
      <c r="B697" s="17">
        <v>103</v>
      </c>
      <c r="C697" s="17">
        <v>94</v>
      </c>
      <c r="D697" s="17" t="s">
        <v>917</v>
      </c>
      <c r="E697" s="17">
        <v>5799834</v>
      </c>
      <c r="F697" s="17" t="s">
        <v>918</v>
      </c>
      <c r="G697" s="17">
        <v>5799834</v>
      </c>
      <c r="H697" s="17" t="s">
        <v>919</v>
      </c>
      <c r="I697" s="17">
        <v>5799834</v>
      </c>
    </row>
    <row r="698" spans="1:9" x14ac:dyDescent="0.3">
      <c r="A698" s="17" t="str">
        <f t="shared" si="25"/>
        <v>1030095</v>
      </c>
      <c r="B698" s="17">
        <v>103</v>
      </c>
      <c r="C698" s="17">
        <v>95</v>
      </c>
      <c r="D698" s="17" t="s">
        <v>917</v>
      </c>
      <c r="E698" s="17">
        <v>5898676</v>
      </c>
      <c r="F698" s="17" t="s">
        <v>918</v>
      </c>
      <c r="G698" s="17">
        <v>5898676</v>
      </c>
      <c r="H698" s="17" t="s">
        <v>919</v>
      </c>
      <c r="I698" s="17">
        <v>5898676</v>
      </c>
    </row>
    <row r="699" spans="1:9" x14ac:dyDescent="0.3">
      <c r="A699" s="17" t="str">
        <f t="shared" si="25"/>
        <v>1030096</v>
      </c>
      <c r="B699" s="17">
        <v>103</v>
      </c>
      <c r="C699" s="17">
        <v>96</v>
      </c>
      <c r="D699" s="17" t="s">
        <v>917</v>
      </c>
      <c r="E699" s="17">
        <v>6277591</v>
      </c>
      <c r="F699" s="17" t="s">
        <v>918</v>
      </c>
      <c r="G699" s="17">
        <v>6277591</v>
      </c>
      <c r="H699" s="17" t="s">
        <v>919</v>
      </c>
      <c r="I699" s="17">
        <v>6277591</v>
      </c>
    </row>
    <row r="700" spans="1:9" x14ac:dyDescent="0.3">
      <c r="A700" s="17" t="str">
        <f t="shared" si="25"/>
        <v>1030097</v>
      </c>
      <c r="B700" s="17">
        <v>103</v>
      </c>
      <c r="C700" s="17">
        <v>97</v>
      </c>
      <c r="D700" s="17" t="s">
        <v>917</v>
      </c>
      <c r="E700" s="17">
        <v>6382984</v>
      </c>
      <c r="F700" s="17" t="s">
        <v>918</v>
      </c>
      <c r="G700" s="17">
        <v>6382984</v>
      </c>
      <c r="H700" s="17" t="s">
        <v>919</v>
      </c>
      <c r="I700" s="17">
        <v>6382984</v>
      </c>
    </row>
    <row r="701" spans="1:9" x14ac:dyDescent="0.3">
      <c r="A701" s="17" t="str">
        <f t="shared" si="25"/>
        <v>1030098</v>
      </c>
      <c r="B701" s="17">
        <v>103</v>
      </c>
      <c r="C701" s="17">
        <v>98</v>
      </c>
      <c r="D701" s="17" t="s">
        <v>917</v>
      </c>
      <c r="E701" s="17">
        <v>6792776</v>
      </c>
      <c r="F701" s="17" t="s">
        <v>918</v>
      </c>
      <c r="G701" s="17">
        <v>6792776</v>
      </c>
      <c r="H701" s="17" t="s">
        <v>919</v>
      </c>
      <c r="I701" s="17">
        <v>6792776</v>
      </c>
    </row>
    <row r="702" spans="1:9" x14ac:dyDescent="0.3">
      <c r="A702" s="17" t="str">
        <f t="shared" si="25"/>
        <v>1030099</v>
      </c>
      <c r="B702" s="17">
        <v>103</v>
      </c>
      <c r="C702" s="17">
        <v>99</v>
      </c>
      <c r="D702" s="17" t="s">
        <v>917</v>
      </c>
      <c r="E702" s="17">
        <v>7229138</v>
      </c>
      <c r="F702" s="17" t="s">
        <v>918</v>
      </c>
      <c r="G702" s="17">
        <v>7229138</v>
      </c>
      <c r="H702" s="17" t="s">
        <v>919</v>
      </c>
      <c r="I702" s="17">
        <v>7229138</v>
      </c>
    </row>
    <row r="703" spans="1:9" x14ac:dyDescent="0.3">
      <c r="A703" s="17" t="str">
        <f t="shared" si="25"/>
        <v>1030100</v>
      </c>
      <c r="B703" s="17">
        <v>103</v>
      </c>
      <c r="C703" s="17">
        <v>100</v>
      </c>
      <c r="D703" s="17" t="s">
        <v>917</v>
      </c>
      <c r="E703" s="17">
        <v>7348271</v>
      </c>
      <c r="F703" s="17" t="s">
        <v>918</v>
      </c>
      <c r="G703" s="17">
        <v>7348271</v>
      </c>
      <c r="H703" s="17" t="s">
        <v>919</v>
      </c>
      <c r="I703" s="17">
        <v>7348271</v>
      </c>
    </row>
    <row r="704" spans="1:9" x14ac:dyDescent="0.3">
      <c r="A704" s="17" t="str">
        <f t="shared" si="25"/>
        <v>1030101</v>
      </c>
      <c r="B704" s="17">
        <v>103</v>
      </c>
      <c r="C704" s="17">
        <v>101</v>
      </c>
      <c r="D704" s="17" t="s">
        <v>917</v>
      </c>
      <c r="E704" s="17">
        <v>7820104</v>
      </c>
      <c r="F704" s="17" t="s">
        <v>918</v>
      </c>
      <c r="G704" s="17">
        <v>7820104</v>
      </c>
      <c r="H704" s="17" t="s">
        <v>919</v>
      </c>
      <c r="I704" s="17">
        <v>7820104</v>
      </c>
    </row>
    <row r="705" spans="1:9" x14ac:dyDescent="0.3">
      <c r="A705" s="17" t="str">
        <f t="shared" si="25"/>
        <v>1030102</v>
      </c>
      <c r="B705" s="17">
        <v>103</v>
      </c>
      <c r="C705" s="17">
        <v>102</v>
      </c>
      <c r="D705" s="17" t="s">
        <v>917</v>
      </c>
      <c r="E705" s="17">
        <v>7947182</v>
      </c>
      <c r="F705" s="17" t="s">
        <v>918</v>
      </c>
      <c r="G705" s="17">
        <v>7947182</v>
      </c>
      <c r="H705" s="17" t="s">
        <v>919</v>
      </c>
      <c r="I705" s="17">
        <v>7947182</v>
      </c>
    </row>
    <row r="706" spans="1:9" x14ac:dyDescent="0.3">
      <c r="A706" s="17" t="str">
        <f t="shared" si="25"/>
        <v>1030103</v>
      </c>
      <c r="B706" s="17">
        <v>103</v>
      </c>
      <c r="C706" s="17">
        <v>103</v>
      </c>
      <c r="D706" s="17" t="s">
        <v>917</v>
      </c>
      <c r="E706" s="17">
        <v>8457282</v>
      </c>
      <c r="F706" s="17" t="s">
        <v>918</v>
      </c>
      <c r="G706" s="17">
        <v>8457282</v>
      </c>
      <c r="H706" s="17" t="s">
        <v>919</v>
      </c>
      <c r="I706" s="17">
        <v>8457282</v>
      </c>
    </row>
    <row r="707" spans="1:9" x14ac:dyDescent="0.3">
      <c r="A707" s="17" t="str">
        <f t="shared" si="25"/>
        <v>1030104</v>
      </c>
      <c r="B707" s="17">
        <v>103</v>
      </c>
      <c r="C707" s="17">
        <v>104</v>
      </c>
      <c r="D707" s="17" t="s">
        <v>917</v>
      </c>
      <c r="E707" s="17">
        <v>8592849</v>
      </c>
      <c r="F707" s="17" t="s">
        <v>918</v>
      </c>
      <c r="G707" s="17">
        <v>8592849</v>
      </c>
      <c r="H707" s="17" t="s">
        <v>919</v>
      </c>
      <c r="I707" s="17">
        <v>8592849</v>
      </c>
    </row>
    <row r="708" spans="1:9" x14ac:dyDescent="0.3">
      <c r="A708" s="17" t="str">
        <f t="shared" ref="A708:A771" si="26">B708&amp;TEXT(C708,"0000")</f>
        <v>1030105</v>
      </c>
      <c r="B708" s="17">
        <v>103</v>
      </c>
      <c r="C708" s="17">
        <v>105</v>
      </c>
      <c r="D708" s="17" t="s">
        <v>917</v>
      </c>
      <c r="E708" s="17">
        <v>9144231</v>
      </c>
      <c r="F708" s="17" t="s">
        <v>918</v>
      </c>
      <c r="G708" s="17">
        <v>9144231</v>
      </c>
      <c r="H708" s="17" t="s">
        <v>919</v>
      </c>
      <c r="I708" s="17">
        <v>9144231</v>
      </c>
    </row>
    <row r="709" spans="1:9" x14ac:dyDescent="0.3">
      <c r="A709" s="17" t="str">
        <f t="shared" si="26"/>
        <v>1030106</v>
      </c>
      <c r="B709" s="17">
        <v>103</v>
      </c>
      <c r="C709" s="17">
        <v>106</v>
      </c>
      <c r="D709" s="17" t="s">
        <v>917</v>
      </c>
      <c r="E709" s="17">
        <v>9288872</v>
      </c>
      <c r="F709" s="17" t="s">
        <v>918</v>
      </c>
      <c r="G709" s="17">
        <v>9288872</v>
      </c>
      <c r="H709" s="17" t="s">
        <v>919</v>
      </c>
      <c r="I709" s="17">
        <v>9288872</v>
      </c>
    </row>
    <row r="710" spans="1:9" x14ac:dyDescent="0.3">
      <c r="A710" s="17" t="str">
        <f t="shared" si="26"/>
        <v>1030107</v>
      </c>
      <c r="B710" s="17">
        <v>103</v>
      </c>
      <c r="C710" s="17">
        <v>107</v>
      </c>
      <c r="D710" s="17" t="s">
        <v>917</v>
      </c>
      <c r="E710" s="17">
        <v>9884784</v>
      </c>
      <c r="F710" s="17" t="s">
        <v>918</v>
      </c>
      <c r="G710" s="17">
        <v>9884784</v>
      </c>
      <c r="H710" s="17" t="s">
        <v>919</v>
      </c>
      <c r="I710" s="17">
        <v>9884784</v>
      </c>
    </row>
    <row r="711" spans="1:9" x14ac:dyDescent="0.3">
      <c r="A711" s="17" t="str">
        <f t="shared" si="26"/>
        <v>1030108</v>
      </c>
      <c r="B711" s="17">
        <v>103</v>
      </c>
      <c r="C711" s="17">
        <v>108</v>
      </c>
      <c r="D711" s="17" t="s">
        <v>917</v>
      </c>
      <c r="E711" s="17">
        <v>10519366</v>
      </c>
      <c r="F711" s="17" t="s">
        <v>918</v>
      </c>
      <c r="G711" s="17">
        <v>10519366</v>
      </c>
      <c r="H711" s="17" t="s">
        <v>919</v>
      </c>
      <c r="I711" s="17">
        <v>10519366</v>
      </c>
    </row>
    <row r="712" spans="1:9" x14ac:dyDescent="0.3">
      <c r="A712" s="17" t="str">
        <f t="shared" si="26"/>
        <v>1030109</v>
      </c>
      <c r="B712" s="17">
        <v>103</v>
      </c>
      <c r="C712" s="17">
        <v>109</v>
      </c>
      <c r="D712" s="17" t="s">
        <v>917</v>
      </c>
      <c r="E712" s="17">
        <v>10683067</v>
      </c>
      <c r="F712" s="17" t="s">
        <v>918</v>
      </c>
      <c r="G712" s="17">
        <v>10683067</v>
      </c>
      <c r="H712" s="17" t="s">
        <v>919</v>
      </c>
      <c r="I712" s="17">
        <v>10683067</v>
      </c>
    </row>
    <row r="713" spans="1:9" x14ac:dyDescent="0.3">
      <c r="A713" s="17" t="str">
        <f t="shared" si="26"/>
        <v>1030110</v>
      </c>
      <c r="B713" s="17">
        <v>103</v>
      </c>
      <c r="C713" s="17">
        <v>110</v>
      </c>
      <c r="D713" s="17" t="s">
        <v>917</v>
      </c>
      <c r="E713" s="17">
        <v>11368804</v>
      </c>
      <c r="F713" s="17" t="s">
        <v>918</v>
      </c>
      <c r="G713" s="17">
        <v>11368804</v>
      </c>
      <c r="H713" s="17" t="s">
        <v>919</v>
      </c>
      <c r="I713" s="17">
        <v>11368804</v>
      </c>
    </row>
    <row r="714" spans="1:9" x14ac:dyDescent="0.3">
      <c r="A714" s="17" t="str">
        <f t="shared" si="26"/>
        <v>1030111</v>
      </c>
      <c r="B714" s="17">
        <v>103</v>
      </c>
      <c r="C714" s="17">
        <v>111</v>
      </c>
      <c r="D714" s="17" t="s">
        <v>917</v>
      </c>
      <c r="E714" s="17">
        <v>11543521</v>
      </c>
      <c r="F714" s="17" t="s">
        <v>918</v>
      </c>
      <c r="G714" s="17">
        <v>11543521</v>
      </c>
      <c r="H714" s="17" t="s">
        <v>919</v>
      </c>
      <c r="I714" s="17">
        <v>11543521</v>
      </c>
    </row>
    <row r="715" spans="1:9" x14ac:dyDescent="0.3">
      <c r="A715" s="17" t="str">
        <f t="shared" si="26"/>
        <v>1030112</v>
      </c>
      <c r="B715" s="17">
        <v>103</v>
      </c>
      <c r="C715" s="17">
        <v>112</v>
      </c>
      <c r="D715" s="17" t="s">
        <v>917</v>
      </c>
      <c r="E715" s="17">
        <v>12284433</v>
      </c>
      <c r="F715" s="17" t="s">
        <v>918</v>
      </c>
      <c r="G715" s="17">
        <v>12284433</v>
      </c>
      <c r="H715" s="17" t="s">
        <v>919</v>
      </c>
      <c r="I715" s="17">
        <v>12284433</v>
      </c>
    </row>
    <row r="716" spans="1:9" x14ac:dyDescent="0.3">
      <c r="A716" s="17" t="str">
        <f t="shared" si="26"/>
        <v>1030113</v>
      </c>
      <c r="B716" s="17">
        <v>103</v>
      </c>
      <c r="C716" s="17">
        <v>113</v>
      </c>
      <c r="D716" s="17" t="s">
        <v>917</v>
      </c>
      <c r="E716" s="17">
        <v>12470929</v>
      </c>
      <c r="F716" s="17" t="s">
        <v>918</v>
      </c>
      <c r="G716" s="17">
        <v>12470929</v>
      </c>
      <c r="H716" s="17" t="s">
        <v>919</v>
      </c>
      <c r="I716" s="17">
        <v>12470929</v>
      </c>
    </row>
    <row r="717" spans="1:9" x14ac:dyDescent="0.3">
      <c r="A717" s="17" t="str">
        <f t="shared" si="26"/>
        <v>1030114</v>
      </c>
      <c r="B717" s="17">
        <v>103</v>
      </c>
      <c r="C717" s="17">
        <v>114</v>
      </c>
      <c r="D717" s="17" t="s">
        <v>917</v>
      </c>
      <c r="E717" s="17">
        <v>13271349</v>
      </c>
      <c r="F717" s="17" t="s">
        <v>918</v>
      </c>
      <c r="G717" s="17">
        <v>13271349</v>
      </c>
      <c r="H717" s="17" t="s">
        <v>919</v>
      </c>
      <c r="I717" s="17">
        <v>13271349</v>
      </c>
    </row>
    <row r="718" spans="1:9" x14ac:dyDescent="0.3">
      <c r="A718" s="17" t="str">
        <f t="shared" si="26"/>
        <v>1030115</v>
      </c>
      <c r="B718" s="17">
        <v>103</v>
      </c>
      <c r="C718" s="17">
        <v>115</v>
      </c>
      <c r="D718" s="17" t="s">
        <v>917</v>
      </c>
      <c r="E718" s="17">
        <v>13470438</v>
      </c>
      <c r="F718" s="17" t="s">
        <v>918</v>
      </c>
      <c r="G718" s="17">
        <v>13470438</v>
      </c>
      <c r="H718" s="17" t="s">
        <v>919</v>
      </c>
      <c r="I718" s="17">
        <v>13470438</v>
      </c>
    </row>
    <row r="719" spans="1:9" x14ac:dyDescent="0.3">
      <c r="A719" s="17" t="str">
        <f t="shared" si="26"/>
        <v>1030116</v>
      </c>
      <c r="B719" s="17">
        <v>103</v>
      </c>
      <c r="C719" s="17">
        <v>116</v>
      </c>
      <c r="D719" s="17" t="s">
        <v>917</v>
      </c>
      <c r="E719" s="17">
        <v>14335038</v>
      </c>
      <c r="F719" s="17" t="s">
        <v>918</v>
      </c>
      <c r="G719" s="17">
        <v>14335038</v>
      </c>
      <c r="H719" s="17" t="s">
        <v>919</v>
      </c>
      <c r="I719" s="17">
        <v>14335038</v>
      </c>
    </row>
    <row r="720" spans="1:9" x14ac:dyDescent="0.3">
      <c r="A720" s="17" t="str">
        <f t="shared" si="26"/>
        <v>1030117</v>
      </c>
      <c r="B720" s="17">
        <v>103</v>
      </c>
      <c r="C720" s="17">
        <v>117</v>
      </c>
      <c r="D720" s="17" t="s">
        <v>917</v>
      </c>
      <c r="E720" s="17">
        <v>15255824</v>
      </c>
      <c r="F720" s="17" t="s">
        <v>918</v>
      </c>
      <c r="G720" s="17">
        <v>15255824</v>
      </c>
      <c r="H720" s="17" t="s">
        <v>919</v>
      </c>
      <c r="I720" s="17">
        <v>15255824</v>
      </c>
    </row>
    <row r="721" spans="1:9" x14ac:dyDescent="0.3">
      <c r="A721" s="17" t="str">
        <f t="shared" si="26"/>
        <v>1030118</v>
      </c>
      <c r="B721" s="17">
        <v>103</v>
      </c>
      <c r="C721" s="17">
        <v>118</v>
      </c>
      <c r="D721" s="17" t="s">
        <v>917</v>
      </c>
      <c r="E721" s="17">
        <v>15481404</v>
      </c>
      <c r="F721" s="17" t="s">
        <v>918</v>
      </c>
      <c r="G721" s="17">
        <v>15481404</v>
      </c>
      <c r="H721" s="17" t="s">
        <v>919</v>
      </c>
      <c r="I721" s="17">
        <v>15481404</v>
      </c>
    </row>
    <row r="722" spans="1:9" x14ac:dyDescent="0.3">
      <c r="A722" s="17" t="str">
        <f t="shared" si="26"/>
        <v>1030119</v>
      </c>
      <c r="B722" s="17">
        <v>103</v>
      </c>
      <c r="C722" s="17">
        <v>119</v>
      </c>
      <c r="D722" s="17" t="s">
        <v>917</v>
      </c>
      <c r="E722" s="17">
        <v>16475916</v>
      </c>
      <c r="F722" s="17" t="s">
        <v>918</v>
      </c>
      <c r="G722" s="17">
        <v>16475916</v>
      </c>
      <c r="H722" s="17" t="s">
        <v>919</v>
      </c>
      <c r="I722" s="17">
        <v>16475916</v>
      </c>
    </row>
    <row r="723" spans="1:9" x14ac:dyDescent="0.3">
      <c r="A723" s="17" t="str">
        <f t="shared" si="26"/>
        <v>1030120</v>
      </c>
      <c r="B723" s="17">
        <v>103</v>
      </c>
      <c r="C723" s="17">
        <v>120</v>
      </c>
      <c r="D723" s="17" t="s">
        <v>917</v>
      </c>
      <c r="E723" s="17">
        <v>16716805</v>
      </c>
      <c r="F723" s="17" t="s">
        <v>918</v>
      </c>
      <c r="G723" s="17">
        <v>16716805</v>
      </c>
      <c r="H723" s="17" t="s">
        <v>919</v>
      </c>
      <c r="I723" s="17">
        <v>16716805</v>
      </c>
    </row>
    <row r="724" spans="1:9" x14ac:dyDescent="0.3">
      <c r="A724" s="17" t="str">
        <f t="shared" si="26"/>
        <v>1030121</v>
      </c>
      <c r="B724" s="17">
        <v>103</v>
      </c>
      <c r="C724" s="17">
        <v>121</v>
      </c>
      <c r="D724" s="17" t="s">
        <v>917</v>
      </c>
      <c r="E724" s="17">
        <v>17790824</v>
      </c>
      <c r="F724" s="17" t="s">
        <v>918</v>
      </c>
      <c r="G724" s="17">
        <v>17790824</v>
      </c>
      <c r="H724" s="17" t="s">
        <v>919</v>
      </c>
      <c r="I724" s="17">
        <v>17790824</v>
      </c>
    </row>
    <row r="725" spans="1:9" x14ac:dyDescent="0.3">
      <c r="A725" s="17" t="str">
        <f t="shared" si="26"/>
        <v>1030122</v>
      </c>
      <c r="B725" s="17">
        <v>103</v>
      </c>
      <c r="C725" s="17">
        <v>122</v>
      </c>
      <c r="D725" s="17" t="s">
        <v>917</v>
      </c>
      <c r="E725" s="17">
        <v>18048088</v>
      </c>
      <c r="F725" s="17" t="s">
        <v>918</v>
      </c>
      <c r="G725" s="17">
        <v>18048088</v>
      </c>
      <c r="H725" s="17" t="s">
        <v>919</v>
      </c>
      <c r="I725" s="17">
        <v>18048088</v>
      </c>
    </row>
    <row r="726" spans="1:9" x14ac:dyDescent="0.3">
      <c r="A726" s="17" t="str">
        <f t="shared" si="26"/>
        <v>1030123</v>
      </c>
      <c r="B726" s="17">
        <v>103</v>
      </c>
      <c r="C726" s="17">
        <v>123</v>
      </c>
      <c r="D726" s="17" t="s">
        <v>917</v>
      </c>
      <c r="E726" s="17">
        <v>19207844</v>
      </c>
      <c r="F726" s="17" t="s">
        <v>918</v>
      </c>
      <c r="G726" s="17">
        <v>19207844</v>
      </c>
      <c r="H726" s="17" t="s">
        <v>919</v>
      </c>
      <c r="I726" s="17">
        <v>19207844</v>
      </c>
    </row>
    <row r="727" spans="1:9" x14ac:dyDescent="0.3">
      <c r="A727" s="17" t="str">
        <f t="shared" si="26"/>
        <v>1030124</v>
      </c>
      <c r="B727" s="17">
        <v>103</v>
      </c>
      <c r="C727" s="17">
        <v>124</v>
      </c>
      <c r="D727" s="17" t="s">
        <v>917</v>
      </c>
      <c r="E727" s="17">
        <v>19482622</v>
      </c>
      <c r="F727" s="17" t="s">
        <v>918</v>
      </c>
      <c r="G727" s="17">
        <v>19482622</v>
      </c>
      <c r="H727" s="17" t="s">
        <v>919</v>
      </c>
      <c r="I727" s="17">
        <v>19482622</v>
      </c>
    </row>
    <row r="728" spans="1:9" x14ac:dyDescent="0.3">
      <c r="A728" s="17" t="str">
        <f t="shared" si="26"/>
        <v>1030125</v>
      </c>
      <c r="B728" s="17">
        <v>103</v>
      </c>
      <c r="C728" s="17">
        <v>125</v>
      </c>
      <c r="D728" s="17" t="s">
        <v>917</v>
      </c>
      <c r="E728" s="17">
        <v>20734829</v>
      </c>
      <c r="F728" s="17" t="s">
        <v>918</v>
      </c>
      <c r="G728" s="17">
        <v>20734829</v>
      </c>
      <c r="H728" s="17" t="s">
        <v>919</v>
      </c>
      <c r="I728" s="17">
        <v>20734829</v>
      </c>
    </row>
    <row r="729" spans="1:9" x14ac:dyDescent="0.3">
      <c r="A729" s="17" t="str">
        <f t="shared" si="26"/>
        <v>1030126</v>
      </c>
      <c r="B729" s="17">
        <v>103</v>
      </c>
      <c r="C729" s="17">
        <v>126</v>
      </c>
      <c r="D729" s="17" t="s">
        <v>917</v>
      </c>
      <c r="E729" s="17">
        <v>22068567</v>
      </c>
      <c r="F729" s="17" t="s">
        <v>918</v>
      </c>
      <c r="G729" s="17">
        <v>22068567</v>
      </c>
      <c r="H729" s="17" t="s">
        <v>919</v>
      </c>
      <c r="I729" s="17">
        <v>22068567</v>
      </c>
    </row>
    <row r="730" spans="1:9" x14ac:dyDescent="0.3">
      <c r="A730" s="17" t="str">
        <f t="shared" si="26"/>
        <v>1030127</v>
      </c>
      <c r="B730" s="17">
        <v>103</v>
      </c>
      <c r="C730" s="17">
        <v>127</v>
      </c>
      <c r="D730" s="17" t="s">
        <v>917</v>
      </c>
      <c r="E730" s="17">
        <v>22380237</v>
      </c>
      <c r="F730" s="17" t="s">
        <v>918</v>
      </c>
      <c r="G730" s="17">
        <v>22380237</v>
      </c>
      <c r="H730" s="17" t="s">
        <v>919</v>
      </c>
      <c r="I730" s="17">
        <v>22380237</v>
      </c>
    </row>
    <row r="731" spans="1:9" x14ac:dyDescent="0.3">
      <c r="A731" s="17" t="str">
        <f t="shared" si="26"/>
        <v>1030128</v>
      </c>
      <c r="B731" s="17">
        <v>103</v>
      </c>
      <c r="C731" s="17">
        <v>128</v>
      </c>
      <c r="D731" s="17" t="s">
        <v>917</v>
      </c>
      <c r="E731" s="17">
        <v>23820183</v>
      </c>
      <c r="F731" s="17" t="s">
        <v>918</v>
      </c>
      <c r="G731" s="17">
        <v>23820183</v>
      </c>
      <c r="H731" s="17" t="s">
        <v>919</v>
      </c>
      <c r="I731" s="17">
        <v>23820183</v>
      </c>
    </row>
    <row r="732" spans="1:9" x14ac:dyDescent="0.3">
      <c r="A732" s="17" t="str">
        <f t="shared" si="26"/>
        <v>1030129</v>
      </c>
      <c r="B732" s="17">
        <v>103</v>
      </c>
      <c r="C732" s="17">
        <v>129</v>
      </c>
      <c r="D732" s="17" t="s">
        <v>917</v>
      </c>
      <c r="E732" s="17">
        <v>24153171</v>
      </c>
      <c r="F732" s="17" t="s">
        <v>918</v>
      </c>
      <c r="G732" s="17">
        <v>24153171</v>
      </c>
      <c r="H732" s="17" t="s">
        <v>919</v>
      </c>
      <c r="I732" s="17">
        <v>24153171</v>
      </c>
    </row>
    <row r="733" spans="1:9" x14ac:dyDescent="0.3">
      <c r="A733" s="17" t="str">
        <f t="shared" si="26"/>
        <v>1030130</v>
      </c>
      <c r="B733" s="17">
        <v>103</v>
      </c>
      <c r="C733" s="17">
        <v>130</v>
      </c>
      <c r="D733" s="17" t="s">
        <v>917</v>
      </c>
      <c r="E733" s="17">
        <v>25707639</v>
      </c>
      <c r="F733" s="17" t="s">
        <v>918</v>
      </c>
      <c r="G733" s="17">
        <v>25707639</v>
      </c>
      <c r="H733" s="17" t="s">
        <v>919</v>
      </c>
      <c r="I733" s="17">
        <v>25707639</v>
      </c>
    </row>
    <row r="734" spans="1:9" x14ac:dyDescent="0.3">
      <c r="A734" s="17" t="str">
        <f t="shared" si="26"/>
        <v>1030131</v>
      </c>
      <c r="B734" s="17">
        <v>103</v>
      </c>
      <c r="C734" s="17">
        <v>131</v>
      </c>
      <c r="D734" s="17" t="s">
        <v>917</v>
      </c>
      <c r="E734" s="17">
        <v>26063437</v>
      </c>
      <c r="F734" s="17" t="s">
        <v>918</v>
      </c>
      <c r="G734" s="17">
        <v>26063437</v>
      </c>
      <c r="H734" s="17" t="s">
        <v>919</v>
      </c>
      <c r="I734" s="17">
        <v>26063437</v>
      </c>
    </row>
    <row r="735" spans="1:9" x14ac:dyDescent="0.3">
      <c r="A735" s="17" t="str">
        <f t="shared" si="26"/>
        <v>1030132</v>
      </c>
      <c r="B735" s="17">
        <v>103</v>
      </c>
      <c r="C735" s="17">
        <v>132</v>
      </c>
      <c r="D735" s="17" t="s">
        <v>917</v>
      </c>
      <c r="E735" s="17">
        <v>27741385</v>
      </c>
      <c r="F735" s="17" t="s">
        <v>918</v>
      </c>
      <c r="G735" s="17">
        <v>27741385</v>
      </c>
      <c r="H735" s="17" t="s">
        <v>919</v>
      </c>
      <c r="I735" s="17">
        <v>27741385</v>
      </c>
    </row>
    <row r="736" spans="1:9" x14ac:dyDescent="0.3">
      <c r="A736" s="17" t="str">
        <f t="shared" si="26"/>
        <v>1030133</v>
      </c>
      <c r="B736" s="17">
        <v>103</v>
      </c>
      <c r="C736" s="17">
        <v>133</v>
      </c>
      <c r="D736" s="17" t="s">
        <v>917</v>
      </c>
      <c r="E736" s="17">
        <v>28121589</v>
      </c>
      <c r="F736" s="17" t="s">
        <v>918</v>
      </c>
      <c r="G736" s="17">
        <v>28121589</v>
      </c>
      <c r="H736" s="17" t="s">
        <v>919</v>
      </c>
      <c r="I736" s="17">
        <v>28121589</v>
      </c>
    </row>
    <row r="737" spans="1:9" x14ac:dyDescent="0.3">
      <c r="A737" s="17" t="str">
        <f t="shared" si="26"/>
        <v>1030134</v>
      </c>
      <c r="B737" s="17">
        <v>103</v>
      </c>
      <c r="C737" s="17">
        <v>134</v>
      </c>
      <c r="D737" s="17" t="s">
        <v>917</v>
      </c>
      <c r="E737" s="17">
        <v>29932671</v>
      </c>
      <c r="F737" s="17" t="s">
        <v>918</v>
      </c>
      <c r="G737" s="17">
        <v>29932671</v>
      </c>
      <c r="H737" s="17" t="s">
        <v>919</v>
      </c>
      <c r="I737" s="17">
        <v>29932671</v>
      </c>
    </row>
    <row r="738" spans="1:9" x14ac:dyDescent="0.3">
      <c r="A738" s="17" t="str">
        <f t="shared" si="26"/>
        <v>1030135</v>
      </c>
      <c r="B738" s="17">
        <v>103</v>
      </c>
      <c r="C738" s="17">
        <v>135</v>
      </c>
      <c r="D738" s="17" t="s">
        <v>917</v>
      </c>
      <c r="E738" s="17">
        <v>31861939</v>
      </c>
      <c r="F738" s="17" t="s">
        <v>918</v>
      </c>
      <c r="G738" s="17">
        <v>31861939</v>
      </c>
      <c r="H738" s="17" t="s">
        <v>919</v>
      </c>
      <c r="I738" s="17">
        <v>31861939</v>
      </c>
    </row>
    <row r="739" spans="1:9" x14ac:dyDescent="0.3">
      <c r="A739" s="17" t="str">
        <f t="shared" si="26"/>
        <v>1030136</v>
      </c>
      <c r="B739" s="17">
        <v>103</v>
      </c>
      <c r="C739" s="17">
        <v>136</v>
      </c>
      <c r="D739" s="17" t="s">
        <v>917</v>
      </c>
      <c r="E739" s="17">
        <v>32293613</v>
      </c>
      <c r="F739" s="17" t="s">
        <v>918</v>
      </c>
      <c r="G739" s="17">
        <v>32293613</v>
      </c>
      <c r="H739" s="17" t="s">
        <v>919</v>
      </c>
      <c r="I739" s="17">
        <v>32293613</v>
      </c>
    </row>
    <row r="740" spans="1:9" x14ac:dyDescent="0.3">
      <c r="A740" s="17" t="str">
        <f t="shared" si="26"/>
        <v>1030137</v>
      </c>
      <c r="B740" s="17">
        <v>103</v>
      </c>
      <c r="C740" s="17">
        <v>137</v>
      </c>
      <c r="D740" s="17" t="s">
        <v>917</v>
      </c>
      <c r="E740" s="17">
        <v>34375841</v>
      </c>
      <c r="F740" s="17" t="s">
        <v>918</v>
      </c>
      <c r="G740" s="17">
        <v>34375841</v>
      </c>
      <c r="H740" s="17" t="s">
        <v>919</v>
      </c>
      <c r="I740" s="17">
        <v>34375841</v>
      </c>
    </row>
    <row r="741" spans="1:9" x14ac:dyDescent="0.3">
      <c r="A741" s="17" t="str">
        <f t="shared" si="26"/>
        <v>1030138</v>
      </c>
      <c r="B741" s="17">
        <v>103</v>
      </c>
      <c r="C741" s="17">
        <v>138</v>
      </c>
      <c r="D741" s="17" t="s">
        <v>917</v>
      </c>
      <c r="E741" s="17">
        <v>34837256</v>
      </c>
      <c r="F741" s="17" t="s">
        <v>918</v>
      </c>
      <c r="G741" s="17">
        <v>34837256</v>
      </c>
      <c r="H741" s="17" t="s">
        <v>919</v>
      </c>
      <c r="I741" s="17">
        <v>34837256</v>
      </c>
    </row>
    <row r="742" spans="1:9" x14ac:dyDescent="0.3">
      <c r="A742" s="17" t="str">
        <f t="shared" si="26"/>
        <v>1030139</v>
      </c>
      <c r="B742" s="17">
        <v>103</v>
      </c>
      <c r="C742" s="17">
        <v>139</v>
      </c>
      <c r="D742" s="17" t="s">
        <v>917</v>
      </c>
      <c r="E742" s="17">
        <v>37084399</v>
      </c>
      <c r="F742" s="17" t="s">
        <v>918</v>
      </c>
      <c r="G742" s="17">
        <v>37084399</v>
      </c>
      <c r="H742" s="17" t="s">
        <v>919</v>
      </c>
      <c r="I742" s="17">
        <v>37084399</v>
      </c>
    </row>
    <row r="743" spans="1:9" x14ac:dyDescent="0.3">
      <c r="A743" s="17" t="str">
        <f t="shared" si="26"/>
        <v>1030140</v>
      </c>
      <c r="B743" s="17">
        <v>103</v>
      </c>
      <c r="C743" s="17">
        <v>140</v>
      </c>
      <c r="D743" s="17" t="s">
        <v>917</v>
      </c>
      <c r="E743" s="17">
        <v>37577648</v>
      </c>
      <c r="F743" s="17" t="s">
        <v>918</v>
      </c>
      <c r="G743" s="17">
        <v>37577648</v>
      </c>
      <c r="H743" s="17" t="s">
        <v>919</v>
      </c>
      <c r="I743" s="17">
        <v>37577648</v>
      </c>
    </row>
    <row r="744" spans="1:9" x14ac:dyDescent="0.3">
      <c r="A744" s="17" t="str">
        <f t="shared" si="26"/>
        <v>1030141</v>
      </c>
      <c r="B744" s="17">
        <v>103</v>
      </c>
      <c r="C744" s="17">
        <v>141</v>
      </c>
      <c r="D744" s="17" t="s">
        <v>917</v>
      </c>
      <c r="E744" s="17">
        <v>40002589</v>
      </c>
      <c r="F744" s="17" t="s">
        <v>918</v>
      </c>
      <c r="G744" s="17">
        <v>40002589</v>
      </c>
      <c r="H744" s="17" t="s">
        <v>919</v>
      </c>
      <c r="I744" s="17">
        <v>40002589</v>
      </c>
    </row>
    <row r="745" spans="1:9" x14ac:dyDescent="0.3">
      <c r="A745" s="17" t="str">
        <f t="shared" si="26"/>
        <v>1030142</v>
      </c>
      <c r="B745" s="17">
        <v>103</v>
      </c>
      <c r="C745" s="17">
        <v>142</v>
      </c>
      <c r="D745" s="17" t="s">
        <v>917</v>
      </c>
      <c r="E745" s="17">
        <v>40529914</v>
      </c>
      <c r="F745" s="17" t="s">
        <v>918</v>
      </c>
      <c r="G745" s="17">
        <v>40529914</v>
      </c>
      <c r="H745" s="17" t="s">
        <v>919</v>
      </c>
      <c r="I745" s="17">
        <v>40529914</v>
      </c>
    </row>
    <row r="746" spans="1:9" x14ac:dyDescent="0.3">
      <c r="A746" s="17" t="str">
        <f t="shared" si="26"/>
        <v>1030143</v>
      </c>
      <c r="B746" s="17">
        <v>103</v>
      </c>
      <c r="C746" s="17">
        <v>143</v>
      </c>
      <c r="D746" s="17" t="s">
        <v>917</v>
      </c>
      <c r="E746" s="17">
        <v>43146538</v>
      </c>
      <c r="F746" s="17" t="s">
        <v>918</v>
      </c>
      <c r="G746" s="17">
        <v>43146538</v>
      </c>
      <c r="H746" s="17" t="s">
        <v>919</v>
      </c>
      <c r="I746" s="17">
        <v>43146538</v>
      </c>
    </row>
    <row r="747" spans="1:9" x14ac:dyDescent="0.3">
      <c r="A747" s="17" t="str">
        <f t="shared" si="26"/>
        <v>1030144</v>
      </c>
      <c r="B747" s="17">
        <v>103</v>
      </c>
      <c r="C747" s="17">
        <v>144</v>
      </c>
      <c r="D747" s="17" t="s">
        <v>917</v>
      </c>
      <c r="E747" s="17">
        <v>45934347</v>
      </c>
      <c r="F747" s="17" t="s">
        <v>918</v>
      </c>
      <c r="G747" s="17">
        <v>45934347</v>
      </c>
      <c r="H747" s="17" t="s">
        <v>919</v>
      </c>
      <c r="I747" s="17">
        <v>45934347</v>
      </c>
    </row>
    <row r="748" spans="1:9" x14ac:dyDescent="0.3">
      <c r="A748" s="17" t="str">
        <f t="shared" si="26"/>
        <v>1030145</v>
      </c>
      <c r="B748" s="17">
        <v>103</v>
      </c>
      <c r="C748" s="17">
        <v>145</v>
      </c>
      <c r="D748" s="17" t="s">
        <v>917</v>
      </c>
      <c r="E748" s="17">
        <v>46533610</v>
      </c>
      <c r="F748" s="17" t="s">
        <v>918</v>
      </c>
      <c r="G748" s="17">
        <v>46533610</v>
      </c>
      <c r="H748" s="17" t="s">
        <v>919</v>
      </c>
      <c r="I748" s="17">
        <v>46533610</v>
      </c>
    </row>
    <row r="749" spans="1:9" x14ac:dyDescent="0.3">
      <c r="A749" s="17" t="str">
        <f t="shared" si="26"/>
        <v>1030146</v>
      </c>
      <c r="B749" s="17">
        <v>103</v>
      </c>
      <c r="C749" s="17">
        <v>146</v>
      </c>
      <c r="D749" s="17" t="s">
        <v>917</v>
      </c>
      <c r="E749" s="17">
        <v>49541674</v>
      </c>
      <c r="F749" s="17" t="s">
        <v>918</v>
      </c>
      <c r="G749" s="17">
        <v>49541674</v>
      </c>
      <c r="H749" s="17" t="s">
        <v>919</v>
      </c>
      <c r="I749" s="17">
        <v>49541674</v>
      </c>
    </row>
    <row r="750" spans="1:9" x14ac:dyDescent="0.3">
      <c r="A750" s="17" t="str">
        <f t="shared" si="26"/>
        <v>1030147</v>
      </c>
      <c r="B750" s="17">
        <v>103</v>
      </c>
      <c r="C750" s="17">
        <v>147</v>
      </c>
      <c r="D750" s="17" t="s">
        <v>917</v>
      </c>
      <c r="E750" s="17">
        <v>50182507</v>
      </c>
      <c r="F750" s="17" t="s">
        <v>918</v>
      </c>
      <c r="G750" s="17">
        <v>50182507</v>
      </c>
      <c r="H750" s="17" t="s">
        <v>919</v>
      </c>
      <c r="I750" s="17">
        <v>50182507</v>
      </c>
    </row>
    <row r="751" spans="1:9" x14ac:dyDescent="0.3">
      <c r="A751" s="17" t="str">
        <f t="shared" si="26"/>
        <v>1030148</v>
      </c>
      <c r="B751" s="17">
        <v>103</v>
      </c>
      <c r="C751" s="17">
        <v>148</v>
      </c>
      <c r="D751" s="17" t="s">
        <v>917</v>
      </c>
      <c r="E751" s="17">
        <v>53428023</v>
      </c>
      <c r="F751" s="17" t="s">
        <v>918</v>
      </c>
      <c r="G751" s="17">
        <v>53428023</v>
      </c>
      <c r="H751" s="17" t="s">
        <v>919</v>
      </c>
      <c r="I751" s="17">
        <v>53428023</v>
      </c>
    </row>
    <row r="752" spans="1:9" x14ac:dyDescent="0.3">
      <c r="A752" s="17" t="str">
        <f t="shared" si="26"/>
        <v>1030149</v>
      </c>
      <c r="B752" s="17">
        <v>103</v>
      </c>
      <c r="C752" s="17">
        <v>149</v>
      </c>
      <c r="D752" s="17" t="s">
        <v>917</v>
      </c>
      <c r="E752" s="17">
        <v>54113365</v>
      </c>
      <c r="F752" s="17" t="s">
        <v>918</v>
      </c>
      <c r="G752" s="17">
        <v>54113365</v>
      </c>
      <c r="H752" s="17" t="s">
        <v>919</v>
      </c>
      <c r="I752" s="17">
        <v>54113365</v>
      </c>
    </row>
    <row r="753" spans="1:9" x14ac:dyDescent="0.3">
      <c r="A753" s="17" t="str">
        <f t="shared" si="26"/>
        <v>1030150</v>
      </c>
      <c r="B753" s="17">
        <v>103</v>
      </c>
      <c r="C753" s="17">
        <v>150</v>
      </c>
      <c r="D753" s="17" t="s">
        <v>917</v>
      </c>
      <c r="E753" s="17">
        <v>73993552</v>
      </c>
      <c r="F753" s="17" t="s">
        <v>918</v>
      </c>
      <c r="G753" s="17">
        <v>73993552</v>
      </c>
      <c r="H753" s="17" t="s">
        <v>919</v>
      </c>
      <c r="I753" s="17">
        <v>73993552</v>
      </c>
    </row>
    <row r="754" spans="1:9" x14ac:dyDescent="0.3">
      <c r="A754" s="17" t="str">
        <f t="shared" si="26"/>
        <v>1030151</v>
      </c>
      <c r="B754" s="17">
        <v>103</v>
      </c>
      <c r="C754" s="17">
        <v>151</v>
      </c>
      <c r="D754" s="17" t="s">
        <v>917</v>
      </c>
      <c r="E754" s="17">
        <v>74959996</v>
      </c>
      <c r="F754" s="17" t="s">
        <v>918</v>
      </c>
      <c r="G754" s="17">
        <v>74959996</v>
      </c>
      <c r="H754" s="17" t="s">
        <v>919</v>
      </c>
      <c r="I754" s="17">
        <v>74959996</v>
      </c>
    </row>
    <row r="755" spans="1:9" x14ac:dyDescent="0.3">
      <c r="A755" s="17" t="str">
        <f t="shared" si="26"/>
        <v>1030152</v>
      </c>
      <c r="B755" s="17">
        <v>103</v>
      </c>
      <c r="C755" s="17">
        <v>152</v>
      </c>
      <c r="D755" s="17" t="s">
        <v>917</v>
      </c>
      <c r="E755" s="17">
        <v>79839455</v>
      </c>
      <c r="F755" s="17" t="s">
        <v>918</v>
      </c>
      <c r="G755" s="17">
        <v>79839455</v>
      </c>
      <c r="H755" s="17" t="s">
        <v>919</v>
      </c>
      <c r="I755" s="17">
        <v>79839455</v>
      </c>
    </row>
    <row r="756" spans="1:9" x14ac:dyDescent="0.3">
      <c r="A756" s="17" t="str">
        <f t="shared" si="26"/>
        <v>1030153</v>
      </c>
      <c r="B756" s="17">
        <v>103</v>
      </c>
      <c r="C756" s="17">
        <v>153</v>
      </c>
      <c r="D756" s="17" t="s">
        <v>917</v>
      </c>
      <c r="E756" s="17">
        <v>85040528</v>
      </c>
      <c r="F756" s="17" t="s">
        <v>918</v>
      </c>
      <c r="G756" s="17">
        <v>85040528</v>
      </c>
      <c r="H756" s="17" t="s">
        <v>919</v>
      </c>
      <c r="I756" s="17">
        <v>85040528</v>
      </c>
    </row>
    <row r="757" spans="1:9" x14ac:dyDescent="0.3">
      <c r="A757" s="17" t="str">
        <f t="shared" si="26"/>
        <v>1030154</v>
      </c>
      <c r="B757" s="17">
        <v>103</v>
      </c>
      <c r="C757" s="17">
        <v>154</v>
      </c>
      <c r="D757" s="17" t="s">
        <v>917</v>
      </c>
      <c r="E757" s="17">
        <v>86140565</v>
      </c>
      <c r="F757" s="17" t="s">
        <v>918</v>
      </c>
      <c r="G757" s="17">
        <v>86140565</v>
      </c>
      <c r="H757" s="17" t="s">
        <v>919</v>
      </c>
      <c r="I757" s="17">
        <v>86140565</v>
      </c>
    </row>
    <row r="758" spans="1:9" x14ac:dyDescent="0.3">
      <c r="A758" s="17" t="str">
        <f t="shared" si="26"/>
        <v>1030155</v>
      </c>
      <c r="B758" s="17">
        <v>103</v>
      </c>
      <c r="C758" s="17">
        <v>155</v>
      </c>
      <c r="D758" s="17" t="s">
        <v>917</v>
      </c>
      <c r="E758" s="17">
        <v>91754703</v>
      </c>
      <c r="F758" s="17" t="s">
        <v>918</v>
      </c>
      <c r="G758" s="17">
        <v>91754703</v>
      </c>
      <c r="H758" s="17" t="s">
        <v>919</v>
      </c>
      <c r="I758" s="17">
        <v>91754703</v>
      </c>
    </row>
    <row r="759" spans="1:9" x14ac:dyDescent="0.3">
      <c r="A759" s="17" t="str">
        <f t="shared" si="26"/>
        <v>1030156</v>
      </c>
      <c r="B759" s="17">
        <v>103</v>
      </c>
      <c r="C759" s="17">
        <v>156</v>
      </c>
      <c r="D759" s="17" t="s">
        <v>917</v>
      </c>
      <c r="E759" s="17">
        <v>92932145</v>
      </c>
      <c r="F759" s="17" t="s">
        <v>918</v>
      </c>
      <c r="G759" s="17">
        <v>92932145</v>
      </c>
      <c r="H759" s="17" t="s">
        <v>919</v>
      </c>
      <c r="I759" s="17">
        <v>92932145</v>
      </c>
    </row>
    <row r="760" spans="1:9" x14ac:dyDescent="0.3">
      <c r="A760" s="17" t="str">
        <f t="shared" si="26"/>
        <v>1030157</v>
      </c>
      <c r="B760" s="17">
        <v>103</v>
      </c>
      <c r="C760" s="17">
        <v>157</v>
      </c>
      <c r="D760" s="17" t="s">
        <v>917</v>
      </c>
      <c r="E760" s="17">
        <v>98991799</v>
      </c>
      <c r="F760" s="17" t="s">
        <v>918</v>
      </c>
      <c r="G760" s="17">
        <v>98991799</v>
      </c>
      <c r="H760" s="17" t="s">
        <v>919</v>
      </c>
      <c r="I760" s="17">
        <v>98991799</v>
      </c>
    </row>
    <row r="761" spans="1:9" x14ac:dyDescent="0.3">
      <c r="A761" s="17" t="str">
        <f t="shared" si="26"/>
        <v>1030158</v>
      </c>
      <c r="B761" s="17">
        <v>103</v>
      </c>
      <c r="C761" s="17">
        <v>158</v>
      </c>
      <c r="D761" s="17" t="s">
        <v>917</v>
      </c>
      <c r="E761" s="17">
        <v>100252180</v>
      </c>
      <c r="F761" s="17" t="s">
        <v>918</v>
      </c>
      <c r="G761" s="17">
        <v>100252180</v>
      </c>
      <c r="H761" s="17" t="s">
        <v>919</v>
      </c>
      <c r="I761" s="17">
        <v>100252180</v>
      </c>
    </row>
    <row r="762" spans="1:9" x14ac:dyDescent="0.3">
      <c r="A762" s="17" t="str">
        <f t="shared" si="26"/>
        <v>1030159</v>
      </c>
      <c r="B762" s="17">
        <v>103</v>
      </c>
      <c r="C762" s="17">
        <v>159</v>
      </c>
      <c r="D762" s="17" t="s">
        <v>917</v>
      </c>
      <c r="E762" s="17">
        <v>106792343</v>
      </c>
      <c r="F762" s="17" t="s">
        <v>918</v>
      </c>
      <c r="G762" s="17">
        <v>106792343</v>
      </c>
      <c r="H762" s="17" t="s">
        <v>919</v>
      </c>
      <c r="I762" s="17">
        <v>106792343</v>
      </c>
    </row>
    <row r="763" spans="1:9" x14ac:dyDescent="0.3">
      <c r="A763" s="17" t="str">
        <f t="shared" si="26"/>
        <v>1030160</v>
      </c>
      <c r="B763" s="17">
        <v>103</v>
      </c>
      <c r="C763" s="17">
        <v>160</v>
      </c>
      <c r="D763" s="17" t="s">
        <v>917</v>
      </c>
      <c r="E763" s="17">
        <v>113764500</v>
      </c>
      <c r="F763" s="17" t="s">
        <v>918</v>
      </c>
      <c r="G763" s="17">
        <v>113764500</v>
      </c>
      <c r="H763" s="17" t="s">
        <v>919</v>
      </c>
      <c r="I763" s="17">
        <v>113764500</v>
      </c>
    </row>
    <row r="764" spans="1:9" x14ac:dyDescent="0.3">
      <c r="A764" s="17" t="str">
        <f t="shared" si="26"/>
        <v>1030161</v>
      </c>
      <c r="B764" s="17">
        <v>103</v>
      </c>
      <c r="C764" s="17">
        <v>161</v>
      </c>
      <c r="D764" s="17" t="s">
        <v>917</v>
      </c>
      <c r="E764" s="17">
        <v>115200000</v>
      </c>
      <c r="F764" s="17" t="s">
        <v>918</v>
      </c>
      <c r="G764" s="17">
        <v>115200000</v>
      </c>
      <c r="H764" s="17" t="s">
        <v>919</v>
      </c>
      <c r="I764" s="17">
        <v>115200000</v>
      </c>
    </row>
    <row r="765" spans="1:9" x14ac:dyDescent="0.3">
      <c r="A765" s="17" t="str">
        <f t="shared" si="26"/>
        <v>1030162</v>
      </c>
      <c r="B765" s="17">
        <v>103</v>
      </c>
      <c r="C765" s="17">
        <v>162</v>
      </c>
      <c r="D765" s="17" t="s">
        <v>917</v>
      </c>
      <c r="E765" s="17">
        <v>122724854</v>
      </c>
      <c r="F765" s="17" t="s">
        <v>918</v>
      </c>
      <c r="G765" s="17">
        <v>122724854</v>
      </c>
      <c r="H765" s="17" t="s">
        <v>919</v>
      </c>
      <c r="I765" s="17">
        <v>122724854</v>
      </c>
    </row>
    <row r="766" spans="1:9" x14ac:dyDescent="0.3">
      <c r="A766" s="17" t="str">
        <f t="shared" si="26"/>
        <v>1030163</v>
      </c>
      <c r="B766" s="17">
        <v>103</v>
      </c>
      <c r="C766" s="17">
        <v>163</v>
      </c>
      <c r="D766" s="17" t="s">
        <v>917</v>
      </c>
      <c r="E766" s="17">
        <v>124261815</v>
      </c>
      <c r="F766" s="17" t="s">
        <v>918</v>
      </c>
      <c r="G766" s="17">
        <v>124261815</v>
      </c>
      <c r="H766" s="17" t="s">
        <v>919</v>
      </c>
      <c r="I766" s="17">
        <v>124261815</v>
      </c>
    </row>
    <row r="767" spans="1:9" x14ac:dyDescent="0.3">
      <c r="A767" s="17" t="str">
        <f t="shared" si="26"/>
        <v>1030164</v>
      </c>
      <c r="B767" s="17">
        <v>103</v>
      </c>
      <c r="C767" s="17">
        <v>164</v>
      </c>
      <c r="D767" s="17" t="s">
        <v>917</v>
      </c>
      <c r="E767" s="17">
        <v>132382773</v>
      </c>
      <c r="F767" s="17" t="s">
        <v>918</v>
      </c>
      <c r="G767" s="17">
        <v>132382773</v>
      </c>
      <c r="H767" s="17" t="s">
        <v>919</v>
      </c>
      <c r="I767" s="17">
        <v>132382773</v>
      </c>
    </row>
    <row r="768" spans="1:9" x14ac:dyDescent="0.3">
      <c r="A768" s="17" t="str">
        <f t="shared" si="26"/>
        <v>1030165</v>
      </c>
      <c r="B768" s="17">
        <v>103</v>
      </c>
      <c r="C768" s="17">
        <v>165</v>
      </c>
      <c r="D768" s="17" t="s">
        <v>917</v>
      </c>
      <c r="E768" s="17">
        <v>141041048</v>
      </c>
      <c r="F768" s="17" t="s">
        <v>918</v>
      </c>
      <c r="G768" s="17">
        <v>141041048</v>
      </c>
      <c r="H768" s="17" t="s">
        <v>919</v>
      </c>
      <c r="I768" s="17">
        <v>141041048</v>
      </c>
    </row>
    <row r="769" spans="1:9" x14ac:dyDescent="0.3">
      <c r="A769" s="17" t="str">
        <f t="shared" si="26"/>
        <v>1030166</v>
      </c>
      <c r="B769" s="17">
        <v>103</v>
      </c>
      <c r="C769" s="17">
        <v>166</v>
      </c>
      <c r="D769" s="17" t="s">
        <v>917</v>
      </c>
      <c r="E769" s="17">
        <v>142792343</v>
      </c>
      <c r="F769" s="17" t="s">
        <v>918</v>
      </c>
      <c r="G769" s="17">
        <v>142792343</v>
      </c>
      <c r="H769" s="17" t="s">
        <v>919</v>
      </c>
      <c r="I769" s="17">
        <v>142792343</v>
      </c>
    </row>
    <row r="770" spans="1:9" x14ac:dyDescent="0.3">
      <c r="A770" s="17" t="str">
        <f t="shared" si="26"/>
        <v>1030167</v>
      </c>
      <c r="B770" s="17">
        <v>103</v>
      </c>
      <c r="C770" s="17">
        <v>167</v>
      </c>
      <c r="D770" s="17" t="s">
        <v>917</v>
      </c>
      <c r="E770" s="17">
        <v>152136357</v>
      </c>
      <c r="F770" s="17" t="s">
        <v>918</v>
      </c>
      <c r="G770" s="17">
        <v>152136357</v>
      </c>
      <c r="H770" s="17" t="s">
        <v>919</v>
      </c>
      <c r="I770" s="17">
        <v>152136357</v>
      </c>
    </row>
    <row r="771" spans="1:9" x14ac:dyDescent="0.3">
      <c r="A771" s="17" t="str">
        <f t="shared" si="26"/>
        <v>1030168</v>
      </c>
      <c r="B771" s="17">
        <v>103</v>
      </c>
      <c r="C771" s="17">
        <v>168</v>
      </c>
      <c r="D771" s="17" t="s">
        <v>917</v>
      </c>
      <c r="E771" s="17">
        <v>154011842</v>
      </c>
      <c r="F771" s="17" t="s">
        <v>918</v>
      </c>
      <c r="G771" s="17">
        <v>154011842</v>
      </c>
      <c r="H771" s="17" t="s">
        <v>919</v>
      </c>
      <c r="I771" s="17">
        <v>154011842</v>
      </c>
    </row>
    <row r="772" spans="1:9" x14ac:dyDescent="0.3">
      <c r="A772" s="17" t="str">
        <f t="shared" ref="A772:A835" si="27">B772&amp;TEXT(C772,"0000")</f>
        <v>1030169</v>
      </c>
      <c r="B772" s="17">
        <v>103</v>
      </c>
      <c r="C772" s="17">
        <v>169</v>
      </c>
      <c r="D772" s="17" t="s">
        <v>917</v>
      </c>
      <c r="E772" s="17">
        <v>164095451</v>
      </c>
      <c r="F772" s="17" t="s">
        <v>918</v>
      </c>
      <c r="G772" s="17">
        <v>164095451</v>
      </c>
      <c r="H772" s="17" t="s">
        <v>919</v>
      </c>
      <c r="I772" s="17">
        <v>164095451</v>
      </c>
    </row>
    <row r="773" spans="1:9" x14ac:dyDescent="0.3">
      <c r="A773" s="17" t="str">
        <f t="shared" si="27"/>
        <v>1030170</v>
      </c>
      <c r="B773" s="17">
        <v>103</v>
      </c>
      <c r="C773" s="17">
        <v>170</v>
      </c>
      <c r="D773" s="17" t="s">
        <v>917</v>
      </c>
      <c r="E773" s="17">
        <v>174847378</v>
      </c>
      <c r="F773" s="17" t="s">
        <v>918</v>
      </c>
      <c r="G773" s="17">
        <v>174847378</v>
      </c>
      <c r="H773" s="17" t="s">
        <v>919</v>
      </c>
      <c r="I773" s="17">
        <v>174847378</v>
      </c>
    </row>
    <row r="774" spans="1:9" x14ac:dyDescent="0.3">
      <c r="A774" s="17" t="str">
        <f t="shared" si="27"/>
        <v>1030171</v>
      </c>
      <c r="B774" s="17">
        <v>103</v>
      </c>
      <c r="C774" s="17">
        <v>171</v>
      </c>
      <c r="D774" s="17" t="s">
        <v>917</v>
      </c>
      <c r="E774" s="17">
        <v>176985339</v>
      </c>
      <c r="F774" s="17" t="s">
        <v>918</v>
      </c>
      <c r="G774" s="17">
        <v>176985339</v>
      </c>
      <c r="H774" s="17" t="s">
        <v>919</v>
      </c>
      <c r="I774" s="17">
        <v>176985339</v>
      </c>
    </row>
    <row r="775" spans="1:9" x14ac:dyDescent="0.3">
      <c r="A775" s="17" t="str">
        <f t="shared" si="27"/>
        <v>1030172</v>
      </c>
      <c r="B775" s="17">
        <v>103</v>
      </c>
      <c r="C775" s="17">
        <v>172</v>
      </c>
      <c r="D775" s="17" t="s">
        <v>917</v>
      </c>
      <c r="E775" s="17">
        <v>188588177</v>
      </c>
      <c r="F775" s="17" t="s">
        <v>918</v>
      </c>
      <c r="G775" s="17">
        <v>188588177</v>
      </c>
      <c r="H775" s="17" t="s">
        <v>919</v>
      </c>
      <c r="I775" s="17">
        <v>188588177</v>
      </c>
    </row>
    <row r="776" spans="1:9" x14ac:dyDescent="0.3">
      <c r="A776" s="17" t="str">
        <f t="shared" si="27"/>
        <v>1030173</v>
      </c>
      <c r="B776" s="17">
        <v>103</v>
      </c>
      <c r="C776" s="17">
        <v>173</v>
      </c>
      <c r="D776" s="17" t="s">
        <v>917</v>
      </c>
      <c r="E776" s="17">
        <v>190878230</v>
      </c>
      <c r="F776" s="17" t="s">
        <v>918</v>
      </c>
      <c r="G776" s="17">
        <v>190878230</v>
      </c>
      <c r="H776" s="17" t="s">
        <v>919</v>
      </c>
      <c r="I776" s="17">
        <v>190878230</v>
      </c>
    </row>
    <row r="777" spans="1:9" x14ac:dyDescent="0.3">
      <c r="A777" s="17" t="str">
        <f t="shared" si="27"/>
        <v>1030174</v>
      </c>
      <c r="B777" s="17">
        <v>103</v>
      </c>
      <c r="C777" s="17">
        <v>174</v>
      </c>
      <c r="D777" s="17" t="s">
        <v>917</v>
      </c>
      <c r="E777" s="17">
        <v>203398810</v>
      </c>
      <c r="F777" s="17" t="s">
        <v>918</v>
      </c>
      <c r="G777" s="17">
        <v>203398810</v>
      </c>
      <c r="H777" s="17" t="s">
        <v>919</v>
      </c>
      <c r="I777" s="17">
        <v>203398810</v>
      </c>
    </row>
    <row r="778" spans="1:9" x14ac:dyDescent="0.3">
      <c r="A778" s="17" t="str">
        <f t="shared" si="27"/>
        <v>1030175</v>
      </c>
      <c r="B778" s="17">
        <v>103</v>
      </c>
      <c r="C778" s="17">
        <v>175</v>
      </c>
      <c r="D778" s="17" t="s">
        <v>917</v>
      </c>
      <c r="E778" s="17">
        <v>205851933</v>
      </c>
      <c r="F778" s="17" t="s">
        <v>918</v>
      </c>
      <c r="G778" s="17">
        <v>205851933</v>
      </c>
      <c r="H778" s="17" t="s">
        <v>919</v>
      </c>
      <c r="I778" s="17">
        <v>205851933</v>
      </c>
    </row>
    <row r="779" spans="1:9" x14ac:dyDescent="0.3">
      <c r="A779" s="17" t="str">
        <f t="shared" si="27"/>
        <v>1030176</v>
      </c>
      <c r="B779" s="17">
        <v>103</v>
      </c>
      <c r="C779" s="17">
        <v>176</v>
      </c>
      <c r="D779" s="17" t="s">
        <v>917</v>
      </c>
      <c r="E779" s="17">
        <v>219362322</v>
      </c>
      <c r="F779" s="17" t="s">
        <v>918</v>
      </c>
      <c r="G779" s="17">
        <v>219362322</v>
      </c>
      <c r="H779" s="17" t="s">
        <v>919</v>
      </c>
      <c r="I779" s="17">
        <v>219362322</v>
      </c>
    </row>
    <row r="780" spans="1:9" x14ac:dyDescent="0.3">
      <c r="A780" s="17" t="str">
        <f t="shared" si="27"/>
        <v>1030177</v>
      </c>
      <c r="B780" s="17">
        <v>103</v>
      </c>
      <c r="C780" s="17">
        <v>177</v>
      </c>
      <c r="D780" s="17" t="s">
        <v>917</v>
      </c>
      <c r="E780" s="17">
        <v>233770183</v>
      </c>
      <c r="F780" s="17" t="s">
        <v>918</v>
      </c>
      <c r="G780" s="17">
        <v>233770183</v>
      </c>
      <c r="H780" s="17" t="s">
        <v>919</v>
      </c>
      <c r="I780" s="17">
        <v>233770183</v>
      </c>
    </row>
    <row r="781" spans="1:9" x14ac:dyDescent="0.3">
      <c r="A781" s="17" t="str">
        <f t="shared" si="27"/>
        <v>1030178</v>
      </c>
      <c r="B781" s="17">
        <v>103</v>
      </c>
      <c r="C781" s="17">
        <v>178</v>
      </c>
      <c r="D781" s="17" t="s">
        <v>917</v>
      </c>
      <c r="E781" s="17">
        <v>236568204</v>
      </c>
      <c r="F781" s="17" t="s">
        <v>918</v>
      </c>
      <c r="G781" s="17">
        <v>236568204</v>
      </c>
      <c r="H781" s="17" t="s">
        <v>919</v>
      </c>
      <c r="I781" s="17">
        <v>236568204</v>
      </c>
    </row>
    <row r="782" spans="1:9" x14ac:dyDescent="0.3">
      <c r="A782" s="17" t="str">
        <f t="shared" si="27"/>
        <v>1030179</v>
      </c>
      <c r="B782" s="17">
        <v>103</v>
      </c>
      <c r="C782" s="17">
        <v>179</v>
      </c>
      <c r="D782" s="17" t="s">
        <v>917</v>
      </c>
      <c r="E782" s="17">
        <v>252115019</v>
      </c>
      <c r="F782" s="17" t="s">
        <v>918</v>
      </c>
      <c r="G782" s="17">
        <v>252115019</v>
      </c>
      <c r="H782" s="17" t="s">
        <v>919</v>
      </c>
      <c r="I782" s="17">
        <v>252115019</v>
      </c>
    </row>
    <row r="783" spans="1:9" x14ac:dyDescent="0.3">
      <c r="A783" s="17" t="str">
        <f t="shared" si="27"/>
        <v>1030180</v>
      </c>
      <c r="B783" s="17">
        <v>103</v>
      </c>
      <c r="C783" s="17">
        <v>180</v>
      </c>
      <c r="D783" s="17" t="s">
        <v>917</v>
      </c>
      <c r="E783" s="17">
        <v>255112894</v>
      </c>
      <c r="F783" s="17" t="s">
        <v>918</v>
      </c>
      <c r="G783" s="17">
        <v>255112894</v>
      </c>
      <c r="H783" s="17" t="s">
        <v>919</v>
      </c>
      <c r="I783" s="17">
        <v>255112894</v>
      </c>
    </row>
    <row r="784" spans="1:9" x14ac:dyDescent="0.3">
      <c r="A784" s="17" t="str">
        <f t="shared" si="27"/>
        <v>1030181</v>
      </c>
      <c r="B784" s="17">
        <v>103</v>
      </c>
      <c r="C784" s="17">
        <v>181</v>
      </c>
      <c r="D784" s="17" t="s">
        <v>917</v>
      </c>
      <c r="E784" s="17">
        <v>271888116</v>
      </c>
      <c r="F784" s="17" t="s">
        <v>918</v>
      </c>
      <c r="G784" s="17">
        <v>271888116</v>
      </c>
      <c r="H784" s="17" t="s">
        <v>919</v>
      </c>
      <c r="I784" s="17">
        <v>271888116</v>
      </c>
    </row>
    <row r="785" spans="1:9" x14ac:dyDescent="0.3">
      <c r="A785" s="17" t="str">
        <f t="shared" si="27"/>
        <v>1030182</v>
      </c>
      <c r="B785" s="17">
        <v>103</v>
      </c>
      <c r="C785" s="17">
        <v>182</v>
      </c>
      <c r="D785" s="17" t="s">
        <v>917</v>
      </c>
      <c r="E785" s="17">
        <v>289779646</v>
      </c>
      <c r="F785" s="17" t="s">
        <v>918</v>
      </c>
      <c r="G785" s="17">
        <v>289779646</v>
      </c>
      <c r="H785" s="17" t="s">
        <v>919</v>
      </c>
      <c r="I785" s="17">
        <v>289779646</v>
      </c>
    </row>
    <row r="786" spans="1:9" x14ac:dyDescent="0.3">
      <c r="A786" s="17" t="str">
        <f t="shared" si="27"/>
        <v>1030183</v>
      </c>
      <c r="B786" s="17">
        <v>103</v>
      </c>
      <c r="C786" s="17">
        <v>183</v>
      </c>
      <c r="D786" s="17" t="s">
        <v>917</v>
      </c>
      <c r="E786" s="17">
        <v>293200408</v>
      </c>
      <c r="F786" s="17" t="s">
        <v>918</v>
      </c>
      <c r="G786" s="17">
        <v>293200408</v>
      </c>
      <c r="H786" s="17" t="s">
        <v>919</v>
      </c>
      <c r="I786" s="17">
        <v>293200408</v>
      </c>
    </row>
    <row r="787" spans="1:9" x14ac:dyDescent="0.3">
      <c r="A787" s="17" t="str">
        <f t="shared" si="27"/>
        <v>1030184</v>
      </c>
      <c r="B787" s="17">
        <v>103</v>
      </c>
      <c r="C787" s="17">
        <v>184</v>
      </c>
      <c r="D787" s="17" t="s">
        <v>917</v>
      </c>
      <c r="E787" s="17">
        <v>312505630</v>
      </c>
      <c r="F787" s="17" t="s">
        <v>918</v>
      </c>
      <c r="G787" s="17">
        <v>312505630</v>
      </c>
      <c r="H787" s="17" t="s">
        <v>919</v>
      </c>
      <c r="I787" s="17">
        <v>312505630</v>
      </c>
    </row>
    <row r="788" spans="1:9" x14ac:dyDescent="0.3">
      <c r="A788" s="17" t="str">
        <f t="shared" si="27"/>
        <v>1030185</v>
      </c>
      <c r="B788" s="17">
        <v>103</v>
      </c>
      <c r="C788" s="17">
        <v>185</v>
      </c>
      <c r="D788" s="17" t="s">
        <v>917</v>
      </c>
      <c r="E788" s="17">
        <v>316171453</v>
      </c>
      <c r="F788" s="17" t="s">
        <v>918</v>
      </c>
      <c r="G788" s="17">
        <v>316171453</v>
      </c>
      <c r="H788" s="17" t="s">
        <v>919</v>
      </c>
      <c r="I788" s="17">
        <v>316171453</v>
      </c>
    </row>
    <row r="789" spans="1:9" x14ac:dyDescent="0.3">
      <c r="A789" s="17" t="str">
        <f t="shared" si="27"/>
        <v>1030186</v>
      </c>
      <c r="B789" s="17">
        <v>103</v>
      </c>
      <c r="C789" s="17">
        <v>186</v>
      </c>
      <c r="D789" s="17" t="s">
        <v>917</v>
      </c>
      <c r="E789" s="17">
        <v>337001419</v>
      </c>
      <c r="F789" s="17" t="s">
        <v>918</v>
      </c>
      <c r="G789" s="17">
        <v>337001419</v>
      </c>
      <c r="H789" s="17" t="s">
        <v>919</v>
      </c>
      <c r="I789" s="17">
        <v>337001419</v>
      </c>
    </row>
    <row r="790" spans="1:9" x14ac:dyDescent="0.3">
      <c r="A790" s="17" t="str">
        <f t="shared" si="27"/>
        <v>1030187</v>
      </c>
      <c r="B790" s="17">
        <v>103</v>
      </c>
      <c r="C790" s="17">
        <v>187</v>
      </c>
      <c r="D790" s="17" t="s">
        <v>917</v>
      </c>
      <c r="E790" s="17">
        <v>359219971</v>
      </c>
      <c r="F790" s="17" t="s">
        <v>918</v>
      </c>
      <c r="G790" s="17">
        <v>359219971</v>
      </c>
      <c r="H790" s="17" t="s">
        <v>919</v>
      </c>
      <c r="I790" s="17">
        <v>359219971</v>
      </c>
    </row>
    <row r="791" spans="1:9" x14ac:dyDescent="0.3">
      <c r="A791" s="17" t="str">
        <f t="shared" si="27"/>
        <v>1030188</v>
      </c>
      <c r="B791" s="17">
        <v>103</v>
      </c>
      <c r="C791" s="17">
        <v>188</v>
      </c>
      <c r="D791" s="17" t="s">
        <v>917</v>
      </c>
      <c r="E791" s="17">
        <v>363404570</v>
      </c>
      <c r="F791" s="17" t="s">
        <v>918</v>
      </c>
      <c r="G791" s="17">
        <v>363404570</v>
      </c>
      <c r="H791" s="17" t="s">
        <v>919</v>
      </c>
      <c r="I791" s="17">
        <v>363404570</v>
      </c>
    </row>
    <row r="792" spans="1:9" x14ac:dyDescent="0.3">
      <c r="A792" s="17" t="str">
        <f t="shared" si="27"/>
        <v>1030189</v>
      </c>
      <c r="B792" s="17">
        <v>103</v>
      </c>
      <c r="C792" s="17">
        <v>189</v>
      </c>
      <c r="D792" s="17" t="s">
        <v>917</v>
      </c>
      <c r="E792" s="17">
        <v>387378084</v>
      </c>
      <c r="F792" s="17" t="s">
        <v>918</v>
      </c>
      <c r="G792" s="17">
        <v>387378084</v>
      </c>
      <c r="H792" s="17" t="s">
        <v>919</v>
      </c>
      <c r="I792" s="17">
        <v>387378084</v>
      </c>
    </row>
    <row r="793" spans="1:9" x14ac:dyDescent="0.3">
      <c r="A793" s="17" t="str">
        <f t="shared" si="27"/>
        <v>1030190</v>
      </c>
      <c r="B793" s="17">
        <v>103</v>
      </c>
      <c r="C793" s="17">
        <v>190</v>
      </c>
      <c r="D793" s="17" t="s">
        <v>917</v>
      </c>
      <c r="E793" s="17">
        <v>391863334</v>
      </c>
      <c r="F793" s="17" t="s">
        <v>918</v>
      </c>
      <c r="G793" s="17">
        <v>391863334</v>
      </c>
      <c r="H793" s="17" t="s">
        <v>919</v>
      </c>
      <c r="I793" s="17">
        <v>391863334</v>
      </c>
    </row>
    <row r="794" spans="1:9" x14ac:dyDescent="0.3">
      <c r="A794" s="17" t="str">
        <f t="shared" si="27"/>
        <v>1030191</v>
      </c>
      <c r="B794" s="17">
        <v>103</v>
      </c>
      <c r="C794" s="17">
        <v>191</v>
      </c>
      <c r="D794" s="17" t="s">
        <v>917</v>
      </c>
      <c r="E794" s="17">
        <v>417729709</v>
      </c>
      <c r="F794" s="17" t="s">
        <v>918</v>
      </c>
      <c r="G794" s="17">
        <v>417729709</v>
      </c>
      <c r="H794" s="17" t="s">
        <v>919</v>
      </c>
      <c r="I794" s="17">
        <v>417729709</v>
      </c>
    </row>
    <row r="795" spans="1:9" x14ac:dyDescent="0.3">
      <c r="A795" s="17" t="str">
        <f t="shared" si="27"/>
        <v>1030192</v>
      </c>
      <c r="B795" s="17">
        <v>103</v>
      </c>
      <c r="C795" s="17">
        <v>192</v>
      </c>
      <c r="D795" s="17" t="s">
        <v>917</v>
      </c>
      <c r="E795" s="17">
        <v>422537496</v>
      </c>
      <c r="F795" s="17" t="s">
        <v>918</v>
      </c>
      <c r="G795" s="17">
        <v>422537496</v>
      </c>
      <c r="H795" s="17" t="s">
        <v>919</v>
      </c>
      <c r="I795" s="17">
        <v>422537496</v>
      </c>
    </row>
    <row r="796" spans="1:9" x14ac:dyDescent="0.3">
      <c r="A796" s="17" t="str">
        <f t="shared" si="27"/>
        <v>1030193</v>
      </c>
      <c r="B796" s="17">
        <v>103</v>
      </c>
      <c r="C796" s="17">
        <v>193</v>
      </c>
      <c r="D796" s="17" t="s">
        <v>917</v>
      </c>
      <c r="E796" s="17">
        <v>450445450</v>
      </c>
      <c r="F796" s="17" t="s">
        <v>918</v>
      </c>
      <c r="G796" s="17">
        <v>450445450</v>
      </c>
      <c r="H796" s="17" t="s">
        <v>919</v>
      </c>
      <c r="I796" s="17">
        <v>450445450</v>
      </c>
    </row>
    <row r="797" spans="1:9" x14ac:dyDescent="0.3">
      <c r="A797" s="17" t="str">
        <f t="shared" si="27"/>
        <v>1030194</v>
      </c>
      <c r="B797" s="17">
        <v>103</v>
      </c>
      <c r="C797" s="17">
        <v>194</v>
      </c>
      <c r="D797" s="17" t="s">
        <v>917</v>
      </c>
      <c r="E797" s="17">
        <v>480218176</v>
      </c>
      <c r="F797" s="17" t="s">
        <v>918</v>
      </c>
      <c r="G797" s="17">
        <v>480218176</v>
      </c>
      <c r="H797" s="17" t="s">
        <v>919</v>
      </c>
      <c r="I797" s="17">
        <v>480218176</v>
      </c>
    </row>
    <row r="798" spans="1:9" x14ac:dyDescent="0.3">
      <c r="A798" s="17" t="str">
        <f t="shared" si="27"/>
        <v>1030195</v>
      </c>
      <c r="B798" s="17">
        <v>103</v>
      </c>
      <c r="C798" s="17">
        <v>195</v>
      </c>
      <c r="D798" s="17" t="s">
        <v>917</v>
      </c>
      <c r="E798" s="17">
        <v>485709189</v>
      </c>
      <c r="F798" s="17" t="s">
        <v>918</v>
      </c>
      <c r="G798" s="17">
        <v>485709189</v>
      </c>
      <c r="H798" s="17" t="s">
        <v>919</v>
      </c>
      <c r="I798" s="17">
        <v>485709189</v>
      </c>
    </row>
    <row r="799" spans="1:9" x14ac:dyDescent="0.3">
      <c r="A799" s="17" t="str">
        <f t="shared" si="27"/>
        <v>1030196</v>
      </c>
      <c r="B799" s="17">
        <v>103</v>
      </c>
      <c r="C799" s="17">
        <v>196</v>
      </c>
      <c r="D799" s="17" t="s">
        <v>917</v>
      </c>
      <c r="E799" s="17">
        <v>517832143</v>
      </c>
      <c r="F799" s="17" t="s">
        <v>918</v>
      </c>
      <c r="G799" s="17">
        <v>517832143</v>
      </c>
      <c r="H799" s="17" t="s">
        <v>919</v>
      </c>
      <c r="I799" s="17">
        <v>517832143</v>
      </c>
    </row>
    <row r="800" spans="1:9" x14ac:dyDescent="0.3">
      <c r="A800" s="17" t="str">
        <f t="shared" si="27"/>
        <v>1030197</v>
      </c>
      <c r="B800" s="17">
        <v>103</v>
      </c>
      <c r="C800" s="17">
        <v>197</v>
      </c>
      <c r="D800" s="17" t="s">
        <v>917</v>
      </c>
      <c r="E800" s="17">
        <v>523719122</v>
      </c>
      <c r="F800" s="17" t="s">
        <v>918</v>
      </c>
      <c r="G800" s="17">
        <v>523719122</v>
      </c>
      <c r="H800" s="17" t="s">
        <v>919</v>
      </c>
      <c r="I800" s="17">
        <v>523719122</v>
      </c>
    </row>
    <row r="801" spans="1:9" x14ac:dyDescent="0.3">
      <c r="A801" s="17" t="str">
        <f t="shared" si="27"/>
        <v>1030198</v>
      </c>
      <c r="B801" s="17">
        <v>103</v>
      </c>
      <c r="C801" s="17">
        <v>198</v>
      </c>
      <c r="D801" s="17" t="s">
        <v>917</v>
      </c>
      <c r="E801" s="17">
        <v>558377019</v>
      </c>
      <c r="F801" s="17" t="s">
        <v>918</v>
      </c>
      <c r="G801" s="17">
        <v>558377019</v>
      </c>
      <c r="H801" s="17" t="s">
        <v>919</v>
      </c>
      <c r="I801" s="17">
        <v>558377019</v>
      </c>
    </row>
    <row r="802" spans="1:9" x14ac:dyDescent="0.3">
      <c r="A802" s="17" t="str">
        <f t="shared" si="27"/>
        <v>1030199</v>
      </c>
      <c r="B802" s="17">
        <v>103</v>
      </c>
      <c r="C802" s="17">
        <v>199</v>
      </c>
      <c r="D802" s="17" t="s">
        <v>917</v>
      </c>
      <c r="E802" s="17">
        <v>595354839</v>
      </c>
      <c r="F802" s="17" t="s">
        <v>918</v>
      </c>
      <c r="G802" s="17">
        <v>595354839</v>
      </c>
      <c r="H802" s="17" t="s">
        <v>919</v>
      </c>
      <c r="I802" s="17">
        <v>595354839</v>
      </c>
    </row>
    <row r="803" spans="1:9" x14ac:dyDescent="0.3">
      <c r="A803" s="17" t="str">
        <f t="shared" si="27"/>
        <v>1030200</v>
      </c>
      <c r="B803" s="17">
        <v>103</v>
      </c>
      <c r="C803" s="17">
        <v>200</v>
      </c>
      <c r="D803" s="17" t="s">
        <v>917</v>
      </c>
      <c r="E803" s="17">
        <v>602080933</v>
      </c>
      <c r="F803" s="17" t="s">
        <v>918</v>
      </c>
      <c r="G803" s="17">
        <v>602080933</v>
      </c>
      <c r="H803" s="17" t="s">
        <v>919</v>
      </c>
      <c r="I803" s="17">
        <v>602080933</v>
      </c>
    </row>
    <row r="804" spans="1:9" x14ac:dyDescent="0.3">
      <c r="A804" s="17" t="str">
        <f t="shared" si="27"/>
        <v>1030201</v>
      </c>
      <c r="B804" s="17">
        <v>103</v>
      </c>
      <c r="C804" s="17">
        <v>201</v>
      </c>
      <c r="D804" s="17" t="s">
        <v>917</v>
      </c>
      <c r="E804" s="17">
        <v>641977348</v>
      </c>
      <c r="F804" s="17" t="s">
        <v>918</v>
      </c>
      <c r="G804" s="17">
        <v>641977348</v>
      </c>
      <c r="H804" s="17" t="s">
        <v>919</v>
      </c>
      <c r="I804" s="17">
        <v>641977348</v>
      </c>
    </row>
    <row r="805" spans="1:9" x14ac:dyDescent="0.3">
      <c r="A805" s="17" t="str">
        <f t="shared" si="27"/>
        <v>1030202</v>
      </c>
      <c r="B805" s="17">
        <v>103</v>
      </c>
      <c r="C805" s="17">
        <v>202</v>
      </c>
      <c r="D805" s="17" t="s">
        <v>917</v>
      </c>
      <c r="E805" s="17">
        <v>649189792</v>
      </c>
      <c r="F805" s="17" t="s">
        <v>918</v>
      </c>
      <c r="G805" s="17">
        <v>649189792</v>
      </c>
      <c r="H805" s="17" t="s">
        <v>919</v>
      </c>
      <c r="I805" s="17">
        <v>649189792</v>
      </c>
    </row>
    <row r="806" spans="1:9" x14ac:dyDescent="0.3">
      <c r="A806" s="17" t="str">
        <f t="shared" si="27"/>
        <v>1030203</v>
      </c>
      <c r="B806" s="17">
        <v>103</v>
      </c>
      <c r="C806" s="17">
        <v>203</v>
      </c>
      <c r="D806" s="17" t="s">
        <v>917</v>
      </c>
      <c r="E806" s="17">
        <v>692234269</v>
      </c>
      <c r="F806" s="17" t="s">
        <v>918</v>
      </c>
      <c r="G806" s="17">
        <v>692234269</v>
      </c>
      <c r="H806" s="17" t="s">
        <v>919</v>
      </c>
      <c r="I806" s="17">
        <v>692234269</v>
      </c>
    </row>
    <row r="807" spans="1:9" x14ac:dyDescent="0.3">
      <c r="A807" s="17" t="str">
        <f t="shared" si="27"/>
        <v>1030204</v>
      </c>
      <c r="B807" s="17">
        <v>103</v>
      </c>
      <c r="C807" s="17">
        <v>204</v>
      </c>
      <c r="D807" s="17" t="s">
        <v>917</v>
      </c>
      <c r="E807" s="17">
        <v>738165187</v>
      </c>
      <c r="F807" s="17" t="s">
        <v>918</v>
      </c>
      <c r="G807" s="17">
        <v>738165187</v>
      </c>
      <c r="H807" s="17" t="s">
        <v>919</v>
      </c>
      <c r="I807" s="17">
        <v>738165187</v>
      </c>
    </row>
    <row r="808" spans="1:9" x14ac:dyDescent="0.3">
      <c r="A808" s="17" t="str">
        <f t="shared" si="27"/>
        <v>1030205</v>
      </c>
      <c r="B808" s="17">
        <v>103</v>
      </c>
      <c r="C808" s="17">
        <v>205</v>
      </c>
      <c r="D808" s="17" t="s">
        <v>917</v>
      </c>
      <c r="E808" s="17">
        <v>746408699</v>
      </c>
      <c r="F808" s="17" t="s">
        <v>918</v>
      </c>
      <c r="G808" s="17">
        <v>746408699</v>
      </c>
      <c r="H808" s="17" t="s">
        <v>919</v>
      </c>
      <c r="I808" s="17">
        <v>746408699</v>
      </c>
    </row>
    <row r="809" spans="1:9" x14ac:dyDescent="0.3">
      <c r="A809" s="17" t="str">
        <f t="shared" si="27"/>
        <v>1030206</v>
      </c>
      <c r="B809" s="17">
        <v>103</v>
      </c>
      <c r="C809" s="17">
        <v>206</v>
      </c>
      <c r="D809" s="17" t="s">
        <v>917</v>
      </c>
      <c r="E809" s="17">
        <v>795964646</v>
      </c>
      <c r="F809" s="17" t="s">
        <v>918</v>
      </c>
      <c r="G809" s="17">
        <v>795964646</v>
      </c>
      <c r="H809" s="17" t="s">
        <v>919</v>
      </c>
      <c r="I809" s="17">
        <v>795964646</v>
      </c>
    </row>
    <row r="810" spans="1:9" x14ac:dyDescent="0.3">
      <c r="A810" s="17" t="str">
        <f t="shared" si="27"/>
        <v>1030207</v>
      </c>
      <c r="B810" s="17">
        <v>103</v>
      </c>
      <c r="C810" s="17">
        <v>207</v>
      </c>
      <c r="D810" s="17" t="s">
        <v>917</v>
      </c>
      <c r="E810" s="17">
        <v>804805812</v>
      </c>
      <c r="F810" s="17" t="s">
        <v>918</v>
      </c>
      <c r="G810" s="17">
        <v>804805812</v>
      </c>
      <c r="H810" s="17" t="s">
        <v>919</v>
      </c>
      <c r="I810" s="17">
        <v>804805812</v>
      </c>
    </row>
    <row r="811" spans="1:9" x14ac:dyDescent="0.3">
      <c r="A811" s="17" t="str">
        <f t="shared" si="27"/>
        <v>1030208</v>
      </c>
      <c r="B811" s="17">
        <v>103</v>
      </c>
      <c r="C811" s="17">
        <v>208</v>
      </c>
      <c r="D811" s="17" t="s">
        <v>917</v>
      </c>
      <c r="E811" s="17">
        <v>858271915</v>
      </c>
      <c r="F811" s="17" t="s">
        <v>918</v>
      </c>
      <c r="G811" s="17">
        <v>858271915</v>
      </c>
      <c r="H811" s="17" t="s">
        <v>919</v>
      </c>
      <c r="I811" s="17">
        <v>858271915</v>
      </c>
    </row>
    <row r="812" spans="1:9" x14ac:dyDescent="0.3">
      <c r="A812" s="17" t="str">
        <f t="shared" si="27"/>
        <v>1030209</v>
      </c>
      <c r="B812" s="17">
        <v>103</v>
      </c>
      <c r="C812" s="17">
        <v>209</v>
      </c>
      <c r="D812" s="17" t="s">
        <v>917</v>
      </c>
      <c r="E812" s="17">
        <v>867754586</v>
      </c>
      <c r="F812" s="17" t="s">
        <v>918</v>
      </c>
      <c r="G812" s="17">
        <v>867754586</v>
      </c>
      <c r="H812" s="17" t="s">
        <v>919</v>
      </c>
      <c r="I812" s="17">
        <v>867754586</v>
      </c>
    </row>
    <row r="813" spans="1:9" x14ac:dyDescent="0.3">
      <c r="A813" s="17" t="str">
        <f t="shared" si="27"/>
        <v>1030210</v>
      </c>
      <c r="B813" s="17">
        <v>103</v>
      </c>
      <c r="C813" s="17">
        <v>210</v>
      </c>
      <c r="D813" s="17" t="s">
        <v>917</v>
      </c>
      <c r="E813" s="17">
        <v>925438385</v>
      </c>
      <c r="F813" s="17" t="s">
        <v>918</v>
      </c>
      <c r="G813" s="17">
        <v>925438385</v>
      </c>
      <c r="H813" s="17" t="s">
        <v>919</v>
      </c>
      <c r="I813" s="17">
        <v>925438385</v>
      </c>
    </row>
    <row r="814" spans="1:9" x14ac:dyDescent="0.3">
      <c r="A814" s="17" t="str">
        <f t="shared" si="27"/>
        <v>1030211</v>
      </c>
      <c r="B814" s="17">
        <v>103</v>
      </c>
      <c r="C814" s="17">
        <v>211</v>
      </c>
      <c r="D814" s="17" t="s">
        <v>917</v>
      </c>
      <c r="E814" s="17">
        <v>986999407</v>
      </c>
      <c r="F814" s="17" t="s">
        <v>918</v>
      </c>
      <c r="G814" s="17">
        <v>986999407</v>
      </c>
      <c r="H814" s="17" t="s">
        <v>919</v>
      </c>
      <c r="I814" s="17">
        <v>986999407</v>
      </c>
    </row>
    <row r="815" spans="1:9" x14ac:dyDescent="0.3">
      <c r="A815" s="17" t="str">
        <f t="shared" si="27"/>
        <v>1030212</v>
      </c>
      <c r="B815" s="17">
        <v>103</v>
      </c>
      <c r="C815" s="17">
        <v>212</v>
      </c>
      <c r="D815" s="17" t="s">
        <v>917</v>
      </c>
      <c r="E815" s="17">
        <v>997842876</v>
      </c>
      <c r="F815" s="17" t="s">
        <v>918</v>
      </c>
      <c r="G815" s="17">
        <v>997842876</v>
      </c>
      <c r="H815" s="17" t="s">
        <v>919</v>
      </c>
      <c r="I815" s="17">
        <v>997842876</v>
      </c>
    </row>
    <row r="816" spans="1:9" x14ac:dyDescent="0.3">
      <c r="A816" s="17" t="str">
        <f t="shared" si="27"/>
        <v>1030213</v>
      </c>
      <c r="B816" s="17">
        <v>103</v>
      </c>
      <c r="C816" s="17">
        <v>213</v>
      </c>
      <c r="D816" s="17" t="s">
        <v>917</v>
      </c>
      <c r="E816" s="17">
        <v>1064261502</v>
      </c>
      <c r="F816" s="17" t="s">
        <v>918</v>
      </c>
      <c r="G816" s="17">
        <v>1064261502</v>
      </c>
      <c r="H816" s="17" t="s">
        <v>919</v>
      </c>
      <c r="I816" s="17">
        <v>1064261502</v>
      </c>
    </row>
    <row r="817" spans="1:9" x14ac:dyDescent="0.3">
      <c r="A817" s="17" t="str">
        <f t="shared" si="27"/>
        <v>1030214</v>
      </c>
      <c r="B817" s="17">
        <v>103</v>
      </c>
      <c r="C817" s="17">
        <v>214</v>
      </c>
      <c r="D817" s="17" t="s">
        <v>917</v>
      </c>
      <c r="E817" s="17">
        <v>1075893782</v>
      </c>
      <c r="F817" s="17" t="s">
        <v>918</v>
      </c>
      <c r="G817" s="17">
        <v>1075893782</v>
      </c>
      <c r="H817" s="17" t="s">
        <v>919</v>
      </c>
      <c r="I817" s="17">
        <v>1075893782</v>
      </c>
    </row>
    <row r="818" spans="1:9" x14ac:dyDescent="0.3">
      <c r="A818" s="17" t="str">
        <f t="shared" si="27"/>
        <v>1030215</v>
      </c>
      <c r="B818" s="17">
        <v>103</v>
      </c>
      <c r="C818" s="17">
        <v>215</v>
      </c>
      <c r="D818" s="17" t="s">
        <v>917</v>
      </c>
      <c r="E818" s="17">
        <v>1147552248</v>
      </c>
      <c r="F818" s="17" t="s">
        <v>918</v>
      </c>
      <c r="G818" s="17">
        <v>1147552248</v>
      </c>
      <c r="H818" s="17" t="s">
        <v>919</v>
      </c>
      <c r="I818" s="17">
        <v>1147552248</v>
      </c>
    </row>
    <row r="819" spans="1:9" x14ac:dyDescent="0.3">
      <c r="A819" s="17" t="str">
        <f t="shared" si="27"/>
        <v>1030216</v>
      </c>
      <c r="B819" s="17">
        <v>103</v>
      </c>
      <c r="C819" s="17">
        <v>216</v>
      </c>
      <c r="D819" s="17" t="s">
        <v>917</v>
      </c>
      <c r="E819" s="17">
        <v>1224035815</v>
      </c>
      <c r="F819" s="17" t="s">
        <v>918</v>
      </c>
      <c r="G819" s="17">
        <v>1224035815</v>
      </c>
      <c r="H819" s="17" t="s">
        <v>919</v>
      </c>
      <c r="I819" s="17">
        <v>1224035815</v>
      </c>
    </row>
    <row r="820" spans="1:9" x14ac:dyDescent="0.3">
      <c r="A820" s="17" t="str">
        <f t="shared" si="27"/>
        <v>1030217</v>
      </c>
      <c r="B820" s="17">
        <v>103</v>
      </c>
      <c r="C820" s="17">
        <v>217</v>
      </c>
      <c r="D820" s="17" t="s">
        <v>917</v>
      </c>
      <c r="E820" s="17">
        <v>1237341998</v>
      </c>
      <c r="F820" s="17" t="s">
        <v>918</v>
      </c>
      <c r="G820" s="17">
        <v>1237341998</v>
      </c>
      <c r="H820" s="17" t="s">
        <v>919</v>
      </c>
      <c r="I820" s="17">
        <v>1237341998</v>
      </c>
    </row>
    <row r="821" spans="1:9" x14ac:dyDescent="0.3">
      <c r="A821" s="17" t="str">
        <f t="shared" si="27"/>
        <v>1030218</v>
      </c>
      <c r="B821" s="17">
        <v>103</v>
      </c>
      <c r="C821" s="17">
        <v>218</v>
      </c>
      <c r="D821" s="17" t="s">
        <v>917</v>
      </c>
      <c r="E821" s="17">
        <v>1319861288</v>
      </c>
      <c r="F821" s="17" t="s">
        <v>918</v>
      </c>
      <c r="G821" s="17">
        <v>1319861288</v>
      </c>
      <c r="H821" s="17" t="s">
        <v>919</v>
      </c>
      <c r="I821" s="17">
        <v>1319861288</v>
      </c>
    </row>
    <row r="822" spans="1:9" x14ac:dyDescent="0.3">
      <c r="A822" s="17" t="str">
        <f t="shared" si="27"/>
        <v>1030219</v>
      </c>
      <c r="B822" s="17">
        <v>103</v>
      </c>
      <c r="C822" s="17">
        <v>219</v>
      </c>
      <c r="D822" s="17" t="s">
        <v>917</v>
      </c>
      <c r="E822" s="17">
        <v>1334137860</v>
      </c>
      <c r="F822" s="17" t="s">
        <v>918</v>
      </c>
      <c r="G822" s="17">
        <v>1334137860</v>
      </c>
      <c r="H822" s="17" t="s">
        <v>919</v>
      </c>
      <c r="I822" s="17">
        <v>1334137860</v>
      </c>
    </row>
    <row r="823" spans="1:9" x14ac:dyDescent="0.3">
      <c r="A823" s="17" t="str">
        <f t="shared" si="27"/>
        <v>1030220</v>
      </c>
      <c r="B823" s="17">
        <v>103</v>
      </c>
      <c r="C823" s="17">
        <v>220</v>
      </c>
      <c r="D823" s="17" t="s">
        <v>917</v>
      </c>
      <c r="E823" s="17">
        <v>1423168045</v>
      </c>
      <c r="F823" s="17" t="s">
        <v>918</v>
      </c>
      <c r="G823" s="17">
        <v>1423168045</v>
      </c>
      <c r="H823" s="17" t="s">
        <v>919</v>
      </c>
      <c r="I823" s="17">
        <v>1423168045</v>
      </c>
    </row>
    <row r="824" spans="1:9" x14ac:dyDescent="0.3">
      <c r="A824" s="17" t="str">
        <f t="shared" si="27"/>
        <v>1030221</v>
      </c>
      <c r="B824" s="17">
        <v>103</v>
      </c>
      <c r="C824" s="17">
        <v>221</v>
      </c>
      <c r="D824" s="17" t="s">
        <v>917</v>
      </c>
      <c r="E824" s="17">
        <v>1518203683</v>
      </c>
      <c r="F824" s="17" t="s">
        <v>918</v>
      </c>
      <c r="G824" s="17">
        <v>1518203683</v>
      </c>
      <c r="H824" s="17" t="s">
        <v>919</v>
      </c>
      <c r="I824" s="17">
        <v>1518203683</v>
      </c>
    </row>
    <row r="825" spans="1:9" x14ac:dyDescent="0.3">
      <c r="A825" s="17" t="str">
        <f t="shared" si="27"/>
        <v>1030222</v>
      </c>
      <c r="B825" s="17">
        <v>103</v>
      </c>
      <c r="C825" s="17">
        <v>222</v>
      </c>
      <c r="D825" s="17" t="s">
        <v>917</v>
      </c>
      <c r="E825" s="17">
        <v>1534540234</v>
      </c>
      <c r="F825" s="17" t="s">
        <v>918</v>
      </c>
      <c r="G825" s="17">
        <v>1534540234</v>
      </c>
      <c r="H825" s="17" t="s">
        <v>919</v>
      </c>
      <c r="I825" s="17">
        <v>1534540234</v>
      </c>
    </row>
    <row r="826" spans="1:9" x14ac:dyDescent="0.3">
      <c r="A826" s="17" t="str">
        <f t="shared" si="27"/>
        <v>1030223</v>
      </c>
      <c r="B826" s="17">
        <v>103</v>
      </c>
      <c r="C826" s="17">
        <v>223</v>
      </c>
      <c r="D826" s="17" t="s">
        <v>917</v>
      </c>
      <c r="E826" s="17">
        <v>1637076835</v>
      </c>
      <c r="F826" s="17" t="s">
        <v>918</v>
      </c>
      <c r="G826" s="17">
        <v>1637076835</v>
      </c>
      <c r="H826" s="17" t="s">
        <v>919</v>
      </c>
      <c r="I826" s="17">
        <v>1637076835</v>
      </c>
    </row>
    <row r="827" spans="1:9" x14ac:dyDescent="0.3">
      <c r="A827" s="17" t="str">
        <f t="shared" si="27"/>
        <v>1030224</v>
      </c>
      <c r="B827" s="17">
        <v>103</v>
      </c>
      <c r="C827" s="17">
        <v>224</v>
      </c>
      <c r="D827" s="17" t="s">
        <v>917</v>
      </c>
      <c r="E827" s="17">
        <v>1654607693</v>
      </c>
      <c r="F827" s="17" t="s">
        <v>918</v>
      </c>
      <c r="G827" s="17">
        <v>1654607693</v>
      </c>
      <c r="H827" s="17" t="s">
        <v>919</v>
      </c>
      <c r="I827" s="17">
        <v>1654607693</v>
      </c>
    </row>
    <row r="828" spans="1:9" x14ac:dyDescent="0.3">
      <c r="A828" s="17" t="str">
        <f t="shared" si="27"/>
        <v>1030225</v>
      </c>
      <c r="B828" s="17">
        <v>103</v>
      </c>
      <c r="C828" s="17">
        <v>225</v>
      </c>
      <c r="D828" s="17" t="s">
        <v>917</v>
      </c>
      <c r="E828" s="17">
        <v>1765236088</v>
      </c>
      <c r="F828" s="17" t="s">
        <v>918</v>
      </c>
      <c r="G828" s="17">
        <v>1765236088</v>
      </c>
      <c r="H828" s="17" t="s">
        <v>919</v>
      </c>
      <c r="I828" s="17">
        <v>1765236088</v>
      </c>
    </row>
    <row r="829" spans="1:9" x14ac:dyDescent="0.3">
      <c r="A829" s="17" t="str">
        <f t="shared" si="27"/>
        <v>1030226</v>
      </c>
      <c r="B829" s="17">
        <v>103</v>
      </c>
      <c r="C829" s="17">
        <v>226</v>
      </c>
      <c r="D829" s="17" t="s">
        <v>917</v>
      </c>
      <c r="E829" s="17">
        <v>1784049528</v>
      </c>
      <c r="F829" s="17" t="s">
        <v>918</v>
      </c>
      <c r="G829" s="17">
        <v>1784049528</v>
      </c>
      <c r="H829" s="17" t="s">
        <v>919</v>
      </c>
      <c r="I829" s="17">
        <v>1784049528</v>
      </c>
    </row>
    <row r="830" spans="1:9" x14ac:dyDescent="0.3">
      <c r="A830" s="17" t="str">
        <f t="shared" si="27"/>
        <v>1030227</v>
      </c>
      <c r="B830" s="17">
        <v>103</v>
      </c>
      <c r="C830" s="17">
        <v>227</v>
      </c>
      <c r="D830" s="17" t="s">
        <v>917</v>
      </c>
      <c r="E830" s="17">
        <v>1903407093</v>
      </c>
      <c r="F830" s="17" t="s">
        <v>918</v>
      </c>
      <c r="G830" s="17">
        <v>1903407093</v>
      </c>
      <c r="H830" s="17" t="s">
        <v>919</v>
      </c>
      <c r="I830" s="17">
        <v>1903407093</v>
      </c>
    </row>
    <row r="831" spans="1:9" x14ac:dyDescent="0.3">
      <c r="A831" s="17" t="str">
        <f t="shared" si="27"/>
        <v>1030228</v>
      </c>
      <c r="B831" s="17">
        <v>103</v>
      </c>
      <c r="C831" s="17">
        <v>228</v>
      </c>
      <c r="D831" s="17" t="s">
        <v>917</v>
      </c>
      <c r="E831" s="17">
        <v>2030834680</v>
      </c>
      <c r="F831" s="17" t="s">
        <v>918</v>
      </c>
      <c r="G831" s="17">
        <v>2030834680</v>
      </c>
      <c r="H831" s="17" t="s">
        <v>919</v>
      </c>
      <c r="I831" s="17">
        <v>2030834680</v>
      </c>
    </row>
    <row r="832" spans="1:9" x14ac:dyDescent="0.3">
      <c r="A832" s="17" t="str">
        <f t="shared" si="27"/>
        <v>1030229</v>
      </c>
      <c r="B832" s="17">
        <v>103</v>
      </c>
      <c r="C832" s="17">
        <v>229</v>
      </c>
      <c r="D832" s="17" t="s">
        <v>917</v>
      </c>
      <c r="E832" s="17">
        <v>2052372310</v>
      </c>
      <c r="F832" s="17" t="s">
        <v>918</v>
      </c>
      <c r="G832" s="17">
        <v>2052372310</v>
      </c>
      <c r="H832" s="17" t="s">
        <v>919</v>
      </c>
      <c r="I832" s="17">
        <v>2052372310</v>
      </c>
    </row>
    <row r="833" spans="1:9" x14ac:dyDescent="0.3">
      <c r="A833" s="17" t="str">
        <f t="shared" si="27"/>
        <v>1030230</v>
      </c>
      <c r="B833" s="17">
        <v>103</v>
      </c>
      <c r="C833" s="17">
        <v>230</v>
      </c>
      <c r="D833" s="17" t="s">
        <v>917</v>
      </c>
      <c r="E833" s="17">
        <v>2189858363</v>
      </c>
      <c r="F833" s="17" t="s">
        <v>918</v>
      </c>
      <c r="G833" s="17">
        <v>2189858363</v>
      </c>
      <c r="H833" s="17" t="s">
        <v>919</v>
      </c>
      <c r="I833" s="17">
        <v>2189858363</v>
      </c>
    </row>
    <row r="834" spans="1:9" x14ac:dyDescent="0.3">
      <c r="A834" s="17" t="str">
        <f t="shared" si="27"/>
        <v>1030231</v>
      </c>
      <c r="B834" s="17">
        <v>103</v>
      </c>
      <c r="C834" s="17">
        <v>231</v>
      </c>
      <c r="D834" s="17" t="s">
        <v>917</v>
      </c>
      <c r="E834" s="17">
        <v>2212975463</v>
      </c>
      <c r="F834" s="17" t="s">
        <v>918</v>
      </c>
      <c r="G834" s="17">
        <v>2212975463</v>
      </c>
      <c r="H834" s="17" t="s">
        <v>919</v>
      </c>
      <c r="I834" s="17">
        <v>2212975463</v>
      </c>
    </row>
    <row r="835" spans="1:9" x14ac:dyDescent="0.3">
      <c r="A835" s="17" t="str">
        <f t="shared" si="27"/>
        <v>1030232</v>
      </c>
      <c r="B835" s="17">
        <v>103</v>
      </c>
      <c r="C835" s="17">
        <v>232</v>
      </c>
      <c r="D835" s="17" t="s">
        <v>917</v>
      </c>
      <c r="E835" s="17">
        <v>2361312712</v>
      </c>
      <c r="F835" s="17" t="s">
        <v>918</v>
      </c>
      <c r="G835" s="17">
        <v>2361312712</v>
      </c>
      <c r="H835" s="17" t="s">
        <v>919</v>
      </c>
      <c r="I835" s="17">
        <v>2361312712</v>
      </c>
    </row>
    <row r="836" spans="1:9" x14ac:dyDescent="0.3">
      <c r="A836" s="17" t="str">
        <f t="shared" ref="A836:A899" si="28">B836&amp;TEXT(C836,"0000")</f>
        <v>1030233</v>
      </c>
      <c r="B836" s="17">
        <v>103</v>
      </c>
      <c r="C836" s="17">
        <v>233</v>
      </c>
      <c r="D836" s="17" t="s">
        <v>917</v>
      </c>
      <c r="E836" s="17">
        <v>2519696989</v>
      </c>
      <c r="F836" s="17" t="s">
        <v>918</v>
      </c>
      <c r="G836" s="17">
        <v>2519696989</v>
      </c>
      <c r="H836" s="17" t="s">
        <v>919</v>
      </c>
      <c r="I836" s="17">
        <v>2519696989</v>
      </c>
    </row>
    <row r="837" spans="1:9" x14ac:dyDescent="0.3">
      <c r="A837" s="17" t="str">
        <f t="shared" si="28"/>
        <v>1030234</v>
      </c>
      <c r="B837" s="17">
        <v>103</v>
      </c>
      <c r="C837" s="17">
        <v>234</v>
      </c>
      <c r="D837" s="17" t="s">
        <v>917</v>
      </c>
      <c r="E837" s="17">
        <v>2546170030</v>
      </c>
      <c r="F837" s="17" t="s">
        <v>918</v>
      </c>
      <c r="G837" s="17">
        <v>2546170030</v>
      </c>
      <c r="H837" s="17" t="s">
        <v>919</v>
      </c>
      <c r="I837" s="17">
        <v>2546170030</v>
      </c>
    </row>
    <row r="838" spans="1:9" x14ac:dyDescent="0.3">
      <c r="A838" s="17" t="str">
        <f t="shared" si="28"/>
        <v>1030235</v>
      </c>
      <c r="B838" s="17">
        <v>103</v>
      </c>
      <c r="C838" s="17">
        <v>235</v>
      </c>
      <c r="D838" s="17" t="s">
        <v>917</v>
      </c>
      <c r="E838" s="17">
        <v>2717059856</v>
      </c>
      <c r="F838" s="17" t="s">
        <v>918</v>
      </c>
      <c r="G838" s="17">
        <v>2717059856</v>
      </c>
      <c r="H838" s="17" t="s">
        <v>919</v>
      </c>
      <c r="I838" s="17">
        <v>2717059856</v>
      </c>
    </row>
    <row r="839" spans="1:9" x14ac:dyDescent="0.3">
      <c r="A839" s="17" t="str">
        <f t="shared" si="28"/>
        <v>1030236</v>
      </c>
      <c r="B839" s="17">
        <v>103</v>
      </c>
      <c r="C839" s="17">
        <v>236</v>
      </c>
      <c r="D839" s="17" t="s">
        <v>917</v>
      </c>
      <c r="E839" s="17">
        <v>2745478820</v>
      </c>
      <c r="F839" s="17" t="s">
        <v>918</v>
      </c>
      <c r="G839" s="17">
        <v>2745478820</v>
      </c>
      <c r="H839" s="17" t="s">
        <v>919</v>
      </c>
      <c r="I839" s="17">
        <v>2745478820</v>
      </c>
    </row>
    <row r="840" spans="1:9" x14ac:dyDescent="0.3">
      <c r="A840" s="17" t="str">
        <f t="shared" si="28"/>
        <v>1030237</v>
      </c>
      <c r="B840" s="17">
        <v>103</v>
      </c>
      <c r="C840" s="17">
        <v>237</v>
      </c>
      <c r="D840" s="17" t="s">
        <v>917</v>
      </c>
      <c r="E840" s="17">
        <v>2929860354</v>
      </c>
      <c r="F840" s="17" t="s">
        <v>918</v>
      </c>
      <c r="G840" s="17">
        <v>2929860354</v>
      </c>
      <c r="H840" s="17" t="s">
        <v>919</v>
      </c>
      <c r="I840" s="17">
        <v>2929860354</v>
      </c>
    </row>
    <row r="841" spans="1:9" x14ac:dyDescent="0.3">
      <c r="A841" s="17" t="str">
        <f t="shared" si="28"/>
        <v>1030238</v>
      </c>
      <c r="B841" s="17">
        <v>103</v>
      </c>
      <c r="C841" s="17">
        <v>238</v>
      </c>
      <c r="D841" s="17" t="s">
        <v>917</v>
      </c>
      <c r="E841" s="17">
        <v>3126752062</v>
      </c>
      <c r="F841" s="17" t="s">
        <v>918</v>
      </c>
      <c r="G841" s="17">
        <v>3126752062</v>
      </c>
      <c r="H841" s="17" t="s">
        <v>919</v>
      </c>
      <c r="I841" s="17">
        <v>3126752062</v>
      </c>
    </row>
    <row r="842" spans="1:9" x14ac:dyDescent="0.3">
      <c r="A842" s="17" t="str">
        <f t="shared" si="28"/>
        <v>1030239</v>
      </c>
      <c r="B842" s="17">
        <v>103</v>
      </c>
      <c r="C842" s="17">
        <v>239</v>
      </c>
      <c r="D842" s="17" t="s">
        <v>917</v>
      </c>
      <c r="E842" s="17">
        <v>3159306988</v>
      </c>
      <c r="F842" s="17" t="s">
        <v>918</v>
      </c>
      <c r="G842" s="17">
        <v>3159306988</v>
      </c>
      <c r="H842" s="17" t="s">
        <v>919</v>
      </c>
      <c r="I842" s="17">
        <v>3159306988</v>
      </c>
    </row>
    <row r="843" spans="1:9" x14ac:dyDescent="0.3">
      <c r="A843" s="17" t="str">
        <f t="shared" si="28"/>
        <v>1030240</v>
      </c>
      <c r="B843" s="17">
        <v>103</v>
      </c>
      <c r="C843" s="17">
        <v>240</v>
      </c>
      <c r="D843" s="17" t="s">
        <v>917</v>
      </c>
      <c r="E843" s="17">
        <v>3371749712</v>
      </c>
      <c r="F843" s="17" t="s">
        <v>918</v>
      </c>
      <c r="G843" s="17">
        <v>3371749712</v>
      </c>
      <c r="H843" s="17" t="s">
        <v>919</v>
      </c>
      <c r="I843" s="17">
        <v>3371749712</v>
      </c>
    </row>
    <row r="844" spans="1:9" x14ac:dyDescent="0.3">
      <c r="A844" s="17" t="str">
        <f t="shared" si="28"/>
        <v>1030241</v>
      </c>
      <c r="B844" s="17">
        <v>103</v>
      </c>
      <c r="C844" s="17">
        <v>241</v>
      </c>
      <c r="D844" s="17" t="s">
        <v>917</v>
      </c>
      <c r="E844" s="17">
        <v>3406703062</v>
      </c>
      <c r="F844" s="17" t="s">
        <v>918</v>
      </c>
      <c r="G844" s="17">
        <v>3406703062</v>
      </c>
      <c r="H844" s="17" t="s">
        <v>919</v>
      </c>
      <c r="I844" s="17">
        <v>3406703062</v>
      </c>
    </row>
    <row r="845" spans="1:9" x14ac:dyDescent="0.3">
      <c r="A845" s="17" t="str">
        <f t="shared" si="28"/>
        <v>1030242</v>
      </c>
      <c r="B845" s="17">
        <v>103</v>
      </c>
      <c r="C845" s="17">
        <v>242</v>
      </c>
      <c r="D845" s="17" t="s">
        <v>917</v>
      </c>
      <c r="E845" s="17">
        <v>3635923854</v>
      </c>
      <c r="F845" s="17" t="s">
        <v>918</v>
      </c>
      <c r="G845" s="17">
        <v>3635923854</v>
      </c>
      <c r="H845" s="17" t="s">
        <v>919</v>
      </c>
      <c r="I845" s="17">
        <v>3635923854</v>
      </c>
    </row>
    <row r="846" spans="1:9" x14ac:dyDescent="0.3">
      <c r="A846" s="17" t="str">
        <f t="shared" si="28"/>
        <v>1030243</v>
      </c>
      <c r="B846" s="17">
        <v>103</v>
      </c>
      <c r="C846" s="17">
        <v>243</v>
      </c>
      <c r="D846" s="17" t="s">
        <v>917</v>
      </c>
      <c r="E846" s="17">
        <v>3673454132</v>
      </c>
      <c r="F846" s="17" t="s">
        <v>918</v>
      </c>
      <c r="G846" s="17">
        <v>3673454132</v>
      </c>
      <c r="H846" s="17" t="s">
        <v>919</v>
      </c>
      <c r="I846" s="17">
        <v>3673454132</v>
      </c>
    </row>
    <row r="847" spans="1:9" x14ac:dyDescent="0.3">
      <c r="A847" s="17" t="str">
        <f t="shared" si="28"/>
        <v>1030244</v>
      </c>
      <c r="B847" s="17">
        <v>103</v>
      </c>
      <c r="C847" s="17">
        <v>244</v>
      </c>
      <c r="D847" s="17" t="s">
        <v>917</v>
      </c>
      <c r="E847" s="17">
        <v>3920776938</v>
      </c>
      <c r="F847" s="17" t="s">
        <v>918</v>
      </c>
      <c r="G847" s="17">
        <v>3920776938</v>
      </c>
      <c r="H847" s="17" t="s">
        <v>919</v>
      </c>
      <c r="I847" s="17">
        <v>3920776938</v>
      </c>
    </row>
    <row r="848" spans="1:9" x14ac:dyDescent="0.3">
      <c r="A848" s="17" t="str">
        <f t="shared" si="28"/>
        <v>1030245</v>
      </c>
      <c r="B848" s="17">
        <v>103</v>
      </c>
      <c r="C848" s="17">
        <v>245</v>
      </c>
      <c r="D848" s="17" t="s">
        <v>917</v>
      </c>
      <c r="E848" s="17">
        <v>4184919222</v>
      </c>
      <c r="F848" s="17" t="s">
        <v>918</v>
      </c>
      <c r="G848" s="17">
        <v>4184919222</v>
      </c>
      <c r="H848" s="17" t="s">
        <v>919</v>
      </c>
      <c r="I848" s="17">
        <v>4184919222</v>
      </c>
    </row>
    <row r="849" spans="1:9" x14ac:dyDescent="0.3">
      <c r="A849" s="17" t="str">
        <f t="shared" si="28"/>
        <v>1030246</v>
      </c>
      <c r="B849" s="17">
        <v>103</v>
      </c>
      <c r="C849" s="17">
        <v>246</v>
      </c>
      <c r="D849" s="17" t="s">
        <v>917</v>
      </c>
      <c r="E849" s="17">
        <v>4227929381</v>
      </c>
      <c r="F849" s="17" t="s">
        <v>918</v>
      </c>
      <c r="G849" s="17">
        <v>4227929381</v>
      </c>
      <c r="H849" s="17" t="s">
        <v>919</v>
      </c>
      <c r="I849" s="17">
        <v>4227929381</v>
      </c>
    </row>
    <row r="850" spans="1:9" x14ac:dyDescent="0.3">
      <c r="A850" s="17" t="str">
        <f t="shared" si="28"/>
        <v>1030247</v>
      </c>
      <c r="B850" s="17">
        <v>103</v>
      </c>
      <c r="C850" s="17">
        <v>247</v>
      </c>
      <c r="D850" s="17" t="s">
        <v>917</v>
      </c>
      <c r="E850" s="17">
        <v>4512940759</v>
      </c>
      <c r="F850" s="17" t="s">
        <v>918</v>
      </c>
      <c r="G850" s="17">
        <v>4512940759</v>
      </c>
      <c r="H850" s="17" t="s">
        <v>919</v>
      </c>
      <c r="I850" s="17">
        <v>4512940759</v>
      </c>
    </row>
    <row r="851" spans="1:9" x14ac:dyDescent="0.3">
      <c r="A851" s="17" t="str">
        <f t="shared" si="28"/>
        <v>1030248</v>
      </c>
      <c r="B851" s="17">
        <v>103</v>
      </c>
      <c r="C851" s="17">
        <v>248</v>
      </c>
      <c r="D851" s="17" t="s">
        <v>917</v>
      </c>
      <c r="E851" s="17">
        <v>4559128851</v>
      </c>
      <c r="F851" s="17" t="s">
        <v>918</v>
      </c>
      <c r="G851" s="17">
        <v>4559128851</v>
      </c>
      <c r="H851" s="17" t="s">
        <v>919</v>
      </c>
      <c r="I851" s="17">
        <v>4559128851</v>
      </c>
    </row>
    <row r="852" spans="1:9" x14ac:dyDescent="0.3">
      <c r="A852" s="17" t="str">
        <f t="shared" si="28"/>
        <v>1030249</v>
      </c>
      <c r="B852" s="17">
        <v>103</v>
      </c>
      <c r="C852" s="17">
        <v>249</v>
      </c>
      <c r="D852" s="17" t="s">
        <v>917</v>
      </c>
      <c r="E852" s="17">
        <v>4866657124</v>
      </c>
      <c r="F852" s="17" t="s">
        <v>918</v>
      </c>
      <c r="G852" s="17">
        <v>4866657124</v>
      </c>
      <c r="H852" s="17" t="s">
        <v>919</v>
      </c>
      <c r="I852" s="17">
        <v>4866657124</v>
      </c>
    </row>
    <row r="853" spans="1:9" x14ac:dyDescent="0.3">
      <c r="A853" s="17" t="str">
        <f t="shared" si="28"/>
        <v>1030250</v>
      </c>
      <c r="B853" s="17">
        <v>103</v>
      </c>
      <c r="C853" s="17">
        <v>250</v>
      </c>
      <c r="D853" s="17" t="s">
        <v>917</v>
      </c>
      <c r="E853" s="17">
        <v>5195135292</v>
      </c>
      <c r="F853" s="17" t="s">
        <v>918</v>
      </c>
      <c r="G853" s="17">
        <v>5195135292</v>
      </c>
      <c r="H853" s="17" t="s">
        <v>919</v>
      </c>
      <c r="I853" s="17">
        <v>5195135292</v>
      </c>
    </row>
    <row r="854" spans="1:9" x14ac:dyDescent="0.3">
      <c r="A854" s="17" t="str">
        <f t="shared" si="28"/>
        <v>1030251</v>
      </c>
      <c r="B854" s="17">
        <v>103</v>
      </c>
      <c r="C854" s="17">
        <v>251</v>
      </c>
      <c r="D854" s="17" t="s">
        <v>917</v>
      </c>
      <c r="E854" s="17">
        <v>5248083493</v>
      </c>
      <c r="F854" s="17" t="s">
        <v>918</v>
      </c>
      <c r="G854" s="17">
        <v>5248083493</v>
      </c>
      <c r="H854" s="17" t="s">
        <v>919</v>
      </c>
      <c r="I854" s="17">
        <v>5248083493</v>
      </c>
    </row>
    <row r="855" spans="1:9" x14ac:dyDescent="0.3">
      <c r="A855" s="17" t="str">
        <f t="shared" si="28"/>
        <v>1030252</v>
      </c>
      <c r="B855" s="17">
        <v>103</v>
      </c>
      <c r="C855" s="17">
        <v>252</v>
      </c>
      <c r="D855" s="17" t="s">
        <v>917</v>
      </c>
      <c r="E855" s="17">
        <v>5602524525</v>
      </c>
      <c r="F855" s="17" t="s">
        <v>918</v>
      </c>
      <c r="G855" s="17">
        <v>5602524525</v>
      </c>
      <c r="H855" s="17" t="s">
        <v>919</v>
      </c>
      <c r="I855" s="17">
        <v>5602524525</v>
      </c>
    </row>
    <row r="856" spans="1:9" x14ac:dyDescent="0.3">
      <c r="A856" s="17" t="str">
        <f t="shared" si="28"/>
        <v>1030253</v>
      </c>
      <c r="B856" s="17">
        <v>103</v>
      </c>
      <c r="C856" s="17">
        <v>253</v>
      </c>
      <c r="D856" s="17" t="s">
        <v>917</v>
      </c>
      <c r="E856" s="17">
        <v>5659393444</v>
      </c>
      <c r="F856" s="17" t="s">
        <v>918</v>
      </c>
      <c r="G856" s="17">
        <v>5659393444</v>
      </c>
      <c r="H856" s="17" t="s">
        <v>919</v>
      </c>
      <c r="I856" s="17">
        <v>5659393444</v>
      </c>
    </row>
    <row r="857" spans="1:9" x14ac:dyDescent="0.3">
      <c r="A857" s="17" t="str">
        <f t="shared" si="28"/>
        <v>1030254</v>
      </c>
      <c r="B857" s="17">
        <v>103</v>
      </c>
      <c r="C857" s="17">
        <v>254</v>
      </c>
      <c r="D857" s="17" t="s">
        <v>917</v>
      </c>
      <c r="E857" s="17">
        <v>6041848662</v>
      </c>
      <c r="F857" s="17" t="s">
        <v>918</v>
      </c>
      <c r="G857" s="17">
        <v>6041848662</v>
      </c>
      <c r="H857" s="17" t="s">
        <v>919</v>
      </c>
      <c r="I857" s="17">
        <v>6041848662</v>
      </c>
    </row>
    <row r="858" spans="1:9" x14ac:dyDescent="0.3">
      <c r="A858" s="17" t="str">
        <f t="shared" si="28"/>
        <v>1030255</v>
      </c>
      <c r="B858" s="17">
        <v>103</v>
      </c>
      <c r="C858" s="17">
        <v>255</v>
      </c>
      <c r="D858" s="17" t="s">
        <v>917</v>
      </c>
      <c r="E858" s="17">
        <v>6450402696</v>
      </c>
      <c r="F858" s="17" t="s">
        <v>918</v>
      </c>
      <c r="G858" s="17">
        <v>6450402696</v>
      </c>
      <c r="H858" s="17" t="s">
        <v>919</v>
      </c>
      <c r="I858" s="17">
        <v>6450402696</v>
      </c>
    </row>
    <row r="859" spans="1:9" x14ac:dyDescent="0.3">
      <c r="A859" s="17" t="str">
        <f t="shared" si="28"/>
        <v>1030256</v>
      </c>
      <c r="B859" s="17">
        <v>103</v>
      </c>
      <c r="C859" s="17">
        <v>256</v>
      </c>
      <c r="D859" s="17" t="s">
        <v>917</v>
      </c>
      <c r="E859" s="17">
        <v>6515614418</v>
      </c>
      <c r="F859" s="17" t="s">
        <v>918</v>
      </c>
      <c r="G859" s="17">
        <v>6515614418</v>
      </c>
      <c r="H859" s="17" t="s">
        <v>919</v>
      </c>
      <c r="I859" s="17">
        <v>6515614418</v>
      </c>
    </row>
    <row r="860" spans="1:9" x14ac:dyDescent="0.3">
      <c r="A860" s="17" t="str">
        <f t="shared" si="28"/>
        <v>1030257</v>
      </c>
      <c r="B860" s="17">
        <v>103</v>
      </c>
      <c r="C860" s="17">
        <v>257</v>
      </c>
      <c r="D860" s="17" t="s">
        <v>917</v>
      </c>
      <c r="E860" s="17">
        <v>6956474935</v>
      </c>
      <c r="F860" s="17" t="s">
        <v>918</v>
      </c>
      <c r="G860" s="17">
        <v>6956474935</v>
      </c>
      <c r="H860" s="17" t="s">
        <v>919</v>
      </c>
      <c r="I860" s="17">
        <v>6956474935</v>
      </c>
    </row>
    <row r="861" spans="1:9" x14ac:dyDescent="0.3">
      <c r="A861" s="17" t="str">
        <f t="shared" si="28"/>
        <v>1030258</v>
      </c>
      <c r="B861" s="17">
        <v>103</v>
      </c>
      <c r="C861" s="17">
        <v>258</v>
      </c>
      <c r="D861" s="17" t="s">
        <v>917</v>
      </c>
      <c r="E861" s="17">
        <v>7026525727</v>
      </c>
      <c r="F861" s="17" t="s">
        <v>918</v>
      </c>
      <c r="G861" s="17">
        <v>7026525727</v>
      </c>
      <c r="H861" s="17" t="s">
        <v>919</v>
      </c>
      <c r="I861" s="17">
        <v>7026525727</v>
      </c>
    </row>
    <row r="862" spans="1:9" x14ac:dyDescent="0.3">
      <c r="A862" s="17" t="str">
        <f t="shared" si="28"/>
        <v>1030259</v>
      </c>
      <c r="B862" s="17">
        <v>103</v>
      </c>
      <c r="C862" s="17">
        <v>259</v>
      </c>
      <c r="D862" s="17" t="s">
        <v>917</v>
      </c>
      <c r="E862" s="17">
        <v>7502246942</v>
      </c>
      <c r="F862" s="17" t="s">
        <v>918</v>
      </c>
      <c r="G862" s="17">
        <v>7502246942</v>
      </c>
      <c r="H862" s="17" t="s">
        <v>919</v>
      </c>
      <c r="I862" s="17">
        <v>7502246942</v>
      </c>
    </row>
    <row r="863" spans="1:9" x14ac:dyDescent="0.3">
      <c r="A863" s="17" t="str">
        <f t="shared" si="28"/>
        <v>1030260</v>
      </c>
      <c r="B863" s="17">
        <v>103</v>
      </c>
      <c r="C863" s="17">
        <v>260</v>
      </c>
      <c r="D863" s="17" t="s">
        <v>917</v>
      </c>
      <c r="E863" s="17">
        <v>7577499303</v>
      </c>
      <c r="F863" s="17" t="s">
        <v>918</v>
      </c>
      <c r="G863" s="17">
        <v>7577499303</v>
      </c>
      <c r="H863" s="17" t="s">
        <v>919</v>
      </c>
      <c r="I863" s="17">
        <v>7577499303</v>
      </c>
    </row>
    <row r="864" spans="1:9" x14ac:dyDescent="0.3">
      <c r="A864" s="17" t="str">
        <f t="shared" si="28"/>
        <v>1030261</v>
      </c>
      <c r="B864" s="17">
        <v>103</v>
      </c>
      <c r="C864" s="17">
        <v>261</v>
      </c>
      <c r="D864" s="17" t="s">
        <v>917</v>
      </c>
      <c r="E864" s="17">
        <v>8090837618</v>
      </c>
      <c r="F864" s="17" t="s">
        <v>918</v>
      </c>
      <c r="G864" s="17">
        <v>8090837618</v>
      </c>
      <c r="H864" s="17" t="s">
        <v>919</v>
      </c>
      <c r="I864" s="17">
        <v>8090837618</v>
      </c>
    </row>
    <row r="865" spans="1:9" x14ac:dyDescent="0.3">
      <c r="A865" s="17" t="str">
        <f t="shared" si="28"/>
        <v>1030262</v>
      </c>
      <c r="B865" s="17">
        <v>103</v>
      </c>
      <c r="C865" s="17">
        <v>262</v>
      </c>
      <c r="D865" s="17" t="s">
        <v>917</v>
      </c>
      <c r="E865" s="17">
        <v>8639285631</v>
      </c>
      <c r="F865" s="17" t="s">
        <v>918</v>
      </c>
      <c r="G865" s="17">
        <v>8639285631</v>
      </c>
      <c r="H865" s="17" t="s">
        <v>919</v>
      </c>
      <c r="I865" s="17">
        <v>8639285631</v>
      </c>
    </row>
    <row r="866" spans="1:9" x14ac:dyDescent="0.3">
      <c r="A866" s="17" t="str">
        <f t="shared" si="28"/>
        <v>1030263</v>
      </c>
      <c r="B866" s="17">
        <v>103</v>
      </c>
      <c r="C866" s="17">
        <v>263</v>
      </c>
      <c r="D866" s="17" t="s">
        <v>917</v>
      </c>
      <c r="E866" s="17">
        <v>8725611474</v>
      </c>
      <c r="F866" s="17" t="s">
        <v>918</v>
      </c>
      <c r="G866" s="17">
        <v>8725611474</v>
      </c>
      <c r="H866" s="17" t="s">
        <v>919</v>
      </c>
      <c r="I866" s="17">
        <v>8725611474</v>
      </c>
    </row>
    <row r="867" spans="1:9" x14ac:dyDescent="0.3">
      <c r="A867" s="17" t="str">
        <f t="shared" si="28"/>
        <v>1030264</v>
      </c>
      <c r="B867" s="17">
        <v>103</v>
      </c>
      <c r="C867" s="17">
        <v>264</v>
      </c>
      <c r="D867" s="17" t="s">
        <v>917</v>
      </c>
      <c r="E867" s="17">
        <v>9317448851</v>
      </c>
      <c r="F867" s="17" t="s">
        <v>918</v>
      </c>
      <c r="G867" s="17">
        <v>9317448851</v>
      </c>
      <c r="H867" s="17" t="s">
        <v>919</v>
      </c>
      <c r="I867" s="17">
        <v>9317448851</v>
      </c>
    </row>
    <row r="868" spans="1:9" x14ac:dyDescent="0.3">
      <c r="A868" s="17" t="str">
        <f t="shared" si="28"/>
        <v>1030265</v>
      </c>
      <c r="B868" s="17">
        <v>103</v>
      </c>
      <c r="C868" s="17">
        <v>265</v>
      </c>
      <c r="D868" s="17" t="s">
        <v>917</v>
      </c>
      <c r="E868" s="17">
        <v>9410198030</v>
      </c>
      <c r="F868" s="17" t="s">
        <v>918</v>
      </c>
      <c r="G868" s="17">
        <v>9410198030</v>
      </c>
      <c r="H868" s="17" t="s">
        <v>919</v>
      </c>
      <c r="I868" s="17">
        <v>9410198030</v>
      </c>
    </row>
    <row r="869" spans="1:9" x14ac:dyDescent="0.3">
      <c r="A869" s="17" t="str">
        <f t="shared" si="28"/>
        <v>1030266</v>
      </c>
      <c r="B869" s="17">
        <v>103</v>
      </c>
      <c r="C869" s="17">
        <v>266</v>
      </c>
      <c r="D869" s="17" t="s">
        <v>917</v>
      </c>
      <c r="E869" s="17">
        <v>10048857866</v>
      </c>
      <c r="F869" s="17" t="s">
        <v>918</v>
      </c>
      <c r="G869" s="17">
        <v>10048857866</v>
      </c>
      <c r="H869" s="17" t="s">
        <v>919</v>
      </c>
      <c r="I869" s="17">
        <v>10048857866</v>
      </c>
    </row>
    <row r="870" spans="1:9" x14ac:dyDescent="0.3">
      <c r="A870" s="17" t="str">
        <f t="shared" si="28"/>
        <v>1030267</v>
      </c>
      <c r="B870" s="17">
        <v>103</v>
      </c>
      <c r="C870" s="17">
        <v>267</v>
      </c>
      <c r="D870" s="17" t="s">
        <v>917</v>
      </c>
      <c r="E870" s="17">
        <v>10731272377</v>
      </c>
      <c r="F870" s="17" t="s">
        <v>918</v>
      </c>
      <c r="G870" s="17">
        <v>10731272377</v>
      </c>
      <c r="H870" s="17" t="s">
        <v>919</v>
      </c>
      <c r="I870" s="17">
        <v>10731272377</v>
      </c>
    </row>
    <row r="871" spans="1:9" x14ac:dyDescent="0.3">
      <c r="A871" s="17" t="str">
        <f t="shared" si="28"/>
        <v>1030268</v>
      </c>
      <c r="B871" s="17">
        <v>103</v>
      </c>
      <c r="C871" s="17">
        <v>268</v>
      </c>
      <c r="D871" s="17" t="s">
        <v>917</v>
      </c>
      <c r="E871" s="17">
        <v>10837700152</v>
      </c>
      <c r="F871" s="17" t="s">
        <v>918</v>
      </c>
      <c r="G871" s="17">
        <v>10837700152</v>
      </c>
      <c r="H871" s="17" t="s">
        <v>919</v>
      </c>
      <c r="I871" s="17">
        <v>10837700152</v>
      </c>
    </row>
    <row r="872" spans="1:9" x14ac:dyDescent="0.3">
      <c r="A872" s="17" t="str">
        <f t="shared" si="28"/>
        <v>1030269</v>
      </c>
      <c r="B872" s="17">
        <v>103</v>
      </c>
      <c r="C872" s="17">
        <v>269</v>
      </c>
      <c r="D872" s="17" t="s">
        <v>917</v>
      </c>
      <c r="E872" s="17">
        <v>11574130373</v>
      </c>
      <c r="F872" s="17" t="s">
        <v>918</v>
      </c>
      <c r="G872" s="17">
        <v>11574130373</v>
      </c>
      <c r="H872" s="17" t="s">
        <v>919</v>
      </c>
      <c r="I872" s="17">
        <v>11574130373</v>
      </c>
    </row>
    <row r="873" spans="1:9" x14ac:dyDescent="0.3">
      <c r="A873" s="17" t="str">
        <f t="shared" si="28"/>
        <v>1030270</v>
      </c>
      <c r="B873" s="17">
        <v>103</v>
      </c>
      <c r="C873" s="17">
        <v>270</v>
      </c>
      <c r="D873" s="17" t="s">
        <v>917</v>
      </c>
      <c r="E873" s="17">
        <v>11688493320</v>
      </c>
      <c r="F873" s="17" t="s">
        <v>918</v>
      </c>
      <c r="G873" s="17">
        <v>11688493320</v>
      </c>
      <c r="H873" s="17" t="s">
        <v>919</v>
      </c>
      <c r="I873" s="17">
        <v>11688493320</v>
      </c>
    </row>
    <row r="874" spans="1:9" x14ac:dyDescent="0.3">
      <c r="A874" s="17" t="str">
        <f t="shared" si="28"/>
        <v>1030271</v>
      </c>
      <c r="B874" s="17">
        <v>103</v>
      </c>
      <c r="C874" s="17">
        <v>271</v>
      </c>
      <c r="D874" s="17" t="s">
        <v>917</v>
      </c>
      <c r="E874" s="17">
        <v>12483216101</v>
      </c>
      <c r="F874" s="17" t="s">
        <v>918</v>
      </c>
      <c r="G874" s="17">
        <v>12483216101</v>
      </c>
      <c r="H874" s="17" t="s">
        <v>919</v>
      </c>
      <c r="I874" s="17">
        <v>12483216101</v>
      </c>
    </row>
    <row r="875" spans="1:9" x14ac:dyDescent="0.3">
      <c r="A875" s="17" t="str">
        <f t="shared" si="28"/>
        <v>1030272</v>
      </c>
      <c r="B875" s="17">
        <v>103</v>
      </c>
      <c r="C875" s="17">
        <v>272</v>
      </c>
      <c r="D875" s="17" t="s">
        <v>917</v>
      </c>
      <c r="E875" s="17">
        <v>13332476520</v>
      </c>
      <c r="F875" s="17" t="s">
        <v>918</v>
      </c>
      <c r="G875" s="17">
        <v>13332476520</v>
      </c>
      <c r="H875" s="17" t="s">
        <v>919</v>
      </c>
      <c r="I875" s="17">
        <v>13332476520</v>
      </c>
    </row>
    <row r="876" spans="1:9" x14ac:dyDescent="0.3">
      <c r="A876" s="17" t="str">
        <f t="shared" si="28"/>
        <v>1030273</v>
      </c>
      <c r="B876" s="17">
        <v>103</v>
      </c>
      <c r="C876" s="17">
        <v>273</v>
      </c>
      <c r="D876" s="17" t="s">
        <v>917</v>
      </c>
      <c r="E876" s="17">
        <v>13463742548</v>
      </c>
      <c r="F876" s="17" t="s">
        <v>918</v>
      </c>
      <c r="G876" s="17">
        <v>13463742548</v>
      </c>
      <c r="H876" s="17" t="s">
        <v>919</v>
      </c>
      <c r="I876" s="17">
        <v>13463742548</v>
      </c>
    </row>
    <row r="877" spans="1:9" x14ac:dyDescent="0.3">
      <c r="A877" s="17" t="str">
        <f t="shared" si="28"/>
        <v>1030274</v>
      </c>
      <c r="B877" s="17">
        <v>103</v>
      </c>
      <c r="C877" s="17">
        <v>274</v>
      </c>
      <c r="D877" s="17" t="s">
        <v>917</v>
      </c>
      <c r="E877" s="17">
        <v>14380261426</v>
      </c>
      <c r="F877" s="17" t="s">
        <v>918</v>
      </c>
      <c r="G877" s="17">
        <v>14380261426</v>
      </c>
      <c r="H877" s="17" t="s">
        <v>919</v>
      </c>
      <c r="I877" s="17">
        <v>14380261426</v>
      </c>
    </row>
    <row r="878" spans="1:9" x14ac:dyDescent="0.3">
      <c r="A878" s="17" t="str">
        <f t="shared" si="28"/>
        <v>1030275</v>
      </c>
      <c r="B878" s="17">
        <v>103</v>
      </c>
      <c r="C878" s="17">
        <v>275</v>
      </c>
      <c r="D878" s="17" t="s">
        <v>917</v>
      </c>
      <c r="E878" s="17">
        <v>14521334064</v>
      </c>
      <c r="F878" s="17" t="s">
        <v>918</v>
      </c>
      <c r="G878" s="17">
        <v>14521334064</v>
      </c>
      <c r="H878" s="17" t="s">
        <v>919</v>
      </c>
      <c r="I878" s="17">
        <v>14521334064</v>
      </c>
    </row>
    <row r="879" spans="1:9" x14ac:dyDescent="0.3">
      <c r="A879" s="17" t="str">
        <f t="shared" si="28"/>
        <v>1030276</v>
      </c>
      <c r="B879" s="17">
        <v>103</v>
      </c>
      <c r="C879" s="17">
        <v>276</v>
      </c>
      <c r="D879" s="17" t="s">
        <v>917</v>
      </c>
      <c r="E879" s="17">
        <v>15510440543</v>
      </c>
      <c r="F879" s="17" t="s">
        <v>918</v>
      </c>
      <c r="G879" s="17">
        <v>15510440543</v>
      </c>
      <c r="H879" s="17" t="s">
        <v>919</v>
      </c>
      <c r="I879" s="17">
        <v>15510440543</v>
      </c>
    </row>
    <row r="880" spans="1:9" x14ac:dyDescent="0.3">
      <c r="A880" s="17" t="str">
        <f t="shared" si="28"/>
        <v>1030277</v>
      </c>
      <c r="B880" s="17">
        <v>103</v>
      </c>
      <c r="C880" s="17">
        <v>277</v>
      </c>
      <c r="D880" s="17" t="s">
        <v>917</v>
      </c>
      <c r="E880" s="17">
        <v>15662058930</v>
      </c>
      <c r="F880" s="17" t="s">
        <v>918</v>
      </c>
      <c r="G880" s="17">
        <v>15662058930</v>
      </c>
      <c r="H880" s="17" t="s">
        <v>919</v>
      </c>
      <c r="I880" s="17">
        <v>15662058930</v>
      </c>
    </row>
    <row r="881" spans="1:9" x14ac:dyDescent="0.3">
      <c r="A881" s="17" t="str">
        <f t="shared" si="28"/>
        <v>1030278</v>
      </c>
      <c r="B881" s="17">
        <v>103</v>
      </c>
      <c r="C881" s="17">
        <v>278</v>
      </c>
      <c r="D881" s="17" t="s">
        <v>917</v>
      </c>
      <c r="E881" s="17">
        <v>16729505058</v>
      </c>
      <c r="F881" s="17" t="s">
        <v>918</v>
      </c>
      <c r="G881" s="17">
        <v>16729505058</v>
      </c>
      <c r="H881" s="17" t="s">
        <v>919</v>
      </c>
      <c r="I881" s="17">
        <v>16729505058</v>
      </c>
    </row>
    <row r="882" spans="1:9" x14ac:dyDescent="0.3">
      <c r="A882" s="17" t="str">
        <f t="shared" si="28"/>
        <v>1030279</v>
      </c>
      <c r="B882" s="17">
        <v>103</v>
      </c>
      <c r="C882" s="17">
        <v>279</v>
      </c>
      <c r="D882" s="17" t="s">
        <v>917</v>
      </c>
      <c r="E882" s="17">
        <v>17870366635</v>
      </c>
      <c r="F882" s="17" t="s">
        <v>918</v>
      </c>
      <c r="G882" s="17">
        <v>17870366635</v>
      </c>
      <c r="H882" s="17" t="s">
        <v>919</v>
      </c>
      <c r="I882" s="17">
        <v>17870366635</v>
      </c>
    </row>
    <row r="883" spans="1:9" x14ac:dyDescent="0.3">
      <c r="A883" s="17" t="str">
        <f t="shared" si="28"/>
        <v>1030280</v>
      </c>
      <c r="B883" s="17">
        <v>103</v>
      </c>
      <c r="C883" s="17">
        <v>280</v>
      </c>
      <c r="D883" s="17" t="s">
        <v>917</v>
      </c>
      <c r="E883" s="17">
        <v>18044458868</v>
      </c>
      <c r="F883" s="17" t="s">
        <v>918</v>
      </c>
      <c r="G883" s="17">
        <v>18044458868</v>
      </c>
      <c r="H883" s="17" t="s">
        <v>919</v>
      </c>
      <c r="I883" s="17">
        <v>18044458868</v>
      </c>
    </row>
    <row r="884" spans="1:9" x14ac:dyDescent="0.3">
      <c r="A884" s="17" t="str">
        <f t="shared" si="28"/>
        <v>1030281</v>
      </c>
      <c r="B884" s="17">
        <v>103</v>
      </c>
      <c r="C884" s="17">
        <v>281</v>
      </c>
      <c r="D884" s="17" t="s">
        <v>917</v>
      </c>
      <c r="E884" s="17">
        <v>19275727528</v>
      </c>
      <c r="F884" s="17" t="s">
        <v>918</v>
      </c>
      <c r="G884" s="17">
        <v>19275727528</v>
      </c>
      <c r="H884" s="17" t="s">
        <v>919</v>
      </c>
      <c r="I884" s="17">
        <v>19275727528</v>
      </c>
    </row>
    <row r="885" spans="1:9" x14ac:dyDescent="0.3">
      <c r="A885" s="17" t="str">
        <f t="shared" si="28"/>
        <v>1030282</v>
      </c>
      <c r="B885" s="17">
        <v>103</v>
      </c>
      <c r="C885" s="17">
        <v>282</v>
      </c>
      <c r="D885" s="17" t="s">
        <v>917</v>
      </c>
      <c r="E885" s="17">
        <v>19462859194</v>
      </c>
      <c r="F885" s="17" t="s">
        <v>918</v>
      </c>
      <c r="G885" s="17">
        <v>19462859194</v>
      </c>
      <c r="H885" s="17" t="s">
        <v>919</v>
      </c>
      <c r="I885" s="17">
        <v>19462859194</v>
      </c>
    </row>
    <row r="886" spans="1:9" x14ac:dyDescent="0.3">
      <c r="A886" s="17" t="str">
        <f t="shared" si="28"/>
        <v>1030283</v>
      </c>
      <c r="B886" s="17">
        <v>103</v>
      </c>
      <c r="C886" s="17">
        <v>283</v>
      </c>
      <c r="D886" s="17" t="s">
        <v>917</v>
      </c>
      <c r="E886" s="17">
        <v>20791704224</v>
      </c>
      <c r="F886" s="17" t="s">
        <v>918</v>
      </c>
      <c r="G886" s="17">
        <v>20791704224</v>
      </c>
      <c r="H886" s="17" t="s">
        <v>919</v>
      </c>
      <c r="I886" s="17">
        <v>20791704224</v>
      </c>
    </row>
    <row r="887" spans="1:9" x14ac:dyDescent="0.3">
      <c r="A887" s="17" t="str">
        <f t="shared" si="28"/>
        <v>1030284</v>
      </c>
      <c r="B887" s="17">
        <v>103</v>
      </c>
      <c r="C887" s="17">
        <v>284</v>
      </c>
      <c r="D887" s="17" t="s">
        <v>917</v>
      </c>
      <c r="E887" s="17">
        <v>22212092980</v>
      </c>
      <c r="F887" s="17" t="s">
        <v>918</v>
      </c>
      <c r="G887" s="17">
        <v>22212092980</v>
      </c>
      <c r="H887" s="17" t="s">
        <v>919</v>
      </c>
      <c r="I887" s="17">
        <v>22212092980</v>
      </c>
    </row>
    <row r="888" spans="1:9" x14ac:dyDescent="0.3">
      <c r="A888" s="17" t="str">
        <f t="shared" si="28"/>
        <v>1030285</v>
      </c>
      <c r="B888" s="17">
        <v>103</v>
      </c>
      <c r="C888" s="17">
        <v>285</v>
      </c>
      <c r="D888" s="17" t="s">
        <v>917</v>
      </c>
      <c r="E888" s="17">
        <v>22427020607</v>
      </c>
      <c r="F888" s="17" t="s">
        <v>918</v>
      </c>
      <c r="G888" s="17">
        <v>22427020607</v>
      </c>
      <c r="H888" s="17" t="s">
        <v>919</v>
      </c>
      <c r="I888" s="17">
        <v>22427020607</v>
      </c>
    </row>
    <row r="889" spans="1:9" x14ac:dyDescent="0.3">
      <c r="A889" s="17" t="str">
        <f t="shared" si="28"/>
        <v>1030286</v>
      </c>
      <c r="B889" s="17">
        <v>103</v>
      </c>
      <c r="C889" s="17">
        <v>286</v>
      </c>
      <c r="D889" s="17" t="s">
        <v>917</v>
      </c>
      <c r="E889" s="17">
        <v>23960034011</v>
      </c>
      <c r="F889" s="17" t="s">
        <v>918</v>
      </c>
      <c r="G889" s="17">
        <v>23960034011</v>
      </c>
      <c r="H889" s="17" t="s">
        <v>919</v>
      </c>
      <c r="I889" s="17">
        <v>23960034011</v>
      </c>
    </row>
    <row r="890" spans="1:9" x14ac:dyDescent="0.3">
      <c r="A890" s="17" t="str">
        <f t="shared" si="28"/>
        <v>1030287</v>
      </c>
      <c r="B890" s="17">
        <v>103</v>
      </c>
      <c r="C890" s="17">
        <v>287</v>
      </c>
      <c r="D890" s="17" t="s">
        <v>917</v>
      </c>
      <c r="E890" s="17">
        <v>24191090409</v>
      </c>
      <c r="F890" s="17" t="s">
        <v>918</v>
      </c>
      <c r="G890" s="17">
        <v>24191090409</v>
      </c>
      <c r="H890" s="17" t="s">
        <v>919</v>
      </c>
      <c r="I890" s="17">
        <v>24191090409</v>
      </c>
    </row>
    <row r="891" spans="1:9" x14ac:dyDescent="0.3">
      <c r="A891" s="17" t="str">
        <f t="shared" si="28"/>
        <v>1030288</v>
      </c>
      <c r="B891" s="17">
        <v>103</v>
      </c>
      <c r="C891" s="17">
        <v>288</v>
      </c>
      <c r="D891" s="17" t="s">
        <v>917</v>
      </c>
      <c r="E891" s="17">
        <v>25845666125</v>
      </c>
      <c r="F891" s="17" t="s">
        <v>918</v>
      </c>
      <c r="G891" s="17">
        <v>25845666125</v>
      </c>
      <c r="H891" s="17" t="s">
        <v>919</v>
      </c>
      <c r="I891" s="17">
        <v>25845666125</v>
      </c>
    </row>
    <row r="892" spans="1:9" x14ac:dyDescent="0.3">
      <c r="A892" s="17" t="str">
        <f t="shared" si="28"/>
        <v>1030289</v>
      </c>
      <c r="B892" s="17">
        <v>103</v>
      </c>
      <c r="C892" s="17">
        <v>289</v>
      </c>
      <c r="D892" s="17" t="s">
        <v>917</v>
      </c>
      <c r="E892" s="17">
        <v>27614410720</v>
      </c>
      <c r="F892" s="17" t="s">
        <v>918</v>
      </c>
      <c r="G892" s="17">
        <v>27614410720</v>
      </c>
      <c r="H892" s="17" t="s">
        <v>919</v>
      </c>
      <c r="I892" s="17">
        <v>27614410720</v>
      </c>
    </row>
    <row r="893" spans="1:9" x14ac:dyDescent="0.3">
      <c r="A893" s="17" t="str">
        <f t="shared" si="28"/>
        <v>1030290</v>
      </c>
      <c r="B893" s="17">
        <v>103</v>
      </c>
      <c r="C893" s="17">
        <v>290</v>
      </c>
      <c r="D893" s="17" t="s">
        <v>917</v>
      </c>
      <c r="E893" s="17">
        <v>27879858150</v>
      </c>
      <c r="F893" s="17" t="s">
        <v>918</v>
      </c>
      <c r="G893" s="17">
        <v>27879858150</v>
      </c>
      <c r="H893" s="17" t="s">
        <v>919</v>
      </c>
      <c r="I893" s="17">
        <v>27879858150</v>
      </c>
    </row>
    <row r="894" spans="1:9" x14ac:dyDescent="0.3">
      <c r="A894" s="17" t="str">
        <f t="shared" si="28"/>
        <v>1030291</v>
      </c>
      <c r="B894" s="17">
        <v>103</v>
      </c>
      <c r="C894" s="17">
        <v>291</v>
      </c>
      <c r="D894" s="17" t="s">
        <v>917</v>
      </c>
      <c r="E894" s="17">
        <v>29788934393</v>
      </c>
      <c r="F894" s="17" t="s">
        <v>918</v>
      </c>
      <c r="G894" s="17">
        <v>29788934393</v>
      </c>
      <c r="H894" s="17" t="s">
        <v>919</v>
      </c>
      <c r="I894" s="17">
        <v>29788934393</v>
      </c>
    </row>
    <row r="895" spans="1:9" x14ac:dyDescent="0.3">
      <c r="A895" s="17" t="str">
        <f t="shared" si="28"/>
        <v>1030292</v>
      </c>
      <c r="B895" s="17">
        <v>103</v>
      </c>
      <c r="C895" s="17">
        <v>292</v>
      </c>
      <c r="D895" s="17" t="s">
        <v>917</v>
      </c>
      <c r="E895" s="17">
        <v>30074339170</v>
      </c>
      <c r="F895" s="17" t="s">
        <v>918</v>
      </c>
      <c r="G895" s="17">
        <v>30074339170</v>
      </c>
      <c r="H895" s="17" t="s">
        <v>919</v>
      </c>
      <c r="I895" s="17">
        <v>30074339170</v>
      </c>
    </row>
    <row r="896" spans="1:9" x14ac:dyDescent="0.3">
      <c r="A896" s="17" t="str">
        <f t="shared" si="28"/>
        <v>1030293</v>
      </c>
      <c r="B896" s="17">
        <v>103</v>
      </c>
      <c r="C896" s="17">
        <v>293</v>
      </c>
      <c r="D896" s="17" t="s">
        <v>917</v>
      </c>
      <c r="E896" s="17">
        <v>32134891715</v>
      </c>
      <c r="F896" s="17" t="s">
        <v>918</v>
      </c>
      <c r="G896" s="17">
        <v>32134891715</v>
      </c>
      <c r="H896" s="17" t="s">
        <v>919</v>
      </c>
      <c r="I896" s="17">
        <v>32134891715</v>
      </c>
    </row>
    <row r="897" spans="1:9" x14ac:dyDescent="0.3">
      <c r="A897" s="17" t="str">
        <f t="shared" si="28"/>
        <v>1030294</v>
      </c>
      <c r="B897" s="17">
        <v>103</v>
      </c>
      <c r="C897" s="17">
        <v>294</v>
      </c>
      <c r="D897" s="17" t="s">
        <v>917</v>
      </c>
      <c r="E897" s="17">
        <v>32441766816</v>
      </c>
      <c r="F897" s="17" t="s">
        <v>918</v>
      </c>
      <c r="G897" s="17">
        <v>32441766816</v>
      </c>
      <c r="H897" s="17" t="s">
        <v>919</v>
      </c>
      <c r="I897" s="17">
        <v>32441766816</v>
      </c>
    </row>
    <row r="898" spans="1:9" x14ac:dyDescent="0.3">
      <c r="A898" s="17" t="str">
        <f t="shared" si="28"/>
        <v>1030295</v>
      </c>
      <c r="B898" s="17">
        <v>103</v>
      </c>
      <c r="C898" s="17">
        <v>295</v>
      </c>
      <c r="D898" s="17" t="s">
        <v>917</v>
      </c>
      <c r="E898" s="17">
        <v>34665827023</v>
      </c>
      <c r="F898" s="17" t="s">
        <v>918</v>
      </c>
      <c r="G898" s="17">
        <v>34665827023</v>
      </c>
      <c r="H898" s="17" t="s">
        <v>919</v>
      </c>
      <c r="I898" s="17">
        <v>34665827023</v>
      </c>
    </row>
    <row r="899" spans="1:9" x14ac:dyDescent="0.3">
      <c r="A899" s="17" t="str">
        <f t="shared" si="28"/>
        <v>1030296</v>
      </c>
      <c r="B899" s="17">
        <v>103</v>
      </c>
      <c r="C899" s="17">
        <v>296</v>
      </c>
      <c r="D899" s="17" t="s">
        <v>917</v>
      </c>
      <c r="E899" s="17">
        <v>37043682951</v>
      </c>
      <c r="F899" s="17" t="s">
        <v>918</v>
      </c>
      <c r="G899" s="17">
        <v>37043682951</v>
      </c>
      <c r="H899" s="17" t="s">
        <v>919</v>
      </c>
      <c r="I899" s="17">
        <v>37043682951</v>
      </c>
    </row>
    <row r="900" spans="1:9" x14ac:dyDescent="0.3">
      <c r="A900" s="17" t="str">
        <f t="shared" ref="A900:A963" si="29">B900&amp;TEXT(C900,"0000")</f>
        <v>1030297</v>
      </c>
      <c r="B900" s="17">
        <v>103</v>
      </c>
      <c r="C900" s="17">
        <v>297</v>
      </c>
      <c r="D900" s="17" t="s">
        <v>917</v>
      </c>
      <c r="E900" s="17">
        <v>37396357660</v>
      </c>
      <c r="F900" s="17" t="s">
        <v>918</v>
      </c>
      <c r="G900" s="17">
        <v>37396357660</v>
      </c>
      <c r="H900" s="17" t="s">
        <v>919</v>
      </c>
      <c r="I900" s="17">
        <v>37396357660</v>
      </c>
    </row>
    <row r="901" spans="1:9" x14ac:dyDescent="0.3">
      <c r="A901" s="17" t="str">
        <f t="shared" si="29"/>
        <v>1030298</v>
      </c>
      <c r="B901" s="17">
        <v>103</v>
      </c>
      <c r="C901" s="17">
        <v>298</v>
      </c>
      <c r="D901" s="17" t="s">
        <v>917</v>
      </c>
      <c r="E901" s="17">
        <v>39963004908</v>
      </c>
      <c r="F901" s="17" t="s">
        <v>918</v>
      </c>
      <c r="G901" s="17">
        <v>39963004908</v>
      </c>
      <c r="H901" s="17" t="s">
        <v>919</v>
      </c>
      <c r="I901" s="17">
        <v>39963004908</v>
      </c>
    </row>
    <row r="902" spans="1:9" x14ac:dyDescent="0.3">
      <c r="A902" s="17" t="str">
        <f t="shared" si="29"/>
        <v>1030299</v>
      </c>
      <c r="B902" s="17">
        <v>103</v>
      </c>
      <c r="C902" s="17">
        <v>299</v>
      </c>
      <c r="D902" s="17" t="s">
        <v>917</v>
      </c>
      <c r="E902" s="17">
        <v>40342259239</v>
      </c>
      <c r="F902" s="17" t="s">
        <v>918</v>
      </c>
      <c r="G902" s="17">
        <v>40342259239</v>
      </c>
      <c r="H902" s="17" t="s">
        <v>919</v>
      </c>
      <c r="I902" s="17">
        <v>40342259239</v>
      </c>
    </row>
    <row r="903" spans="1:9" x14ac:dyDescent="0.3">
      <c r="A903" s="17" t="str">
        <f t="shared" si="29"/>
        <v>1030300</v>
      </c>
      <c r="B903" s="17">
        <v>103</v>
      </c>
      <c r="C903" s="17">
        <v>300</v>
      </c>
      <c r="D903" s="17" t="s">
        <v>917</v>
      </c>
      <c r="E903" s="17">
        <v>43112704246</v>
      </c>
      <c r="F903" s="17" t="s">
        <v>918</v>
      </c>
      <c r="G903" s="17">
        <v>43112704246</v>
      </c>
      <c r="H903" s="17" t="s">
        <v>919</v>
      </c>
      <c r="I903" s="17">
        <v>43112704246</v>
      </c>
    </row>
    <row r="904" spans="1:9" x14ac:dyDescent="0.3">
      <c r="A904" s="17" t="str">
        <f t="shared" si="29"/>
        <v>2000001</v>
      </c>
      <c r="B904" s="17">
        <v>200</v>
      </c>
      <c r="C904" s="17">
        <v>1</v>
      </c>
      <c r="D904" s="17" t="s">
        <v>917</v>
      </c>
      <c r="E904" s="17">
        <v>0</v>
      </c>
      <c r="F904" s="17" t="s">
        <v>918</v>
      </c>
      <c r="G904" s="17">
        <v>0</v>
      </c>
      <c r="H904" s="17" t="s">
        <v>919</v>
      </c>
      <c r="I904" s="17">
        <v>0</v>
      </c>
    </row>
    <row r="905" spans="1:9" x14ac:dyDescent="0.3">
      <c r="A905" s="17" t="str">
        <f t="shared" si="29"/>
        <v>2000002</v>
      </c>
      <c r="B905" s="17">
        <v>200</v>
      </c>
      <c r="C905" s="17">
        <v>2</v>
      </c>
      <c r="D905" s="17" t="s">
        <v>917</v>
      </c>
      <c r="E905" s="17">
        <v>66700</v>
      </c>
      <c r="F905" s="17" t="s">
        <v>918</v>
      </c>
      <c r="G905" s="17">
        <v>25000</v>
      </c>
      <c r="H905" s="17" t="s">
        <v>919</v>
      </c>
      <c r="I905" s="17">
        <f t="shared" ref="I905:I968" si="30">G905</f>
        <v>25000</v>
      </c>
    </row>
    <row r="906" spans="1:9" x14ac:dyDescent="0.3">
      <c r="A906" s="17" t="str">
        <f t="shared" si="29"/>
        <v>2000003</v>
      </c>
      <c r="B906" s="17">
        <v>200</v>
      </c>
      <c r="C906" s="17">
        <v>3</v>
      </c>
      <c r="D906" s="17" t="s">
        <v>917</v>
      </c>
      <c r="E906" s="17">
        <v>133300</v>
      </c>
      <c r="F906" s="17" t="s">
        <v>918</v>
      </c>
      <c r="G906" s="17">
        <v>50000</v>
      </c>
      <c r="H906" s="17" t="s">
        <v>919</v>
      </c>
      <c r="I906" s="17">
        <f t="shared" si="30"/>
        <v>50000</v>
      </c>
    </row>
    <row r="907" spans="1:9" x14ac:dyDescent="0.3">
      <c r="A907" s="17" t="str">
        <f t="shared" si="29"/>
        <v>2000004</v>
      </c>
      <c r="B907" s="17">
        <v>200</v>
      </c>
      <c r="C907" s="17">
        <v>4</v>
      </c>
      <c r="D907" s="17" t="s">
        <v>917</v>
      </c>
      <c r="E907" s="17">
        <v>150000</v>
      </c>
      <c r="F907" s="17" t="s">
        <v>918</v>
      </c>
      <c r="G907" s="17">
        <v>100000</v>
      </c>
      <c r="H907" s="17" t="s">
        <v>919</v>
      </c>
      <c r="I907" s="17">
        <f t="shared" si="30"/>
        <v>100000</v>
      </c>
    </row>
    <row r="908" spans="1:9" x14ac:dyDescent="0.3">
      <c r="A908" s="17" t="str">
        <f t="shared" si="29"/>
        <v>2000005</v>
      </c>
      <c r="B908" s="17">
        <v>200</v>
      </c>
      <c r="C908" s="17">
        <v>5</v>
      </c>
      <c r="D908" s="17" t="s">
        <v>917</v>
      </c>
      <c r="E908" s="17">
        <v>300000</v>
      </c>
      <c r="F908" s="17" t="s">
        <v>918</v>
      </c>
      <c r="G908" s="17">
        <v>275000</v>
      </c>
      <c r="H908" s="17" t="s">
        <v>919</v>
      </c>
      <c r="I908" s="17">
        <f t="shared" si="30"/>
        <v>275000</v>
      </c>
    </row>
    <row r="909" spans="1:9" x14ac:dyDescent="0.3">
      <c r="A909" s="17" t="str">
        <f t="shared" si="29"/>
        <v>2000006</v>
      </c>
      <c r="B909" s="17">
        <v>200</v>
      </c>
      <c r="C909" s="17">
        <v>6</v>
      </c>
      <c r="D909" s="17" t="s">
        <v>917</v>
      </c>
      <c r="E909" s="17">
        <v>332000</v>
      </c>
      <c r="F909" s="17" t="s">
        <v>918</v>
      </c>
      <c r="G909" s="17">
        <v>301000</v>
      </c>
      <c r="H909" s="17" t="s">
        <v>919</v>
      </c>
      <c r="I909" s="17">
        <f t="shared" si="30"/>
        <v>301000</v>
      </c>
    </row>
    <row r="910" spans="1:9" x14ac:dyDescent="0.3">
      <c r="A910" s="17" t="str">
        <f t="shared" si="29"/>
        <v>2000007</v>
      </c>
      <c r="B910" s="17">
        <v>200</v>
      </c>
      <c r="C910" s="17">
        <v>7</v>
      </c>
      <c r="D910" s="17" t="s">
        <v>917</v>
      </c>
      <c r="E910" s="17">
        <v>366300</v>
      </c>
      <c r="F910" s="17" t="s">
        <v>918</v>
      </c>
      <c r="G910" s="17">
        <v>329000</v>
      </c>
      <c r="H910" s="17" t="s">
        <v>919</v>
      </c>
      <c r="I910" s="17">
        <f t="shared" si="30"/>
        <v>329000</v>
      </c>
    </row>
    <row r="911" spans="1:9" x14ac:dyDescent="0.3">
      <c r="A911" s="17" t="str">
        <f t="shared" si="29"/>
        <v>2000008</v>
      </c>
      <c r="B911" s="17">
        <v>200</v>
      </c>
      <c r="C911" s="17">
        <v>8</v>
      </c>
      <c r="D911" s="17" t="s">
        <v>917</v>
      </c>
      <c r="E911" s="17">
        <v>403700</v>
      </c>
      <c r="F911" s="17" t="s">
        <v>918</v>
      </c>
      <c r="G911" s="17">
        <v>359000</v>
      </c>
      <c r="H911" s="17" t="s">
        <v>919</v>
      </c>
      <c r="I911" s="17">
        <f t="shared" si="30"/>
        <v>359000</v>
      </c>
    </row>
    <row r="912" spans="1:9" x14ac:dyDescent="0.3">
      <c r="A912" s="17" t="str">
        <f t="shared" si="29"/>
        <v>2000009</v>
      </c>
      <c r="B912" s="17">
        <v>200</v>
      </c>
      <c r="C912" s="17">
        <v>9</v>
      </c>
      <c r="D912" s="17" t="s">
        <v>917</v>
      </c>
      <c r="E912" s="17">
        <v>444000</v>
      </c>
      <c r="F912" s="17" t="s">
        <v>918</v>
      </c>
      <c r="G912" s="17">
        <v>391500</v>
      </c>
      <c r="H912" s="17" t="s">
        <v>919</v>
      </c>
      <c r="I912" s="17">
        <f t="shared" si="30"/>
        <v>391500</v>
      </c>
    </row>
    <row r="913" spans="1:9" x14ac:dyDescent="0.3">
      <c r="A913" s="17" t="str">
        <f t="shared" si="29"/>
        <v>2000010</v>
      </c>
      <c r="B913" s="17">
        <v>200</v>
      </c>
      <c r="C913" s="17">
        <v>10</v>
      </c>
      <c r="D913" s="17" t="s">
        <v>917</v>
      </c>
      <c r="E913" s="17">
        <v>487700</v>
      </c>
      <c r="F913" s="17" t="s">
        <v>918</v>
      </c>
      <c r="G913" s="17">
        <v>425500</v>
      </c>
      <c r="H913" s="17" t="s">
        <v>919</v>
      </c>
      <c r="I913" s="17">
        <f t="shared" si="30"/>
        <v>425500</v>
      </c>
    </row>
    <row r="914" spans="1:9" x14ac:dyDescent="0.3">
      <c r="A914" s="17" t="str">
        <f t="shared" si="29"/>
        <v>2000011</v>
      </c>
      <c r="B914" s="17">
        <v>200</v>
      </c>
      <c r="C914" s="17">
        <v>11</v>
      </c>
      <c r="D914" s="17" t="s">
        <v>917</v>
      </c>
      <c r="E914" s="17">
        <v>534700</v>
      </c>
      <c r="F914" s="17" t="s">
        <v>918</v>
      </c>
      <c r="G914" s="17">
        <v>462500</v>
      </c>
      <c r="H914" s="17" t="s">
        <v>919</v>
      </c>
      <c r="I914" s="17">
        <f t="shared" si="30"/>
        <v>462500</v>
      </c>
    </row>
    <row r="915" spans="1:9" x14ac:dyDescent="0.3">
      <c r="A915" s="17" t="str">
        <f t="shared" si="29"/>
        <v>2000012</v>
      </c>
      <c r="B915" s="17">
        <v>200</v>
      </c>
      <c r="C915" s="17">
        <v>12</v>
      </c>
      <c r="D915" s="17" t="s">
        <v>917</v>
      </c>
      <c r="E915" s="17">
        <v>585300</v>
      </c>
      <c r="F915" s="17" t="s">
        <v>918</v>
      </c>
      <c r="G915" s="17">
        <v>502000</v>
      </c>
      <c r="H915" s="17" t="s">
        <v>919</v>
      </c>
      <c r="I915" s="17">
        <f t="shared" si="30"/>
        <v>502000</v>
      </c>
    </row>
    <row r="916" spans="1:9" x14ac:dyDescent="0.3">
      <c r="A916" s="17" t="str">
        <f t="shared" si="29"/>
        <v>2000013</v>
      </c>
      <c r="B916" s="17">
        <v>200</v>
      </c>
      <c r="C916" s="17">
        <v>13</v>
      </c>
      <c r="D916" s="17" t="s">
        <v>917</v>
      </c>
      <c r="E916" s="17">
        <v>640300</v>
      </c>
      <c r="F916" s="17" t="s">
        <v>918</v>
      </c>
      <c r="G916" s="17">
        <v>544000</v>
      </c>
      <c r="H916" s="17" t="s">
        <v>919</v>
      </c>
      <c r="I916" s="17">
        <f t="shared" si="30"/>
        <v>544000</v>
      </c>
    </row>
    <row r="917" spans="1:9" x14ac:dyDescent="0.3">
      <c r="A917" s="17" t="str">
        <f t="shared" si="29"/>
        <v>2000014</v>
      </c>
      <c r="B917" s="17">
        <v>200</v>
      </c>
      <c r="C917" s="17">
        <v>14</v>
      </c>
      <c r="D917" s="17" t="s">
        <v>917</v>
      </c>
      <c r="E917" s="17">
        <v>699300</v>
      </c>
      <c r="F917" s="17" t="s">
        <v>918</v>
      </c>
      <c r="G917" s="17">
        <v>589000</v>
      </c>
      <c r="H917" s="17" t="s">
        <v>919</v>
      </c>
      <c r="I917" s="17">
        <f t="shared" si="30"/>
        <v>589000</v>
      </c>
    </row>
    <row r="918" spans="1:9" x14ac:dyDescent="0.3">
      <c r="A918" s="17" t="str">
        <f t="shared" si="29"/>
        <v>2000015</v>
      </c>
      <c r="B918" s="17">
        <v>200</v>
      </c>
      <c r="C918" s="17">
        <v>15</v>
      </c>
      <c r="D918" s="17" t="s">
        <v>917</v>
      </c>
      <c r="E918" s="17">
        <v>763300</v>
      </c>
      <c r="F918" s="17" t="s">
        <v>918</v>
      </c>
      <c r="G918" s="17">
        <v>637500</v>
      </c>
      <c r="H918" s="17" t="s">
        <v>919</v>
      </c>
      <c r="I918" s="17">
        <f t="shared" si="30"/>
        <v>637500</v>
      </c>
    </row>
    <row r="919" spans="1:9" x14ac:dyDescent="0.3">
      <c r="A919" s="17" t="str">
        <f t="shared" si="29"/>
        <v>2000016</v>
      </c>
      <c r="B919" s="17">
        <v>200</v>
      </c>
      <c r="C919" s="17">
        <v>16</v>
      </c>
      <c r="D919" s="17" t="s">
        <v>917</v>
      </c>
      <c r="E919" s="17">
        <v>832300</v>
      </c>
      <c r="F919" s="17" t="s">
        <v>918</v>
      </c>
      <c r="G919" s="17">
        <v>689000</v>
      </c>
      <c r="H919" s="17" t="s">
        <v>919</v>
      </c>
      <c r="I919" s="17">
        <f t="shared" si="30"/>
        <v>689000</v>
      </c>
    </row>
    <row r="920" spans="1:9" x14ac:dyDescent="0.3">
      <c r="A920" s="17" t="str">
        <f t="shared" si="29"/>
        <v>2000017</v>
      </c>
      <c r="B920" s="17">
        <v>200</v>
      </c>
      <c r="C920" s="17">
        <v>17</v>
      </c>
      <c r="D920" s="17" t="s">
        <v>917</v>
      </c>
      <c r="E920" s="17">
        <v>907000</v>
      </c>
      <c r="F920" s="17" t="s">
        <v>918</v>
      </c>
      <c r="G920" s="17">
        <v>744500</v>
      </c>
      <c r="H920" s="17" t="s">
        <v>919</v>
      </c>
      <c r="I920" s="17">
        <f t="shared" si="30"/>
        <v>744500</v>
      </c>
    </row>
    <row r="921" spans="1:9" x14ac:dyDescent="0.3">
      <c r="A921" s="17" t="str">
        <f t="shared" si="29"/>
        <v>2000018</v>
      </c>
      <c r="B921" s="17">
        <v>200</v>
      </c>
      <c r="C921" s="17">
        <v>18</v>
      </c>
      <c r="D921" s="17" t="s">
        <v>917</v>
      </c>
      <c r="E921" s="17">
        <v>987700</v>
      </c>
      <c r="F921" s="17" t="s">
        <v>918</v>
      </c>
      <c r="G921" s="17">
        <v>803500</v>
      </c>
      <c r="H921" s="17" t="s">
        <v>919</v>
      </c>
      <c r="I921" s="17">
        <f t="shared" si="30"/>
        <v>803500</v>
      </c>
    </row>
    <row r="922" spans="1:9" x14ac:dyDescent="0.3">
      <c r="A922" s="17" t="str">
        <f t="shared" si="29"/>
        <v>2000019</v>
      </c>
      <c r="B922" s="17">
        <v>200</v>
      </c>
      <c r="C922" s="17">
        <v>19</v>
      </c>
      <c r="D922" s="17" t="s">
        <v>917</v>
      </c>
      <c r="E922" s="17">
        <v>1074700</v>
      </c>
      <c r="F922" s="17" t="s">
        <v>918</v>
      </c>
      <c r="G922" s="17">
        <v>866500</v>
      </c>
      <c r="H922" s="17" t="s">
        <v>919</v>
      </c>
      <c r="I922" s="17">
        <f t="shared" si="30"/>
        <v>866500</v>
      </c>
    </row>
    <row r="923" spans="1:9" x14ac:dyDescent="0.3">
      <c r="A923" s="17" t="str">
        <f t="shared" si="29"/>
        <v>2000020</v>
      </c>
      <c r="B923" s="17">
        <v>200</v>
      </c>
      <c r="C923" s="17">
        <v>20</v>
      </c>
      <c r="D923" s="17" t="s">
        <v>917</v>
      </c>
      <c r="E923" s="17">
        <v>1168700</v>
      </c>
      <c r="F923" s="17" t="s">
        <v>918</v>
      </c>
      <c r="G923" s="17">
        <v>934500</v>
      </c>
      <c r="H923" s="17" t="s">
        <v>919</v>
      </c>
      <c r="I923" s="17">
        <f t="shared" si="30"/>
        <v>934500</v>
      </c>
    </row>
    <row r="924" spans="1:9" x14ac:dyDescent="0.3">
      <c r="A924" s="17" t="str">
        <f t="shared" si="29"/>
        <v>2000021</v>
      </c>
      <c r="B924" s="17">
        <v>200</v>
      </c>
      <c r="C924" s="17">
        <v>21</v>
      </c>
      <c r="D924" s="17" t="s">
        <v>917</v>
      </c>
      <c r="E924" s="17">
        <v>1270300</v>
      </c>
      <c r="F924" s="17" t="s">
        <v>918</v>
      </c>
      <c r="G924" s="17">
        <v>1007000</v>
      </c>
      <c r="H924" s="17" t="s">
        <v>919</v>
      </c>
      <c r="I924" s="17">
        <f t="shared" si="30"/>
        <v>1007000</v>
      </c>
    </row>
    <row r="925" spans="1:9" x14ac:dyDescent="0.3">
      <c r="A925" s="17" t="str">
        <f t="shared" si="29"/>
        <v>2000022</v>
      </c>
      <c r="B925" s="17">
        <v>200</v>
      </c>
      <c r="C925" s="17">
        <v>22</v>
      </c>
      <c r="D925" s="17" t="s">
        <v>917</v>
      </c>
      <c r="E925" s="17">
        <v>1380000</v>
      </c>
      <c r="F925" s="17" t="s">
        <v>918</v>
      </c>
      <c r="G925" s="17">
        <v>1084500</v>
      </c>
      <c r="H925" s="17" t="s">
        <v>919</v>
      </c>
      <c r="I925" s="17">
        <f t="shared" si="30"/>
        <v>1084500</v>
      </c>
    </row>
    <row r="926" spans="1:9" x14ac:dyDescent="0.3">
      <c r="A926" s="17" t="str">
        <f t="shared" si="29"/>
        <v>2000023</v>
      </c>
      <c r="B926" s="17">
        <v>200</v>
      </c>
      <c r="C926" s="17">
        <v>23</v>
      </c>
      <c r="D926" s="17" t="s">
        <v>917</v>
      </c>
      <c r="E926" s="17">
        <v>1498300</v>
      </c>
      <c r="F926" s="17" t="s">
        <v>918</v>
      </c>
      <c r="G926" s="17">
        <v>1167000</v>
      </c>
      <c r="H926" s="17" t="s">
        <v>919</v>
      </c>
      <c r="I926" s="17">
        <f t="shared" si="30"/>
        <v>1167000</v>
      </c>
    </row>
    <row r="927" spans="1:9" x14ac:dyDescent="0.3">
      <c r="A927" s="17" t="str">
        <f t="shared" si="29"/>
        <v>2000024</v>
      </c>
      <c r="B927" s="17">
        <v>200</v>
      </c>
      <c r="C927" s="17">
        <v>24</v>
      </c>
      <c r="D927" s="17" t="s">
        <v>917</v>
      </c>
      <c r="E927" s="17">
        <v>1626000</v>
      </c>
      <c r="F927" s="17" t="s">
        <v>918</v>
      </c>
      <c r="G927" s="17">
        <v>1256000</v>
      </c>
      <c r="H927" s="17" t="s">
        <v>919</v>
      </c>
      <c r="I927" s="17">
        <f t="shared" si="30"/>
        <v>1256000</v>
      </c>
    </row>
    <row r="928" spans="1:9" x14ac:dyDescent="0.3">
      <c r="A928" s="17" t="str">
        <f t="shared" si="29"/>
        <v>2000025</v>
      </c>
      <c r="B928" s="17">
        <v>200</v>
      </c>
      <c r="C928" s="17">
        <v>25</v>
      </c>
      <c r="D928" s="17" t="s">
        <v>917</v>
      </c>
      <c r="E928" s="17">
        <v>1764300</v>
      </c>
      <c r="F928" s="17" t="s">
        <v>918</v>
      </c>
      <c r="G928" s="17">
        <v>1351000</v>
      </c>
      <c r="H928" s="17" t="s">
        <v>919</v>
      </c>
      <c r="I928" s="17">
        <f t="shared" si="30"/>
        <v>1351000</v>
      </c>
    </row>
    <row r="929" spans="1:9" x14ac:dyDescent="0.3">
      <c r="A929" s="17" t="str">
        <f t="shared" si="29"/>
        <v>2000026</v>
      </c>
      <c r="B929" s="17">
        <v>200</v>
      </c>
      <c r="C929" s="17">
        <v>26</v>
      </c>
      <c r="D929" s="17" t="s">
        <v>917</v>
      </c>
      <c r="E929" s="17">
        <v>1913300</v>
      </c>
      <c r="F929" s="17" t="s">
        <v>918</v>
      </c>
      <c r="G929" s="17">
        <v>1452500</v>
      </c>
      <c r="H929" s="17" t="s">
        <v>919</v>
      </c>
      <c r="I929" s="17">
        <f t="shared" si="30"/>
        <v>1452500</v>
      </c>
    </row>
    <row r="930" spans="1:9" x14ac:dyDescent="0.3">
      <c r="A930" s="17" t="str">
        <f t="shared" si="29"/>
        <v>2000027</v>
      </c>
      <c r="B930" s="17">
        <v>200</v>
      </c>
      <c r="C930" s="17">
        <v>27</v>
      </c>
      <c r="D930" s="17" t="s">
        <v>917</v>
      </c>
      <c r="E930" s="17">
        <v>2054300</v>
      </c>
      <c r="F930" s="17" t="s">
        <v>918</v>
      </c>
      <c r="G930" s="17">
        <v>1561000</v>
      </c>
      <c r="H930" s="17" t="s">
        <v>919</v>
      </c>
      <c r="I930" s="17">
        <f t="shared" si="30"/>
        <v>1561000</v>
      </c>
    </row>
    <row r="931" spans="1:9" x14ac:dyDescent="0.3">
      <c r="A931" s="17" t="str">
        <f t="shared" si="29"/>
        <v>2000028</v>
      </c>
      <c r="B931" s="17">
        <v>200</v>
      </c>
      <c r="C931" s="17">
        <v>28</v>
      </c>
      <c r="D931" s="17" t="s">
        <v>917</v>
      </c>
      <c r="E931" s="17">
        <v>2205000</v>
      </c>
      <c r="F931" s="17" t="s">
        <v>918</v>
      </c>
      <c r="G931" s="17">
        <v>1677500</v>
      </c>
      <c r="H931" s="17" t="s">
        <v>919</v>
      </c>
      <c r="I931" s="17">
        <f t="shared" si="30"/>
        <v>1677500</v>
      </c>
    </row>
    <row r="932" spans="1:9" x14ac:dyDescent="0.3">
      <c r="A932" s="17" t="str">
        <f t="shared" si="29"/>
        <v>2000029</v>
      </c>
      <c r="B932" s="17">
        <v>200</v>
      </c>
      <c r="C932" s="17">
        <v>29</v>
      </c>
      <c r="D932" s="17" t="s">
        <v>917</v>
      </c>
      <c r="E932" s="17">
        <v>2366300</v>
      </c>
      <c r="F932" s="17" t="s">
        <v>918</v>
      </c>
      <c r="G932" s="17">
        <v>1802000</v>
      </c>
      <c r="H932" s="17" t="s">
        <v>919</v>
      </c>
      <c r="I932" s="17">
        <f t="shared" si="30"/>
        <v>1802000</v>
      </c>
    </row>
    <row r="933" spans="1:9" x14ac:dyDescent="0.3">
      <c r="A933" s="17" t="str">
        <f t="shared" si="29"/>
        <v>2000030</v>
      </c>
      <c r="B933" s="17">
        <v>200</v>
      </c>
      <c r="C933" s="17">
        <v>30</v>
      </c>
      <c r="D933" s="17" t="s">
        <v>917</v>
      </c>
      <c r="E933" s="17">
        <v>2539000</v>
      </c>
      <c r="F933" s="17" t="s">
        <v>918</v>
      </c>
      <c r="G933" s="17">
        <v>1935000</v>
      </c>
      <c r="H933" s="17" t="s">
        <v>919</v>
      </c>
      <c r="I933" s="17">
        <f t="shared" si="30"/>
        <v>1935000</v>
      </c>
    </row>
    <row r="934" spans="1:9" x14ac:dyDescent="0.3">
      <c r="A934" s="17" t="str">
        <f t="shared" si="29"/>
        <v>2000031</v>
      </c>
      <c r="B934" s="17">
        <v>200</v>
      </c>
      <c r="C934" s="17">
        <v>31</v>
      </c>
      <c r="D934" s="17" t="s">
        <v>917</v>
      </c>
      <c r="E934" s="17">
        <v>2724000</v>
      </c>
      <c r="F934" s="17" t="s">
        <v>918</v>
      </c>
      <c r="G934" s="17">
        <v>2077500</v>
      </c>
      <c r="H934" s="17" t="s">
        <v>919</v>
      </c>
      <c r="I934" s="17">
        <f t="shared" si="30"/>
        <v>2077500</v>
      </c>
    </row>
    <row r="935" spans="1:9" x14ac:dyDescent="0.3">
      <c r="A935" s="17" t="str">
        <f t="shared" si="29"/>
        <v>2000032</v>
      </c>
      <c r="B935" s="17">
        <v>200</v>
      </c>
      <c r="C935" s="17">
        <v>32</v>
      </c>
      <c r="D935" s="17" t="s">
        <v>917</v>
      </c>
      <c r="E935" s="17">
        <v>2921700</v>
      </c>
      <c r="F935" s="17" t="s">
        <v>918</v>
      </c>
      <c r="G935" s="17">
        <v>2230000</v>
      </c>
      <c r="H935" s="17" t="s">
        <v>919</v>
      </c>
      <c r="I935" s="17">
        <f t="shared" si="30"/>
        <v>2230000</v>
      </c>
    </row>
    <row r="936" spans="1:9" x14ac:dyDescent="0.3">
      <c r="A936" s="17" t="str">
        <f t="shared" si="29"/>
        <v>2000033</v>
      </c>
      <c r="B936" s="17">
        <v>200</v>
      </c>
      <c r="C936" s="17">
        <v>33</v>
      </c>
      <c r="D936" s="17" t="s">
        <v>917</v>
      </c>
      <c r="E936" s="17">
        <v>3133000</v>
      </c>
      <c r="F936" s="17" t="s">
        <v>918</v>
      </c>
      <c r="G936" s="17">
        <v>2393000</v>
      </c>
      <c r="H936" s="17" t="s">
        <v>919</v>
      </c>
      <c r="I936" s="17">
        <f t="shared" si="30"/>
        <v>2393000</v>
      </c>
    </row>
    <row r="937" spans="1:9" x14ac:dyDescent="0.3">
      <c r="A937" s="17" t="str">
        <f t="shared" si="29"/>
        <v>2000034</v>
      </c>
      <c r="B937" s="17">
        <v>200</v>
      </c>
      <c r="C937" s="17">
        <v>34</v>
      </c>
      <c r="D937" s="17" t="s">
        <v>917</v>
      </c>
      <c r="E937" s="17">
        <v>3359300</v>
      </c>
      <c r="F937" s="17" t="s">
        <v>918</v>
      </c>
      <c r="G937" s="17">
        <v>2567500</v>
      </c>
      <c r="H937" s="17" t="s">
        <v>919</v>
      </c>
      <c r="I937" s="17">
        <f t="shared" si="30"/>
        <v>2567500</v>
      </c>
    </row>
    <row r="938" spans="1:9" x14ac:dyDescent="0.3">
      <c r="A938" s="17" t="str">
        <f t="shared" si="29"/>
        <v>2000035</v>
      </c>
      <c r="B938" s="17">
        <v>200</v>
      </c>
      <c r="C938" s="17">
        <v>35</v>
      </c>
      <c r="D938" s="17" t="s">
        <v>917</v>
      </c>
      <c r="E938" s="17">
        <v>3601700</v>
      </c>
      <c r="F938" s="17" t="s">
        <v>918</v>
      </c>
      <c r="G938" s="17">
        <v>2754500</v>
      </c>
      <c r="H938" s="17" t="s">
        <v>919</v>
      </c>
      <c r="I938" s="17">
        <f t="shared" si="30"/>
        <v>2754500</v>
      </c>
    </row>
    <row r="939" spans="1:9" x14ac:dyDescent="0.3">
      <c r="A939" s="17" t="str">
        <f t="shared" si="29"/>
        <v>2000036</v>
      </c>
      <c r="B939" s="17">
        <v>200</v>
      </c>
      <c r="C939" s="17">
        <v>36</v>
      </c>
      <c r="D939" s="17" t="s">
        <v>917</v>
      </c>
      <c r="E939" s="17">
        <v>3860700</v>
      </c>
      <c r="F939" s="17" t="s">
        <v>918</v>
      </c>
      <c r="G939" s="17">
        <v>2954000</v>
      </c>
      <c r="H939" s="17" t="s">
        <v>919</v>
      </c>
      <c r="I939" s="17">
        <f t="shared" si="30"/>
        <v>2954000</v>
      </c>
    </row>
    <row r="940" spans="1:9" x14ac:dyDescent="0.3">
      <c r="A940" s="17" t="str">
        <f t="shared" si="29"/>
        <v>2000037</v>
      </c>
      <c r="B940" s="17">
        <v>200</v>
      </c>
      <c r="C940" s="17">
        <v>37</v>
      </c>
      <c r="D940" s="17" t="s">
        <v>917</v>
      </c>
      <c r="E940" s="17">
        <v>4138000</v>
      </c>
      <c r="F940" s="17" t="s">
        <v>918</v>
      </c>
      <c r="G940" s="17">
        <v>3168000</v>
      </c>
      <c r="H940" s="17" t="s">
        <v>919</v>
      </c>
      <c r="I940" s="17">
        <f t="shared" si="30"/>
        <v>3168000</v>
      </c>
    </row>
    <row r="941" spans="1:9" x14ac:dyDescent="0.3">
      <c r="A941" s="17" t="str">
        <f t="shared" si="29"/>
        <v>2000038</v>
      </c>
      <c r="B941" s="17">
        <v>200</v>
      </c>
      <c r="C941" s="17">
        <v>38</v>
      </c>
      <c r="D941" s="17" t="s">
        <v>917</v>
      </c>
      <c r="E941" s="17">
        <v>4434700</v>
      </c>
      <c r="F941" s="17" t="s">
        <v>918</v>
      </c>
      <c r="G941" s="17">
        <v>3397000</v>
      </c>
      <c r="H941" s="17" t="s">
        <v>919</v>
      </c>
      <c r="I941" s="17">
        <f t="shared" si="30"/>
        <v>3397000</v>
      </c>
    </row>
    <row r="942" spans="1:9" x14ac:dyDescent="0.3">
      <c r="A942" s="17" t="str">
        <f t="shared" si="29"/>
        <v>2000039</v>
      </c>
      <c r="B942" s="17">
        <v>200</v>
      </c>
      <c r="C942" s="17">
        <v>39</v>
      </c>
      <c r="D942" s="17" t="s">
        <v>917</v>
      </c>
      <c r="E942" s="17">
        <v>4752000</v>
      </c>
      <c r="F942" s="17" t="s">
        <v>918</v>
      </c>
      <c r="G942" s="17">
        <v>3641500</v>
      </c>
      <c r="H942" s="17" t="s">
        <v>919</v>
      </c>
      <c r="I942" s="17">
        <f t="shared" si="30"/>
        <v>3641500</v>
      </c>
    </row>
    <row r="943" spans="1:9" x14ac:dyDescent="0.3">
      <c r="A943" s="17" t="str">
        <f t="shared" si="29"/>
        <v>2000040</v>
      </c>
      <c r="B943" s="17">
        <v>200</v>
      </c>
      <c r="C943" s="17">
        <v>40</v>
      </c>
      <c r="D943" s="17" t="s">
        <v>917</v>
      </c>
      <c r="E943" s="17">
        <v>5091700</v>
      </c>
      <c r="F943" s="17" t="s">
        <v>918</v>
      </c>
      <c r="G943" s="17">
        <v>3903500</v>
      </c>
      <c r="H943" s="17" t="s">
        <v>919</v>
      </c>
      <c r="I943" s="17">
        <f t="shared" si="30"/>
        <v>3903500</v>
      </c>
    </row>
    <row r="944" spans="1:9" x14ac:dyDescent="0.3">
      <c r="A944" s="17" t="str">
        <f t="shared" si="29"/>
        <v>2000041</v>
      </c>
      <c r="B944" s="17">
        <v>200</v>
      </c>
      <c r="C944" s="17">
        <v>41</v>
      </c>
      <c r="D944" s="17" t="s">
        <v>917</v>
      </c>
      <c r="E944" s="17">
        <v>5455300</v>
      </c>
      <c r="F944" s="17" t="s">
        <v>918</v>
      </c>
      <c r="G944" s="17">
        <v>4183500</v>
      </c>
      <c r="H944" s="17" t="s">
        <v>919</v>
      </c>
      <c r="I944" s="17">
        <f t="shared" si="30"/>
        <v>4183500</v>
      </c>
    </row>
    <row r="945" spans="1:9" x14ac:dyDescent="0.3">
      <c r="A945" s="17" t="str">
        <f t="shared" si="29"/>
        <v>2000042</v>
      </c>
      <c r="B945" s="17">
        <v>200</v>
      </c>
      <c r="C945" s="17">
        <v>42</v>
      </c>
      <c r="D945" s="17" t="s">
        <v>917</v>
      </c>
      <c r="E945" s="17">
        <v>5844000</v>
      </c>
      <c r="F945" s="17" t="s">
        <v>918</v>
      </c>
      <c r="G945" s="17">
        <v>4483500</v>
      </c>
      <c r="H945" s="17" t="s">
        <v>919</v>
      </c>
      <c r="I945" s="17">
        <f t="shared" si="30"/>
        <v>4483500</v>
      </c>
    </row>
    <row r="946" spans="1:9" x14ac:dyDescent="0.3">
      <c r="A946" s="17" t="str">
        <f t="shared" si="29"/>
        <v>2000043</v>
      </c>
      <c r="B946" s="17">
        <v>200</v>
      </c>
      <c r="C946" s="17">
        <v>43</v>
      </c>
      <c r="D946" s="17" t="s">
        <v>917</v>
      </c>
      <c r="E946" s="17">
        <v>6260300</v>
      </c>
      <c r="F946" s="17" t="s">
        <v>918</v>
      </c>
      <c r="G946" s="17">
        <v>4804500</v>
      </c>
      <c r="H946" s="17" t="s">
        <v>919</v>
      </c>
      <c r="I946" s="17">
        <f t="shared" si="30"/>
        <v>4804500</v>
      </c>
    </row>
    <row r="947" spans="1:9" x14ac:dyDescent="0.3">
      <c r="A947" s="17" t="str">
        <f t="shared" si="29"/>
        <v>2000044</v>
      </c>
      <c r="B947" s="17">
        <v>200</v>
      </c>
      <c r="C947" s="17">
        <v>44</v>
      </c>
      <c r="D947" s="17" t="s">
        <v>917</v>
      </c>
      <c r="E947" s="17">
        <v>6705300</v>
      </c>
      <c r="F947" s="17" t="s">
        <v>918</v>
      </c>
      <c r="G947" s="17">
        <v>5148000</v>
      </c>
      <c r="H947" s="17" t="s">
        <v>919</v>
      </c>
      <c r="I947" s="17">
        <f t="shared" si="30"/>
        <v>5148000</v>
      </c>
    </row>
    <row r="948" spans="1:9" x14ac:dyDescent="0.3">
      <c r="A948" s="17" t="str">
        <f t="shared" si="29"/>
        <v>2000045</v>
      </c>
      <c r="B948" s="17">
        <v>200</v>
      </c>
      <c r="C948" s="17">
        <v>45</v>
      </c>
      <c r="D948" s="17" t="s">
        <v>917</v>
      </c>
      <c r="E948" s="17">
        <v>7181700</v>
      </c>
      <c r="F948" s="17" t="s">
        <v>918</v>
      </c>
      <c r="G948" s="17">
        <v>5515000</v>
      </c>
      <c r="H948" s="17" t="s">
        <v>919</v>
      </c>
      <c r="I948" s="17">
        <f t="shared" si="30"/>
        <v>5515000</v>
      </c>
    </row>
    <row r="949" spans="1:9" x14ac:dyDescent="0.3">
      <c r="A949" s="17" t="str">
        <f t="shared" si="29"/>
        <v>2000046</v>
      </c>
      <c r="B949" s="17">
        <v>200</v>
      </c>
      <c r="C949" s="17">
        <v>46</v>
      </c>
      <c r="D949" s="17" t="s">
        <v>917</v>
      </c>
      <c r="E949" s="17">
        <v>7691700</v>
      </c>
      <c r="F949" s="17" t="s">
        <v>918</v>
      </c>
      <c r="G949" s="17">
        <v>5908500</v>
      </c>
      <c r="H949" s="17" t="s">
        <v>919</v>
      </c>
      <c r="I949" s="17">
        <f t="shared" si="30"/>
        <v>5908500</v>
      </c>
    </row>
    <row r="950" spans="1:9" x14ac:dyDescent="0.3">
      <c r="A950" s="17" t="str">
        <f t="shared" si="29"/>
        <v>2000047</v>
      </c>
      <c r="B950" s="17">
        <v>200</v>
      </c>
      <c r="C950" s="17">
        <v>47</v>
      </c>
      <c r="D950" s="17" t="s">
        <v>917</v>
      </c>
      <c r="E950" s="17">
        <v>8198000</v>
      </c>
      <c r="F950" s="17" t="s">
        <v>918</v>
      </c>
      <c r="G950" s="17">
        <v>6269000</v>
      </c>
      <c r="H950" s="17" t="s">
        <v>919</v>
      </c>
      <c r="I950" s="17">
        <f t="shared" si="30"/>
        <v>6269000</v>
      </c>
    </row>
    <row r="951" spans="1:9" x14ac:dyDescent="0.3">
      <c r="A951" s="17" t="str">
        <f t="shared" si="29"/>
        <v>2000048</v>
      </c>
      <c r="B951" s="17">
        <v>200</v>
      </c>
      <c r="C951" s="17">
        <v>48</v>
      </c>
      <c r="D951" s="17" t="s">
        <v>917</v>
      </c>
      <c r="E951" s="17">
        <v>8737300</v>
      </c>
      <c r="F951" s="17" t="s">
        <v>918</v>
      </c>
      <c r="G951" s="17">
        <v>6651000</v>
      </c>
      <c r="H951" s="17" t="s">
        <v>919</v>
      </c>
      <c r="I951" s="17">
        <f t="shared" si="30"/>
        <v>6651000</v>
      </c>
    </row>
    <row r="952" spans="1:9" x14ac:dyDescent="0.3">
      <c r="A952" s="17" t="str">
        <f t="shared" si="29"/>
        <v>2000049</v>
      </c>
      <c r="B952" s="17">
        <v>200</v>
      </c>
      <c r="C952" s="17">
        <v>49</v>
      </c>
      <c r="D952" s="17" t="s">
        <v>917</v>
      </c>
      <c r="E952" s="17">
        <v>9312000</v>
      </c>
      <c r="F952" s="17" t="s">
        <v>918</v>
      </c>
      <c r="G952" s="17">
        <v>7056000</v>
      </c>
      <c r="H952" s="17" t="s">
        <v>919</v>
      </c>
      <c r="I952" s="17">
        <f t="shared" si="30"/>
        <v>7056000</v>
      </c>
    </row>
    <row r="953" spans="1:9" x14ac:dyDescent="0.3">
      <c r="A953" s="17" t="str">
        <f t="shared" si="29"/>
        <v>2000050</v>
      </c>
      <c r="B953" s="17">
        <v>200</v>
      </c>
      <c r="C953" s="17">
        <v>50</v>
      </c>
      <c r="D953" s="17" t="s">
        <v>917</v>
      </c>
      <c r="E953" s="17">
        <v>9923700</v>
      </c>
      <c r="F953" s="17" t="s">
        <v>918</v>
      </c>
      <c r="G953" s="17">
        <v>7485500</v>
      </c>
      <c r="H953" s="17" t="s">
        <v>919</v>
      </c>
      <c r="I953" s="17">
        <f t="shared" si="30"/>
        <v>7485500</v>
      </c>
    </row>
    <row r="954" spans="1:9" x14ac:dyDescent="0.3">
      <c r="A954" s="17" t="str">
        <f t="shared" si="29"/>
        <v>2000051</v>
      </c>
      <c r="B954" s="17">
        <v>200</v>
      </c>
      <c r="C954" s="17">
        <v>51</v>
      </c>
      <c r="D954" s="17" t="s">
        <v>917</v>
      </c>
      <c r="E954" s="17">
        <v>10575300</v>
      </c>
      <c r="F954" s="17" t="s">
        <v>918</v>
      </c>
      <c r="G954" s="17">
        <v>7940500</v>
      </c>
      <c r="H954" s="17" t="s">
        <v>919</v>
      </c>
      <c r="I954" s="17">
        <f t="shared" si="30"/>
        <v>7940500</v>
      </c>
    </row>
    <row r="955" spans="1:9" x14ac:dyDescent="0.3">
      <c r="A955" s="17" t="str">
        <f t="shared" si="29"/>
        <v>2000052</v>
      </c>
      <c r="B955" s="17">
        <v>200</v>
      </c>
      <c r="C955" s="17">
        <v>52</v>
      </c>
      <c r="D955" s="17" t="s">
        <v>917</v>
      </c>
      <c r="E955" s="17">
        <v>11269000</v>
      </c>
      <c r="F955" s="17" t="s">
        <v>918</v>
      </c>
      <c r="G955" s="17">
        <v>8423000</v>
      </c>
      <c r="H955" s="17" t="s">
        <v>919</v>
      </c>
      <c r="I955" s="17">
        <f t="shared" si="30"/>
        <v>8423000</v>
      </c>
    </row>
    <row r="956" spans="1:9" x14ac:dyDescent="0.3">
      <c r="A956" s="17" t="str">
        <f t="shared" si="29"/>
        <v>2000053</v>
      </c>
      <c r="B956" s="17">
        <v>200</v>
      </c>
      <c r="C956" s="17">
        <v>53</v>
      </c>
      <c r="D956" s="17" t="s">
        <v>917</v>
      </c>
      <c r="E956" s="17">
        <v>12008000</v>
      </c>
      <c r="F956" s="17" t="s">
        <v>918</v>
      </c>
      <c r="G956" s="17">
        <v>8934500</v>
      </c>
      <c r="H956" s="17" t="s">
        <v>919</v>
      </c>
      <c r="I956" s="17">
        <f t="shared" si="30"/>
        <v>8934500</v>
      </c>
    </row>
    <row r="957" spans="1:9" x14ac:dyDescent="0.3">
      <c r="A957" s="17" t="str">
        <f t="shared" si="29"/>
        <v>2000054</v>
      </c>
      <c r="B957" s="17">
        <v>200</v>
      </c>
      <c r="C957" s="17">
        <v>54</v>
      </c>
      <c r="D957" s="17" t="s">
        <v>917</v>
      </c>
      <c r="E957" s="17">
        <v>12795000</v>
      </c>
      <c r="F957" s="17" t="s">
        <v>918</v>
      </c>
      <c r="G957" s="17">
        <v>9476500</v>
      </c>
      <c r="H957" s="17" t="s">
        <v>919</v>
      </c>
      <c r="I957" s="17">
        <f t="shared" si="30"/>
        <v>9476500</v>
      </c>
    </row>
    <row r="958" spans="1:9" x14ac:dyDescent="0.3">
      <c r="A958" s="17" t="str">
        <f t="shared" si="29"/>
        <v>2000055</v>
      </c>
      <c r="B958" s="17">
        <v>200</v>
      </c>
      <c r="C958" s="17">
        <v>55</v>
      </c>
      <c r="D958" s="17" t="s">
        <v>917</v>
      </c>
      <c r="E958" s="17">
        <v>13633300</v>
      </c>
      <c r="F958" s="17" t="s">
        <v>918</v>
      </c>
      <c r="G958" s="17">
        <v>10051000</v>
      </c>
      <c r="H958" s="17" t="s">
        <v>919</v>
      </c>
      <c r="I958" s="17">
        <f t="shared" si="30"/>
        <v>10051000</v>
      </c>
    </row>
    <row r="959" spans="1:9" x14ac:dyDescent="0.3">
      <c r="A959" s="17" t="str">
        <f t="shared" si="29"/>
        <v>2000056</v>
      </c>
      <c r="B959" s="17">
        <v>200</v>
      </c>
      <c r="C959" s="17">
        <v>56</v>
      </c>
      <c r="D959" s="17" t="s">
        <v>917</v>
      </c>
      <c r="E959" s="17">
        <v>14526000</v>
      </c>
      <c r="F959" s="17" t="s">
        <v>918</v>
      </c>
      <c r="G959" s="17">
        <v>10660000</v>
      </c>
      <c r="H959" s="17" t="s">
        <v>919</v>
      </c>
      <c r="I959" s="17">
        <f t="shared" si="30"/>
        <v>10660000</v>
      </c>
    </row>
    <row r="960" spans="1:9" x14ac:dyDescent="0.3">
      <c r="A960" s="17" t="str">
        <f t="shared" si="29"/>
        <v>2000057</v>
      </c>
      <c r="B960" s="17">
        <v>200</v>
      </c>
      <c r="C960" s="17">
        <v>57</v>
      </c>
      <c r="D960" s="17" t="s">
        <v>917</v>
      </c>
      <c r="E960" s="17">
        <v>15476700</v>
      </c>
      <c r="F960" s="17" t="s">
        <v>918</v>
      </c>
      <c r="G960" s="17">
        <v>11305500</v>
      </c>
      <c r="H960" s="17" t="s">
        <v>919</v>
      </c>
      <c r="I960" s="17">
        <f t="shared" si="30"/>
        <v>11305500</v>
      </c>
    </row>
    <row r="961" spans="1:9" x14ac:dyDescent="0.3">
      <c r="A961" s="17" t="str">
        <f t="shared" si="29"/>
        <v>2000058</v>
      </c>
      <c r="B961" s="17">
        <v>200</v>
      </c>
      <c r="C961" s="17">
        <v>58</v>
      </c>
      <c r="D961" s="17" t="s">
        <v>917</v>
      </c>
      <c r="E961" s="17">
        <v>16489300</v>
      </c>
      <c r="F961" s="17" t="s">
        <v>918</v>
      </c>
      <c r="G961" s="17">
        <v>11990000</v>
      </c>
      <c r="H961" s="17" t="s">
        <v>919</v>
      </c>
      <c r="I961" s="17">
        <f t="shared" si="30"/>
        <v>11990000</v>
      </c>
    </row>
    <row r="962" spans="1:9" x14ac:dyDescent="0.3">
      <c r="A962" s="17" t="str">
        <f t="shared" si="29"/>
        <v>2000059</v>
      </c>
      <c r="B962" s="17">
        <v>200</v>
      </c>
      <c r="C962" s="17">
        <v>59</v>
      </c>
      <c r="D962" s="17" t="s">
        <v>917</v>
      </c>
      <c r="E962" s="17">
        <v>17567700</v>
      </c>
      <c r="F962" s="17" t="s">
        <v>918</v>
      </c>
      <c r="G962" s="17">
        <v>12715500</v>
      </c>
      <c r="H962" s="17" t="s">
        <v>919</v>
      </c>
      <c r="I962" s="17">
        <f t="shared" si="30"/>
        <v>12715500</v>
      </c>
    </row>
    <row r="963" spans="1:9" x14ac:dyDescent="0.3">
      <c r="A963" s="17" t="str">
        <f t="shared" si="29"/>
        <v>2000060</v>
      </c>
      <c r="B963" s="17">
        <v>200</v>
      </c>
      <c r="C963" s="17">
        <v>60</v>
      </c>
      <c r="D963" s="17" t="s">
        <v>917</v>
      </c>
      <c r="E963" s="17">
        <v>18716000</v>
      </c>
      <c r="F963" s="17" t="s">
        <v>918</v>
      </c>
      <c r="G963" s="17">
        <v>13484500</v>
      </c>
      <c r="H963" s="17" t="s">
        <v>919</v>
      </c>
      <c r="I963" s="17">
        <f t="shared" si="30"/>
        <v>13484500</v>
      </c>
    </row>
    <row r="964" spans="1:9" x14ac:dyDescent="0.3">
      <c r="A964" s="17" t="str">
        <f t="shared" ref="A964:A1027" si="31">B964&amp;TEXT(C964,"0000")</f>
        <v>2000061</v>
      </c>
      <c r="B964" s="17">
        <v>200</v>
      </c>
      <c r="C964" s="17">
        <v>61</v>
      </c>
      <c r="D964" s="17" t="s">
        <v>917</v>
      </c>
      <c r="E964" s="17">
        <v>19939000</v>
      </c>
      <c r="F964" s="17" t="s">
        <v>918</v>
      </c>
      <c r="G964" s="17">
        <v>14299500</v>
      </c>
      <c r="H964" s="17" t="s">
        <v>919</v>
      </c>
      <c r="I964" s="17">
        <f t="shared" si="30"/>
        <v>14299500</v>
      </c>
    </row>
    <row r="965" spans="1:9" x14ac:dyDescent="0.3">
      <c r="A965" s="17" t="str">
        <f t="shared" si="31"/>
        <v>2000062</v>
      </c>
      <c r="B965" s="17">
        <v>200</v>
      </c>
      <c r="C965" s="17">
        <v>62</v>
      </c>
      <c r="D965" s="17" t="s">
        <v>917</v>
      </c>
      <c r="E965" s="17">
        <v>21241300</v>
      </c>
      <c r="F965" s="17" t="s">
        <v>918</v>
      </c>
      <c r="G965" s="17">
        <v>15163500</v>
      </c>
      <c r="H965" s="17" t="s">
        <v>919</v>
      </c>
      <c r="I965" s="17">
        <f t="shared" si="30"/>
        <v>15163500</v>
      </c>
    </row>
    <row r="966" spans="1:9" x14ac:dyDescent="0.3">
      <c r="A966" s="17" t="str">
        <f t="shared" si="31"/>
        <v>2000063</v>
      </c>
      <c r="B966" s="17">
        <v>200</v>
      </c>
      <c r="C966" s="17">
        <v>63</v>
      </c>
      <c r="D966" s="17" t="s">
        <v>917</v>
      </c>
      <c r="E966" s="17">
        <v>22628700</v>
      </c>
      <c r="F966" s="17" t="s">
        <v>918</v>
      </c>
      <c r="G966" s="17">
        <v>16079500</v>
      </c>
      <c r="H966" s="17" t="s">
        <v>919</v>
      </c>
      <c r="I966" s="17">
        <f t="shared" si="30"/>
        <v>16079500</v>
      </c>
    </row>
    <row r="967" spans="1:9" x14ac:dyDescent="0.3">
      <c r="A967" s="17" t="str">
        <f t="shared" si="31"/>
        <v>2000064</v>
      </c>
      <c r="B967" s="17">
        <v>200</v>
      </c>
      <c r="C967" s="17">
        <v>64</v>
      </c>
      <c r="D967" s="17" t="s">
        <v>917</v>
      </c>
      <c r="E967" s="17">
        <v>24106000</v>
      </c>
      <c r="F967" s="17" t="s">
        <v>918</v>
      </c>
      <c r="G967" s="17">
        <v>17050000</v>
      </c>
      <c r="H967" s="17" t="s">
        <v>919</v>
      </c>
      <c r="I967" s="17">
        <f t="shared" si="30"/>
        <v>17050000</v>
      </c>
    </row>
    <row r="968" spans="1:9" x14ac:dyDescent="0.3">
      <c r="A968" s="17" t="str">
        <f t="shared" si="31"/>
        <v>2000065</v>
      </c>
      <c r="B968" s="17">
        <v>200</v>
      </c>
      <c r="C968" s="17">
        <v>65</v>
      </c>
      <c r="D968" s="17" t="s">
        <v>917</v>
      </c>
      <c r="E968" s="17">
        <v>25679300</v>
      </c>
      <c r="F968" s="17" t="s">
        <v>918</v>
      </c>
      <c r="G968" s="17">
        <v>18079000</v>
      </c>
      <c r="H968" s="17" t="s">
        <v>919</v>
      </c>
      <c r="I968" s="17">
        <f t="shared" si="30"/>
        <v>18079000</v>
      </c>
    </row>
    <row r="969" spans="1:9" x14ac:dyDescent="0.3">
      <c r="A969" s="17" t="str">
        <f t="shared" si="31"/>
        <v>2000066</v>
      </c>
      <c r="B969" s="17">
        <v>200</v>
      </c>
      <c r="C969" s="17">
        <v>66</v>
      </c>
      <c r="D969" s="17" t="s">
        <v>917</v>
      </c>
      <c r="E969" s="17">
        <v>27355000</v>
      </c>
      <c r="F969" s="17" t="s">
        <v>918</v>
      </c>
      <c r="G969" s="17">
        <v>19170000</v>
      </c>
      <c r="H969" s="17" t="s">
        <v>919</v>
      </c>
      <c r="I969" s="17">
        <f t="shared" ref="I969:I1032" si="32">G969</f>
        <v>19170000</v>
      </c>
    </row>
    <row r="970" spans="1:9" x14ac:dyDescent="0.3">
      <c r="A970" s="17" t="str">
        <f t="shared" si="31"/>
        <v>2000067</v>
      </c>
      <c r="B970" s="17">
        <v>200</v>
      </c>
      <c r="C970" s="17">
        <v>67</v>
      </c>
      <c r="D970" s="17" t="s">
        <v>917</v>
      </c>
      <c r="E970" s="17">
        <v>29139700</v>
      </c>
      <c r="F970" s="17" t="s">
        <v>918</v>
      </c>
      <c r="G970" s="17">
        <v>20326000</v>
      </c>
      <c r="H970" s="17" t="s">
        <v>919</v>
      </c>
      <c r="I970" s="17">
        <f t="shared" si="32"/>
        <v>20326000</v>
      </c>
    </row>
    <row r="971" spans="1:9" x14ac:dyDescent="0.3">
      <c r="A971" s="17" t="str">
        <f t="shared" si="31"/>
        <v>2000068</v>
      </c>
      <c r="B971" s="17">
        <v>200</v>
      </c>
      <c r="C971" s="17">
        <v>68</v>
      </c>
      <c r="D971" s="17" t="s">
        <v>917</v>
      </c>
      <c r="E971" s="17">
        <v>31040300</v>
      </c>
      <c r="F971" s="17" t="s">
        <v>918</v>
      </c>
      <c r="G971" s="17">
        <v>21551500</v>
      </c>
      <c r="H971" s="17" t="s">
        <v>919</v>
      </c>
      <c r="I971" s="17">
        <f t="shared" si="32"/>
        <v>21551500</v>
      </c>
    </row>
    <row r="972" spans="1:9" x14ac:dyDescent="0.3">
      <c r="A972" s="17" t="str">
        <f t="shared" si="31"/>
        <v>2000069</v>
      </c>
      <c r="B972" s="17">
        <v>200</v>
      </c>
      <c r="C972" s="17">
        <v>69</v>
      </c>
      <c r="D972" s="17" t="s">
        <v>917</v>
      </c>
      <c r="E972" s="17">
        <v>33064300</v>
      </c>
      <c r="F972" s="17" t="s">
        <v>918</v>
      </c>
      <c r="G972" s="17">
        <v>22850500</v>
      </c>
      <c r="H972" s="17" t="s">
        <v>919</v>
      </c>
      <c r="I972" s="17">
        <f t="shared" si="32"/>
        <v>22850500</v>
      </c>
    </row>
    <row r="973" spans="1:9" x14ac:dyDescent="0.3">
      <c r="A973" s="17" t="str">
        <f t="shared" si="31"/>
        <v>2000070</v>
      </c>
      <c r="B973" s="17">
        <v>200</v>
      </c>
      <c r="C973" s="17">
        <v>70</v>
      </c>
      <c r="D973" s="17" t="s">
        <v>917</v>
      </c>
      <c r="E973" s="17">
        <v>35220300</v>
      </c>
      <c r="F973" s="17" t="s">
        <v>918</v>
      </c>
      <c r="G973" s="17">
        <v>24228000</v>
      </c>
      <c r="H973" s="17" t="s">
        <v>919</v>
      </c>
      <c r="I973" s="17">
        <f t="shared" si="32"/>
        <v>24228000</v>
      </c>
    </row>
    <row r="974" spans="1:9" x14ac:dyDescent="0.3">
      <c r="A974" s="17" t="str">
        <f t="shared" si="31"/>
        <v>2000071</v>
      </c>
      <c r="B974" s="17">
        <v>200</v>
      </c>
      <c r="C974" s="17">
        <v>71</v>
      </c>
      <c r="D974" s="17" t="s">
        <v>917</v>
      </c>
      <c r="E974" s="17">
        <v>37516000</v>
      </c>
      <c r="F974" s="17" t="s">
        <v>918</v>
      </c>
      <c r="G974" s="17">
        <v>25687500</v>
      </c>
      <c r="H974" s="17" t="s">
        <v>919</v>
      </c>
      <c r="I974" s="17">
        <f t="shared" si="32"/>
        <v>25687500</v>
      </c>
    </row>
    <row r="975" spans="1:9" x14ac:dyDescent="0.3">
      <c r="A975" s="17" t="str">
        <f t="shared" si="31"/>
        <v>2000072</v>
      </c>
      <c r="B975" s="17">
        <v>200</v>
      </c>
      <c r="C975" s="17">
        <v>72</v>
      </c>
      <c r="D975" s="17" t="s">
        <v>917</v>
      </c>
      <c r="E975" s="17">
        <v>39961000</v>
      </c>
      <c r="F975" s="17" t="s">
        <v>918</v>
      </c>
      <c r="G975" s="17">
        <v>27234500</v>
      </c>
      <c r="H975" s="17" t="s">
        <v>919</v>
      </c>
      <c r="I975" s="17">
        <f t="shared" si="32"/>
        <v>27234500</v>
      </c>
    </row>
    <row r="976" spans="1:9" x14ac:dyDescent="0.3">
      <c r="A976" s="17" t="str">
        <f t="shared" si="31"/>
        <v>2000073</v>
      </c>
      <c r="B976" s="17">
        <v>200</v>
      </c>
      <c r="C976" s="17">
        <v>73</v>
      </c>
      <c r="D976" s="17" t="s">
        <v>917</v>
      </c>
      <c r="E976" s="17">
        <v>42565000</v>
      </c>
      <c r="F976" s="17" t="s">
        <v>918</v>
      </c>
      <c r="G976" s="17">
        <v>28875000</v>
      </c>
      <c r="H976" s="17" t="s">
        <v>919</v>
      </c>
      <c r="I976" s="17">
        <f t="shared" si="32"/>
        <v>28875000</v>
      </c>
    </row>
    <row r="977" spans="1:9" x14ac:dyDescent="0.3">
      <c r="A977" s="17" t="str">
        <f t="shared" si="31"/>
        <v>2000074</v>
      </c>
      <c r="B977" s="17">
        <v>200</v>
      </c>
      <c r="C977" s="17">
        <v>74</v>
      </c>
      <c r="D977" s="17" t="s">
        <v>917</v>
      </c>
      <c r="E977" s="17">
        <v>45338300</v>
      </c>
      <c r="F977" s="17" t="s">
        <v>918</v>
      </c>
      <c r="G977" s="17">
        <v>30613500</v>
      </c>
      <c r="H977" s="17" t="s">
        <v>919</v>
      </c>
      <c r="I977" s="17">
        <f t="shared" si="32"/>
        <v>30613500</v>
      </c>
    </row>
    <row r="978" spans="1:9" x14ac:dyDescent="0.3">
      <c r="A978" s="17" t="str">
        <f t="shared" si="31"/>
        <v>2000075</v>
      </c>
      <c r="B978" s="17">
        <v>200</v>
      </c>
      <c r="C978" s="17">
        <v>75</v>
      </c>
      <c r="D978" s="17" t="s">
        <v>917</v>
      </c>
      <c r="E978" s="17">
        <v>48291700</v>
      </c>
      <c r="F978" s="17" t="s">
        <v>918</v>
      </c>
      <c r="G978" s="17">
        <v>32456000</v>
      </c>
      <c r="H978" s="17" t="s">
        <v>919</v>
      </c>
      <c r="I978" s="17">
        <f t="shared" si="32"/>
        <v>32456000</v>
      </c>
    </row>
    <row r="979" spans="1:9" x14ac:dyDescent="0.3">
      <c r="A979" s="17" t="str">
        <f t="shared" si="31"/>
        <v>2000076</v>
      </c>
      <c r="B979" s="17">
        <v>200</v>
      </c>
      <c r="C979" s="17">
        <v>76</v>
      </c>
      <c r="D979" s="17" t="s">
        <v>917</v>
      </c>
      <c r="E979" s="17">
        <v>51437300</v>
      </c>
      <c r="F979" s="17" t="s">
        <v>918</v>
      </c>
      <c r="G979" s="17">
        <v>34409500</v>
      </c>
      <c r="H979" s="17" t="s">
        <v>919</v>
      </c>
      <c r="I979" s="17">
        <f t="shared" si="32"/>
        <v>34409500</v>
      </c>
    </row>
    <row r="980" spans="1:9" x14ac:dyDescent="0.3">
      <c r="A980" s="17" t="str">
        <f t="shared" si="31"/>
        <v>2000077</v>
      </c>
      <c r="B980" s="17">
        <v>200</v>
      </c>
      <c r="C980" s="17">
        <v>77</v>
      </c>
      <c r="D980" s="17" t="s">
        <v>917</v>
      </c>
      <c r="E980" s="17">
        <v>54787300</v>
      </c>
      <c r="F980" s="17" t="s">
        <v>918</v>
      </c>
      <c r="G980" s="17">
        <v>36135000</v>
      </c>
      <c r="H980" s="17" t="s">
        <v>919</v>
      </c>
      <c r="I980" s="17">
        <f t="shared" si="32"/>
        <v>36135000</v>
      </c>
    </row>
    <row r="981" spans="1:9" x14ac:dyDescent="0.3">
      <c r="A981" s="17" t="str">
        <f t="shared" si="31"/>
        <v>2000078</v>
      </c>
      <c r="B981" s="17">
        <v>200</v>
      </c>
      <c r="C981" s="17">
        <v>78</v>
      </c>
      <c r="D981" s="17" t="s">
        <v>917</v>
      </c>
      <c r="E981" s="17">
        <v>58355000</v>
      </c>
      <c r="F981" s="17" t="s">
        <v>918</v>
      </c>
      <c r="G981" s="17">
        <v>37947000</v>
      </c>
      <c r="H981" s="17" t="s">
        <v>919</v>
      </c>
      <c r="I981" s="17">
        <f t="shared" si="32"/>
        <v>37947000</v>
      </c>
    </row>
    <row r="982" spans="1:9" x14ac:dyDescent="0.3">
      <c r="A982" s="17" t="str">
        <f t="shared" si="31"/>
        <v>2000079</v>
      </c>
      <c r="B982" s="17">
        <v>200</v>
      </c>
      <c r="C982" s="17">
        <v>79</v>
      </c>
      <c r="D982" s="17" t="s">
        <v>917</v>
      </c>
      <c r="E982" s="17">
        <v>62154300</v>
      </c>
      <c r="F982" s="17" t="s">
        <v>918</v>
      </c>
      <c r="G982" s="17">
        <v>39849000</v>
      </c>
      <c r="H982" s="17" t="s">
        <v>919</v>
      </c>
      <c r="I982" s="17">
        <f t="shared" si="32"/>
        <v>39849000</v>
      </c>
    </row>
    <row r="983" spans="1:9" x14ac:dyDescent="0.3">
      <c r="A983" s="17" t="str">
        <f t="shared" si="31"/>
        <v>2000080</v>
      </c>
      <c r="B983" s="17">
        <v>200</v>
      </c>
      <c r="C983" s="17">
        <v>80</v>
      </c>
      <c r="D983" s="17" t="s">
        <v>917</v>
      </c>
      <c r="E983" s="17">
        <v>66201000</v>
      </c>
      <c r="F983" s="17" t="s">
        <v>918</v>
      </c>
      <c r="G983" s="17">
        <v>41846500</v>
      </c>
      <c r="H983" s="17" t="s">
        <v>919</v>
      </c>
      <c r="I983" s="17">
        <f t="shared" si="32"/>
        <v>41846500</v>
      </c>
    </row>
    <row r="984" spans="1:9" x14ac:dyDescent="0.3">
      <c r="A984" s="17" t="str">
        <f t="shared" si="31"/>
        <v>2000081</v>
      </c>
      <c r="B984" s="17">
        <v>200</v>
      </c>
      <c r="C984" s="17">
        <v>81</v>
      </c>
      <c r="D984" s="17" t="s">
        <v>917</v>
      </c>
      <c r="E984" s="17">
        <v>70510700</v>
      </c>
      <c r="F984" s="17" t="s">
        <v>918</v>
      </c>
      <c r="G984" s="17">
        <v>43944000</v>
      </c>
      <c r="H984" s="17" t="s">
        <v>919</v>
      </c>
      <c r="I984" s="17">
        <f t="shared" si="32"/>
        <v>43944000</v>
      </c>
    </row>
    <row r="985" spans="1:9" x14ac:dyDescent="0.3">
      <c r="A985" s="17" t="str">
        <f t="shared" si="31"/>
        <v>2000082</v>
      </c>
      <c r="B985" s="17">
        <v>200</v>
      </c>
      <c r="C985" s="17">
        <v>82</v>
      </c>
      <c r="D985" s="17" t="s">
        <v>917</v>
      </c>
      <c r="E985" s="17">
        <v>75100300</v>
      </c>
      <c r="F985" s="17" t="s">
        <v>918</v>
      </c>
      <c r="G985" s="17">
        <v>46146000</v>
      </c>
      <c r="H985" s="17" t="s">
        <v>919</v>
      </c>
      <c r="I985" s="17">
        <f t="shared" si="32"/>
        <v>46146000</v>
      </c>
    </row>
    <row r="986" spans="1:9" x14ac:dyDescent="0.3">
      <c r="A986" s="17" t="str">
        <f t="shared" si="31"/>
        <v>2000083</v>
      </c>
      <c r="B986" s="17">
        <v>200</v>
      </c>
      <c r="C986" s="17">
        <v>83</v>
      </c>
      <c r="D986" s="17" t="s">
        <v>917</v>
      </c>
      <c r="E986" s="17">
        <v>79988300</v>
      </c>
      <c r="F986" s="17" t="s">
        <v>918</v>
      </c>
      <c r="G986" s="17">
        <v>48458500</v>
      </c>
      <c r="H986" s="17" t="s">
        <v>919</v>
      </c>
      <c r="I986" s="17">
        <f t="shared" si="32"/>
        <v>48458500</v>
      </c>
    </row>
    <row r="987" spans="1:9" x14ac:dyDescent="0.3">
      <c r="A987" s="17" t="str">
        <f t="shared" si="31"/>
        <v>2000084</v>
      </c>
      <c r="B987" s="17">
        <v>200</v>
      </c>
      <c r="C987" s="17">
        <v>84</v>
      </c>
      <c r="D987" s="17" t="s">
        <v>917</v>
      </c>
      <c r="E987" s="17">
        <v>85194000</v>
      </c>
      <c r="F987" s="17" t="s">
        <v>918</v>
      </c>
      <c r="G987" s="17">
        <v>50886500</v>
      </c>
      <c r="H987" s="17" t="s">
        <v>919</v>
      </c>
      <c r="I987" s="17">
        <f t="shared" si="32"/>
        <v>50886500</v>
      </c>
    </row>
    <row r="988" spans="1:9" x14ac:dyDescent="0.3">
      <c r="A988" s="17" t="str">
        <f t="shared" si="31"/>
        <v>2000085</v>
      </c>
      <c r="B988" s="17">
        <v>200</v>
      </c>
      <c r="C988" s="17">
        <v>85</v>
      </c>
      <c r="D988" s="17" t="s">
        <v>917</v>
      </c>
      <c r="E988" s="17">
        <v>90738000</v>
      </c>
      <c r="F988" s="17" t="s">
        <v>918</v>
      </c>
      <c r="G988" s="17">
        <v>53435500</v>
      </c>
      <c r="H988" s="17" t="s">
        <v>919</v>
      </c>
      <c r="I988" s="17">
        <f t="shared" si="32"/>
        <v>53435500</v>
      </c>
    </row>
    <row r="989" spans="1:9" x14ac:dyDescent="0.3">
      <c r="A989" s="17" t="str">
        <f t="shared" si="31"/>
        <v>2000086</v>
      </c>
      <c r="B989" s="17">
        <v>200</v>
      </c>
      <c r="C989" s="17">
        <v>86</v>
      </c>
      <c r="D989" s="17" t="s">
        <v>917</v>
      </c>
      <c r="E989" s="17">
        <v>96642700</v>
      </c>
      <c r="F989" s="17" t="s">
        <v>918</v>
      </c>
      <c r="G989" s="17">
        <v>56112500</v>
      </c>
      <c r="H989" s="17" t="s">
        <v>919</v>
      </c>
      <c r="I989" s="17">
        <f t="shared" si="32"/>
        <v>56112500</v>
      </c>
    </row>
    <row r="990" spans="1:9" x14ac:dyDescent="0.3">
      <c r="A990" s="17" t="str">
        <f t="shared" si="31"/>
        <v>2000087</v>
      </c>
      <c r="B990" s="17">
        <v>200</v>
      </c>
      <c r="C990" s="17">
        <v>87</v>
      </c>
      <c r="D990" s="17" t="s">
        <v>917</v>
      </c>
      <c r="E990" s="17">
        <v>102931000</v>
      </c>
      <c r="F990" s="17" t="s">
        <v>918</v>
      </c>
      <c r="G990" s="17">
        <v>58923000</v>
      </c>
      <c r="H990" s="17" t="s">
        <v>919</v>
      </c>
      <c r="I990" s="17">
        <f t="shared" si="32"/>
        <v>58923000</v>
      </c>
    </row>
    <row r="991" spans="1:9" x14ac:dyDescent="0.3">
      <c r="A991" s="17" t="str">
        <f t="shared" si="31"/>
        <v>2000088</v>
      </c>
      <c r="B991" s="17">
        <v>200</v>
      </c>
      <c r="C991" s="17">
        <v>88</v>
      </c>
      <c r="D991" s="17" t="s">
        <v>917</v>
      </c>
      <c r="E991" s="17">
        <v>109628000</v>
      </c>
      <c r="F991" s="17" t="s">
        <v>918</v>
      </c>
      <c r="G991" s="17">
        <v>61874500</v>
      </c>
      <c r="H991" s="17" t="s">
        <v>919</v>
      </c>
      <c r="I991" s="17">
        <f t="shared" si="32"/>
        <v>61874500</v>
      </c>
    </row>
    <row r="992" spans="1:9" x14ac:dyDescent="0.3">
      <c r="A992" s="17" t="str">
        <f t="shared" si="31"/>
        <v>2000089</v>
      </c>
      <c r="B992" s="17">
        <v>200</v>
      </c>
      <c r="C992" s="17">
        <v>89</v>
      </c>
      <c r="D992" s="17" t="s">
        <v>917</v>
      </c>
      <c r="E992" s="17">
        <v>116760300</v>
      </c>
      <c r="F992" s="17" t="s">
        <v>918</v>
      </c>
      <c r="G992" s="17">
        <v>64973000</v>
      </c>
      <c r="H992" s="17" t="s">
        <v>919</v>
      </c>
      <c r="I992" s="17">
        <f t="shared" si="32"/>
        <v>64973000</v>
      </c>
    </row>
    <row r="993" spans="1:9" x14ac:dyDescent="0.3">
      <c r="A993" s="17" t="str">
        <f t="shared" si="31"/>
        <v>2000090</v>
      </c>
      <c r="B993" s="17">
        <v>200</v>
      </c>
      <c r="C993" s="17">
        <v>90</v>
      </c>
      <c r="D993" s="17" t="s">
        <v>917</v>
      </c>
      <c r="E993" s="17">
        <v>124356300</v>
      </c>
      <c r="F993" s="17" t="s">
        <v>918</v>
      </c>
      <c r="G993" s="17">
        <v>68226500</v>
      </c>
      <c r="H993" s="17" t="s">
        <v>919</v>
      </c>
      <c r="I993" s="17">
        <f t="shared" si="32"/>
        <v>68226500</v>
      </c>
    </row>
    <row r="994" spans="1:9" x14ac:dyDescent="0.3">
      <c r="A994" s="17" t="str">
        <f t="shared" si="31"/>
        <v>2000091</v>
      </c>
      <c r="B994" s="17">
        <v>200</v>
      </c>
      <c r="C994" s="17">
        <v>91</v>
      </c>
      <c r="D994" s="17" t="s">
        <v>917</v>
      </c>
      <c r="E994" s="17">
        <v>132446000</v>
      </c>
      <c r="F994" s="17" t="s">
        <v>918</v>
      </c>
      <c r="G994" s="17">
        <v>71643000</v>
      </c>
      <c r="H994" s="17" t="s">
        <v>919</v>
      </c>
      <c r="I994" s="17">
        <f t="shared" si="32"/>
        <v>71643000</v>
      </c>
    </row>
    <row r="995" spans="1:9" x14ac:dyDescent="0.3">
      <c r="A995" s="17" t="str">
        <f t="shared" si="31"/>
        <v>2000092</v>
      </c>
      <c r="B995" s="17">
        <v>200</v>
      </c>
      <c r="C995" s="17">
        <v>92</v>
      </c>
      <c r="D995" s="17" t="s">
        <v>917</v>
      </c>
      <c r="E995" s="17">
        <v>141061300</v>
      </c>
      <c r="F995" s="17" t="s">
        <v>918</v>
      </c>
      <c r="G995" s="17">
        <v>75230500</v>
      </c>
      <c r="H995" s="17" t="s">
        <v>919</v>
      </c>
      <c r="I995" s="17">
        <f t="shared" si="32"/>
        <v>75230500</v>
      </c>
    </row>
    <row r="996" spans="1:9" x14ac:dyDescent="0.3">
      <c r="A996" s="17" t="str">
        <f t="shared" si="31"/>
        <v>2000093</v>
      </c>
      <c r="B996" s="17">
        <v>200</v>
      </c>
      <c r="C996" s="17">
        <v>93</v>
      </c>
      <c r="D996" s="17" t="s">
        <v>917</v>
      </c>
      <c r="E996" s="17">
        <v>150237000</v>
      </c>
      <c r="F996" s="17" t="s">
        <v>918</v>
      </c>
      <c r="G996" s="17">
        <v>78997000</v>
      </c>
      <c r="H996" s="17" t="s">
        <v>919</v>
      </c>
      <c r="I996" s="17">
        <f t="shared" si="32"/>
        <v>78997000</v>
      </c>
    </row>
    <row r="997" spans="1:9" x14ac:dyDescent="0.3">
      <c r="A997" s="17" t="str">
        <f t="shared" si="31"/>
        <v>2000094</v>
      </c>
      <c r="B997" s="17">
        <v>200</v>
      </c>
      <c r="C997" s="17">
        <v>94</v>
      </c>
      <c r="D997" s="17" t="s">
        <v>917</v>
      </c>
      <c r="E997" s="17">
        <v>160008700</v>
      </c>
      <c r="F997" s="17" t="s">
        <v>918</v>
      </c>
      <c r="G997" s="17">
        <v>82951500</v>
      </c>
      <c r="H997" s="17" t="s">
        <v>919</v>
      </c>
      <c r="I997" s="17">
        <f t="shared" si="32"/>
        <v>82951500</v>
      </c>
    </row>
    <row r="998" spans="1:9" x14ac:dyDescent="0.3">
      <c r="A998" s="17" t="str">
        <f t="shared" si="31"/>
        <v>2000095</v>
      </c>
      <c r="B998" s="17">
        <v>200</v>
      </c>
      <c r="C998" s="17">
        <v>95</v>
      </c>
      <c r="D998" s="17" t="s">
        <v>917</v>
      </c>
      <c r="E998" s="17">
        <v>170416000</v>
      </c>
      <c r="F998" s="17" t="s">
        <v>918</v>
      </c>
      <c r="G998" s="17">
        <v>87104000</v>
      </c>
      <c r="H998" s="17" t="s">
        <v>919</v>
      </c>
      <c r="I998" s="17">
        <f t="shared" si="32"/>
        <v>87104000</v>
      </c>
    </row>
    <row r="999" spans="1:9" x14ac:dyDescent="0.3">
      <c r="A999" s="17" t="str">
        <f t="shared" si="31"/>
        <v>2000096</v>
      </c>
      <c r="B999" s="17">
        <v>200</v>
      </c>
      <c r="C999" s="17">
        <v>96</v>
      </c>
      <c r="D999" s="17" t="s">
        <v>917</v>
      </c>
      <c r="E999" s="17">
        <v>181499300</v>
      </c>
      <c r="F999" s="17" t="s">
        <v>918</v>
      </c>
      <c r="G999" s="17">
        <v>91464500</v>
      </c>
      <c r="H999" s="17" t="s">
        <v>919</v>
      </c>
      <c r="I999" s="17">
        <f t="shared" si="32"/>
        <v>91464500</v>
      </c>
    </row>
    <row r="1000" spans="1:9" x14ac:dyDescent="0.3">
      <c r="A1000" s="17" t="str">
        <f t="shared" si="31"/>
        <v>2000097</v>
      </c>
      <c r="B1000" s="17">
        <v>200</v>
      </c>
      <c r="C1000" s="17">
        <v>97</v>
      </c>
      <c r="D1000" s="17" t="s">
        <v>917</v>
      </c>
      <c r="E1000" s="17">
        <v>193303300</v>
      </c>
      <c r="F1000" s="17" t="s">
        <v>918</v>
      </c>
      <c r="G1000" s="17">
        <v>96958500</v>
      </c>
      <c r="H1000" s="17" t="s">
        <v>919</v>
      </c>
      <c r="I1000" s="17">
        <f t="shared" si="32"/>
        <v>96958500</v>
      </c>
    </row>
    <row r="1001" spans="1:9" x14ac:dyDescent="0.3">
      <c r="A1001" s="17" t="str">
        <f t="shared" si="31"/>
        <v>2000098</v>
      </c>
      <c r="B1001" s="17">
        <v>200</v>
      </c>
      <c r="C1001" s="17">
        <v>98</v>
      </c>
      <c r="D1001" s="17" t="s">
        <v>917</v>
      </c>
      <c r="E1001" s="17">
        <v>205874700</v>
      </c>
      <c r="F1001" s="17" t="s">
        <v>918</v>
      </c>
      <c r="G1001" s="17">
        <v>98899500</v>
      </c>
      <c r="H1001" s="17" t="s">
        <v>919</v>
      </c>
      <c r="I1001" s="17">
        <f t="shared" si="32"/>
        <v>98899500</v>
      </c>
    </row>
    <row r="1002" spans="1:9" x14ac:dyDescent="0.3">
      <c r="A1002" s="17" t="str">
        <f t="shared" si="31"/>
        <v>2000099</v>
      </c>
      <c r="B1002" s="17">
        <v>200</v>
      </c>
      <c r="C1002" s="17">
        <v>99</v>
      </c>
      <c r="D1002" s="17" t="s">
        <v>917</v>
      </c>
      <c r="E1002" s="17">
        <v>219263000</v>
      </c>
      <c r="F1002" s="17" t="s">
        <v>918</v>
      </c>
      <c r="G1002" s="17">
        <v>100879500</v>
      </c>
      <c r="H1002" s="17" t="s">
        <v>919</v>
      </c>
      <c r="I1002" s="17">
        <f t="shared" si="32"/>
        <v>100879500</v>
      </c>
    </row>
    <row r="1003" spans="1:9" x14ac:dyDescent="0.3">
      <c r="A1003" s="17" t="str">
        <f t="shared" si="31"/>
        <v>2000100</v>
      </c>
      <c r="B1003" s="17">
        <v>200</v>
      </c>
      <c r="C1003" s="17">
        <v>100</v>
      </c>
      <c r="D1003" s="17" t="s">
        <v>917</v>
      </c>
      <c r="E1003" s="17">
        <v>233521700</v>
      </c>
      <c r="F1003" s="17" t="s">
        <v>918</v>
      </c>
      <c r="G1003" s="17">
        <v>102899000</v>
      </c>
      <c r="H1003" s="17" t="s">
        <v>919</v>
      </c>
      <c r="I1003" s="17">
        <f t="shared" si="32"/>
        <v>102899000</v>
      </c>
    </row>
    <row r="1004" spans="1:9" x14ac:dyDescent="0.3">
      <c r="A1004" s="17" t="str">
        <f t="shared" si="31"/>
        <v>2000101</v>
      </c>
      <c r="B1004" s="17">
        <v>200</v>
      </c>
      <c r="C1004" s="17">
        <v>101</v>
      </c>
      <c r="D1004" s="17" t="s">
        <v>917</v>
      </c>
      <c r="E1004" s="17">
        <v>248707000</v>
      </c>
      <c r="F1004" s="17" t="s">
        <v>918</v>
      </c>
      <c r="G1004" s="17">
        <v>104959000</v>
      </c>
      <c r="H1004" s="17" t="s">
        <v>919</v>
      </c>
      <c r="I1004" s="17">
        <f t="shared" si="32"/>
        <v>104959000</v>
      </c>
    </row>
    <row r="1005" spans="1:9" x14ac:dyDescent="0.3">
      <c r="A1005" s="17" t="str">
        <f t="shared" si="31"/>
        <v>2000102</v>
      </c>
      <c r="B1005" s="17">
        <v>200</v>
      </c>
      <c r="C1005" s="17">
        <v>102</v>
      </c>
      <c r="D1005" s="17" t="s">
        <v>917</v>
      </c>
      <c r="E1005" s="17">
        <v>264879300</v>
      </c>
      <c r="F1005" s="17" t="s">
        <v>918</v>
      </c>
      <c r="G1005" s="17">
        <v>107060500</v>
      </c>
      <c r="H1005" s="17" t="s">
        <v>919</v>
      </c>
      <c r="I1005" s="17">
        <f t="shared" si="32"/>
        <v>107060500</v>
      </c>
    </row>
    <row r="1006" spans="1:9" x14ac:dyDescent="0.3">
      <c r="A1006" s="17" t="str">
        <f t="shared" si="31"/>
        <v>2000103</v>
      </c>
      <c r="B1006" s="17">
        <v>200</v>
      </c>
      <c r="C1006" s="17">
        <v>103</v>
      </c>
      <c r="D1006" s="17" t="s">
        <v>917</v>
      </c>
      <c r="E1006" s="17">
        <v>282103000</v>
      </c>
      <c r="F1006" s="17" t="s">
        <v>918</v>
      </c>
      <c r="G1006" s="17">
        <v>109203500</v>
      </c>
      <c r="H1006" s="17" t="s">
        <v>919</v>
      </c>
      <c r="I1006" s="17">
        <f t="shared" si="32"/>
        <v>109203500</v>
      </c>
    </row>
    <row r="1007" spans="1:9" x14ac:dyDescent="0.3">
      <c r="A1007" s="17" t="str">
        <f t="shared" si="31"/>
        <v>2000104</v>
      </c>
      <c r="B1007" s="17">
        <v>200</v>
      </c>
      <c r="C1007" s="17">
        <v>104</v>
      </c>
      <c r="D1007" s="17" t="s">
        <v>917</v>
      </c>
      <c r="E1007" s="17">
        <v>300446300</v>
      </c>
      <c r="F1007" s="17" t="s">
        <v>918</v>
      </c>
      <c r="G1007" s="17">
        <v>111389500</v>
      </c>
      <c r="H1007" s="17" t="s">
        <v>919</v>
      </c>
      <c r="I1007" s="17">
        <f t="shared" si="32"/>
        <v>111389500</v>
      </c>
    </row>
    <row r="1008" spans="1:9" x14ac:dyDescent="0.3">
      <c r="A1008" s="17" t="str">
        <f t="shared" si="31"/>
        <v>2000105</v>
      </c>
      <c r="B1008" s="17">
        <v>200</v>
      </c>
      <c r="C1008" s="17">
        <v>105</v>
      </c>
      <c r="D1008" s="17" t="s">
        <v>917</v>
      </c>
      <c r="E1008" s="17">
        <v>319982000</v>
      </c>
      <c r="F1008" s="17" t="s">
        <v>918</v>
      </c>
      <c r="G1008" s="17">
        <v>113619500</v>
      </c>
      <c r="H1008" s="17" t="s">
        <v>919</v>
      </c>
      <c r="I1008" s="17">
        <f t="shared" si="32"/>
        <v>113619500</v>
      </c>
    </row>
    <row r="1009" spans="1:9" x14ac:dyDescent="0.3">
      <c r="A1009" s="17" t="str">
        <f t="shared" si="31"/>
        <v>2000106</v>
      </c>
      <c r="B1009" s="17">
        <v>200</v>
      </c>
      <c r="C1009" s="17">
        <v>106</v>
      </c>
      <c r="D1009" s="17" t="s">
        <v>917</v>
      </c>
      <c r="E1009" s="17">
        <v>340787300</v>
      </c>
      <c r="F1009" s="17" t="s">
        <v>918</v>
      </c>
      <c r="G1009" s="17">
        <v>115893500</v>
      </c>
      <c r="H1009" s="17" t="s">
        <v>919</v>
      </c>
      <c r="I1009" s="17">
        <f t="shared" si="32"/>
        <v>115893500</v>
      </c>
    </row>
    <row r="1010" spans="1:9" x14ac:dyDescent="0.3">
      <c r="A1010" s="17" t="str">
        <f t="shared" si="31"/>
        <v>2000107</v>
      </c>
      <c r="B1010" s="17">
        <v>200</v>
      </c>
      <c r="C1010" s="17">
        <v>107</v>
      </c>
      <c r="D1010" s="17" t="s">
        <v>917</v>
      </c>
      <c r="E1010" s="17">
        <v>362945000</v>
      </c>
      <c r="F1010" s="17" t="s">
        <v>918</v>
      </c>
      <c r="G1010" s="17">
        <v>118213500</v>
      </c>
      <c r="H1010" s="17" t="s">
        <v>919</v>
      </c>
      <c r="I1010" s="17">
        <f t="shared" si="32"/>
        <v>118213500</v>
      </c>
    </row>
    <row r="1011" spans="1:9" x14ac:dyDescent="0.3">
      <c r="A1011" s="17" t="str">
        <f t="shared" si="31"/>
        <v>2000108</v>
      </c>
      <c r="B1011" s="17">
        <v>200</v>
      </c>
      <c r="C1011" s="17">
        <v>108</v>
      </c>
      <c r="D1011" s="17" t="s">
        <v>917</v>
      </c>
      <c r="E1011" s="17">
        <v>386542700</v>
      </c>
      <c r="F1011" s="17" t="s">
        <v>918</v>
      </c>
      <c r="G1011" s="17">
        <v>120580000</v>
      </c>
      <c r="H1011" s="17" t="s">
        <v>919</v>
      </c>
      <c r="I1011" s="17">
        <f t="shared" si="32"/>
        <v>120580000</v>
      </c>
    </row>
    <row r="1012" spans="1:9" x14ac:dyDescent="0.3">
      <c r="A1012" s="17" t="str">
        <f t="shared" si="31"/>
        <v>2000109</v>
      </c>
      <c r="B1012" s="17">
        <v>200</v>
      </c>
      <c r="C1012" s="17">
        <v>109</v>
      </c>
      <c r="D1012" s="17" t="s">
        <v>917</v>
      </c>
      <c r="E1012" s="17">
        <v>411674700</v>
      </c>
      <c r="F1012" s="17" t="s">
        <v>918</v>
      </c>
      <c r="G1012" s="17">
        <v>122993500</v>
      </c>
      <c r="H1012" s="17" t="s">
        <v>919</v>
      </c>
      <c r="I1012" s="17">
        <f t="shared" si="32"/>
        <v>122993500</v>
      </c>
    </row>
    <row r="1013" spans="1:9" x14ac:dyDescent="0.3">
      <c r="A1013" s="17" t="str">
        <f t="shared" si="31"/>
        <v>2000110</v>
      </c>
      <c r="B1013" s="17">
        <v>200</v>
      </c>
      <c r="C1013" s="17">
        <v>110</v>
      </c>
      <c r="D1013" s="17" t="s">
        <v>917</v>
      </c>
      <c r="E1013" s="17">
        <v>438440000</v>
      </c>
      <c r="F1013" s="17" t="s">
        <v>918</v>
      </c>
      <c r="G1013" s="17">
        <v>125455500</v>
      </c>
      <c r="H1013" s="17" t="s">
        <v>919</v>
      </c>
      <c r="I1013" s="17">
        <f t="shared" si="32"/>
        <v>125455500</v>
      </c>
    </row>
    <row r="1014" spans="1:9" x14ac:dyDescent="0.3">
      <c r="A1014" s="17" t="str">
        <f t="shared" si="31"/>
        <v>2000111</v>
      </c>
      <c r="B1014" s="17">
        <v>200</v>
      </c>
      <c r="C1014" s="17">
        <v>111</v>
      </c>
      <c r="D1014" s="17" t="s">
        <v>917</v>
      </c>
      <c r="E1014" s="17">
        <v>466945000</v>
      </c>
      <c r="F1014" s="17" t="s">
        <v>918</v>
      </c>
      <c r="G1014" s="17">
        <v>127966500</v>
      </c>
      <c r="H1014" s="17" t="s">
        <v>919</v>
      </c>
      <c r="I1014" s="17">
        <f t="shared" si="32"/>
        <v>127966500</v>
      </c>
    </row>
    <row r="1015" spans="1:9" x14ac:dyDescent="0.3">
      <c r="A1015" s="17" t="str">
        <f t="shared" si="31"/>
        <v>2000112</v>
      </c>
      <c r="B1015" s="17">
        <v>200</v>
      </c>
      <c r="C1015" s="17">
        <v>112</v>
      </c>
      <c r="D1015" s="17" t="s">
        <v>917</v>
      </c>
      <c r="E1015" s="17">
        <v>497303000</v>
      </c>
      <c r="F1015" s="17" t="s">
        <v>918</v>
      </c>
      <c r="G1015" s="17">
        <v>130528000</v>
      </c>
      <c r="H1015" s="17" t="s">
        <v>919</v>
      </c>
      <c r="I1015" s="17">
        <f t="shared" si="32"/>
        <v>130528000</v>
      </c>
    </row>
    <row r="1016" spans="1:9" x14ac:dyDescent="0.3">
      <c r="A1016" s="17" t="str">
        <f t="shared" si="31"/>
        <v>2000113</v>
      </c>
      <c r="B1016" s="17">
        <v>200</v>
      </c>
      <c r="C1016" s="17">
        <v>113</v>
      </c>
      <c r="D1016" s="17" t="s">
        <v>917</v>
      </c>
      <c r="E1016" s="17">
        <v>529634300</v>
      </c>
      <c r="F1016" s="17" t="s">
        <v>918</v>
      </c>
      <c r="G1016" s="17">
        <v>133140500</v>
      </c>
      <c r="H1016" s="17" t="s">
        <v>919</v>
      </c>
      <c r="I1016" s="17">
        <f t="shared" si="32"/>
        <v>133140500</v>
      </c>
    </row>
    <row r="1017" spans="1:9" x14ac:dyDescent="0.3">
      <c r="A1017" s="17" t="str">
        <f t="shared" si="31"/>
        <v>2000114</v>
      </c>
      <c r="B1017" s="17">
        <v>200</v>
      </c>
      <c r="C1017" s="17">
        <v>114</v>
      </c>
      <c r="D1017" s="17" t="s">
        <v>917</v>
      </c>
      <c r="E1017" s="17">
        <v>564067000</v>
      </c>
      <c r="F1017" s="17" t="s">
        <v>918</v>
      </c>
      <c r="G1017" s="17">
        <v>135805000</v>
      </c>
      <c r="H1017" s="17" t="s">
        <v>919</v>
      </c>
      <c r="I1017" s="17">
        <f t="shared" si="32"/>
        <v>135805000</v>
      </c>
    </row>
    <row r="1018" spans="1:9" x14ac:dyDescent="0.3">
      <c r="A1018" s="17" t="str">
        <f t="shared" si="31"/>
        <v>2000115</v>
      </c>
      <c r="B1018" s="17">
        <v>200</v>
      </c>
      <c r="C1018" s="17">
        <v>115</v>
      </c>
      <c r="D1018" s="17" t="s">
        <v>917</v>
      </c>
      <c r="E1018" s="17">
        <v>600737700</v>
      </c>
      <c r="F1018" s="17" t="s">
        <v>918</v>
      </c>
      <c r="G1018" s="17">
        <v>138523500</v>
      </c>
      <c r="H1018" s="17" t="s">
        <v>919</v>
      </c>
      <c r="I1018" s="17">
        <f t="shared" si="32"/>
        <v>138523500</v>
      </c>
    </row>
    <row r="1019" spans="1:9" x14ac:dyDescent="0.3">
      <c r="A1019" s="17" t="str">
        <f t="shared" si="31"/>
        <v>2000116</v>
      </c>
      <c r="B1019" s="17">
        <v>200</v>
      </c>
      <c r="C1019" s="17">
        <v>116</v>
      </c>
      <c r="D1019" s="17" t="s">
        <v>917</v>
      </c>
      <c r="E1019" s="17">
        <v>639792300</v>
      </c>
      <c r="F1019" s="17" t="s">
        <v>918</v>
      </c>
      <c r="G1019" s="17">
        <v>141296000</v>
      </c>
      <c r="H1019" s="17" t="s">
        <v>919</v>
      </c>
      <c r="I1019" s="17">
        <f t="shared" si="32"/>
        <v>141296000</v>
      </c>
    </row>
    <row r="1020" spans="1:9" x14ac:dyDescent="0.3">
      <c r="A1020" s="17" t="str">
        <f t="shared" si="31"/>
        <v>2000117</v>
      </c>
      <c r="B1020" s="17">
        <v>200</v>
      </c>
      <c r="C1020" s="17">
        <v>117</v>
      </c>
      <c r="D1020" s="17" t="s">
        <v>917</v>
      </c>
      <c r="E1020" s="17">
        <v>681385300</v>
      </c>
      <c r="F1020" s="17" t="s">
        <v>918</v>
      </c>
      <c r="G1020" s="17">
        <v>144123500</v>
      </c>
      <c r="H1020" s="17" t="s">
        <v>919</v>
      </c>
      <c r="I1020" s="17">
        <f t="shared" si="32"/>
        <v>144123500</v>
      </c>
    </row>
    <row r="1021" spans="1:9" x14ac:dyDescent="0.3">
      <c r="A1021" s="17" t="str">
        <f t="shared" si="31"/>
        <v>2000118</v>
      </c>
      <c r="B1021" s="17">
        <v>200</v>
      </c>
      <c r="C1021" s="17">
        <v>118</v>
      </c>
      <c r="D1021" s="17" t="s">
        <v>917</v>
      </c>
      <c r="E1021" s="17">
        <v>725681700</v>
      </c>
      <c r="F1021" s="17" t="s">
        <v>918</v>
      </c>
      <c r="G1021" s="17">
        <v>147008000</v>
      </c>
      <c r="H1021" s="17" t="s">
        <v>919</v>
      </c>
      <c r="I1021" s="17">
        <f t="shared" si="32"/>
        <v>147008000</v>
      </c>
    </row>
    <row r="1022" spans="1:9" x14ac:dyDescent="0.3">
      <c r="A1022" s="17" t="str">
        <f t="shared" si="31"/>
        <v>2000119</v>
      </c>
      <c r="B1022" s="17">
        <v>200</v>
      </c>
      <c r="C1022" s="17">
        <v>119</v>
      </c>
      <c r="D1022" s="17" t="s">
        <v>917</v>
      </c>
      <c r="E1022" s="17">
        <v>772857700</v>
      </c>
      <c r="F1022" s="17" t="s">
        <v>918</v>
      </c>
      <c r="G1022" s="17">
        <v>149950500</v>
      </c>
      <c r="H1022" s="17" t="s">
        <v>919</v>
      </c>
      <c r="I1022" s="17">
        <f t="shared" si="32"/>
        <v>149950500</v>
      </c>
    </row>
    <row r="1023" spans="1:9" x14ac:dyDescent="0.3">
      <c r="A1023" s="17" t="str">
        <f t="shared" si="31"/>
        <v>2000120</v>
      </c>
      <c r="B1023" s="17">
        <v>200</v>
      </c>
      <c r="C1023" s="17">
        <v>120</v>
      </c>
      <c r="D1023" s="17" t="s">
        <v>917</v>
      </c>
      <c r="E1023" s="17">
        <v>823100000</v>
      </c>
      <c r="F1023" s="17" t="s">
        <v>918</v>
      </c>
      <c r="G1023" s="17">
        <v>152951500</v>
      </c>
      <c r="H1023" s="17" t="s">
        <v>919</v>
      </c>
      <c r="I1023" s="17">
        <f t="shared" si="32"/>
        <v>152951500</v>
      </c>
    </row>
    <row r="1024" spans="1:9" x14ac:dyDescent="0.3">
      <c r="A1024" s="17" t="str">
        <f t="shared" si="31"/>
        <v>2000121</v>
      </c>
      <c r="B1024" s="17">
        <v>200</v>
      </c>
      <c r="C1024" s="17">
        <v>121</v>
      </c>
      <c r="D1024" s="17" t="s">
        <v>917</v>
      </c>
      <c r="E1024" s="17">
        <v>876608000</v>
      </c>
      <c r="F1024" s="17" t="s">
        <v>918</v>
      </c>
      <c r="G1024" s="17">
        <v>156012500</v>
      </c>
      <c r="H1024" s="17" t="s">
        <v>919</v>
      </c>
      <c r="I1024" s="17">
        <f t="shared" si="32"/>
        <v>156012500</v>
      </c>
    </row>
    <row r="1025" spans="1:9" x14ac:dyDescent="0.3">
      <c r="A1025" s="17" t="str">
        <f t="shared" si="31"/>
        <v>2000122</v>
      </c>
      <c r="B1025" s="17">
        <v>200</v>
      </c>
      <c r="C1025" s="17">
        <v>122</v>
      </c>
      <c r="D1025" s="17" t="s">
        <v>917</v>
      </c>
      <c r="E1025" s="17">
        <v>933594000</v>
      </c>
      <c r="F1025" s="17" t="s">
        <v>918</v>
      </c>
      <c r="G1025" s="17">
        <v>159134500</v>
      </c>
      <c r="H1025" s="17" t="s">
        <v>919</v>
      </c>
      <c r="I1025" s="17">
        <f t="shared" si="32"/>
        <v>159134500</v>
      </c>
    </row>
    <row r="1026" spans="1:9" x14ac:dyDescent="0.3">
      <c r="A1026" s="17" t="str">
        <f t="shared" si="31"/>
        <v>2000123</v>
      </c>
      <c r="B1026" s="17">
        <v>200</v>
      </c>
      <c r="C1026" s="17">
        <v>123</v>
      </c>
      <c r="D1026" s="17" t="s">
        <v>917</v>
      </c>
      <c r="E1026" s="17">
        <v>994284000</v>
      </c>
      <c r="F1026" s="17" t="s">
        <v>918</v>
      </c>
      <c r="G1026" s="17">
        <v>162319500</v>
      </c>
      <c r="H1026" s="17" t="s">
        <v>919</v>
      </c>
      <c r="I1026" s="17">
        <f t="shared" si="32"/>
        <v>162319500</v>
      </c>
    </row>
    <row r="1027" spans="1:9" x14ac:dyDescent="0.3">
      <c r="A1027" s="17" t="str">
        <f t="shared" si="31"/>
        <v>2000124</v>
      </c>
      <c r="B1027" s="17">
        <v>200</v>
      </c>
      <c r="C1027" s="17">
        <v>124</v>
      </c>
      <c r="D1027" s="17" t="s">
        <v>917</v>
      </c>
      <c r="E1027" s="17">
        <v>1058919000</v>
      </c>
      <c r="F1027" s="17" t="s">
        <v>918</v>
      </c>
      <c r="G1027" s="17">
        <v>165567500</v>
      </c>
      <c r="H1027" s="17" t="s">
        <v>919</v>
      </c>
      <c r="I1027" s="17">
        <f t="shared" si="32"/>
        <v>165567500</v>
      </c>
    </row>
    <row r="1028" spans="1:9" x14ac:dyDescent="0.3">
      <c r="A1028" s="17" t="str">
        <f t="shared" ref="A1028:A1091" si="33">B1028&amp;TEXT(C1028,"0000")</f>
        <v>2000125</v>
      </c>
      <c r="B1028" s="17">
        <v>200</v>
      </c>
      <c r="C1028" s="17">
        <v>125</v>
      </c>
      <c r="D1028" s="17" t="s">
        <v>917</v>
      </c>
      <c r="E1028" s="17">
        <v>1127755300</v>
      </c>
      <c r="F1028" s="17" t="s">
        <v>918</v>
      </c>
      <c r="G1028" s="17">
        <v>168881000</v>
      </c>
      <c r="H1028" s="17" t="s">
        <v>919</v>
      </c>
      <c r="I1028" s="17">
        <f t="shared" si="32"/>
        <v>168881000</v>
      </c>
    </row>
    <row r="1029" spans="1:9" x14ac:dyDescent="0.3">
      <c r="A1029" s="17" t="str">
        <f t="shared" si="33"/>
        <v>2000126</v>
      </c>
      <c r="B1029" s="17">
        <v>200</v>
      </c>
      <c r="C1029" s="17">
        <v>126</v>
      </c>
      <c r="D1029" s="17" t="s">
        <v>917</v>
      </c>
      <c r="E1029" s="17">
        <v>1201066000</v>
      </c>
      <c r="F1029" s="17" t="s">
        <v>918</v>
      </c>
      <c r="G1029" s="17">
        <v>172260500</v>
      </c>
      <c r="H1029" s="17" t="s">
        <v>919</v>
      </c>
      <c r="I1029" s="17">
        <f t="shared" si="32"/>
        <v>172260500</v>
      </c>
    </row>
    <row r="1030" spans="1:9" x14ac:dyDescent="0.3">
      <c r="A1030" s="17" t="str">
        <f t="shared" si="33"/>
        <v>2000127</v>
      </c>
      <c r="B1030" s="17">
        <v>200</v>
      </c>
      <c r="C1030" s="17">
        <v>127</v>
      </c>
      <c r="D1030" s="17" t="s">
        <v>917</v>
      </c>
      <c r="E1030" s="17">
        <v>1279141700</v>
      </c>
      <c r="F1030" s="17" t="s">
        <v>918</v>
      </c>
      <c r="G1030" s="17">
        <v>175708000</v>
      </c>
      <c r="H1030" s="17" t="s">
        <v>919</v>
      </c>
      <c r="I1030" s="17">
        <f t="shared" si="32"/>
        <v>175708000</v>
      </c>
    </row>
    <row r="1031" spans="1:9" x14ac:dyDescent="0.3">
      <c r="A1031" s="17" t="str">
        <f t="shared" si="33"/>
        <v>2000128</v>
      </c>
      <c r="B1031" s="17">
        <v>200</v>
      </c>
      <c r="C1031" s="17">
        <v>128</v>
      </c>
      <c r="D1031" s="17" t="s">
        <v>917</v>
      </c>
      <c r="E1031" s="17">
        <v>1330311300</v>
      </c>
      <c r="F1031" s="17" t="s">
        <v>918</v>
      </c>
      <c r="G1031" s="17">
        <v>179224000</v>
      </c>
      <c r="H1031" s="17" t="s">
        <v>919</v>
      </c>
      <c r="I1031" s="17">
        <f t="shared" si="32"/>
        <v>179224000</v>
      </c>
    </row>
    <row r="1032" spans="1:9" x14ac:dyDescent="0.3">
      <c r="A1032" s="17" t="str">
        <f t="shared" si="33"/>
        <v>2000129</v>
      </c>
      <c r="B1032" s="17">
        <v>200</v>
      </c>
      <c r="C1032" s="17">
        <v>129</v>
      </c>
      <c r="D1032" s="17" t="s">
        <v>917</v>
      </c>
      <c r="E1032" s="17">
        <v>1383527700</v>
      </c>
      <c r="F1032" s="17" t="s">
        <v>918</v>
      </c>
      <c r="G1032" s="17">
        <v>182810500</v>
      </c>
      <c r="H1032" s="17" t="s">
        <v>919</v>
      </c>
      <c r="I1032" s="17">
        <f t="shared" si="32"/>
        <v>182810500</v>
      </c>
    </row>
    <row r="1033" spans="1:9" x14ac:dyDescent="0.3">
      <c r="A1033" s="17" t="str">
        <f t="shared" si="33"/>
        <v>2000130</v>
      </c>
      <c r="B1033" s="17">
        <v>200</v>
      </c>
      <c r="C1033" s="17">
        <v>130</v>
      </c>
      <c r="D1033" s="17" t="s">
        <v>917</v>
      </c>
      <c r="E1033" s="17">
        <v>1438873000</v>
      </c>
      <c r="F1033" s="17" t="s">
        <v>918</v>
      </c>
      <c r="G1033" s="17">
        <v>186469000</v>
      </c>
      <c r="H1033" s="17" t="s">
        <v>919</v>
      </c>
      <c r="I1033" s="17">
        <f t="shared" ref="I1033:I1096" si="34">G1033</f>
        <v>186469000</v>
      </c>
    </row>
    <row r="1034" spans="1:9" x14ac:dyDescent="0.3">
      <c r="A1034" s="17" t="str">
        <f t="shared" si="33"/>
        <v>2000131</v>
      </c>
      <c r="B1034" s="17">
        <v>200</v>
      </c>
      <c r="C1034" s="17">
        <v>131</v>
      </c>
      <c r="D1034" s="17" t="s">
        <v>917</v>
      </c>
      <c r="E1034" s="17">
        <v>1496431700</v>
      </c>
      <c r="F1034" s="17" t="s">
        <v>918</v>
      </c>
      <c r="G1034" s="17">
        <v>190200000</v>
      </c>
      <c r="H1034" s="17" t="s">
        <v>919</v>
      </c>
      <c r="I1034" s="17">
        <f t="shared" si="34"/>
        <v>190200000</v>
      </c>
    </row>
    <row r="1035" spans="1:9" x14ac:dyDescent="0.3">
      <c r="A1035" s="17" t="str">
        <f t="shared" si="33"/>
        <v>2000132</v>
      </c>
      <c r="B1035" s="17">
        <v>200</v>
      </c>
      <c r="C1035" s="17">
        <v>132</v>
      </c>
      <c r="D1035" s="17" t="s">
        <v>917</v>
      </c>
      <c r="E1035" s="17">
        <v>1556293000</v>
      </c>
      <c r="F1035" s="17" t="s">
        <v>918</v>
      </c>
      <c r="G1035" s="17">
        <v>194006000</v>
      </c>
      <c r="H1035" s="17" t="s">
        <v>919</v>
      </c>
      <c r="I1035" s="17">
        <f t="shared" si="34"/>
        <v>194006000</v>
      </c>
    </row>
    <row r="1036" spans="1:9" x14ac:dyDescent="0.3">
      <c r="A1036" s="17" t="str">
        <f t="shared" si="33"/>
        <v>2000133</v>
      </c>
      <c r="B1036" s="17">
        <v>200</v>
      </c>
      <c r="C1036" s="17">
        <v>133</v>
      </c>
      <c r="D1036" s="17" t="s">
        <v>917</v>
      </c>
      <c r="E1036" s="17">
        <v>1618548700</v>
      </c>
      <c r="F1036" s="17" t="s">
        <v>918</v>
      </c>
      <c r="G1036" s="17">
        <v>197888500</v>
      </c>
      <c r="H1036" s="17" t="s">
        <v>919</v>
      </c>
      <c r="I1036" s="17">
        <f t="shared" si="34"/>
        <v>197888500</v>
      </c>
    </row>
    <row r="1037" spans="1:9" x14ac:dyDescent="0.3">
      <c r="A1037" s="17" t="str">
        <f t="shared" si="33"/>
        <v>2000134</v>
      </c>
      <c r="B1037" s="17">
        <v>200</v>
      </c>
      <c r="C1037" s="17">
        <v>134</v>
      </c>
      <c r="D1037" s="17" t="s">
        <v>917</v>
      </c>
      <c r="E1037" s="17">
        <v>1683294700</v>
      </c>
      <c r="F1037" s="17" t="s">
        <v>918</v>
      </c>
      <c r="G1037" s="17">
        <v>201848000</v>
      </c>
      <c r="H1037" s="17" t="s">
        <v>919</v>
      </c>
      <c r="I1037" s="17">
        <f t="shared" si="34"/>
        <v>201848000</v>
      </c>
    </row>
    <row r="1038" spans="1:9" x14ac:dyDescent="0.3">
      <c r="A1038" s="17" t="str">
        <f t="shared" si="33"/>
        <v>2000135</v>
      </c>
      <c r="B1038" s="17">
        <v>200</v>
      </c>
      <c r="C1038" s="17">
        <v>135</v>
      </c>
      <c r="D1038" s="17" t="s">
        <v>917</v>
      </c>
      <c r="E1038" s="17">
        <v>1750630700</v>
      </c>
      <c r="F1038" s="17" t="s">
        <v>918</v>
      </c>
      <c r="G1038" s="17">
        <v>205887000</v>
      </c>
      <c r="H1038" s="17" t="s">
        <v>919</v>
      </c>
      <c r="I1038" s="17">
        <f t="shared" si="34"/>
        <v>205887000</v>
      </c>
    </row>
    <row r="1039" spans="1:9" x14ac:dyDescent="0.3">
      <c r="A1039" s="17" t="str">
        <f t="shared" si="33"/>
        <v>2000136</v>
      </c>
      <c r="B1039" s="17">
        <v>200</v>
      </c>
      <c r="C1039" s="17">
        <v>136</v>
      </c>
      <c r="D1039" s="17" t="s">
        <v>917</v>
      </c>
      <c r="E1039" s="17">
        <v>1820659700</v>
      </c>
      <c r="F1039" s="17" t="s">
        <v>918</v>
      </c>
      <c r="G1039" s="17">
        <v>210007000</v>
      </c>
      <c r="H1039" s="17" t="s">
        <v>919</v>
      </c>
      <c r="I1039" s="17">
        <f t="shared" si="34"/>
        <v>210007000</v>
      </c>
    </row>
    <row r="1040" spans="1:9" x14ac:dyDescent="0.3">
      <c r="A1040" s="17" t="str">
        <f t="shared" si="33"/>
        <v>2000137</v>
      </c>
      <c r="B1040" s="17">
        <v>200</v>
      </c>
      <c r="C1040" s="17">
        <v>137</v>
      </c>
      <c r="D1040" s="17" t="s">
        <v>917</v>
      </c>
      <c r="E1040" s="17">
        <v>1893490300</v>
      </c>
      <c r="F1040" s="17" t="s">
        <v>918</v>
      </c>
      <c r="G1040" s="17">
        <v>214209000</v>
      </c>
      <c r="H1040" s="17" t="s">
        <v>919</v>
      </c>
      <c r="I1040" s="17">
        <f t="shared" si="34"/>
        <v>214209000</v>
      </c>
    </row>
    <row r="1041" spans="1:9" x14ac:dyDescent="0.3">
      <c r="A1041" s="17" t="str">
        <f t="shared" si="33"/>
        <v>2000138</v>
      </c>
      <c r="B1041" s="17">
        <v>200</v>
      </c>
      <c r="C1041" s="17">
        <v>138</v>
      </c>
      <c r="D1041" s="17" t="s">
        <v>917</v>
      </c>
      <c r="E1041" s="17">
        <v>1969233700</v>
      </c>
      <c r="F1041" s="17" t="s">
        <v>918</v>
      </c>
      <c r="G1041" s="17">
        <v>218495000</v>
      </c>
      <c r="H1041" s="17" t="s">
        <v>919</v>
      </c>
      <c r="I1041" s="17">
        <f t="shared" si="34"/>
        <v>218495000</v>
      </c>
    </row>
    <row r="1042" spans="1:9" x14ac:dyDescent="0.3">
      <c r="A1042" s="17" t="str">
        <f t="shared" si="33"/>
        <v>2000139</v>
      </c>
      <c r="B1042" s="17">
        <v>200</v>
      </c>
      <c r="C1042" s="17">
        <v>139</v>
      </c>
      <c r="D1042" s="17" t="s">
        <v>917</v>
      </c>
      <c r="E1042" s="17">
        <v>2048007000</v>
      </c>
      <c r="F1042" s="17" t="s">
        <v>918</v>
      </c>
      <c r="G1042" s="17">
        <v>222867000</v>
      </c>
      <c r="H1042" s="17" t="s">
        <v>919</v>
      </c>
      <c r="I1042" s="17">
        <f t="shared" si="34"/>
        <v>222867000</v>
      </c>
    </row>
    <row r="1043" spans="1:9" x14ac:dyDescent="0.3">
      <c r="A1043" s="17" t="str">
        <f t="shared" si="33"/>
        <v>2000140</v>
      </c>
      <c r="B1043" s="17">
        <v>200</v>
      </c>
      <c r="C1043" s="17">
        <v>140</v>
      </c>
      <c r="D1043" s="17" t="s">
        <v>917</v>
      </c>
      <c r="E1043" s="17">
        <v>2129931300</v>
      </c>
      <c r="F1043" s="17" t="s">
        <v>918</v>
      </c>
      <c r="G1043" s="17">
        <v>227326500</v>
      </c>
      <c r="H1043" s="17" t="s">
        <v>919</v>
      </c>
      <c r="I1043" s="17">
        <f t="shared" si="34"/>
        <v>227326500</v>
      </c>
    </row>
    <row r="1044" spans="1:9" x14ac:dyDescent="0.3">
      <c r="A1044" s="17" t="str">
        <f t="shared" si="33"/>
        <v>2000141</v>
      </c>
      <c r="B1044" s="17">
        <v>200</v>
      </c>
      <c r="C1044" s="17">
        <v>141</v>
      </c>
      <c r="D1044" s="17" t="s">
        <v>917</v>
      </c>
      <c r="E1044" s="17">
        <v>2215132700</v>
      </c>
      <c r="F1044" s="17" t="s">
        <v>918</v>
      </c>
      <c r="G1044" s="17">
        <v>231875000</v>
      </c>
      <c r="H1044" s="17" t="s">
        <v>919</v>
      </c>
      <c r="I1044" s="17">
        <f t="shared" si="34"/>
        <v>231875000</v>
      </c>
    </row>
    <row r="1045" spans="1:9" x14ac:dyDescent="0.3">
      <c r="A1045" s="17" t="str">
        <f t="shared" si="33"/>
        <v>2000142</v>
      </c>
      <c r="B1045" s="17">
        <v>200</v>
      </c>
      <c r="C1045" s="17">
        <v>142</v>
      </c>
      <c r="D1045" s="17" t="s">
        <v>917</v>
      </c>
      <c r="E1045" s="17">
        <v>2303742000</v>
      </c>
      <c r="F1045" s="17" t="s">
        <v>918</v>
      </c>
      <c r="G1045" s="17">
        <v>236514500</v>
      </c>
      <c r="H1045" s="17" t="s">
        <v>919</v>
      </c>
      <c r="I1045" s="17">
        <f t="shared" si="34"/>
        <v>236514500</v>
      </c>
    </row>
    <row r="1046" spans="1:9" x14ac:dyDescent="0.3">
      <c r="A1046" s="17" t="str">
        <f t="shared" si="33"/>
        <v>2000143</v>
      </c>
      <c r="B1046" s="17">
        <v>200</v>
      </c>
      <c r="C1046" s="17">
        <v>143</v>
      </c>
      <c r="D1046" s="17" t="s">
        <v>917</v>
      </c>
      <c r="E1046" s="17">
        <v>2395895700</v>
      </c>
      <c r="F1046" s="17" t="s">
        <v>918</v>
      </c>
      <c r="G1046" s="17">
        <v>241246500</v>
      </c>
      <c r="H1046" s="17" t="s">
        <v>919</v>
      </c>
      <c r="I1046" s="17">
        <f t="shared" si="34"/>
        <v>241246500</v>
      </c>
    </row>
    <row r="1047" spans="1:9" x14ac:dyDescent="0.3">
      <c r="A1047" s="17" t="str">
        <f t="shared" si="33"/>
        <v>2000144</v>
      </c>
      <c r="B1047" s="17">
        <v>200</v>
      </c>
      <c r="C1047" s="17">
        <v>144</v>
      </c>
      <c r="D1047" s="17" t="s">
        <v>917</v>
      </c>
      <c r="E1047" s="17">
        <v>2491735700</v>
      </c>
      <c r="F1047" s="17" t="s">
        <v>918</v>
      </c>
      <c r="G1047" s="17">
        <v>246073500</v>
      </c>
      <c r="H1047" s="17" t="s">
        <v>919</v>
      </c>
      <c r="I1047" s="17">
        <f t="shared" si="34"/>
        <v>246073500</v>
      </c>
    </row>
    <row r="1048" spans="1:9" x14ac:dyDescent="0.3">
      <c r="A1048" s="17" t="str">
        <f t="shared" si="33"/>
        <v>2000145</v>
      </c>
      <c r="B1048" s="17">
        <v>200</v>
      </c>
      <c r="C1048" s="17">
        <v>145</v>
      </c>
      <c r="D1048" s="17" t="s">
        <v>917</v>
      </c>
      <c r="E1048" s="17">
        <v>2591409000</v>
      </c>
      <c r="F1048" s="17" t="s">
        <v>918</v>
      </c>
      <c r="G1048" s="17">
        <v>250997000</v>
      </c>
      <c r="H1048" s="17" t="s">
        <v>919</v>
      </c>
      <c r="I1048" s="17">
        <f t="shared" si="34"/>
        <v>250997000</v>
      </c>
    </row>
    <row r="1049" spans="1:9" x14ac:dyDescent="0.3">
      <c r="A1049" s="17" t="str">
        <f t="shared" si="33"/>
        <v>2000146</v>
      </c>
      <c r="B1049" s="17">
        <v>200</v>
      </c>
      <c r="C1049" s="17">
        <v>146</v>
      </c>
      <c r="D1049" s="17" t="s">
        <v>917</v>
      </c>
      <c r="E1049" s="17">
        <v>2695069300</v>
      </c>
      <c r="F1049" s="17" t="s">
        <v>918</v>
      </c>
      <c r="G1049" s="17">
        <v>256019000</v>
      </c>
      <c r="H1049" s="17" t="s">
        <v>919</v>
      </c>
      <c r="I1049" s="17">
        <f t="shared" si="34"/>
        <v>256019000</v>
      </c>
    </row>
    <row r="1050" spans="1:9" x14ac:dyDescent="0.3">
      <c r="A1050" s="17" t="str">
        <f t="shared" si="33"/>
        <v>2000147</v>
      </c>
      <c r="B1050" s="17">
        <v>200</v>
      </c>
      <c r="C1050" s="17">
        <v>147</v>
      </c>
      <c r="D1050" s="17" t="s">
        <v>917</v>
      </c>
      <c r="E1050" s="17">
        <v>2802876000</v>
      </c>
      <c r="F1050" s="17" t="s">
        <v>918</v>
      </c>
      <c r="G1050" s="17">
        <v>261141500</v>
      </c>
      <c r="H1050" s="17" t="s">
        <v>919</v>
      </c>
      <c r="I1050" s="17">
        <f t="shared" si="34"/>
        <v>261141500</v>
      </c>
    </row>
    <row r="1051" spans="1:9" x14ac:dyDescent="0.3">
      <c r="A1051" s="17" t="str">
        <f t="shared" si="33"/>
        <v>2000148</v>
      </c>
      <c r="B1051" s="17">
        <v>200</v>
      </c>
      <c r="C1051" s="17">
        <v>148</v>
      </c>
      <c r="D1051" s="17" t="s">
        <v>917</v>
      </c>
      <c r="E1051" s="17">
        <v>2914995300</v>
      </c>
      <c r="F1051" s="17" t="s">
        <v>918</v>
      </c>
      <c r="G1051" s="17">
        <v>266366500</v>
      </c>
      <c r="H1051" s="17" t="s">
        <v>919</v>
      </c>
      <c r="I1051" s="17">
        <f t="shared" si="34"/>
        <v>266366500</v>
      </c>
    </row>
    <row r="1052" spans="1:9" x14ac:dyDescent="0.3">
      <c r="A1052" s="17" t="str">
        <f t="shared" si="33"/>
        <v>2000149</v>
      </c>
      <c r="B1052" s="17">
        <v>200</v>
      </c>
      <c r="C1052" s="17">
        <v>149</v>
      </c>
      <c r="D1052" s="17" t="s">
        <v>917</v>
      </c>
      <c r="E1052" s="17">
        <v>3031599000</v>
      </c>
      <c r="F1052" s="17" t="s">
        <v>918</v>
      </c>
      <c r="G1052" s="17">
        <v>271695500</v>
      </c>
      <c r="H1052" s="17" t="s">
        <v>919</v>
      </c>
      <c r="I1052" s="17">
        <f t="shared" si="34"/>
        <v>271695500</v>
      </c>
    </row>
    <row r="1053" spans="1:9" x14ac:dyDescent="0.3">
      <c r="A1053" s="17" t="str">
        <f t="shared" si="33"/>
        <v>2000150</v>
      </c>
      <c r="B1053" s="17">
        <v>200</v>
      </c>
      <c r="C1053" s="17">
        <v>150</v>
      </c>
      <c r="D1053" s="17" t="s">
        <v>917</v>
      </c>
      <c r="E1053" s="17">
        <v>3152867000</v>
      </c>
      <c r="F1053" s="17" t="s">
        <v>918</v>
      </c>
      <c r="G1053" s="17">
        <v>277131500</v>
      </c>
      <c r="H1053" s="17" t="s">
        <v>919</v>
      </c>
      <c r="I1053" s="17">
        <f t="shared" si="34"/>
        <v>277131500</v>
      </c>
    </row>
    <row r="1054" spans="1:9" x14ac:dyDescent="0.3">
      <c r="A1054" s="17" t="str">
        <f t="shared" si="33"/>
        <v>2000151</v>
      </c>
      <c r="B1054" s="17">
        <v>200</v>
      </c>
      <c r="C1054" s="17">
        <v>151</v>
      </c>
      <c r="D1054" s="17" t="s">
        <v>917</v>
      </c>
      <c r="E1054" s="17">
        <v>3278985700</v>
      </c>
      <c r="F1054" s="17" t="s">
        <v>918</v>
      </c>
      <c r="G1054" s="17">
        <v>282676000</v>
      </c>
      <c r="H1054" s="17" t="s">
        <v>919</v>
      </c>
      <c r="I1054" s="17">
        <f t="shared" si="34"/>
        <v>282676000</v>
      </c>
    </row>
    <row r="1055" spans="1:9" x14ac:dyDescent="0.3">
      <c r="A1055" s="17" t="str">
        <f t="shared" si="33"/>
        <v>2000152</v>
      </c>
      <c r="B1055" s="17">
        <v>200</v>
      </c>
      <c r="C1055" s="17">
        <v>152</v>
      </c>
      <c r="D1055" s="17" t="s">
        <v>917</v>
      </c>
      <c r="E1055" s="17">
        <v>3410149000</v>
      </c>
      <c r="F1055" s="17" t="s">
        <v>918</v>
      </c>
      <c r="G1055" s="17">
        <v>288331500</v>
      </c>
      <c r="H1055" s="17" t="s">
        <v>919</v>
      </c>
      <c r="I1055" s="17">
        <f t="shared" si="34"/>
        <v>288331500</v>
      </c>
    </row>
    <row r="1056" spans="1:9" x14ac:dyDescent="0.3">
      <c r="A1056" s="17" t="str">
        <f t="shared" si="33"/>
        <v>2000153</v>
      </c>
      <c r="B1056" s="17">
        <v>200</v>
      </c>
      <c r="C1056" s="17">
        <v>153</v>
      </c>
      <c r="D1056" s="17" t="s">
        <v>917</v>
      </c>
      <c r="E1056" s="17">
        <v>3546559000</v>
      </c>
      <c r="F1056" s="17" t="s">
        <v>918</v>
      </c>
      <c r="G1056" s="17">
        <v>294100500</v>
      </c>
      <c r="H1056" s="17" t="s">
        <v>919</v>
      </c>
      <c r="I1056" s="17">
        <f t="shared" si="34"/>
        <v>294100500</v>
      </c>
    </row>
    <row r="1057" spans="1:9" x14ac:dyDescent="0.3">
      <c r="A1057" s="17" t="str">
        <f t="shared" si="33"/>
        <v>2000154</v>
      </c>
      <c r="B1057" s="17">
        <v>200</v>
      </c>
      <c r="C1057" s="17">
        <v>154</v>
      </c>
      <c r="D1057" s="17" t="s">
        <v>917</v>
      </c>
      <c r="E1057" s="17">
        <v>3688425300</v>
      </c>
      <c r="F1057" s="17" t="s">
        <v>918</v>
      </c>
      <c r="G1057" s="17">
        <v>299984500</v>
      </c>
      <c r="H1057" s="17" t="s">
        <v>919</v>
      </c>
      <c r="I1057" s="17">
        <f t="shared" si="34"/>
        <v>299984500</v>
      </c>
    </row>
    <row r="1058" spans="1:9" x14ac:dyDescent="0.3">
      <c r="A1058" s="17" t="str">
        <f t="shared" si="33"/>
        <v>2000155</v>
      </c>
      <c r="B1058" s="17">
        <v>200</v>
      </c>
      <c r="C1058" s="17">
        <v>155</v>
      </c>
      <c r="D1058" s="17" t="s">
        <v>917</v>
      </c>
      <c r="E1058" s="17">
        <v>3835966300</v>
      </c>
      <c r="F1058" s="17" t="s">
        <v>918</v>
      </c>
      <c r="G1058" s="17">
        <v>305986000</v>
      </c>
      <c r="H1058" s="17" t="s">
        <v>919</v>
      </c>
      <c r="I1058" s="17">
        <f t="shared" si="34"/>
        <v>305986000</v>
      </c>
    </row>
    <row r="1059" spans="1:9" x14ac:dyDescent="0.3">
      <c r="A1059" s="17" t="str">
        <f t="shared" si="33"/>
        <v>2000156</v>
      </c>
      <c r="B1059" s="17">
        <v>200</v>
      </c>
      <c r="C1059" s="17">
        <v>156</v>
      </c>
      <c r="D1059" s="17" t="s">
        <v>917</v>
      </c>
      <c r="E1059" s="17">
        <v>3989409000</v>
      </c>
      <c r="F1059" s="17" t="s">
        <v>918</v>
      </c>
      <c r="G1059" s="17">
        <v>312108000</v>
      </c>
      <c r="H1059" s="17" t="s">
        <v>919</v>
      </c>
      <c r="I1059" s="17">
        <f t="shared" si="34"/>
        <v>312108000</v>
      </c>
    </row>
    <row r="1060" spans="1:9" x14ac:dyDescent="0.3">
      <c r="A1060" s="17" t="str">
        <f t="shared" si="33"/>
        <v>2000157</v>
      </c>
      <c r="B1060" s="17">
        <v>200</v>
      </c>
      <c r="C1060" s="17">
        <v>157</v>
      </c>
      <c r="D1060" s="17" t="s">
        <v>917</v>
      </c>
      <c r="E1060" s="17">
        <v>4148989300</v>
      </c>
      <c r="F1060" s="17" t="s">
        <v>918</v>
      </c>
      <c r="G1060" s="17">
        <v>318352000</v>
      </c>
      <c r="H1060" s="17" t="s">
        <v>919</v>
      </c>
      <c r="I1060" s="17">
        <f t="shared" si="34"/>
        <v>318352000</v>
      </c>
    </row>
    <row r="1061" spans="1:9" x14ac:dyDescent="0.3">
      <c r="A1061" s="17" t="str">
        <f t="shared" si="33"/>
        <v>2000158</v>
      </c>
      <c r="B1061" s="17">
        <v>200</v>
      </c>
      <c r="C1061" s="17">
        <v>158</v>
      </c>
      <c r="D1061" s="17" t="s">
        <v>917</v>
      </c>
      <c r="E1061" s="17">
        <v>4314953000</v>
      </c>
      <c r="F1061" s="17" t="s">
        <v>918</v>
      </c>
      <c r="G1061" s="17">
        <v>324721000</v>
      </c>
      <c r="H1061" s="17" t="s">
        <v>919</v>
      </c>
      <c r="I1061" s="17">
        <f t="shared" si="34"/>
        <v>324721000</v>
      </c>
    </row>
    <row r="1062" spans="1:9" x14ac:dyDescent="0.3">
      <c r="A1062" s="17" t="str">
        <f t="shared" si="33"/>
        <v>2000159</v>
      </c>
      <c r="B1062" s="17">
        <v>200</v>
      </c>
      <c r="C1062" s="17">
        <v>159</v>
      </c>
      <c r="D1062" s="17" t="s">
        <v>917</v>
      </c>
      <c r="E1062" s="17">
        <v>4487555300</v>
      </c>
      <c r="F1062" s="17" t="s">
        <v>918</v>
      </c>
      <c r="G1062" s="17">
        <v>331217500</v>
      </c>
      <c r="H1062" s="17" t="s">
        <v>919</v>
      </c>
      <c r="I1062" s="17">
        <f t="shared" si="34"/>
        <v>331217500</v>
      </c>
    </row>
    <row r="1063" spans="1:9" x14ac:dyDescent="0.3">
      <c r="A1063" s="17" t="str">
        <f t="shared" si="33"/>
        <v>2000160</v>
      </c>
      <c r="B1063" s="17">
        <v>200</v>
      </c>
      <c r="C1063" s="17">
        <v>160</v>
      </c>
      <c r="D1063" s="17" t="s">
        <v>917</v>
      </c>
      <c r="E1063" s="17">
        <v>4667061300</v>
      </c>
      <c r="F1063" s="17" t="s">
        <v>918</v>
      </c>
      <c r="G1063" s="17">
        <v>337844000</v>
      </c>
      <c r="H1063" s="17" t="s">
        <v>919</v>
      </c>
      <c r="I1063" s="17">
        <f t="shared" si="34"/>
        <v>337844000</v>
      </c>
    </row>
    <row r="1064" spans="1:9" x14ac:dyDescent="0.3">
      <c r="A1064" s="17" t="str">
        <f t="shared" si="33"/>
        <v>2000161</v>
      </c>
      <c r="B1064" s="17">
        <v>200</v>
      </c>
      <c r="C1064" s="17">
        <v>161</v>
      </c>
      <c r="D1064" s="17" t="s">
        <v>917</v>
      </c>
      <c r="E1064" s="17">
        <v>4853748000</v>
      </c>
      <c r="F1064" s="17" t="s">
        <v>918</v>
      </c>
      <c r="G1064" s="17">
        <v>344602500</v>
      </c>
      <c r="H1064" s="17" t="s">
        <v>919</v>
      </c>
      <c r="I1064" s="17">
        <f t="shared" si="34"/>
        <v>344602500</v>
      </c>
    </row>
    <row r="1065" spans="1:9" x14ac:dyDescent="0.3">
      <c r="A1065" s="17" t="str">
        <f t="shared" si="33"/>
        <v>2000162</v>
      </c>
      <c r="B1065" s="17">
        <v>200</v>
      </c>
      <c r="C1065" s="17">
        <v>162</v>
      </c>
      <c r="D1065" s="17" t="s">
        <v>917</v>
      </c>
      <c r="E1065" s="17">
        <v>5047901700</v>
      </c>
      <c r="F1065" s="17" t="s">
        <v>918</v>
      </c>
      <c r="G1065" s="17">
        <v>351496500</v>
      </c>
      <c r="H1065" s="17" t="s">
        <v>919</v>
      </c>
      <c r="I1065" s="17">
        <f t="shared" si="34"/>
        <v>351496500</v>
      </c>
    </row>
    <row r="1066" spans="1:9" x14ac:dyDescent="0.3">
      <c r="A1066" s="17" t="str">
        <f t="shared" si="33"/>
        <v>2000163</v>
      </c>
      <c r="B1066" s="17">
        <v>200</v>
      </c>
      <c r="C1066" s="17">
        <v>163</v>
      </c>
      <c r="D1066" s="17" t="s">
        <v>917</v>
      </c>
      <c r="E1066" s="17">
        <v>5249822000</v>
      </c>
      <c r="F1066" s="17" t="s">
        <v>918</v>
      </c>
      <c r="G1066" s="17">
        <v>358528500</v>
      </c>
      <c r="H1066" s="17" t="s">
        <v>919</v>
      </c>
      <c r="I1066" s="17">
        <f t="shared" si="34"/>
        <v>358528500</v>
      </c>
    </row>
    <row r="1067" spans="1:9" x14ac:dyDescent="0.3">
      <c r="A1067" s="17" t="str">
        <f t="shared" si="33"/>
        <v>2000164</v>
      </c>
      <c r="B1067" s="17">
        <v>200</v>
      </c>
      <c r="C1067" s="17">
        <v>164</v>
      </c>
      <c r="D1067" s="17" t="s">
        <v>917</v>
      </c>
      <c r="E1067" s="17">
        <v>5459818700</v>
      </c>
      <c r="F1067" s="17" t="s">
        <v>918</v>
      </c>
      <c r="G1067" s="17">
        <v>365701000</v>
      </c>
      <c r="H1067" s="17" t="s">
        <v>919</v>
      </c>
      <c r="I1067" s="17">
        <f t="shared" si="34"/>
        <v>365701000</v>
      </c>
    </row>
    <row r="1068" spans="1:9" x14ac:dyDescent="0.3">
      <c r="A1068" s="17" t="str">
        <f t="shared" si="33"/>
        <v>2000165</v>
      </c>
      <c r="B1068" s="17">
        <v>200</v>
      </c>
      <c r="C1068" s="17">
        <v>165</v>
      </c>
      <c r="D1068" s="17" t="s">
        <v>917</v>
      </c>
      <c r="E1068" s="17">
        <v>5678215700</v>
      </c>
      <c r="F1068" s="17" t="s">
        <v>918</v>
      </c>
      <c r="G1068" s="17">
        <v>373017500</v>
      </c>
      <c r="H1068" s="17" t="s">
        <v>919</v>
      </c>
      <c r="I1068" s="17">
        <f t="shared" si="34"/>
        <v>373017500</v>
      </c>
    </row>
    <row r="1069" spans="1:9" x14ac:dyDescent="0.3">
      <c r="A1069" s="17" t="str">
        <f t="shared" si="33"/>
        <v>2000166</v>
      </c>
      <c r="B1069" s="17">
        <v>200</v>
      </c>
      <c r="C1069" s="17">
        <v>166</v>
      </c>
      <c r="D1069" s="17" t="s">
        <v>917</v>
      </c>
      <c r="E1069" s="17">
        <v>5905348000</v>
      </c>
      <c r="F1069" s="17" t="s">
        <v>918</v>
      </c>
      <c r="G1069" s="17">
        <v>380479500</v>
      </c>
      <c r="H1069" s="17" t="s">
        <v>919</v>
      </c>
      <c r="I1069" s="17">
        <f t="shared" si="34"/>
        <v>380479500</v>
      </c>
    </row>
    <row r="1070" spans="1:9" x14ac:dyDescent="0.3">
      <c r="A1070" s="17" t="str">
        <f t="shared" si="33"/>
        <v>2000167</v>
      </c>
      <c r="B1070" s="17">
        <v>200</v>
      </c>
      <c r="C1070" s="17">
        <v>167</v>
      </c>
      <c r="D1070" s="17" t="s">
        <v>917</v>
      </c>
      <c r="E1070" s="17">
        <v>6141566000</v>
      </c>
      <c r="F1070" s="17" t="s">
        <v>918</v>
      </c>
      <c r="G1070" s="17">
        <v>388091000</v>
      </c>
      <c r="H1070" s="17" t="s">
        <v>919</v>
      </c>
      <c r="I1070" s="17">
        <f t="shared" si="34"/>
        <v>388091000</v>
      </c>
    </row>
    <row r="1071" spans="1:9" x14ac:dyDescent="0.3">
      <c r="A1071" s="17" t="str">
        <f t="shared" si="33"/>
        <v>2000168</v>
      </c>
      <c r="B1071" s="17">
        <v>200</v>
      </c>
      <c r="C1071" s="17">
        <v>168</v>
      </c>
      <c r="D1071" s="17" t="s">
        <v>917</v>
      </c>
      <c r="E1071" s="17">
        <v>6387232700</v>
      </c>
      <c r="F1071" s="17" t="s">
        <v>918</v>
      </c>
      <c r="G1071" s="17">
        <v>395855000</v>
      </c>
      <c r="H1071" s="17" t="s">
        <v>919</v>
      </c>
      <c r="I1071" s="17">
        <f t="shared" si="34"/>
        <v>395855000</v>
      </c>
    </row>
    <row r="1072" spans="1:9" x14ac:dyDescent="0.3">
      <c r="A1072" s="17" t="str">
        <f t="shared" si="33"/>
        <v>2000169</v>
      </c>
      <c r="B1072" s="17">
        <v>200</v>
      </c>
      <c r="C1072" s="17">
        <v>169</v>
      </c>
      <c r="D1072" s="17" t="s">
        <v>917</v>
      </c>
      <c r="E1072" s="17">
        <v>6642726000</v>
      </c>
      <c r="F1072" s="17" t="s">
        <v>918</v>
      </c>
      <c r="G1072" s="17">
        <v>403774000</v>
      </c>
      <c r="H1072" s="17" t="s">
        <v>919</v>
      </c>
      <c r="I1072" s="17">
        <f t="shared" si="34"/>
        <v>403774000</v>
      </c>
    </row>
    <row r="1073" spans="1:9" x14ac:dyDescent="0.3">
      <c r="A1073" s="17" t="str">
        <f t="shared" si="33"/>
        <v>2000170</v>
      </c>
      <c r="B1073" s="17">
        <v>200</v>
      </c>
      <c r="C1073" s="17">
        <v>170</v>
      </c>
      <c r="D1073" s="17" t="s">
        <v>917</v>
      </c>
      <c r="E1073" s="17">
        <v>6908439000</v>
      </c>
      <c r="F1073" s="17" t="s">
        <v>918</v>
      </c>
      <c r="G1073" s="17">
        <v>411851500</v>
      </c>
      <c r="H1073" s="17" t="s">
        <v>919</v>
      </c>
      <c r="I1073" s="17">
        <f t="shared" si="34"/>
        <v>411851500</v>
      </c>
    </row>
    <row r="1074" spans="1:9" x14ac:dyDescent="0.3">
      <c r="A1074" s="17" t="str">
        <f t="shared" si="33"/>
        <v>2000171</v>
      </c>
      <c r="B1074" s="17">
        <v>200</v>
      </c>
      <c r="C1074" s="17">
        <v>171</v>
      </c>
      <c r="D1074" s="17" t="s">
        <v>917</v>
      </c>
      <c r="E1074" s="17">
        <v>7184780700</v>
      </c>
      <c r="F1074" s="17" t="s">
        <v>918</v>
      </c>
      <c r="G1074" s="17">
        <v>420090500</v>
      </c>
      <c r="H1074" s="17" t="s">
        <v>919</v>
      </c>
      <c r="I1074" s="17">
        <f t="shared" si="34"/>
        <v>420090500</v>
      </c>
    </row>
    <row r="1075" spans="1:9" x14ac:dyDescent="0.3">
      <c r="A1075" s="17" t="str">
        <f t="shared" si="33"/>
        <v>2000172</v>
      </c>
      <c r="B1075" s="17">
        <v>200</v>
      </c>
      <c r="C1075" s="17">
        <v>172</v>
      </c>
      <c r="D1075" s="17" t="s">
        <v>917</v>
      </c>
      <c r="E1075" s="17">
        <v>7472176000</v>
      </c>
      <c r="F1075" s="17" t="s">
        <v>918</v>
      </c>
      <c r="G1075" s="17">
        <v>428494500</v>
      </c>
      <c r="H1075" s="17" t="s">
        <v>919</v>
      </c>
      <c r="I1075" s="17">
        <f t="shared" si="34"/>
        <v>428494500</v>
      </c>
    </row>
    <row r="1076" spans="1:9" x14ac:dyDescent="0.3">
      <c r="A1076" s="17" t="str">
        <f t="shared" si="33"/>
        <v>2000173</v>
      </c>
      <c r="B1076" s="17">
        <v>200</v>
      </c>
      <c r="C1076" s="17">
        <v>173</v>
      </c>
      <c r="D1076" s="17" t="s">
        <v>917</v>
      </c>
      <c r="E1076" s="17">
        <v>7771067000</v>
      </c>
      <c r="F1076" s="17" t="s">
        <v>918</v>
      </c>
      <c r="G1076" s="17">
        <v>437066500</v>
      </c>
      <c r="H1076" s="17" t="s">
        <v>919</v>
      </c>
      <c r="I1076" s="17">
        <f t="shared" si="34"/>
        <v>437066500</v>
      </c>
    </row>
    <row r="1077" spans="1:9" x14ac:dyDescent="0.3">
      <c r="A1077" s="17" t="str">
        <f t="shared" si="33"/>
        <v>2000174</v>
      </c>
      <c r="B1077" s="17">
        <v>200</v>
      </c>
      <c r="C1077" s="17">
        <v>174</v>
      </c>
      <c r="D1077" s="17" t="s">
        <v>917</v>
      </c>
      <c r="E1077" s="17">
        <v>8081913700</v>
      </c>
      <c r="F1077" s="17" t="s">
        <v>918</v>
      </c>
      <c r="G1077" s="17">
        <v>445809500</v>
      </c>
      <c r="H1077" s="17" t="s">
        <v>919</v>
      </c>
      <c r="I1077" s="17">
        <f t="shared" si="34"/>
        <v>445809500</v>
      </c>
    </row>
    <row r="1078" spans="1:9" x14ac:dyDescent="0.3">
      <c r="A1078" s="17" t="str">
        <f t="shared" si="33"/>
        <v>2000175</v>
      </c>
      <c r="B1078" s="17">
        <v>200</v>
      </c>
      <c r="C1078" s="17">
        <v>175</v>
      </c>
      <c r="D1078" s="17" t="s">
        <v>917</v>
      </c>
      <c r="E1078" s="17">
        <v>8405194300</v>
      </c>
      <c r="F1078" s="17" t="s">
        <v>918</v>
      </c>
      <c r="G1078" s="17">
        <v>454728000</v>
      </c>
      <c r="H1078" s="17" t="s">
        <v>919</v>
      </c>
      <c r="I1078" s="17">
        <f t="shared" si="34"/>
        <v>454728000</v>
      </c>
    </row>
    <row r="1079" spans="1:9" x14ac:dyDescent="0.3">
      <c r="A1079" s="17" t="str">
        <f t="shared" si="33"/>
        <v>2000176</v>
      </c>
      <c r="B1079" s="17">
        <v>200</v>
      </c>
      <c r="C1079" s="17">
        <v>176</v>
      </c>
      <c r="D1079" s="17" t="s">
        <v>917</v>
      </c>
      <c r="E1079" s="17">
        <v>8741406000</v>
      </c>
      <c r="F1079" s="17" t="s">
        <v>918</v>
      </c>
      <c r="G1079" s="17">
        <v>463824500</v>
      </c>
      <c r="H1079" s="17" t="s">
        <v>919</v>
      </c>
      <c r="I1079" s="17">
        <f t="shared" si="34"/>
        <v>463824500</v>
      </c>
    </row>
    <row r="1080" spans="1:9" x14ac:dyDescent="0.3">
      <c r="A1080" s="17" t="str">
        <f t="shared" si="33"/>
        <v>2000177</v>
      </c>
      <c r="B1080" s="17">
        <v>200</v>
      </c>
      <c r="C1080" s="17">
        <v>177</v>
      </c>
      <c r="D1080" s="17" t="s">
        <v>917</v>
      </c>
      <c r="E1080" s="17">
        <v>9091066300</v>
      </c>
      <c r="F1080" s="17" t="s">
        <v>918</v>
      </c>
      <c r="G1080" s="17">
        <v>473103000</v>
      </c>
      <c r="H1080" s="17" t="s">
        <v>919</v>
      </c>
      <c r="I1080" s="17">
        <f t="shared" si="34"/>
        <v>473103000</v>
      </c>
    </row>
    <row r="1081" spans="1:9" x14ac:dyDescent="0.3">
      <c r="A1081" s="17" t="str">
        <f t="shared" si="33"/>
        <v>2000178</v>
      </c>
      <c r="B1081" s="17">
        <v>200</v>
      </c>
      <c r="C1081" s="17">
        <v>178</v>
      </c>
      <c r="D1081" s="17" t="s">
        <v>917</v>
      </c>
      <c r="E1081" s="17">
        <v>9454713000</v>
      </c>
      <c r="F1081" s="17" t="s">
        <v>918</v>
      </c>
      <c r="G1081" s="17">
        <v>482567000</v>
      </c>
      <c r="H1081" s="17" t="s">
        <v>919</v>
      </c>
      <c r="I1081" s="17">
        <f t="shared" si="34"/>
        <v>482567000</v>
      </c>
    </row>
    <row r="1082" spans="1:9" x14ac:dyDescent="0.3">
      <c r="A1082" s="17" t="str">
        <f t="shared" si="33"/>
        <v>2000179</v>
      </c>
      <c r="B1082" s="17">
        <v>200</v>
      </c>
      <c r="C1082" s="17">
        <v>179</v>
      </c>
      <c r="D1082" s="17" t="s">
        <v>917</v>
      </c>
      <c r="E1082" s="17">
        <v>9832905300</v>
      </c>
      <c r="F1082" s="17" t="s">
        <v>918</v>
      </c>
      <c r="G1082" s="17">
        <v>492220500</v>
      </c>
      <c r="H1082" s="17" t="s">
        <v>919</v>
      </c>
      <c r="I1082" s="17">
        <f t="shared" si="34"/>
        <v>492220500</v>
      </c>
    </row>
    <row r="1083" spans="1:9" x14ac:dyDescent="0.3">
      <c r="A1083" s="17" t="str">
        <f t="shared" si="33"/>
        <v>2000180</v>
      </c>
      <c r="B1083" s="17">
        <v>200</v>
      </c>
      <c r="C1083" s="17">
        <v>180</v>
      </c>
      <c r="D1083" s="17" t="s">
        <v>917</v>
      </c>
      <c r="E1083" s="17">
        <v>10226225700</v>
      </c>
      <c r="F1083" s="17" t="s">
        <v>918</v>
      </c>
      <c r="G1083" s="17">
        <v>502067000</v>
      </c>
      <c r="H1083" s="17" t="s">
        <v>919</v>
      </c>
      <c r="I1083" s="17">
        <f t="shared" si="34"/>
        <v>502067000</v>
      </c>
    </row>
    <row r="1084" spans="1:9" x14ac:dyDescent="0.3">
      <c r="A1084" s="17" t="str">
        <f t="shared" si="33"/>
        <v>2000181</v>
      </c>
      <c r="B1084" s="17">
        <v>200</v>
      </c>
      <c r="C1084" s="17">
        <v>181</v>
      </c>
      <c r="D1084" s="17" t="s">
        <v>917</v>
      </c>
      <c r="E1084" s="17">
        <v>10635278700</v>
      </c>
      <c r="F1084" s="17" t="s">
        <v>918</v>
      </c>
      <c r="G1084" s="17">
        <v>512110000</v>
      </c>
      <c r="H1084" s="17" t="s">
        <v>919</v>
      </c>
      <c r="I1084" s="17">
        <f t="shared" si="34"/>
        <v>512110000</v>
      </c>
    </row>
    <row r="1085" spans="1:9" x14ac:dyDescent="0.3">
      <c r="A1085" s="17" t="str">
        <f t="shared" si="33"/>
        <v>2000182</v>
      </c>
      <c r="B1085" s="17">
        <v>200</v>
      </c>
      <c r="C1085" s="17">
        <v>182</v>
      </c>
      <c r="D1085" s="17" t="s">
        <v>917</v>
      </c>
      <c r="E1085" s="17">
        <v>11060693700</v>
      </c>
      <c r="F1085" s="17" t="s">
        <v>918</v>
      </c>
      <c r="G1085" s="17">
        <v>522354500</v>
      </c>
      <c r="H1085" s="17" t="s">
        <v>919</v>
      </c>
      <c r="I1085" s="17">
        <f t="shared" si="34"/>
        <v>522354500</v>
      </c>
    </row>
    <row r="1086" spans="1:9" x14ac:dyDescent="0.3">
      <c r="A1086" s="17" t="str">
        <f t="shared" si="33"/>
        <v>2000183</v>
      </c>
      <c r="B1086" s="17">
        <v>200</v>
      </c>
      <c r="C1086" s="17">
        <v>183</v>
      </c>
      <c r="D1086" s="17" t="s">
        <v>917</v>
      </c>
      <c r="E1086" s="17">
        <v>11503125700</v>
      </c>
      <c r="F1086" s="17" t="s">
        <v>918</v>
      </c>
      <c r="G1086" s="17">
        <v>532803500</v>
      </c>
      <c r="H1086" s="17" t="s">
        <v>919</v>
      </c>
      <c r="I1086" s="17">
        <f t="shared" si="34"/>
        <v>532803500</v>
      </c>
    </row>
    <row r="1087" spans="1:9" x14ac:dyDescent="0.3">
      <c r="A1087" s="17" t="str">
        <f t="shared" si="33"/>
        <v>2000184</v>
      </c>
      <c r="B1087" s="17">
        <v>200</v>
      </c>
      <c r="C1087" s="17">
        <v>184</v>
      </c>
      <c r="D1087" s="17" t="s">
        <v>917</v>
      </c>
      <c r="E1087" s="17">
        <v>11963254700</v>
      </c>
      <c r="F1087" s="17" t="s">
        <v>918</v>
      </c>
      <c r="G1087" s="17">
        <v>543461500</v>
      </c>
      <c r="H1087" s="17" t="s">
        <v>919</v>
      </c>
      <c r="I1087" s="17">
        <f t="shared" si="34"/>
        <v>543461500</v>
      </c>
    </row>
    <row r="1088" spans="1:9" x14ac:dyDescent="0.3">
      <c r="A1088" s="17" t="str">
        <f t="shared" si="33"/>
        <v>2000185</v>
      </c>
      <c r="B1088" s="17">
        <v>200</v>
      </c>
      <c r="C1088" s="17">
        <v>185</v>
      </c>
      <c r="D1088" s="17" t="s">
        <v>917</v>
      </c>
      <c r="E1088" s="17">
        <v>12441788700</v>
      </c>
      <c r="F1088" s="17" t="s">
        <v>918</v>
      </c>
      <c r="G1088" s="17">
        <v>554333000</v>
      </c>
      <c r="H1088" s="17" t="s">
        <v>919</v>
      </c>
      <c r="I1088" s="17">
        <f t="shared" si="34"/>
        <v>554333000</v>
      </c>
    </row>
    <row r="1089" spans="1:9" x14ac:dyDescent="0.3">
      <c r="A1089" s="17" t="str">
        <f t="shared" si="33"/>
        <v>2000186</v>
      </c>
      <c r="B1089" s="17">
        <v>200</v>
      </c>
      <c r="C1089" s="17">
        <v>186</v>
      </c>
      <c r="D1089" s="17" t="s">
        <v>917</v>
      </c>
      <c r="E1089" s="17">
        <v>12939464300</v>
      </c>
      <c r="F1089" s="17" t="s">
        <v>918</v>
      </c>
      <c r="G1089" s="17">
        <v>565421500</v>
      </c>
      <c r="H1089" s="17" t="s">
        <v>919</v>
      </c>
      <c r="I1089" s="17">
        <f t="shared" si="34"/>
        <v>565421500</v>
      </c>
    </row>
    <row r="1090" spans="1:9" x14ac:dyDescent="0.3">
      <c r="A1090" s="17" t="str">
        <f t="shared" si="33"/>
        <v>2000187</v>
      </c>
      <c r="B1090" s="17">
        <v>200</v>
      </c>
      <c r="C1090" s="17">
        <v>187</v>
      </c>
      <c r="D1090" s="17" t="s">
        <v>917</v>
      </c>
      <c r="E1090" s="17">
        <v>13457047000</v>
      </c>
      <c r="F1090" s="17" t="s">
        <v>918</v>
      </c>
      <c r="G1090" s="17">
        <v>576732000</v>
      </c>
      <c r="H1090" s="17" t="s">
        <v>919</v>
      </c>
      <c r="I1090" s="17">
        <f t="shared" si="34"/>
        <v>576732000</v>
      </c>
    </row>
    <row r="1091" spans="1:9" x14ac:dyDescent="0.3">
      <c r="A1091" s="17" t="str">
        <f t="shared" si="33"/>
        <v>2000188</v>
      </c>
      <c r="B1091" s="17">
        <v>200</v>
      </c>
      <c r="C1091" s="17">
        <v>188</v>
      </c>
      <c r="D1091" s="17" t="s">
        <v>917</v>
      </c>
      <c r="E1091" s="17">
        <v>13995332700</v>
      </c>
      <c r="F1091" s="17" t="s">
        <v>918</v>
      </c>
      <c r="G1091" s="17">
        <v>588268500</v>
      </c>
      <c r="H1091" s="17" t="s">
        <v>919</v>
      </c>
      <c r="I1091" s="17">
        <f t="shared" si="34"/>
        <v>588268500</v>
      </c>
    </row>
    <row r="1092" spans="1:9" x14ac:dyDescent="0.3">
      <c r="A1092" s="17" t="str">
        <f t="shared" ref="A1092:A1155" si="35">B1092&amp;TEXT(C1092,"0000")</f>
        <v>2000189</v>
      </c>
      <c r="B1092" s="17">
        <v>200</v>
      </c>
      <c r="C1092" s="17">
        <v>189</v>
      </c>
      <c r="D1092" s="17" t="s">
        <v>917</v>
      </c>
      <c r="E1092" s="17">
        <v>14555150000</v>
      </c>
      <c r="F1092" s="17" t="s">
        <v>918</v>
      </c>
      <c r="G1092" s="17">
        <v>600036000</v>
      </c>
      <c r="H1092" s="17" t="s">
        <v>919</v>
      </c>
      <c r="I1092" s="17">
        <f t="shared" si="34"/>
        <v>600036000</v>
      </c>
    </row>
    <row r="1093" spans="1:9" x14ac:dyDescent="0.3">
      <c r="A1093" s="17" t="str">
        <f t="shared" si="35"/>
        <v>2000190</v>
      </c>
      <c r="B1093" s="17">
        <v>200</v>
      </c>
      <c r="C1093" s="17">
        <v>190</v>
      </c>
      <c r="D1093" s="17" t="s">
        <v>917</v>
      </c>
      <c r="E1093" s="17">
        <v>15137360000</v>
      </c>
      <c r="F1093" s="17" t="s">
        <v>918</v>
      </c>
      <c r="G1093" s="17">
        <v>612038500</v>
      </c>
      <c r="H1093" s="17" t="s">
        <v>919</v>
      </c>
      <c r="I1093" s="17">
        <f t="shared" si="34"/>
        <v>612038500</v>
      </c>
    </row>
    <row r="1094" spans="1:9" x14ac:dyDescent="0.3">
      <c r="A1094" s="17" t="str">
        <f t="shared" si="35"/>
        <v>2000191</v>
      </c>
      <c r="B1094" s="17">
        <v>200</v>
      </c>
      <c r="C1094" s="17">
        <v>191</v>
      </c>
      <c r="D1094" s="17" t="s">
        <v>917</v>
      </c>
      <c r="E1094" s="17">
        <v>15742858300</v>
      </c>
      <c r="F1094" s="17" t="s">
        <v>918</v>
      </c>
      <c r="G1094" s="17">
        <v>624281500</v>
      </c>
      <c r="H1094" s="17" t="s">
        <v>919</v>
      </c>
      <c r="I1094" s="17">
        <f t="shared" si="34"/>
        <v>624281500</v>
      </c>
    </row>
    <row r="1095" spans="1:9" x14ac:dyDescent="0.3">
      <c r="A1095" s="17" t="str">
        <f t="shared" si="35"/>
        <v>2000192</v>
      </c>
      <c r="B1095" s="17">
        <v>200</v>
      </c>
      <c r="C1095" s="17">
        <v>192</v>
      </c>
      <c r="D1095" s="17" t="s">
        <v>917</v>
      </c>
      <c r="E1095" s="17">
        <v>16372577000</v>
      </c>
      <c r="F1095" s="17" t="s">
        <v>918</v>
      </c>
      <c r="G1095" s="17">
        <v>636769000</v>
      </c>
      <c r="H1095" s="17" t="s">
        <v>919</v>
      </c>
      <c r="I1095" s="17">
        <f t="shared" si="34"/>
        <v>636769000</v>
      </c>
    </row>
    <row r="1096" spans="1:9" x14ac:dyDescent="0.3">
      <c r="A1096" s="17" t="str">
        <f t="shared" si="35"/>
        <v>2000193</v>
      </c>
      <c r="B1096" s="17">
        <v>200</v>
      </c>
      <c r="C1096" s="17">
        <v>193</v>
      </c>
      <c r="D1096" s="17" t="s">
        <v>917</v>
      </c>
      <c r="E1096" s="17">
        <v>17027484000</v>
      </c>
      <c r="F1096" s="17" t="s">
        <v>918</v>
      </c>
      <c r="G1096" s="17">
        <v>649506500</v>
      </c>
      <c r="H1096" s="17" t="s">
        <v>919</v>
      </c>
      <c r="I1096" s="17">
        <f t="shared" si="34"/>
        <v>649506500</v>
      </c>
    </row>
    <row r="1097" spans="1:9" x14ac:dyDescent="0.3">
      <c r="A1097" s="17" t="str">
        <f t="shared" si="35"/>
        <v>2000194</v>
      </c>
      <c r="B1097" s="17">
        <v>200</v>
      </c>
      <c r="C1097" s="17">
        <v>194</v>
      </c>
      <c r="D1097" s="17" t="s">
        <v>917</v>
      </c>
      <c r="E1097" s="17">
        <v>17708587300</v>
      </c>
      <c r="F1097" s="17" t="s">
        <v>918</v>
      </c>
      <c r="G1097" s="17">
        <v>662498500</v>
      </c>
      <c r="H1097" s="17" t="s">
        <v>919</v>
      </c>
      <c r="I1097" s="17">
        <f t="shared" ref="I1097:I1160" si="36">G1097</f>
        <v>662498500</v>
      </c>
    </row>
    <row r="1098" spans="1:9" x14ac:dyDescent="0.3">
      <c r="A1098" s="17" t="str">
        <f t="shared" si="35"/>
        <v>2000195</v>
      </c>
      <c r="B1098" s="17">
        <v>200</v>
      </c>
      <c r="C1098" s="17">
        <v>195</v>
      </c>
      <c r="D1098" s="17" t="s">
        <v>917</v>
      </c>
      <c r="E1098" s="17">
        <v>18416934700</v>
      </c>
      <c r="F1098" s="17" t="s">
        <v>918</v>
      </c>
      <c r="G1098" s="17">
        <v>675750500</v>
      </c>
      <c r="H1098" s="17" t="s">
        <v>919</v>
      </c>
      <c r="I1098" s="17">
        <f t="shared" si="36"/>
        <v>675750500</v>
      </c>
    </row>
    <row r="1099" spans="1:9" x14ac:dyDescent="0.3">
      <c r="A1099" s="17" t="str">
        <f t="shared" si="35"/>
        <v>2000196</v>
      </c>
      <c r="B1099" s="17">
        <v>200</v>
      </c>
      <c r="C1099" s="17">
        <v>196</v>
      </c>
      <c r="D1099" s="17" t="s">
        <v>917</v>
      </c>
      <c r="E1099" s="17">
        <v>19153616300</v>
      </c>
      <c r="F1099" s="17" t="s">
        <v>918</v>
      </c>
      <c r="G1099" s="17">
        <v>689267500</v>
      </c>
      <c r="H1099" s="17" t="s">
        <v>919</v>
      </c>
      <c r="I1099" s="17">
        <f t="shared" si="36"/>
        <v>689267500</v>
      </c>
    </row>
    <row r="1100" spans="1:9" x14ac:dyDescent="0.3">
      <c r="A1100" s="17" t="str">
        <f t="shared" si="35"/>
        <v>2000197</v>
      </c>
      <c r="B1100" s="17">
        <v>200</v>
      </c>
      <c r="C1100" s="17">
        <v>197</v>
      </c>
      <c r="D1100" s="17" t="s">
        <v>917</v>
      </c>
      <c r="E1100" s="17">
        <v>19919765000</v>
      </c>
      <c r="F1100" s="17" t="s">
        <v>918</v>
      </c>
      <c r="G1100" s="17">
        <v>703055000</v>
      </c>
      <c r="H1100" s="17" t="s">
        <v>919</v>
      </c>
      <c r="I1100" s="17">
        <f t="shared" si="36"/>
        <v>703055000</v>
      </c>
    </row>
    <row r="1101" spans="1:9" x14ac:dyDescent="0.3">
      <c r="A1101" s="17" t="str">
        <f t="shared" si="35"/>
        <v>2000198</v>
      </c>
      <c r="B1101" s="17">
        <v>200</v>
      </c>
      <c r="C1101" s="17">
        <v>198</v>
      </c>
      <c r="D1101" s="17" t="s">
        <v>917</v>
      </c>
      <c r="E1101" s="17">
        <v>20716559300</v>
      </c>
      <c r="F1101" s="17" t="s">
        <v>918</v>
      </c>
      <c r="G1101" s="17">
        <v>717118000</v>
      </c>
      <c r="H1101" s="17" t="s">
        <v>919</v>
      </c>
      <c r="I1101" s="17">
        <f t="shared" si="36"/>
        <v>717118000</v>
      </c>
    </row>
    <row r="1102" spans="1:9" x14ac:dyDescent="0.3">
      <c r="A1102" s="17" t="str">
        <f t="shared" si="35"/>
        <v>2000199</v>
      </c>
      <c r="B1102" s="17">
        <v>200</v>
      </c>
      <c r="C1102" s="17">
        <v>199</v>
      </c>
      <c r="D1102" s="17" t="s">
        <v>917</v>
      </c>
      <c r="E1102" s="17">
        <v>21545225700</v>
      </c>
      <c r="F1102" s="17" t="s">
        <v>918</v>
      </c>
      <c r="G1102" s="17">
        <v>731462500</v>
      </c>
      <c r="H1102" s="17" t="s">
        <v>919</v>
      </c>
      <c r="I1102" s="17">
        <f t="shared" si="36"/>
        <v>731462500</v>
      </c>
    </row>
    <row r="1103" spans="1:9" x14ac:dyDescent="0.3">
      <c r="A1103" s="17" t="str">
        <f t="shared" si="35"/>
        <v>2000200</v>
      </c>
      <c r="B1103" s="17">
        <v>200</v>
      </c>
      <c r="C1103" s="17">
        <v>200</v>
      </c>
      <c r="D1103" s="17" t="s">
        <v>917</v>
      </c>
      <c r="E1103" s="17">
        <v>22407039000</v>
      </c>
      <c r="F1103" s="17" t="s">
        <v>918</v>
      </c>
      <c r="G1103" s="17">
        <v>746093500</v>
      </c>
      <c r="H1103" s="17" t="s">
        <v>919</v>
      </c>
      <c r="I1103" s="17">
        <f t="shared" si="36"/>
        <v>746093500</v>
      </c>
    </row>
    <row r="1104" spans="1:9" x14ac:dyDescent="0.3">
      <c r="A1104" s="17" t="str">
        <f t="shared" si="35"/>
        <v>2000201</v>
      </c>
      <c r="B1104" s="17">
        <v>200</v>
      </c>
      <c r="C1104" s="17">
        <v>201</v>
      </c>
      <c r="D1104" s="17" t="s">
        <v>917</v>
      </c>
      <c r="E1104" s="17">
        <v>23303324300</v>
      </c>
      <c r="F1104" s="17" t="s">
        <v>918</v>
      </c>
      <c r="G1104" s="17">
        <v>761017500</v>
      </c>
      <c r="H1104" s="17" t="s">
        <v>919</v>
      </c>
      <c r="I1104" s="17">
        <f t="shared" si="36"/>
        <v>761017500</v>
      </c>
    </row>
    <row r="1105" spans="1:9" x14ac:dyDescent="0.3">
      <c r="A1105" s="17" t="str">
        <f t="shared" si="35"/>
        <v>2000202</v>
      </c>
      <c r="B1105" s="17">
        <v>200</v>
      </c>
      <c r="C1105" s="17">
        <v>202</v>
      </c>
      <c r="D1105" s="17" t="s">
        <v>917</v>
      </c>
      <c r="E1105" s="17">
        <v>24235461300</v>
      </c>
      <c r="F1105" s="17" t="s">
        <v>918</v>
      </c>
      <c r="G1105" s="17">
        <v>776240000</v>
      </c>
      <c r="H1105" s="17" t="s">
        <v>919</v>
      </c>
      <c r="I1105" s="17">
        <f t="shared" si="36"/>
        <v>776240000</v>
      </c>
    </row>
    <row r="1106" spans="1:9" x14ac:dyDescent="0.3">
      <c r="A1106" s="17" t="str">
        <f t="shared" si="35"/>
        <v>2000203</v>
      </c>
      <c r="B1106" s="17">
        <v>200</v>
      </c>
      <c r="C1106" s="17">
        <v>203</v>
      </c>
      <c r="D1106" s="17" t="s">
        <v>917</v>
      </c>
      <c r="E1106" s="17">
        <v>25204884000</v>
      </c>
      <c r="F1106" s="17" t="s">
        <v>918</v>
      </c>
      <c r="G1106" s="17">
        <v>791766500</v>
      </c>
      <c r="H1106" s="17" t="s">
        <v>919</v>
      </c>
      <c r="I1106" s="17">
        <f t="shared" si="36"/>
        <v>791766500</v>
      </c>
    </row>
    <row r="1107" spans="1:9" x14ac:dyDescent="0.3">
      <c r="A1107" s="17" t="str">
        <f t="shared" si="35"/>
        <v>2000204</v>
      </c>
      <c r="B1107" s="17">
        <v>200</v>
      </c>
      <c r="C1107" s="17">
        <v>204</v>
      </c>
      <c r="D1107" s="17" t="s">
        <v>917</v>
      </c>
      <c r="E1107" s="17">
        <v>26213083300</v>
      </c>
      <c r="F1107" s="17" t="s">
        <v>918</v>
      </c>
      <c r="G1107" s="17">
        <v>807604000</v>
      </c>
      <c r="H1107" s="17" t="s">
        <v>919</v>
      </c>
      <c r="I1107" s="17">
        <f t="shared" si="36"/>
        <v>807604000</v>
      </c>
    </row>
    <row r="1108" spans="1:9" x14ac:dyDescent="0.3">
      <c r="A1108" s="17" t="str">
        <f t="shared" si="35"/>
        <v>2000205</v>
      </c>
      <c r="B1108" s="17">
        <v>200</v>
      </c>
      <c r="C1108" s="17">
        <v>205</v>
      </c>
      <c r="D1108" s="17" t="s">
        <v>917</v>
      </c>
      <c r="E1108" s="17">
        <v>27261610700</v>
      </c>
      <c r="F1108" s="17" t="s">
        <v>918</v>
      </c>
      <c r="G1108" s="17">
        <v>823758000</v>
      </c>
      <c r="H1108" s="17" t="s">
        <v>919</v>
      </c>
      <c r="I1108" s="17">
        <f t="shared" si="36"/>
        <v>823758000</v>
      </c>
    </row>
    <row r="1109" spans="1:9" x14ac:dyDescent="0.3">
      <c r="A1109" s="17" t="str">
        <f t="shared" si="35"/>
        <v>2000206</v>
      </c>
      <c r="B1109" s="17">
        <v>200</v>
      </c>
      <c r="C1109" s="17">
        <v>206</v>
      </c>
      <c r="D1109" s="17" t="s">
        <v>917</v>
      </c>
      <c r="E1109" s="17">
        <v>28352079000</v>
      </c>
      <c r="F1109" s="17" t="s">
        <v>918</v>
      </c>
      <c r="G1109" s="17">
        <v>840235000</v>
      </c>
      <c r="H1109" s="17" t="s">
        <v>919</v>
      </c>
      <c r="I1109" s="17">
        <f t="shared" si="36"/>
        <v>840235000</v>
      </c>
    </row>
    <row r="1110" spans="1:9" x14ac:dyDescent="0.3">
      <c r="A1110" s="17" t="str">
        <f t="shared" si="35"/>
        <v>2000207</v>
      </c>
      <c r="B1110" s="17">
        <v>200</v>
      </c>
      <c r="C1110" s="17">
        <v>207</v>
      </c>
      <c r="D1110" s="17" t="s">
        <v>917</v>
      </c>
      <c r="E1110" s="17">
        <v>29486166000</v>
      </c>
      <c r="F1110" s="17" t="s">
        <v>918</v>
      </c>
      <c r="G1110" s="17">
        <v>857042000</v>
      </c>
      <c r="H1110" s="17" t="s">
        <v>919</v>
      </c>
      <c r="I1110" s="17">
        <f t="shared" si="36"/>
        <v>857042000</v>
      </c>
    </row>
    <row r="1111" spans="1:9" x14ac:dyDescent="0.3">
      <c r="A1111" s="17" t="str">
        <f t="shared" si="35"/>
        <v>2000208</v>
      </c>
      <c r="B1111" s="17">
        <v>200</v>
      </c>
      <c r="C1111" s="17">
        <v>208</v>
      </c>
      <c r="D1111" s="17" t="s">
        <v>917</v>
      </c>
      <c r="E1111" s="17">
        <v>30665616700</v>
      </c>
      <c r="F1111" s="17" t="s">
        <v>918</v>
      </c>
      <c r="G1111" s="17">
        <v>874184500</v>
      </c>
      <c r="H1111" s="17" t="s">
        <v>919</v>
      </c>
      <c r="I1111" s="17">
        <f t="shared" si="36"/>
        <v>874184500</v>
      </c>
    </row>
    <row r="1112" spans="1:9" x14ac:dyDescent="0.3">
      <c r="A1112" s="17" t="str">
        <f t="shared" si="35"/>
        <v>2000209</v>
      </c>
      <c r="B1112" s="17">
        <v>200</v>
      </c>
      <c r="C1112" s="17">
        <v>209</v>
      </c>
      <c r="D1112" s="17" t="s">
        <v>917</v>
      </c>
      <c r="E1112" s="17">
        <v>31892245300</v>
      </c>
      <c r="F1112" s="17" t="s">
        <v>918</v>
      </c>
      <c r="G1112" s="17">
        <v>891670500</v>
      </c>
      <c r="H1112" s="17" t="s">
        <v>919</v>
      </c>
      <c r="I1112" s="17">
        <f t="shared" si="36"/>
        <v>891670500</v>
      </c>
    </row>
    <row r="1113" spans="1:9" x14ac:dyDescent="0.3">
      <c r="A1113" s="17" t="str">
        <f t="shared" si="35"/>
        <v>2000210</v>
      </c>
      <c r="B1113" s="17">
        <v>200</v>
      </c>
      <c r="C1113" s="17">
        <v>210</v>
      </c>
      <c r="D1113" s="17" t="s">
        <v>917</v>
      </c>
      <c r="E1113" s="17">
        <v>33167939300</v>
      </c>
      <c r="F1113" s="17" t="s">
        <v>918</v>
      </c>
      <c r="G1113" s="17">
        <v>909506000</v>
      </c>
      <c r="H1113" s="17" t="s">
        <v>919</v>
      </c>
      <c r="I1113" s="17">
        <f t="shared" si="36"/>
        <v>909506000</v>
      </c>
    </row>
    <row r="1114" spans="1:9" x14ac:dyDescent="0.3">
      <c r="A1114" s="17" t="str">
        <f t="shared" si="35"/>
        <v>2000211</v>
      </c>
      <c r="B1114" s="17">
        <v>200</v>
      </c>
      <c r="C1114" s="17">
        <v>211</v>
      </c>
      <c r="D1114" s="17" t="s">
        <v>917</v>
      </c>
      <c r="E1114" s="17">
        <v>34494661000</v>
      </c>
      <c r="F1114" s="17" t="s">
        <v>918</v>
      </c>
      <c r="G1114" s="17">
        <v>927698000</v>
      </c>
      <c r="H1114" s="17" t="s">
        <v>919</v>
      </c>
      <c r="I1114" s="17">
        <f t="shared" si="36"/>
        <v>927698000</v>
      </c>
    </row>
    <row r="1115" spans="1:9" x14ac:dyDescent="0.3">
      <c r="A1115" s="17" t="str">
        <f t="shared" si="35"/>
        <v>2000212</v>
      </c>
      <c r="B1115" s="17">
        <v>200</v>
      </c>
      <c r="C1115" s="17">
        <v>212</v>
      </c>
      <c r="D1115" s="17" t="s">
        <v>917</v>
      </c>
      <c r="E1115" s="17">
        <v>35874451300</v>
      </c>
      <c r="F1115" s="17" t="s">
        <v>918</v>
      </c>
      <c r="G1115" s="17">
        <v>946254000</v>
      </c>
      <c r="H1115" s="17" t="s">
        <v>919</v>
      </c>
      <c r="I1115" s="17">
        <f t="shared" si="36"/>
        <v>946254000</v>
      </c>
    </row>
    <row r="1116" spans="1:9" x14ac:dyDescent="0.3">
      <c r="A1116" s="17" t="str">
        <f t="shared" si="35"/>
        <v>2000213</v>
      </c>
      <c r="B1116" s="17">
        <v>200</v>
      </c>
      <c r="C1116" s="17">
        <v>213</v>
      </c>
      <c r="D1116" s="17" t="s">
        <v>917</v>
      </c>
      <c r="E1116" s="17">
        <v>37309433300</v>
      </c>
      <c r="F1116" s="17" t="s">
        <v>918</v>
      </c>
      <c r="G1116" s="17">
        <v>965181000</v>
      </c>
      <c r="H1116" s="17" t="s">
        <v>919</v>
      </c>
      <c r="I1116" s="17">
        <f t="shared" si="36"/>
        <v>965181000</v>
      </c>
    </row>
    <row r="1117" spans="1:9" x14ac:dyDescent="0.3">
      <c r="A1117" s="17" t="str">
        <f t="shared" si="35"/>
        <v>2000214</v>
      </c>
      <c r="B1117" s="17">
        <v>200</v>
      </c>
      <c r="C1117" s="17">
        <v>214</v>
      </c>
      <c r="D1117" s="17" t="s">
        <v>917</v>
      </c>
      <c r="E1117" s="17">
        <v>38801814700</v>
      </c>
      <c r="F1117" s="17" t="s">
        <v>918</v>
      </c>
      <c r="G1117" s="17">
        <v>984486500</v>
      </c>
      <c r="H1117" s="17" t="s">
        <v>919</v>
      </c>
      <c r="I1117" s="17">
        <f t="shared" si="36"/>
        <v>984486500</v>
      </c>
    </row>
    <row r="1118" spans="1:9" x14ac:dyDescent="0.3">
      <c r="A1118" s="17" t="str">
        <f t="shared" si="35"/>
        <v>2000215</v>
      </c>
      <c r="B1118" s="17">
        <v>200</v>
      </c>
      <c r="C1118" s="17">
        <v>215</v>
      </c>
      <c r="D1118" s="17" t="s">
        <v>917</v>
      </c>
      <c r="E1118" s="17">
        <v>40353891300</v>
      </c>
      <c r="F1118" s="17" t="s">
        <v>918</v>
      </c>
      <c r="G1118" s="17">
        <v>1004178500</v>
      </c>
      <c r="H1118" s="17" t="s">
        <v>919</v>
      </c>
      <c r="I1118" s="17">
        <f t="shared" si="36"/>
        <v>1004178500</v>
      </c>
    </row>
    <row r="1119" spans="1:9" x14ac:dyDescent="0.3">
      <c r="A1119" s="17" t="str">
        <f t="shared" si="35"/>
        <v>2000216</v>
      </c>
      <c r="B1119" s="17">
        <v>200</v>
      </c>
      <c r="C1119" s="17">
        <v>216</v>
      </c>
      <c r="D1119" s="17" t="s">
        <v>917</v>
      </c>
      <c r="E1119" s="17">
        <v>41968051000</v>
      </c>
      <c r="F1119" s="17" t="s">
        <v>918</v>
      </c>
      <c r="G1119" s="17">
        <v>1024264000</v>
      </c>
      <c r="H1119" s="17" t="s">
        <v>919</v>
      </c>
      <c r="I1119" s="17">
        <f t="shared" si="36"/>
        <v>1024264000</v>
      </c>
    </row>
    <row r="1120" spans="1:9" x14ac:dyDescent="0.3">
      <c r="A1120" s="17" t="str">
        <f t="shared" si="35"/>
        <v>2000217</v>
      </c>
      <c r="B1120" s="17">
        <v>200</v>
      </c>
      <c r="C1120" s="17">
        <v>217</v>
      </c>
      <c r="D1120" s="17" t="s">
        <v>917</v>
      </c>
      <c r="E1120" s="17">
        <v>43646777000</v>
      </c>
      <c r="F1120" s="17" t="s">
        <v>918</v>
      </c>
      <c r="G1120" s="17">
        <v>1044751000</v>
      </c>
      <c r="H1120" s="17" t="s">
        <v>919</v>
      </c>
      <c r="I1120" s="17">
        <f t="shared" si="36"/>
        <v>1044751000</v>
      </c>
    </row>
    <row r="1121" spans="1:9" x14ac:dyDescent="0.3">
      <c r="A1121" s="17" t="str">
        <f t="shared" si="35"/>
        <v>2000218</v>
      </c>
      <c r="B1121" s="17">
        <v>200</v>
      </c>
      <c r="C1121" s="17">
        <v>218</v>
      </c>
      <c r="D1121" s="17" t="s">
        <v>917</v>
      </c>
      <c r="E1121" s="17">
        <v>45392652000</v>
      </c>
      <c r="F1121" s="17" t="s">
        <v>918</v>
      </c>
      <c r="G1121" s="17">
        <v>1065648500</v>
      </c>
      <c r="H1121" s="17" t="s">
        <v>919</v>
      </c>
      <c r="I1121" s="17">
        <f t="shared" si="36"/>
        <v>1065648500</v>
      </c>
    </row>
    <row r="1122" spans="1:9" x14ac:dyDescent="0.3">
      <c r="A1122" s="17" t="str">
        <f t="shared" si="35"/>
        <v>2000219</v>
      </c>
      <c r="B1122" s="17">
        <v>200</v>
      </c>
      <c r="C1122" s="17">
        <v>219</v>
      </c>
      <c r="D1122" s="17" t="s">
        <v>917</v>
      </c>
      <c r="E1122" s="17">
        <v>47208362300</v>
      </c>
      <c r="F1122" s="17" t="s">
        <v>918</v>
      </c>
      <c r="G1122" s="17">
        <v>1086963000</v>
      </c>
      <c r="H1122" s="17" t="s">
        <v>919</v>
      </c>
      <c r="I1122" s="17">
        <f t="shared" si="36"/>
        <v>1086963000</v>
      </c>
    </row>
    <row r="1123" spans="1:9" x14ac:dyDescent="0.3">
      <c r="A1123" s="17" t="str">
        <f t="shared" si="35"/>
        <v>2000220</v>
      </c>
      <c r="B1123" s="17">
        <v>200</v>
      </c>
      <c r="C1123" s="17">
        <v>220</v>
      </c>
      <c r="D1123" s="17" t="s">
        <v>917</v>
      </c>
      <c r="E1123" s="17">
        <v>49096700700</v>
      </c>
      <c r="F1123" s="17" t="s">
        <v>918</v>
      </c>
      <c r="G1123" s="17">
        <v>1108704500</v>
      </c>
      <c r="H1123" s="17" t="s">
        <v>919</v>
      </c>
      <c r="I1123" s="17">
        <f t="shared" si="36"/>
        <v>1108704500</v>
      </c>
    </row>
    <row r="1124" spans="1:9" x14ac:dyDescent="0.3">
      <c r="A1124" s="17" t="str">
        <f t="shared" si="35"/>
        <v>2000221</v>
      </c>
      <c r="B1124" s="17">
        <v>200</v>
      </c>
      <c r="C1124" s="17">
        <v>221</v>
      </c>
      <c r="D1124" s="17" t="s">
        <v>917</v>
      </c>
      <c r="E1124" s="17">
        <v>51060572700</v>
      </c>
      <c r="F1124" s="17" t="s">
        <v>918</v>
      </c>
      <c r="G1124" s="17">
        <v>1130880500</v>
      </c>
      <c r="H1124" s="17" t="s">
        <v>919</v>
      </c>
      <c r="I1124" s="17">
        <f t="shared" si="36"/>
        <v>1130880500</v>
      </c>
    </row>
    <row r="1125" spans="1:9" x14ac:dyDescent="0.3">
      <c r="A1125" s="17" t="str">
        <f t="shared" si="35"/>
        <v>2000222</v>
      </c>
      <c r="B1125" s="17">
        <v>200</v>
      </c>
      <c r="C1125" s="17">
        <v>222</v>
      </c>
      <c r="D1125" s="17" t="s">
        <v>917</v>
      </c>
      <c r="E1125" s="17">
        <v>53102999700</v>
      </c>
      <c r="F1125" s="17" t="s">
        <v>918</v>
      </c>
      <c r="G1125" s="17">
        <v>1153500000</v>
      </c>
      <c r="H1125" s="17" t="s">
        <v>919</v>
      </c>
      <c r="I1125" s="17">
        <f t="shared" si="36"/>
        <v>1153500000</v>
      </c>
    </row>
    <row r="1126" spans="1:9" x14ac:dyDescent="0.3">
      <c r="A1126" s="17" t="str">
        <f t="shared" si="35"/>
        <v>2000223</v>
      </c>
      <c r="B1126" s="17">
        <v>200</v>
      </c>
      <c r="C1126" s="17">
        <v>223</v>
      </c>
      <c r="D1126" s="17" t="s">
        <v>917</v>
      </c>
      <c r="E1126" s="17">
        <v>55227123700</v>
      </c>
      <c r="F1126" s="17" t="s">
        <v>918</v>
      </c>
      <c r="G1126" s="17">
        <v>1176572000</v>
      </c>
      <c r="H1126" s="17" t="s">
        <v>919</v>
      </c>
      <c r="I1126" s="17">
        <f t="shared" si="36"/>
        <v>1176572000</v>
      </c>
    </row>
    <row r="1127" spans="1:9" x14ac:dyDescent="0.3">
      <c r="A1127" s="17" t="str">
        <f t="shared" si="35"/>
        <v>2000224</v>
      </c>
      <c r="B1127" s="17">
        <v>200</v>
      </c>
      <c r="C1127" s="17">
        <v>224</v>
      </c>
      <c r="D1127" s="17" t="s">
        <v>917</v>
      </c>
      <c r="E1127" s="17">
        <v>57436212700</v>
      </c>
      <c r="F1127" s="17" t="s">
        <v>918</v>
      </c>
      <c r="G1127" s="17">
        <v>1200105500</v>
      </c>
      <c r="H1127" s="17" t="s">
        <v>919</v>
      </c>
      <c r="I1127" s="17">
        <f t="shared" si="36"/>
        <v>1200105500</v>
      </c>
    </row>
    <row r="1128" spans="1:9" x14ac:dyDescent="0.3">
      <c r="A1128" s="17" t="str">
        <f t="shared" si="35"/>
        <v>2000225</v>
      </c>
      <c r="B1128" s="17">
        <v>200</v>
      </c>
      <c r="C1128" s="17">
        <v>225</v>
      </c>
      <c r="D1128" s="17" t="s">
        <v>917</v>
      </c>
      <c r="E1128" s="17">
        <v>59733665000</v>
      </c>
      <c r="F1128" s="17" t="s">
        <v>918</v>
      </c>
      <c r="G1128" s="17">
        <v>1224110000</v>
      </c>
      <c r="H1128" s="17" t="s">
        <v>919</v>
      </c>
      <c r="I1128" s="17">
        <f t="shared" si="36"/>
        <v>1224110000</v>
      </c>
    </row>
    <row r="1129" spans="1:9" x14ac:dyDescent="0.3">
      <c r="A1129" s="17" t="str">
        <f t="shared" si="35"/>
        <v>2000226</v>
      </c>
      <c r="B1129" s="17">
        <v>200</v>
      </c>
      <c r="C1129" s="17">
        <v>226</v>
      </c>
      <c r="D1129" s="17" t="s">
        <v>917</v>
      </c>
      <c r="E1129" s="17">
        <v>62123015700</v>
      </c>
      <c r="F1129" s="17" t="s">
        <v>918</v>
      </c>
      <c r="G1129" s="17">
        <v>1248594000</v>
      </c>
      <c r="H1129" s="17" t="s">
        <v>919</v>
      </c>
      <c r="I1129" s="17">
        <f t="shared" si="36"/>
        <v>1248594000</v>
      </c>
    </row>
    <row r="1130" spans="1:9" x14ac:dyDescent="0.3">
      <c r="A1130" s="17" t="str">
        <f t="shared" si="35"/>
        <v>2000227</v>
      </c>
      <c r="B1130" s="17">
        <v>200</v>
      </c>
      <c r="C1130" s="17">
        <v>227</v>
      </c>
      <c r="D1130" s="17" t="s">
        <v>917</v>
      </c>
      <c r="E1130" s="17">
        <v>64607940300</v>
      </c>
      <c r="F1130" s="17" t="s">
        <v>918</v>
      </c>
      <c r="G1130" s="17">
        <v>1273568000</v>
      </c>
      <c r="H1130" s="17" t="s">
        <v>919</v>
      </c>
      <c r="I1130" s="17">
        <f t="shared" si="36"/>
        <v>1273568000</v>
      </c>
    </row>
    <row r="1131" spans="1:9" x14ac:dyDescent="0.3">
      <c r="A1131" s="17" t="str">
        <f t="shared" si="35"/>
        <v>2000228</v>
      </c>
      <c r="B1131" s="17">
        <v>200</v>
      </c>
      <c r="C1131" s="17">
        <v>228</v>
      </c>
      <c r="D1131" s="17" t="s">
        <v>917</v>
      </c>
      <c r="E1131" s="17">
        <v>67192262000</v>
      </c>
      <c r="F1131" s="17" t="s">
        <v>918</v>
      </c>
      <c r="G1131" s="17">
        <v>1299041500</v>
      </c>
      <c r="H1131" s="17" t="s">
        <v>919</v>
      </c>
      <c r="I1131" s="17">
        <f t="shared" si="36"/>
        <v>1299041500</v>
      </c>
    </row>
    <row r="1132" spans="1:9" x14ac:dyDescent="0.3">
      <c r="A1132" s="17" t="str">
        <f t="shared" si="35"/>
        <v>2000229</v>
      </c>
      <c r="B1132" s="17">
        <v>200</v>
      </c>
      <c r="C1132" s="17">
        <v>229</v>
      </c>
      <c r="D1132" s="17" t="s">
        <v>917</v>
      </c>
      <c r="E1132" s="17">
        <v>69879956700</v>
      </c>
      <c r="F1132" s="17" t="s">
        <v>918</v>
      </c>
      <c r="G1132" s="17">
        <v>1325024000</v>
      </c>
      <c r="H1132" s="17" t="s">
        <v>919</v>
      </c>
      <c r="I1132" s="17">
        <f t="shared" si="36"/>
        <v>1325024000</v>
      </c>
    </row>
    <row r="1133" spans="1:9" x14ac:dyDescent="0.3">
      <c r="A1133" s="17" t="str">
        <f t="shared" si="35"/>
        <v>2000230</v>
      </c>
      <c r="B1133" s="17">
        <v>200</v>
      </c>
      <c r="C1133" s="17">
        <v>230</v>
      </c>
      <c r="D1133" s="17" t="s">
        <v>917</v>
      </c>
      <c r="E1133" s="17">
        <v>72675158700</v>
      </c>
      <c r="F1133" s="17" t="s">
        <v>918</v>
      </c>
      <c r="G1133" s="17">
        <v>1351526500</v>
      </c>
      <c r="H1133" s="17" t="s">
        <v>919</v>
      </c>
      <c r="I1133" s="17">
        <f t="shared" si="36"/>
        <v>1351526500</v>
      </c>
    </row>
    <row r="1134" spans="1:9" x14ac:dyDescent="0.3">
      <c r="A1134" s="17" t="str">
        <f t="shared" si="35"/>
        <v>2000231</v>
      </c>
      <c r="B1134" s="17">
        <v>200</v>
      </c>
      <c r="C1134" s="17">
        <v>231</v>
      </c>
      <c r="D1134" s="17" t="s">
        <v>917</v>
      </c>
      <c r="E1134" s="17">
        <v>75582169000</v>
      </c>
      <c r="F1134" s="17" t="s">
        <v>918</v>
      </c>
      <c r="G1134" s="17">
        <v>1378559000</v>
      </c>
      <c r="H1134" s="17" t="s">
        <v>919</v>
      </c>
      <c r="I1134" s="17">
        <f t="shared" si="36"/>
        <v>1378559000</v>
      </c>
    </row>
    <row r="1135" spans="1:9" x14ac:dyDescent="0.3">
      <c r="A1135" s="17" t="str">
        <f t="shared" si="35"/>
        <v>2000232</v>
      </c>
      <c r="B1135" s="17">
        <v>200</v>
      </c>
      <c r="C1135" s="17">
        <v>232</v>
      </c>
      <c r="D1135" s="17" t="s">
        <v>917</v>
      </c>
      <c r="E1135" s="17">
        <v>78605460000</v>
      </c>
      <c r="F1135" s="17" t="s">
        <v>918</v>
      </c>
      <c r="G1135" s="17">
        <v>1406132500</v>
      </c>
      <c r="H1135" s="17" t="s">
        <v>919</v>
      </c>
      <c r="I1135" s="17">
        <f t="shared" si="36"/>
        <v>1406132500</v>
      </c>
    </row>
    <row r="1136" spans="1:9" x14ac:dyDescent="0.3">
      <c r="A1136" s="17" t="str">
        <f t="shared" si="35"/>
        <v>2000233</v>
      </c>
      <c r="B1136" s="17">
        <v>200</v>
      </c>
      <c r="C1136" s="17">
        <v>233</v>
      </c>
      <c r="D1136" s="17" t="s">
        <v>917</v>
      </c>
      <c r="E1136" s="17">
        <v>81749682300</v>
      </c>
      <c r="F1136" s="17" t="s">
        <v>918</v>
      </c>
      <c r="G1136" s="17">
        <v>1434257000</v>
      </c>
      <c r="H1136" s="17" t="s">
        <v>919</v>
      </c>
      <c r="I1136" s="17">
        <f t="shared" si="36"/>
        <v>1434257000</v>
      </c>
    </row>
    <row r="1137" spans="1:9" x14ac:dyDescent="0.3">
      <c r="A1137" s="17" t="str">
        <f t="shared" si="35"/>
        <v>2000234</v>
      </c>
      <c r="B1137" s="17">
        <v>200</v>
      </c>
      <c r="C1137" s="17">
        <v>234</v>
      </c>
      <c r="D1137" s="17" t="s">
        <v>917</v>
      </c>
      <c r="E1137" s="17">
        <v>85019673700</v>
      </c>
      <c r="F1137" s="17" t="s">
        <v>918</v>
      </c>
      <c r="G1137" s="17">
        <v>1462944000</v>
      </c>
      <c r="H1137" s="17" t="s">
        <v>919</v>
      </c>
      <c r="I1137" s="17">
        <f t="shared" si="36"/>
        <v>1462944000</v>
      </c>
    </row>
    <row r="1138" spans="1:9" x14ac:dyDescent="0.3">
      <c r="A1138" s="17" t="str">
        <f t="shared" si="35"/>
        <v>2000235</v>
      </c>
      <c r="B1138" s="17">
        <v>200</v>
      </c>
      <c r="C1138" s="17">
        <v>235</v>
      </c>
      <c r="D1138" s="17" t="s">
        <v>917</v>
      </c>
      <c r="E1138" s="17">
        <v>88420464700</v>
      </c>
      <c r="F1138" s="17" t="s">
        <v>918</v>
      </c>
      <c r="G1138" s="17">
        <v>1492205000</v>
      </c>
      <c r="H1138" s="17" t="s">
        <v>919</v>
      </c>
      <c r="I1138" s="17">
        <f t="shared" si="36"/>
        <v>1492205000</v>
      </c>
    </row>
    <row r="1139" spans="1:9" x14ac:dyDescent="0.3">
      <c r="A1139" s="17" t="str">
        <f t="shared" si="35"/>
        <v>2000236</v>
      </c>
      <c r="B1139" s="17">
        <v>200</v>
      </c>
      <c r="C1139" s="17">
        <v>236</v>
      </c>
      <c r="D1139" s="17" t="s">
        <v>917</v>
      </c>
      <c r="E1139" s="17">
        <v>91957287000</v>
      </c>
      <c r="F1139" s="17" t="s">
        <v>918</v>
      </c>
      <c r="G1139" s="17">
        <v>1522051000</v>
      </c>
      <c r="H1139" s="17" t="s">
        <v>919</v>
      </c>
      <c r="I1139" s="17">
        <f t="shared" si="36"/>
        <v>1522051000</v>
      </c>
    </row>
    <row r="1140" spans="1:9" x14ac:dyDescent="0.3">
      <c r="A1140" s="17" t="str">
        <f t="shared" si="35"/>
        <v>2000237</v>
      </c>
      <c r="B1140" s="17">
        <v>200</v>
      </c>
      <c r="C1140" s="17">
        <v>237</v>
      </c>
      <c r="D1140" s="17" t="s">
        <v>917</v>
      </c>
      <c r="E1140" s="17">
        <v>95635582700</v>
      </c>
      <c r="F1140" s="17" t="s">
        <v>918</v>
      </c>
      <c r="G1140" s="17">
        <v>1552494000</v>
      </c>
      <c r="H1140" s="17" t="s">
        <v>919</v>
      </c>
      <c r="I1140" s="17">
        <f t="shared" si="36"/>
        <v>1552494000</v>
      </c>
    </row>
    <row r="1141" spans="1:9" x14ac:dyDescent="0.3">
      <c r="A1141" s="17" t="str">
        <f t="shared" si="35"/>
        <v>2000238</v>
      </c>
      <c r="B1141" s="17">
        <v>200</v>
      </c>
      <c r="C1141" s="17">
        <v>238</v>
      </c>
      <c r="D1141" s="17" t="s">
        <v>917</v>
      </c>
      <c r="E1141" s="17">
        <v>99461010000</v>
      </c>
      <c r="F1141" s="17" t="s">
        <v>918</v>
      </c>
      <c r="G1141" s="17">
        <v>1583546000</v>
      </c>
      <c r="H1141" s="17" t="s">
        <v>919</v>
      </c>
      <c r="I1141" s="17">
        <f t="shared" si="36"/>
        <v>1583546000</v>
      </c>
    </row>
    <row r="1142" spans="1:9" x14ac:dyDescent="0.3">
      <c r="A1142" s="17" t="str">
        <f t="shared" si="35"/>
        <v>2000239</v>
      </c>
      <c r="B1142" s="17">
        <v>200</v>
      </c>
      <c r="C1142" s="17">
        <v>239</v>
      </c>
      <c r="D1142" s="17" t="s">
        <v>917</v>
      </c>
      <c r="E1142" s="17">
        <v>103439454300</v>
      </c>
      <c r="F1142" s="17" t="s">
        <v>918</v>
      </c>
      <c r="G1142" s="17">
        <v>1615219000</v>
      </c>
      <c r="H1142" s="17" t="s">
        <v>919</v>
      </c>
      <c r="I1142" s="17">
        <f t="shared" si="36"/>
        <v>1615219000</v>
      </c>
    </row>
    <row r="1143" spans="1:9" x14ac:dyDescent="0.3">
      <c r="A1143" s="17" t="str">
        <f t="shared" si="35"/>
        <v>2000240</v>
      </c>
      <c r="B1143" s="17">
        <v>200</v>
      </c>
      <c r="C1143" s="17">
        <v>240</v>
      </c>
      <c r="D1143" s="17" t="s">
        <v>917</v>
      </c>
      <c r="E1143" s="17">
        <v>107577036700</v>
      </c>
      <c r="F1143" s="17" t="s">
        <v>918</v>
      </c>
      <c r="G1143" s="17">
        <v>1647525500</v>
      </c>
      <c r="H1143" s="17" t="s">
        <v>919</v>
      </c>
      <c r="I1143" s="17">
        <f t="shared" si="36"/>
        <v>1647525500</v>
      </c>
    </row>
    <row r="1144" spans="1:9" x14ac:dyDescent="0.3">
      <c r="A1144" s="17" t="str">
        <f t="shared" si="35"/>
        <v>2000241</v>
      </c>
      <c r="B1144" s="17">
        <v>200</v>
      </c>
      <c r="C1144" s="17">
        <v>241</v>
      </c>
      <c r="D1144" s="17" t="s">
        <v>917</v>
      </c>
      <c r="E1144" s="17">
        <v>111880122000</v>
      </c>
      <c r="F1144" s="17" t="s">
        <v>918</v>
      </c>
      <c r="G1144" s="17">
        <v>1680478000</v>
      </c>
      <c r="H1144" s="17" t="s">
        <v>919</v>
      </c>
      <c r="I1144" s="17">
        <f t="shared" si="36"/>
        <v>1680478000</v>
      </c>
    </row>
    <row r="1145" spans="1:9" x14ac:dyDescent="0.3">
      <c r="A1145" s="17" t="str">
        <f t="shared" si="35"/>
        <v>2000242</v>
      </c>
      <c r="B1145" s="17">
        <v>200</v>
      </c>
      <c r="C1145" s="17">
        <v>242</v>
      </c>
      <c r="D1145" s="17" t="s">
        <v>917</v>
      </c>
      <c r="E1145" s="17">
        <v>116355331000</v>
      </c>
      <c r="F1145" s="17" t="s">
        <v>918</v>
      </c>
      <c r="G1145" s="17">
        <v>1714089500</v>
      </c>
      <c r="H1145" s="17" t="s">
        <v>919</v>
      </c>
      <c r="I1145" s="17">
        <f t="shared" si="36"/>
        <v>1714089500</v>
      </c>
    </row>
    <row r="1146" spans="1:9" x14ac:dyDescent="0.3">
      <c r="A1146" s="17" t="str">
        <f t="shared" si="35"/>
        <v>2000243</v>
      </c>
      <c r="B1146" s="17">
        <v>200</v>
      </c>
      <c r="C1146" s="17">
        <v>243</v>
      </c>
      <c r="D1146" s="17" t="s">
        <v>917</v>
      </c>
      <c r="E1146" s="17">
        <v>121009548000</v>
      </c>
      <c r="F1146" s="17" t="s">
        <v>918</v>
      </c>
      <c r="G1146" s="17">
        <v>1748373000</v>
      </c>
      <c r="H1146" s="17" t="s">
        <v>919</v>
      </c>
      <c r="I1146" s="17">
        <f t="shared" si="36"/>
        <v>1748373000</v>
      </c>
    </row>
    <row r="1147" spans="1:9" x14ac:dyDescent="0.3">
      <c r="A1147" s="17" t="str">
        <f t="shared" si="35"/>
        <v>2000244</v>
      </c>
      <c r="B1147" s="17">
        <v>200</v>
      </c>
      <c r="C1147" s="17">
        <v>244</v>
      </c>
      <c r="D1147" s="17" t="s">
        <v>917</v>
      </c>
      <c r="E1147" s="17">
        <v>125849934000</v>
      </c>
      <c r="F1147" s="17" t="s">
        <v>918</v>
      </c>
      <c r="G1147" s="17">
        <v>1783342500</v>
      </c>
      <c r="H1147" s="17" t="s">
        <v>919</v>
      </c>
      <c r="I1147" s="17">
        <f t="shared" si="36"/>
        <v>1783342500</v>
      </c>
    </row>
    <row r="1148" spans="1:9" x14ac:dyDescent="0.3">
      <c r="A1148" s="17" t="str">
        <f t="shared" si="35"/>
        <v>2000245</v>
      </c>
      <c r="B1148" s="17">
        <v>200</v>
      </c>
      <c r="C1148" s="17">
        <v>245</v>
      </c>
      <c r="D1148" s="17" t="s">
        <v>917</v>
      </c>
      <c r="E1148" s="17">
        <v>130883935300</v>
      </c>
      <c r="F1148" s="17" t="s">
        <v>918</v>
      </c>
      <c r="G1148" s="17">
        <v>1819011500</v>
      </c>
      <c r="H1148" s="17" t="s">
        <v>919</v>
      </c>
      <c r="I1148" s="17">
        <f t="shared" si="36"/>
        <v>1819011500</v>
      </c>
    </row>
    <row r="1149" spans="1:9" x14ac:dyDescent="0.3">
      <c r="A1149" s="17" t="str">
        <f t="shared" si="35"/>
        <v>2000246</v>
      </c>
      <c r="B1149" s="17">
        <v>200</v>
      </c>
      <c r="C1149" s="17">
        <v>246</v>
      </c>
      <c r="D1149" s="17" t="s">
        <v>917</v>
      </c>
      <c r="E1149" s="17">
        <v>136119297000</v>
      </c>
      <c r="F1149" s="17" t="s">
        <v>918</v>
      </c>
      <c r="G1149" s="17">
        <v>1855393500</v>
      </c>
      <c r="H1149" s="17" t="s">
        <v>919</v>
      </c>
      <c r="I1149" s="17">
        <f t="shared" si="36"/>
        <v>1855393500</v>
      </c>
    </row>
    <row r="1150" spans="1:9" x14ac:dyDescent="0.3">
      <c r="A1150" s="17" t="str">
        <f t="shared" si="35"/>
        <v>2000247</v>
      </c>
      <c r="B1150" s="17">
        <v>200</v>
      </c>
      <c r="C1150" s="17">
        <v>247</v>
      </c>
      <c r="D1150" s="17" t="s">
        <v>917</v>
      </c>
      <c r="E1150" s="17">
        <v>141564072700</v>
      </c>
      <c r="F1150" s="17" t="s">
        <v>918</v>
      </c>
      <c r="G1150" s="17">
        <v>1892503500</v>
      </c>
      <c r="H1150" s="17" t="s">
        <v>919</v>
      </c>
      <c r="I1150" s="17">
        <f t="shared" si="36"/>
        <v>1892503500</v>
      </c>
    </row>
    <row r="1151" spans="1:9" x14ac:dyDescent="0.3">
      <c r="A1151" s="17" t="str">
        <f t="shared" si="35"/>
        <v>2000248</v>
      </c>
      <c r="B1151" s="17">
        <v>200</v>
      </c>
      <c r="C1151" s="17">
        <v>248</v>
      </c>
      <c r="D1151" s="17" t="s">
        <v>917</v>
      </c>
      <c r="E1151" s="17">
        <v>147226639700</v>
      </c>
      <c r="F1151" s="17" t="s">
        <v>918</v>
      </c>
      <c r="G1151" s="17">
        <v>1930355500</v>
      </c>
      <c r="H1151" s="17" t="s">
        <v>919</v>
      </c>
      <c r="I1151" s="17">
        <f t="shared" si="36"/>
        <v>1930355500</v>
      </c>
    </row>
    <row r="1152" spans="1:9" x14ac:dyDescent="0.3">
      <c r="A1152" s="17" t="str">
        <f t="shared" si="35"/>
        <v>2000249</v>
      </c>
      <c r="B1152" s="17">
        <v>200</v>
      </c>
      <c r="C1152" s="17">
        <v>249</v>
      </c>
      <c r="D1152" s="17" t="s">
        <v>917</v>
      </c>
      <c r="E1152" s="17">
        <v>153115709300</v>
      </c>
      <c r="F1152" s="17" t="s">
        <v>918</v>
      </c>
      <c r="G1152" s="17">
        <v>1968965000</v>
      </c>
      <c r="H1152" s="17" t="s">
        <v>919</v>
      </c>
      <c r="I1152" s="17">
        <f t="shared" si="36"/>
        <v>1968965000</v>
      </c>
    </row>
    <row r="1153" spans="1:9" x14ac:dyDescent="0.3">
      <c r="A1153" s="17" t="str">
        <f t="shared" si="35"/>
        <v>2000250</v>
      </c>
      <c r="B1153" s="17">
        <v>200</v>
      </c>
      <c r="C1153" s="17">
        <v>250</v>
      </c>
      <c r="D1153" s="17" t="s">
        <v>917</v>
      </c>
      <c r="E1153" s="17">
        <v>159240341700</v>
      </c>
      <c r="F1153" s="17" t="s">
        <v>918</v>
      </c>
      <c r="G1153" s="17">
        <v>2008346000</v>
      </c>
      <c r="H1153" s="17" t="s">
        <v>919</v>
      </c>
      <c r="I1153" s="17">
        <f t="shared" si="36"/>
        <v>2008346000</v>
      </c>
    </row>
    <row r="1154" spans="1:9" x14ac:dyDescent="0.3">
      <c r="A1154" s="17" t="str">
        <f t="shared" si="35"/>
        <v>2000251</v>
      </c>
      <c r="B1154" s="17">
        <v>200</v>
      </c>
      <c r="C1154" s="17">
        <v>251</v>
      </c>
      <c r="D1154" s="17" t="s">
        <v>917</v>
      </c>
      <c r="E1154" s="17">
        <v>165609959300</v>
      </c>
      <c r="F1154" s="17" t="s">
        <v>918</v>
      </c>
      <c r="G1154" s="17">
        <v>2048515000</v>
      </c>
      <c r="H1154" s="17" t="s">
        <v>919</v>
      </c>
      <c r="I1154" s="17">
        <f t="shared" si="36"/>
        <v>2048515000</v>
      </c>
    </row>
    <row r="1155" spans="1:9" x14ac:dyDescent="0.3">
      <c r="A1155" s="17" t="str">
        <f t="shared" si="35"/>
        <v>2000252</v>
      </c>
      <c r="B1155" s="17">
        <v>200</v>
      </c>
      <c r="C1155" s="17">
        <v>252</v>
      </c>
      <c r="D1155" s="17" t="s">
        <v>917</v>
      </c>
      <c r="E1155" s="17">
        <v>172234361700</v>
      </c>
      <c r="F1155" s="17" t="s">
        <v>918</v>
      </c>
      <c r="G1155" s="17">
        <v>2089487500</v>
      </c>
      <c r="H1155" s="17" t="s">
        <v>919</v>
      </c>
      <c r="I1155" s="17">
        <f t="shared" si="36"/>
        <v>2089487500</v>
      </c>
    </row>
    <row r="1156" spans="1:9" x14ac:dyDescent="0.3">
      <c r="A1156" s="17" t="str">
        <f t="shared" ref="A1156:A1219" si="37">B1156&amp;TEXT(C1156,"0000")</f>
        <v>2000253</v>
      </c>
      <c r="B1156" s="17">
        <v>200</v>
      </c>
      <c r="C1156" s="17">
        <v>253</v>
      </c>
      <c r="D1156" s="17" t="s">
        <v>917</v>
      </c>
      <c r="E1156" s="17">
        <v>179123740000</v>
      </c>
      <c r="F1156" s="17" t="s">
        <v>918</v>
      </c>
      <c r="G1156" s="17">
        <v>2131279000</v>
      </c>
      <c r="H1156" s="17" t="s">
        <v>919</v>
      </c>
      <c r="I1156" s="17">
        <f t="shared" si="36"/>
        <v>2131279000</v>
      </c>
    </row>
    <row r="1157" spans="1:9" x14ac:dyDescent="0.3">
      <c r="A1157" s="17" t="str">
        <f t="shared" si="37"/>
        <v>2000254</v>
      </c>
      <c r="B1157" s="17">
        <v>200</v>
      </c>
      <c r="C1157" s="17">
        <v>254</v>
      </c>
      <c r="D1157" s="17" t="s">
        <v>917</v>
      </c>
      <c r="E1157" s="17">
        <v>186288693700</v>
      </c>
      <c r="F1157" s="17" t="s">
        <v>918</v>
      </c>
      <c r="G1157" s="17">
        <v>2173906500</v>
      </c>
      <c r="H1157" s="17" t="s">
        <v>919</v>
      </c>
      <c r="I1157" s="17">
        <f t="shared" si="36"/>
        <v>2173906500</v>
      </c>
    </row>
    <row r="1158" spans="1:9" x14ac:dyDescent="0.3">
      <c r="A1158" s="17" t="str">
        <f t="shared" si="37"/>
        <v>2000255</v>
      </c>
      <c r="B1158" s="17">
        <v>200</v>
      </c>
      <c r="C1158" s="17">
        <v>255</v>
      </c>
      <c r="D1158" s="17" t="s">
        <v>917</v>
      </c>
      <c r="E1158" s="17">
        <v>193740245300</v>
      </c>
      <c r="F1158" s="17" t="s">
        <v>918</v>
      </c>
      <c r="G1158" s="17">
        <v>2217387000</v>
      </c>
      <c r="H1158" s="17" t="s">
        <v>919</v>
      </c>
      <c r="I1158" s="17">
        <f t="shared" si="36"/>
        <v>2217387000</v>
      </c>
    </row>
    <row r="1159" spans="1:9" x14ac:dyDescent="0.3">
      <c r="A1159" s="17" t="str">
        <f t="shared" si="37"/>
        <v>2000256</v>
      </c>
      <c r="B1159" s="17">
        <v>200</v>
      </c>
      <c r="C1159" s="17">
        <v>256</v>
      </c>
      <c r="D1159" s="17" t="s">
        <v>917</v>
      </c>
      <c r="E1159" s="17">
        <v>201489859300</v>
      </c>
      <c r="F1159" s="17" t="s">
        <v>918</v>
      </c>
      <c r="G1159" s="17">
        <v>2261736500</v>
      </c>
      <c r="H1159" s="17" t="s">
        <v>919</v>
      </c>
      <c r="I1159" s="17">
        <f t="shared" si="36"/>
        <v>2261736500</v>
      </c>
    </row>
    <row r="1160" spans="1:9" x14ac:dyDescent="0.3">
      <c r="A1160" s="17" t="str">
        <f t="shared" si="37"/>
        <v>2000257</v>
      </c>
      <c r="B1160" s="17">
        <v>200</v>
      </c>
      <c r="C1160" s="17">
        <v>257</v>
      </c>
      <c r="D1160" s="17" t="s">
        <v>917</v>
      </c>
      <c r="E1160" s="17">
        <v>209549457700</v>
      </c>
      <c r="F1160" s="17" t="s">
        <v>918</v>
      </c>
      <c r="G1160" s="17">
        <v>2306973500</v>
      </c>
      <c r="H1160" s="17" t="s">
        <v>919</v>
      </c>
      <c r="I1160" s="17">
        <f t="shared" si="36"/>
        <v>2306973500</v>
      </c>
    </row>
    <row r="1161" spans="1:9" x14ac:dyDescent="0.3">
      <c r="A1161" s="17" t="str">
        <f t="shared" si="37"/>
        <v>2000258</v>
      </c>
      <c r="B1161" s="17">
        <v>200</v>
      </c>
      <c r="C1161" s="17">
        <v>258</v>
      </c>
      <c r="D1161" s="17" t="s">
        <v>917</v>
      </c>
      <c r="E1161" s="17">
        <v>217931440000</v>
      </c>
      <c r="F1161" s="17" t="s">
        <v>918</v>
      </c>
      <c r="G1161" s="17">
        <v>2353115000</v>
      </c>
      <c r="H1161" s="17" t="s">
        <v>919</v>
      </c>
      <c r="I1161" s="17">
        <f t="shared" ref="I1161:I1224" si="38">G1161</f>
        <v>2353115000</v>
      </c>
    </row>
    <row r="1162" spans="1:9" x14ac:dyDescent="0.3">
      <c r="A1162" s="17" t="str">
        <f t="shared" si="37"/>
        <v>2000259</v>
      </c>
      <c r="B1162" s="17">
        <v>200</v>
      </c>
      <c r="C1162" s="17">
        <v>259</v>
      </c>
      <c r="D1162" s="17" t="s">
        <v>917</v>
      </c>
      <c r="E1162" s="17">
        <v>226648701700</v>
      </c>
      <c r="F1162" s="17" t="s">
        <v>918</v>
      </c>
      <c r="G1162" s="17">
        <v>2400179000</v>
      </c>
      <c r="H1162" s="17" t="s">
        <v>919</v>
      </c>
      <c r="I1162" s="17">
        <f t="shared" si="38"/>
        <v>2400179000</v>
      </c>
    </row>
    <row r="1163" spans="1:9" x14ac:dyDescent="0.3">
      <c r="A1163" s="17" t="str">
        <f t="shared" si="37"/>
        <v>2000260</v>
      </c>
      <c r="B1163" s="17">
        <v>200</v>
      </c>
      <c r="C1163" s="17">
        <v>260</v>
      </c>
      <c r="D1163" s="17" t="s">
        <v>917</v>
      </c>
      <c r="E1163" s="17">
        <v>235714653700</v>
      </c>
      <c r="F1163" s="17" t="s">
        <v>918</v>
      </c>
      <c r="G1163" s="17">
        <v>2448184500</v>
      </c>
      <c r="H1163" s="17" t="s">
        <v>919</v>
      </c>
      <c r="I1163" s="17">
        <f t="shared" si="38"/>
        <v>2448184500</v>
      </c>
    </row>
    <row r="1164" spans="1:9" x14ac:dyDescent="0.3">
      <c r="A1164" s="17" t="str">
        <f t="shared" si="37"/>
        <v>2000261</v>
      </c>
      <c r="B1164" s="17">
        <v>200</v>
      </c>
      <c r="C1164" s="17">
        <v>261</v>
      </c>
      <c r="D1164" s="17" t="s">
        <v>917</v>
      </c>
      <c r="E1164" s="17">
        <v>245143244000</v>
      </c>
      <c r="F1164" s="17" t="s">
        <v>918</v>
      </c>
      <c r="G1164" s="17">
        <v>2497150500</v>
      </c>
      <c r="H1164" s="17" t="s">
        <v>919</v>
      </c>
      <c r="I1164" s="17">
        <f t="shared" si="38"/>
        <v>2497150500</v>
      </c>
    </row>
    <row r="1165" spans="1:9" x14ac:dyDescent="0.3">
      <c r="A1165" s="17" t="str">
        <f t="shared" si="37"/>
        <v>2000262</v>
      </c>
      <c r="B1165" s="17">
        <v>200</v>
      </c>
      <c r="C1165" s="17">
        <v>262</v>
      </c>
      <c r="D1165" s="17" t="s">
        <v>917</v>
      </c>
      <c r="E1165" s="17">
        <v>254948977700</v>
      </c>
      <c r="F1165" s="17" t="s">
        <v>918</v>
      </c>
      <c r="G1165" s="17">
        <v>2547095500</v>
      </c>
      <c r="H1165" s="17" t="s">
        <v>919</v>
      </c>
      <c r="I1165" s="17">
        <f t="shared" si="38"/>
        <v>2547095500</v>
      </c>
    </row>
    <row r="1166" spans="1:9" x14ac:dyDescent="0.3">
      <c r="A1166" s="17" t="str">
        <f t="shared" si="37"/>
        <v>2000263</v>
      </c>
      <c r="B1166" s="17">
        <v>200</v>
      </c>
      <c r="C1166" s="17">
        <v>263</v>
      </c>
      <c r="D1166" s="17" t="s">
        <v>917</v>
      </c>
      <c r="E1166" s="17">
        <v>265146940700</v>
      </c>
      <c r="F1166" s="17" t="s">
        <v>918</v>
      </c>
      <c r="G1166" s="17">
        <v>2598039500</v>
      </c>
      <c r="H1166" s="17" t="s">
        <v>919</v>
      </c>
      <c r="I1166" s="17">
        <f t="shared" si="38"/>
        <v>2598039500</v>
      </c>
    </row>
    <row r="1167" spans="1:9" x14ac:dyDescent="0.3">
      <c r="A1167" s="17" t="str">
        <f t="shared" si="37"/>
        <v>2000264</v>
      </c>
      <c r="B1167" s="17">
        <v>200</v>
      </c>
      <c r="C1167" s="17">
        <v>264</v>
      </c>
      <c r="D1167" s="17" t="s">
        <v>917</v>
      </c>
      <c r="E1167" s="17">
        <v>275752822300</v>
      </c>
      <c r="F1167" s="17" t="s">
        <v>918</v>
      </c>
      <c r="G1167" s="17">
        <v>2650002000</v>
      </c>
      <c r="H1167" s="17" t="s">
        <v>919</v>
      </c>
      <c r="I1167" s="17">
        <f t="shared" si="38"/>
        <v>2650002000</v>
      </c>
    </row>
    <row r="1168" spans="1:9" x14ac:dyDescent="0.3">
      <c r="A1168" s="17" t="str">
        <f t="shared" si="37"/>
        <v>2000265</v>
      </c>
      <c r="B1168" s="17">
        <v>200</v>
      </c>
      <c r="C1168" s="17">
        <v>265</v>
      </c>
      <c r="D1168" s="17" t="s">
        <v>917</v>
      </c>
      <c r="E1168" s="17">
        <v>286782939300</v>
      </c>
      <c r="F1168" s="17" t="s">
        <v>918</v>
      </c>
      <c r="G1168" s="17">
        <v>2703004000</v>
      </c>
      <c r="H1168" s="17" t="s">
        <v>919</v>
      </c>
      <c r="I1168" s="17">
        <f t="shared" si="38"/>
        <v>2703004000</v>
      </c>
    </row>
    <row r="1169" spans="1:9" x14ac:dyDescent="0.3">
      <c r="A1169" s="17" t="str">
        <f t="shared" si="37"/>
        <v>2000266</v>
      </c>
      <c r="B1169" s="17">
        <v>200</v>
      </c>
      <c r="C1169" s="17">
        <v>266</v>
      </c>
      <c r="D1169" s="17" t="s">
        <v>917</v>
      </c>
      <c r="E1169" s="17">
        <v>298254261000</v>
      </c>
      <c r="F1169" s="17" t="s">
        <v>918</v>
      </c>
      <c r="G1169" s="17">
        <v>2757066000</v>
      </c>
      <c r="H1169" s="17" t="s">
        <v>919</v>
      </c>
      <c r="I1169" s="17">
        <f t="shared" si="38"/>
        <v>2757066000</v>
      </c>
    </row>
    <row r="1170" spans="1:9" x14ac:dyDescent="0.3">
      <c r="A1170" s="17" t="str">
        <f t="shared" si="37"/>
        <v>2000267</v>
      </c>
      <c r="B1170" s="17">
        <v>200</v>
      </c>
      <c r="C1170" s="17">
        <v>267</v>
      </c>
      <c r="D1170" s="17" t="s">
        <v>917</v>
      </c>
      <c r="E1170" s="17">
        <v>310184435300</v>
      </c>
      <c r="F1170" s="17" t="s">
        <v>918</v>
      </c>
      <c r="G1170" s="17">
        <v>2812209500</v>
      </c>
      <c r="H1170" s="17" t="s">
        <v>919</v>
      </c>
      <c r="I1170" s="17">
        <f t="shared" si="38"/>
        <v>2812209500</v>
      </c>
    </row>
    <row r="1171" spans="1:9" x14ac:dyDescent="0.3">
      <c r="A1171" s="17" t="str">
        <f t="shared" si="37"/>
        <v>2000268</v>
      </c>
      <c r="B1171" s="17">
        <v>200</v>
      </c>
      <c r="C1171" s="17">
        <v>268</v>
      </c>
      <c r="D1171" s="17" t="s">
        <v>917</v>
      </c>
      <c r="E1171" s="17">
        <v>322591816700</v>
      </c>
      <c r="F1171" s="17" t="s">
        <v>918</v>
      </c>
      <c r="G1171" s="17">
        <v>2868455500</v>
      </c>
      <c r="H1171" s="17" t="s">
        <v>919</v>
      </c>
      <c r="I1171" s="17">
        <f t="shared" si="38"/>
        <v>2868455500</v>
      </c>
    </row>
    <row r="1172" spans="1:9" x14ac:dyDescent="0.3">
      <c r="A1172" s="17" t="str">
        <f t="shared" si="37"/>
        <v>2000269</v>
      </c>
      <c r="B1172" s="17">
        <v>200</v>
      </c>
      <c r="C1172" s="17">
        <v>269</v>
      </c>
      <c r="D1172" s="17" t="s">
        <v>917</v>
      </c>
      <c r="E1172" s="17">
        <v>335495493300</v>
      </c>
      <c r="F1172" s="17" t="s">
        <v>918</v>
      </c>
      <c r="G1172" s="17">
        <v>2925827000</v>
      </c>
      <c r="H1172" s="17" t="s">
        <v>919</v>
      </c>
      <c r="I1172" s="17">
        <f t="shared" si="38"/>
        <v>2925827000</v>
      </c>
    </row>
    <row r="1173" spans="1:9" x14ac:dyDescent="0.3">
      <c r="A1173" s="17" t="str">
        <f t="shared" si="37"/>
        <v>2000270</v>
      </c>
      <c r="B1173" s="17">
        <v>200</v>
      </c>
      <c r="C1173" s="17">
        <v>270</v>
      </c>
      <c r="D1173" s="17" t="s">
        <v>917</v>
      </c>
      <c r="E1173" s="17">
        <v>348915317000</v>
      </c>
      <c r="F1173" s="17" t="s">
        <v>918</v>
      </c>
      <c r="G1173" s="17">
        <v>2984345500</v>
      </c>
      <c r="H1173" s="17" t="s">
        <v>919</v>
      </c>
      <c r="I1173" s="17">
        <f t="shared" si="38"/>
        <v>2984345500</v>
      </c>
    </row>
    <row r="1174" spans="1:9" x14ac:dyDescent="0.3">
      <c r="A1174" s="17" t="str">
        <f t="shared" si="37"/>
        <v>2000271</v>
      </c>
      <c r="B1174" s="17">
        <v>200</v>
      </c>
      <c r="C1174" s="17">
        <v>271</v>
      </c>
      <c r="D1174" s="17" t="s">
        <v>917</v>
      </c>
      <c r="E1174" s="17">
        <v>362871933700</v>
      </c>
      <c r="F1174" s="17" t="s">
        <v>918</v>
      </c>
      <c r="G1174" s="17">
        <v>3044034500</v>
      </c>
      <c r="H1174" s="17" t="s">
        <v>919</v>
      </c>
      <c r="I1174" s="17">
        <f t="shared" si="38"/>
        <v>3044034500</v>
      </c>
    </row>
    <row r="1175" spans="1:9" x14ac:dyDescent="0.3">
      <c r="A1175" s="17" t="str">
        <f t="shared" si="37"/>
        <v>2000272</v>
      </c>
      <c r="B1175" s="17">
        <v>200</v>
      </c>
      <c r="C1175" s="17">
        <v>272</v>
      </c>
      <c r="D1175" s="17" t="s">
        <v>917</v>
      </c>
      <c r="E1175" s="17">
        <v>377386815000</v>
      </c>
      <c r="F1175" s="17" t="s">
        <v>918</v>
      </c>
      <c r="G1175" s="17">
        <v>3104917000</v>
      </c>
      <c r="H1175" s="17" t="s">
        <v>919</v>
      </c>
      <c r="I1175" s="17">
        <f t="shared" si="38"/>
        <v>3104917000</v>
      </c>
    </row>
    <row r="1176" spans="1:9" x14ac:dyDescent="0.3">
      <c r="A1176" s="17" t="str">
        <f t="shared" si="37"/>
        <v>2000273</v>
      </c>
      <c r="B1176" s="17">
        <v>200</v>
      </c>
      <c r="C1176" s="17">
        <v>273</v>
      </c>
      <c r="D1176" s="17" t="s">
        <v>917</v>
      </c>
      <c r="E1176" s="17">
        <v>392482291700</v>
      </c>
      <c r="F1176" s="17" t="s">
        <v>918</v>
      </c>
      <c r="G1176" s="17">
        <v>3167017500</v>
      </c>
      <c r="H1176" s="17" t="s">
        <v>919</v>
      </c>
      <c r="I1176" s="17">
        <f t="shared" si="38"/>
        <v>3167017500</v>
      </c>
    </row>
    <row r="1177" spans="1:9" x14ac:dyDescent="0.3">
      <c r="A1177" s="17" t="str">
        <f t="shared" si="37"/>
        <v>2000274</v>
      </c>
      <c r="B1177" s="17">
        <v>200</v>
      </c>
      <c r="C1177" s="17">
        <v>274</v>
      </c>
      <c r="D1177" s="17" t="s">
        <v>917</v>
      </c>
      <c r="E1177" s="17">
        <v>408181587300</v>
      </c>
      <c r="F1177" s="17" t="s">
        <v>918</v>
      </c>
      <c r="G1177" s="17">
        <v>3230359500</v>
      </c>
      <c r="H1177" s="17" t="s">
        <v>919</v>
      </c>
      <c r="I1177" s="17">
        <f t="shared" si="38"/>
        <v>3230359500</v>
      </c>
    </row>
    <row r="1178" spans="1:9" x14ac:dyDescent="0.3">
      <c r="A1178" s="17" t="str">
        <f t="shared" si="37"/>
        <v>2000275</v>
      </c>
      <c r="B1178" s="17">
        <v>200</v>
      </c>
      <c r="C1178" s="17">
        <v>275</v>
      </c>
      <c r="D1178" s="17" t="s">
        <v>917</v>
      </c>
      <c r="E1178" s="17">
        <v>424508855000</v>
      </c>
      <c r="F1178" s="17" t="s">
        <v>918</v>
      </c>
      <c r="G1178" s="17">
        <v>3294969000</v>
      </c>
      <c r="H1178" s="17" t="s">
        <v>919</v>
      </c>
      <c r="I1178" s="17">
        <f t="shared" si="38"/>
        <v>3294969000</v>
      </c>
    </row>
    <row r="1179" spans="1:9" x14ac:dyDescent="0.3">
      <c r="A1179" s="17" t="str">
        <f t="shared" si="37"/>
        <v>2000276</v>
      </c>
      <c r="B1179" s="17">
        <v>200</v>
      </c>
      <c r="C1179" s="17">
        <v>276</v>
      </c>
      <c r="D1179" s="17" t="s">
        <v>917</v>
      </c>
      <c r="E1179" s="17">
        <v>441489213000</v>
      </c>
      <c r="F1179" s="17" t="s">
        <v>918</v>
      </c>
      <c r="G1179" s="17">
        <v>3360870500</v>
      </c>
      <c r="H1179" s="17" t="s">
        <v>919</v>
      </c>
      <c r="I1179" s="17">
        <f t="shared" si="38"/>
        <v>3360870500</v>
      </c>
    </row>
    <row r="1180" spans="1:9" x14ac:dyDescent="0.3">
      <c r="A1180" s="17" t="str">
        <f t="shared" si="37"/>
        <v>2000277</v>
      </c>
      <c r="B1180" s="17">
        <v>200</v>
      </c>
      <c r="C1180" s="17">
        <v>277</v>
      </c>
      <c r="D1180" s="17" t="s">
        <v>917</v>
      </c>
      <c r="E1180" s="17">
        <v>459148785700</v>
      </c>
      <c r="F1180" s="17" t="s">
        <v>918</v>
      </c>
      <c r="G1180" s="17">
        <v>3428089500</v>
      </c>
      <c r="H1180" s="17" t="s">
        <v>919</v>
      </c>
      <c r="I1180" s="17">
        <f t="shared" si="38"/>
        <v>3428089500</v>
      </c>
    </row>
    <row r="1181" spans="1:9" x14ac:dyDescent="0.3">
      <c r="A1181" s="17" t="str">
        <f t="shared" si="37"/>
        <v>2000278</v>
      </c>
      <c r="B1181" s="17">
        <v>200</v>
      </c>
      <c r="C1181" s="17">
        <v>278</v>
      </c>
      <c r="D1181" s="17" t="s">
        <v>917</v>
      </c>
      <c r="E1181" s="17">
        <v>477514741000</v>
      </c>
      <c r="F1181" s="17" t="s">
        <v>918</v>
      </c>
      <c r="G1181" s="17">
        <v>3496653500</v>
      </c>
      <c r="H1181" s="17" t="s">
        <v>919</v>
      </c>
      <c r="I1181" s="17">
        <f t="shared" si="38"/>
        <v>3496653500</v>
      </c>
    </row>
    <row r="1182" spans="1:9" x14ac:dyDescent="0.3">
      <c r="A1182" s="17" t="str">
        <f t="shared" si="37"/>
        <v>2000279</v>
      </c>
      <c r="B1182" s="17">
        <v>200</v>
      </c>
      <c r="C1182" s="17">
        <v>279</v>
      </c>
      <c r="D1182" s="17" t="s">
        <v>917</v>
      </c>
      <c r="E1182" s="17">
        <v>496615334700</v>
      </c>
      <c r="F1182" s="17" t="s">
        <v>918</v>
      </c>
      <c r="G1182" s="17">
        <v>3566588500</v>
      </c>
      <c r="H1182" s="17" t="s">
        <v>919</v>
      </c>
      <c r="I1182" s="17">
        <f t="shared" si="38"/>
        <v>3566588500</v>
      </c>
    </row>
    <row r="1183" spans="1:9" x14ac:dyDescent="0.3">
      <c r="A1183" s="17" t="str">
        <f t="shared" si="37"/>
        <v>2000280</v>
      </c>
      <c r="B1183" s="17">
        <v>200</v>
      </c>
      <c r="C1183" s="17">
        <v>280</v>
      </c>
      <c r="D1183" s="17" t="s">
        <v>917</v>
      </c>
      <c r="E1183" s="17">
        <v>516479952300</v>
      </c>
      <c r="F1183" s="17" t="s">
        <v>918</v>
      </c>
      <c r="G1183" s="17">
        <v>3637922500</v>
      </c>
      <c r="H1183" s="17" t="s">
        <v>919</v>
      </c>
      <c r="I1183" s="17">
        <f t="shared" si="38"/>
        <v>3637922500</v>
      </c>
    </row>
    <row r="1184" spans="1:9" x14ac:dyDescent="0.3">
      <c r="A1184" s="17" t="str">
        <f t="shared" si="37"/>
        <v>2000281</v>
      </c>
      <c r="B1184" s="17">
        <v>200</v>
      </c>
      <c r="C1184" s="17">
        <v>281</v>
      </c>
      <c r="D1184" s="17" t="s">
        <v>917</v>
      </c>
      <c r="E1184" s="17">
        <v>537139154300</v>
      </c>
      <c r="F1184" s="17" t="s">
        <v>918</v>
      </c>
      <c r="G1184" s="17">
        <v>3710683000</v>
      </c>
      <c r="H1184" s="17" t="s">
        <v>919</v>
      </c>
      <c r="I1184" s="17">
        <f t="shared" si="38"/>
        <v>3710683000</v>
      </c>
    </row>
    <row r="1185" spans="1:9" x14ac:dyDescent="0.3">
      <c r="A1185" s="17" t="str">
        <f t="shared" si="37"/>
        <v>2000282</v>
      </c>
      <c r="B1185" s="17">
        <v>200</v>
      </c>
      <c r="C1185" s="17">
        <v>282</v>
      </c>
      <c r="D1185" s="17" t="s">
        <v>917</v>
      </c>
      <c r="E1185" s="17">
        <v>558624724300</v>
      </c>
      <c r="F1185" s="17" t="s">
        <v>918</v>
      </c>
      <c r="G1185" s="17">
        <v>3784898500</v>
      </c>
      <c r="H1185" s="17" t="s">
        <v>919</v>
      </c>
      <c r="I1185" s="17">
        <f t="shared" si="38"/>
        <v>3784898500</v>
      </c>
    </row>
    <row r="1186" spans="1:9" x14ac:dyDescent="0.3">
      <c r="A1186" s="17" t="str">
        <f t="shared" si="37"/>
        <v>2000283</v>
      </c>
      <c r="B1186" s="17">
        <v>200</v>
      </c>
      <c r="C1186" s="17">
        <v>283</v>
      </c>
      <c r="D1186" s="17" t="s">
        <v>917</v>
      </c>
      <c r="E1186" s="17">
        <v>580969717300</v>
      </c>
      <c r="F1186" s="17" t="s">
        <v>918</v>
      </c>
      <c r="G1186" s="17">
        <v>3860598500</v>
      </c>
      <c r="H1186" s="17" t="s">
        <v>919</v>
      </c>
      <c r="I1186" s="17">
        <f t="shared" si="38"/>
        <v>3860598500</v>
      </c>
    </row>
    <row r="1187" spans="1:9" x14ac:dyDescent="0.3">
      <c r="A1187" s="17" t="str">
        <f t="shared" si="37"/>
        <v>2000284</v>
      </c>
      <c r="B1187" s="17">
        <v>200</v>
      </c>
      <c r="C1187" s="17">
        <v>284</v>
      </c>
      <c r="D1187" s="17" t="s">
        <v>917</v>
      </c>
      <c r="E1187" s="17">
        <v>604208510000</v>
      </c>
      <c r="F1187" s="17" t="s">
        <v>918</v>
      </c>
      <c r="G1187" s="17">
        <v>3937812500</v>
      </c>
      <c r="H1187" s="17" t="s">
        <v>919</v>
      </c>
      <c r="I1187" s="17">
        <f t="shared" si="38"/>
        <v>3937812500</v>
      </c>
    </row>
    <row r="1188" spans="1:9" x14ac:dyDescent="0.3">
      <c r="A1188" s="17" t="str">
        <f t="shared" si="37"/>
        <v>2000285</v>
      </c>
      <c r="B1188" s="17">
        <v>200</v>
      </c>
      <c r="C1188" s="17">
        <v>285</v>
      </c>
      <c r="D1188" s="17" t="s">
        <v>917</v>
      </c>
      <c r="E1188" s="17">
        <v>628376854700</v>
      </c>
      <c r="F1188" s="17" t="s">
        <v>918</v>
      </c>
      <c r="G1188" s="17">
        <v>4016570500</v>
      </c>
      <c r="H1188" s="17" t="s">
        <v>919</v>
      </c>
      <c r="I1188" s="17">
        <f t="shared" si="38"/>
        <v>4016570500</v>
      </c>
    </row>
    <row r="1189" spans="1:9" x14ac:dyDescent="0.3">
      <c r="A1189" s="17" t="str">
        <f t="shared" si="37"/>
        <v>2000286</v>
      </c>
      <c r="B1189" s="17">
        <v>200</v>
      </c>
      <c r="C1189" s="17">
        <v>286</v>
      </c>
      <c r="D1189" s="17" t="s">
        <v>917</v>
      </c>
      <c r="E1189" s="17">
        <v>653511932700</v>
      </c>
      <c r="F1189" s="17" t="s">
        <v>918</v>
      </c>
      <c r="G1189" s="17">
        <v>4096904000</v>
      </c>
      <c r="H1189" s="17" t="s">
        <v>919</v>
      </c>
      <c r="I1189" s="17">
        <f t="shared" si="38"/>
        <v>4096904000</v>
      </c>
    </row>
    <row r="1190" spans="1:9" x14ac:dyDescent="0.3">
      <c r="A1190" s="17" t="str">
        <f t="shared" si="37"/>
        <v>2000287</v>
      </c>
      <c r="B1190" s="17">
        <v>200</v>
      </c>
      <c r="C1190" s="17">
        <v>287</v>
      </c>
      <c r="D1190" s="17" t="s">
        <v>917</v>
      </c>
      <c r="E1190" s="17">
        <v>679652414000</v>
      </c>
      <c r="F1190" s="17" t="s">
        <v>918</v>
      </c>
      <c r="G1190" s="17">
        <v>4178844000</v>
      </c>
      <c r="H1190" s="17" t="s">
        <v>919</v>
      </c>
      <c r="I1190" s="17">
        <f t="shared" si="38"/>
        <v>4178844000</v>
      </c>
    </row>
    <row r="1191" spans="1:9" x14ac:dyDescent="0.3">
      <c r="A1191" s="17" t="str">
        <f t="shared" si="37"/>
        <v>2000288</v>
      </c>
      <c r="B1191" s="17">
        <v>200</v>
      </c>
      <c r="C1191" s="17">
        <v>288</v>
      </c>
      <c r="D1191" s="17" t="s">
        <v>917</v>
      </c>
      <c r="E1191" s="17">
        <v>706838514700</v>
      </c>
      <c r="F1191" s="17" t="s">
        <v>918</v>
      </c>
      <c r="G1191" s="17">
        <v>4262423000</v>
      </c>
      <c r="H1191" s="17" t="s">
        <v>919</v>
      </c>
      <c r="I1191" s="17">
        <f t="shared" si="38"/>
        <v>4262423000</v>
      </c>
    </row>
    <row r="1192" spans="1:9" x14ac:dyDescent="0.3">
      <c r="A1192" s="17" t="str">
        <f t="shared" si="37"/>
        <v>2000289</v>
      </c>
      <c r="B1192" s="17">
        <v>200</v>
      </c>
      <c r="C1192" s="17">
        <v>289</v>
      </c>
      <c r="D1192" s="17" t="s">
        <v>917</v>
      </c>
      <c r="E1192" s="17">
        <v>735112059300</v>
      </c>
      <c r="F1192" s="17" t="s">
        <v>918</v>
      </c>
      <c r="G1192" s="17">
        <v>4347673500</v>
      </c>
      <c r="H1192" s="17" t="s">
        <v>919</v>
      </c>
      <c r="I1192" s="17">
        <f t="shared" si="38"/>
        <v>4347673500</v>
      </c>
    </row>
    <row r="1193" spans="1:9" x14ac:dyDescent="0.3">
      <c r="A1193" s="17" t="str">
        <f t="shared" si="37"/>
        <v>2000290</v>
      </c>
      <c r="B1193" s="17">
        <v>200</v>
      </c>
      <c r="C1193" s="17">
        <v>290</v>
      </c>
      <c r="D1193" s="17" t="s">
        <v>917</v>
      </c>
      <c r="E1193" s="17">
        <v>764516545700</v>
      </c>
      <c r="F1193" s="17" t="s">
        <v>918</v>
      </c>
      <c r="G1193" s="17">
        <v>4434629000</v>
      </c>
      <c r="H1193" s="17" t="s">
        <v>919</v>
      </c>
      <c r="I1193" s="17">
        <f t="shared" si="38"/>
        <v>4434629000</v>
      </c>
    </row>
    <row r="1194" spans="1:9" x14ac:dyDescent="0.3">
      <c r="A1194" s="17" t="str">
        <f t="shared" si="37"/>
        <v>2000291</v>
      </c>
      <c r="B1194" s="17">
        <v>200</v>
      </c>
      <c r="C1194" s="17">
        <v>291</v>
      </c>
      <c r="D1194" s="17" t="s">
        <v>917</v>
      </c>
      <c r="E1194" s="17">
        <v>795097211300</v>
      </c>
      <c r="F1194" s="17" t="s">
        <v>918</v>
      </c>
      <c r="G1194" s="17">
        <v>4523323500</v>
      </c>
      <c r="H1194" s="17" t="s">
        <v>919</v>
      </c>
      <c r="I1194" s="17">
        <f t="shared" si="38"/>
        <v>4523323500</v>
      </c>
    </row>
    <row r="1195" spans="1:9" x14ac:dyDescent="0.3">
      <c r="A1195" s="17" t="str">
        <f t="shared" si="37"/>
        <v>2000292</v>
      </c>
      <c r="B1195" s="17">
        <v>200</v>
      </c>
      <c r="C1195" s="17">
        <v>292</v>
      </c>
      <c r="D1195" s="17" t="s">
        <v>917</v>
      </c>
      <c r="E1195" s="17">
        <v>826901104000</v>
      </c>
      <c r="F1195" s="17" t="s">
        <v>918</v>
      </c>
      <c r="G1195" s="17">
        <v>4613792000</v>
      </c>
      <c r="H1195" s="17" t="s">
        <v>919</v>
      </c>
      <c r="I1195" s="17">
        <f t="shared" si="38"/>
        <v>4613792000</v>
      </c>
    </row>
    <row r="1196" spans="1:9" x14ac:dyDescent="0.3">
      <c r="A1196" s="17" t="str">
        <f t="shared" si="37"/>
        <v>2000293</v>
      </c>
      <c r="B1196" s="17">
        <v>200</v>
      </c>
      <c r="C1196" s="17">
        <v>293</v>
      </c>
      <c r="D1196" s="17" t="s">
        <v>917</v>
      </c>
      <c r="E1196" s="17">
        <v>859977152000</v>
      </c>
      <c r="F1196" s="17" t="s">
        <v>918</v>
      </c>
      <c r="G1196" s="17">
        <v>4706070000</v>
      </c>
      <c r="H1196" s="17" t="s">
        <v>919</v>
      </c>
      <c r="I1196" s="17">
        <f t="shared" si="38"/>
        <v>4706070000</v>
      </c>
    </row>
    <row r="1197" spans="1:9" x14ac:dyDescent="0.3">
      <c r="A1197" s="17" t="str">
        <f t="shared" si="37"/>
        <v>2000294</v>
      </c>
      <c r="B1197" s="17">
        <v>200</v>
      </c>
      <c r="C1197" s="17">
        <v>294</v>
      </c>
      <c r="D1197" s="17" t="s">
        <v>917</v>
      </c>
      <c r="E1197" s="17">
        <v>894376242000</v>
      </c>
      <c r="F1197" s="17" t="s">
        <v>918</v>
      </c>
      <c r="G1197" s="17">
        <v>4800193500</v>
      </c>
      <c r="H1197" s="17" t="s">
        <v>919</v>
      </c>
      <c r="I1197" s="17">
        <f t="shared" si="38"/>
        <v>4800193500</v>
      </c>
    </row>
    <row r="1198" spans="1:9" x14ac:dyDescent="0.3">
      <c r="A1198" s="17" t="str">
        <f t="shared" si="37"/>
        <v>2000295</v>
      </c>
      <c r="B1198" s="17">
        <v>200</v>
      </c>
      <c r="C1198" s="17">
        <v>295</v>
      </c>
      <c r="D1198" s="17" t="s">
        <v>917</v>
      </c>
      <c r="E1198" s="17">
        <v>930151296000</v>
      </c>
      <c r="F1198" s="17" t="s">
        <v>918</v>
      </c>
      <c r="G1198" s="17">
        <v>4896199000</v>
      </c>
      <c r="H1198" s="17" t="s">
        <v>919</v>
      </c>
      <c r="I1198" s="17">
        <f t="shared" si="38"/>
        <v>4896199000</v>
      </c>
    </row>
    <row r="1199" spans="1:9" x14ac:dyDescent="0.3">
      <c r="A1199" s="17" t="str">
        <f t="shared" si="37"/>
        <v>2000296</v>
      </c>
      <c r="B1199" s="17">
        <v>200</v>
      </c>
      <c r="C1199" s="17">
        <v>296</v>
      </c>
      <c r="D1199" s="17" t="s">
        <v>917</v>
      </c>
      <c r="E1199" s="17">
        <v>967357351700</v>
      </c>
      <c r="F1199" s="17" t="s">
        <v>918</v>
      </c>
      <c r="G1199" s="17">
        <v>4994125000</v>
      </c>
      <c r="H1199" s="17" t="s">
        <v>919</v>
      </c>
      <c r="I1199" s="17">
        <f t="shared" si="38"/>
        <v>4994125000</v>
      </c>
    </row>
    <row r="1200" spans="1:9" x14ac:dyDescent="0.3">
      <c r="A1200" s="17" t="str">
        <f t="shared" si="37"/>
        <v>2000297</v>
      </c>
      <c r="B1200" s="17">
        <v>200</v>
      </c>
      <c r="C1200" s="17">
        <v>297</v>
      </c>
      <c r="D1200" s="17" t="s">
        <v>917</v>
      </c>
      <c r="E1200" s="17">
        <v>1006051649700</v>
      </c>
      <c r="F1200" s="17" t="s">
        <v>918</v>
      </c>
      <c r="G1200" s="17">
        <v>5094009500</v>
      </c>
      <c r="H1200" s="17" t="s">
        <v>919</v>
      </c>
      <c r="I1200" s="17">
        <f t="shared" si="38"/>
        <v>5094009500</v>
      </c>
    </row>
    <row r="1201" spans="1:9" x14ac:dyDescent="0.3">
      <c r="A1201" s="17" t="str">
        <f t="shared" si="37"/>
        <v>2000298</v>
      </c>
      <c r="B1201" s="17">
        <v>200</v>
      </c>
      <c r="C1201" s="17">
        <v>298</v>
      </c>
      <c r="D1201" s="17" t="s">
        <v>917</v>
      </c>
      <c r="E1201" s="17">
        <v>1046293719700</v>
      </c>
      <c r="F1201" s="17" t="s">
        <v>918</v>
      </c>
      <c r="G1201" s="17">
        <v>5195892000</v>
      </c>
      <c r="H1201" s="17" t="s">
        <v>919</v>
      </c>
      <c r="I1201" s="17">
        <f t="shared" si="38"/>
        <v>5195892000</v>
      </c>
    </row>
    <row r="1202" spans="1:9" x14ac:dyDescent="0.3">
      <c r="A1202" s="17" t="str">
        <f t="shared" si="37"/>
        <v>2000299</v>
      </c>
      <c r="B1202" s="17">
        <v>200</v>
      </c>
      <c r="C1202" s="17">
        <v>299</v>
      </c>
      <c r="D1202" s="17" t="s">
        <v>917</v>
      </c>
      <c r="E1202" s="17">
        <v>1088145472700</v>
      </c>
      <c r="F1202" s="17" t="s">
        <v>918</v>
      </c>
      <c r="G1202" s="17">
        <v>5299811500</v>
      </c>
      <c r="H1202" s="17" t="s">
        <v>919</v>
      </c>
      <c r="I1202" s="17">
        <f t="shared" si="38"/>
        <v>5299811500</v>
      </c>
    </row>
    <row r="1203" spans="1:9" x14ac:dyDescent="0.3">
      <c r="A1203" s="17" t="str">
        <f t="shared" si="37"/>
        <v>2000300</v>
      </c>
      <c r="B1203" s="17">
        <v>200</v>
      </c>
      <c r="C1203" s="17">
        <v>300</v>
      </c>
      <c r="D1203" s="17" t="s">
        <v>917</v>
      </c>
      <c r="E1203" s="17">
        <v>1131671295300</v>
      </c>
      <c r="F1203" s="17" t="s">
        <v>918</v>
      </c>
      <c r="G1203" s="17">
        <v>5405810000</v>
      </c>
      <c r="H1203" s="17" t="s">
        <v>919</v>
      </c>
      <c r="I1203" s="17">
        <f t="shared" si="38"/>
        <v>5405810000</v>
      </c>
    </row>
    <row r="1204" spans="1:9" x14ac:dyDescent="0.3">
      <c r="A1204" s="17" t="str">
        <f t="shared" si="37"/>
        <v>2000301</v>
      </c>
      <c r="B1204" s="17">
        <v>200</v>
      </c>
      <c r="C1204" s="17">
        <v>301</v>
      </c>
      <c r="D1204" s="17" t="s">
        <v>917</v>
      </c>
      <c r="E1204" s="17">
        <f t="shared" ref="E1204:E1267" si="39">INT(E1203*1.01)</f>
        <v>1142988008253</v>
      </c>
      <c r="F1204" s="17" t="s">
        <v>918</v>
      </c>
      <c r="G1204" s="17">
        <f t="shared" ref="G1204:G1267" si="40">INT(G1203*1.01)</f>
        <v>5459868100</v>
      </c>
      <c r="H1204" s="17" t="s">
        <v>919</v>
      </c>
      <c r="I1204" s="17">
        <f t="shared" si="38"/>
        <v>5459868100</v>
      </c>
    </row>
    <row r="1205" spans="1:9" x14ac:dyDescent="0.3">
      <c r="A1205" s="17" t="str">
        <f t="shared" si="37"/>
        <v>2000302</v>
      </c>
      <c r="B1205" s="17">
        <v>200</v>
      </c>
      <c r="C1205" s="17">
        <v>302</v>
      </c>
      <c r="D1205" s="17" t="s">
        <v>917</v>
      </c>
      <c r="E1205" s="17">
        <f t="shared" si="39"/>
        <v>1154417888335</v>
      </c>
      <c r="F1205" s="17" t="s">
        <v>918</v>
      </c>
      <c r="G1205" s="17">
        <f t="shared" si="40"/>
        <v>5514466781</v>
      </c>
      <c r="H1205" s="17" t="s">
        <v>919</v>
      </c>
      <c r="I1205" s="17">
        <f t="shared" si="38"/>
        <v>5514466781</v>
      </c>
    </row>
    <row r="1206" spans="1:9" x14ac:dyDescent="0.3">
      <c r="A1206" s="17" t="str">
        <f t="shared" si="37"/>
        <v>2000303</v>
      </c>
      <c r="B1206" s="17">
        <v>200</v>
      </c>
      <c r="C1206" s="17">
        <v>303</v>
      </c>
      <c r="D1206" s="17" t="s">
        <v>917</v>
      </c>
      <c r="E1206" s="17">
        <f t="shared" si="39"/>
        <v>1165962067218</v>
      </c>
      <c r="F1206" s="17" t="s">
        <v>918</v>
      </c>
      <c r="G1206" s="17">
        <f t="shared" si="40"/>
        <v>5569611448</v>
      </c>
      <c r="H1206" s="17" t="s">
        <v>919</v>
      </c>
      <c r="I1206" s="17">
        <f t="shared" si="38"/>
        <v>5569611448</v>
      </c>
    </row>
    <row r="1207" spans="1:9" x14ac:dyDescent="0.3">
      <c r="A1207" s="17" t="str">
        <f t="shared" si="37"/>
        <v>2000304</v>
      </c>
      <c r="B1207" s="17">
        <v>200</v>
      </c>
      <c r="C1207" s="17">
        <v>304</v>
      </c>
      <c r="D1207" s="17" t="s">
        <v>917</v>
      </c>
      <c r="E1207" s="17">
        <f t="shared" si="39"/>
        <v>1177621687890</v>
      </c>
      <c r="F1207" s="17" t="s">
        <v>918</v>
      </c>
      <c r="G1207" s="17">
        <f t="shared" si="40"/>
        <v>5625307562</v>
      </c>
      <c r="H1207" s="17" t="s">
        <v>919</v>
      </c>
      <c r="I1207" s="17">
        <f t="shared" si="38"/>
        <v>5625307562</v>
      </c>
    </row>
    <row r="1208" spans="1:9" x14ac:dyDescent="0.3">
      <c r="A1208" s="17" t="str">
        <f t="shared" si="37"/>
        <v>2000305</v>
      </c>
      <c r="B1208" s="17">
        <v>200</v>
      </c>
      <c r="C1208" s="17">
        <v>305</v>
      </c>
      <c r="D1208" s="17" t="s">
        <v>917</v>
      </c>
      <c r="E1208" s="17">
        <f t="shared" si="39"/>
        <v>1189397904768</v>
      </c>
      <c r="F1208" s="17" t="s">
        <v>918</v>
      </c>
      <c r="G1208" s="17">
        <f t="shared" si="40"/>
        <v>5681560637</v>
      </c>
      <c r="H1208" s="17" t="s">
        <v>919</v>
      </c>
      <c r="I1208" s="17">
        <f t="shared" si="38"/>
        <v>5681560637</v>
      </c>
    </row>
    <row r="1209" spans="1:9" x14ac:dyDescent="0.3">
      <c r="A1209" s="17" t="str">
        <f t="shared" si="37"/>
        <v>2000306</v>
      </c>
      <c r="B1209" s="17">
        <v>200</v>
      </c>
      <c r="C1209" s="17">
        <v>306</v>
      </c>
      <c r="D1209" s="17" t="s">
        <v>917</v>
      </c>
      <c r="E1209" s="17">
        <f t="shared" si="39"/>
        <v>1201291883815</v>
      </c>
      <c r="F1209" s="17" t="s">
        <v>918</v>
      </c>
      <c r="G1209" s="17">
        <f t="shared" si="40"/>
        <v>5738376243</v>
      </c>
      <c r="H1209" s="17" t="s">
        <v>919</v>
      </c>
      <c r="I1209" s="17">
        <f t="shared" si="38"/>
        <v>5738376243</v>
      </c>
    </row>
    <row r="1210" spans="1:9" x14ac:dyDescent="0.3">
      <c r="A1210" s="17" t="str">
        <f t="shared" si="37"/>
        <v>2000307</v>
      </c>
      <c r="B1210" s="17">
        <v>200</v>
      </c>
      <c r="C1210" s="17">
        <v>307</v>
      </c>
      <c r="D1210" s="17" t="s">
        <v>917</v>
      </c>
      <c r="E1210" s="17">
        <f t="shared" si="39"/>
        <v>1213304802653</v>
      </c>
      <c r="F1210" s="17" t="s">
        <v>918</v>
      </c>
      <c r="G1210" s="17">
        <f t="shared" si="40"/>
        <v>5795760005</v>
      </c>
      <c r="H1210" s="17" t="s">
        <v>919</v>
      </c>
      <c r="I1210" s="17">
        <f t="shared" si="38"/>
        <v>5795760005</v>
      </c>
    </row>
    <row r="1211" spans="1:9" x14ac:dyDescent="0.3">
      <c r="A1211" s="17" t="str">
        <f t="shared" si="37"/>
        <v>2000308</v>
      </c>
      <c r="B1211" s="17">
        <v>200</v>
      </c>
      <c r="C1211" s="17">
        <v>308</v>
      </c>
      <c r="D1211" s="17" t="s">
        <v>917</v>
      </c>
      <c r="E1211" s="17">
        <f t="shared" si="39"/>
        <v>1225437850679</v>
      </c>
      <c r="F1211" s="17" t="s">
        <v>918</v>
      </c>
      <c r="G1211" s="17">
        <f t="shared" si="40"/>
        <v>5853717605</v>
      </c>
      <c r="H1211" s="17" t="s">
        <v>919</v>
      </c>
      <c r="I1211" s="17">
        <f t="shared" si="38"/>
        <v>5853717605</v>
      </c>
    </row>
    <row r="1212" spans="1:9" x14ac:dyDescent="0.3">
      <c r="A1212" s="17" t="str">
        <f t="shared" si="37"/>
        <v>2000309</v>
      </c>
      <c r="B1212" s="17">
        <v>200</v>
      </c>
      <c r="C1212" s="17">
        <v>309</v>
      </c>
      <c r="D1212" s="17" t="s">
        <v>917</v>
      </c>
      <c r="E1212" s="17">
        <f t="shared" si="39"/>
        <v>1237692229185</v>
      </c>
      <c r="F1212" s="17" t="s">
        <v>918</v>
      </c>
      <c r="G1212" s="17">
        <f t="shared" si="40"/>
        <v>5912254781</v>
      </c>
      <c r="H1212" s="17" t="s">
        <v>919</v>
      </c>
      <c r="I1212" s="17">
        <f t="shared" si="38"/>
        <v>5912254781</v>
      </c>
    </row>
    <row r="1213" spans="1:9" x14ac:dyDescent="0.3">
      <c r="A1213" s="17" t="str">
        <f t="shared" si="37"/>
        <v>2000310</v>
      </c>
      <c r="B1213" s="17">
        <v>200</v>
      </c>
      <c r="C1213" s="17">
        <v>310</v>
      </c>
      <c r="D1213" s="17" t="s">
        <v>917</v>
      </c>
      <c r="E1213" s="17">
        <f t="shared" si="39"/>
        <v>1250069151476</v>
      </c>
      <c r="F1213" s="17" t="s">
        <v>918</v>
      </c>
      <c r="G1213" s="17">
        <f t="shared" si="40"/>
        <v>5971377328</v>
      </c>
      <c r="H1213" s="17" t="s">
        <v>919</v>
      </c>
      <c r="I1213" s="17">
        <f t="shared" si="38"/>
        <v>5971377328</v>
      </c>
    </row>
    <row r="1214" spans="1:9" x14ac:dyDescent="0.3">
      <c r="A1214" s="17" t="str">
        <f t="shared" si="37"/>
        <v>2000311</v>
      </c>
      <c r="B1214" s="17">
        <v>200</v>
      </c>
      <c r="C1214" s="17">
        <v>311</v>
      </c>
      <c r="D1214" s="17" t="s">
        <v>917</v>
      </c>
      <c r="E1214" s="17">
        <f t="shared" si="39"/>
        <v>1262569842990</v>
      </c>
      <c r="F1214" s="17" t="s">
        <v>918</v>
      </c>
      <c r="G1214" s="17">
        <f t="shared" si="40"/>
        <v>6031091101</v>
      </c>
      <c r="H1214" s="17" t="s">
        <v>919</v>
      </c>
      <c r="I1214" s="17">
        <f t="shared" si="38"/>
        <v>6031091101</v>
      </c>
    </row>
    <row r="1215" spans="1:9" x14ac:dyDescent="0.3">
      <c r="A1215" s="17" t="str">
        <f t="shared" si="37"/>
        <v>2000312</v>
      </c>
      <c r="B1215" s="17">
        <v>200</v>
      </c>
      <c r="C1215" s="17">
        <v>312</v>
      </c>
      <c r="D1215" s="17" t="s">
        <v>917</v>
      </c>
      <c r="E1215" s="17">
        <f t="shared" si="39"/>
        <v>1275195541419</v>
      </c>
      <c r="F1215" s="17" t="s">
        <v>918</v>
      </c>
      <c r="G1215" s="17">
        <f t="shared" si="40"/>
        <v>6091402012</v>
      </c>
      <c r="H1215" s="17" t="s">
        <v>919</v>
      </c>
      <c r="I1215" s="17">
        <f t="shared" si="38"/>
        <v>6091402012</v>
      </c>
    </row>
    <row r="1216" spans="1:9" x14ac:dyDescent="0.3">
      <c r="A1216" s="17" t="str">
        <f t="shared" si="37"/>
        <v>2000313</v>
      </c>
      <c r="B1216" s="17">
        <v>200</v>
      </c>
      <c r="C1216" s="17">
        <v>313</v>
      </c>
      <c r="D1216" s="17" t="s">
        <v>917</v>
      </c>
      <c r="E1216" s="17">
        <f t="shared" si="39"/>
        <v>1287947496833</v>
      </c>
      <c r="F1216" s="17" t="s">
        <v>918</v>
      </c>
      <c r="G1216" s="17">
        <f t="shared" si="40"/>
        <v>6152316032</v>
      </c>
      <c r="H1216" s="17" t="s">
        <v>919</v>
      </c>
      <c r="I1216" s="17">
        <f t="shared" si="38"/>
        <v>6152316032</v>
      </c>
    </row>
    <row r="1217" spans="1:9" x14ac:dyDescent="0.3">
      <c r="A1217" s="17" t="str">
        <f t="shared" si="37"/>
        <v>2000314</v>
      </c>
      <c r="B1217" s="17">
        <v>200</v>
      </c>
      <c r="C1217" s="17">
        <v>314</v>
      </c>
      <c r="D1217" s="17" t="s">
        <v>917</v>
      </c>
      <c r="E1217" s="17">
        <f t="shared" si="39"/>
        <v>1300826971801</v>
      </c>
      <c r="F1217" s="17" t="s">
        <v>918</v>
      </c>
      <c r="G1217" s="17">
        <f t="shared" si="40"/>
        <v>6213839192</v>
      </c>
      <c r="H1217" s="17" t="s">
        <v>919</v>
      </c>
      <c r="I1217" s="17">
        <f t="shared" si="38"/>
        <v>6213839192</v>
      </c>
    </row>
    <row r="1218" spans="1:9" x14ac:dyDescent="0.3">
      <c r="A1218" s="17" t="str">
        <f t="shared" si="37"/>
        <v>2000315</v>
      </c>
      <c r="B1218" s="17">
        <v>200</v>
      </c>
      <c r="C1218" s="17">
        <v>315</v>
      </c>
      <c r="D1218" s="17" t="s">
        <v>917</v>
      </c>
      <c r="E1218" s="17">
        <f t="shared" si="39"/>
        <v>1313835241519</v>
      </c>
      <c r="F1218" s="17" t="s">
        <v>918</v>
      </c>
      <c r="G1218" s="17">
        <f t="shared" si="40"/>
        <v>6275977583</v>
      </c>
      <c r="H1218" s="17" t="s">
        <v>919</v>
      </c>
      <c r="I1218" s="17">
        <f t="shared" si="38"/>
        <v>6275977583</v>
      </c>
    </row>
    <row r="1219" spans="1:9" x14ac:dyDescent="0.3">
      <c r="A1219" s="17" t="str">
        <f t="shared" si="37"/>
        <v>2000316</v>
      </c>
      <c r="B1219" s="17">
        <v>200</v>
      </c>
      <c r="C1219" s="17">
        <v>316</v>
      </c>
      <c r="D1219" s="17" t="s">
        <v>917</v>
      </c>
      <c r="E1219" s="17">
        <f t="shared" si="39"/>
        <v>1326973593934</v>
      </c>
      <c r="F1219" s="17" t="s">
        <v>918</v>
      </c>
      <c r="G1219" s="17">
        <f t="shared" si="40"/>
        <v>6338737358</v>
      </c>
      <c r="H1219" s="17" t="s">
        <v>919</v>
      </c>
      <c r="I1219" s="17">
        <f t="shared" si="38"/>
        <v>6338737358</v>
      </c>
    </row>
    <row r="1220" spans="1:9" x14ac:dyDescent="0.3">
      <c r="A1220" s="17" t="str">
        <f t="shared" ref="A1220:A1283" si="41">B1220&amp;TEXT(C1220,"0000")</f>
        <v>2000317</v>
      </c>
      <c r="B1220" s="17">
        <v>200</v>
      </c>
      <c r="C1220" s="17">
        <v>317</v>
      </c>
      <c r="D1220" s="17" t="s">
        <v>917</v>
      </c>
      <c r="E1220" s="17">
        <f t="shared" si="39"/>
        <v>1340243329873</v>
      </c>
      <c r="F1220" s="17" t="s">
        <v>918</v>
      </c>
      <c r="G1220" s="17">
        <f t="shared" si="40"/>
        <v>6402124731</v>
      </c>
      <c r="H1220" s="17" t="s">
        <v>919</v>
      </c>
      <c r="I1220" s="17">
        <f t="shared" si="38"/>
        <v>6402124731</v>
      </c>
    </row>
    <row r="1221" spans="1:9" x14ac:dyDescent="0.3">
      <c r="A1221" s="17" t="str">
        <f t="shared" si="41"/>
        <v>2000318</v>
      </c>
      <c r="B1221" s="17">
        <v>200</v>
      </c>
      <c r="C1221" s="17">
        <v>318</v>
      </c>
      <c r="D1221" s="17" t="s">
        <v>917</v>
      </c>
      <c r="E1221" s="17">
        <f t="shared" si="39"/>
        <v>1353645763171</v>
      </c>
      <c r="F1221" s="17" t="s">
        <v>918</v>
      </c>
      <c r="G1221" s="17">
        <f t="shared" si="40"/>
        <v>6466145978</v>
      </c>
      <c r="H1221" s="17" t="s">
        <v>919</v>
      </c>
      <c r="I1221" s="17">
        <f t="shared" si="38"/>
        <v>6466145978</v>
      </c>
    </row>
    <row r="1222" spans="1:9" x14ac:dyDescent="0.3">
      <c r="A1222" s="17" t="str">
        <f t="shared" si="41"/>
        <v>2000319</v>
      </c>
      <c r="B1222" s="17">
        <v>200</v>
      </c>
      <c r="C1222" s="17">
        <v>319</v>
      </c>
      <c r="D1222" s="17" t="s">
        <v>917</v>
      </c>
      <c r="E1222" s="17">
        <f t="shared" si="39"/>
        <v>1367182220802</v>
      </c>
      <c r="F1222" s="17" t="s">
        <v>918</v>
      </c>
      <c r="G1222" s="17">
        <f t="shared" si="40"/>
        <v>6530807437</v>
      </c>
      <c r="H1222" s="17" t="s">
        <v>919</v>
      </c>
      <c r="I1222" s="17">
        <f t="shared" si="38"/>
        <v>6530807437</v>
      </c>
    </row>
    <row r="1223" spans="1:9" x14ac:dyDescent="0.3">
      <c r="A1223" s="17" t="str">
        <f t="shared" si="41"/>
        <v>2000320</v>
      </c>
      <c r="B1223" s="17">
        <v>200</v>
      </c>
      <c r="C1223" s="17">
        <v>320</v>
      </c>
      <c r="D1223" s="17" t="s">
        <v>917</v>
      </c>
      <c r="E1223" s="17">
        <f t="shared" si="39"/>
        <v>1380854043010</v>
      </c>
      <c r="F1223" s="17" t="s">
        <v>918</v>
      </c>
      <c r="G1223" s="17">
        <f t="shared" si="40"/>
        <v>6596115511</v>
      </c>
      <c r="H1223" s="17" t="s">
        <v>919</v>
      </c>
      <c r="I1223" s="17">
        <f t="shared" si="38"/>
        <v>6596115511</v>
      </c>
    </row>
    <row r="1224" spans="1:9" x14ac:dyDescent="0.3">
      <c r="A1224" s="17" t="str">
        <f t="shared" si="41"/>
        <v>2000321</v>
      </c>
      <c r="B1224" s="17">
        <v>200</v>
      </c>
      <c r="C1224" s="17">
        <v>321</v>
      </c>
      <c r="D1224" s="17" t="s">
        <v>917</v>
      </c>
      <c r="E1224" s="17">
        <f t="shared" si="39"/>
        <v>1394662583440</v>
      </c>
      <c r="F1224" s="17" t="s">
        <v>918</v>
      </c>
      <c r="G1224" s="17">
        <f t="shared" si="40"/>
        <v>6662076666</v>
      </c>
      <c r="H1224" s="17" t="s">
        <v>919</v>
      </c>
      <c r="I1224" s="17">
        <f t="shared" si="38"/>
        <v>6662076666</v>
      </c>
    </row>
    <row r="1225" spans="1:9" x14ac:dyDescent="0.3">
      <c r="A1225" s="17" t="str">
        <f t="shared" si="41"/>
        <v>2000322</v>
      </c>
      <c r="B1225" s="17">
        <v>200</v>
      </c>
      <c r="C1225" s="17">
        <v>322</v>
      </c>
      <c r="D1225" s="17" t="s">
        <v>917</v>
      </c>
      <c r="E1225" s="17">
        <f t="shared" si="39"/>
        <v>1408609209274</v>
      </c>
      <c r="F1225" s="17" t="s">
        <v>918</v>
      </c>
      <c r="G1225" s="17">
        <f t="shared" si="40"/>
        <v>6728697432</v>
      </c>
      <c r="H1225" s="17" t="s">
        <v>919</v>
      </c>
      <c r="I1225" s="17">
        <f t="shared" ref="I1225:I1288" si="42">G1225</f>
        <v>6728697432</v>
      </c>
    </row>
    <row r="1226" spans="1:9" x14ac:dyDescent="0.3">
      <c r="A1226" s="17" t="str">
        <f t="shared" si="41"/>
        <v>2000323</v>
      </c>
      <c r="B1226" s="17">
        <v>200</v>
      </c>
      <c r="C1226" s="17">
        <v>323</v>
      </c>
      <c r="D1226" s="17" t="s">
        <v>917</v>
      </c>
      <c r="E1226" s="17">
        <f t="shared" si="39"/>
        <v>1422695301366</v>
      </c>
      <c r="F1226" s="17" t="s">
        <v>918</v>
      </c>
      <c r="G1226" s="17">
        <f t="shared" si="40"/>
        <v>6795984406</v>
      </c>
      <c r="H1226" s="17" t="s">
        <v>919</v>
      </c>
      <c r="I1226" s="17">
        <f t="shared" si="42"/>
        <v>6795984406</v>
      </c>
    </row>
    <row r="1227" spans="1:9" x14ac:dyDescent="0.3">
      <c r="A1227" s="17" t="str">
        <f t="shared" si="41"/>
        <v>2000324</v>
      </c>
      <c r="B1227" s="17">
        <v>200</v>
      </c>
      <c r="C1227" s="17">
        <v>324</v>
      </c>
      <c r="D1227" s="17" t="s">
        <v>917</v>
      </c>
      <c r="E1227" s="17">
        <f t="shared" si="39"/>
        <v>1436922254379</v>
      </c>
      <c r="F1227" s="17" t="s">
        <v>918</v>
      </c>
      <c r="G1227" s="17">
        <f t="shared" si="40"/>
        <v>6863944250</v>
      </c>
      <c r="H1227" s="17" t="s">
        <v>919</v>
      </c>
      <c r="I1227" s="17">
        <f t="shared" si="42"/>
        <v>6863944250</v>
      </c>
    </row>
    <row r="1228" spans="1:9" x14ac:dyDescent="0.3">
      <c r="A1228" s="17" t="str">
        <f t="shared" si="41"/>
        <v>2000325</v>
      </c>
      <c r="B1228" s="17">
        <v>200</v>
      </c>
      <c r="C1228" s="17">
        <v>325</v>
      </c>
      <c r="D1228" s="17" t="s">
        <v>917</v>
      </c>
      <c r="E1228" s="17">
        <f t="shared" si="39"/>
        <v>1451291476922</v>
      </c>
      <c r="F1228" s="17" t="s">
        <v>918</v>
      </c>
      <c r="G1228" s="17">
        <f t="shared" si="40"/>
        <v>6932583692</v>
      </c>
      <c r="H1228" s="17" t="s">
        <v>919</v>
      </c>
      <c r="I1228" s="17">
        <f t="shared" si="42"/>
        <v>6932583692</v>
      </c>
    </row>
    <row r="1229" spans="1:9" x14ac:dyDescent="0.3">
      <c r="A1229" s="17" t="str">
        <f t="shared" si="41"/>
        <v>2000326</v>
      </c>
      <c r="B1229" s="17">
        <v>200</v>
      </c>
      <c r="C1229" s="17">
        <v>326</v>
      </c>
      <c r="D1229" s="17" t="s">
        <v>917</v>
      </c>
      <c r="E1229" s="17">
        <f t="shared" si="39"/>
        <v>1465804391691</v>
      </c>
      <c r="F1229" s="17" t="s">
        <v>918</v>
      </c>
      <c r="G1229" s="17">
        <f t="shared" si="40"/>
        <v>7001909528</v>
      </c>
      <c r="H1229" s="17" t="s">
        <v>919</v>
      </c>
      <c r="I1229" s="17">
        <f t="shared" si="42"/>
        <v>7001909528</v>
      </c>
    </row>
    <row r="1230" spans="1:9" x14ac:dyDescent="0.3">
      <c r="A1230" s="17" t="str">
        <f t="shared" si="41"/>
        <v>2000327</v>
      </c>
      <c r="B1230" s="17">
        <v>200</v>
      </c>
      <c r="C1230" s="17">
        <v>327</v>
      </c>
      <c r="D1230" s="17" t="s">
        <v>917</v>
      </c>
      <c r="E1230" s="17">
        <f t="shared" si="39"/>
        <v>1480462435607</v>
      </c>
      <c r="F1230" s="17" t="s">
        <v>918</v>
      </c>
      <c r="G1230" s="17">
        <f t="shared" si="40"/>
        <v>7071928623</v>
      </c>
      <c r="H1230" s="17" t="s">
        <v>919</v>
      </c>
      <c r="I1230" s="17">
        <f t="shared" si="42"/>
        <v>7071928623</v>
      </c>
    </row>
    <row r="1231" spans="1:9" x14ac:dyDescent="0.3">
      <c r="A1231" s="17" t="str">
        <f t="shared" si="41"/>
        <v>2000328</v>
      </c>
      <c r="B1231" s="17">
        <v>200</v>
      </c>
      <c r="C1231" s="17">
        <v>328</v>
      </c>
      <c r="D1231" s="17" t="s">
        <v>917</v>
      </c>
      <c r="E1231" s="17">
        <f t="shared" si="39"/>
        <v>1495267059963</v>
      </c>
      <c r="F1231" s="17" t="s">
        <v>918</v>
      </c>
      <c r="G1231" s="17">
        <f t="shared" si="40"/>
        <v>7142647909</v>
      </c>
      <c r="H1231" s="17" t="s">
        <v>919</v>
      </c>
      <c r="I1231" s="17">
        <f t="shared" si="42"/>
        <v>7142647909</v>
      </c>
    </row>
    <row r="1232" spans="1:9" x14ac:dyDescent="0.3">
      <c r="A1232" s="17" t="str">
        <f t="shared" si="41"/>
        <v>2000329</v>
      </c>
      <c r="B1232" s="17">
        <v>200</v>
      </c>
      <c r="C1232" s="17">
        <v>329</v>
      </c>
      <c r="D1232" s="17" t="s">
        <v>917</v>
      </c>
      <c r="E1232" s="17">
        <f t="shared" si="39"/>
        <v>1510219730562</v>
      </c>
      <c r="F1232" s="17" t="s">
        <v>918</v>
      </c>
      <c r="G1232" s="17">
        <f t="shared" si="40"/>
        <v>7214074388</v>
      </c>
      <c r="H1232" s="17" t="s">
        <v>919</v>
      </c>
      <c r="I1232" s="17">
        <f t="shared" si="42"/>
        <v>7214074388</v>
      </c>
    </row>
    <row r="1233" spans="1:9" x14ac:dyDescent="0.3">
      <c r="A1233" s="17" t="str">
        <f t="shared" si="41"/>
        <v>2000330</v>
      </c>
      <c r="B1233" s="17">
        <v>200</v>
      </c>
      <c r="C1233" s="17">
        <v>330</v>
      </c>
      <c r="D1233" s="17" t="s">
        <v>917</v>
      </c>
      <c r="E1233" s="17">
        <f t="shared" si="39"/>
        <v>1525321927867</v>
      </c>
      <c r="F1233" s="17" t="s">
        <v>918</v>
      </c>
      <c r="G1233" s="17">
        <f t="shared" si="40"/>
        <v>7286215131</v>
      </c>
      <c r="H1233" s="17" t="s">
        <v>919</v>
      </c>
      <c r="I1233" s="17">
        <f t="shared" si="42"/>
        <v>7286215131</v>
      </c>
    </row>
    <row r="1234" spans="1:9" x14ac:dyDescent="0.3">
      <c r="A1234" s="17" t="str">
        <f t="shared" si="41"/>
        <v>2000331</v>
      </c>
      <c r="B1234" s="17">
        <v>200</v>
      </c>
      <c r="C1234" s="17">
        <v>331</v>
      </c>
      <c r="D1234" s="17" t="s">
        <v>917</v>
      </c>
      <c r="E1234" s="17">
        <f t="shared" si="39"/>
        <v>1540575147145</v>
      </c>
      <c r="F1234" s="17" t="s">
        <v>918</v>
      </c>
      <c r="G1234" s="17">
        <f t="shared" si="40"/>
        <v>7359077282</v>
      </c>
      <c r="H1234" s="17" t="s">
        <v>919</v>
      </c>
      <c r="I1234" s="17">
        <f t="shared" si="42"/>
        <v>7359077282</v>
      </c>
    </row>
    <row r="1235" spans="1:9" x14ac:dyDescent="0.3">
      <c r="A1235" s="17" t="str">
        <f t="shared" si="41"/>
        <v>2000332</v>
      </c>
      <c r="B1235" s="17">
        <v>200</v>
      </c>
      <c r="C1235" s="17">
        <v>332</v>
      </c>
      <c r="D1235" s="17" t="s">
        <v>917</v>
      </c>
      <c r="E1235" s="17">
        <f t="shared" si="39"/>
        <v>1555980898616</v>
      </c>
      <c r="F1235" s="17" t="s">
        <v>918</v>
      </c>
      <c r="G1235" s="17">
        <f t="shared" si="40"/>
        <v>7432668054</v>
      </c>
      <c r="H1235" s="17" t="s">
        <v>919</v>
      </c>
      <c r="I1235" s="17">
        <f t="shared" si="42"/>
        <v>7432668054</v>
      </c>
    </row>
    <row r="1236" spans="1:9" x14ac:dyDescent="0.3">
      <c r="A1236" s="17" t="str">
        <f t="shared" si="41"/>
        <v>2000333</v>
      </c>
      <c r="B1236" s="17">
        <v>200</v>
      </c>
      <c r="C1236" s="17">
        <v>333</v>
      </c>
      <c r="D1236" s="17" t="s">
        <v>917</v>
      </c>
      <c r="E1236" s="17">
        <f t="shared" si="39"/>
        <v>1571540707602</v>
      </c>
      <c r="F1236" s="17" t="s">
        <v>918</v>
      </c>
      <c r="G1236" s="17">
        <f t="shared" si="40"/>
        <v>7506994734</v>
      </c>
      <c r="H1236" s="17" t="s">
        <v>919</v>
      </c>
      <c r="I1236" s="17">
        <f t="shared" si="42"/>
        <v>7506994734</v>
      </c>
    </row>
    <row r="1237" spans="1:9" x14ac:dyDescent="0.3">
      <c r="A1237" s="17" t="str">
        <f t="shared" si="41"/>
        <v>2000334</v>
      </c>
      <c r="B1237" s="17">
        <v>200</v>
      </c>
      <c r="C1237" s="17">
        <v>334</v>
      </c>
      <c r="D1237" s="17" t="s">
        <v>917</v>
      </c>
      <c r="E1237" s="17">
        <f t="shared" si="39"/>
        <v>1587256114678</v>
      </c>
      <c r="F1237" s="17" t="s">
        <v>918</v>
      </c>
      <c r="G1237" s="17">
        <f t="shared" si="40"/>
        <v>7582064681</v>
      </c>
      <c r="H1237" s="17" t="s">
        <v>919</v>
      </c>
      <c r="I1237" s="17">
        <f t="shared" si="42"/>
        <v>7582064681</v>
      </c>
    </row>
    <row r="1238" spans="1:9" x14ac:dyDescent="0.3">
      <c r="A1238" s="17" t="str">
        <f t="shared" si="41"/>
        <v>2000335</v>
      </c>
      <c r="B1238" s="17">
        <v>200</v>
      </c>
      <c r="C1238" s="17">
        <v>335</v>
      </c>
      <c r="D1238" s="17" t="s">
        <v>917</v>
      </c>
      <c r="E1238" s="17">
        <f t="shared" si="39"/>
        <v>1603128675824</v>
      </c>
      <c r="F1238" s="17" t="s">
        <v>918</v>
      </c>
      <c r="G1238" s="17">
        <f t="shared" si="40"/>
        <v>7657885327</v>
      </c>
      <c r="H1238" s="17" t="s">
        <v>919</v>
      </c>
      <c r="I1238" s="17">
        <f t="shared" si="42"/>
        <v>7657885327</v>
      </c>
    </row>
    <row r="1239" spans="1:9" x14ac:dyDescent="0.3">
      <c r="A1239" s="17" t="str">
        <f t="shared" si="41"/>
        <v>2000336</v>
      </c>
      <c r="B1239" s="17">
        <v>200</v>
      </c>
      <c r="C1239" s="17">
        <v>336</v>
      </c>
      <c r="D1239" s="17" t="s">
        <v>917</v>
      </c>
      <c r="E1239" s="17">
        <f t="shared" si="39"/>
        <v>1619159962582</v>
      </c>
      <c r="F1239" s="17" t="s">
        <v>918</v>
      </c>
      <c r="G1239" s="17">
        <f t="shared" si="40"/>
        <v>7734464180</v>
      </c>
      <c r="H1239" s="17" t="s">
        <v>919</v>
      </c>
      <c r="I1239" s="17">
        <f t="shared" si="42"/>
        <v>7734464180</v>
      </c>
    </row>
    <row r="1240" spans="1:9" x14ac:dyDescent="0.3">
      <c r="A1240" s="17" t="str">
        <f t="shared" si="41"/>
        <v>2000337</v>
      </c>
      <c r="B1240" s="17">
        <v>200</v>
      </c>
      <c r="C1240" s="17">
        <v>337</v>
      </c>
      <c r="D1240" s="17" t="s">
        <v>917</v>
      </c>
      <c r="E1240" s="17">
        <f t="shared" si="39"/>
        <v>1635351562207</v>
      </c>
      <c r="F1240" s="17" t="s">
        <v>918</v>
      </c>
      <c r="G1240" s="17">
        <f t="shared" si="40"/>
        <v>7811808821</v>
      </c>
      <c r="H1240" s="17" t="s">
        <v>919</v>
      </c>
      <c r="I1240" s="17">
        <f t="shared" si="42"/>
        <v>7811808821</v>
      </c>
    </row>
    <row r="1241" spans="1:9" x14ac:dyDescent="0.3">
      <c r="A1241" s="17" t="str">
        <f t="shared" si="41"/>
        <v>2000338</v>
      </c>
      <c r="B1241" s="17">
        <v>200</v>
      </c>
      <c r="C1241" s="17">
        <v>338</v>
      </c>
      <c r="D1241" s="17" t="s">
        <v>917</v>
      </c>
      <c r="E1241" s="17">
        <f t="shared" si="39"/>
        <v>1651705077829</v>
      </c>
      <c r="F1241" s="17" t="s">
        <v>918</v>
      </c>
      <c r="G1241" s="17">
        <f t="shared" si="40"/>
        <v>7889926909</v>
      </c>
      <c r="H1241" s="17" t="s">
        <v>919</v>
      </c>
      <c r="I1241" s="17">
        <f t="shared" si="42"/>
        <v>7889926909</v>
      </c>
    </row>
    <row r="1242" spans="1:9" x14ac:dyDescent="0.3">
      <c r="A1242" s="17" t="str">
        <f t="shared" si="41"/>
        <v>2000339</v>
      </c>
      <c r="B1242" s="17">
        <v>200</v>
      </c>
      <c r="C1242" s="17">
        <v>339</v>
      </c>
      <c r="D1242" s="17" t="s">
        <v>917</v>
      </c>
      <c r="E1242" s="17">
        <f t="shared" si="39"/>
        <v>1668222128607</v>
      </c>
      <c r="F1242" s="17" t="s">
        <v>918</v>
      </c>
      <c r="G1242" s="17">
        <f t="shared" si="40"/>
        <v>7968826178</v>
      </c>
      <c r="H1242" s="17" t="s">
        <v>919</v>
      </c>
      <c r="I1242" s="17">
        <f t="shared" si="42"/>
        <v>7968826178</v>
      </c>
    </row>
    <row r="1243" spans="1:9" x14ac:dyDescent="0.3">
      <c r="A1243" s="17" t="str">
        <f t="shared" si="41"/>
        <v>2000340</v>
      </c>
      <c r="B1243" s="17">
        <v>200</v>
      </c>
      <c r="C1243" s="17">
        <v>340</v>
      </c>
      <c r="D1243" s="17" t="s">
        <v>917</v>
      </c>
      <c r="E1243" s="17">
        <f t="shared" si="39"/>
        <v>1684904349893</v>
      </c>
      <c r="F1243" s="17" t="s">
        <v>918</v>
      </c>
      <c r="G1243" s="17">
        <f t="shared" si="40"/>
        <v>8048514439</v>
      </c>
      <c r="H1243" s="17" t="s">
        <v>919</v>
      </c>
      <c r="I1243" s="17">
        <f t="shared" si="42"/>
        <v>8048514439</v>
      </c>
    </row>
    <row r="1244" spans="1:9" x14ac:dyDescent="0.3">
      <c r="A1244" s="17" t="str">
        <f t="shared" si="41"/>
        <v>2000341</v>
      </c>
      <c r="B1244" s="17">
        <v>200</v>
      </c>
      <c r="C1244" s="17">
        <v>341</v>
      </c>
      <c r="D1244" s="17" t="s">
        <v>917</v>
      </c>
      <c r="E1244" s="17">
        <f t="shared" si="39"/>
        <v>1701753393391</v>
      </c>
      <c r="F1244" s="17" t="s">
        <v>918</v>
      </c>
      <c r="G1244" s="17">
        <f t="shared" si="40"/>
        <v>8128999583</v>
      </c>
      <c r="H1244" s="17" t="s">
        <v>919</v>
      </c>
      <c r="I1244" s="17">
        <f t="shared" si="42"/>
        <v>8128999583</v>
      </c>
    </row>
    <row r="1245" spans="1:9" x14ac:dyDescent="0.3">
      <c r="A1245" s="17" t="str">
        <f t="shared" si="41"/>
        <v>2000342</v>
      </c>
      <c r="B1245" s="17">
        <v>200</v>
      </c>
      <c r="C1245" s="17">
        <v>342</v>
      </c>
      <c r="D1245" s="17" t="s">
        <v>917</v>
      </c>
      <c r="E1245" s="17">
        <f t="shared" si="39"/>
        <v>1718770927324</v>
      </c>
      <c r="F1245" s="17" t="s">
        <v>918</v>
      </c>
      <c r="G1245" s="17">
        <f t="shared" si="40"/>
        <v>8210289578</v>
      </c>
      <c r="H1245" s="17" t="s">
        <v>919</v>
      </c>
      <c r="I1245" s="17">
        <f t="shared" si="42"/>
        <v>8210289578</v>
      </c>
    </row>
    <row r="1246" spans="1:9" x14ac:dyDescent="0.3">
      <c r="A1246" s="17" t="str">
        <f t="shared" si="41"/>
        <v>2000343</v>
      </c>
      <c r="B1246" s="17">
        <v>200</v>
      </c>
      <c r="C1246" s="17">
        <v>343</v>
      </c>
      <c r="D1246" s="17" t="s">
        <v>917</v>
      </c>
      <c r="E1246" s="17">
        <f t="shared" si="39"/>
        <v>1735958636597</v>
      </c>
      <c r="F1246" s="17" t="s">
        <v>918</v>
      </c>
      <c r="G1246" s="17">
        <f t="shared" si="40"/>
        <v>8292392473</v>
      </c>
      <c r="H1246" s="17" t="s">
        <v>919</v>
      </c>
      <c r="I1246" s="17">
        <f t="shared" si="42"/>
        <v>8292392473</v>
      </c>
    </row>
    <row r="1247" spans="1:9" x14ac:dyDescent="0.3">
      <c r="A1247" s="17" t="str">
        <f t="shared" si="41"/>
        <v>2000344</v>
      </c>
      <c r="B1247" s="17">
        <v>200</v>
      </c>
      <c r="C1247" s="17">
        <v>344</v>
      </c>
      <c r="D1247" s="17" t="s">
        <v>917</v>
      </c>
      <c r="E1247" s="17">
        <f t="shared" si="39"/>
        <v>1753318222962</v>
      </c>
      <c r="F1247" s="17" t="s">
        <v>918</v>
      </c>
      <c r="G1247" s="17">
        <f t="shared" si="40"/>
        <v>8375316397</v>
      </c>
      <c r="H1247" s="17" t="s">
        <v>919</v>
      </c>
      <c r="I1247" s="17">
        <f t="shared" si="42"/>
        <v>8375316397</v>
      </c>
    </row>
    <row r="1248" spans="1:9" x14ac:dyDescent="0.3">
      <c r="A1248" s="17" t="str">
        <f t="shared" si="41"/>
        <v>2000345</v>
      </c>
      <c r="B1248" s="17">
        <v>200</v>
      </c>
      <c r="C1248" s="17">
        <v>345</v>
      </c>
      <c r="D1248" s="17" t="s">
        <v>917</v>
      </c>
      <c r="E1248" s="17">
        <f t="shared" si="39"/>
        <v>1770851405191</v>
      </c>
      <c r="F1248" s="17" t="s">
        <v>918</v>
      </c>
      <c r="G1248" s="17">
        <f t="shared" si="40"/>
        <v>8459069560</v>
      </c>
      <c r="H1248" s="17" t="s">
        <v>919</v>
      </c>
      <c r="I1248" s="17">
        <f t="shared" si="42"/>
        <v>8459069560</v>
      </c>
    </row>
    <row r="1249" spans="1:9" x14ac:dyDescent="0.3">
      <c r="A1249" s="17" t="str">
        <f t="shared" si="41"/>
        <v>2000346</v>
      </c>
      <c r="B1249" s="17">
        <v>200</v>
      </c>
      <c r="C1249" s="17">
        <v>346</v>
      </c>
      <c r="D1249" s="17" t="s">
        <v>917</v>
      </c>
      <c r="E1249" s="17">
        <f t="shared" si="39"/>
        <v>1788559919242</v>
      </c>
      <c r="F1249" s="17" t="s">
        <v>918</v>
      </c>
      <c r="G1249" s="17">
        <f t="shared" si="40"/>
        <v>8543660255</v>
      </c>
      <c r="H1249" s="17" t="s">
        <v>919</v>
      </c>
      <c r="I1249" s="17">
        <f t="shared" si="42"/>
        <v>8543660255</v>
      </c>
    </row>
    <row r="1250" spans="1:9" x14ac:dyDescent="0.3">
      <c r="A1250" s="17" t="str">
        <f t="shared" si="41"/>
        <v>2000347</v>
      </c>
      <c r="B1250" s="17">
        <v>200</v>
      </c>
      <c r="C1250" s="17">
        <v>347</v>
      </c>
      <c r="D1250" s="17" t="s">
        <v>917</v>
      </c>
      <c r="E1250" s="17">
        <f t="shared" si="39"/>
        <v>1806445518434</v>
      </c>
      <c r="F1250" s="17" t="s">
        <v>918</v>
      </c>
      <c r="G1250" s="17">
        <f t="shared" si="40"/>
        <v>8629096857</v>
      </c>
      <c r="H1250" s="17" t="s">
        <v>919</v>
      </c>
      <c r="I1250" s="17">
        <f t="shared" si="42"/>
        <v>8629096857</v>
      </c>
    </row>
    <row r="1251" spans="1:9" x14ac:dyDescent="0.3">
      <c r="A1251" s="17" t="str">
        <f t="shared" si="41"/>
        <v>2000348</v>
      </c>
      <c r="B1251" s="17">
        <v>200</v>
      </c>
      <c r="C1251" s="17">
        <v>348</v>
      </c>
      <c r="D1251" s="17" t="s">
        <v>917</v>
      </c>
      <c r="E1251" s="17">
        <f t="shared" si="39"/>
        <v>1824509973618</v>
      </c>
      <c r="F1251" s="17" t="s">
        <v>918</v>
      </c>
      <c r="G1251" s="17">
        <f t="shared" si="40"/>
        <v>8715387825</v>
      </c>
      <c r="H1251" s="17" t="s">
        <v>919</v>
      </c>
      <c r="I1251" s="17">
        <f t="shared" si="42"/>
        <v>8715387825</v>
      </c>
    </row>
    <row r="1252" spans="1:9" x14ac:dyDescent="0.3">
      <c r="A1252" s="17" t="str">
        <f t="shared" si="41"/>
        <v>2000349</v>
      </c>
      <c r="B1252" s="17">
        <v>200</v>
      </c>
      <c r="C1252" s="17">
        <v>349</v>
      </c>
      <c r="D1252" s="17" t="s">
        <v>917</v>
      </c>
      <c r="E1252" s="17">
        <f t="shared" si="39"/>
        <v>1842755073354</v>
      </c>
      <c r="F1252" s="17" t="s">
        <v>918</v>
      </c>
      <c r="G1252" s="17">
        <f t="shared" si="40"/>
        <v>8802541703</v>
      </c>
      <c r="H1252" s="17" t="s">
        <v>919</v>
      </c>
      <c r="I1252" s="17">
        <f t="shared" si="42"/>
        <v>8802541703</v>
      </c>
    </row>
    <row r="1253" spans="1:9" x14ac:dyDescent="0.3">
      <c r="A1253" s="17" t="str">
        <f t="shared" si="41"/>
        <v>2000350</v>
      </c>
      <c r="B1253" s="17">
        <v>200</v>
      </c>
      <c r="C1253" s="17">
        <v>350</v>
      </c>
      <c r="D1253" s="17" t="s">
        <v>917</v>
      </c>
      <c r="E1253" s="17">
        <f t="shared" si="39"/>
        <v>1861182624087</v>
      </c>
      <c r="F1253" s="17" t="s">
        <v>918</v>
      </c>
      <c r="G1253" s="17">
        <f t="shared" si="40"/>
        <v>8890567120</v>
      </c>
      <c r="H1253" s="17" t="s">
        <v>919</v>
      </c>
      <c r="I1253" s="17">
        <f t="shared" si="42"/>
        <v>8890567120</v>
      </c>
    </row>
    <row r="1254" spans="1:9" x14ac:dyDescent="0.3">
      <c r="A1254" s="17" t="str">
        <f t="shared" si="41"/>
        <v>2000351</v>
      </c>
      <c r="B1254" s="17">
        <v>200</v>
      </c>
      <c r="C1254" s="17">
        <v>351</v>
      </c>
      <c r="D1254" s="17" t="s">
        <v>917</v>
      </c>
      <c r="E1254" s="17">
        <f t="shared" si="39"/>
        <v>1879794450327</v>
      </c>
      <c r="F1254" s="17" t="s">
        <v>918</v>
      </c>
      <c r="G1254" s="17">
        <f t="shared" si="40"/>
        <v>8979472791</v>
      </c>
      <c r="H1254" s="17" t="s">
        <v>919</v>
      </c>
      <c r="I1254" s="17">
        <f t="shared" si="42"/>
        <v>8979472791</v>
      </c>
    </row>
    <row r="1255" spans="1:9" x14ac:dyDescent="0.3">
      <c r="A1255" s="17" t="str">
        <f t="shared" si="41"/>
        <v>2000352</v>
      </c>
      <c r="B1255" s="17">
        <v>200</v>
      </c>
      <c r="C1255" s="17">
        <v>352</v>
      </c>
      <c r="D1255" s="17" t="s">
        <v>917</v>
      </c>
      <c r="E1255" s="17">
        <f t="shared" si="39"/>
        <v>1898592394830</v>
      </c>
      <c r="F1255" s="17" t="s">
        <v>918</v>
      </c>
      <c r="G1255" s="17">
        <f t="shared" si="40"/>
        <v>9069267518</v>
      </c>
      <c r="H1255" s="17" t="s">
        <v>919</v>
      </c>
      <c r="I1255" s="17">
        <f t="shared" si="42"/>
        <v>9069267518</v>
      </c>
    </row>
    <row r="1256" spans="1:9" x14ac:dyDescent="0.3">
      <c r="A1256" s="17" t="str">
        <f t="shared" si="41"/>
        <v>2000353</v>
      </c>
      <c r="B1256" s="17">
        <v>200</v>
      </c>
      <c r="C1256" s="17">
        <v>353</v>
      </c>
      <c r="D1256" s="17" t="s">
        <v>917</v>
      </c>
      <c r="E1256" s="17">
        <f t="shared" si="39"/>
        <v>1917578318778</v>
      </c>
      <c r="F1256" s="17" t="s">
        <v>918</v>
      </c>
      <c r="G1256" s="17">
        <f t="shared" si="40"/>
        <v>9159960193</v>
      </c>
      <c r="H1256" s="17" t="s">
        <v>919</v>
      </c>
      <c r="I1256" s="17">
        <f t="shared" si="42"/>
        <v>9159960193</v>
      </c>
    </row>
    <row r="1257" spans="1:9" x14ac:dyDescent="0.3">
      <c r="A1257" s="17" t="str">
        <f t="shared" si="41"/>
        <v>2000354</v>
      </c>
      <c r="B1257" s="17">
        <v>200</v>
      </c>
      <c r="C1257" s="17">
        <v>354</v>
      </c>
      <c r="D1257" s="17" t="s">
        <v>917</v>
      </c>
      <c r="E1257" s="17">
        <f t="shared" si="39"/>
        <v>1936754101965</v>
      </c>
      <c r="F1257" s="17" t="s">
        <v>918</v>
      </c>
      <c r="G1257" s="17">
        <f t="shared" si="40"/>
        <v>9251559794</v>
      </c>
      <c r="H1257" s="17" t="s">
        <v>919</v>
      </c>
      <c r="I1257" s="17">
        <f t="shared" si="42"/>
        <v>9251559794</v>
      </c>
    </row>
    <row r="1258" spans="1:9" x14ac:dyDescent="0.3">
      <c r="A1258" s="17" t="str">
        <f t="shared" si="41"/>
        <v>2000355</v>
      </c>
      <c r="B1258" s="17">
        <v>200</v>
      </c>
      <c r="C1258" s="17">
        <v>355</v>
      </c>
      <c r="D1258" s="17" t="s">
        <v>917</v>
      </c>
      <c r="E1258" s="17">
        <f t="shared" si="39"/>
        <v>1956121642984</v>
      </c>
      <c r="F1258" s="17" t="s">
        <v>918</v>
      </c>
      <c r="G1258" s="17">
        <f t="shared" si="40"/>
        <v>9344075391</v>
      </c>
      <c r="H1258" s="17" t="s">
        <v>919</v>
      </c>
      <c r="I1258" s="17">
        <f t="shared" si="42"/>
        <v>9344075391</v>
      </c>
    </row>
    <row r="1259" spans="1:9" x14ac:dyDescent="0.3">
      <c r="A1259" s="17" t="str">
        <f t="shared" si="41"/>
        <v>2000356</v>
      </c>
      <c r="B1259" s="17">
        <v>200</v>
      </c>
      <c r="C1259" s="17">
        <v>356</v>
      </c>
      <c r="D1259" s="17" t="s">
        <v>917</v>
      </c>
      <c r="E1259" s="17">
        <f t="shared" si="39"/>
        <v>1975682859413</v>
      </c>
      <c r="F1259" s="17" t="s">
        <v>918</v>
      </c>
      <c r="G1259" s="17">
        <f t="shared" si="40"/>
        <v>9437516144</v>
      </c>
      <c r="H1259" s="17" t="s">
        <v>919</v>
      </c>
      <c r="I1259" s="17">
        <f t="shared" si="42"/>
        <v>9437516144</v>
      </c>
    </row>
    <row r="1260" spans="1:9" x14ac:dyDescent="0.3">
      <c r="A1260" s="17" t="str">
        <f t="shared" si="41"/>
        <v>2000357</v>
      </c>
      <c r="B1260" s="17">
        <v>200</v>
      </c>
      <c r="C1260" s="17">
        <v>357</v>
      </c>
      <c r="D1260" s="17" t="s">
        <v>917</v>
      </c>
      <c r="E1260" s="17">
        <f t="shared" si="39"/>
        <v>1995439688007</v>
      </c>
      <c r="F1260" s="17" t="s">
        <v>918</v>
      </c>
      <c r="G1260" s="17">
        <f t="shared" si="40"/>
        <v>9531891305</v>
      </c>
      <c r="H1260" s="17" t="s">
        <v>919</v>
      </c>
      <c r="I1260" s="17">
        <f t="shared" si="42"/>
        <v>9531891305</v>
      </c>
    </row>
    <row r="1261" spans="1:9" x14ac:dyDescent="0.3">
      <c r="A1261" s="17" t="str">
        <f t="shared" si="41"/>
        <v>2000358</v>
      </c>
      <c r="B1261" s="17">
        <v>200</v>
      </c>
      <c r="C1261" s="17">
        <v>358</v>
      </c>
      <c r="D1261" s="17" t="s">
        <v>917</v>
      </c>
      <c r="E1261" s="17">
        <f t="shared" si="39"/>
        <v>2015394084887</v>
      </c>
      <c r="F1261" s="17" t="s">
        <v>918</v>
      </c>
      <c r="G1261" s="17">
        <f t="shared" si="40"/>
        <v>9627210218</v>
      </c>
      <c r="H1261" s="17" t="s">
        <v>919</v>
      </c>
      <c r="I1261" s="17">
        <f t="shared" si="42"/>
        <v>9627210218</v>
      </c>
    </row>
    <row r="1262" spans="1:9" x14ac:dyDescent="0.3">
      <c r="A1262" s="17" t="str">
        <f t="shared" si="41"/>
        <v>2000359</v>
      </c>
      <c r="B1262" s="17">
        <v>200</v>
      </c>
      <c r="C1262" s="17">
        <v>359</v>
      </c>
      <c r="D1262" s="17" t="s">
        <v>917</v>
      </c>
      <c r="E1262" s="17">
        <f t="shared" si="39"/>
        <v>2035548025735</v>
      </c>
      <c r="F1262" s="17" t="s">
        <v>918</v>
      </c>
      <c r="G1262" s="17">
        <f t="shared" si="40"/>
        <v>9723482320</v>
      </c>
      <c r="H1262" s="17" t="s">
        <v>919</v>
      </c>
      <c r="I1262" s="17">
        <f t="shared" si="42"/>
        <v>9723482320</v>
      </c>
    </row>
    <row r="1263" spans="1:9" x14ac:dyDescent="0.3">
      <c r="A1263" s="17" t="str">
        <f t="shared" si="41"/>
        <v>2000360</v>
      </c>
      <c r="B1263" s="17">
        <v>200</v>
      </c>
      <c r="C1263" s="17">
        <v>360</v>
      </c>
      <c r="D1263" s="17" t="s">
        <v>917</v>
      </c>
      <c r="E1263" s="17">
        <f t="shared" si="39"/>
        <v>2055903505992</v>
      </c>
      <c r="F1263" s="17" t="s">
        <v>918</v>
      </c>
      <c r="G1263" s="17">
        <f t="shared" si="40"/>
        <v>9820717143</v>
      </c>
      <c r="H1263" s="17" t="s">
        <v>919</v>
      </c>
      <c r="I1263" s="17">
        <f t="shared" si="42"/>
        <v>9820717143</v>
      </c>
    </row>
    <row r="1264" spans="1:9" x14ac:dyDescent="0.3">
      <c r="A1264" s="17" t="str">
        <f t="shared" si="41"/>
        <v>2000361</v>
      </c>
      <c r="B1264" s="17">
        <v>200</v>
      </c>
      <c r="C1264" s="17">
        <v>361</v>
      </c>
      <c r="D1264" s="17" t="s">
        <v>917</v>
      </c>
      <c r="E1264" s="17">
        <f t="shared" si="39"/>
        <v>2076462541051</v>
      </c>
      <c r="F1264" s="17" t="s">
        <v>918</v>
      </c>
      <c r="G1264" s="17">
        <f t="shared" si="40"/>
        <v>9918924314</v>
      </c>
      <c r="H1264" s="17" t="s">
        <v>919</v>
      </c>
      <c r="I1264" s="17">
        <f t="shared" si="42"/>
        <v>9918924314</v>
      </c>
    </row>
    <row r="1265" spans="1:9" x14ac:dyDescent="0.3">
      <c r="A1265" s="17" t="str">
        <f t="shared" si="41"/>
        <v>2000362</v>
      </c>
      <c r="B1265" s="17">
        <v>200</v>
      </c>
      <c r="C1265" s="17">
        <v>362</v>
      </c>
      <c r="D1265" s="17" t="s">
        <v>917</v>
      </c>
      <c r="E1265" s="17">
        <f t="shared" si="39"/>
        <v>2097227166461</v>
      </c>
      <c r="F1265" s="17" t="s">
        <v>918</v>
      </c>
      <c r="G1265" s="17">
        <f t="shared" si="40"/>
        <v>10018113557</v>
      </c>
      <c r="H1265" s="17" t="s">
        <v>919</v>
      </c>
      <c r="I1265" s="17">
        <f t="shared" si="42"/>
        <v>10018113557</v>
      </c>
    </row>
    <row r="1266" spans="1:9" x14ac:dyDescent="0.3">
      <c r="A1266" s="17" t="str">
        <f t="shared" si="41"/>
        <v>2000363</v>
      </c>
      <c r="B1266" s="17">
        <v>200</v>
      </c>
      <c r="C1266" s="17">
        <v>363</v>
      </c>
      <c r="D1266" s="17" t="s">
        <v>917</v>
      </c>
      <c r="E1266" s="17">
        <f t="shared" si="39"/>
        <v>2118199438125</v>
      </c>
      <c r="F1266" s="17" t="s">
        <v>918</v>
      </c>
      <c r="G1266" s="17">
        <f t="shared" si="40"/>
        <v>10118294692</v>
      </c>
      <c r="H1266" s="17" t="s">
        <v>919</v>
      </c>
      <c r="I1266" s="17">
        <f t="shared" si="42"/>
        <v>10118294692</v>
      </c>
    </row>
    <row r="1267" spans="1:9" x14ac:dyDescent="0.3">
      <c r="A1267" s="17" t="str">
        <f t="shared" si="41"/>
        <v>2000364</v>
      </c>
      <c r="B1267" s="17">
        <v>200</v>
      </c>
      <c r="C1267" s="17">
        <v>364</v>
      </c>
      <c r="D1267" s="17" t="s">
        <v>917</v>
      </c>
      <c r="E1267" s="17">
        <f t="shared" si="39"/>
        <v>2139381432506</v>
      </c>
      <c r="F1267" s="17" t="s">
        <v>918</v>
      </c>
      <c r="G1267" s="17">
        <f t="shared" si="40"/>
        <v>10219477638</v>
      </c>
      <c r="H1267" s="17" t="s">
        <v>919</v>
      </c>
      <c r="I1267" s="17">
        <f t="shared" si="42"/>
        <v>10219477638</v>
      </c>
    </row>
    <row r="1268" spans="1:9" x14ac:dyDescent="0.3">
      <c r="A1268" s="17" t="str">
        <f t="shared" si="41"/>
        <v>2000365</v>
      </c>
      <c r="B1268" s="17">
        <v>200</v>
      </c>
      <c r="C1268" s="17">
        <v>365</v>
      </c>
      <c r="D1268" s="17" t="s">
        <v>917</v>
      </c>
      <c r="E1268" s="17">
        <f t="shared" ref="E1268:E1331" si="43">INT(E1267*1.01)</f>
        <v>2160775246831</v>
      </c>
      <c r="F1268" s="17" t="s">
        <v>918</v>
      </c>
      <c r="G1268" s="17">
        <f t="shared" ref="G1268:G1331" si="44">INT(G1267*1.01)</f>
        <v>10321672414</v>
      </c>
      <c r="H1268" s="17" t="s">
        <v>919</v>
      </c>
      <c r="I1268" s="17">
        <f t="shared" si="42"/>
        <v>10321672414</v>
      </c>
    </row>
    <row r="1269" spans="1:9" x14ac:dyDescent="0.3">
      <c r="A1269" s="17" t="str">
        <f t="shared" si="41"/>
        <v>2000366</v>
      </c>
      <c r="B1269" s="17">
        <v>200</v>
      </c>
      <c r="C1269" s="17">
        <v>366</v>
      </c>
      <c r="D1269" s="17" t="s">
        <v>917</v>
      </c>
      <c r="E1269" s="17">
        <f t="shared" si="43"/>
        <v>2182382999299</v>
      </c>
      <c r="F1269" s="17" t="s">
        <v>918</v>
      </c>
      <c r="G1269" s="17">
        <f t="shared" si="44"/>
        <v>10424889138</v>
      </c>
      <c r="H1269" s="17" t="s">
        <v>919</v>
      </c>
      <c r="I1269" s="17">
        <f t="shared" si="42"/>
        <v>10424889138</v>
      </c>
    </row>
    <row r="1270" spans="1:9" x14ac:dyDescent="0.3">
      <c r="A1270" s="17" t="str">
        <f t="shared" si="41"/>
        <v>2000367</v>
      </c>
      <c r="B1270" s="17">
        <v>200</v>
      </c>
      <c r="C1270" s="17">
        <v>367</v>
      </c>
      <c r="D1270" s="17" t="s">
        <v>917</v>
      </c>
      <c r="E1270" s="17">
        <f t="shared" si="43"/>
        <v>2204206829291</v>
      </c>
      <c r="F1270" s="17" t="s">
        <v>918</v>
      </c>
      <c r="G1270" s="17">
        <f t="shared" si="44"/>
        <v>10529138029</v>
      </c>
      <c r="H1270" s="17" t="s">
        <v>919</v>
      </c>
      <c r="I1270" s="17">
        <f t="shared" si="42"/>
        <v>10529138029</v>
      </c>
    </row>
    <row r="1271" spans="1:9" x14ac:dyDescent="0.3">
      <c r="A1271" s="17" t="str">
        <f t="shared" si="41"/>
        <v>2000368</v>
      </c>
      <c r="B1271" s="17">
        <v>200</v>
      </c>
      <c r="C1271" s="17">
        <v>368</v>
      </c>
      <c r="D1271" s="17" t="s">
        <v>917</v>
      </c>
      <c r="E1271" s="17">
        <f t="shared" si="43"/>
        <v>2226248897583</v>
      </c>
      <c r="F1271" s="17" t="s">
        <v>918</v>
      </c>
      <c r="G1271" s="17">
        <f t="shared" si="44"/>
        <v>10634429409</v>
      </c>
      <c r="H1271" s="17" t="s">
        <v>919</v>
      </c>
      <c r="I1271" s="17">
        <f t="shared" si="42"/>
        <v>10634429409</v>
      </c>
    </row>
    <row r="1272" spans="1:9" x14ac:dyDescent="0.3">
      <c r="A1272" s="17" t="str">
        <f t="shared" si="41"/>
        <v>2000369</v>
      </c>
      <c r="B1272" s="17">
        <v>200</v>
      </c>
      <c r="C1272" s="17">
        <v>369</v>
      </c>
      <c r="D1272" s="17" t="s">
        <v>917</v>
      </c>
      <c r="E1272" s="17">
        <f t="shared" si="43"/>
        <v>2248511386558</v>
      </c>
      <c r="F1272" s="17" t="s">
        <v>918</v>
      </c>
      <c r="G1272" s="17">
        <f t="shared" si="44"/>
        <v>10740773703</v>
      </c>
      <c r="H1272" s="17" t="s">
        <v>919</v>
      </c>
      <c r="I1272" s="17">
        <f t="shared" si="42"/>
        <v>10740773703</v>
      </c>
    </row>
    <row r="1273" spans="1:9" x14ac:dyDescent="0.3">
      <c r="A1273" s="17" t="str">
        <f t="shared" si="41"/>
        <v>2000370</v>
      </c>
      <c r="B1273" s="17">
        <v>200</v>
      </c>
      <c r="C1273" s="17">
        <v>370</v>
      </c>
      <c r="D1273" s="17" t="s">
        <v>917</v>
      </c>
      <c r="E1273" s="17">
        <f t="shared" si="43"/>
        <v>2270996500423</v>
      </c>
      <c r="F1273" s="17" t="s">
        <v>918</v>
      </c>
      <c r="G1273" s="17">
        <f t="shared" si="44"/>
        <v>10848181440</v>
      </c>
      <c r="H1273" s="17" t="s">
        <v>919</v>
      </c>
      <c r="I1273" s="17">
        <f t="shared" si="42"/>
        <v>10848181440</v>
      </c>
    </row>
    <row r="1274" spans="1:9" x14ac:dyDescent="0.3">
      <c r="A1274" s="17" t="str">
        <f t="shared" si="41"/>
        <v>2000371</v>
      </c>
      <c r="B1274" s="17">
        <v>200</v>
      </c>
      <c r="C1274" s="17">
        <v>371</v>
      </c>
      <c r="D1274" s="17" t="s">
        <v>917</v>
      </c>
      <c r="E1274" s="17">
        <f t="shared" si="43"/>
        <v>2293706465427</v>
      </c>
      <c r="F1274" s="17" t="s">
        <v>918</v>
      </c>
      <c r="G1274" s="17">
        <f t="shared" si="44"/>
        <v>10956663254</v>
      </c>
      <c r="H1274" s="17" t="s">
        <v>919</v>
      </c>
      <c r="I1274" s="17">
        <f t="shared" si="42"/>
        <v>10956663254</v>
      </c>
    </row>
    <row r="1275" spans="1:9" x14ac:dyDescent="0.3">
      <c r="A1275" s="17" t="str">
        <f t="shared" si="41"/>
        <v>2000372</v>
      </c>
      <c r="B1275" s="17">
        <v>200</v>
      </c>
      <c r="C1275" s="17">
        <v>372</v>
      </c>
      <c r="D1275" s="17" t="s">
        <v>917</v>
      </c>
      <c r="E1275" s="17">
        <f t="shared" si="43"/>
        <v>2316643530081</v>
      </c>
      <c r="F1275" s="17" t="s">
        <v>918</v>
      </c>
      <c r="G1275" s="17">
        <f t="shared" si="44"/>
        <v>11066229886</v>
      </c>
      <c r="H1275" s="17" t="s">
        <v>919</v>
      </c>
      <c r="I1275" s="17">
        <f t="shared" si="42"/>
        <v>11066229886</v>
      </c>
    </row>
    <row r="1276" spans="1:9" x14ac:dyDescent="0.3">
      <c r="A1276" s="17" t="str">
        <f t="shared" si="41"/>
        <v>2000373</v>
      </c>
      <c r="B1276" s="17">
        <v>200</v>
      </c>
      <c r="C1276" s="17">
        <v>373</v>
      </c>
      <c r="D1276" s="17" t="s">
        <v>917</v>
      </c>
      <c r="E1276" s="17">
        <f t="shared" si="43"/>
        <v>2339809965381</v>
      </c>
      <c r="F1276" s="17" t="s">
        <v>918</v>
      </c>
      <c r="G1276" s="17">
        <f t="shared" si="44"/>
        <v>11176892184</v>
      </c>
      <c r="H1276" s="17" t="s">
        <v>919</v>
      </c>
      <c r="I1276" s="17">
        <f t="shared" si="42"/>
        <v>11176892184</v>
      </c>
    </row>
    <row r="1277" spans="1:9" x14ac:dyDescent="0.3">
      <c r="A1277" s="17" t="str">
        <f t="shared" si="41"/>
        <v>2000374</v>
      </c>
      <c r="B1277" s="17">
        <v>200</v>
      </c>
      <c r="C1277" s="17">
        <v>374</v>
      </c>
      <c r="D1277" s="17" t="s">
        <v>917</v>
      </c>
      <c r="E1277" s="17">
        <f t="shared" si="43"/>
        <v>2363208065034</v>
      </c>
      <c r="F1277" s="17" t="s">
        <v>918</v>
      </c>
      <c r="G1277" s="17">
        <f t="shared" si="44"/>
        <v>11288661105</v>
      </c>
      <c r="H1277" s="17" t="s">
        <v>919</v>
      </c>
      <c r="I1277" s="17">
        <f t="shared" si="42"/>
        <v>11288661105</v>
      </c>
    </row>
    <row r="1278" spans="1:9" x14ac:dyDescent="0.3">
      <c r="A1278" s="17" t="str">
        <f t="shared" si="41"/>
        <v>2000375</v>
      </c>
      <c r="B1278" s="17">
        <v>200</v>
      </c>
      <c r="C1278" s="17">
        <v>375</v>
      </c>
      <c r="D1278" s="17" t="s">
        <v>917</v>
      </c>
      <c r="E1278" s="17">
        <f t="shared" si="43"/>
        <v>2386840145684</v>
      </c>
      <c r="F1278" s="17" t="s">
        <v>918</v>
      </c>
      <c r="G1278" s="17">
        <f t="shared" si="44"/>
        <v>11401547716</v>
      </c>
      <c r="H1278" s="17" t="s">
        <v>919</v>
      </c>
      <c r="I1278" s="17">
        <f t="shared" si="42"/>
        <v>11401547716</v>
      </c>
    </row>
    <row r="1279" spans="1:9" x14ac:dyDescent="0.3">
      <c r="A1279" s="17" t="str">
        <f t="shared" si="41"/>
        <v>2000376</v>
      </c>
      <c r="B1279" s="17">
        <v>200</v>
      </c>
      <c r="C1279" s="17">
        <v>376</v>
      </c>
      <c r="D1279" s="17" t="s">
        <v>917</v>
      </c>
      <c r="E1279" s="17">
        <f t="shared" si="43"/>
        <v>2410708547140</v>
      </c>
      <c r="F1279" s="17" t="s">
        <v>918</v>
      </c>
      <c r="G1279" s="17">
        <f t="shared" si="44"/>
        <v>11515563193</v>
      </c>
      <c r="H1279" s="17" t="s">
        <v>919</v>
      </c>
      <c r="I1279" s="17">
        <f t="shared" si="42"/>
        <v>11515563193</v>
      </c>
    </row>
    <row r="1280" spans="1:9" x14ac:dyDescent="0.3">
      <c r="A1280" s="17" t="str">
        <f t="shared" si="41"/>
        <v>2000377</v>
      </c>
      <c r="B1280" s="17">
        <v>200</v>
      </c>
      <c r="C1280" s="17">
        <v>377</v>
      </c>
      <c r="D1280" s="17" t="s">
        <v>917</v>
      </c>
      <c r="E1280" s="17">
        <f t="shared" si="43"/>
        <v>2434815632611</v>
      </c>
      <c r="F1280" s="17" t="s">
        <v>918</v>
      </c>
      <c r="G1280" s="17">
        <f t="shared" si="44"/>
        <v>11630718824</v>
      </c>
      <c r="H1280" s="17" t="s">
        <v>919</v>
      </c>
      <c r="I1280" s="17">
        <f t="shared" si="42"/>
        <v>11630718824</v>
      </c>
    </row>
    <row r="1281" spans="1:9" x14ac:dyDescent="0.3">
      <c r="A1281" s="17" t="str">
        <f t="shared" si="41"/>
        <v>2000378</v>
      </c>
      <c r="B1281" s="17">
        <v>200</v>
      </c>
      <c r="C1281" s="17">
        <v>378</v>
      </c>
      <c r="D1281" s="17" t="s">
        <v>917</v>
      </c>
      <c r="E1281" s="17">
        <f t="shared" si="43"/>
        <v>2459163788937</v>
      </c>
      <c r="F1281" s="17" t="s">
        <v>918</v>
      </c>
      <c r="G1281" s="17">
        <f t="shared" si="44"/>
        <v>11747026012</v>
      </c>
      <c r="H1281" s="17" t="s">
        <v>919</v>
      </c>
      <c r="I1281" s="17">
        <f t="shared" si="42"/>
        <v>11747026012</v>
      </c>
    </row>
    <row r="1282" spans="1:9" x14ac:dyDescent="0.3">
      <c r="A1282" s="17" t="str">
        <f t="shared" si="41"/>
        <v>2000379</v>
      </c>
      <c r="B1282" s="17">
        <v>200</v>
      </c>
      <c r="C1282" s="17">
        <v>379</v>
      </c>
      <c r="D1282" s="17" t="s">
        <v>917</v>
      </c>
      <c r="E1282" s="17">
        <f t="shared" si="43"/>
        <v>2483755426826</v>
      </c>
      <c r="F1282" s="17" t="s">
        <v>918</v>
      </c>
      <c r="G1282" s="17">
        <f t="shared" si="44"/>
        <v>11864496272</v>
      </c>
      <c r="H1282" s="17" t="s">
        <v>919</v>
      </c>
      <c r="I1282" s="17">
        <f t="shared" si="42"/>
        <v>11864496272</v>
      </c>
    </row>
    <row r="1283" spans="1:9" x14ac:dyDescent="0.3">
      <c r="A1283" s="17" t="str">
        <f t="shared" si="41"/>
        <v>2000380</v>
      </c>
      <c r="B1283" s="17">
        <v>200</v>
      </c>
      <c r="C1283" s="17">
        <v>380</v>
      </c>
      <c r="D1283" s="17" t="s">
        <v>917</v>
      </c>
      <c r="E1283" s="17">
        <f t="shared" si="43"/>
        <v>2508592981094</v>
      </c>
      <c r="F1283" s="17" t="s">
        <v>918</v>
      </c>
      <c r="G1283" s="17">
        <f t="shared" si="44"/>
        <v>11983141234</v>
      </c>
      <c r="H1283" s="17" t="s">
        <v>919</v>
      </c>
      <c r="I1283" s="17">
        <f t="shared" si="42"/>
        <v>11983141234</v>
      </c>
    </row>
    <row r="1284" spans="1:9" x14ac:dyDescent="0.3">
      <c r="A1284" s="17" t="str">
        <f t="shared" ref="A1284:A1347" si="45">B1284&amp;TEXT(C1284,"0000")</f>
        <v>2000381</v>
      </c>
      <c r="B1284" s="17">
        <v>200</v>
      </c>
      <c r="C1284" s="17">
        <v>381</v>
      </c>
      <c r="D1284" s="17" t="s">
        <v>917</v>
      </c>
      <c r="E1284" s="17">
        <f t="shared" si="43"/>
        <v>2533678910904</v>
      </c>
      <c r="F1284" s="17" t="s">
        <v>918</v>
      </c>
      <c r="G1284" s="17">
        <f t="shared" si="44"/>
        <v>12102972646</v>
      </c>
      <c r="H1284" s="17" t="s">
        <v>919</v>
      </c>
      <c r="I1284" s="17">
        <f t="shared" si="42"/>
        <v>12102972646</v>
      </c>
    </row>
    <row r="1285" spans="1:9" x14ac:dyDescent="0.3">
      <c r="A1285" s="17" t="str">
        <f t="shared" si="45"/>
        <v>2000382</v>
      </c>
      <c r="B1285" s="17">
        <v>200</v>
      </c>
      <c r="C1285" s="17">
        <v>382</v>
      </c>
      <c r="D1285" s="17" t="s">
        <v>917</v>
      </c>
      <c r="E1285" s="17">
        <f t="shared" si="43"/>
        <v>2559015700013</v>
      </c>
      <c r="F1285" s="17" t="s">
        <v>918</v>
      </c>
      <c r="G1285" s="17">
        <f t="shared" si="44"/>
        <v>12224002372</v>
      </c>
      <c r="H1285" s="17" t="s">
        <v>919</v>
      </c>
      <c r="I1285" s="17">
        <f t="shared" si="42"/>
        <v>12224002372</v>
      </c>
    </row>
    <row r="1286" spans="1:9" x14ac:dyDescent="0.3">
      <c r="A1286" s="17" t="str">
        <f t="shared" si="45"/>
        <v>2000383</v>
      </c>
      <c r="B1286" s="17">
        <v>200</v>
      </c>
      <c r="C1286" s="17">
        <v>383</v>
      </c>
      <c r="D1286" s="17" t="s">
        <v>917</v>
      </c>
      <c r="E1286" s="17">
        <f t="shared" si="43"/>
        <v>2584605857013</v>
      </c>
      <c r="F1286" s="17" t="s">
        <v>918</v>
      </c>
      <c r="G1286" s="17">
        <f t="shared" si="44"/>
        <v>12346242395</v>
      </c>
      <c r="H1286" s="17" t="s">
        <v>919</v>
      </c>
      <c r="I1286" s="17">
        <f t="shared" si="42"/>
        <v>12346242395</v>
      </c>
    </row>
    <row r="1287" spans="1:9" x14ac:dyDescent="0.3">
      <c r="A1287" s="17" t="str">
        <f t="shared" si="45"/>
        <v>2000384</v>
      </c>
      <c r="B1287" s="17">
        <v>200</v>
      </c>
      <c r="C1287" s="17">
        <v>384</v>
      </c>
      <c r="D1287" s="17" t="s">
        <v>917</v>
      </c>
      <c r="E1287" s="17">
        <f t="shared" si="43"/>
        <v>2610451915583</v>
      </c>
      <c r="F1287" s="17" t="s">
        <v>918</v>
      </c>
      <c r="G1287" s="17">
        <f t="shared" si="44"/>
        <v>12469704818</v>
      </c>
      <c r="H1287" s="17" t="s">
        <v>919</v>
      </c>
      <c r="I1287" s="17">
        <f t="shared" si="42"/>
        <v>12469704818</v>
      </c>
    </row>
    <row r="1288" spans="1:9" x14ac:dyDescent="0.3">
      <c r="A1288" s="17" t="str">
        <f t="shared" si="45"/>
        <v>2000385</v>
      </c>
      <c r="B1288" s="17">
        <v>200</v>
      </c>
      <c r="C1288" s="17">
        <v>385</v>
      </c>
      <c r="D1288" s="17" t="s">
        <v>917</v>
      </c>
      <c r="E1288" s="17">
        <f t="shared" si="43"/>
        <v>2636556434738</v>
      </c>
      <c r="F1288" s="17" t="s">
        <v>918</v>
      </c>
      <c r="G1288" s="17">
        <f t="shared" si="44"/>
        <v>12594401866</v>
      </c>
      <c r="H1288" s="17" t="s">
        <v>919</v>
      </c>
      <c r="I1288" s="17">
        <f t="shared" si="42"/>
        <v>12594401866</v>
      </c>
    </row>
    <row r="1289" spans="1:9" x14ac:dyDescent="0.3">
      <c r="A1289" s="17" t="str">
        <f t="shared" si="45"/>
        <v>2000386</v>
      </c>
      <c r="B1289" s="17">
        <v>200</v>
      </c>
      <c r="C1289" s="17">
        <v>386</v>
      </c>
      <c r="D1289" s="17" t="s">
        <v>917</v>
      </c>
      <c r="E1289" s="17">
        <f t="shared" si="43"/>
        <v>2662921999085</v>
      </c>
      <c r="F1289" s="17" t="s">
        <v>918</v>
      </c>
      <c r="G1289" s="17">
        <f t="shared" si="44"/>
        <v>12720345884</v>
      </c>
      <c r="H1289" s="17" t="s">
        <v>919</v>
      </c>
      <c r="I1289" s="17">
        <f t="shared" ref="I1289:I1352" si="46">G1289</f>
        <v>12720345884</v>
      </c>
    </row>
    <row r="1290" spans="1:9" x14ac:dyDescent="0.3">
      <c r="A1290" s="17" t="str">
        <f t="shared" si="45"/>
        <v>2000387</v>
      </c>
      <c r="B1290" s="17">
        <v>200</v>
      </c>
      <c r="C1290" s="17">
        <v>387</v>
      </c>
      <c r="D1290" s="17" t="s">
        <v>917</v>
      </c>
      <c r="E1290" s="17">
        <f t="shared" si="43"/>
        <v>2689551219075</v>
      </c>
      <c r="F1290" s="17" t="s">
        <v>918</v>
      </c>
      <c r="G1290" s="17">
        <f t="shared" si="44"/>
        <v>12847549342</v>
      </c>
      <c r="H1290" s="17" t="s">
        <v>919</v>
      </c>
      <c r="I1290" s="17">
        <f t="shared" si="46"/>
        <v>12847549342</v>
      </c>
    </row>
    <row r="1291" spans="1:9" x14ac:dyDescent="0.3">
      <c r="A1291" s="17" t="str">
        <f t="shared" si="45"/>
        <v>2000388</v>
      </c>
      <c r="B1291" s="17">
        <v>200</v>
      </c>
      <c r="C1291" s="17">
        <v>388</v>
      </c>
      <c r="D1291" s="17" t="s">
        <v>917</v>
      </c>
      <c r="E1291" s="17">
        <f t="shared" si="43"/>
        <v>2716446731265</v>
      </c>
      <c r="F1291" s="17" t="s">
        <v>918</v>
      </c>
      <c r="G1291" s="17">
        <f t="shared" si="44"/>
        <v>12976024835</v>
      </c>
      <c r="H1291" s="17" t="s">
        <v>919</v>
      </c>
      <c r="I1291" s="17">
        <f t="shared" si="46"/>
        <v>12976024835</v>
      </c>
    </row>
    <row r="1292" spans="1:9" x14ac:dyDescent="0.3">
      <c r="A1292" s="17" t="str">
        <f t="shared" si="45"/>
        <v>2000389</v>
      </c>
      <c r="B1292" s="17">
        <v>200</v>
      </c>
      <c r="C1292" s="17">
        <v>389</v>
      </c>
      <c r="D1292" s="17" t="s">
        <v>917</v>
      </c>
      <c r="E1292" s="17">
        <f t="shared" si="43"/>
        <v>2743611198577</v>
      </c>
      <c r="F1292" s="17" t="s">
        <v>918</v>
      </c>
      <c r="G1292" s="17">
        <f t="shared" si="44"/>
        <v>13105785083</v>
      </c>
      <c r="H1292" s="17" t="s">
        <v>919</v>
      </c>
      <c r="I1292" s="17">
        <f t="shared" si="46"/>
        <v>13105785083</v>
      </c>
    </row>
    <row r="1293" spans="1:9" x14ac:dyDescent="0.3">
      <c r="A1293" s="17" t="str">
        <f t="shared" si="45"/>
        <v>2000390</v>
      </c>
      <c r="B1293" s="17">
        <v>200</v>
      </c>
      <c r="C1293" s="17">
        <v>390</v>
      </c>
      <c r="D1293" s="17" t="s">
        <v>917</v>
      </c>
      <c r="E1293" s="17">
        <f t="shared" si="43"/>
        <v>2771047310562</v>
      </c>
      <c r="F1293" s="17" t="s">
        <v>918</v>
      </c>
      <c r="G1293" s="17">
        <f t="shared" si="44"/>
        <v>13236842933</v>
      </c>
      <c r="H1293" s="17" t="s">
        <v>919</v>
      </c>
      <c r="I1293" s="17">
        <f t="shared" si="46"/>
        <v>13236842933</v>
      </c>
    </row>
    <row r="1294" spans="1:9" x14ac:dyDescent="0.3">
      <c r="A1294" s="17" t="str">
        <f t="shared" si="45"/>
        <v>2000391</v>
      </c>
      <c r="B1294" s="17">
        <v>200</v>
      </c>
      <c r="C1294" s="17">
        <v>391</v>
      </c>
      <c r="D1294" s="17" t="s">
        <v>917</v>
      </c>
      <c r="E1294" s="17">
        <f t="shared" si="43"/>
        <v>2798757783667</v>
      </c>
      <c r="F1294" s="17" t="s">
        <v>918</v>
      </c>
      <c r="G1294" s="17">
        <f t="shared" si="44"/>
        <v>13369211362</v>
      </c>
      <c r="H1294" s="17" t="s">
        <v>919</v>
      </c>
      <c r="I1294" s="17">
        <f t="shared" si="46"/>
        <v>13369211362</v>
      </c>
    </row>
    <row r="1295" spans="1:9" x14ac:dyDescent="0.3">
      <c r="A1295" s="17" t="str">
        <f t="shared" si="45"/>
        <v>2000392</v>
      </c>
      <c r="B1295" s="17">
        <v>200</v>
      </c>
      <c r="C1295" s="17">
        <v>392</v>
      </c>
      <c r="D1295" s="17" t="s">
        <v>917</v>
      </c>
      <c r="E1295" s="17">
        <f t="shared" si="43"/>
        <v>2826745361503</v>
      </c>
      <c r="F1295" s="17" t="s">
        <v>918</v>
      </c>
      <c r="G1295" s="17">
        <f t="shared" si="44"/>
        <v>13502903475</v>
      </c>
      <c r="H1295" s="17" t="s">
        <v>919</v>
      </c>
      <c r="I1295" s="17">
        <f t="shared" si="46"/>
        <v>13502903475</v>
      </c>
    </row>
    <row r="1296" spans="1:9" x14ac:dyDescent="0.3">
      <c r="A1296" s="17" t="str">
        <f t="shared" si="45"/>
        <v>2000393</v>
      </c>
      <c r="B1296" s="17">
        <v>200</v>
      </c>
      <c r="C1296" s="17">
        <v>393</v>
      </c>
      <c r="D1296" s="17" t="s">
        <v>917</v>
      </c>
      <c r="E1296" s="17">
        <f t="shared" si="43"/>
        <v>2855012815118</v>
      </c>
      <c r="F1296" s="17" t="s">
        <v>918</v>
      </c>
      <c r="G1296" s="17">
        <f t="shared" si="44"/>
        <v>13637932509</v>
      </c>
      <c r="H1296" s="17" t="s">
        <v>919</v>
      </c>
      <c r="I1296" s="17">
        <f t="shared" si="46"/>
        <v>13637932509</v>
      </c>
    </row>
    <row r="1297" spans="1:9" x14ac:dyDescent="0.3">
      <c r="A1297" s="17" t="str">
        <f t="shared" si="45"/>
        <v>2000394</v>
      </c>
      <c r="B1297" s="17">
        <v>200</v>
      </c>
      <c r="C1297" s="17">
        <v>394</v>
      </c>
      <c r="D1297" s="17" t="s">
        <v>917</v>
      </c>
      <c r="E1297" s="17">
        <f t="shared" si="43"/>
        <v>2883562943269</v>
      </c>
      <c r="F1297" s="17" t="s">
        <v>918</v>
      </c>
      <c r="G1297" s="17">
        <f t="shared" si="44"/>
        <v>13774311834</v>
      </c>
      <c r="H1297" s="17" t="s">
        <v>919</v>
      </c>
      <c r="I1297" s="17">
        <f t="shared" si="46"/>
        <v>13774311834</v>
      </c>
    </row>
    <row r="1298" spans="1:9" x14ac:dyDescent="0.3">
      <c r="A1298" s="17" t="str">
        <f t="shared" si="45"/>
        <v>2000395</v>
      </c>
      <c r="B1298" s="17">
        <v>200</v>
      </c>
      <c r="C1298" s="17">
        <v>395</v>
      </c>
      <c r="D1298" s="17" t="s">
        <v>917</v>
      </c>
      <c r="E1298" s="17">
        <f t="shared" si="43"/>
        <v>2912398572701</v>
      </c>
      <c r="F1298" s="17" t="s">
        <v>918</v>
      </c>
      <c r="G1298" s="17">
        <f t="shared" si="44"/>
        <v>13912054952</v>
      </c>
      <c r="H1298" s="17" t="s">
        <v>919</v>
      </c>
      <c r="I1298" s="17">
        <f t="shared" si="46"/>
        <v>13912054952</v>
      </c>
    </row>
    <row r="1299" spans="1:9" x14ac:dyDescent="0.3">
      <c r="A1299" s="17" t="str">
        <f t="shared" si="45"/>
        <v>2000396</v>
      </c>
      <c r="B1299" s="17">
        <v>200</v>
      </c>
      <c r="C1299" s="17">
        <v>396</v>
      </c>
      <c r="D1299" s="17" t="s">
        <v>917</v>
      </c>
      <c r="E1299" s="17">
        <f t="shared" si="43"/>
        <v>2941522558428</v>
      </c>
      <c r="F1299" s="17" t="s">
        <v>918</v>
      </c>
      <c r="G1299" s="17">
        <f t="shared" si="44"/>
        <v>14051175501</v>
      </c>
      <c r="H1299" s="17" t="s">
        <v>919</v>
      </c>
      <c r="I1299" s="17">
        <f t="shared" si="46"/>
        <v>14051175501</v>
      </c>
    </row>
    <row r="1300" spans="1:9" x14ac:dyDescent="0.3">
      <c r="A1300" s="17" t="str">
        <f t="shared" si="45"/>
        <v>2000397</v>
      </c>
      <c r="B1300" s="17">
        <v>200</v>
      </c>
      <c r="C1300" s="17">
        <v>397</v>
      </c>
      <c r="D1300" s="17" t="s">
        <v>917</v>
      </c>
      <c r="E1300" s="17">
        <f t="shared" si="43"/>
        <v>2970937784012</v>
      </c>
      <c r="F1300" s="17" t="s">
        <v>918</v>
      </c>
      <c r="G1300" s="17">
        <f t="shared" si="44"/>
        <v>14191687256</v>
      </c>
      <c r="H1300" s="17" t="s">
        <v>919</v>
      </c>
      <c r="I1300" s="17">
        <f t="shared" si="46"/>
        <v>14191687256</v>
      </c>
    </row>
    <row r="1301" spans="1:9" x14ac:dyDescent="0.3">
      <c r="A1301" s="17" t="str">
        <f t="shared" si="45"/>
        <v>2000398</v>
      </c>
      <c r="B1301" s="17">
        <v>200</v>
      </c>
      <c r="C1301" s="17">
        <v>398</v>
      </c>
      <c r="D1301" s="17" t="s">
        <v>917</v>
      </c>
      <c r="E1301" s="17">
        <f t="shared" si="43"/>
        <v>3000647161852</v>
      </c>
      <c r="F1301" s="17" t="s">
        <v>918</v>
      </c>
      <c r="G1301" s="17">
        <f t="shared" si="44"/>
        <v>14333604128</v>
      </c>
      <c r="H1301" s="17" t="s">
        <v>919</v>
      </c>
      <c r="I1301" s="17">
        <f t="shared" si="46"/>
        <v>14333604128</v>
      </c>
    </row>
    <row r="1302" spans="1:9" x14ac:dyDescent="0.3">
      <c r="A1302" s="17" t="str">
        <f t="shared" si="45"/>
        <v>2000399</v>
      </c>
      <c r="B1302" s="17">
        <v>200</v>
      </c>
      <c r="C1302" s="17">
        <v>399</v>
      </c>
      <c r="D1302" s="17" t="s">
        <v>917</v>
      </c>
      <c r="E1302" s="17">
        <f t="shared" si="43"/>
        <v>3030653633470</v>
      </c>
      <c r="F1302" s="17" t="s">
        <v>918</v>
      </c>
      <c r="G1302" s="17">
        <f t="shared" si="44"/>
        <v>14476940169</v>
      </c>
      <c r="H1302" s="17" t="s">
        <v>919</v>
      </c>
      <c r="I1302" s="17">
        <f t="shared" si="46"/>
        <v>14476940169</v>
      </c>
    </row>
    <row r="1303" spans="1:9" x14ac:dyDescent="0.3">
      <c r="A1303" s="17" t="str">
        <f t="shared" si="45"/>
        <v>2000400</v>
      </c>
      <c r="B1303" s="17">
        <v>200</v>
      </c>
      <c r="C1303" s="17">
        <v>400</v>
      </c>
      <c r="D1303" s="17" t="s">
        <v>917</v>
      </c>
      <c r="E1303" s="17">
        <f t="shared" si="43"/>
        <v>3060960169804</v>
      </c>
      <c r="F1303" s="17" t="s">
        <v>918</v>
      </c>
      <c r="G1303" s="17">
        <f t="shared" si="44"/>
        <v>14621709570</v>
      </c>
      <c r="H1303" s="17" t="s">
        <v>919</v>
      </c>
      <c r="I1303" s="17">
        <f t="shared" si="46"/>
        <v>14621709570</v>
      </c>
    </row>
    <row r="1304" spans="1:9" x14ac:dyDescent="0.3">
      <c r="A1304" s="17" t="str">
        <f t="shared" si="45"/>
        <v>2000401</v>
      </c>
      <c r="B1304" s="17">
        <v>200</v>
      </c>
      <c r="C1304" s="17">
        <v>401</v>
      </c>
      <c r="D1304" s="17" t="s">
        <v>917</v>
      </c>
      <c r="E1304" s="17">
        <f t="shared" si="43"/>
        <v>3091569771502</v>
      </c>
      <c r="F1304" s="17" t="s">
        <v>918</v>
      </c>
      <c r="G1304" s="17">
        <f t="shared" si="44"/>
        <v>14767926665</v>
      </c>
      <c r="H1304" s="17" t="s">
        <v>919</v>
      </c>
      <c r="I1304" s="17">
        <f t="shared" si="46"/>
        <v>14767926665</v>
      </c>
    </row>
    <row r="1305" spans="1:9" x14ac:dyDescent="0.3">
      <c r="A1305" s="17" t="str">
        <f t="shared" si="45"/>
        <v>2000402</v>
      </c>
      <c r="B1305" s="17">
        <v>200</v>
      </c>
      <c r="C1305" s="17">
        <v>402</v>
      </c>
      <c r="D1305" s="17" t="s">
        <v>917</v>
      </c>
      <c r="E1305" s="17">
        <f t="shared" si="43"/>
        <v>3122485469217</v>
      </c>
      <c r="F1305" s="17" t="s">
        <v>918</v>
      </c>
      <c r="G1305" s="17">
        <f t="shared" si="44"/>
        <v>14915605931</v>
      </c>
      <c r="H1305" s="17" t="s">
        <v>919</v>
      </c>
      <c r="I1305" s="17">
        <f t="shared" si="46"/>
        <v>14915605931</v>
      </c>
    </row>
    <row r="1306" spans="1:9" x14ac:dyDescent="0.3">
      <c r="A1306" s="17" t="str">
        <f t="shared" si="45"/>
        <v>2000403</v>
      </c>
      <c r="B1306" s="17">
        <v>200</v>
      </c>
      <c r="C1306" s="17">
        <v>403</v>
      </c>
      <c r="D1306" s="17" t="s">
        <v>917</v>
      </c>
      <c r="E1306" s="17">
        <f t="shared" si="43"/>
        <v>3153710323909</v>
      </c>
      <c r="F1306" s="17" t="s">
        <v>918</v>
      </c>
      <c r="G1306" s="17">
        <f t="shared" si="44"/>
        <v>15064761990</v>
      </c>
      <c r="H1306" s="17" t="s">
        <v>919</v>
      </c>
      <c r="I1306" s="17">
        <f t="shared" si="46"/>
        <v>15064761990</v>
      </c>
    </row>
    <row r="1307" spans="1:9" x14ac:dyDescent="0.3">
      <c r="A1307" s="17" t="str">
        <f t="shared" si="45"/>
        <v>2000404</v>
      </c>
      <c r="B1307" s="17">
        <v>200</v>
      </c>
      <c r="C1307" s="17">
        <v>404</v>
      </c>
      <c r="D1307" s="17" t="s">
        <v>917</v>
      </c>
      <c r="E1307" s="17">
        <f t="shared" si="43"/>
        <v>3185247427148</v>
      </c>
      <c r="F1307" s="17" t="s">
        <v>918</v>
      </c>
      <c r="G1307" s="17">
        <f t="shared" si="44"/>
        <v>15215409609</v>
      </c>
      <c r="H1307" s="17" t="s">
        <v>919</v>
      </c>
      <c r="I1307" s="17">
        <f t="shared" si="46"/>
        <v>15215409609</v>
      </c>
    </row>
    <row r="1308" spans="1:9" x14ac:dyDescent="0.3">
      <c r="A1308" s="17" t="str">
        <f t="shared" si="45"/>
        <v>2000405</v>
      </c>
      <c r="B1308" s="17">
        <v>200</v>
      </c>
      <c r="C1308" s="17">
        <v>405</v>
      </c>
      <c r="D1308" s="17" t="s">
        <v>917</v>
      </c>
      <c r="E1308" s="17">
        <f t="shared" si="43"/>
        <v>3217099901419</v>
      </c>
      <c r="F1308" s="17" t="s">
        <v>918</v>
      </c>
      <c r="G1308" s="17">
        <f t="shared" si="44"/>
        <v>15367563705</v>
      </c>
      <c r="H1308" s="17" t="s">
        <v>919</v>
      </c>
      <c r="I1308" s="17">
        <f t="shared" si="46"/>
        <v>15367563705</v>
      </c>
    </row>
    <row r="1309" spans="1:9" x14ac:dyDescent="0.3">
      <c r="A1309" s="17" t="str">
        <f t="shared" si="45"/>
        <v>2000406</v>
      </c>
      <c r="B1309" s="17">
        <v>200</v>
      </c>
      <c r="C1309" s="17">
        <v>406</v>
      </c>
      <c r="D1309" s="17" t="s">
        <v>917</v>
      </c>
      <c r="E1309" s="17">
        <f t="shared" si="43"/>
        <v>3249270900433</v>
      </c>
      <c r="F1309" s="17" t="s">
        <v>918</v>
      </c>
      <c r="G1309" s="17">
        <f t="shared" si="44"/>
        <v>15521239342</v>
      </c>
      <c r="H1309" s="17" t="s">
        <v>919</v>
      </c>
      <c r="I1309" s="17">
        <f t="shared" si="46"/>
        <v>15521239342</v>
      </c>
    </row>
    <row r="1310" spans="1:9" x14ac:dyDescent="0.3">
      <c r="A1310" s="17" t="str">
        <f t="shared" si="45"/>
        <v>2000407</v>
      </c>
      <c r="B1310" s="17">
        <v>200</v>
      </c>
      <c r="C1310" s="17">
        <v>407</v>
      </c>
      <c r="D1310" s="17" t="s">
        <v>917</v>
      </c>
      <c r="E1310" s="17">
        <f t="shared" si="43"/>
        <v>3281763609437</v>
      </c>
      <c r="F1310" s="17" t="s">
        <v>918</v>
      </c>
      <c r="G1310" s="17">
        <f t="shared" si="44"/>
        <v>15676451735</v>
      </c>
      <c r="H1310" s="17" t="s">
        <v>919</v>
      </c>
      <c r="I1310" s="17">
        <f t="shared" si="46"/>
        <v>15676451735</v>
      </c>
    </row>
    <row r="1311" spans="1:9" x14ac:dyDescent="0.3">
      <c r="A1311" s="17" t="str">
        <f t="shared" si="45"/>
        <v>2000408</v>
      </c>
      <c r="B1311" s="17">
        <v>200</v>
      </c>
      <c r="C1311" s="17">
        <v>408</v>
      </c>
      <c r="D1311" s="17" t="s">
        <v>917</v>
      </c>
      <c r="E1311" s="17">
        <f t="shared" si="43"/>
        <v>3314581245531</v>
      </c>
      <c r="F1311" s="17" t="s">
        <v>918</v>
      </c>
      <c r="G1311" s="17">
        <f t="shared" si="44"/>
        <v>15833216252</v>
      </c>
      <c r="H1311" s="17" t="s">
        <v>919</v>
      </c>
      <c r="I1311" s="17">
        <f t="shared" si="46"/>
        <v>15833216252</v>
      </c>
    </row>
    <row r="1312" spans="1:9" x14ac:dyDescent="0.3">
      <c r="A1312" s="17" t="str">
        <f t="shared" si="45"/>
        <v>2000409</v>
      </c>
      <c r="B1312" s="17">
        <v>200</v>
      </c>
      <c r="C1312" s="17">
        <v>409</v>
      </c>
      <c r="D1312" s="17" t="s">
        <v>917</v>
      </c>
      <c r="E1312" s="17">
        <f t="shared" si="43"/>
        <v>3347727057986</v>
      </c>
      <c r="F1312" s="17" t="s">
        <v>918</v>
      </c>
      <c r="G1312" s="17">
        <f t="shared" si="44"/>
        <v>15991548414</v>
      </c>
      <c r="H1312" s="17" t="s">
        <v>919</v>
      </c>
      <c r="I1312" s="17">
        <f t="shared" si="46"/>
        <v>15991548414</v>
      </c>
    </row>
    <row r="1313" spans="1:9" x14ac:dyDescent="0.3">
      <c r="A1313" s="17" t="str">
        <f t="shared" si="45"/>
        <v>2000410</v>
      </c>
      <c r="B1313" s="17">
        <v>200</v>
      </c>
      <c r="C1313" s="17">
        <v>410</v>
      </c>
      <c r="D1313" s="17" t="s">
        <v>917</v>
      </c>
      <c r="E1313" s="17">
        <f t="shared" si="43"/>
        <v>3381204328565</v>
      </c>
      <c r="F1313" s="17" t="s">
        <v>918</v>
      </c>
      <c r="G1313" s="17">
        <f t="shared" si="44"/>
        <v>16151463898</v>
      </c>
      <c r="H1313" s="17" t="s">
        <v>919</v>
      </c>
      <c r="I1313" s="17">
        <f t="shared" si="46"/>
        <v>16151463898</v>
      </c>
    </row>
    <row r="1314" spans="1:9" x14ac:dyDescent="0.3">
      <c r="A1314" s="17" t="str">
        <f t="shared" si="45"/>
        <v>2000411</v>
      </c>
      <c r="B1314" s="17">
        <v>200</v>
      </c>
      <c r="C1314" s="17">
        <v>411</v>
      </c>
      <c r="D1314" s="17" t="s">
        <v>917</v>
      </c>
      <c r="E1314" s="17">
        <f t="shared" si="43"/>
        <v>3415016371850</v>
      </c>
      <c r="F1314" s="17" t="s">
        <v>918</v>
      </c>
      <c r="G1314" s="17">
        <f t="shared" si="44"/>
        <v>16312978536</v>
      </c>
      <c r="H1314" s="17" t="s">
        <v>919</v>
      </c>
      <c r="I1314" s="17">
        <f t="shared" si="46"/>
        <v>16312978536</v>
      </c>
    </row>
    <row r="1315" spans="1:9" x14ac:dyDescent="0.3">
      <c r="A1315" s="17" t="str">
        <f t="shared" si="45"/>
        <v>2000412</v>
      </c>
      <c r="B1315" s="17">
        <v>200</v>
      </c>
      <c r="C1315" s="17">
        <v>412</v>
      </c>
      <c r="D1315" s="17" t="s">
        <v>917</v>
      </c>
      <c r="E1315" s="17">
        <f t="shared" si="43"/>
        <v>3449166535568</v>
      </c>
      <c r="F1315" s="17" t="s">
        <v>918</v>
      </c>
      <c r="G1315" s="17">
        <f t="shared" si="44"/>
        <v>16476108321</v>
      </c>
      <c r="H1315" s="17" t="s">
        <v>919</v>
      </c>
      <c r="I1315" s="17">
        <f t="shared" si="46"/>
        <v>16476108321</v>
      </c>
    </row>
    <row r="1316" spans="1:9" x14ac:dyDescent="0.3">
      <c r="A1316" s="17" t="str">
        <f t="shared" si="45"/>
        <v>2000413</v>
      </c>
      <c r="B1316" s="17">
        <v>200</v>
      </c>
      <c r="C1316" s="17">
        <v>413</v>
      </c>
      <c r="D1316" s="17" t="s">
        <v>917</v>
      </c>
      <c r="E1316" s="17">
        <f t="shared" si="43"/>
        <v>3483658200923</v>
      </c>
      <c r="F1316" s="17" t="s">
        <v>918</v>
      </c>
      <c r="G1316" s="17">
        <f t="shared" si="44"/>
        <v>16640869404</v>
      </c>
      <c r="H1316" s="17" t="s">
        <v>919</v>
      </c>
      <c r="I1316" s="17">
        <f t="shared" si="46"/>
        <v>16640869404</v>
      </c>
    </row>
    <row r="1317" spans="1:9" x14ac:dyDescent="0.3">
      <c r="A1317" s="17" t="str">
        <f t="shared" si="45"/>
        <v>2000414</v>
      </c>
      <c r="B1317" s="17">
        <v>200</v>
      </c>
      <c r="C1317" s="17">
        <v>414</v>
      </c>
      <c r="D1317" s="17" t="s">
        <v>917</v>
      </c>
      <c r="E1317" s="17">
        <f t="shared" si="43"/>
        <v>3518494782932</v>
      </c>
      <c r="F1317" s="17" t="s">
        <v>918</v>
      </c>
      <c r="G1317" s="17">
        <f t="shared" si="44"/>
        <v>16807278098</v>
      </c>
      <c r="H1317" s="17" t="s">
        <v>919</v>
      </c>
      <c r="I1317" s="17">
        <f t="shared" si="46"/>
        <v>16807278098</v>
      </c>
    </row>
    <row r="1318" spans="1:9" x14ac:dyDescent="0.3">
      <c r="A1318" s="17" t="str">
        <f t="shared" si="45"/>
        <v>2000415</v>
      </c>
      <c r="B1318" s="17">
        <v>200</v>
      </c>
      <c r="C1318" s="17">
        <v>415</v>
      </c>
      <c r="D1318" s="17" t="s">
        <v>917</v>
      </c>
      <c r="E1318" s="17">
        <f t="shared" si="43"/>
        <v>3553679730761</v>
      </c>
      <c r="F1318" s="17" t="s">
        <v>918</v>
      </c>
      <c r="G1318" s="17">
        <f t="shared" si="44"/>
        <v>16975350878</v>
      </c>
      <c r="H1318" s="17" t="s">
        <v>919</v>
      </c>
      <c r="I1318" s="17">
        <f t="shared" si="46"/>
        <v>16975350878</v>
      </c>
    </row>
    <row r="1319" spans="1:9" x14ac:dyDescent="0.3">
      <c r="A1319" s="17" t="str">
        <f t="shared" si="45"/>
        <v>2000416</v>
      </c>
      <c r="B1319" s="17">
        <v>200</v>
      </c>
      <c r="C1319" s="17">
        <v>416</v>
      </c>
      <c r="D1319" s="17" t="s">
        <v>917</v>
      </c>
      <c r="E1319" s="17">
        <f t="shared" si="43"/>
        <v>3589216528068</v>
      </c>
      <c r="F1319" s="17" t="s">
        <v>918</v>
      </c>
      <c r="G1319" s="17">
        <f t="shared" si="44"/>
        <v>17145104386</v>
      </c>
      <c r="H1319" s="17" t="s">
        <v>919</v>
      </c>
      <c r="I1319" s="17">
        <f t="shared" si="46"/>
        <v>17145104386</v>
      </c>
    </row>
    <row r="1320" spans="1:9" x14ac:dyDescent="0.3">
      <c r="A1320" s="17" t="str">
        <f t="shared" si="45"/>
        <v>2000417</v>
      </c>
      <c r="B1320" s="17">
        <v>200</v>
      </c>
      <c r="C1320" s="17">
        <v>417</v>
      </c>
      <c r="D1320" s="17" t="s">
        <v>917</v>
      </c>
      <c r="E1320" s="17">
        <f t="shared" si="43"/>
        <v>3625108693348</v>
      </c>
      <c r="F1320" s="17" t="s">
        <v>918</v>
      </c>
      <c r="G1320" s="17">
        <f t="shared" si="44"/>
        <v>17316555429</v>
      </c>
      <c r="H1320" s="17" t="s">
        <v>919</v>
      </c>
      <c r="I1320" s="17">
        <f t="shared" si="46"/>
        <v>17316555429</v>
      </c>
    </row>
    <row r="1321" spans="1:9" x14ac:dyDescent="0.3">
      <c r="A1321" s="17" t="str">
        <f t="shared" si="45"/>
        <v>2000418</v>
      </c>
      <c r="B1321" s="17">
        <v>200</v>
      </c>
      <c r="C1321" s="17">
        <v>418</v>
      </c>
      <c r="D1321" s="17" t="s">
        <v>917</v>
      </c>
      <c r="E1321" s="17">
        <f t="shared" si="43"/>
        <v>3661359780281</v>
      </c>
      <c r="F1321" s="17" t="s">
        <v>918</v>
      </c>
      <c r="G1321" s="17">
        <f t="shared" si="44"/>
        <v>17489720983</v>
      </c>
      <c r="H1321" s="17" t="s">
        <v>919</v>
      </c>
      <c r="I1321" s="17">
        <f t="shared" si="46"/>
        <v>17489720983</v>
      </c>
    </row>
    <row r="1322" spans="1:9" x14ac:dyDescent="0.3">
      <c r="A1322" s="17" t="str">
        <f t="shared" si="45"/>
        <v>2000419</v>
      </c>
      <c r="B1322" s="17">
        <v>200</v>
      </c>
      <c r="C1322" s="17">
        <v>419</v>
      </c>
      <c r="D1322" s="17" t="s">
        <v>917</v>
      </c>
      <c r="E1322" s="17">
        <f t="shared" si="43"/>
        <v>3697973378083</v>
      </c>
      <c r="F1322" s="17" t="s">
        <v>918</v>
      </c>
      <c r="G1322" s="17">
        <f t="shared" si="44"/>
        <v>17664618192</v>
      </c>
      <c r="H1322" s="17" t="s">
        <v>919</v>
      </c>
      <c r="I1322" s="17">
        <f t="shared" si="46"/>
        <v>17664618192</v>
      </c>
    </row>
    <row r="1323" spans="1:9" x14ac:dyDescent="0.3">
      <c r="A1323" s="17" t="str">
        <f t="shared" si="45"/>
        <v>2000420</v>
      </c>
      <c r="B1323" s="17">
        <v>200</v>
      </c>
      <c r="C1323" s="17">
        <v>420</v>
      </c>
      <c r="D1323" s="17" t="s">
        <v>917</v>
      </c>
      <c r="E1323" s="17">
        <f t="shared" si="43"/>
        <v>3734953111863</v>
      </c>
      <c r="F1323" s="17" t="s">
        <v>918</v>
      </c>
      <c r="G1323" s="17">
        <f t="shared" si="44"/>
        <v>17841264373</v>
      </c>
      <c r="H1323" s="17" t="s">
        <v>919</v>
      </c>
      <c r="I1323" s="17">
        <f t="shared" si="46"/>
        <v>17841264373</v>
      </c>
    </row>
    <row r="1324" spans="1:9" x14ac:dyDescent="0.3">
      <c r="A1324" s="17" t="str">
        <f t="shared" si="45"/>
        <v>2000421</v>
      </c>
      <c r="B1324" s="17">
        <v>200</v>
      </c>
      <c r="C1324" s="17">
        <v>421</v>
      </c>
      <c r="D1324" s="17" t="s">
        <v>917</v>
      </c>
      <c r="E1324" s="17">
        <f t="shared" si="43"/>
        <v>3772302642981</v>
      </c>
      <c r="F1324" s="17" t="s">
        <v>918</v>
      </c>
      <c r="G1324" s="17">
        <f t="shared" si="44"/>
        <v>18019677016</v>
      </c>
      <c r="H1324" s="17" t="s">
        <v>919</v>
      </c>
      <c r="I1324" s="17">
        <f t="shared" si="46"/>
        <v>18019677016</v>
      </c>
    </row>
    <row r="1325" spans="1:9" x14ac:dyDescent="0.3">
      <c r="A1325" s="17" t="str">
        <f t="shared" si="45"/>
        <v>2000422</v>
      </c>
      <c r="B1325" s="17">
        <v>200</v>
      </c>
      <c r="C1325" s="17">
        <v>422</v>
      </c>
      <c r="D1325" s="17" t="s">
        <v>917</v>
      </c>
      <c r="E1325" s="17">
        <f t="shared" si="43"/>
        <v>3810025669410</v>
      </c>
      <c r="F1325" s="17" t="s">
        <v>918</v>
      </c>
      <c r="G1325" s="17">
        <f t="shared" si="44"/>
        <v>18199873786</v>
      </c>
      <c r="H1325" s="17" t="s">
        <v>919</v>
      </c>
      <c r="I1325" s="17">
        <f t="shared" si="46"/>
        <v>18199873786</v>
      </c>
    </row>
    <row r="1326" spans="1:9" x14ac:dyDescent="0.3">
      <c r="A1326" s="17" t="str">
        <f t="shared" si="45"/>
        <v>2000423</v>
      </c>
      <c r="B1326" s="17">
        <v>200</v>
      </c>
      <c r="C1326" s="17">
        <v>423</v>
      </c>
      <c r="D1326" s="17" t="s">
        <v>917</v>
      </c>
      <c r="E1326" s="17">
        <f t="shared" si="43"/>
        <v>3848125926104</v>
      </c>
      <c r="F1326" s="17" t="s">
        <v>918</v>
      </c>
      <c r="G1326" s="17">
        <f t="shared" si="44"/>
        <v>18381872523</v>
      </c>
      <c r="H1326" s="17" t="s">
        <v>919</v>
      </c>
      <c r="I1326" s="17">
        <f t="shared" si="46"/>
        <v>18381872523</v>
      </c>
    </row>
    <row r="1327" spans="1:9" x14ac:dyDescent="0.3">
      <c r="A1327" s="17" t="str">
        <f t="shared" si="45"/>
        <v>2000424</v>
      </c>
      <c r="B1327" s="17">
        <v>200</v>
      </c>
      <c r="C1327" s="17">
        <v>424</v>
      </c>
      <c r="D1327" s="17" t="s">
        <v>917</v>
      </c>
      <c r="E1327" s="17">
        <f t="shared" si="43"/>
        <v>3886607185365</v>
      </c>
      <c r="F1327" s="17" t="s">
        <v>918</v>
      </c>
      <c r="G1327" s="17">
        <f t="shared" si="44"/>
        <v>18565691248</v>
      </c>
      <c r="H1327" s="17" t="s">
        <v>919</v>
      </c>
      <c r="I1327" s="17">
        <f t="shared" si="46"/>
        <v>18565691248</v>
      </c>
    </row>
    <row r="1328" spans="1:9" x14ac:dyDescent="0.3">
      <c r="A1328" s="17" t="str">
        <f t="shared" si="45"/>
        <v>2000425</v>
      </c>
      <c r="B1328" s="17">
        <v>200</v>
      </c>
      <c r="C1328" s="17">
        <v>425</v>
      </c>
      <c r="D1328" s="17" t="s">
        <v>917</v>
      </c>
      <c r="E1328" s="17">
        <f t="shared" si="43"/>
        <v>3925473257218</v>
      </c>
      <c r="F1328" s="17" t="s">
        <v>918</v>
      </c>
      <c r="G1328" s="17">
        <f t="shared" si="44"/>
        <v>18751348160</v>
      </c>
      <c r="H1328" s="17" t="s">
        <v>919</v>
      </c>
      <c r="I1328" s="17">
        <f t="shared" si="46"/>
        <v>18751348160</v>
      </c>
    </row>
    <row r="1329" spans="1:9" x14ac:dyDescent="0.3">
      <c r="A1329" s="17" t="str">
        <f t="shared" si="45"/>
        <v>2000426</v>
      </c>
      <c r="B1329" s="17">
        <v>200</v>
      </c>
      <c r="C1329" s="17">
        <v>426</v>
      </c>
      <c r="D1329" s="17" t="s">
        <v>917</v>
      </c>
      <c r="E1329" s="17">
        <f t="shared" si="43"/>
        <v>3964727989790</v>
      </c>
      <c r="F1329" s="17" t="s">
        <v>918</v>
      </c>
      <c r="G1329" s="17">
        <f t="shared" si="44"/>
        <v>18938861641</v>
      </c>
      <c r="H1329" s="17" t="s">
        <v>919</v>
      </c>
      <c r="I1329" s="17">
        <f t="shared" si="46"/>
        <v>18938861641</v>
      </c>
    </row>
    <row r="1330" spans="1:9" x14ac:dyDescent="0.3">
      <c r="A1330" s="17" t="str">
        <f t="shared" si="45"/>
        <v>2000427</v>
      </c>
      <c r="B1330" s="17">
        <v>200</v>
      </c>
      <c r="C1330" s="17">
        <v>427</v>
      </c>
      <c r="D1330" s="17" t="s">
        <v>917</v>
      </c>
      <c r="E1330" s="17">
        <f t="shared" si="43"/>
        <v>4004375269687</v>
      </c>
      <c r="F1330" s="17" t="s">
        <v>918</v>
      </c>
      <c r="G1330" s="17">
        <f t="shared" si="44"/>
        <v>19128250257</v>
      </c>
      <c r="H1330" s="17" t="s">
        <v>919</v>
      </c>
      <c r="I1330" s="17">
        <f t="shared" si="46"/>
        <v>19128250257</v>
      </c>
    </row>
    <row r="1331" spans="1:9" x14ac:dyDescent="0.3">
      <c r="A1331" s="17" t="str">
        <f t="shared" si="45"/>
        <v>2000428</v>
      </c>
      <c r="B1331" s="17">
        <v>200</v>
      </c>
      <c r="C1331" s="17">
        <v>428</v>
      </c>
      <c r="D1331" s="17" t="s">
        <v>917</v>
      </c>
      <c r="E1331" s="17">
        <f t="shared" si="43"/>
        <v>4044419022383</v>
      </c>
      <c r="F1331" s="17" t="s">
        <v>918</v>
      </c>
      <c r="G1331" s="17">
        <f t="shared" si="44"/>
        <v>19319532759</v>
      </c>
      <c r="H1331" s="17" t="s">
        <v>919</v>
      </c>
      <c r="I1331" s="17">
        <f t="shared" si="46"/>
        <v>19319532759</v>
      </c>
    </row>
    <row r="1332" spans="1:9" x14ac:dyDescent="0.3">
      <c r="A1332" s="17" t="str">
        <f t="shared" si="45"/>
        <v>2000429</v>
      </c>
      <c r="B1332" s="17">
        <v>200</v>
      </c>
      <c r="C1332" s="17">
        <v>429</v>
      </c>
      <c r="D1332" s="17" t="s">
        <v>917</v>
      </c>
      <c r="E1332" s="17">
        <f t="shared" ref="E1332:E1395" si="47">INT(E1331*1.01)</f>
        <v>4084863212606</v>
      </c>
      <c r="F1332" s="17" t="s">
        <v>918</v>
      </c>
      <c r="G1332" s="17">
        <f t="shared" ref="G1332:G1395" si="48">INT(G1331*1.01)</f>
        <v>19512728086</v>
      </c>
      <c r="H1332" s="17" t="s">
        <v>919</v>
      </c>
      <c r="I1332" s="17">
        <f t="shared" si="46"/>
        <v>19512728086</v>
      </c>
    </row>
    <row r="1333" spans="1:9" x14ac:dyDescent="0.3">
      <c r="A1333" s="17" t="str">
        <f t="shared" si="45"/>
        <v>2000430</v>
      </c>
      <c r="B1333" s="17">
        <v>200</v>
      </c>
      <c r="C1333" s="17">
        <v>430</v>
      </c>
      <c r="D1333" s="17" t="s">
        <v>917</v>
      </c>
      <c r="E1333" s="17">
        <f t="shared" si="47"/>
        <v>4125711844732</v>
      </c>
      <c r="F1333" s="17" t="s">
        <v>918</v>
      </c>
      <c r="G1333" s="17">
        <f t="shared" si="48"/>
        <v>19707855366</v>
      </c>
      <c r="H1333" s="17" t="s">
        <v>919</v>
      </c>
      <c r="I1333" s="17">
        <f t="shared" si="46"/>
        <v>19707855366</v>
      </c>
    </row>
    <row r="1334" spans="1:9" x14ac:dyDescent="0.3">
      <c r="A1334" s="17" t="str">
        <f t="shared" si="45"/>
        <v>2000431</v>
      </c>
      <c r="B1334" s="17">
        <v>200</v>
      </c>
      <c r="C1334" s="17">
        <v>431</v>
      </c>
      <c r="D1334" s="17" t="s">
        <v>917</v>
      </c>
      <c r="E1334" s="17">
        <f t="shared" si="47"/>
        <v>4166968963179</v>
      </c>
      <c r="F1334" s="17" t="s">
        <v>918</v>
      </c>
      <c r="G1334" s="17">
        <f t="shared" si="48"/>
        <v>19904933919</v>
      </c>
      <c r="H1334" s="17" t="s">
        <v>919</v>
      </c>
      <c r="I1334" s="17">
        <f t="shared" si="46"/>
        <v>19904933919</v>
      </c>
    </row>
    <row r="1335" spans="1:9" x14ac:dyDescent="0.3">
      <c r="A1335" s="17" t="str">
        <f t="shared" si="45"/>
        <v>2000432</v>
      </c>
      <c r="B1335" s="17">
        <v>200</v>
      </c>
      <c r="C1335" s="17">
        <v>432</v>
      </c>
      <c r="D1335" s="17" t="s">
        <v>917</v>
      </c>
      <c r="E1335" s="17">
        <f t="shared" si="47"/>
        <v>4208638652810</v>
      </c>
      <c r="F1335" s="17" t="s">
        <v>918</v>
      </c>
      <c r="G1335" s="17">
        <f t="shared" si="48"/>
        <v>20103983258</v>
      </c>
      <c r="H1335" s="17" t="s">
        <v>919</v>
      </c>
      <c r="I1335" s="17">
        <f t="shared" si="46"/>
        <v>20103983258</v>
      </c>
    </row>
    <row r="1336" spans="1:9" x14ac:dyDescent="0.3">
      <c r="A1336" s="17" t="str">
        <f t="shared" si="45"/>
        <v>2000433</v>
      </c>
      <c r="B1336" s="17">
        <v>200</v>
      </c>
      <c r="C1336" s="17">
        <v>433</v>
      </c>
      <c r="D1336" s="17" t="s">
        <v>917</v>
      </c>
      <c r="E1336" s="17">
        <f t="shared" si="47"/>
        <v>4250725039338</v>
      </c>
      <c r="F1336" s="17" t="s">
        <v>918</v>
      </c>
      <c r="G1336" s="17">
        <f t="shared" si="48"/>
        <v>20305023090</v>
      </c>
      <c r="H1336" s="17" t="s">
        <v>919</v>
      </c>
      <c r="I1336" s="17">
        <f t="shared" si="46"/>
        <v>20305023090</v>
      </c>
    </row>
    <row r="1337" spans="1:9" x14ac:dyDescent="0.3">
      <c r="A1337" s="17" t="str">
        <f t="shared" si="45"/>
        <v>2000434</v>
      </c>
      <c r="B1337" s="17">
        <v>200</v>
      </c>
      <c r="C1337" s="17">
        <v>434</v>
      </c>
      <c r="D1337" s="17" t="s">
        <v>917</v>
      </c>
      <c r="E1337" s="17">
        <f t="shared" si="47"/>
        <v>4293232289731</v>
      </c>
      <c r="F1337" s="17" t="s">
        <v>918</v>
      </c>
      <c r="G1337" s="17">
        <f t="shared" si="48"/>
        <v>20508073320</v>
      </c>
      <c r="H1337" s="17" t="s">
        <v>919</v>
      </c>
      <c r="I1337" s="17">
        <f t="shared" si="46"/>
        <v>20508073320</v>
      </c>
    </row>
    <row r="1338" spans="1:9" x14ac:dyDescent="0.3">
      <c r="A1338" s="17" t="str">
        <f t="shared" si="45"/>
        <v>2000435</v>
      </c>
      <c r="B1338" s="17">
        <v>200</v>
      </c>
      <c r="C1338" s="17">
        <v>435</v>
      </c>
      <c r="D1338" s="17" t="s">
        <v>917</v>
      </c>
      <c r="E1338" s="17">
        <f t="shared" si="47"/>
        <v>4336164612628</v>
      </c>
      <c r="F1338" s="17" t="s">
        <v>918</v>
      </c>
      <c r="G1338" s="17">
        <f t="shared" si="48"/>
        <v>20713154053</v>
      </c>
      <c r="H1338" s="17" t="s">
        <v>919</v>
      </c>
      <c r="I1338" s="17">
        <f t="shared" si="46"/>
        <v>20713154053</v>
      </c>
    </row>
    <row r="1339" spans="1:9" x14ac:dyDescent="0.3">
      <c r="A1339" s="17" t="str">
        <f t="shared" si="45"/>
        <v>2000436</v>
      </c>
      <c r="B1339" s="17">
        <v>200</v>
      </c>
      <c r="C1339" s="17">
        <v>436</v>
      </c>
      <c r="D1339" s="17" t="s">
        <v>917</v>
      </c>
      <c r="E1339" s="17">
        <f t="shared" si="47"/>
        <v>4379526258754</v>
      </c>
      <c r="F1339" s="17" t="s">
        <v>918</v>
      </c>
      <c r="G1339" s="17">
        <f t="shared" si="48"/>
        <v>20920285593</v>
      </c>
      <c r="H1339" s="17" t="s">
        <v>919</v>
      </c>
      <c r="I1339" s="17">
        <f t="shared" si="46"/>
        <v>20920285593</v>
      </c>
    </row>
    <row r="1340" spans="1:9" x14ac:dyDescent="0.3">
      <c r="A1340" s="17" t="str">
        <f t="shared" si="45"/>
        <v>2000437</v>
      </c>
      <c r="B1340" s="17">
        <v>200</v>
      </c>
      <c r="C1340" s="17">
        <v>437</v>
      </c>
      <c r="D1340" s="17" t="s">
        <v>917</v>
      </c>
      <c r="E1340" s="17">
        <f t="shared" si="47"/>
        <v>4423321521341</v>
      </c>
      <c r="F1340" s="17" t="s">
        <v>918</v>
      </c>
      <c r="G1340" s="17">
        <f t="shared" si="48"/>
        <v>21129488448</v>
      </c>
      <c r="H1340" s="17" t="s">
        <v>919</v>
      </c>
      <c r="I1340" s="17">
        <f t="shared" si="46"/>
        <v>21129488448</v>
      </c>
    </row>
    <row r="1341" spans="1:9" x14ac:dyDescent="0.3">
      <c r="A1341" s="17" t="str">
        <f t="shared" si="45"/>
        <v>2000438</v>
      </c>
      <c r="B1341" s="17">
        <v>200</v>
      </c>
      <c r="C1341" s="17">
        <v>438</v>
      </c>
      <c r="D1341" s="17" t="s">
        <v>917</v>
      </c>
      <c r="E1341" s="17">
        <f t="shared" si="47"/>
        <v>4467554736554</v>
      </c>
      <c r="F1341" s="17" t="s">
        <v>918</v>
      </c>
      <c r="G1341" s="17">
        <f t="shared" si="48"/>
        <v>21340783332</v>
      </c>
      <c r="H1341" s="17" t="s">
        <v>919</v>
      </c>
      <c r="I1341" s="17">
        <f t="shared" si="46"/>
        <v>21340783332</v>
      </c>
    </row>
    <row r="1342" spans="1:9" x14ac:dyDescent="0.3">
      <c r="A1342" s="17" t="str">
        <f t="shared" si="45"/>
        <v>2000439</v>
      </c>
      <c r="B1342" s="17">
        <v>200</v>
      </c>
      <c r="C1342" s="17">
        <v>439</v>
      </c>
      <c r="D1342" s="17" t="s">
        <v>917</v>
      </c>
      <c r="E1342" s="17">
        <f t="shared" si="47"/>
        <v>4512230283919</v>
      </c>
      <c r="F1342" s="17" t="s">
        <v>918</v>
      </c>
      <c r="G1342" s="17">
        <f t="shared" si="48"/>
        <v>21554191165</v>
      </c>
      <c r="H1342" s="17" t="s">
        <v>919</v>
      </c>
      <c r="I1342" s="17">
        <f t="shared" si="46"/>
        <v>21554191165</v>
      </c>
    </row>
    <row r="1343" spans="1:9" x14ac:dyDescent="0.3">
      <c r="A1343" s="17" t="str">
        <f t="shared" si="45"/>
        <v>2000440</v>
      </c>
      <c r="B1343" s="17">
        <v>200</v>
      </c>
      <c r="C1343" s="17">
        <v>440</v>
      </c>
      <c r="D1343" s="17" t="s">
        <v>917</v>
      </c>
      <c r="E1343" s="17">
        <f t="shared" si="47"/>
        <v>4557352586758</v>
      </c>
      <c r="F1343" s="17" t="s">
        <v>918</v>
      </c>
      <c r="G1343" s="17">
        <f t="shared" si="48"/>
        <v>21769733076</v>
      </c>
      <c r="H1343" s="17" t="s">
        <v>919</v>
      </c>
      <c r="I1343" s="17">
        <f t="shared" si="46"/>
        <v>21769733076</v>
      </c>
    </row>
    <row r="1344" spans="1:9" x14ac:dyDescent="0.3">
      <c r="A1344" s="17" t="str">
        <f t="shared" si="45"/>
        <v>2000441</v>
      </c>
      <c r="B1344" s="17">
        <v>200</v>
      </c>
      <c r="C1344" s="17">
        <v>441</v>
      </c>
      <c r="D1344" s="17" t="s">
        <v>917</v>
      </c>
      <c r="E1344" s="17">
        <f t="shared" si="47"/>
        <v>4602926112625</v>
      </c>
      <c r="F1344" s="17" t="s">
        <v>918</v>
      </c>
      <c r="G1344" s="17">
        <f t="shared" si="48"/>
        <v>21987430406</v>
      </c>
      <c r="H1344" s="17" t="s">
        <v>919</v>
      </c>
      <c r="I1344" s="17">
        <f t="shared" si="46"/>
        <v>21987430406</v>
      </c>
    </row>
    <row r="1345" spans="1:9" x14ac:dyDescent="0.3">
      <c r="A1345" s="17" t="str">
        <f t="shared" si="45"/>
        <v>2000442</v>
      </c>
      <c r="B1345" s="17">
        <v>200</v>
      </c>
      <c r="C1345" s="17">
        <v>442</v>
      </c>
      <c r="D1345" s="17" t="s">
        <v>917</v>
      </c>
      <c r="E1345" s="17">
        <f t="shared" si="47"/>
        <v>4648955373751</v>
      </c>
      <c r="F1345" s="17" t="s">
        <v>918</v>
      </c>
      <c r="G1345" s="17">
        <f t="shared" si="48"/>
        <v>22207304710</v>
      </c>
      <c r="H1345" s="17" t="s">
        <v>919</v>
      </c>
      <c r="I1345" s="17">
        <f t="shared" si="46"/>
        <v>22207304710</v>
      </c>
    </row>
    <row r="1346" spans="1:9" x14ac:dyDescent="0.3">
      <c r="A1346" s="17" t="str">
        <f t="shared" si="45"/>
        <v>2000443</v>
      </c>
      <c r="B1346" s="17">
        <v>200</v>
      </c>
      <c r="C1346" s="17">
        <v>443</v>
      </c>
      <c r="D1346" s="17" t="s">
        <v>917</v>
      </c>
      <c r="E1346" s="17">
        <f t="shared" si="47"/>
        <v>4695444927488</v>
      </c>
      <c r="F1346" s="17" t="s">
        <v>918</v>
      </c>
      <c r="G1346" s="17">
        <f t="shared" si="48"/>
        <v>22429377757</v>
      </c>
      <c r="H1346" s="17" t="s">
        <v>919</v>
      </c>
      <c r="I1346" s="17">
        <f t="shared" si="46"/>
        <v>22429377757</v>
      </c>
    </row>
    <row r="1347" spans="1:9" x14ac:dyDescent="0.3">
      <c r="A1347" s="17" t="str">
        <f t="shared" si="45"/>
        <v>2000444</v>
      </c>
      <c r="B1347" s="17">
        <v>200</v>
      </c>
      <c r="C1347" s="17">
        <v>444</v>
      </c>
      <c r="D1347" s="17" t="s">
        <v>917</v>
      </c>
      <c r="E1347" s="17">
        <f t="shared" si="47"/>
        <v>4742399376762</v>
      </c>
      <c r="F1347" s="17" t="s">
        <v>918</v>
      </c>
      <c r="G1347" s="17">
        <f t="shared" si="48"/>
        <v>22653671534</v>
      </c>
      <c r="H1347" s="17" t="s">
        <v>919</v>
      </c>
      <c r="I1347" s="17">
        <f t="shared" si="46"/>
        <v>22653671534</v>
      </c>
    </row>
    <row r="1348" spans="1:9" x14ac:dyDescent="0.3">
      <c r="A1348" s="17" t="str">
        <f t="shared" ref="A1348:A1411" si="49">B1348&amp;TEXT(C1348,"0000")</f>
        <v>2000445</v>
      </c>
      <c r="B1348" s="17">
        <v>200</v>
      </c>
      <c r="C1348" s="17">
        <v>445</v>
      </c>
      <c r="D1348" s="17" t="s">
        <v>917</v>
      </c>
      <c r="E1348" s="17">
        <f t="shared" si="47"/>
        <v>4789823370529</v>
      </c>
      <c r="F1348" s="17" t="s">
        <v>918</v>
      </c>
      <c r="G1348" s="17">
        <f t="shared" si="48"/>
        <v>22880208249</v>
      </c>
      <c r="H1348" s="17" t="s">
        <v>919</v>
      </c>
      <c r="I1348" s="17">
        <f t="shared" si="46"/>
        <v>22880208249</v>
      </c>
    </row>
    <row r="1349" spans="1:9" x14ac:dyDescent="0.3">
      <c r="A1349" s="17" t="str">
        <f t="shared" si="49"/>
        <v>2000446</v>
      </c>
      <c r="B1349" s="17">
        <v>200</v>
      </c>
      <c r="C1349" s="17">
        <v>446</v>
      </c>
      <c r="D1349" s="17" t="s">
        <v>917</v>
      </c>
      <c r="E1349" s="17">
        <f t="shared" si="47"/>
        <v>4837721604234</v>
      </c>
      <c r="F1349" s="17" t="s">
        <v>918</v>
      </c>
      <c r="G1349" s="17">
        <f t="shared" si="48"/>
        <v>23109010331</v>
      </c>
      <c r="H1349" s="17" t="s">
        <v>919</v>
      </c>
      <c r="I1349" s="17">
        <f t="shared" si="46"/>
        <v>23109010331</v>
      </c>
    </row>
    <row r="1350" spans="1:9" x14ac:dyDescent="0.3">
      <c r="A1350" s="17" t="str">
        <f t="shared" si="49"/>
        <v>2000447</v>
      </c>
      <c r="B1350" s="17">
        <v>200</v>
      </c>
      <c r="C1350" s="17">
        <v>447</v>
      </c>
      <c r="D1350" s="17" t="s">
        <v>917</v>
      </c>
      <c r="E1350" s="17">
        <f t="shared" si="47"/>
        <v>4886098820276</v>
      </c>
      <c r="F1350" s="17" t="s">
        <v>918</v>
      </c>
      <c r="G1350" s="17">
        <f t="shared" si="48"/>
        <v>23340100434</v>
      </c>
      <c r="H1350" s="17" t="s">
        <v>919</v>
      </c>
      <c r="I1350" s="17">
        <f t="shared" si="46"/>
        <v>23340100434</v>
      </c>
    </row>
    <row r="1351" spans="1:9" x14ac:dyDescent="0.3">
      <c r="A1351" s="17" t="str">
        <f t="shared" si="49"/>
        <v>2000448</v>
      </c>
      <c r="B1351" s="17">
        <v>200</v>
      </c>
      <c r="C1351" s="17">
        <v>448</v>
      </c>
      <c r="D1351" s="17" t="s">
        <v>917</v>
      </c>
      <c r="E1351" s="17">
        <f t="shared" si="47"/>
        <v>4934959808478</v>
      </c>
      <c r="F1351" s="17" t="s">
        <v>918</v>
      </c>
      <c r="G1351" s="17">
        <f t="shared" si="48"/>
        <v>23573501438</v>
      </c>
      <c r="H1351" s="17" t="s">
        <v>919</v>
      </c>
      <c r="I1351" s="17">
        <f t="shared" si="46"/>
        <v>23573501438</v>
      </c>
    </row>
    <row r="1352" spans="1:9" x14ac:dyDescent="0.3">
      <c r="A1352" s="17" t="str">
        <f t="shared" si="49"/>
        <v>2000449</v>
      </c>
      <c r="B1352" s="17">
        <v>200</v>
      </c>
      <c r="C1352" s="17">
        <v>449</v>
      </c>
      <c r="D1352" s="17" t="s">
        <v>917</v>
      </c>
      <c r="E1352" s="17">
        <f t="shared" si="47"/>
        <v>4984309406562</v>
      </c>
      <c r="F1352" s="17" t="s">
        <v>918</v>
      </c>
      <c r="G1352" s="17">
        <f t="shared" si="48"/>
        <v>23809236452</v>
      </c>
      <c r="H1352" s="17" t="s">
        <v>919</v>
      </c>
      <c r="I1352" s="17">
        <f t="shared" si="46"/>
        <v>23809236452</v>
      </c>
    </row>
    <row r="1353" spans="1:9" x14ac:dyDescent="0.3">
      <c r="A1353" s="17" t="str">
        <f t="shared" si="49"/>
        <v>2000450</v>
      </c>
      <c r="B1353" s="17">
        <v>200</v>
      </c>
      <c r="C1353" s="17">
        <v>450</v>
      </c>
      <c r="D1353" s="17" t="s">
        <v>917</v>
      </c>
      <c r="E1353" s="17">
        <f t="shared" si="47"/>
        <v>5034152500627</v>
      </c>
      <c r="F1353" s="17" t="s">
        <v>918</v>
      </c>
      <c r="G1353" s="17">
        <f t="shared" si="48"/>
        <v>24047328816</v>
      </c>
      <c r="H1353" s="17" t="s">
        <v>919</v>
      </c>
      <c r="I1353" s="17">
        <f t="shared" ref="I1353:I1416" si="50">G1353</f>
        <v>24047328816</v>
      </c>
    </row>
    <row r="1354" spans="1:9" x14ac:dyDescent="0.3">
      <c r="A1354" s="17" t="str">
        <f t="shared" si="49"/>
        <v>2000451</v>
      </c>
      <c r="B1354" s="17">
        <v>200</v>
      </c>
      <c r="C1354" s="17">
        <v>451</v>
      </c>
      <c r="D1354" s="17" t="s">
        <v>917</v>
      </c>
      <c r="E1354" s="17">
        <f t="shared" si="47"/>
        <v>5084494025633</v>
      </c>
      <c r="F1354" s="17" t="s">
        <v>918</v>
      </c>
      <c r="G1354" s="17">
        <f t="shared" si="48"/>
        <v>24287802104</v>
      </c>
      <c r="H1354" s="17" t="s">
        <v>919</v>
      </c>
      <c r="I1354" s="17">
        <f t="shared" si="50"/>
        <v>24287802104</v>
      </c>
    </row>
    <row r="1355" spans="1:9" x14ac:dyDescent="0.3">
      <c r="A1355" s="17" t="str">
        <f t="shared" si="49"/>
        <v>2000452</v>
      </c>
      <c r="B1355" s="17">
        <v>200</v>
      </c>
      <c r="C1355" s="17">
        <v>452</v>
      </c>
      <c r="D1355" s="17" t="s">
        <v>917</v>
      </c>
      <c r="E1355" s="17">
        <f t="shared" si="47"/>
        <v>5135338965889</v>
      </c>
      <c r="F1355" s="17" t="s">
        <v>918</v>
      </c>
      <c r="G1355" s="17">
        <f t="shared" si="48"/>
        <v>24530680125</v>
      </c>
      <c r="H1355" s="17" t="s">
        <v>919</v>
      </c>
      <c r="I1355" s="17">
        <f t="shared" si="50"/>
        <v>24530680125</v>
      </c>
    </row>
    <row r="1356" spans="1:9" x14ac:dyDescent="0.3">
      <c r="A1356" s="17" t="str">
        <f t="shared" si="49"/>
        <v>2000453</v>
      </c>
      <c r="B1356" s="17">
        <v>200</v>
      </c>
      <c r="C1356" s="17">
        <v>453</v>
      </c>
      <c r="D1356" s="17" t="s">
        <v>917</v>
      </c>
      <c r="E1356" s="17">
        <f t="shared" si="47"/>
        <v>5186692355547</v>
      </c>
      <c r="F1356" s="17" t="s">
        <v>918</v>
      </c>
      <c r="G1356" s="17">
        <f t="shared" si="48"/>
        <v>24775986926</v>
      </c>
      <c r="H1356" s="17" t="s">
        <v>919</v>
      </c>
      <c r="I1356" s="17">
        <f t="shared" si="50"/>
        <v>24775986926</v>
      </c>
    </row>
    <row r="1357" spans="1:9" x14ac:dyDescent="0.3">
      <c r="A1357" s="17" t="str">
        <f t="shared" si="49"/>
        <v>2000454</v>
      </c>
      <c r="B1357" s="17">
        <v>200</v>
      </c>
      <c r="C1357" s="17">
        <v>454</v>
      </c>
      <c r="D1357" s="17" t="s">
        <v>917</v>
      </c>
      <c r="E1357" s="17">
        <f t="shared" si="47"/>
        <v>5238559279102</v>
      </c>
      <c r="F1357" s="17" t="s">
        <v>918</v>
      </c>
      <c r="G1357" s="17">
        <f t="shared" si="48"/>
        <v>25023746795</v>
      </c>
      <c r="H1357" s="17" t="s">
        <v>919</v>
      </c>
      <c r="I1357" s="17">
        <f t="shared" si="50"/>
        <v>25023746795</v>
      </c>
    </row>
    <row r="1358" spans="1:9" x14ac:dyDescent="0.3">
      <c r="A1358" s="17" t="str">
        <f t="shared" si="49"/>
        <v>2000455</v>
      </c>
      <c r="B1358" s="17">
        <v>200</v>
      </c>
      <c r="C1358" s="17">
        <v>455</v>
      </c>
      <c r="D1358" s="17" t="s">
        <v>917</v>
      </c>
      <c r="E1358" s="17">
        <f t="shared" si="47"/>
        <v>5290944871893</v>
      </c>
      <c r="F1358" s="17" t="s">
        <v>918</v>
      </c>
      <c r="G1358" s="17">
        <f t="shared" si="48"/>
        <v>25273984262</v>
      </c>
      <c r="H1358" s="17" t="s">
        <v>919</v>
      </c>
      <c r="I1358" s="17">
        <f t="shared" si="50"/>
        <v>25273984262</v>
      </c>
    </row>
    <row r="1359" spans="1:9" x14ac:dyDescent="0.3">
      <c r="A1359" s="17" t="str">
        <f t="shared" si="49"/>
        <v>2000456</v>
      </c>
      <c r="B1359" s="17">
        <v>200</v>
      </c>
      <c r="C1359" s="17">
        <v>456</v>
      </c>
      <c r="D1359" s="17" t="s">
        <v>917</v>
      </c>
      <c r="E1359" s="17">
        <f t="shared" si="47"/>
        <v>5343854320611</v>
      </c>
      <c r="F1359" s="17" t="s">
        <v>918</v>
      </c>
      <c r="G1359" s="17">
        <f t="shared" si="48"/>
        <v>25526724104</v>
      </c>
      <c r="H1359" s="17" t="s">
        <v>919</v>
      </c>
      <c r="I1359" s="17">
        <f t="shared" si="50"/>
        <v>25526724104</v>
      </c>
    </row>
    <row r="1360" spans="1:9" x14ac:dyDescent="0.3">
      <c r="A1360" s="17" t="str">
        <f t="shared" si="49"/>
        <v>2000457</v>
      </c>
      <c r="B1360" s="17">
        <v>200</v>
      </c>
      <c r="C1360" s="17">
        <v>457</v>
      </c>
      <c r="D1360" s="17" t="s">
        <v>917</v>
      </c>
      <c r="E1360" s="17">
        <f t="shared" si="47"/>
        <v>5397292863817</v>
      </c>
      <c r="F1360" s="17" t="s">
        <v>918</v>
      </c>
      <c r="G1360" s="17">
        <f t="shared" si="48"/>
        <v>25781991345</v>
      </c>
      <c r="H1360" s="17" t="s">
        <v>919</v>
      </c>
      <c r="I1360" s="17">
        <f t="shared" si="50"/>
        <v>25781991345</v>
      </c>
    </row>
    <row r="1361" spans="1:9" x14ac:dyDescent="0.3">
      <c r="A1361" s="17" t="str">
        <f t="shared" si="49"/>
        <v>2000458</v>
      </c>
      <c r="B1361" s="17">
        <v>200</v>
      </c>
      <c r="C1361" s="17">
        <v>458</v>
      </c>
      <c r="D1361" s="17" t="s">
        <v>917</v>
      </c>
      <c r="E1361" s="17">
        <f t="shared" si="47"/>
        <v>5451265792455</v>
      </c>
      <c r="F1361" s="17" t="s">
        <v>918</v>
      </c>
      <c r="G1361" s="17">
        <f t="shared" si="48"/>
        <v>26039811258</v>
      </c>
      <c r="H1361" s="17" t="s">
        <v>919</v>
      </c>
      <c r="I1361" s="17">
        <f t="shared" si="50"/>
        <v>26039811258</v>
      </c>
    </row>
    <row r="1362" spans="1:9" x14ac:dyDescent="0.3">
      <c r="A1362" s="17" t="str">
        <f t="shared" si="49"/>
        <v>2000459</v>
      </c>
      <c r="B1362" s="17">
        <v>200</v>
      </c>
      <c r="C1362" s="17">
        <v>459</v>
      </c>
      <c r="D1362" s="17" t="s">
        <v>917</v>
      </c>
      <c r="E1362" s="17">
        <f t="shared" si="47"/>
        <v>5505778450379</v>
      </c>
      <c r="F1362" s="17" t="s">
        <v>918</v>
      </c>
      <c r="G1362" s="17">
        <f t="shared" si="48"/>
        <v>26300209370</v>
      </c>
      <c r="H1362" s="17" t="s">
        <v>919</v>
      </c>
      <c r="I1362" s="17">
        <f t="shared" si="50"/>
        <v>26300209370</v>
      </c>
    </row>
    <row r="1363" spans="1:9" x14ac:dyDescent="0.3">
      <c r="A1363" s="17" t="str">
        <f t="shared" si="49"/>
        <v>2000460</v>
      </c>
      <c r="B1363" s="17">
        <v>200</v>
      </c>
      <c r="C1363" s="17">
        <v>460</v>
      </c>
      <c r="D1363" s="17" t="s">
        <v>917</v>
      </c>
      <c r="E1363" s="17">
        <f t="shared" si="47"/>
        <v>5560836234882</v>
      </c>
      <c r="F1363" s="17" t="s">
        <v>918</v>
      </c>
      <c r="G1363" s="17">
        <f t="shared" si="48"/>
        <v>26563211463</v>
      </c>
      <c r="H1363" s="17" t="s">
        <v>919</v>
      </c>
      <c r="I1363" s="17">
        <f t="shared" si="50"/>
        <v>26563211463</v>
      </c>
    </row>
    <row r="1364" spans="1:9" x14ac:dyDescent="0.3">
      <c r="A1364" s="17" t="str">
        <f t="shared" si="49"/>
        <v>2000461</v>
      </c>
      <c r="B1364" s="17">
        <v>200</v>
      </c>
      <c r="C1364" s="17">
        <v>461</v>
      </c>
      <c r="D1364" s="17" t="s">
        <v>917</v>
      </c>
      <c r="E1364" s="17">
        <f t="shared" si="47"/>
        <v>5616444597230</v>
      </c>
      <c r="F1364" s="17" t="s">
        <v>918</v>
      </c>
      <c r="G1364" s="17">
        <f t="shared" si="48"/>
        <v>26828843577</v>
      </c>
      <c r="H1364" s="17" t="s">
        <v>919</v>
      </c>
      <c r="I1364" s="17">
        <f t="shared" si="50"/>
        <v>26828843577</v>
      </c>
    </row>
    <row r="1365" spans="1:9" x14ac:dyDescent="0.3">
      <c r="A1365" s="17" t="str">
        <f t="shared" si="49"/>
        <v>2000462</v>
      </c>
      <c r="B1365" s="17">
        <v>200</v>
      </c>
      <c r="C1365" s="17">
        <v>462</v>
      </c>
      <c r="D1365" s="17" t="s">
        <v>917</v>
      </c>
      <c r="E1365" s="17">
        <f t="shared" si="47"/>
        <v>5672609043202</v>
      </c>
      <c r="F1365" s="17" t="s">
        <v>918</v>
      </c>
      <c r="G1365" s="17">
        <f t="shared" si="48"/>
        <v>27097132012</v>
      </c>
      <c r="H1365" s="17" t="s">
        <v>919</v>
      </c>
      <c r="I1365" s="17">
        <f t="shared" si="50"/>
        <v>27097132012</v>
      </c>
    </row>
    <row r="1366" spans="1:9" x14ac:dyDescent="0.3">
      <c r="A1366" s="17" t="str">
        <f t="shared" si="49"/>
        <v>2000463</v>
      </c>
      <c r="B1366" s="17">
        <v>200</v>
      </c>
      <c r="C1366" s="17">
        <v>463</v>
      </c>
      <c r="D1366" s="17" t="s">
        <v>917</v>
      </c>
      <c r="E1366" s="17">
        <f t="shared" si="47"/>
        <v>5729335133634</v>
      </c>
      <c r="F1366" s="17" t="s">
        <v>918</v>
      </c>
      <c r="G1366" s="17">
        <f t="shared" si="48"/>
        <v>27368103332</v>
      </c>
      <c r="H1366" s="17" t="s">
        <v>919</v>
      </c>
      <c r="I1366" s="17">
        <f t="shared" si="50"/>
        <v>27368103332</v>
      </c>
    </row>
    <row r="1367" spans="1:9" x14ac:dyDescent="0.3">
      <c r="A1367" s="17" t="str">
        <f t="shared" si="49"/>
        <v>2000464</v>
      </c>
      <c r="B1367" s="17">
        <v>200</v>
      </c>
      <c r="C1367" s="17">
        <v>464</v>
      </c>
      <c r="D1367" s="17" t="s">
        <v>917</v>
      </c>
      <c r="E1367" s="17">
        <f t="shared" si="47"/>
        <v>5786628484970</v>
      </c>
      <c r="F1367" s="17" t="s">
        <v>918</v>
      </c>
      <c r="G1367" s="17">
        <f t="shared" si="48"/>
        <v>27641784365</v>
      </c>
      <c r="H1367" s="17" t="s">
        <v>919</v>
      </c>
      <c r="I1367" s="17">
        <f t="shared" si="50"/>
        <v>27641784365</v>
      </c>
    </row>
    <row r="1368" spans="1:9" x14ac:dyDescent="0.3">
      <c r="A1368" s="17" t="str">
        <f t="shared" si="49"/>
        <v>2000465</v>
      </c>
      <c r="B1368" s="17">
        <v>200</v>
      </c>
      <c r="C1368" s="17">
        <v>465</v>
      </c>
      <c r="D1368" s="17" t="s">
        <v>917</v>
      </c>
      <c r="E1368" s="17">
        <f t="shared" si="47"/>
        <v>5844494769819</v>
      </c>
      <c r="F1368" s="17" t="s">
        <v>918</v>
      </c>
      <c r="G1368" s="17">
        <f t="shared" si="48"/>
        <v>27918202208</v>
      </c>
      <c r="H1368" s="17" t="s">
        <v>919</v>
      </c>
      <c r="I1368" s="17">
        <f t="shared" si="50"/>
        <v>27918202208</v>
      </c>
    </row>
    <row r="1369" spans="1:9" x14ac:dyDescent="0.3">
      <c r="A1369" s="17" t="str">
        <f t="shared" si="49"/>
        <v>2000466</v>
      </c>
      <c r="B1369" s="17">
        <v>200</v>
      </c>
      <c r="C1369" s="17">
        <v>466</v>
      </c>
      <c r="D1369" s="17" t="s">
        <v>917</v>
      </c>
      <c r="E1369" s="17">
        <f t="shared" si="47"/>
        <v>5902939717517</v>
      </c>
      <c r="F1369" s="17" t="s">
        <v>918</v>
      </c>
      <c r="G1369" s="17">
        <f t="shared" si="48"/>
        <v>28197384230</v>
      </c>
      <c r="H1369" s="17" t="s">
        <v>919</v>
      </c>
      <c r="I1369" s="17">
        <f t="shared" si="50"/>
        <v>28197384230</v>
      </c>
    </row>
    <row r="1370" spans="1:9" x14ac:dyDescent="0.3">
      <c r="A1370" s="17" t="str">
        <f t="shared" si="49"/>
        <v>2000467</v>
      </c>
      <c r="B1370" s="17">
        <v>200</v>
      </c>
      <c r="C1370" s="17">
        <v>467</v>
      </c>
      <c r="D1370" s="17" t="s">
        <v>917</v>
      </c>
      <c r="E1370" s="17">
        <f t="shared" si="47"/>
        <v>5961969114692</v>
      </c>
      <c r="F1370" s="17" t="s">
        <v>918</v>
      </c>
      <c r="G1370" s="17">
        <f t="shared" si="48"/>
        <v>28479358072</v>
      </c>
      <c r="H1370" s="17" t="s">
        <v>919</v>
      </c>
      <c r="I1370" s="17">
        <f t="shared" si="50"/>
        <v>28479358072</v>
      </c>
    </row>
    <row r="1371" spans="1:9" x14ac:dyDescent="0.3">
      <c r="A1371" s="17" t="str">
        <f t="shared" si="49"/>
        <v>2000468</v>
      </c>
      <c r="B1371" s="17">
        <v>200</v>
      </c>
      <c r="C1371" s="17">
        <v>468</v>
      </c>
      <c r="D1371" s="17" t="s">
        <v>917</v>
      </c>
      <c r="E1371" s="17">
        <f t="shared" si="47"/>
        <v>6021588805838</v>
      </c>
      <c r="F1371" s="17" t="s">
        <v>918</v>
      </c>
      <c r="G1371" s="17">
        <f t="shared" si="48"/>
        <v>28764151652</v>
      </c>
      <c r="H1371" s="17" t="s">
        <v>919</v>
      </c>
      <c r="I1371" s="17">
        <f t="shared" si="50"/>
        <v>28764151652</v>
      </c>
    </row>
    <row r="1372" spans="1:9" x14ac:dyDescent="0.3">
      <c r="A1372" s="17" t="str">
        <f t="shared" si="49"/>
        <v>2000469</v>
      </c>
      <c r="B1372" s="17">
        <v>200</v>
      </c>
      <c r="C1372" s="17">
        <v>469</v>
      </c>
      <c r="D1372" s="17" t="s">
        <v>917</v>
      </c>
      <c r="E1372" s="17">
        <f t="shared" si="47"/>
        <v>6081804693896</v>
      </c>
      <c r="F1372" s="17" t="s">
        <v>918</v>
      </c>
      <c r="G1372" s="17">
        <f t="shared" si="48"/>
        <v>29051793168</v>
      </c>
      <c r="H1372" s="17" t="s">
        <v>919</v>
      </c>
      <c r="I1372" s="17">
        <f t="shared" si="50"/>
        <v>29051793168</v>
      </c>
    </row>
    <row r="1373" spans="1:9" x14ac:dyDescent="0.3">
      <c r="A1373" s="17" t="str">
        <f t="shared" si="49"/>
        <v>2000470</v>
      </c>
      <c r="B1373" s="17">
        <v>200</v>
      </c>
      <c r="C1373" s="17">
        <v>470</v>
      </c>
      <c r="D1373" s="17" t="s">
        <v>917</v>
      </c>
      <c r="E1373" s="17">
        <f t="shared" si="47"/>
        <v>6142622740834</v>
      </c>
      <c r="F1373" s="17" t="s">
        <v>918</v>
      </c>
      <c r="G1373" s="17">
        <f t="shared" si="48"/>
        <v>29342311099</v>
      </c>
      <c r="H1373" s="17" t="s">
        <v>919</v>
      </c>
      <c r="I1373" s="17">
        <f t="shared" si="50"/>
        <v>29342311099</v>
      </c>
    </row>
    <row r="1374" spans="1:9" x14ac:dyDescent="0.3">
      <c r="A1374" s="17" t="str">
        <f t="shared" si="49"/>
        <v>2000471</v>
      </c>
      <c r="B1374" s="17">
        <v>200</v>
      </c>
      <c r="C1374" s="17">
        <v>471</v>
      </c>
      <c r="D1374" s="17" t="s">
        <v>917</v>
      </c>
      <c r="E1374" s="17">
        <f t="shared" si="47"/>
        <v>6204048968242</v>
      </c>
      <c r="F1374" s="17" t="s">
        <v>918</v>
      </c>
      <c r="G1374" s="17">
        <f t="shared" si="48"/>
        <v>29635734209</v>
      </c>
      <c r="H1374" s="17" t="s">
        <v>919</v>
      </c>
      <c r="I1374" s="17">
        <f t="shared" si="50"/>
        <v>29635734209</v>
      </c>
    </row>
    <row r="1375" spans="1:9" x14ac:dyDescent="0.3">
      <c r="A1375" s="17" t="str">
        <f t="shared" si="49"/>
        <v>2000472</v>
      </c>
      <c r="B1375" s="17">
        <v>200</v>
      </c>
      <c r="C1375" s="17">
        <v>472</v>
      </c>
      <c r="D1375" s="17" t="s">
        <v>917</v>
      </c>
      <c r="E1375" s="17">
        <f t="shared" si="47"/>
        <v>6266089457924</v>
      </c>
      <c r="F1375" s="17" t="s">
        <v>918</v>
      </c>
      <c r="G1375" s="17">
        <f t="shared" si="48"/>
        <v>29932091551</v>
      </c>
      <c r="H1375" s="17" t="s">
        <v>919</v>
      </c>
      <c r="I1375" s="17">
        <f t="shared" si="50"/>
        <v>29932091551</v>
      </c>
    </row>
    <row r="1376" spans="1:9" x14ac:dyDescent="0.3">
      <c r="A1376" s="17" t="str">
        <f t="shared" si="49"/>
        <v>2000473</v>
      </c>
      <c r="B1376" s="17">
        <v>200</v>
      </c>
      <c r="C1376" s="17">
        <v>473</v>
      </c>
      <c r="D1376" s="17" t="s">
        <v>917</v>
      </c>
      <c r="E1376" s="17">
        <f t="shared" si="47"/>
        <v>6328750352503</v>
      </c>
      <c r="F1376" s="17" t="s">
        <v>918</v>
      </c>
      <c r="G1376" s="17">
        <f t="shared" si="48"/>
        <v>30231412466</v>
      </c>
      <c r="H1376" s="17" t="s">
        <v>919</v>
      </c>
      <c r="I1376" s="17">
        <f t="shared" si="50"/>
        <v>30231412466</v>
      </c>
    </row>
    <row r="1377" spans="1:9" x14ac:dyDescent="0.3">
      <c r="A1377" s="17" t="str">
        <f t="shared" si="49"/>
        <v>2000474</v>
      </c>
      <c r="B1377" s="17">
        <v>200</v>
      </c>
      <c r="C1377" s="17">
        <v>474</v>
      </c>
      <c r="D1377" s="17" t="s">
        <v>917</v>
      </c>
      <c r="E1377" s="17">
        <f t="shared" si="47"/>
        <v>6392037856028</v>
      </c>
      <c r="F1377" s="17" t="s">
        <v>918</v>
      </c>
      <c r="G1377" s="17">
        <f t="shared" si="48"/>
        <v>30533726590</v>
      </c>
      <c r="H1377" s="17" t="s">
        <v>919</v>
      </c>
      <c r="I1377" s="17">
        <f t="shared" si="50"/>
        <v>30533726590</v>
      </c>
    </row>
    <row r="1378" spans="1:9" x14ac:dyDescent="0.3">
      <c r="A1378" s="17" t="str">
        <f t="shared" si="49"/>
        <v>2000475</v>
      </c>
      <c r="B1378" s="17">
        <v>200</v>
      </c>
      <c r="C1378" s="17">
        <v>475</v>
      </c>
      <c r="D1378" s="17" t="s">
        <v>917</v>
      </c>
      <c r="E1378" s="17">
        <f t="shared" si="47"/>
        <v>6455958234588</v>
      </c>
      <c r="F1378" s="17" t="s">
        <v>918</v>
      </c>
      <c r="G1378" s="17">
        <f t="shared" si="48"/>
        <v>30839063855</v>
      </c>
      <c r="H1378" s="17" t="s">
        <v>919</v>
      </c>
      <c r="I1378" s="17">
        <f t="shared" si="50"/>
        <v>30839063855</v>
      </c>
    </row>
    <row r="1379" spans="1:9" x14ac:dyDescent="0.3">
      <c r="A1379" s="17" t="str">
        <f t="shared" si="49"/>
        <v>2000476</v>
      </c>
      <c r="B1379" s="17">
        <v>200</v>
      </c>
      <c r="C1379" s="17">
        <v>476</v>
      </c>
      <c r="D1379" s="17" t="s">
        <v>917</v>
      </c>
      <c r="E1379" s="17">
        <f t="shared" si="47"/>
        <v>6520517816933</v>
      </c>
      <c r="F1379" s="17" t="s">
        <v>918</v>
      </c>
      <c r="G1379" s="17">
        <f t="shared" si="48"/>
        <v>31147454493</v>
      </c>
      <c r="H1379" s="17" t="s">
        <v>919</v>
      </c>
      <c r="I1379" s="17">
        <f t="shared" si="50"/>
        <v>31147454493</v>
      </c>
    </row>
    <row r="1380" spans="1:9" x14ac:dyDescent="0.3">
      <c r="A1380" s="17" t="str">
        <f t="shared" si="49"/>
        <v>2000477</v>
      </c>
      <c r="B1380" s="17">
        <v>200</v>
      </c>
      <c r="C1380" s="17">
        <v>477</v>
      </c>
      <c r="D1380" s="17" t="s">
        <v>917</v>
      </c>
      <c r="E1380" s="17">
        <f t="shared" si="47"/>
        <v>6585722995102</v>
      </c>
      <c r="F1380" s="17" t="s">
        <v>918</v>
      </c>
      <c r="G1380" s="17">
        <f t="shared" si="48"/>
        <v>31458929037</v>
      </c>
      <c r="H1380" s="17" t="s">
        <v>919</v>
      </c>
      <c r="I1380" s="17">
        <f t="shared" si="50"/>
        <v>31458929037</v>
      </c>
    </row>
    <row r="1381" spans="1:9" x14ac:dyDescent="0.3">
      <c r="A1381" s="17" t="str">
        <f t="shared" si="49"/>
        <v>2000478</v>
      </c>
      <c r="B1381" s="17">
        <v>200</v>
      </c>
      <c r="C1381" s="17">
        <v>478</v>
      </c>
      <c r="D1381" s="17" t="s">
        <v>917</v>
      </c>
      <c r="E1381" s="17">
        <f t="shared" si="47"/>
        <v>6651580225053</v>
      </c>
      <c r="F1381" s="17" t="s">
        <v>918</v>
      </c>
      <c r="G1381" s="17">
        <f t="shared" si="48"/>
        <v>31773518327</v>
      </c>
      <c r="H1381" s="17" t="s">
        <v>919</v>
      </c>
      <c r="I1381" s="17">
        <f t="shared" si="50"/>
        <v>31773518327</v>
      </c>
    </row>
    <row r="1382" spans="1:9" x14ac:dyDescent="0.3">
      <c r="A1382" s="17" t="str">
        <f t="shared" si="49"/>
        <v>2000479</v>
      </c>
      <c r="B1382" s="17">
        <v>200</v>
      </c>
      <c r="C1382" s="17">
        <v>479</v>
      </c>
      <c r="D1382" s="17" t="s">
        <v>917</v>
      </c>
      <c r="E1382" s="17">
        <f t="shared" si="47"/>
        <v>6718096027303</v>
      </c>
      <c r="F1382" s="17" t="s">
        <v>918</v>
      </c>
      <c r="G1382" s="17">
        <f t="shared" si="48"/>
        <v>32091253510</v>
      </c>
      <c r="H1382" s="17" t="s">
        <v>919</v>
      </c>
      <c r="I1382" s="17">
        <f t="shared" si="50"/>
        <v>32091253510</v>
      </c>
    </row>
    <row r="1383" spans="1:9" x14ac:dyDescent="0.3">
      <c r="A1383" s="17" t="str">
        <f t="shared" si="49"/>
        <v>2000480</v>
      </c>
      <c r="B1383" s="17">
        <v>200</v>
      </c>
      <c r="C1383" s="17">
        <v>480</v>
      </c>
      <c r="D1383" s="17" t="s">
        <v>917</v>
      </c>
      <c r="E1383" s="17">
        <f t="shared" si="47"/>
        <v>6785276987576</v>
      </c>
      <c r="F1383" s="17" t="s">
        <v>918</v>
      </c>
      <c r="G1383" s="17">
        <f t="shared" si="48"/>
        <v>32412166045</v>
      </c>
      <c r="H1383" s="17" t="s">
        <v>919</v>
      </c>
      <c r="I1383" s="17">
        <f t="shared" si="50"/>
        <v>32412166045</v>
      </c>
    </row>
    <row r="1384" spans="1:9" x14ac:dyDescent="0.3">
      <c r="A1384" s="17" t="str">
        <f t="shared" si="49"/>
        <v>2000481</v>
      </c>
      <c r="B1384" s="17">
        <v>200</v>
      </c>
      <c r="C1384" s="17">
        <v>481</v>
      </c>
      <c r="D1384" s="17" t="s">
        <v>917</v>
      </c>
      <c r="E1384" s="17">
        <f t="shared" si="47"/>
        <v>6853129757451</v>
      </c>
      <c r="F1384" s="17" t="s">
        <v>918</v>
      </c>
      <c r="G1384" s="17">
        <f t="shared" si="48"/>
        <v>32736287705</v>
      </c>
      <c r="H1384" s="17" t="s">
        <v>919</v>
      </c>
      <c r="I1384" s="17">
        <f t="shared" si="50"/>
        <v>32736287705</v>
      </c>
    </row>
    <row r="1385" spans="1:9" x14ac:dyDescent="0.3">
      <c r="A1385" s="17" t="str">
        <f t="shared" si="49"/>
        <v>2000482</v>
      </c>
      <c r="B1385" s="17">
        <v>200</v>
      </c>
      <c r="C1385" s="17">
        <v>482</v>
      </c>
      <c r="D1385" s="17" t="s">
        <v>917</v>
      </c>
      <c r="E1385" s="17">
        <f t="shared" si="47"/>
        <v>6921661055025</v>
      </c>
      <c r="F1385" s="17" t="s">
        <v>918</v>
      </c>
      <c r="G1385" s="17">
        <f t="shared" si="48"/>
        <v>33063650582</v>
      </c>
      <c r="H1385" s="17" t="s">
        <v>919</v>
      </c>
      <c r="I1385" s="17">
        <f t="shared" si="50"/>
        <v>33063650582</v>
      </c>
    </row>
    <row r="1386" spans="1:9" x14ac:dyDescent="0.3">
      <c r="A1386" s="17" t="str">
        <f t="shared" si="49"/>
        <v>2000483</v>
      </c>
      <c r="B1386" s="17">
        <v>200</v>
      </c>
      <c r="C1386" s="17">
        <v>483</v>
      </c>
      <c r="D1386" s="17" t="s">
        <v>917</v>
      </c>
      <c r="E1386" s="17">
        <f t="shared" si="47"/>
        <v>6990877665575</v>
      </c>
      <c r="F1386" s="17" t="s">
        <v>918</v>
      </c>
      <c r="G1386" s="17">
        <f t="shared" si="48"/>
        <v>33394287087</v>
      </c>
      <c r="H1386" s="17" t="s">
        <v>919</v>
      </c>
      <c r="I1386" s="17">
        <f t="shared" si="50"/>
        <v>33394287087</v>
      </c>
    </row>
    <row r="1387" spans="1:9" x14ac:dyDescent="0.3">
      <c r="A1387" s="17" t="str">
        <f t="shared" si="49"/>
        <v>2000484</v>
      </c>
      <c r="B1387" s="17">
        <v>200</v>
      </c>
      <c r="C1387" s="17">
        <v>484</v>
      </c>
      <c r="D1387" s="17" t="s">
        <v>917</v>
      </c>
      <c r="E1387" s="17">
        <f t="shared" si="47"/>
        <v>7060786442230</v>
      </c>
      <c r="F1387" s="17" t="s">
        <v>918</v>
      </c>
      <c r="G1387" s="17">
        <f t="shared" si="48"/>
        <v>33728229957</v>
      </c>
      <c r="H1387" s="17" t="s">
        <v>919</v>
      </c>
      <c r="I1387" s="17">
        <f t="shared" si="50"/>
        <v>33728229957</v>
      </c>
    </row>
    <row r="1388" spans="1:9" x14ac:dyDescent="0.3">
      <c r="A1388" s="17" t="str">
        <f t="shared" si="49"/>
        <v>2000485</v>
      </c>
      <c r="B1388" s="17">
        <v>200</v>
      </c>
      <c r="C1388" s="17">
        <v>485</v>
      </c>
      <c r="D1388" s="17" t="s">
        <v>917</v>
      </c>
      <c r="E1388" s="17">
        <f t="shared" si="47"/>
        <v>7131394306652</v>
      </c>
      <c r="F1388" s="17" t="s">
        <v>918</v>
      </c>
      <c r="G1388" s="17">
        <f t="shared" si="48"/>
        <v>34065512256</v>
      </c>
      <c r="H1388" s="17" t="s">
        <v>919</v>
      </c>
      <c r="I1388" s="17">
        <f t="shared" si="50"/>
        <v>34065512256</v>
      </c>
    </row>
    <row r="1389" spans="1:9" x14ac:dyDescent="0.3">
      <c r="A1389" s="17" t="str">
        <f t="shared" si="49"/>
        <v>2000486</v>
      </c>
      <c r="B1389" s="17">
        <v>200</v>
      </c>
      <c r="C1389" s="17">
        <v>486</v>
      </c>
      <c r="D1389" s="17" t="s">
        <v>917</v>
      </c>
      <c r="E1389" s="17">
        <f t="shared" si="47"/>
        <v>7202708249718</v>
      </c>
      <c r="F1389" s="17" t="s">
        <v>918</v>
      </c>
      <c r="G1389" s="17">
        <f t="shared" si="48"/>
        <v>34406167378</v>
      </c>
      <c r="H1389" s="17" t="s">
        <v>919</v>
      </c>
      <c r="I1389" s="17">
        <f t="shared" si="50"/>
        <v>34406167378</v>
      </c>
    </row>
    <row r="1390" spans="1:9" x14ac:dyDescent="0.3">
      <c r="A1390" s="17" t="str">
        <f t="shared" si="49"/>
        <v>2000487</v>
      </c>
      <c r="B1390" s="17">
        <v>200</v>
      </c>
      <c r="C1390" s="17">
        <v>487</v>
      </c>
      <c r="D1390" s="17" t="s">
        <v>917</v>
      </c>
      <c r="E1390" s="17">
        <f t="shared" si="47"/>
        <v>7274735332215</v>
      </c>
      <c r="F1390" s="17" t="s">
        <v>918</v>
      </c>
      <c r="G1390" s="17">
        <f t="shared" si="48"/>
        <v>34750229051</v>
      </c>
      <c r="H1390" s="17" t="s">
        <v>919</v>
      </c>
      <c r="I1390" s="17">
        <f t="shared" si="50"/>
        <v>34750229051</v>
      </c>
    </row>
    <row r="1391" spans="1:9" x14ac:dyDescent="0.3">
      <c r="A1391" s="17" t="str">
        <f t="shared" si="49"/>
        <v>2000488</v>
      </c>
      <c r="B1391" s="17">
        <v>200</v>
      </c>
      <c r="C1391" s="17">
        <v>488</v>
      </c>
      <c r="D1391" s="17" t="s">
        <v>917</v>
      </c>
      <c r="E1391" s="17">
        <f t="shared" si="47"/>
        <v>7347482685537</v>
      </c>
      <c r="F1391" s="17" t="s">
        <v>918</v>
      </c>
      <c r="G1391" s="17">
        <f t="shared" si="48"/>
        <v>35097731341</v>
      </c>
      <c r="H1391" s="17" t="s">
        <v>919</v>
      </c>
      <c r="I1391" s="17">
        <f t="shared" si="50"/>
        <v>35097731341</v>
      </c>
    </row>
    <row r="1392" spans="1:9" x14ac:dyDescent="0.3">
      <c r="A1392" s="17" t="str">
        <f t="shared" si="49"/>
        <v>2000489</v>
      </c>
      <c r="B1392" s="17">
        <v>200</v>
      </c>
      <c r="C1392" s="17">
        <v>489</v>
      </c>
      <c r="D1392" s="17" t="s">
        <v>917</v>
      </c>
      <c r="E1392" s="17">
        <f t="shared" si="47"/>
        <v>7420957512392</v>
      </c>
      <c r="F1392" s="17" t="s">
        <v>918</v>
      </c>
      <c r="G1392" s="17">
        <f t="shared" si="48"/>
        <v>35448708654</v>
      </c>
      <c r="H1392" s="17" t="s">
        <v>919</v>
      </c>
      <c r="I1392" s="17">
        <f t="shared" si="50"/>
        <v>35448708654</v>
      </c>
    </row>
    <row r="1393" spans="1:9" x14ac:dyDescent="0.3">
      <c r="A1393" s="17" t="str">
        <f t="shared" si="49"/>
        <v>2000490</v>
      </c>
      <c r="B1393" s="17">
        <v>200</v>
      </c>
      <c r="C1393" s="17">
        <v>490</v>
      </c>
      <c r="D1393" s="17" t="s">
        <v>917</v>
      </c>
      <c r="E1393" s="17">
        <f t="shared" si="47"/>
        <v>7495167087515</v>
      </c>
      <c r="F1393" s="17" t="s">
        <v>918</v>
      </c>
      <c r="G1393" s="17">
        <f t="shared" si="48"/>
        <v>35803195740</v>
      </c>
      <c r="H1393" s="17" t="s">
        <v>919</v>
      </c>
      <c r="I1393" s="17">
        <f t="shared" si="50"/>
        <v>35803195740</v>
      </c>
    </row>
    <row r="1394" spans="1:9" x14ac:dyDescent="0.3">
      <c r="A1394" s="17" t="str">
        <f t="shared" si="49"/>
        <v>2000491</v>
      </c>
      <c r="B1394" s="17">
        <v>200</v>
      </c>
      <c r="C1394" s="17">
        <v>491</v>
      </c>
      <c r="D1394" s="17" t="s">
        <v>917</v>
      </c>
      <c r="E1394" s="17">
        <f t="shared" si="47"/>
        <v>7570118758390</v>
      </c>
      <c r="F1394" s="17" t="s">
        <v>918</v>
      </c>
      <c r="G1394" s="17">
        <f t="shared" si="48"/>
        <v>36161227697</v>
      </c>
      <c r="H1394" s="17" t="s">
        <v>919</v>
      </c>
      <c r="I1394" s="17">
        <f t="shared" si="50"/>
        <v>36161227697</v>
      </c>
    </row>
    <row r="1395" spans="1:9" x14ac:dyDescent="0.3">
      <c r="A1395" s="17" t="str">
        <f t="shared" si="49"/>
        <v>2000492</v>
      </c>
      <c r="B1395" s="17">
        <v>200</v>
      </c>
      <c r="C1395" s="17">
        <v>492</v>
      </c>
      <c r="D1395" s="17" t="s">
        <v>917</v>
      </c>
      <c r="E1395" s="17">
        <f t="shared" si="47"/>
        <v>7645819945973</v>
      </c>
      <c r="F1395" s="17" t="s">
        <v>918</v>
      </c>
      <c r="G1395" s="17">
        <f t="shared" si="48"/>
        <v>36522839973</v>
      </c>
      <c r="H1395" s="17" t="s">
        <v>919</v>
      </c>
      <c r="I1395" s="17">
        <f t="shared" si="50"/>
        <v>36522839973</v>
      </c>
    </row>
    <row r="1396" spans="1:9" x14ac:dyDescent="0.3">
      <c r="A1396" s="17" t="str">
        <f t="shared" si="49"/>
        <v>2000493</v>
      </c>
      <c r="B1396" s="17">
        <v>200</v>
      </c>
      <c r="C1396" s="17">
        <v>493</v>
      </c>
      <c r="D1396" s="17" t="s">
        <v>917</v>
      </c>
      <c r="E1396" s="17">
        <f t="shared" ref="E1396:E1459" si="51">INT(E1395*1.01)</f>
        <v>7722278145432</v>
      </c>
      <c r="F1396" s="17" t="s">
        <v>918</v>
      </c>
      <c r="G1396" s="17">
        <f t="shared" ref="G1396:G1459" si="52">INT(G1395*1.01)</f>
        <v>36888068372</v>
      </c>
      <c r="H1396" s="17" t="s">
        <v>919</v>
      </c>
      <c r="I1396" s="17">
        <f t="shared" si="50"/>
        <v>36888068372</v>
      </c>
    </row>
    <row r="1397" spans="1:9" x14ac:dyDescent="0.3">
      <c r="A1397" s="17" t="str">
        <f t="shared" si="49"/>
        <v>2000494</v>
      </c>
      <c r="B1397" s="17">
        <v>200</v>
      </c>
      <c r="C1397" s="17">
        <v>494</v>
      </c>
      <c r="D1397" s="17" t="s">
        <v>917</v>
      </c>
      <c r="E1397" s="17">
        <f t="shared" si="51"/>
        <v>7799500926886</v>
      </c>
      <c r="F1397" s="17" t="s">
        <v>918</v>
      </c>
      <c r="G1397" s="17">
        <f t="shared" si="52"/>
        <v>37256949055</v>
      </c>
      <c r="H1397" s="17" t="s">
        <v>919</v>
      </c>
      <c r="I1397" s="17">
        <f t="shared" si="50"/>
        <v>37256949055</v>
      </c>
    </row>
    <row r="1398" spans="1:9" x14ac:dyDescent="0.3">
      <c r="A1398" s="17" t="str">
        <f t="shared" si="49"/>
        <v>2000495</v>
      </c>
      <c r="B1398" s="17">
        <v>200</v>
      </c>
      <c r="C1398" s="17">
        <v>495</v>
      </c>
      <c r="D1398" s="17" t="s">
        <v>917</v>
      </c>
      <c r="E1398" s="17">
        <f t="shared" si="51"/>
        <v>7877495936154</v>
      </c>
      <c r="F1398" s="17" t="s">
        <v>918</v>
      </c>
      <c r="G1398" s="17">
        <f t="shared" si="52"/>
        <v>37629518545</v>
      </c>
      <c r="H1398" s="17" t="s">
        <v>919</v>
      </c>
      <c r="I1398" s="17">
        <f t="shared" si="50"/>
        <v>37629518545</v>
      </c>
    </row>
    <row r="1399" spans="1:9" x14ac:dyDescent="0.3">
      <c r="A1399" s="17" t="str">
        <f t="shared" si="49"/>
        <v>2000496</v>
      </c>
      <c r="B1399" s="17">
        <v>200</v>
      </c>
      <c r="C1399" s="17">
        <v>496</v>
      </c>
      <c r="D1399" s="17" t="s">
        <v>917</v>
      </c>
      <c r="E1399" s="17">
        <f t="shared" si="51"/>
        <v>7956270895515</v>
      </c>
      <c r="F1399" s="17" t="s">
        <v>918</v>
      </c>
      <c r="G1399" s="17">
        <f t="shared" si="52"/>
        <v>38005813730</v>
      </c>
      <c r="H1399" s="17" t="s">
        <v>919</v>
      </c>
      <c r="I1399" s="17">
        <f t="shared" si="50"/>
        <v>38005813730</v>
      </c>
    </row>
    <row r="1400" spans="1:9" x14ac:dyDescent="0.3">
      <c r="A1400" s="17" t="str">
        <f t="shared" si="49"/>
        <v>2000497</v>
      </c>
      <c r="B1400" s="17">
        <v>200</v>
      </c>
      <c r="C1400" s="17">
        <v>497</v>
      </c>
      <c r="D1400" s="17" t="s">
        <v>917</v>
      </c>
      <c r="E1400" s="17">
        <f t="shared" si="51"/>
        <v>8035833604470</v>
      </c>
      <c r="F1400" s="17" t="s">
        <v>918</v>
      </c>
      <c r="G1400" s="17">
        <f t="shared" si="52"/>
        <v>38385871867</v>
      </c>
      <c r="H1400" s="17" t="s">
        <v>919</v>
      </c>
      <c r="I1400" s="17">
        <f t="shared" si="50"/>
        <v>38385871867</v>
      </c>
    </row>
    <row r="1401" spans="1:9" x14ac:dyDescent="0.3">
      <c r="A1401" s="17" t="str">
        <f t="shared" si="49"/>
        <v>2000498</v>
      </c>
      <c r="B1401" s="17">
        <v>200</v>
      </c>
      <c r="C1401" s="17">
        <v>498</v>
      </c>
      <c r="D1401" s="17" t="s">
        <v>917</v>
      </c>
      <c r="E1401" s="17">
        <f t="shared" si="51"/>
        <v>8116191940514</v>
      </c>
      <c r="F1401" s="17" t="s">
        <v>918</v>
      </c>
      <c r="G1401" s="17">
        <f t="shared" si="52"/>
        <v>38769730585</v>
      </c>
      <c r="H1401" s="17" t="s">
        <v>919</v>
      </c>
      <c r="I1401" s="17">
        <f t="shared" si="50"/>
        <v>38769730585</v>
      </c>
    </row>
    <row r="1402" spans="1:9" x14ac:dyDescent="0.3">
      <c r="A1402" s="17" t="str">
        <f t="shared" si="49"/>
        <v>2000499</v>
      </c>
      <c r="B1402" s="17">
        <v>200</v>
      </c>
      <c r="C1402" s="17">
        <v>499</v>
      </c>
      <c r="D1402" s="17" t="s">
        <v>917</v>
      </c>
      <c r="E1402" s="17">
        <f t="shared" si="51"/>
        <v>8197353859919</v>
      </c>
      <c r="F1402" s="17" t="s">
        <v>918</v>
      </c>
      <c r="G1402" s="17">
        <f t="shared" si="52"/>
        <v>39157427890</v>
      </c>
      <c r="H1402" s="17" t="s">
        <v>919</v>
      </c>
      <c r="I1402" s="17">
        <f t="shared" si="50"/>
        <v>39157427890</v>
      </c>
    </row>
    <row r="1403" spans="1:9" x14ac:dyDescent="0.3">
      <c r="A1403" s="17" t="str">
        <f t="shared" si="49"/>
        <v>2000500</v>
      </c>
      <c r="B1403" s="17">
        <v>200</v>
      </c>
      <c r="C1403" s="17">
        <v>500</v>
      </c>
      <c r="D1403" s="17" t="s">
        <v>917</v>
      </c>
      <c r="E1403" s="17">
        <f t="shared" si="51"/>
        <v>8279327398518</v>
      </c>
      <c r="F1403" s="17" t="s">
        <v>918</v>
      </c>
      <c r="G1403" s="17">
        <f t="shared" si="52"/>
        <v>39549002168</v>
      </c>
      <c r="H1403" s="17" t="s">
        <v>919</v>
      </c>
      <c r="I1403" s="17">
        <f t="shared" si="50"/>
        <v>39549002168</v>
      </c>
    </row>
    <row r="1404" spans="1:9" x14ac:dyDescent="0.3">
      <c r="A1404" s="17" t="str">
        <f t="shared" si="49"/>
        <v>2000501</v>
      </c>
      <c r="B1404" s="17">
        <v>200</v>
      </c>
      <c r="C1404" s="17">
        <v>501</v>
      </c>
      <c r="D1404" s="17" t="s">
        <v>917</v>
      </c>
      <c r="E1404" s="17">
        <f t="shared" si="51"/>
        <v>8362120672503</v>
      </c>
      <c r="F1404" s="17" t="s">
        <v>918</v>
      </c>
      <c r="G1404" s="17">
        <f t="shared" si="52"/>
        <v>39944492189</v>
      </c>
      <c r="H1404" s="17" t="s">
        <v>919</v>
      </c>
      <c r="I1404" s="17">
        <f t="shared" si="50"/>
        <v>39944492189</v>
      </c>
    </row>
    <row r="1405" spans="1:9" x14ac:dyDescent="0.3">
      <c r="A1405" s="17" t="str">
        <f t="shared" si="49"/>
        <v>2000502</v>
      </c>
      <c r="B1405" s="17">
        <v>200</v>
      </c>
      <c r="C1405" s="17">
        <v>502</v>
      </c>
      <c r="D1405" s="17" t="s">
        <v>917</v>
      </c>
      <c r="E1405" s="17">
        <f t="shared" si="51"/>
        <v>8445741879228</v>
      </c>
      <c r="F1405" s="17" t="s">
        <v>918</v>
      </c>
      <c r="G1405" s="17">
        <f t="shared" si="52"/>
        <v>40343937110</v>
      </c>
      <c r="H1405" s="17" t="s">
        <v>919</v>
      </c>
      <c r="I1405" s="17">
        <f t="shared" si="50"/>
        <v>40343937110</v>
      </c>
    </row>
    <row r="1406" spans="1:9" x14ac:dyDescent="0.3">
      <c r="A1406" s="17" t="str">
        <f t="shared" si="49"/>
        <v>2000503</v>
      </c>
      <c r="B1406" s="17">
        <v>200</v>
      </c>
      <c r="C1406" s="17">
        <v>503</v>
      </c>
      <c r="D1406" s="17" t="s">
        <v>917</v>
      </c>
      <c r="E1406" s="17">
        <f t="shared" si="51"/>
        <v>8530199298020</v>
      </c>
      <c r="F1406" s="17" t="s">
        <v>918</v>
      </c>
      <c r="G1406" s="17">
        <f t="shared" si="52"/>
        <v>40747376481</v>
      </c>
      <c r="H1406" s="17" t="s">
        <v>919</v>
      </c>
      <c r="I1406" s="17">
        <f t="shared" si="50"/>
        <v>40747376481</v>
      </c>
    </row>
    <row r="1407" spans="1:9" x14ac:dyDescent="0.3">
      <c r="A1407" s="17" t="str">
        <f t="shared" si="49"/>
        <v>2000504</v>
      </c>
      <c r="B1407" s="17">
        <v>200</v>
      </c>
      <c r="C1407" s="17">
        <v>504</v>
      </c>
      <c r="D1407" s="17" t="s">
        <v>917</v>
      </c>
      <c r="E1407" s="17">
        <f t="shared" si="51"/>
        <v>8615501291000</v>
      </c>
      <c r="F1407" s="17" t="s">
        <v>918</v>
      </c>
      <c r="G1407" s="17">
        <f t="shared" si="52"/>
        <v>41154850245</v>
      </c>
      <c r="H1407" s="17" t="s">
        <v>919</v>
      </c>
      <c r="I1407" s="17">
        <f t="shared" si="50"/>
        <v>41154850245</v>
      </c>
    </row>
    <row r="1408" spans="1:9" x14ac:dyDescent="0.3">
      <c r="A1408" s="17" t="str">
        <f t="shared" si="49"/>
        <v>2000505</v>
      </c>
      <c r="B1408" s="17">
        <v>200</v>
      </c>
      <c r="C1408" s="17">
        <v>505</v>
      </c>
      <c r="D1408" s="17" t="s">
        <v>917</v>
      </c>
      <c r="E1408" s="17">
        <f t="shared" si="51"/>
        <v>8701656303910</v>
      </c>
      <c r="F1408" s="17" t="s">
        <v>918</v>
      </c>
      <c r="G1408" s="17">
        <f t="shared" si="52"/>
        <v>41566398747</v>
      </c>
      <c r="H1408" s="17" t="s">
        <v>919</v>
      </c>
      <c r="I1408" s="17">
        <f t="shared" si="50"/>
        <v>41566398747</v>
      </c>
    </row>
    <row r="1409" spans="1:9" x14ac:dyDescent="0.3">
      <c r="A1409" s="17" t="str">
        <f t="shared" si="49"/>
        <v>2000506</v>
      </c>
      <c r="B1409" s="17">
        <v>200</v>
      </c>
      <c r="C1409" s="17">
        <v>506</v>
      </c>
      <c r="D1409" s="17" t="s">
        <v>917</v>
      </c>
      <c r="E1409" s="17">
        <f t="shared" si="51"/>
        <v>8788672866949</v>
      </c>
      <c r="F1409" s="17" t="s">
        <v>918</v>
      </c>
      <c r="G1409" s="17">
        <f t="shared" si="52"/>
        <v>41982062734</v>
      </c>
      <c r="H1409" s="17" t="s">
        <v>919</v>
      </c>
      <c r="I1409" s="17">
        <f t="shared" si="50"/>
        <v>41982062734</v>
      </c>
    </row>
    <row r="1410" spans="1:9" x14ac:dyDescent="0.3">
      <c r="A1410" s="17" t="str">
        <f t="shared" si="49"/>
        <v>2000507</v>
      </c>
      <c r="B1410" s="17">
        <v>200</v>
      </c>
      <c r="C1410" s="17">
        <v>507</v>
      </c>
      <c r="D1410" s="17" t="s">
        <v>917</v>
      </c>
      <c r="E1410" s="17">
        <f t="shared" si="51"/>
        <v>8876559595618</v>
      </c>
      <c r="F1410" s="17" t="s">
        <v>918</v>
      </c>
      <c r="G1410" s="17">
        <f t="shared" si="52"/>
        <v>42401883361</v>
      </c>
      <c r="H1410" s="17" t="s">
        <v>919</v>
      </c>
      <c r="I1410" s="17">
        <f t="shared" si="50"/>
        <v>42401883361</v>
      </c>
    </row>
    <row r="1411" spans="1:9" x14ac:dyDescent="0.3">
      <c r="A1411" s="17" t="str">
        <f t="shared" si="49"/>
        <v>2000508</v>
      </c>
      <c r="B1411" s="17">
        <v>200</v>
      </c>
      <c r="C1411" s="17">
        <v>508</v>
      </c>
      <c r="D1411" s="17" t="s">
        <v>917</v>
      </c>
      <c r="E1411" s="17">
        <f t="shared" si="51"/>
        <v>8965325191574</v>
      </c>
      <c r="F1411" s="17" t="s">
        <v>918</v>
      </c>
      <c r="G1411" s="17">
        <f t="shared" si="52"/>
        <v>42825902194</v>
      </c>
      <c r="H1411" s="17" t="s">
        <v>919</v>
      </c>
      <c r="I1411" s="17">
        <f t="shared" si="50"/>
        <v>42825902194</v>
      </c>
    </row>
    <row r="1412" spans="1:9" x14ac:dyDescent="0.3">
      <c r="A1412" s="17" t="str">
        <f t="shared" ref="A1412:A1475" si="53">B1412&amp;TEXT(C1412,"0000")</f>
        <v>2000509</v>
      </c>
      <c r="B1412" s="17">
        <v>200</v>
      </c>
      <c r="C1412" s="17">
        <v>509</v>
      </c>
      <c r="D1412" s="17" t="s">
        <v>917</v>
      </c>
      <c r="E1412" s="17">
        <f t="shared" si="51"/>
        <v>9054978443489</v>
      </c>
      <c r="F1412" s="17" t="s">
        <v>918</v>
      </c>
      <c r="G1412" s="17">
        <f t="shared" si="52"/>
        <v>43254161215</v>
      </c>
      <c r="H1412" s="17" t="s">
        <v>919</v>
      </c>
      <c r="I1412" s="17">
        <f t="shared" si="50"/>
        <v>43254161215</v>
      </c>
    </row>
    <row r="1413" spans="1:9" x14ac:dyDescent="0.3">
      <c r="A1413" s="17" t="str">
        <f t="shared" si="53"/>
        <v>2000510</v>
      </c>
      <c r="B1413" s="17">
        <v>200</v>
      </c>
      <c r="C1413" s="17">
        <v>510</v>
      </c>
      <c r="D1413" s="17" t="s">
        <v>917</v>
      </c>
      <c r="E1413" s="17">
        <f t="shared" si="51"/>
        <v>9145528227923</v>
      </c>
      <c r="F1413" s="17" t="s">
        <v>918</v>
      </c>
      <c r="G1413" s="17">
        <f t="shared" si="52"/>
        <v>43686702827</v>
      </c>
      <c r="H1413" s="17" t="s">
        <v>919</v>
      </c>
      <c r="I1413" s="17">
        <f t="shared" si="50"/>
        <v>43686702827</v>
      </c>
    </row>
    <row r="1414" spans="1:9" x14ac:dyDescent="0.3">
      <c r="A1414" s="17" t="str">
        <f t="shared" si="53"/>
        <v>2000511</v>
      </c>
      <c r="B1414" s="17">
        <v>200</v>
      </c>
      <c r="C1414" s="17">
        <v>511</v>
      </c>
      <c r="D1414" s="17" t="s">
        <v>917</v>
      </c>
      <c r="E1414" s="17">
        <f t="shared" si="51"/>
        <v>9236983510202</v>
      </c>
      <c r="F1414" s="17" t="s">
        <v>918</v>
      </c>
      <c r="G1414" s="17">
        <f t="shared" si="52"/>
        <v>44123569855</v>
      </c>
      <c r="H1414" s="17" t="s">
        <v>919</v>
      </c>
      <c r="I1414" s="17">
        <f t="shared" si="50"/>
        <v>44123569855</v>
      </c>
    </row>
    <row r="1415" spans="1:9" x14ac:dyDescent="0.3">
      <c r="A1415" s="17" t="str">
        <f t="shared" si="53"/>
        <v>2000512</v>
      </c>
      <c r="B1415" s="17">
        <v>200</v>
      </c>
      <c r="C1415" s="17">
        <v>512</v>
      </c>
      <c r="D1415" s="17" t="s">
        <v>917</v>
      </c>
      <c r="E1415" s="17">
        <f t="shared" si="51"/>
        <v>9329353345304</v>
      </c>
      <c r="F1415" s="17" t="s">
        <v>918</v>
      </c>
      <c r="G1415" s="17">
        <f t="shared" si="52"/>
        <v>44564805553</v>
      </c>
      <c r="H1415" s="17" t="s">
        <v>919</v>
      </c>
      <c r="I1415" s="17">
        <f t="shared" si="50"/>
        <v>44564805553</v>
      </c>
    </row>
    <row r="1416" spans="1:9" x14ac:dyDescent="0.3">
      <c r="A1416" s="17" t="str">
        <f t="shared" si="53"/>
        <v>2000513</v>
      </c>
      <c r="B1416" s="17">
        <v>200</v>
      </c>
      <c r="C1416" s="17">
        <v>513</v>
      </c>
      <c r="D1416" s="17" t="s">
        <v>917</v>
      </c>
      <c r="E1416" s="17">
        <f t="shared" si="51"/>
        <v>9422646878757</v>
      </c>
      <c r="F1416" s="17" t="s">
        <v>918</v>
      </c>
      <c r="G1416" s="17">
        <f t="shared" si="52"/>
        <v>45010453608</v>
      </c>
      <c r="H1416" s="17" t="s">
        <v>919</v>
      </c>
      <c r="I1416" s="17">
        <f t="shared" si="50"/>
        <v>45010453608</v>
      </c>
    </row>
    <row r="1417" spans="1:9" x14ac:dyDescent="0.3">
      <c r="A1417" s="17" t="str">
        <f t="shared" si="53"/>
        <v>2000514</v>
      </c>
      <c r="B1417" s="17">
        <v>200</v>
      </c>
      <c r="C1417" s="17">
        <v>514</v>
      </c>
      <c r="D1417" s="17" t="s">
        <v>917</v>
      </c>
      <c r="E1417" s="17">
        <f t="shared" si="51"/>
        <v>9516873347544</v>
      </c>
      <c r="F1417" s="17" t="s">
        <v>918</v>
      </c>
      <c r="G1417" s="17">
        <f t="shared" si="52"/>
        <v>45460558144</v>
      </c>
      <c r="H1417" s="17" t="s">
        <v>919</v>
      </c>
      <c r="I1417" s="17">
        <f t="shared" ref="I1417:I1480" si="54">G1417</f>
        <v>45460558144</v>
      </c>
    </row>
    <row r="1418" spans="1:9" x14ac:dyDescent="0.3">
      <c r="A1418" s="17" t="str">
        <f t="shared" si="53"/>
        <v>2000515</v>
      </c>
      <c r="B1418" s="17">
        <v>200</v>
      </c>
      <c r="C1418" s="17">
        <v>515</v>
      </c>
      <c r="D1418" s="17" t="s">
        <v>917</v>
      </c>
      <c r="E1418" s="17">
        <f t="shared" si="51"/>
        <v>9612042081019</v>
      </c>
      <c r="F1418" s="17" t="s">
        <v>918</v>
      </c>
      <c r="G1418" s="17">
        <f t="shared" si="52"/>
        <v>45915163725</v>
      </c>
      <c r="H1418" s="17" t="s">
        <v>919</v>
      </c>
      <c r="I1418" s="17">
        <f t="shared" si="54"/>
        <v>45915163725</v>
      </c>
    </row>
    <row r="1419" spans="1:9" x14ac:dyDescent="0.3">
      <c r="A1419" s="17" t="str">
        <f t="shared" si="53"/>
        <v>2000516</v>
      </c>
      <c r="B1419" s="17">
        <v>200</v>
      </c>
      <c r="C1419" s="17">
        <v>516</v>
      </c>
      <c r="D1419" s="17" t="s">
        <v>917</v>
      </c>
      <c r="E1419" s="17">
        <f t="shared" si="51"/>
        <v>9708162501829</v>
      </c>
      <c r="F1419" s="17" t="s">
        <v>918</v>
      </c>
      <c r="G1419" s="17">
        <f t="shared" si="52"/>
        <v>46374315362</v>
      </c>
      <c r="H1419" s="17" t="s">
        <v>919</v>
      </c>
      <c r="I1419" s="17">
        <f t="shared" si="54"/>
        <v>46374315362</v>
      </c>
    </row>
    <row r="1420" spans="1:9" x14ac:dyDescent="0.3">
      <c r="A1420" s="17" t="str">
        <f t="shared" si="53"/>
        <v>2000517</v>
      </c>
      <c r="B1420" s="17">
        <v>200</v>
      </c>
      <c r="C1420" s="17">
        <v>517</v>
      </c>
      <c r="D1420" s="17" t="s">
        <v>917</v>
      </c>
      <c r="E1420" s="17">
        <f t="shared" si="51"/>
        <v>9805244126847</v>
      </c>
      <c r="F1420" s="17" t="s">
        <v>918</v>
      </c>
      <c r="G1420" s="17">
        <f t="shared" si="52"/>
        <v>46838058515</v>
      </c>
      <c r="H1420" s="17" t="s">
        <v>919</v>
      </c>
      <c r="I1420" s="17">
        <f t="shared" si="54"/>
        <v>46838058515</v>
      </c>
    </row>
    <row r="1421" spans="1:9" x14ac:dyDescent="0.3">
      <c r="A1421" s="17" t="str">
        <f t="shared" si="53"/>
        <v>2000518</v>
      </c>
      <c r="B1421" s="17">
        <v>200</v>
      </c>
      <c r="C1421" s="17">
        <v>518</v>
      </c>
      <c r="D1421" s="17" t="s">
        <v>917</v>
      </c>
      <c r="E1421" s="17">
        <f t="shared" si="51"/>
        <v>9903296568115</v>
      </c>
      <c r="F1421" s="17" t="s">
        <v>918</v>
      </c>
      <c r="G1421" s="17">
        <f t="shared" si="52"/>
        <v>47306439100</v>
      </c>
      <c r="H1421" s="17" t="s">
        <v>919</v>
      </c>
      <c r="I1421" s="17">
        <f t="shared" si="54"/>
        <v>47306439100</v>
      </c>
    </row>
    <row r="1422" spans="1:9" x14ac:dyDescent="0.3">
      <c r="A1422" s="17" t="str">
        <f t="shared" si="53"/>
        <v>2000519</v>
      </c>
      <c r="B1422" s="17">
        <v>200</v>
      </c>
      <c r="C1422" s="17">
        <v>519</v>
      </c>
      <c r="D1422" s="17" t="s">
        <v>917</v>
      </c>
      <c r="E1422" s="17">
        <f t="shared" si="51"/>
        <v>10002329533796</v>
      </c>
      <c r="F1422" s="17" t="s">
        <v>918</v>
      </c>
      <c r="G1422" s="17">
        <f t="shared" si="52"/>
        <v>47779503491</v>
      </c>
      <c r="H1422" s="17" t="s">
        <v>919</v>
      </c>
      <c r="I1422" s="17">
        <f t="shared" si="54"/>
        <v>47779503491</v>
      </c>
    </row>
    <row r="1423" spans="1:9" x14ac:dyDescent="0.3">
      <c r="A1423" s="17" t="str">
        <f t="shared" si="53"/>
        <v>2000520</v>
      </c>
      <c r="B1423" s="17">
        <v>200</v>
      </c>
      <c r="C1423" s="17">
        <v>520</v>
      </c>
      <c r="D1423" s="17" t="s">
        <v>917</v>
      </c>
      <c r="E1423" s="17">
        <f t="shared" si="51"/>
        <v>10102352829134</v>
      </c>
      <c r="F1423" s="17" t="s">
        <v>918</v>
      </c>
      <c r="G1423" s="17">
        <f t="shared" si="52"/>
        <v>48257298525</v>
      </c>
      <c r="H1423" s="17" t="s">
        <v>919</v>
      </c>
      <c r="I1423" s="17">
        <f t="shared" si="54"/>
        <v>48257298525</v>
      </c>
    </row>
    <row r="1424" spans="1:9" x14ac:dyDescent="0.3">
      <c r="A1424" s="17" t="str">
        <f t="shared" si="53"/>
        <v>2000521</v>
      </c>
      <c r="B1424" s="17">
        <v>200</v>
      </c>
      <c r="C1424" s="17">
        <v>521</v>
      </c>
      <c r="D1424" s="17" t="s">
        <v>917</v>
      </c>
      <c r="E1424" s="17">
        <f t="shared" si="51"/>
        <v>10203376357425</v>
      </c>
      <c r="F1424" s="17" t="s">
        <v>918</v>
      </c>
      <c r="G1424" s="17">
        <f t="shared" si="52"/>
        <v>48739871510</v>
      </c>
      <c r="H1424" s="17" t="s">
        <v>919</v>
      </c>
      <c r="I1424" s="17">
        <f t="shared" si="54"/>
        <v>48739871510</v>
      </c>
    </row>
    <row r="1425" spans="1:9" x14ac:dyDescent="0.3">
      <c r="A1425" s="17" t="str">
        <f t="shared" si="53"/>
        <v>2000522</v>
      </c>
      <c r="B1425" s="17">
        <v>200</v>
      </c>
      <c r="C1425" s="17">
        <v>522</v>
      </c>
      <c r="D1425" s="17" t="s">
        <v>917</v>
      </c>
      <c r="E1425" s="17">
        <f t="shared" si="51"/>
        <v>10305410120999</v>
      </c>
      <c r="F1425" s="17" t="s">
        <v>918</v>
      </c>
      <c r="G1425" s="17">
        <f t="shared" si="52"/>
        <v>49227270225</v>
      </c>
      <c r="H1425" s="17" t="s">
        <v>919</v>
      </c>
      <c r="I1425" s="17">
        <f t="shared" si="54"/>
        <v>49227270225</v>
      </c>
    </row>
    <row r="1426" spans="1:9" x14ac:dyDescent="0.3">
      <c r="A1426" s="17" t="str">
        <f t="shared" si="53"/>
        <v>2000523</v>
      </c>
      <c r="B1426" s="17">
        <v>200</v>
      </c>
      <c r="C1426" s="17">
        <v>523</v>
      </c>
      <c r="D1426" s="17" t="s">
        <v>917</v>
      </c>
      <c r="E1426" s="17">
        <f t="shared" si="51"/>
        <v>10408464222209</v>
      </c>
      <c r="F1426" s="17" t="s">
        <v>918</v>
      </c>
      <c r="G1426" s="17">
        <f t="shared" si="52"/>
        <v>49719542927</v>
      </c>
      <c r="H1426" s="17" t="s">
        <v>919</v>
      </c>
      <c r="I1426" s="17">
        <f t="shared" si="54"/>
        <v>49719542927</v>
      </c>
    </row>
    <row r="1427" spans="1:9" x14ac:dyDescent="0.3">
      <c r="A1427" s="17" t="str">
        <f t="shared" si="53"/>
        <v>2000524</v>
      </c>
      <c r="B1427" s="17">
        <v>200</v>
      </c>
      <c r="C1427" s="17">
        <v>524</v>
      </c>
      <c r="D1427" s="17" t="s">
        <v>917</v>
      </c>
      <c r="E1427" s="17">
        <f t="shared" si="51"/>
        <v>10512548864431</v>
      </c>
      <c r="F1427" s="17" t="s">
        <v>918</v>
      </c>
      <c r="G1427" s="17">
        <f t="shared" si="52"/>
        <v>50216738356</v>
      </c>
      <c r="H1427" s="17" t="s">
        <v>919</v>
      </c>
      <c r="I1427" s="17">
        <f t="shared" si="54"/>
        <v>50216738356</v>
      </c>
    </row>
    <row r="1428" spans="1:9" x14ac:dyDescent="0.3">
      <c r="A1428" s="17" t="str">
        <f t="shared" si="53"/>
        <v>2000525</v>
      </c>
      <c r="B1428" s="17">
        <v>200</v>
      </c>
      <c r="C1428" s="17">
        <v>525</v>
      </c>
      <c r="D1428" s="17" t="s">
        <v>917</v>
      </c>
      <c r="E1428" s="17">
        <f t="shared" si="51"/>
        <v>10617674353075</v>
      </c>
      <c r="F1428" s="17" t="s">
        <v>918</v>
      </c>
      <c r="G1428" s="17">
        <f t="shared" si="52"/>
        <v>50718905739</v>
      </c>
      <c r="H1428" s="17" t="s">
        <v>919</v>
      </c>
      <c r="I1428" s="17">
        <f t="shared" si="54"/>
        <v>50718905739</v>
      </c>
    </row>
    <row r="1429" spans="1:9" x14ac:dyDescent="0.3">
      <c r="A1429" s="17" t="str">
        <f t="shared" si="53"/>
        <v>2000526</v>
      </c>
      <c r="B1429" s="17">
        <v>200</v>
      </c>
      <c r="C1429" s="17">
        <v>526</v>
      </c>
      <c r="D1429" s="17" t="s">
        <v>917</v>
      </c>
      <c r="E1429" s="17">
        <f t="shared" si="51"/>
        <v>10723851096605</v>
      </c>
      <c r="F1429" s="17" t="s">
        <v>918</v>
      </c>
      <c r="G1429" s="17">
        <f t="shared" si="52"/>
        <v>51226094796</v>
      </c>
      <c r="H1429" s="17" t="s">
        <v>919</v>
      </c>
      <c r="I1429" s="17">
        <f t="shared" si="54"/>
        <v>51226094796</v>
      </c>
    </row>
    <row r="1430" spans="1:9" x14ac:dyDescent="0.3">
      <c r="A1430" s="17" t="str">
        <f t="shared" si="53"/>
        <v>2000527</v>
      </c>
      <c r="B1430" s="17">
        <v>200</v>
      </c>
      <c r="C1430" s="17">
        <v>527</v>
      </c>
      <c r="D1430" s="17" t="s">
        <v>917</v>
      </c>
      <c r="E1430" s="17">
        <f t="shared" si="51"/>
        <v>10831089607571</v>
      </c>
      <c r="F1430" s="17" t="s">
        <v>918</v>
      </c>
      <c r="G1430" s="17">
        <f t="shared" si="52"/>
        <v>51738355743</v>
      </c>
      <c r="H1430" s="17" t="s">
        <v>919</v>
      </c>
      <c r="I1430" s="17">
        <f t="shared" si="54"/>
        <v>51738355743</v>
      </c>
    </row>
    <row r="1431" spans="1:9" x14ac:dyDescent="0.3">
      <c r="A1431" s="17" t="str">
        <f t="shared" si="53"/>
        <v>2000528</v>
      </c>
      <c r="B1431" s="17">
        <v>200</v>
      </c>
      <c r="C1431" s="17">
        <v>528</v>
      </c>
      <c r="D1431" s="17" t="s">
        <v>917</v>
      </c>
      <c r="E1431" s="17">
        <f t="shared" si="51"/>
        <v>10939400503646</v>
      </c>
      <c r="F1431" s="17" t="s">
        <v>918</v>
      </c>
      <c r="G1431" s="17">
        <f t="shared" si="52"/>
        <v>52255739300</v>
      </c>
      <c r="H1431" s="17" t="s">
        <v>919</v>
      </c>
      <c r="I1431" s="17">
        <f t="shared" si="54"/>
        <v>52255739300</v>
      </c>
    </row>
    <row r="1432" spans="1:9" x14ac:dyDescent="0.3">
      <c r="A1432" s="17" t="str">
        <f t="shared" si="53"/>
        <v>2000529</v>
      </c>
      <c r="B1432" s="17">
        <v>200</v>
      </c>
      <c r="C1432" s="17">
        <v>529</v>
      </c>
      <c r="D1432" s="17" t="s">
        <v>917</v>
      </c>
      <c r="E1432" s="17">
        <f t="shared" si="51"/>
        <v>11048794508682</v>
      </c>
      <c r="F1432" s="17" t="s">
        <v>918</v>
      </c>
      <c r="G1432" s="17">
        <f t="shared" si="52"/>
        <v>52778296693</v>
      </c>
      <c r="H1432" s="17" t="s">
        <v>919</v>
      </c>
      <c r="I1432" s="17">
        <f t="shared" si="54"/>
        <v>52778296693</v>
      </c>
    </row>
    <row r="1433" spans="1:9" x14ac:dyDescent="0.3">
      <c r="A1433" s="17" t="str">
        <f t="shared" si="53"/>
        <v>2000530</v>
      </c>
      <c r="B1433" s="17">
        <v>200</v>
      </c>
      <c r="C1433" s="17">
        <v>530</v>
      </c>
      <c r="D1433" s="17" t="s">
        <v>917</v>
      </c>
      <c r="E1433" s="17">
        <f t="shared" si="51"/>
        <v>11159282453768</v>
      </c>
      <c r="F1433" s="17" t="s">
        <v>918</v>
      </c>
      <c r="G1433" s="17">
        <f t="shared" si="52"/>
        <v>53306079659</v>
      </c>
      <c r="H1433" s="17" t="s">
        <v>919</v>
      </c>
      <c r="I1433" s="17">
        <f t="shared" si="54"/>
        <v>53306079659</v>
      </c>
    </row>
    <row r="1434" spans="1:9" x14ac:dyDescent="0.3">
      <c r="A1434" s="17" t="str">
        <f t="shared" si="53"/>
        <v>2000531</v>
      </c>
      <c r="B1434" s="17">
        <v>200</v>
      </c>
      <c r="C1434" s="17">
        <v>531</v>
      </c>
      <c r="D1434" s="17" t="s">
        <v>917</v>
      </c>
      <c r="E1434" s="17">
        <f t="shared" si="51"/>
        <v>11270875278305</v>
      </c>
      <c r="F1434" s="17" t="s">
        <v>918</v>
      </c>
      <c r="G1434" s="17">
        <f t="shared" si="52"/>
        <v>53839140455</v>
      </c>
      <c r="H1434" s="17" t="s">
        <v>919</v>
      </c>
      <c r="I1434" s="17">
        <f t="shared" si="54"/>
        <v>53839140455</v>
      </c>
    </row>
    <row r="1435" spans="1:9" x14ac:dyDescent="0.3">
      <c r="A1435" s="17" t="str">
        <f t="shared" si="53"/>
        <v>2000532</v>
      </c>
      <c r="B1435" s="17">
        <v>200</v>
      </c>
      <c r="C1435" s="17">
        <v>532</v>
      </c>
      <c r="D1435" s="17" t="s">
        <v>917</v>
      </c>
      <c r="E1435" s="17">
        <f t="shared" si="51"/>
        <v>11383584031088</v>
      </c>
      <c r="F1435" s="17" t="s">
        <v>918</v>
      </c>
      <c r="G1435" s="17">
        <f t="shared" si="52"/>
        <v>54377531859</v>
      </c>
      <c r="H1435" s="17" t="s">
        <v>919</v>
      </c>
      <c r="I1435" s="17">
        <f t="shared" si="54"/>
        <v>54377531859</v>
      </c>
    </row>
    <row r="1436" spans="1:9" x14ac:dyDescent="0.3">
      <c r="A1436" s="17" t="str">
        <f t="shared" si="53"/>
        <v>2000533</v>
      </c>
      <c r="B1436" s="17">
        <v>200</v>
      </c>
      <c r="C1436" s="17">
        <v>533</v>
      </c>
      <c r="D1436" s="17" t="s">
        <v>917</v>
      </c>
      <c r="E1436" s="17">
        <f t="shared" si="51"/>
        <v>11497419871398</v>
      </c>
      <c r="F1436" s="17" t="s">
        <v>918</v>
      </c>
      <c r="G1436" s="17">
        <f t="shared" si="52"/>
        <v>54921307177</v>
      </c>
      <c r="H1436" s="17" t="s">
        <v>919</v>
      </c>
      <c r="I1436" s="17">
        <f t="shared" si="54"/>
        <v>54921307177</v>
      </c>
    </row>
    <row r="1437" spans="1:9" x14ac:dyDescent="0.3">
      <c r="A1437" s="17" t="str">
        <f t="shared" si="53"/>
        <v>2000534</v>
      </c>
      <c r="B1437" s="17">
        <v>200</v>
      </c>
      <c r="C1437" s="17">
        <v>534</v>
      </c>
      <c r="D1437" s="17" t="s">
        <v>917</v>
      </c>
      <c r="E1437" s="17">
        <f t="shared" si="51"/>
        <v>11612394070112</v>
      </c>
      <c r="F1437" s="17" t="s">
        <v>918</v>
      </c>
      <c r="G1437" s="17">
        <f t="shared" si="52"/>
        <v>55470520248</v>
      </c>
      <c r="H1437" s="17" t="s">
        <v>919</v>
      </c>
      <c r="I1437" s="17">
        <f t="shared" si="54"/>
        <v>55470520248</v>
      </c>
    </row>
    <row r="1438" spans="1:9" x14ac:dyDescent="0.3">
      <c r="A1438" s="17" t="str">
        <f t="shared" si="53"/>
        <v>2000535</v>
      </c>
      <c r="B1438" s="17">
        <v>200</v>
      </c>
      <c r="C1438" s="17">
        <v>535</v>
      </c>
      <c r="D1438" s="17" t="s">
        <v>917</v>
      </c>
      <c r="E1438" s="17">
        <f t="shared" si="51"/>
        <v>11728518010813</v>
      </c>
      <c r="F1438" s="17" t="s">
        <v>918</v>
      </c>
      <c r="G1438" s="17">
        <f t="shared" si="52"/>
        <v>56025225450</v>
      </c>
      <c r="H1438" s="17" t="s">
        <v>919</v>
      </c>
      <c r="I1438" s="17">
        <f t="shared" si="54"/>
        <v>56025225450</v>
      </c>
    </row>
    <row r="1439" spans="1:9" x14ac:dyDescent="0.3">
      <c r="A1439" s="17" t="str">
        <f t="shared" si="53"/>
        <v>2000536</v>
      </c>
      <c r="B1439" s="17">
        <v>200</v>
      </c>
      <c r="C1439" s="17">
        <v>536</v>
      </c>
      <c r="D1439" s="17" t="s">
        <v>917</v>
      </c>
      <c r="E1439" s="17">
        <f t="shared" si="51"/>
        <v>11845803190921</v>
      </c>
      <c r="F1439" s="17" t="s">
        <v>918</v>
      </c>
      <c r="G1439" s="17">
        <f t="shared" si="52"/>
        <v>56585477704</v>
      </c>
      <c r="H1439" s="17" t="s">
        <v>919</v>
      </c>
      <c r="I1439" s="17">
        <f t="shared" si="54"/>
        <v>56585477704</v>
      </c>
    </row>
    <row r="1440" spans="1:9" x14ac:dyDescent="0.3">
      <c r="A1440" s="17" t="str">
        <f t="shared" si="53"/>
        <v>2000537</v>
      </c>
      <c r="B1440" s="17">
        <v>200</v>
      </c>
      <c r="C1440" s="17">
        <v>537</v>
      </c>
      <c r="D1440" s="17" t="s">
        <v>917</v>
      </c>
      <c r="E1440" s="17">
        <f t="shared" si="51"/>
        <v>11964261222830</v>
      </c>
      <c r="F1440" s="17" t="s">
        <v>918</v>
      </c>
      <c r="G1440" s="17">
        <f t="shared" si="52"/>
        <v>57151332481</v>
      </c>
      <c r="H1440" s="17" t="s">
        <v>919</v>
      </c>
      <c r="I1440" s="17">
        <f t="shared" si="54"/>
        <v>57151332481</v>
      </c>
    </row>
    <row r="1441" spans="1:9" x14ac:dyDescent="0.3">
      <c r="A1441" s="17" t="str">
        <f t="shared" si="53"/>
        <v>2000538</v>
      </c>
      <c r="B1441" s="17">
        <v>200</v>
      </c>
      <c r="C1441" s="17">
        <v>538</v>
      </c>
      <c r="D1441" s="17" t="s">
        <v>917</v>
      </c>
      <c r="E1441" s="17">
        <f t="shared" si="51"/>
        <v>12083903835058</v>
      </c>
      <c r="F1441" s="17" t="s">
        <v>918</v>
      </c>
      <c r="G1441" s="17">
        <f t="shared" si="52"/>
        <v>57722845805</v>
      </c>
      <c r="H1441" s="17" t="s">
        <v>919</v>
      </c>
      <c r="I1441" s="17">
        <f t="shared" si="54"/>
        <v>57722845805</v>
      </c>
    </row>
    <row r="1442" spans="1:9" x14ac:dyDescent="0.3">
      <c r="A1442" s="17" t="str">
        <f t="shared" si="53"/>
        <v>2000539</v>
      </c>
      <c r="B1442" s="17">
        <v>200</v>
      </c>
      <c r="C1442" s="17">
        <v>539</v>
      </c>
      <c r="D1442" s="17" t="s">
        <v>917</v>
      </c>
      <c r="E1442" s="17">
        <f t="shared" si="51"/>
        <v>12204742873408</v>
      </c>
      <c r="F1442" s="17" t="s">
        <v>918</v>
      </c>
      <c r="G1442" s="17">
        <f t="shared" si="52"/>
        <v>58300074263</v>
      </c>
      <c r="H1442" s="17" t="s">
        <v>919</v>
      </c>
      <c r="I1442" s="17">
        <f t="shared" si="54"/>
        <v>58300074263</v>
      </c>
    </row>
    <row r="1443" spans="1:9" x14ac:dyDescent="0.3">
      <c r="A1443" s="17" t="str">
        <f t="shared" si="53"/>
        <v>2000540</v>
      </c>
      <c r="B1443" s="17">
        <v>200</v>
      </c>
      <c r="C1443" s="17">
        <v>540</v>
      </c>
      <c r="D1443" s="17" t="s">
        <v>917</v>
      </c>
      <c r="E1443" s="17">
        <f t="shared" si="51"/>
        <v>12326790302142</v>
      </c>
      <c r="F1443" s="17" t="s">
        <v>918</v>
      </c>
      <c r="G1443" s="17">
        <f t="shared" si="52"/>
        <v>58883075005</v>
      </c>
      <c r="H1443" s="17" t="s">
        <v>919</v>
      </c>
      <c r="I1443" s="17">
        <f t="shared" si="54"/>
        <v>58883075005</v>
      </c>
    </row>
    <row r="1444" spans="1:9" x14ac:dyDescent="0.3">
      <c r="A1444" s="17" t="str">
        <f t="shared" si="53"/>
        <v>2000541</v>
      </c>
      <c r="B1444" s="17">
        <v>200</v>
      </c>
      <c r="C1444" s="17">
        <v>541</v>
      </c>
      <c r="D1444" s="17" t="s">
        <v>917</v>
      </c>
      <c r="E1444" s="17">
        <f t="shared" si="51"/>
        <v>12450058205163</v>
      </c>
      <c r="F1444" s="17" t="s">
        <v>918</v>
      </c>
      <c r="G1444" s="17">
        <f t="shared" si="52"/>
        <v>59471905755</v>
      </c>
      <c r="H1444" s="17" t="s">
        <v>919</v>
      </c>
      <c r="I1444" s="17">
        <f t="shared" si="54"/>
        <v>59471905755</v>
      </c>
    </row>
    <row r="1445" spans="1:9" x14ac:dyDescent="0.3">
      <c r="A1445" s="17" t="str">
        <f t="shared" si="53"/>
        <v>2000542</v>
      </c>
      <c r="B1445" s="17">
        <v>200</v>
      </c>
      <c r="C1445" s="17">
        <v>542</v>
      </c>
      <c r="D1445" s="17" t="s">
        <v>917</v>
      </c>
      <c r="E1445" s="17">
        <f t="shared" si="51"/>
        <v>12574558787214</v>
      </c>
      <c r="F1445" s="17" t="s">
        <v>918</v>
      </c>
      <c r="G1445" s="17">
        <f t="shared" si="52"/>
        <v>60066624812</v>
      </c>
      <c r="H1445" s="17" t="s">
        <v>919</v>
      </c>
      <c r="I1445" s="17">
        <f t="shared" si="54"/>
        <v>60066624812</v>
      </c>
    </row>
    <row r="1446" spans="1:9" x14ac:dyDescent="0.3">
      <c r="A1446" s="17" t="str">
        <f t="shared" si="53"/>
        <v>2000543</v>
      </c>
      <c r="B1446" s="17">
        <v>200</v>
      </c>
      <c r="C1446" s="17">
        <v>543</v>
      </c>
      <c r="D1446" s="17" t="s">
        <v>917</v>
      </c>
      <c r="E1446" s="17">
        <f t="shared" si="51"/>
        <v>12700304375086</v>
      </c>
      <c r="F1446" s="17" t="s">
        <v>918</v>
      </c>
      <c r="G1446" s="17">
        <f t="shared" si="52"/>
        <v>60667291060</v>
      </c>
      <c r="H1446" s="17" t="s">
        <v>919</v>
      </c>
      <c r="I1446" s="17">
        <f t="shared" si="54"/>
        <v>60667291060</v>
      </c>
    </row>
    <row r="1447" spans="1:9" x14ac:dyDescent="0.3">
      <c r="A1447" s="17" t="str">
        <f t="shared" si="53"/>
        <v>2000544</v>
      </c>
      <c r="B1447" s="17">
        <v>200</v>
      </c>
      <c r="C1447" s="17">
        <v>544</v>
      </c>
      <c r="D1447" s="17" t="s">
        <v>917</v>
      </c>
      <c r="E1447" s="17">
        <f t="shared" si="51"/>
        <v>12827307418836</v>
      </c>
      <c r="F1447" s="17" t="s">
        <v>918</v>
      </c>
      <c r="G1447" s="17">
        <f t="shared" si="52"/>
        <v>61273963970</v>
      </c>
      <c r="H1447" s="17" t="s">
        <v>919</v>
      </c>
      <c r="I1447" s="17">
        <f t="shared" si="54"/>
        <v>61273963970</v>
      </c>
    </row>
    <row r="1448" spans="1:9" x14ac:dyDescent="0.3">
      <c r="A1448" s="17" t="str">
        <f t="shared" si="53"/>
        <v>2000545</v>
      </c>
      <c r="B1448" s="17">
        <v>200</v>
      </c>
      <c r="C1448" s="17">
        <v>545</v>
      </c>
      <c r="D1448" s="17" t="s">
        <v>917</v>
      </c>
      <c r="E1448" s="17">
        <f t="shared" si="51"/>
        <v>12955580493024</v>
      </c>
      <c r="F1448" s="17" t="s">
        <v>918</v>
      </c>
      <c r="G1448" s="17">
        <f t="shared" si="52"/>
        <v>61886703609</v>
      </c>
      <c r="H1448" s="17" t="s">
        <v>919</v>
      </c>
      <c r="I1448" s="17">
        <f t="shared" si="54"/>
        <v>61886703609</v>
      </c>
    </row>
    <row r="1449" spans="1:9" x14ac:dyDescent="0.3">
      <c r="A1449" s="17" t="str">
        <f t="shared" si="53"/>
        <v>2000546</v>
      </c>
      <c r="B1449" s="17">
        <v>200</v>
      </c>
      <c r="C1449" s="17">
        <v>546</v>
      </c>
      <c r="D1449" s="17" t="s">
        <v>917</v>
      </c>
      <c r="E1449" s="17">
        <f t="shared" si="51"/>
        <v>13085136297954</v>
      </c>
      <c r="F1449" s="17" t="s">
        <v>918</v>
      </c>
      <c r="G1449" s="17">
        <f t="shared" si="52"/>
        <v>62505570645</v>
      </c>
      <c r="H1449" s="17" t="s">
        <v>919</v>
      </c>
      <c r="I1449" s="17">
        <f t="shared" si="54"/>
        <v>62505570645</v>
      </c>
    </row>
    <row r="1450" spans="1:9" x14ac:dyDescent="0.3">
      <c r="A1450" s="17" t="str">
        <f t="shared" si="53"/>
        <v>2000547</v>
      </c>
      <c r="B1450" s="17">
        <v>200</v>
      </c>
      <c r="C1450" s="17">
        <v>547</v>
      </c>
      <c r="D1450" s="17" t="s">
        <v>917</v>
      </c>
      <c r="E1450" s="17">
        <f t="shared" si="51"/>
        <v>13215987660933</v>
      </c>
      <c r="F1450" s="17" t="s">
        <v>918</v>
      </c>
      <c r="G1450" s="17">
        <f t="shared" si="52"/>
        <v>63130626351</v>
      </c>
      <c r="H1450" s="17" t="s">
        <v>919</v>
      </c>
      <c r="I1450" s="17">
        <f t="shared" si="54"/>
        <v>63130626351</v>
      </c>
    </row>
    <row r="1451" spans="1:9" x14ac:dyDescent="0.3">
      <c r="A1451" s="17" t="str">
        <f t="shared" si="53"/>
        <v>2000548</v>
      </c>
      <c r="B1451" s="17">
        <v>200</v>
      </c>
      <c r="C1451" s="17">
        <v>548</v>
      </c>
      <c r="D1451" s="17" t="s">
        <v>917</v>
      </c>
      <c r="E1451" s="17">
        <f t="shared" si="51"/>
        <v>13348147537542</v>
      </c>
      <c r="F1451" s="17" t="s">
        <v>918</v>
      </c>
      <c r="G1451" s="17">
        <f t="shared" si="52"/>
        <v>63761932614</v>
      </c>
      <c r="H1451" s="17" t="s">
        <v>919</v>
      </c>
      <c r="I1451" s="17">
        <f t="shared" si="54"/>
        <v>63761932614</v>
      </c>
    </row>
    <row r="1452" spans="1:9" x14ac:dyDescent="0.3">
      <c r="A1452" s="17" t="str">
        <f t="shared" si="53"/>
        <v>2000549</v>
      </c>
      <c r="B1452" s="17">
        <v>200</v>
      </c>
      <c r="C1452" s="17">
        <v>549</v>
      </c>
      <c r="D1452" s="17" t="s">
        <v>917</v>
      </c>
      <c r="E1452" s="17">
        <f t="shared" si="51"/>
        <v>13481629012917</v>
      </c>
      <c r="F1452" s="17" t="s">
        <v>918</v>
      </c>
      <c r="G1452" s="17">
        <f t="shared" si="52"/>
        <v>64399551940</v>
      </c>
      <c r="H1452" s="17" t="s">
        <v>919</v>
      </c>
      <c r="I1452" s="17">
        <f t="shared" si="54"/>
        <v>64399551940</v>
      </c>
    </row>
    <row r="1453" spans="1:9" x14ac:dyDescent="0.3">
      <c r="A1453" s="17" t="str">
        <f t="shared" si="53"/>
        <v>2000550</v>
      </c>
      <c r="B1453" s="17">
        <v>200</v>
      </c>
      <c r="C1453" s="17">
        <v>550</v>
      </c>
      <c r="D1453" s="17" t="s">
        <v>917</v>
      </c>
      <c r="E1453" s="17">
        <f t="shared" si="51"/>
        <v>13616445303046</v>
      </c>
      <c r="F1453" s="17" t="s">
        <v>918</v>
      </c>
      <c r="G1453" s="17">
        <f t="shared" si="52"/>
        <v>65043547459</v>
      </c>
      <c r="H1453" s="17" t="s">
        <v>919</v>
      </c>
      <c r="I1453" s="17">
        <f t="shared" si="54"/>
        <v>65043547459</v>
      </c>
    </row>
    <row r="1454" spans="1:9" x14ac:dyDescent="0.3">
      <c r="A1454" s="17" t="str">
        <f t="shared" si="53"/>
        <v>2000551</v>
      </c>
      <c r="B1454" s="17">
        <v>200</v>
      </c>
      <c r="C1454" s="17">
        <v>551</v>
      </c>
      <c r="D1454" s="17" t="s">
        <v>917</v>
      </c>
      <c r="E1454" s="17">
        <f t="shared" si="51"/>
        <v>13752609756076</v>
      </c>
      <c r="F1454" s="17" t="s">
        <v>918</v>
      </c>
      <c r="G1454" s="17">
        <f t="shared" si="52"/>
        <v>65693982933</v>
      </c>
      <c r="H1454" s="17" t="s">
        <v>919</v>
      </c>
      <c r="I1454" s="17">
        <f t="shared" si="54"/>
        <v>65693982933</v>
      </c>
    </row>
    <row r="1455" spans="1:9" x14ac:dyDescent="0.3">
      <c r="A1455" s="17" t="str">
        <f t="shared" si="53"/>
        <v>2000552</v>
      </c>
      <c r="B1455" s="17">
        <v>200</v>
      </c>
      <c r="C1455" s="17">
        <v>552</v>
      </c>
      <c r="D1455" s="17" t="s">
        <v>917</v>
      </c>
      <c r="E1455" s="17">
        <f t="shared" si="51"/>
        <v>13890135853636</v>
      </c>
      <c r="F1455" s="17" t="s">
        <v>918</v>
      </c>
      <c r="G1455" s="17">
        <f t="shared" si="52"/>
        <v>66350922762</v>
      </c>
      <c r="H1455" s="17" t="s">
        <v>919</v>
      </c>
      <c r="I1455" s="17">
        <f t="shared" si="54"/>
        <v>66350922762</v>
      </c>
    </row>
    <row r="1456" spans="1:9" x14ac:dyDescent="0.3">
      <c r="A1456" s="17" t="str">
        <f t="shared" si="53"/>
        <v>2000553</v>
      </c>
      <c r="B1456" s="17">
        <v>200</v>
      </c>
      <c r="C1456" s="17">
        <v>553</v>
      </c>
      <c r="D1456" s="17" t="s">
        <v>917</v>
      </c>
      <c r="E1456" s="17">
        <f t="shared" si="51"/>
        <v>14029037212172</v>
      </c>
      <c r="F1456" s="17" t="s">
        <v>918</v>
      </c>
      <c r="G1456" s="17">
        <f t="shared" si="52"/>
        <v>67014431989</v>
      </c>
      <c r="H1456" s="17" t="s">
        <v>919</v>
      </c>
      <c r="I1456" s="17">
        <f t="shared" si="54"/>
        <v>67014431989</v>
      </c>
    </row>
    <row r="1457" spans="1:9" x14ac:dyDescent="0.3">
      <c r="A1457" s="17" t="str">
        <f t="shared" si="53"/>
        <v>2000554</v>
      </c>
      <c r="B1457" s="17">
        <v>200</v>
      </c>
      <c r="C1457" s="17">
        <v>554</v>
      </c>
      <c r="D1457" s="17" t="s">
        <v>917</v>
      </c>
      <c r="E1457" s="17">
        <f t="shared" si="51"/>
        <v>14169327584293</v>
      </c>
      <c r="F1457" s="17" t="s">
        <v>918</v>
      </c>
      <c r="G1457" s="17">
        <f t="shared" si="52"/>
        <v>67684576308</v>
      </c>
      <c r="H1457" s="17" t="s">
        <v>919</v>
      </c>
      <c r="I1457" s="17">
        <f t="shared" si="54"/>
        <v>67684576308</v>
      </c>
    </row>
    <row r="1458" spans="1:9" x14ac:dyDescent="0.3">
      <c r="A1458" s="17" t="str">
        <f t="shared" si="53"/>
        <v>2000555</v>
      </c>
      <c r="B1458" s="17">
        <v>200</v>
      </c>
      <c r="C1458" s="17">
        <v>555</v>
      </c>
      <c r="D1458" s="17" t="s">
        <v>917</v>
      </c>
      <c r="E1458" s="17">
        <f t="shared" si="51"/>
        <v>14311020860135</v>
      </c>
      <c r="F1458" s="17" t="s">
        <v>918</v>
      </c>
      <c r="G1458" s="17">
        <f t="shared" si="52"/>
        <v>68361422071</v>
      </c>
      <c r="H1458" s="17" t="s">
        <v>919</v>
      </c>
      <c r="I1458" s="17">
        <f t="shared" si="54"/>
        <v>68361422071</v>
      </c>
    </row>
    <row r="1459" spans="1:9" x14ac:dyDescent="0.3">
      <c r="A1459" s="17" t="str">
        <f t="shared" si="53"/>
        <v>2000556</v>
      </c>
      <c r="B1459" s="17">
        <v>200</v>
      </c>
      <c r="C1459" s="17">
        <v>556</v>
      </c>
      <c r="D1459" s="17" t="s">
        <v>917</v>
      </c>
      <c r="E1459" s="17">
        <f t="shared" si="51"/>
        <v>14454131068736</v>
      </c>
      <c r="F1459" s="17" t="s">
        <v>918</v>
      </c>
      <c r="G1459" s="17">
        <f t="shared" si="52"/>
        <v>69045036291</v>
      </c>
      <c r="H1459" s="17" t="s">
        <v>919</v>
      </c>
      <c r="I1459" s="17">
        <f t="shared" si="54"/>
        <v>69045036291</v>
      </c>
    </row>
    <row r="1460" spans="1:9" x14ac:dyDescent="0.3">
      <c r="A1460" s="17" t="str">
        <f t="shared" si="53"/>
        <v>2000557</v>
      </c>
      <c r="B1460" s="17">
        <v>200</v>
      </c>
      <c r="C1460" s="17">
        <v>557</v>
      </c>
      <c r="D1460" s="17" t="s">
        <v>917</v>
      </c>
      <c r="E1460" s="17">
        <f t="shared" ref="E1460:E1523" si="55">INT(E1459*1.01)</f>
        <v>14598672379423</v>
      </c>
      <c r="F1460" s="17" t="s">
        <v>918</v>
      </c>
      <c r="G1460" s="17">
        <f t="shared" ref="G1460:G1523" si="56">INT(G1459*1.01)</f>
        <v>69735486653</v>
      </c>
      <c r="H1460" s="17" t="s">
        <v>919</v>
      </c>
      <c r="I1460" s="17">
        <f t="shared" si="54"/>
        <v>69735486653</v>
      </c>
    </row>
    <row r="1461" spans="1:9" x14ac:dyDescent="0.3">
      <c r="A1461" s="17" t="str">
        <f t="shared" si="53"/>
        <v>2000558</v>
      </c>
      <c r="B1461" s="17">
        <v>200</v>
      </c>
      <c r="C1461" s="17">
        <v>558</v>
      </c>
      <c r="D1461" s="17" t="s">
        <v>917</v>
      </c>
      <c r="E1461" s="17">
        <f t="shared" si="55"/>
        <v>14744659103217</v>
      </c>
      <c r="F1461" s="17" t="s">
        <v>918</v>
      </c>
      <c r="G1461" s="17">
        <f t="shared" si="56"/>
        <v>70432841519</v>
      </c>
      <c r="H1461" s="17" t="s">
        <v>919</v>
      </c>
      <c r="I1461" s="17">
        <f t="shared" si="54"/>
        <v>70432841519</v>
      </c>
    </row>
    <row r="1462" spans="1:9" x14ac:dyDescent="0.3">
      <c r="A1462" s="17" t="str">
        <f t="shared" si="53"/>
        <v>2000559</v>
      </c>
      <c r="B1462" s="17">
        <v>200</v>
      </c>
      <c r="C1462" s="17">
        <v>559</v>
      </c>
      <c r="D1462" s="17" t="s">
        <v>917</v>
      </c>
      <c r="E1462" s="17">
        <f t="shared" si="55"/>
        <v>14892105694249</v>
      </c>
      <c r="F1462" s="17" t="s">
        <v>918</v>
      </c>
      <c r="G1462" s="17">
        <f t="shared" si="56"/>
        <v>71137169934</v>
      </c>
      <c r="H1462" s="17" t="s">
        <v>919</v>
      </c>
      <c r="I1462" s="17">
        <f t="shared" si="54"/>
        <v>71137169934</v>
      </c>
    </row>
    <row r="1463" spans="1:9" x14ac:dyDescent="0.3">
      <c r="A1463" s="17" t="str">
        <f t="shared" si="53"/>
        <v>2000560</v>
      </c>
      <c r="B1463" s="17">
        <v>200</v>
      </c>
      <c r="C1463" s="17">
        <v>560</v>
      </c>
      <c r="D1463" s="17" t="s">
        <v>917</v>
      </c>
      <c r="E1463" s="17">
        <f t="shared" si="55"/>
        <v>15041026751191</v>
      </c>
      <c r="F1463" s="17" t="s">
        <v>918</v>
      </c>
      <c r="G1463" s="17">
        <f t="shared" si="56"/>
        <v>71848541633</v>
      </c>
      <c r="H1463" s="17" t="s">
        <v>919</v>
      </c>
      <c r="I1463" s="17">
        <f t="shared" si="54"/>
        <v>71848541633</v>
      </c>
    </row>
    <row r="1464" spans="1:9" x14ac:dyDescent="0.3">
      <c r="A1464" s="17" t="str">
        <f t="shared" si="53"/>
        <v>2000561</v>
      </c>
      <c r="B1464" s="17">
        <v>200</v>
      </c>
      <c r="C1464" s="17">
        <v>561</v>
      </c>
      <c r="D1464" s="17" t="s">
        <v>917</v>
      </c>
      <c r="E1464" s="17">
        <f t="shared" si="55"/>
        <v>15191437018702</v>
      </c>
      <c r="F1464" s="17" t="s">
        <v>918</v>
      </c>
      <c r="G1464" s="17">
        <f t="shared" si="56"/>
        <v>72567027049</v>
      </c>
      <c r="H1464" s="17" t="s">
        <v>919</v>
      </c>
      <c r="I1464" s="17">
        <f t="shared" si="54"/>
        <v>72567027049</v>
      </c>
    </row>
    <row r="1465" spans="1:9" x14ac:dyDescent="0.3">
      <c r="A1465" s="17" t="str">
        <f t="shared" si="53"/>
        <v>2000562</v>
      </c>
      <c r="B1465" s="17">
        <v>200</v>
      </c>
      <c r="C1465" s="17">
        <v>562</v>
      </c>
      <c r="D1465" s="17" t="s">
        <v>917</v>
      </c>
      <c r="E1465" s="17">
        <f t="shared" si="55"/>
        <v>15343351388889</v>
      </c>
      <c r="F1465" s="17" t="s">
        <v>918</v>
      </c>
      <c r="G1465" s="17">
        <f t="shared" si="56"/>
        <v>73292697319</v>
      </c>
      <c r="H1465" s="17" t="s">
        <v>919</v>
      </c>
      <c r="I1465" s="17">
        <f t="shared" si="54"/>
        <v>73292697319</v>
      </c>
    </row>
    <row r="1466" spans="1:9" x14ac:dyDescent="0.3">
      <c r="A1466" s="17" t="str">
        <f t="shared" si="53"/>
        <v>2000563</v>
      </c>
      <c r="B1466" s="17">
        <v>200</v>
      </c>
      <c r="C1466" s="17">
        <v>563</v>
      </c>
      <c r="D1466" s="17" t="s">
        <v>917</v>
      </c>
      <c r="E1466" s="17">
        <f t="shared" si="55"/>
        <v>15496784902777</v>
      </c>
      <c r="F1466" s="17" t="s">
        <v>918</v>
      </c>
      <c r="G1466" s="17">
        <f t="shared" si="56"/>
        <v>74025624292</v>
      </c>
      <c r="H1466" s="17" t="s">
        <v>919</v>
      </c>
      <c r="I1466" s="17">
        <f t="shared" si="54"/>
        <v>74025624292</v>
      </c>
    </row>
    <row r="1467" spans="1:9" x14ac:dyDescent="0.3">
      <c r="A1467" s="17" t="str">
        <f t="shared" si="53"/>
        <v>2000564</v>
      </c>
      <c r="B1467" s="17">
        <v>200</v>
      </c>
      <c r="C1467" s="17">
        <v>564</v>
      </c>
      <c r="D1467" s="17" t="s">
        <v>917</v>
      </c>
      <c r="E1467" s="17">
        <f t="shared" si="55"/>
        <v>15651752751804</v>
      </c>
      <c r="F1467" s="17" t="s">
        <v>918</v>
      </c>
      <c r="G1467" s="17">
        <f t="shared" si="56"/>
        <v>74765880534</v>
      </c>
      <c r="H1467" s="17" t="s">
        <v>919</v>
      </c>
      <c r="I1467" s="17">
        <f t="shared" si="54"/>
        <v>74765880534</v>
      </c>
    </row>
    <row r="1468" spans="1:9" x14ac:dyDescent="0.3">
      <c r="A1468" s="17" t="str">
        <f t="shared" si="53"/>
        <v>2000565</v>
      </c>
      <c r="B1468" s="17">
        <v>200</v>
      </c>
      <c r="C1468" s="17">
        <v>565</v>
      </c>
      <c r="D1468" s="17" t="s">
        <v>917</v>
      </c>
      <c r="E1468" s="17">
        <f t="shared" si="55"/>
        <v>15808270279322</v>
      </c>
      <c r="F1468" s="17" t="s">
        <v>918</v>
      </c>
      <c r="G1468" s="17">
        <f t="shared" si="56"/>
        <v>75513539339</v>
      </c>
      <c r="H1468" s="17" t="s">
        <v>919</v>
      </c>
      <c r="I1468" s="17">
        <f t="shared" si="54"/>
        <v>75513539339</v>
      </c>
    </row>
    <row r="1469" spans="1:9" x14ac:dyDescent="0.3">
      <c r="A1469" s="17" t="str">
        <f t="shared" si="53"/>
        <v>2000566</v>
      </c>
      <c r="B1469" s="17">
        <v>200</v>
      </c>
      <c r="C1469" s="17">
        <v>566</v>
      </c>
      <c r="D1469" s="17" t="s">
        <v>917</v>
      </c>
      <c r="E1469" s="17">
        <f t="shared" si="55"/>
        <v>15966352982115</v>
      </c>
      <c r="F1469" s="17" t="s">
        <v>918</v>
      </c>
      <c r="G1469" s="17">
        <f t="shared" si="56"/>
        <v>76268674732</v>
      </c>
      <c r="H1469" s="17" t="s">
        <v>919</v>
      </c>
      <c r="I1469" s="17">
        <f t="shared" si="54"/>
        <v>76268674732</v>
      </c>
    </row>
    <row r="1470" spans="1:9" x14ac:dyDescent="0.3">
      <c r="A1470" s="17" t="str">
        <f t="shared" si="53"/>
        <v>2000567</v>
      </c>
      <c r="B1470" s="17">
        <v>200</v>
      </c>
      <c r="C1470" s="17">
        <v>567</v>
      </c>
      <c r="D1470" s="17" t="s">
        <v>917</v>
      </c>
      <c r="E1470" s="17">
        <f t="shared" si="55"/>
        <v>16126016511936</v>
      </c>
      <c r="F1470" s="17" t="s">
        <v>918</v>
      </c>
      <c r="G1470" s="17">
        <f t="shared" si="56"/>
        <v>77031361479</v>
      </c>
      <c r="H1470" s="17" t="s">
        <v>919</v>
      </c>
      <c r="I1470" s="17">
        <f t="shared" si="54"/>
        <v>77031361479</v>
      </c>
    </row>
    <row r="1471" spans="1:9" x14ac:dyDescent="0.3">
      <c r="A1471" s="17" t="str">
        <f t="shared" si="53"/>
        <v>2000568</v>
      </c>
      <c r="B1471" s="17">
        <v>200</v>
      </c>
      <c r="C1471" s="17">
        <v>568</v>
      </c>
      <c r="D1471" s="17" t="s">
        <v>917</v>
      </c>
      <c r="E1471" s="17">
        <f t="shared" si="55"/>
        <v>16287276677055</v>
      </c>
      <c r="F1471" s="17" t="s">
        <v>918</v>
      </c>
      <c r="G1471" s="17">
        <f t="shared" si="56"/>
        <v>77801675093</v>
      </c>
      <c r="H1471" s="17" t="s">
        <v>919</v>
      </c>
      <c r="I1471" s="17">
        <f t="shared" si="54"/>
        <v>77801675093</v>
      </c>
    </row>
    <row r="1472" spans="1:9" x14ac:dyDescent="0.3">
      <c r="A1472" s="17" t="str">
        <f t="shared" si="53"/>
        <v>2000569</v>
      </c>
      <c r="B1472" s="17">
        <v>200</v>
      </c>
      <c r="C1472" s="17">
        <v>569</v>
      </c>
      <c r="D1472" s="17" t="s">
        <v>917</v>
      </c>
      <c r="E1472" s="17">
        <f t="shared" si="55"/>
        <v>16450149443825</v>
      </c>
      <c r="F1472" s="17" t="s">
        <v>918</v>
      </c>
      <c r="G1472" s="17">
        <f t="shared" si="56"/>
        <v>78579691843</v>
      </c>
      <c r="H1472" s="17" t="s">
        <v>919</v>
      </c>
      <c r="I1472" s="17">
        <f t="shared" si="54"/>
        <v>78579691843</v>
      </c>
    </row>
    <row r="1473" spans="1:9" x14ac:dyDescent="0.3">
      <c r="A1473" s="17" t="str">
        <f t="shared" si="53"/>
        <v>2000570</v>
      </c>
      <c r="B1473" s="17">
        <v>200</v>
      </c>
      <c r="C1473" s="17">
        <v>570</v>
      </c>
      <c r="D1473" s="17" t="s">
        <v>917</v>
      </c>
      <c r="E1473" s="17">
        <f t="shared" si="55"/>
        <v>16614650938263</v>
      </c>
      <c r="F1473" s="17" t="s">
        <v>918</v>
      </c>
      <c r="G1473" s="17">
        <f t="shared" si="56"/>
        <v>79365488761</v>
      </c>
      <c r="H1473" s="17" t="s">
        <v>919</v>
      </c>
      <c r="I1473" s="17">
        <f t="shared" si="54"/>
        <v>79365488761</v>
      </c>
    </row>
    <row r="1474" spans="1:9" x14ac:dyDescent="0.3">
      <c r="A1474" s="17" t="str">
        <f t="shared" si="53"/>
        <v>2000571</v>
      </c>
      <c r="B1474" s="17">
        <v>200</v>
      </c>
      <c r="C1474" s="17">
        <v>571</v>
      </c>
      <c r="D1474" s="17" t="s">
        <v>917</v>
      </c>
      <c r="E1474" s="17">
        <f t="shared" si="55"/>
        <v>16780797447645</v>
      </c>
      <c r="F1474" s="17" t="s">
        <v>918</v>
      </c>
      <c r="G1474" s="17">
        <f t="shared" si="56"/>
        <v>80159143648</v>
      </c>
      <c r="H1474" s="17" t="s">
        <v>919</v>
      </c>
      <c r="I1474" s="17">
        <f t="shared" si="54"/>
        <v>80159143648</v>
      </c>
    </row>
    <row r="1475" spans="1:9" x14ac:dyDescent="0.3">
      <c r="A1475" s="17" t="str">
        <f t="shared" si="53"/>
        <v>2000572</v>
      </c>
      <c r="B1475" s="17">
        <v>200</v>
      </c>
      <c r="C1475" s="17">
        <v>572</v>
      </c>
      <c r="D1475" s="17" t="s">
        <v>917</v>
      </c>
      <c r="E1475" s="17">
        <f t="shared" si="55"/>
        <v>16948605422121</v>
      </c>
      <c r="F1475" s="17" t="s">
        <v>918</v>
      </c>
      <c r="G1475" s="17">
        <f t="shared" si="56"/>
        <v>80960735084</v>
      </c>
      <c r="H1475" s="17" t="s">
        <v>919</v>
      </c>
      <c r="I1475" s="17">
        <f t="shared" si="54"/>
        <v>80960735084</v>
      </c>
    </row>
    <row r="1476" spans="1:9" x14ac:dyDescent="0.3">
      <c r="A1476" s="17" t="str">
        <f t="shared" ref="A1476:A1539" si="57">B1476&amp;TEXT(C1476,"0000")</f>
        <v>2000573</v>
      </c>
      <c r="B1476" s="17">
        <v>200</v>
      </c>
      <c r="C1476" s="17">
        <v>573</v>
      </c>
      <c r="D1476" s="17" t="s">
        <v>917</v>
      </c>
      <c r="E1476" s="17">
        <f t="shared" si="55"/>
        <v>17118091476342</v>
      </c>
      <c r="F1476" s="17" t="s">
        <v>918</v>
      </c>
      <c r="G1476" s="17">
        <f t="shared" si="56"/>
        <v>81770342434</v>
      </c>
      <c r="H1476" s="17" t="s">
        <v>919</v>
      </c>
      <c r="I1476" s="17">
        <f t="shared" si="54"/>
        <v>81770342434</v>
      </c>
    </row>
    <row r="1477" spans="1:9" x14ac:dyDescent="0.3">
      <c r="A1477" s="17" t="str">
        <f t="shared" si="57"/>
        <v>2000574</v>
      </c>
      <c r="B1477" s="17">
        <v>200</v>
      </c>
      <c r="C1477" s="17">
        <v>574</v>
      </c>
      <c r="D1477" s="17" t="s">
        <v>917</v>
      </c>
      <c r="E1477" s="17">
        <f t="shared" si="55"/>
        <v>17289272391105</v>
      </c>
      <c r="F1477" s="17" t="s">
        <v>918</v>
      </c>
      <c r="G1477" s="17">
        <f t="shared" si="56"/>
        <v>82588045858</v>
      </c>
      <c r="H1477" s="17" t="s">
        <v>919</v>
      </c>
      <c r="I1477" s="17">
        <f t="shared" si="54"/>
        <v>82588045858</v>
      </c>
    </row>
    <row r="1478" spans="1:9" x14ac:dyDescent="0.3">
      <c r="A1478" s="17" t="str">
        <f t="shared" si="57"/>
        <v>2000575</v>
      </c>
      <c r="B1478" s="17">
        <v>200</v>
      </c>
      <c r="C1478" s="17">
        <v>575</v>
      </c>
      <c r="D1478" s="17" t="s">
        <v>917</v>
      </c>
      <c r="E1478" s="17">
        <f t="shared" si="55"/>
        <v>17462165115016</v>
      </c>
      <c r="F1478" s="17" t="s">
        <v>918</v>
      </c>
      <c r="G1478" s="17">
        <f t="shared" si="56"/>
        <v>83413926316</v>
      </c>
      <c r="H1478" s="17" t="s">
        <v>919</v>
      </c>
      <c r="I1478" s="17">
        <f t="shared" si="54"/>
        <v>83413926316</v>
      </c>
    </row>
    <row r="1479" spans="1:9" x14ac:dyDescent="0.3">
      <c r="A1479" s="17" t="str">
        <f t="shared" si="57"/>
        <v>2000576</v>
      </c>
      <c r="B1479" s="17">
        <v>200</v>
      </c>
      <c r="C1479" s="17">
        <v>576</v>
      </c>
      <c r="D1479" s="17" t="s">
        <v>917</v>
      </c>
      <c r="E1479" s="17">
        <f t="shared" si="55"/>
        <v>17636786766166</v>
      </c>
      <c r="F1479" s="17" t="s">
        <v>918</v>
      </c>
      <c r="G1479" s="17">
        <f t="shared" si="56"/>
        <v>84248065579</v>
      </c>
      <c r="H1479" s="17" t="s">
        <v>919</v>
      </c>
      <c r="I1479" s="17">
        <f t="shared" si="54"/>
        <v>84248065579</v>
      </c>
    </row>
    <row r="1480" spans="1:9" x14ac:dyDescent="0.3">
      <c r="A1480" s="17" t="str">
        <f t="shared" si="57"/>
        <v>2000577</v>
      </c>
      <c r="B1480" s="17">
        <v>200</v>
      </c>
      <c r="C1480" s="17">
        <v>577</v>
      </c>
      <c r="D1480" s="17" t="s">
        <v>917</v>
      </c>
      <c r="E1480" s="17">
        <f t="shared" si="55"/>
        <v>17813154633827</v>
      </c>
      <c r="F1480" s="17" t="s">
        <v>918</v>
      </c>
      <c r="G1480" s="17">
        <f t="shared" si="56"/>
        <v>85090546234</v>
      </c>
      <c r="H1480" s="17" t="s">
        <v>919</v>
      </c>
      <c r="I1480" s="17">
        <f t="shared" si="54"/>
        <v>85090546234</v>
      </c>
    </row>
    <row r="1481" spans="1:9" x14ac:dyDescent="0.3">
      <c r="A1481" s="17" t="str">
        <f t="shared" si="57"/>
        <v>2000578</v>
      </c>
      <c r="B1481" s="17">
        <v>200</v>
      </c>
      <c r="C1481" s="17">
        <v>578</v>
      </c>
      <c r="D1481" s="17" t="s">
        <v>917</v>
      </c>
      <c r="E1481" s="17">
        <f t="shared" si="55"/>
        <v>17991286180165</v>
      </c>
      <c r="F1481" s="17" t="s">
        <v>918</v>
      </c>
      <c r="G1481" s="17">
        <f t="shared" si="56"/>
        <v>85941451696</v>
      </c>
      <c r="H1481" s="17" t="s">
        <v>919</v>
      </c>
      <c r="I1481" s="17">
        <f t="shared" ref="I1481:I1544" si="58">G1481</f>
        <v>85941451696</v>
      </c>
    </row>
    <row r="1482" spans="1:9" x14ac:dyDescent="0.3">
      <c r="A1482" s="17" t="str">
        <f t="shared" si="57"/>
        <v>2000579</v>
      </c>
      <c r="B1482" s="17">
        <v>200</v>
      </c>
      <c r="C1482" s="17">
        <v>579</v>
      </c>
      <c r="D1482" s="17" t="s">
        <v>917</v>
      </c>
      <c r="E1482" s="17">
        <f t="shared" si="55"/>
        <v>18171199041966</v>
      </c>
      <c r="F1482" s="17" t="s">
        <v>918</v>
      </c>
      <c r="G1482" s="17">
        <f t="shared" si="56"/>
        <v>86800866212</v>
      </c>
      <c r="H1482" s="17" t="s">
        <v>919</v>
      </c>
      <c r="I1482" s="17">
        <f t="shared" si="58"/>
        <v>86800866212</v>
      </c>
    </row>
    <row r="1483" spans="1:9" x14ac:dyDescent="0.3">
      <c r="A1483" s="17" t="str">
        <f t="shared" si="57"/>
        <v>2000580</v>
      </c>
      <c r="B1483" s="17">
        <v>200</v>
      </c>
      <c r="C1483" s="17">
        <v>580</v>
      </c>
      <c r="D1483" s="17" t="s">
        <v>917</v>
      </c>
      <c r="E1483" s="17">
        <f t="shared" si="55"/>
        <v>18352911032385</v>
      </c>
      <c r="F1483" s="17" t="s">
        <v>918</v>
      </c>
      <c r="G1483" s="17">
        <f t="shared" si="56"/>
        <v>87668874874</v>
      </c>
      <c r="H1483" s="17" t="s">
        <v>919</v>
      </c>
      <c r="I1483" s="17">
        <f t="shared" si="58"/>
        <v>87668874874</v>
      </c>
    </row>
    <row r="1484" spans="1:9" x14ac:dyDescent="0.3">
      <c r="A1484" s="17" t="str">
        <f t="shared" si="57"/>
        <v>2000581</v>
      </c>
      <c r="B1484" s="17">
        <v>200</v>
      </c>
      <c r="C1484" s="17">
        <v>581</v>
      </c>
      <c r="D1484" s="17" t="s">
        <v>917</v>
      </c>
      <c r="E1484" s="17">
        <f t="shared" si="55"/>
        <v>18536440142708</v>
      </c>
      <c r="F1484" s="17" t="s">
        <v>918</v>
      </c>
      <c r="G1484" s="17">
        <f t="shared" si="56"/>
        <v>88545563622</v>
      </c>
      <c r="H1484" s="17" t="s">
        <v>919</v>
      </c>
      <c r="I1484" s="17">
        <f t="shared" si="58"/>
        <v>88545563622</v>
      </c>
    </row>
    <row r="1485" spans="1:9" x14ac:dyDescent="0.3">
      <c r="A1485" s="17" t="str">
        <f t="shared" si="57"/>
        <v>2000582</v>
      </c>
      <c r="B1485" s="17">
        <v>200</v>
      </c>
      <c r="C1485" s="17">
        <v>582</v>
      </c>
      <c r="D1485" s="17" t="s">
        <v>917</v>
      </c>
      <c r="E1485" s="17">
        <f t="shared" si="55"/>
        <v>18721804544135</v>
      </c>
      <c r="F1485" s="17" t="s">
        <v>918</v>
      </c>
      <c r="G1485" s="17">
        <f t="shared" si="56"/>
        <v>89431019258</v>
      </c>
      <c r="H1485" s="17" t="s">
        <v>919</v>
      </c>
      <c r="I1485" s="17">
        <f t="shared" si="58"/>
        <v>89431019258</v>
      </c>
    </row>
    <row r="1486" spans="1:9" x14ac:dyDescent="0.3">
      <c r="A1486" s="17" t="str">
        <f t="shared" si="57"/>
        <v>2000583</v>
      </c>
      <c r="B1486" s="17">
        <v>200</v>
      </c>
      <c r="C1486" s="17">
        <v>583</v>
      </c>
      <c r="D1486" s="17" t="s">
        <v>917</v>
      </c>
      <c r="E1486" s="17">
        <f t="shared" si="55"/>
        <v>18909022589576</v>
      </c>
      <c r="F1486" s="17" t="s">
        <v>918</v>
      </c>
      <c r="G1486" s="17">
        <f t="shared" si="56"/>
        <v>90325329450</v>
      </c>
      <c r="H1486" s="17" t="s">
        <v>919</v>
      </c>
      <c r="I1486" s="17">
        <f t="shared" si="58"/>
        <v>90325329450</v>
      </c>
    </row>
    <row r="1487" spans="1:9" x14ac:dyDescent="0.3">
      <c r="A1487" s="17" t="str">
        <f t="shared" si="57"/>
        <v>2000584</v>
      </c>
      <c r="B1487" s="17">
        <v>200</v>
      </c>
      <c r="C1487" s="17">
        <v>584</v>
      </c>
      <c r="D1487" s="17" t="s">
        <v>917</v>
      </c>
      <c r="E1487" s="17">
        <f t="shared" si="55"/>
        <v>19098112815471</v>
      </c>
      <c r="F1487" s="17" t="s">
        <v>918</v>
      </c>
      <c r="G1487" s="17">
        <f t="shared" si="56"/>
        <v>91228582744</v>
      </c>
      <c r="H1487" s="17" t="s">
        <v>919</v>
      </c>
      <c r="I1487" s="17">
        <f t="shared" si="58"/>
        <v>91228582744</v>
      </c>
    </row>
    <row r="1488" spans="1:9" x14ac:dyDescent="0.3">
      <c r="A1488" s="17" t="str">
        <f t="shared" si="57"/>
        <v>2000585</v>
      </c>
      <c r="B1488" s="17">
        <v>200</v>
      </c>
      <c r="C1488" s="17">
        <v>585</v>
      </c>
      <c r="D1488" s="17" t="s">
        <v>917</v>
      </c>
      <c r="E1488" s="17">
        <f t="shared" si="55"/>
        <v>19289093943625</v>
      </c>
      <c r="F1488" s="17" t="s">
        <v>918</v>
      </c>
      <c r="G1488" s="17">
        <f t="shared" si="56"/>
        <v>92140868571</v>
      </c>
      <c r="H1488" s="17" t="s">
        <v>919</v>
      </c>
      <c r="I1488" s="17">
        <f t="shared" si="58"/>
        <v>92140868571</v>
      </c>
    </row>
    <row r="1489" spans="1:9" x14ac:dyDescent="0.3">
      <c r="A1489" s="17" t="str">
        <f t="shared" si="57"/>
        <v>2000586</v>
      </c>
      <c r="B1489" s="17">
        <v>200</v>
      </c>
      <c r="C1489" s="17">
        <v>586</v>
      </c>
      <c r="D1489" s="17" t="s">
        <v>917</v>
      </c>
      <c r="E1489" s="17">
        <f t="shared" si="55"/>
        <v>19481984883061</v>
      </c>
      <c r="F1489" s="17" t="s">
        <v>918</v>
      </c>
      <c r="G1489" s="17">
        <f t="shared" si="56"/>
        <v>93062277256</v>
      </c>
      <c r="H1489" s="17" t="s">
        <v>919</v>
      </c>
      <c r="I1489" s="17">
        <f t="shared" si="58"/>
        <v>93062277256</v>
      </c>
    </row>
    <row r="1490" spans="1:9" x14ac:dyDescent="0.3">
      <c r="A1490" s="17" t="str">
        <f t="shared" si="57"/>
        <v>2000587</v>
      </c>
      <c r="B1490" s="17">
        <v>200</v>
      </c>
      <c r="C1490" s="17">
        <v>587</v>
      </c>
      <c r="D1490" s="17" t="s">
        <v>917</v>
      </c>
      <c r="E1490" s="17">
        <f t="shared" si="55"/>
        <v>19676804731891</v>
      </c>
      <c r="F1490" s="17" t="s">
        <v>918</v>
      </c>
      <c r="G1490" s="17">
        <f t="shared" si="56"/>
        <v>93992900028</v>
      </c>
      <c r="H1490" s="17" t="s">
        <v>919</v>
      </c>
      <c r="I1490" s="17">
        <f t="shared" si="58"/>
        <v>93992900028</v>
      </c>
    </row>
    <row r="1491" spans="1:9" x14ac:dyDescent="0.3">
      <c r="A1491" s="17" t="str">
        <f t="shared" si="57"/>
        <v>2000588</v>
      </c>
      <c r="B1491" s="17">
        <v>200</v>
      </c>
      <c r="C1491" s="17">
        <v>588</v>
      </c>
      <c r="D1491" s="17" t="s">
        <v>917</v>
      </c>
      <c r="E1491" s="17">
        <f t="shared" si="55"/>
        <v>19873572779209</v>
      </c>
      <c r="F1491" s="17" t="s">
        <v>918</v>
      </c>
      <c r="G1491" s="17">
        <f t="shared" si="56"/>
        <v>94932829028</v>
      </c>
      <c r="H1491" s="17" t="s">
        <v>919</v>
      </c>
      <c r="I1491" s="17">
        <f t="shared" si="58"/>
        <v>94932829028</v>
      </c>
    </row>
    <row r="1492" spans="1:9" x14ac:dyDescent="0.3">
      <c r="A1492" s="17" t="str">
        <f t="shared" si="57"/>
        <v>2000589</v>
      </c>
      <c r="B1492" s="17">
        <v>200</v>
      </c>
      <c r="C1492" s="17">
        <v>589</v>
      </c>
      <c r="D1492" s="17" t="s">
        <v>917</v>
      </c>
      <c r="E1492" s="17">
        <f t="shared" si="55"/>
        <v>20072308507001</v>
      </c>
      <c r="F1492" s="17" t="s">
        <v>918</v>
      </c>
      <c r="G1492" s="17">
        <f t="shared" si="56"/>
        <v>95882157318</v>
      </c>
      <c r="H1492" s="17" t="s">
        <v>919</v>
      </c>
      <c r="I1492" s="17">
        <f t="shared" si="58"/>
        <v>95882157318</v>
      </c>
    </row>
    <row r="1493" spans="1:9" x14ac:dyDescent="0.3">
      <c r="A1493" s="17" t="str">
        <f t="shared" si="57"/>
        <v>2000590</v>
      </c>
      <c r="B1493" s="17">
        <v>200</v>
      </c>
      <c r="C1493" s="17">
        <v>590</v>
      </c>
      <c r="D1493" s="17" t="s">
        <v>917</v>
      </c>
      <c r="E1493" s="17">
        <f t="shared" si="55"/>
        <v>20273031592071</v>
      </c>
      <c r="F1493" s="17" t="s">
        <v>918</v>
      </c>
      <c r="G1493" s="17">
        <f t="shared" si="56"/>
        <v>96840978891</v>
      </c>
      <c r="H1493" s="17" t="s">
        <v>919</v>
      </c>
      <c r="I1493" s="17">
        <f t="shared" si="58"/>
        <v>96840978891</v>
      </c>
    </row>
    <row r="1494" spans="1:9" x14ac:dyDescent="0.3">
      <c r="A1494" s="17" t="str">
        <f t="shared" si="57"/>
        <v>2000591</v>
      </c>
      <c r="B1494" s="17">
        <v>200</v>
      </c>
      <c r="C1494" s="17">
        <v>591</v>
      </c>
      <c r="D1494" s="17" t="s">
        <v>917</v>
      </c>
      <c r="E1494" s="17">
        <f t="shared" si="55"/>
        <v>20475761907991</v>
      </c>
      <c r="F1494" s="17" t="s">
        <v>918</v>
      </c>
      <c r="G1494" s="17">
        <f t="shared" si="56"/>
        <v>97809388679</v>
      </c>
      <c r="H1494" s="17" t="s">
        <v>919</v>
      </c>
      <c r="I1494" s="17">
        <f t="shared" si="58"/>
        <v>97809388679</v>
      </c>
    </row>
    <row r="1495" spans="1:9" x14ac:dyDescent="0.3">
      <c r="A1495" s="17" t="str">
        <f t="shared" si="57"/>
        <v>2000592</v>
      </c>
      <c r="B1495" s="17">
        <v>200</v>
      </c>
      <c r="C1495" s="17">
        <v>592</v>
      </c>
      <c r="D1495" s="17" t="s">
        <v>917</v>
      </c>
      <c r="E1495" s="17">
        <f t="shared" si="55"/>
        <v>20680519527070</v>
      </c>
      <c r="F1495" s="17" t="s">
        <v>918</v>
      </c>
      <c r="G1495" s="17">
        <f t="shared" si="56"/>
        <v>98787482565</v>
      </c>
      <c r="H1495" s="17" t="s">
        <v>919</v>
      </c>
      <c r="I1495" s="17">
        <f t="shared" si="58"/>
        <v>98787482565</v>
      </c>
    </row>
    <row r="1496" spans="1:9" x14ac:dyDescent="0.3">
      <c r="A1496" s="17" t="str">
        <f t="shared" si="57"/>
        <v>2000593</v>
      </c>
      <c r="B1496" s="17">
        <v>200</v>
      </c>
      <c r="C1496" s="17">
        <v>593</v>
      </c>
      <c r="D1496" s="17" t="s">
        <v>917</v>
      </c>
      <c r="E1496" s="17">
        <f t="shared" si="55"/>
        <v>20887324722340</v>
      </c>
      <c r="F1496" s="17" t="s">
        <v>918</v>
      </c>
      <c r="G1496" s="17">
        <f t="shared" si="56"/>
        <v>99775357390</v>
      </c>
      <c r="H1496" s="17" t="s">
        <v>919</v>
      </c>
      <c r="I1496" s="17">
        <f t="shared" si="58"/>
        <v>99775357390</v>
      </c>
    </row>
    <row r="1497" spans="1:9" x14ac:dyDescent="0.3">
      <c r="A1497" s="17" t="str">
        <f t="shared" si="57"/>
        <v>2000594</v>
      </c>
      <c r="B1497" s="17">
        <v>200</v>
      </c>
      <c r="C1497" s="17">
        <v>594</v>
      </c>
      <c r="D1497" s="17" t="s">
        <v>917</v>
      </c>
      <c r="E1497" s="17">
        <f t="shared" si="55"/>
        <v>21096197969563</v>
      </c>
      <c r="F1497" s="17" t="s">
        <v>918</v>
      </c>
      <c r="G1497" s="17">
        <f t="shared" si="56"/>
        <v>100773110963</v>
      </c>
      <c r="H1497" s="17" t="s">
        <v>919</v>
      </c>
      <c r="I1497" s="17">
        <f t="shared" si="58"/>
        <v>100773110963</v>
      </c>
    </row>
    <row r="1498" spans="1:9" x14ac:dyDescent="0.3">
      <c r="A1498" s="17" t="str">
        <f t="shared" si="57"/>
        <v>2000595</v>
      </c>
      <c r="B1498" s="17">
        <v>200</v>
      </c>
      <c r="C1498" s="17">
        <v>595</v>
      </c>
      <c r="D1498" s="17" t="s">
        <v>917</v>
      </c>
      <c r="E1498" s="17">
        <f t="shared" si="55"/>
        <v>21307159949258</v>
      </c>
      <c r="F1498" s="17" t="s">
        <v>918</v>
      </c>
      <c r="G1498" s="17">
        <f t="shared" si="56"/>
        <v>101780842072</v>
      </c>
      <c r="H1498" s="17" t="s">
        <v>919</v>
      </c>
      <c r="I1498" s="17">
        <f t="shared" si="58"/>
        <v>101780842072</v>
      </c>
    </row>
    <row r="1499" spans="1:9" x14ac:dyDescent="0.3">
      <c r="A1499" s="17" t="str">
        <f t="shared" si="57"/>
        <v>2000596</v>
      </c>
      <c r="B1499" s="17">
        <v>200</v>
      </c>
      <c r="C1499" s="17">
        <v>596</v>
      </c>
      <c r="D1499" s="17" t="s">
        <v>917</v>
      </c>
      <c r="E1499" s="17">
        <f t="shared" si="55"/>
        <v>21520231548750</v>
      </c>
      <c r="F1499" s="17" t="s">
        <v>918</v>
      </c>
      <c r="G1499" s="17">
        <f t="shared" si="56"/>
        <v>102798650492</v>
      </c>
      <c r="H1499" s="17" t="s">
        <v>919</v>
      </c>
      <c r="I1499" s="17">
        <f t="shared" si="58"/>
        <v>102798650492</v>
      </c>
    </row>
    <row r="1500" spans="1:9" x14ac:dyDescent="0.3">
      <c r="A1500" s="17" t="str">
        <f t="shared" si="57"/>
        <v>2000597</v>
      </c>
      <c r="B1500" s="17">
        <v>200</v>
      </c>
      <c r="C1500" s="17">
        <v>597</v>
      </c>
      <c r="D1500" s="17" t="s">
        <v>917</v>
      </c>
      <c r="E1500" s="17">
        <f t="shared" si="55"/>
        <v>21735433864237</v>
      </c>
      <c r="F1500" s="17" t="s">
        <v>918</v>
      </c>
      <c r="G1500" s="17">
        <f t="shared" si="56"/>
        <v>103826636996</v>
      </c>
      <c r="H1500" s="17" t="s">
        <v>919</v>
      </c>
      <c r="I1500" s="17">
        <f t="shared" si="58"/>
        <v>103826636996</v>
      </c>
    </row>
    <row r="1501" spans="1:9" x14ac:dyDescent="0.3">
      <c r="A1501" s="17" t="str">
        <f t="shared" si="57"/>
        <v>2000598</v>
      </c>
      <c r="B1501" s="17">
        <v>200</v>
      </c>
      <c r="C1501" s="17">
        <v>598</v>
      </c>
      <c r="D1501" s="17" t="s">
        <v>917</v>
      </c>
      <c r="E1501" s="17">
        <f t="shared" si="55"/>
        <v>21952788202879</v>
      </c>
      <c r="F1501" s="17" t="s">
        <v>918</v>
      </c>
      <c r="G1501" s="17">
        <f t="shared" si="56"/>
        <v>104864903365</v>
      </c>
      <c r="H1501" s="17" t="s">
        <v>919</v>
      </c>
      <c r="I1501" s="17">
        <f t="shared" si="58"/>
        <v>104864903365</v>
      </c>
    </row>
    <row r="1502" spans="1:9" x14ac:dyDescent="0.3">
      <c r="A1502" s="17" t="str">
        <f t="shared" si="57"/>
        <v>2000599</v>
      </c>
      <c r="B1502" s="17">
        <v>200</v>
      </c>
      <c r="C1502" s="17">
        <v>599</v>
      </c>
      <c r="D1502" s="17" t="s">
        <v>917</v>
      </c>
      <c r="E1502" s="17">
        <f t="shared" si="55"/>
        <v>22172316084907</v>
      </c>
      <c r="F1502" s="17" t="s">
        <v>918</v>
      </c>
      <c r="G1502" s="17">
        <f t="shared" si="56"/>
        <v>105913552398</v>
      </c>
      <c r="H1502" s="17" t="s">
        <v>919</v>
      </c>
      <c r="I1502" s="17">
        <f t="shared" si="58"/>
        <v>105913552398</v>
      </c>
    </row>
    <row r="1503" spans="1:9" x14ac:dyDescent="0.3">
      <c r="A1503" s="17" t="str">
        <f t="shared" si="57"/>
        <v>2000600</v>
      </c>
      <c r="B1503" s="17">
        <v>200</v>
      </c>
      <c r="C1503" s="17">
        <v>600</v>
      </c>
      <c r="D1503" s="17" t="s">
        <v>917</v>
      </c>
      <c r="E1503" s="17">
        <f t="shared" si="55"/>
        <v>22394039245756</v>
      </c>
      <c r="F1503" s="17" t="s">
        <v>918</v>
      </c>
      <c r="G1503" s="17">
        <f t="shared" si="56"/>
        <v>106972687921</v>
      </c>
      <c r="H1503" s="17" t="s">
        <v>919</v>
      </c>
      <c r="I1503" s="17">
        <f t="shared" si="58"/>
        <v>106972687921</v>
      </c>
    </row>
    <row r="1504" spans="1:9" x14ac:dyDescent="0.3">
      <c r="A1504" s="17" t="str">
        <f t="shared" si="57"/>
        <v>2000601</v>
      </c>
      <c r="B1504" s="17">
        <v>200</v>
      </c>
      <c r="C1504" s="17">
        <v>601</v>
      </c>
      <c r="D1504" s="17" t="s">
        <v>917</v>
      </c>
      <c r="E1504" s="17">
        <f t="shared" si="55"/>
        <v>22617979638213</v>
      </c>
      <c r="F1504" s="17" t="s">
        <v>918</v>
      </c>
      <c r="G1504" s="17">
        <f t="shared" si="56"/>
        <v>108042414800</v>
      </c>
      <c r="H1504" s="17" t="s">
        <v>919</v>
      </c>
      <c r="I1504" s="17">
        <f t="shared" si="58"/>
        <v>108042414800</v>
      </c>
    </row>
    <row r="1505" spans="1:9" x14ac:dyDescent="0.3">
      <c r="A1505" s="17" t="str">
        <f t="shared" si="57"/>
        <v>2000602</v>
      </c>
      <c r="B1505" s="17">
        <v>200</v>
      </c>
      <c r="C1505" s="17">
        <v>602</v>
      </c>
      <c r="D1505" s="17" t="s">
        <v>917</v>
      </c>
      <c r="E1505" s="17">
        <f t="shared" si="55"/>
        <v>22844159434595</v>
      </c>
      <c r="F1505" s="17" t="s">
        <v>918</v>
      </c>
      <c r="G1505" s="17">
        <f t="shared" si="56"/>
        <v>109122838948</v>
      </c>
      <c r="H1505" s="17" t="s">
        <v>919</v>
      </c>
      <c r="I1505" s="17">
        <f t="shared" si="58"/>
        <v>109122838948</v>
      </c>
    </row>
    <row r="1506" spans="1:9" x14ac:dyDescent="0.3">
      <c r="A1506" s="17" t="str">
        <f t="shared" si="57"/>
        <v>2000603</v>
      </c>
      <c r="B1506" s="17">
        <v>200</v>
      </c>
      <c r="C1506" s="17">
        <v>603</v>
      </c>
      <c r="D1506" s="17" t="s">
        <v>917</v>
      </c>
      <c r="E1506" s="17">
        <f t="shared" si="55"/>
        <v>23072601028940</v>
      </c>
      <c r="F1506" s="17" t="s">
        <v>918</v>
      </c>
      <c r="G1506" s="17">
        <f t="shared" si="56"/>
        <v>110214067337</v>
      </c>
      <c r="H1506" s="17" t="s">
        <v>919</v>
      </c>
      <c r="I1506" s="17">
        <f t="shared" si="58"/>
        <v>110214067337</v>
      </c>
    </row>
    <row r="1507" spans="1:9" x14ac:dyDescent="0.3">
      <c r="A1507" s="17" t="str">
        <f t="shared" si="57"/>
        <v>2000604</v>
      </c>
      <c r="B1507" s="17">
        <v>200</v>
      </c>
      <c r="C1507" s="17">
        <v>604</v>
      </c>
      <c r="D1507" s="17" t="s">
        <v>917</v>
      </c>
      <c r="E1507" s="17">
        <f t="shared" si="55"/>
        <v>23303327039229</v>
      </c>
      <c r="F1507" s="17" t="s">
        <v>918</v>
      </c>
      <c r="G1507" s="17">
        <f t="shared" si="56"/>
        <v>111316208010</v>
      </c>
      <c r="H1507" s="17" t="s">
        <v>919</v>
      </c>
      <c r="I1507" s="17">
        <f t="shared" si="58"/>
        <v>111316208010</v>
      </c>
    </row>
    <row r="1508" spans="1:9" x14ac:dyDescent="0.3">
      <c r="A1508" s="17" t="str">
        <f t="shared" si="57"/>
        <v>2000605</v>
      </c>
      <c r="B1508" s="17">
        <v>200</v>
      </c>
      <c r="C1508" s="17">
        <v>605</v>
      </c>
      <c r="D1508" s="17" t="s">
        <v>917</v>
      </c>
      <c r="E1508" s="17">
        <f t="shared" si="55"/>
        <v>23536360309621</v>
      </c>
      <c r="F1508" s="17" t="s">
        <v>918</v>
      </c>
      <c r="G1508" s="17">
        <f t="shared" si="56"/>
        <v>112429370090</v>
      </c>
      <c r="H1508" s="17" t="s">
        <v>919</v>
      </c>
      <c r="I1508" s="17">
        <f t="shared" si="58"/>
        <v>112429370090</v>
      </c>
    </row>
    <row r="1509" spans="1:9" x14ac:dyDescent="0.3">
      <c r="A1509" s="17" t="str">
        <f t="shared" si="57"/>
        <v>2000606</v>
      </c>
      <c r="B1509" s="17">
        <v>200</v>
      </c>
      <c r="C1509" s="17">
        <v>606</v>
      </c>
      <c r="D1509" s="17" t="s">
        <v>917</v>
      </c>
      <c r="E1509" s="17">
        <f t="shared" si="55"/>
        <v>23771723912717</v>
      </c>
      <c r="F1509" s="17" t="s">
        <v>918</v>
      </c>
      <c r="G1509" s="17">
        <f t="shared" si="56"/>
        <v>113553663790</v>
      </c>
      <c r="H1509" s="17" t="s">
        <v>919</v>
      </c>
      <c r="I1509" s="17">
        <f t="shared" si="58"/>
        <v>113553663790</v>
      </c>
    </row>
    <row r="1510" spans="1:9" x14ac:dyDescent="0.3">
      <c r="A1510" s="17" t="str">
        <f t="shared" si="57"/>
        <v>2000607</v>
      </c>
      <c r="B1510" s="17">
        <v>200</v>
      </c>
      <c r="C1510" s="17">
        <v>607</v>
      </c>
      <c r="D1510" s="17" t="s">
        <v>917</v>
      </c>
      <c r="E1510" s="17">
        <f t="shared" si="55"/>
        <v>24009441151844</v>
      </c>
      <c r="F1510" s="17" t="s">
        <v>918</v>
      </c>
      <c r="G1510" s="17">
        <f t="shared" si="56"/>
        <v>114689200427</v>
      </c>
      <c r="H1510" s="17" t="s">
        <v>919</v>
      </c>
      <c r="I1510" s="17">
        <f t="shared" si="58"/>
        <v>114689200427</v>
      </c>
    </row>
    <row r="1511" spans="1:9" x14ac:dyDescent="0.3">
      <c r="A1511" s="17" t="str">
        <f t="shared" si="57"/>
        <v>2000608</v>
      </c>
      <c r="B1511" s="17">
        <v>200</v>
      </c>
      <c r="C1511" s="17">
        <v>608</v>
      </c>
      <c r="D1511" s="17" t="s">
        <v>917</v>
      </c>
      <c r="E1511" s="17">
        <f t="shared" si="55"/>
        <v>24249535563362</v>
      </c>
      <c r="F1511" s="17" t="s">
        <v>918</v>
      </c>
      <c r="G1511" s="17">
        <f t="shared" si="56"/>
        <v>115836092431</v>
      </c>
      <c r="H1511" s="17" t="s">
        <v>919</v>
      </c>
      <c r="I1511" s="17">
        <f t="shared" si="58"/>
        <v>115836092431</v>
      </c>
    </row>
    <row r="1512" spans="1:9" x14ac:dyDescent="0.3">
      <c r="A1512" s="17" t="str">
        <f t="shared" si="57"/>
        <v>2000609</v>
      </c>
      <c r="B1512" s="17">
        <v>200</v>
      </c>
      <c r="C1512" s="17">
        <v>609</v>
      </c>
      <c r="D1512" s="17" t="s">
        <v>917</v>
      </c>
      <c r="E1512" s="17">
        <f t="shared" si="55"/>
        <v>24492030918995</v>
      </c>
      <c r="F1512" s="17" t="s">
        <v>918</v>
      </c>
      <c r="G1512" s="17">
        <f t="shared" si="56"/>
        <v>116994453355</v>
      </c>
      <c r="H1512" s="17" t="s">
        <v>919</v>
      </c>
      <c r="I1512" s="17">
        <f t="shared" si="58"/>
        <v>116994453355</v>
      </c>
    </row>
    <row r="1513" spans="1:9" x14ac:dyDescent="0.3">
      <c r="A1513" s="17" t="str">
        <f t="shared" si="57"/>
        <v>2000610</v>
      </c>
      <c r="B1513" s="17">
        <v>200</v>
      </c>
      <c r="C1513" s="17">
        <v>610</v>
      </c>
      <c r="D1513" s="17" t="s">
        <v>917</v>
      </c>
      <c r="E1513" s="17">
        <f t="shared" si="55"/>
        <v>24736951228184</v>
      </c>
      <c r="F1513" s="17" t="s">
        <v>918</v>
      </c>
      <c r="G1513" s="17">
        <f t="shared" si="56"/>
        <v>118164397888</v>
      </c>
      <c r="H1513" s="17" t="s">
        <v>919</v>
      </c>
      <c r="I1513" s="17">
        <f t="shared" si="58"/>
        <v>118164397888</v>
      </c>
    </row>
    <row r="1514" spans="1:9" x14ac:dyDescent="0.3">
      <c r="A1514" s="17" t="str">
        <f t="shared" si="57"/>
        <v>2000611</v>
      </c>
      <c r="B1514" s="17">
        <v>200</v>
      </c>
      <c r="C1514" s="17">
        <v>611</v>
      </c>
      <c r="D1514" s="17" t="s">
        <v>917</v>
      </c>
      <c r="E1514" s="17">
        <f t="shared" si="55"/>
        <v>24984320740465</v>
      </c>
      <c r="F1514" s="17" t="s">
        <v>918</v>
      </c>
      <c r="G1514" s="17">
        <f t="shared" si="56"/>
        <v>119346041866</v>
      </c>
      <c r="H1514" s="17" t="s">
        <v>919</v>
      </c>
      <c r="I1514" s="17">
        <f t="shared" si="58"/>
        <v>119346041866</v>
      </c>
    </row>
    <row r="1515" spans="1:9" x14ac:dyDescent="0.3">
      <c r="A1515" s="17" t="str">
        <f t="shared" si="57"/>
        <v>2000612</v>
      </c>
      <c r="B1515" s="17">
        <v>200</v>
      </c>
      <c r="C1515" s="17">
        <v>612</v>
      </c>
      <c r="D1515" s="17" t="s">
        <v>917</v>
      </c>
      <c r="E1515" s="17">
        <f t="shared" si="55"/>
        <v>25234163947869</v>
      </c>
      <c r="F1515" s="17" t="s">
        <v>918</v>
      </c>
      <c r="G1515" s="17">
        <f t="shared" si="56"/>
        <v>120539502284</v>
      </c>
      <c r="H1515" s="17" t="s">
        <v>919</v>
      </c>
      <c r="I1515" s="17">
        <f t="shared" si="58"/>
        <v>120539502284</v>
      </c>
    </row>
    <row r="1516" spans="1:9" x14ac:dyDescent="0.3">
      <c r="A1516" s="17" t="str">
        <f t="shared" si="57"/>
        <v>2000613</v>
      </c>
      <c r="B1516" s="17">
        <v>200</v>
      </c>
      <c r="C1516" s="17">
        <v>613</v>
      </c>
      <c r="D1516" s="17" t="s">
        <v>917</v>
      </c>
      <c r="E1516" s="17">
        <f t="shared" si="55"/>
        <v>25486505587347</v>
      </c>
      <c r="F1516" s="17" t="s">
        <v>918</v>
      </c>
      <c r="G1516" s="17">
        <f t="shared" si="56"/>
        <v>121744897306</v>
      </c>
      <c r="H1516" s="17" t="s">
        <v>919</v>
      </c>
      <c r="I1516" s="17">
        <f t="shared" si="58"/>
        <v>121744897306</v>
      </c>
    </row>
    <row r="1517" spans="1:9" x14ac:dyDescent="0.3">
      <c r="A1517" s="17" t="str">
        <f t="shared" si="57"/>
        <v>2000614</v>
      </c>
      <c r="B1517" s="17">
        <v>200</v>
      </c>
      <c r="C1517" s="17">
        <v>614</v>
      </c>
      <c r="D1517" s="17" t="s">
        <v>917</v>
      </c>
      <c r="E1517" s="17">
        <f t="shared" si="55"/>
        <v>25741370643220</v>
      </c>
      <c r="F1517" s="17" t="s">
        <v>918</v>
      </c>
      <c r="G1517" s="17">
        <f t="shared" si="56"/>
        <v>122962346279</v>
      </c>
      <c r="H1517" s="17" t="s">
        <v>919</v>
      </c>
      <c r="I1517" s="17">
        <f t="shared" si="58"/>
        <v>122962346279</v>
      </c>
    </row>
    <row r="1518" spans="1:9" x14ac:dyDescent="0.3">
      <c r="A1518" s="17" t="str">
        <f t="shared" si="57"/>
        <v>2000615</v>
      </c>
      <c r="B1518" s="17">
        <v>200</v>
      </c>
      <c r="C1518" s="17">
        <v>615</v>
      </c>
      <c r="D1518" s="17" t="s">
        <v>917</v>
      </c>
      <c r="E1518" s="17">
        <f t="shared" si="55"/>
        <v>25998784349652</v>
      </c>
      <c r="F1518" s="17" t="s">
        <v>918</v>
      </c>
      <c r="G1518" s="17">
        <f t="shared" si="56"/>
        <v>124191969741</v>
      </c>
      <c r="H1518" s="17" t="s">
        <v>919</v>
      </c>
      <c r="I1518" s="17">
        <f t="shared" si="58"/>
        <v>124191969741</v>
      </c>
    </row>
    <row r="1519" spans="1:9" x14ac:dyDescent="0.3">
      <c r="A1519" s="17" t="str">
        <f t="shared" si="57"/>
        <v>2000616</v>
      </c>
      <c r="B1519" s="17">
        <v>200</v>
      </c>
      <c r="C1519" s="17">
        <v>616</v>
      </c>
      <c r="D1519" s="17" t="s">
        <v>917</v>
      </c>
      <c r="E1519" s="17">
        <f t="shared" si="55"/>
        <v>26258772193148</v>
      </c>
      <c r="F1519" s="17" t="s">
        <v>918</v>
      </c>
      <c r="G1519" s="17">
        <f t="shared" si="56"/>
        <v>125433889438</v>
      </c>
      <c r="H1519" s="17" t="s">
        <v>919</v>
      </c>
      <c r="I1519" s="17">
        <f t="shared" si="58"/>
        <v>125433889438</v>
      </c>
    </row>
    <row r="1520" spans="1:9" x14ac:dyDescent="0.3">
      <c r="A1520" s="17" t="str">
        <f t="shared" si="57"/>
        <v>2000617</v>
      </c>
      <c r="B1520" s="17">
        <v>200</v>
      </c>
      <c r="C1520" s="17">
        <v>617</v>
      </c>
      <c r="D1520" s="17" t="s">
        <v>917</v>
      </c>
      <c r="E1520" s="17">
        <f t="shared" si="55"/>
        <v>26521359915079</v>
      </c>
      <c r="F1520" s="17" t="s">
        <v>918</v>
      </c>
      <c r="G1520" s="17">
        <f t="shared" si="56"/>
        <v>126688228332</v>
      </c>
      <c r="H1520" s="17" t="s">
        <v>919</v>
      </c>
      <c r="I1520" s="17">
        <f t="shared" si="58"/>
        <v>126688228332</v>
      </c>
    </row>
    <row r="1521" spans="1:9" x14ac:dyDescent="0.3">
      <c r="A1521" s="17" t="str">
        <f t="shared" si="57"/>
        <v>2000618</v>
      </c>
      <c r="B1521" s="17">
        <v>200</v>
      </c>
      <c r="C1521" s="17">
        <v>618</v>
      </c>
      <c r="D1521" s="17" t="s">
        <v>917</v>
      </c>
      <c r="E1521" s="17">
        <f t="shared" si="55"/>
        <v>26786573514229</v>
      </c>
      <c r="F1521" s="17" t="s">
        <v>918</v>
      </c>
      <c r="G1521" s="17">
        <f t="shared" si="56"/>
        <v>127955110615</v>
      </c>
      <c r="H1521" s="17" t="s">
        <v>919</v>
      </c>
      <c r="I1521" s="17">
        <f t="shared" si="58"/>
        <v>127955110615</v>
      </c>
    </row>
    <row r="1522" spans="1:9" x14ac:dyDescent="0.3">
      <c r="A1522" s="17" t="str">
        <f t="shared" si="57"/>
        <v>2000619</v>
      </c>
      <c r="B1522" s="17">
        <v>200</v>
      </c>
      <c r="C1522" s="17">
        <v>619</v>
      </c>
      <c r="D1522" s="17" t="s">
        <v>917</v>
      </c>
      <c r="E1522" s="17">
        <f t="shared" si="55"/>
        <v>27054439249371</v>
      </c>
      <c r="F1522" s="17" t="s">
        <v>918</v>
      </c>
      <c r="G1522" s="17">
        <f t="shared" si="56"/>
        <v>129234661721</v>
      </c>
      <c r="H1522" s="17" t="s">
        <v>919</v>
      </c>
      <c r="I1522" s="17">
        <f t="shared" si="58"/>
        <v>129234661721</v>
      </c>
    </row>
    <row r="1523" spans="1:9" x14ac:dyDescent="0.3">
      <c r="A1523" s="17" t="str">
        <f t="shared" si="57"/>
        <v>2000620</v>
      </c>
      <c r="B1523" s="17">
        <v>200</v>
      </c>
      <c r="C1523" s="17">
        <v>620</v>
      </c>
      <c r="D1523" s="17" t="s">
        <v>917</v>
      </c>
      <c r="E1523" s="17">
        <f t="shared" si="55"/>
        <v>27324983641864</v>
      </c>
      <c r="F1523" s="17" t="s">
        <v>918</v>
      </c>
      <c r="G1523" s="17">
        <f t="shared" si="56"/>
        <v>130527008338</v>
      </c>
      <c r="H1523" s="17" t="s">
        <v>919</v>
      </c>
      <c r="I1523" s="17">
        <f t="shared" si="58"/>
        <v>130527008338</v>
      </c>
    </row>
    <row r="1524" spans="1:9" x14ac:dyDescent="0.3">
      <c r="A1524" s="17" t="str">
        <f t="shared" si="57"/>
        <v>2000621</v>
      </c>
      <c r="B1524" s="17">
        <v>200</v>
      </c>
      <c r="C1524" s="17">
        <v>621</v>
      </c>
      <c r="D1524" s="17" t="s">
        <v>917</v>
      </c>
      <c r="E1524" s="17">
        <f t="shared" ref="E1524:E1587" si="59">INT(E1523*1.01)</f>
        <v>27598233478282</v>
      </c>
      <c r="F1524" s="17" t="s">
        <v>918</v>
      </c>
      <c r="G1524" s="17">
        <f t="shared" ref="G1524:G1587" si="60">INT(G1523*1.01)</f>
        <v>131832278421</v>
      </c>
      <c r="H1524" s="17" t="s">
        <v>919</v>
      </c>
      <c r="I1524" s="17">
        <f t="shared" si="58"/>
        <v>131832278421</v>
      </c>
    </row>
    <row r="1525" spans="1:9" x14ac:dyDescent="0.3">
      <c r="A1525" s="17" t="str">
        <f t="shared" si="57"/>
        <v>2000622</v>
      </c>
      <c r="B1525" s="17">
        <v>200</v>
      </c>
      <c r="C1525" s="17">
        <v>622</v>
      </c>
      <c r="D1525" s="17" t="s">
        <v>917</v>
      </c>
      <c r="E1525" s="17">
        <f t="shared" si="59"/>
        <v>27874215813064</v>
      </c>
      <c r="F1525" s="17" t="s">
        <v>918</v>
      </c>
      <c r="G1525" s="17">
        <f t="shared" si="60"/>
        <v>133150601205</v>
      </c>
      <c r="H1525" s="17" t="s">
        <v>919</v>
      </c>
      <c r="I1525" s="17">
        <f t="shared" si="58"/>
        <v>133150601205</v>
      </c>
    </row>
    <row r="1526" spans="1:9" x14ac:dyDescent="0.3">
      <c r="A1526" s="17" t="str">
        <f t="shared" si="57"/>
        <v>2000623</v>
      </c>
      <c r="B1526" s="17">
        <v>200</v>
      </c>
      <c r="C1526" s="17">
        <v>623</v>
      </c>
      <c r="D1526" s="17" t="s">
        <v>917</v>
      </c>
      <c r="E1526" s="17">
        <f t="shared" si="59"/>
        <v>28152957971194</v>
      </c>
      <c r="F1526" s="17" t="s">
        <v>918</v>
      </c>
      <c r="G1526" s="17">
        <f t="shared" si="60"/>
        <v>134482107217</v>
      </c>
      <c r="H1526" s="17" t="s">
        <v>919</v>
      </c>
      <c r="I1526" s="17">
        <f t="shared" si="58"/>
        <v>134482107217</v>
      </c>
    </row>
    <row r="1527" spans="1:9" x14ac:dyDescent="0.3">
      <c r="A1527" s="17" t="str">
        <f t="shared" si="57"/>
        <v>2000624</v>
      </c>
      <c r="B1527" s="17">
        <v>200</v>
      </c>
      <c r="C1527" s="17">
        <v>624</v>
      </c>
      <c r="D1527" s="17" t="s">
        <v>917</v>
      </c>
      <c r="E1527" s="17">
        <f t="shared" si="59"/>
        <v>28434487550905</v>
      </c>
      <c r="F1527" s="17" t="s">
        <v>918</v>
      </c>
      <c r="G1527" s="17">
        <f t="shared" si="60"/>
        <v>135826928289</v>
      </c>
      <c r="H1527" s="17" t="s">
        <v>919</v>
      </c>
      <c r="I1527" s="17">
        <f t="shared" si="58"/>
        <v>135826928289</v>
      </c>
    </row>
    <row r="1528" spans="1:9" x14ac:dyDescent="0.3">
      <c r="A1528" s="17" t="str">
        <f t="shared" si="57"/>
        <v>2000625</v>
      </c>
      <c r="B1528" s="17">
        <v>200</v>
      </c>
      <c r="C1528" s="17">
        <v>625</v>
      </c>
      <c r="D1528" s="17" t="s">
        <v>917</v>
      </c>
      <c r="E1528" s="17">
        <f t="shared" si="59"/>
        <v>28718832426414</v>
      </c>
      <c r="F1528" s="17" t="s">
        <v>918</v>
      </c>
      <c r="G1528" s="17">
        <f t="shared" si="60"/>
        <v>137185197571</v>
      </c>
      <c r="H1528" s="17" t="s">
        <v>919</v>
      </c>
      <c r="I1528" s="17">
        <f t="shared" si="58"/>
        <v>137185197571</v>
      </c>
    </row>
    <row r="1529" spans="1:9" x14ac:dyDescent="0.3">
      <c r="A1529" s="17" t="str">
        <f t="shared" si="57"/>
        <v>2000626</v>
      </c>
      <c r="B1529" s="17">
        <v>200</v>
      </c>
      <c r="C1529" s="17">
        <v>626</v>
      </c>
      <c r="D1529" s="17" t="s">
        <v>917</v>
      </c>
      <c r="E1529" s="17">
        <f t="shared" si="59"/>
        <v>29006020750678</v>
      </c>
      <c r="F1529" s="17" t="s">
        <v>918</v>
      </c>
      <c r="G1529" s="17">
        <f t="shared" si="60"/>
        <v>138557049546</v>
      </c>
      <c r="H1529" s="17" t="s">
        <v>919</v>
      </c>
      <c r="I1529" s="17">
        <f t="shared" si="58"/>
        <v>138557049546</v>
      </c>
    </row>
    <row r="1530" spans="1:9" x14ac:dyDescent="0.3">
      <c r="A1530" s="17" t="str">
        <f t="shared" si="57"/>
        <v>2000627</v>
      </c>
      <c r="B1530" s="17">
        <v>200</v>
      </c>
      <c r="C1530" s="17">
        <v>627</v>
      </c>
      <c r="D1530" s="17" t="s">
        <v>917</v>
      </c>
      <c r="E1530" s="17">
        <f t="shared" si="59"/>
        <v>29296080958184</v>
      </c>
      <c r="F1530" s="17" t="s">
        <v>918</v>
      </c>
      <c r="G1530" s="17">
        <f t="shared" si="60"/>
        <v>139942620041</v>
      </c>
      <c r="H1530" s="17" t="s">
        <v>919</v>
      </c>
      <c r="I1530" s="17">
        <f t="shared" si="58"/>
        <v>139942620041</v>
      </c>
    </row>
    <row r="1531" spans="1:9" x14ac:dyDescent="0.3">
      <c r="A1531" s="17" t="str">
        <f t="shared" si="57"/>
        <v>2000628</v>
      </c>
      <c r="B1531" s="17">
        <v>200</v>
      </c>
      <c r="C1531" s="17">
        <v>628</v>
      </c>
      <c r="D1531" s="17" t="s">
        <v>917</v>
      </c>
      <c r="E1531" s="17">
        <f t="shared" si="59"/>
        <v>29589041767765</v>
      </c>
      <c r="F1531" s="17" t="s">
        <v>918</v>
      </c>
      <c r="G1531" s="17">
        <f t="shared" si="60"/>
        <v>141342046241</v>
      </c>
      <c r="H1531" s="17" t="s">
        <v>919</v>
      </c>
      <c r="I1531" s="17">
        <f t="shared" si="58"/>
        <v>141342046241</v>
      </c>
    </row>
    <row r="1532" spans="1:9" x14ac:dyDescent="0.3">
      <c r="A1532" s="17" t="str">
        <f t="shared" si="57"/>
        <v>2000629</v>
      </c>
      <c r="B1532" s="17">
        <v>200</v>
      </c>
      <c r="C1532" s="17">
        <v>629</v>
      </c>
      <c r="D1532" s="17" t="s">
        <v>917</v>
      </c>
      <c r="E1532" s="17">
        <f t="shared" si="59"/>
        <v>29884932185442</v>
      </c>
      <c r="F1532" s="17" t="s">
        <v>918</v>
      </c>
      <c r="G1532" s="17">
        <f t="shared" si="60"/>
        <v>142755466703</v>
      </c>
      <c r="H1532" s="17" t="s">
        <v>919</v>
      </c>
      <c r="I1532" s="17">
        <f t="shared" si="58"/>
        <v>142755466703</v>
      </c>
    </row>
    <row r="1533" spans="1:9" x14ac:dyDescent="0.3">
      <c r="A1533" s="17" t="str">
        <f t="shared" si="57"/>
        <v>2000630</v>
      </c>
      <c r="B1533" s="17">
        <v>200</v>
      </c>
      <c r="C1533" s="17">
        <v>630</v>
      </c>
      <c r="D1533" s="17" t="s">
        <v>917</v>
      </c>
      <c r="E1533" s="17">
        <f t="shared" si="59"/>
        <v>30183781507296</v>
      </c>
      <c r="F1533" s="17" t="s">
        <v>918</v>
      </c>
      <c r="G1533" s="17">
        <f t="shared" si="60"/>
        <v>144183021370</v>
      </c>
      <c r="H1533" s="17" t="s">
        <v>919</v>
      </c>
      <c r="I1533" s="17">
        <f t="shared" si="58"/>
        <v>144183021370</v>
      </c>
    </row>
    <row r="1534" spans="1:9" x14ac:dyDescent="0.3">
      <c r="A1534" s="17" t="str">
        <f t="shared" si="57"/>
        <v>2000631</v>
      </c>
      <c r="B1534" s="17">
        <v>200</v>
      </c>
      <c r="C1534" s="17">
        <v>631</v>
      </c>
      <c r="D1534" s="17" t="s">
        <v>917</v>
      </c>
      <c r="E1534" s="17">
        <f t="shared" si="59"/>
        <v>30485619322369</v>
      </c>
      <c r="F1534" s="17" t="s">
        <v>918</v>
      </c>
      <c r="G1534" s="17">
        <f t="shared" si="60"/>
        <v>145624851583</v>
      </c>
      <c r="H1534" s="17" t="s">
        <v>919</v>
      </c>
      <c r="I1534" s="17">
        <f t="shared" si="58"/>
        <v>145624851583</v>
      </c>
    </row>
    <row r="1535" spans="1:9" x14ac:dyDescent="0.3">
      <c r="A1535" s="17" t="str">
        <f t="shared" si="57"/>
        <v>2000632</v>
      </c>
      <c r="B1535" s="17">
        <v>200</v>
      </c>
      <c r="C1535" s="17">
        <v>632</v>
      </c>
      <c r="D1535" s="17" t="s">
        <v>917</v>
      </c>
      <c r="E1535" s="17">
        <f t="shared" si="59"/>
        <v>30790475515592</v>
      </c>
      <c r="F1535" s="17" t="s">
        <v>918</v>
      </c>
      <c r="G1535" s="17">
        <f t="shared" si="60"/>
        <v>147081100098</v>
      </c>
      <c r="H1535" s="17" t="s">
        <v>919</v>
      </c>
      <c r="I1535" s="17">
        <f t="shared" si="58"/>
        <v>147081100098</v>
      </c>
    </row>
    <row r="1536" spans="1:9" x14ac:dyDescent="0.3">
      <c r="A1536" s="17" t="str">
        <f t="shared" si="57"/>
        <v>2000633</v>
      </c>
      <c r="B1536" s="17">
        <v>200</v>
      </c>
      <c r="C1536" s="17">
        <v>633</v>
      </c>
      <c r="D1536" s="17" t="s">
        <v>917</v>
      </c>
      <c r="E1536" s="17">
        <f t="shared" si="59"/>
        <v>31098380270747</v>
      </c>
      <c r="F1536" s="17" t="s">
        <v>918</v>
      </c>
      <c r="G1536" s="17">
        <f t="shared" si="60"/>
        <v>148551911098</v>
      </c>
      <c r="H1536" s="17" t="s">
        <v>919</v>
      </c>
      <c r="I1536" s="17">
        <f t="shared" si="58"/>
        <v>148551911098</v>
      </c>
    </row>
    <row r="1537" spans="1:9" x14ac:dyDescent="0.3">
      <c r="A1537" s="17" t="str">
        <f t="shared" si="57"/>
        <v>2000634</v>
      </c>
      <c r="B1537" s="17">
        <v>200</v>
      </c>
      <c r="C1537" s="17">
        <v>634</v>
      </c>
      <c r="D1537" s="17" t="s">
        <v>917</v>
      </c>
      <c r="E1537" s="17">
        <f t="shared" si="59"/>
        <v>31409364073454</v>
      </c>
      <c r="F1537" s="17" t="s">
        <v>918</v>
      </c>
      <c r="G1537" s="17">
        <f t="shared" si="60"/>
        <v>150037430208</v>
      </c>
      <c r="H1537" s="17" t="s">
        <v>919</v>
      </c>
      <c r="I1537" s="17">
        <f t="shared" si="58"/>
        <v>150037430208</v>
      </c>
    </row>
    <row r="1538" spans="1:9" x14ac:dyDescent="0.3">
      <c r="A1538" s="17" t="str">
        <f t="shared" si="57"/>
        <v>2000635</v>
      </c>
      <c r="B1538" s="17">
        <v>200</v>
      </c>
      <c r="C1538" s="17">
        <v>635</v>
      </c>
      <c r="D1538" s="17" t="s">
        <v>917</v>
      </c>
      <c r="E1538" s="17">
        <f t="shared" si="59"/>
        <v>31723457714188</v>
      </c>
      <c r="F1538" s="17" t="s">
        <v>918</v>
      </c>
      <c r="G1538" s="17">
        <f t="shared" si="60"/>
        <v>151537804510</v>
      </c>
      <c r="H1538" s="17" t="s">
        <v>919</v>
      </c>
      <c r="I1538" s="17">
        <f t="shared" si="58"/>
        <v>151537804510</v>
      </c>
    </row>
    <row r="1539" spans="1:9" x14ac:dyDescent="0.3">
      <c r="A1539" s="17" t="str">
        <f t="shared" si="57"/>
        <v>2000636</v>
      </c>
      <c r="B1539" s="17">
        <v>200</v>
      </c>
      <c r="C1539" s="17">
        <v>636</v>
      </c>
      <c r="D1539" s="17" t="s">
        <v>917</v>
      </c>
      <c r="E1539" s="17">
        <f t="shared" si="59"/>
        <v>32040692291329</v>
      </c>
      <c r="F1539" s="17" t="s">
        <v>918</v>
      </c>
      <c r="G1539" s="17">
        <f t="shared" si="60"/>
        <v>153053182555</v>
      </c>
      <c r="H1539" s="17" t="s">
        <v>919</v>
      </c>
      <c r="I1539" s="17">
        <f t="shared" si="58"/>
        <v>153053182555</v>
      </c>
    </row>
    <row r="1540" spans="1:9" x14ac:dyDescent="0.3">
      <c r="A1540" s="17" t="str">
        <f t="shared" ref="A1540:A1603" si="61">B1540&amp;TEXT(C1540,"0000")</f>
        <v>2000637</v>
      </c>
      <c r="B1540" s="17">
        <v>200</v>
      </c>
      <c r="C1540" s="17">
        <v>637</v>
      </c>
      <c r="D1540" s="17" t="s">
        <v>917</v>
      </c>
      <c r="E1540" s="17">
        <f t="shared" si="59"/>
        <v>32361099214242</v>
      </c>
      <c r="F1540" s="17" t="s">
        <v>918</v>
      </c>
      <c r="G1540" s="17">
        <f t="shared" si="60"/>
        <v>154583714380</v>
      </c>
      <c r="H1540" s="17" t="s">
        <v>919</v>
      </c>
      <c r="I1540" s="17">
        <f t="shared" si="58"/>
        <v>154583714380</v>
      </c>
    </row>
    <row r="1541" spans="1:9" x14ac:dyDescent="0.3">
      <c r="A1541" s="17" t="str">
        <f t="shared" si="61"/>
        <v>2000638</v>
      </c>
      <c r="B1541" s="17">
        <v>200</v>
      </c>
      <c r="C1541" s="17">
        <v>638</v>
      </c>
      <c r="D1541" s="17" t="s">
        <v>917</v>
      </c>
      <c r="E1541" s="17">
        <f t="shared" si="59"/>
        <v>32684710206384</v>
      </c>
      <c r="F1541" s="17" t="s">
        <v>918</v>
      </c>
      <c r="G1541" s="17">
        <f t="shared" si="60"/>
        <v>156129551523</v>
      </c>
      <c r="H1541" s="17" t="s">
        <v>919</v>
      </c>
      <c r="I1541" s="17">
        <f t="shared" si="58"/>
        <v>156129551523</v>
      </c>
    </row>
    <row r="1542" spans="1:9" x14ac:dyDescent="0.3">
      <c r="A1542" s="17" t="str">
        <f t="shared" si="61"/>
        <v>2000639</v>
      </c>
      <c r="B1542" s="17">
        <v>200</v>
      </c>
      <c r="C1542" s="17">
        <v>639</v>
      </c>
      <c r="D1542" s="17" t="s">
        <v>917</v>
      </c>
      <c r="E1542" s="17">
        <f t="shared" si="59"/>
        <v>33011557308447</v>
      </c>
      <c r="F1542" s="17" t="s">
        <v>918</v>
      </c>
      <c r="G1542" s="17">
        <f t="shared" si="60"/>
        <v>157690847038</v>
      </c>
      <c r="H1542" s="17" t="s">
        <v>919</v>
      </c>
      <c r="I1542" s="17">
        <f t="shared" si="58"/>
        <v>157690847038</v>
      </c>
    </row>
    <row r="1543" spans="1:9" x14ac:dyDescent="0.3">
      <c r="A1543" s="17" t="str">
        <f t="shared" si="61"/>
        <v>2000640</v>
      </c>
      <c r="B1543" s="17">
        <v>200</v>
      </c>
      <c r="C1543" s="17">
        <v>640</v>
      </c>
      <c r="D1543" s="17" t="s">
        <v>917</v>
      </c>
      <c r="E1543" s="17">
        <f t="shared" si="59"/>
        <v>33341672881531</v>
      </c>
      <c r="F1543" s="17" t="s">
        <v>918</v>
      </c>
      <c r="G1543" s="17">
        <f t="shared" si="60"/>
        <v>159267755508</v>
      </c>
      <c r="H1543" s="17" t="s">
        <v>919</v>
      </c>
      <c r="I1543" s="17">
        <f t="shared" si="58"/>
        <v>159267755508</v>
      </c>
    </row>
    <row r="1544" spans="1:9" x14ac:dyDescent="0.3">
      <c r="A1544" s="17" t="str">
        <f t="shared" si="61"/>
        <v>2000641</v>
      </c>
      <c r="B1544" s="17">
        <v>200</v>
      </c>
      <c r="C1544" s="17">
        <v>641</v>
      </c>
      <c r="D1544" s="17" t="s">
        <v>917</v>
      </c>
      <c r="E1544" s="17">
        <f t="shared" si="59"/>
        <v>33675089610346</v>
      </c>
      <c r="F1544" s="17" t="s">
        <v>918</v>
      </c>
      <c r="G1544" s="17">
        <f t="shared" si="60"/>
        <v>160860433063</v>
      </c>
      <c r="H1544" s="17" t="s">
        <v>919</v>
      </c>
      <c r="I1544" s="17">
        <f t="shared" si="58"/>
        <v>160860433063</v>
      </c>
    </row>
    <row r="1545" spans="1:9" x14ac:dyDescent="0.3">
      <c r="A1545" s="17" t="str">
        <f t="shared" si="61"/>
        <v>2000642</v>
      </c>
      <c r="B1545" s="17">
        <v>200</v>
      </c>
      <c r="C1545" s="17">
        <v>642</v>
      </c>
      <c r="D1545" s="17" t="s">
        <v>917</v>
      </c>
      <c r="E1545" s="17">
        <f t="shared" si="59"/>
        <v>34011840506449</v>
      </c>
      <c r="F1545" s="17" t="s">
        <v>918</v>
      </c>
      <c r="G1545" s="17">
        <f t="shared" si="60"/>
        <v>162469037393</v>
      </c>
      <c r="H1545" s="17" t="s">
        <v>919</v>
      </c>
      <c r="I1545" s="17">
        <f t="shared" ref="I1545:I1608" si="62">G1545</f>
        <v>162469037393</v>
      </c>
    </row>
    <row r="1546" spans="1:9" x14ac:dyDescent="0.3">
      <c r="A1546" s="17" t="str">
        <f t="shared" si="61"/>
        <v>2000643</v>
      </c>
      <c r="B1546" s="17">
        <v>200</v>
      </c>
      <c r="C1546" s="17">
        <v>643</v>
      </c>
      <c r="D1546" s="17" t="s">
        <v>917</v>
      </c>
      <c r="E1546" s="17">
        <f t="shared" si="59"/>
        <v>34351958911513</v>
      </c>
      <c r="F1546" s="17" t="s">
        <v>918</v>
      </c>
      <c r="G1546" s="17">
        <f t="shared" si="60"/>
        <v>164093727766</v>
      </c>
      <c r="H1546" s="17" t="s">
        <v>919</v>
      </c>
      <c r="I1546" s="17">
        <f t="shared" si="62"/>
        <v>164093727766</v>
      </c>
    </row>
    <row r="1547" spans="1:9" x14ac:dyDescent="0.3">
      <c r="A1547" s="17" t="str">
        <f t="shared" si="61"/>
        <v>2000644</v>
      </c>
      <c r="B1547" s="17">
        <v>200</v>
      </c>
      <c r="C1547" s="17">
        <v>644</v>
      </c>
      <c r="D1547" s="17" t="s">
        <v>917</v>
      </c>
      <c r="E1547" s="17">
        <f t="shared" si="59"/>
        <v>34695478500628</v>
      </c>
      <c r="F1547" s="17" t="s">
        <v>918</v>
      </c>
      <c r="G1547" s="17">
        <f t="shared" si="60"/>
        <v>165734665043</v>
      </c>
      <c r="H1547" s="17" t="s">
        <v>919</v>
      </c>
      <c r="I1547" s="17">
        <f t="shared" si="62"/>
        <v>165734665043</v>
      </c>
    </row>
    <row r="1548" spans="1:9" x14ac:dyDescent="0.3">
      <c r="A1548" s="17" t="str">
        <f t="shared" si="61"/>
        <v>2000645</v>
      </c>
      <c r="B1548" s="17">
        <v>200</v>
      </c>
      <c r="C1548" s="17">
        <v>645</v>
      </c>
      <c r="D1548" s="17" t="s">
        <v>917</v>
      </c>
      <c r="E1548" s="17">
        <f t="shared" si="59"/>
        <v>35042433285634</v>
      </c>
      <c r="F1548" s="17" t="s">
        <v>918</v>
      </c>
      <c r="G1548" s="17">
        <f t="shared" si="60"/>
        <v>167392011693</v>
      </c>
      <c r="H1548" s="17" t="s">
        <v>919</v>
      </c>
      <c r="I1548" s="17">
        <f t="shared" si="62"/>
        <v>167392011693</v>
      </c>
    </row>
    <row r="1549" spans="1:9" x14ac:dyDescent="0.3">
      <c r="A1549" s="17" t="str">
        <f t="shared" si="61"/>
        <v>2000646</v>
      </c>
      <c r="B1549" s="17">
        <v>200</v>
      </c>
      <c r="C1549" s="17">
        <v>646</v>
      </c>
      <c r="D1549" s="17" t="s">
        <v>917</v>
      </c>
      <c r="E1549" s="17">
        <f t="shared" si="59"/>
        <v>35392857618490</v>
      </c>
      <c r="F1549" s="17" t="s">
        <v>918</v>
      </c>
      <c r="G1549" s="17">
        <f t="shared" si="60"/>
        <v>169065931809</v>
      </c>
      <c r="H1549" s="17" t="s">
        <v>919</v>
      </c>
      <c r="I1549" s="17">
        <f t="shared" si="62"/>
        <v>169065931809</v>
      </c>
    </row>
    <row r="1550" spans="1:9" x14ac:dyDescent="0.3">
      <c r="A1550" s="17" t="str">
        <f t="shared" si="61"/>
        <v>2000647</v>
      </c>
      <c r="B1550" s="17">
        <v>200</v>
      </c>
      <c r="C1550" s="17">
        <v>647</v>
      </c>
      <c r="D1550" s="17" t="s">
        <v>917</v>
      </c>
      <c r="E1550" s="17">
        <f t="shared" si="59"/>
        <v>35746786194674</v>
      </c>
      <c r="F1550" s="17" t="s">
        <v>918</v>
      </c>
      <c r="G1550" s="17">
        <f t="shared" si="60"/>
        <v>170756591127</v>
      </c>
      <c r="H1550" s="17" t="s">
        <v>919</v>
      </c>
      <c r="I1550" s="17">
        <f t="shared" si="62"/>
        <v>170756591127</v>
      </c>
    </row>
    <row r="1551" spans="1:9" x14ac:dyDescent="0.3">
      <c r="A1551" s="17" t="str">
        <f t="shared" si="61"/>
        <v>2000648</v>
      </c>
      <c r="B1551" s="17">
        <v>200</v>
      </c>
      <c r="C1551" s="17">
        <v>648</v>
      </c>
      <c r="D1551" s="17" t="s">
        <v>917</v>
      </c>
      <c r="E1551" s="17">
        <f t="shared" si="59"/>
        <v>36104254056620</v>
      </c>
      <c r="F1551" s="17" t="s">
        <v>918</v>
      </c>
      <c r="G1551" s="17">
        <f t="shared" si="60"/>
        <v>172464157038</v>
      </c>
      <c r="H1551" s="17" t="s">
        <v>919</v>
      </c>
      <c r="I1551" s="17">
        <f t="shared" si="62"/>
        <v>172464157038</v>
      </c>
    </row>
    <row r="1552" spans="1:9" x14ac:dyDescent="0.3">
      <c r="A1552" s="17" t="str">
        <f t="shared" si="61"/>
        <v>2000649</v>
      </c>
      <c r="B1552" s="17">
        <v>200</v>
      </c>
      <c r="C1552" s="17">
        <v>649</v>
      </c>
      <c r="D1552" s="17" t="s">
        <v>917</v>
      </c>
      <c r="E1552" s="17">
        <f t="shared" si="59"/>
        <v>36465296597186</v>
      </c>
      <c r="F1552" s="17" t="s">
        <v>918</v>
      </c>
      <c r="G1552" s="17">
        <f t="shared" si="60"/>
        <v>174188798608</v>
      </c>
      <c r="H1552" s="17" t="s">
        <v>919</v>
      </c>
      <c r="I1552" s="17">
        <f t="shared" si="62"/>
        <v>174188798608</v>
      </c>
    </row>
    <row r="1553" spans="1:9" x14ac:dyDescent="0.3">
      <c r="A1553" s="17" t="str">
        <f t="shared" si="61"/>
        <v>2000650</v>
      </c>
      <c r="B1553" s="17">
        <v>200</v>
      </c>
      <c r="C1553" s="17">
        <v>650</v>
      </c>
      <c r="D1553" s="17" t="s">
        <v>917</v>
      </c>
      <c r="E1553" s="17">
        <f t="shared" si="59"/>
        <v>36829949563157</v>
      </c>
      <c r="F1553" s="17" t="s">
        <v>918</v>
      </c>
      <c r="G1553" s="17">
        <f t="shared" si="60"/>
        <v>175930686594</v>
      </c>
      <c r="H1553" s="17" t="s">
        <v>919</v>
      </c>
      <c r="I1553" s="17">
        <f t="shared" si="62"/>
        <v>175930686594</v>
      </c>
    </row>
    <row r="1554" spans="1:9" x14ac:dyDescent="0.3">
      <c r="A1554" s="17" t="str">
        <f t="shared" si="61"/>
        <v>2000651</v>
      </c>
      <c r="B1554" s="17">
        <v>200</v>
      </c>
      <c r="C1554" s="17">
        <v>651</v>
      </c>
      <c r="D1554" s="17" t="s">
        <v>917</v>
      </c>
      <c r="E1554" s="17">
        <f t="shared" si="59"/>
        <v>37198249058788</v>
      </c>
      <c r="F1554" s="17" t="s">
        <v>918</v>
      </c>
      <c r="G1554" s="17">
        <f t="shared" si="60"/>
        <v>177689993459</v>
      </c>
      <c r="H1554" s="17" t="s">
        <v>919</v>
      </c>
      <c r="I1554" s="17">
        <f t="shared" si="62"/>
        <v>177689993459</v>
      </c>
    </row>
    <row r="1555" spans="1:9" x14ac:dyDescent="0.3">
      <c r="A1555" s="17" t="str">
        <f t="shared" si="61"/>
        <v>2000652</v>
      </c>
      <c r="B1555" s="17">
        <v>200</v>
      </c>
      <c r="C1555" s="17">
        <v>652</v>
      </c>
      <c r="D1555" s="17" t="s">
        <v>917</v>
      </c>
      <c r="E1555" s="17">
        <f t="shared" si="59"/>
        <v>37570231549375</v>
      </c>
      <c r="F1555" s="17" t="s">
        <v>918</v>
      </c>
      <c r="G1555" s="17">
        <f t="shared" si="60"/>
        <v>179466893393</v>
      </c>
      <c r="H1555" s="17" t="s">
        <v>919</v>
      </c>
      <c r="I1555" s="17">
        <f t="shared" si="62"/>
        <v>179466893393</v>
      </c>
    </row>
    <row r="1556" spans="1:9" x14ac:dyDescent="0.3">
      <c r="A1556" s="17" t="str">
        <f t="shared" si="61"/>
        <v>2000653</v>
      </c>
      <c r="B1556" s="17">
        <v>200</v>
      </c>
      <c r="C1556" s="17">
        <v>653</v>
      </c>
      <c r="D1556" s="17" t="s">
        <v>917</v>
      </c>
      <c r="E1556" s="17">
        <f t="shared" si="59"/>
        <v>37945933864868</v>
      </c>
      <c r="F1556" s="17" t="s">
        <v>918</v>
      </c>
      <c r="G1556" s="17">
        <f t="shared" si="60"/>
        <v>181261562326</v>
      </c>
      <c r="H1556" s="17" t="s">
        <v>919</v>
      </c>
      <c r="I1556" s="17">
        <f t="shared" si="62"/>
        <v>181261562326</v>
      </c>
    </row>
    <row r="1557" spans="1:9" x14ac:dyDescent="0.3">
      <c r="A1557" s="17" t="str">
        <f t="shared" si="61"/>
        <v>2000654</v>
      </c>
      <c r="B1557" s="17">
        <v>200</v>
      </c>
      <c r="C1557" s="17">
        <v>654</v>
      </c>
      <c r="D1557" s="17" t="s">
        <v>917</v>
      </c>
      <c r="E1557" s="17">
        <f t="shared" si="59"/>
        <v>38325393203516</v>
      </c>
      <c r="F1557" s="17" t="s">
        <v>918</v>
      </c>
      <c r="G1557" s="17">
        <f t="shared" si="60"/>
        <v>183074177949</v>
      </c>
      <c r="H1557" s="17" t="s">
        <v>919</v>
      </c>
      <c r="I1557" s="17">
        <f t="shared" si="62"/>
        <v>183074177949</v>
      </c>
    </row>
    <row r="1558" spans="1:9" x14ac:dyDescent="0.3">
      <c r="A1558" s="17" t="str">
        <f t="shared" si="61"/>
        <v>2000655</v>
      </c>
      <c r="B1558" s="17">
        <v>200</v>
      </c>
      <c r="C1558" s="17">
        <v>655</v>
      </c>
      <c r="D1558" s="17" t="s">
        <v>917</v>
      </c>
      <c r="E1558" s="17">
        <f t="shared" si="59"/>
        <v>38708647135551</v>
      </c>
      <c r="F1558" s="17" t="s">
        <v>918</v>
      </c>
      <c r="G1558" s="17">
        <f t="shared" si="60"/>
        <v>184904919728</v>
      </c>
      <c r="H1558" s="17" t="s">
        <v>919</v>
      </c>
      <c r="I1558" s="17">
        <f t="shared" si="62"/>
        <v>184904919728</v>
      </c>
    </row>
    <row r="1559" spans="1:9" x14ac:dyDescent="0.3">
      <c r="A1559" s="17" t="str">
        <f t="shared" si="61"/>
        <v>2000656</v>
      </c>
      <c r="B1559" s="17">
        <v>200</v>
      </c>
      <c r="C1559" s="17">
        <v>656</v>
      </c>
      <c r="D1559" s="17" t="s">
        <v>917</v>
      </c>
      <c r="E1559" s="17">
        <f t="shared" si="59"/>
        <v>39095733606906</v>
      </c>
      <c r="F1559" s="17" t="s">
        <v>918</v>
      </c>
      <c r="G1559" s="17">
        <f t="shared" si="60"/>
        <v>186753968925</v>
      </c>
      <c r="H1559" s="17" t="s">
        <v>919</v>
      </c>
      <c r="I1559" s="17">
        <f t="shared" si="62"/>
        <v>186753968925</v>
      </c>
    </row>
    <row r="1560" spans="1:9" x14ac:dyDescent="0.3">
      <c r="A1560" s="17" t="str">
        <f t="shared" si="61"/>
        <v>2000657</v>
      </c>
      <c r="B1560" s="17">
        <v>200</v>
      </c>
      <c r="C1560" s="17">
        <v>657</v>
      </c>
      <c r="D1560" s="17" t="s">
        <v>917</v>
      </c>
      <c r="E1560" s="17">
        <f t="shared" si="59"/>
        <v>39486690942975</v>
      </c>
      <c r="F1560" s="17" t="s">
        <v>918</v>
      </c>
      <c r="G1560" s="17">
        <f t="shared" si="60"/>
        <v>188621508614</v>
      </c>
      <c r="H1560" s="17" t="s">
        <v>919</v>
      </c>
      <c r="I1560" s="17">
        <f t="shared" si="62"/>
        <v>188621508614</v>
      </c>
    </row>
    <row r="1561" spans="1:9" x14ac:dyDescent="0.3">
      <c r="A1561" s="17" t="str">
        <f t="shared" si="61"/>
        <v>2000658</v>
      </c>
      <c r="B1561" s="17">
        <v>200</v>
      </c>
      <c r="C1561" s="17">
        <v>658</v>
      </c>
      <c r="D1561" s="17" t="s">
        <v>917</v>
      </c>
      <c r="E1561" s="17">
        <f t="shared" si="59"/>
        <v>39881557852404</v>
      </c>
      <c r="F1561" s="17" t="s">
        <v>918</v>
      </c>
      <c r="G1561" s="17">
        <f t="shared" si="60"/>
        <v>190507723700</v>
      </c>
      <c r="H1561" s="17" t="s">
        <v>919</v>
      </c>
      <c r="I1561" s="17">
        <f t="shared" si="62"/>
        <v>190507723700</v>
      </c>
    </row>
    <row r="1562" spans="1:9" x14ac:dyDescent="0.3">
      <c r="A1562" s="17" t="str">
        <f t="shared" si="61"/>
        <v>2000659</v>
      </c>
      <c r="B1562" s="17">
        <v>200</v>
      </c>
      <c r="C1562" s="17">
        <v>659</v>
      </c>
      <c r="D1562" s="17" t="s">
        <v>917</v>
      </c>
      <c r="E1562" s="17">
        <f t="shared" si="59"/>
        <v>40280373430928</v>
      </c>
      <c r="F1562" s="17" t="s">
        <v>918</v>
      </c>
      <c r="G1562" s="17">
        <f t="shared" si="60"/>
        <v>192412800937</v>
      </c>
      <c r="H1562" s="17" t="s">
        <v>919</v>
      </c>
      <c r="I1562" s="17">
        <f t="shared" si="62"/>
        <v>192412800937</v>
      </c>
    </row>
    <row r="1563" spans="1:9" x14ac:dyDescent="0.3">
      <c r="A1563" s="17" t="str">
        <f t="shared" si="61"/>
        <v>2000660</v>
      </c>
      <c r="B1563" s="17">
        <v>200</v>
      </c>
      <c r="C1563" s="17">
        <v>660</v>
      </c>
      <c r="D1563" s="17" t="s">
        <v>917</v>
      </c>
      <c r="E1563" s="17">
        <f t="shared" si="59"/>
        <v>40683177165237</v>
      </c>
      <c r="F1563" s="17" t="s">
        <v>918</v>
      </c>
      <c r="G1563" s="17">
        <f t="shared" si="60"/>
        <v>194336928946</v>
      </c>
      <c r="H1563" s="17" t="s">
        <v>919</v>
      </c>
      <c r="I1563" s="17">
        <f t="shared" si="62"/>
        <v>194336928946</v>
      </c>
    </row>
    <row r="1564" spans="1:9" x14ac:dyDescent="0.3">
      <c r="A1564" s="17" t="str">
        <f t="shared" si="61"/>
        <v>2000661</v>
      </c>
      <c r="B1564" s="17">
        <v>200</v>
      </c>
      <c r="C1564" s="17">
        <v>661</v>
      </c>
      <c r="D1564" s="17" t="s">
        <v>917</v>
      </c>
      <c r="E1564" s="17">
        <f t="shared" si="59"/>
        <v>41090008936889</v>
      </c>
      <c r="F1564" s="17" t="s">
        <v>918</v>
      </c>
      <c r="G1564" s="17">
        <f t="shared" si="60"/>
        <v>196280298235</v>
      </c>
      <c r="H1564" s="17" t="s">
        <v>919</v>
      </c>
      <c r="I1564" s="17">
        <f t="shared" si="62"/>
        <v>196280298235</v>
      </c>
    </row>
    <row r="1565" spans="1:9" x14ac:dyDescent="0.3">
      <c r="A1565" s="17" t="str">
        <f t="shared" si="61"/>
        <v>2000662</v>
      </c>
      <c r="B1565" s="17">
        <v>200</v>
      </c>
      <c r="C1565" s="17">
        <v>662</v>
      </c>
      <c r="D1565" s="17" t="s">
        <v>917</v>
      </c>
      <c r="E1565" s="17">
        <f t="shared" si="59"/>
        <v>41500909026257</v>
      </c>
      <c r="F1565" s="17" t="s">
        <v>918</v>
      </c>
      <c r="G1565" s="17">
        <f t="shared" si="60"/>
        <v>198243101217</v>
      </c>
      <c r="H1565" s="17" t="s">
        <v>919</v>
      </c>
      <c r="I1565" s="17">
        <f t="shared" si="62"/>
        <v>198243101217</v>
      </c>
    </row>
    <row r="1566" spans="1:9" x14ac:dyDescent="0.3">
      <c r="A1566" s="17" t="str">
        <f t="shared" si="61"/>
        <v>2000663</v>
      </c>
      <c r="B1566" s="17">
        <v>200</v>
      </c>
      <c r="C1566" s="17">
        <v>663</v>
      </c>
      <c r="D1566" s="17" t="s">
        <v>917</v>
      </c>
      <c r="E1566" s="17">
        <f t="shared" si="59"/>
        <v>41915918116519</v>
      </c>
      <c r="F1566" s="17" t="s">
        <v>918</v>
      </c>
      <c r="G1566" s="17">
        <f t="shared" si="60"/>
        <v>200225532229</v>
      </c>
      <c r="H1566" s="17" t="s">
        <v>919</v>
      </c>
      <c r="I1566" s="17">
        <f t="shared" si="62"/>
        <v>200225532229</v>
      </c>
    </row>
    <row r="1567" spans="1:9" x14ac:dyDescent="0.3">
      <c r="A1567" s="17" t="str">
        <f t="shared" si="61"/>
        <v>2000664</v>
      </c>
      <c r="B1567" s="17">
        <v>200</v>
      </c>
      <c r="C1567" s="17">
        <v>664</v>
      </c>
      <c r="D1567" s="17" t="s">
        <v>917</v>
      </c>
      <c r="E1567" s="17">
        <f t="shared" si="59"/>
        <v>42335077297684</v>
      </c>
      <c r="F1567" s="17" t="s">
        <v>918</v>
      </c>
      <c r="G1567" s="17">
        <f t="shared" si="60"/>
        <v>202227787551</v>
      </c>
      <c r="H1567" s="17" t="s">
        <v>919</v>
      </c>
      <c r="I1567" s="17">
        <f t="shared" si="62"/>
        <v>202227787551</v>
      </c>
    </row>
    <row r="1568" spans="1:9" x14ac:dyDescent="0.3">
      <c r="A1568" s="17" t="str">
        <f t="shared" si="61"/>
        <v>2000665</v>
      </c>
      <c r="B1568" s="17">
        <v>200</v>
      </c>
      <c r="C1568" s="17">
        <v>665</v>
      </c>
      <c r="D1568" s="17" t="s">
        <v>917</v>
      </c>
      <c r="E1568" s="17">
        <f t="shared" si="59"/>
        <v>42758428070660</v>
      </c>
      <c r="F1568" s="17" t="s">
        <v>918</v>
      </c>
      <c r="G1568" s="17">
        <f t="shared" si="60"/>
        <v>204250065426</v>
      </c>
      <c r="H1568" s="17" t="s">
        <v>919</v>
      </c>
      <c r="I1568" s="17">
        <f t="shared" si="62"/>
        <v>204250065426</v>
      </c>
    </row>
    <row r="1569" spans="1:9" x14ac:dyDescent="0.3">
      <c r="A1569" s="17" t="str">
        <f t="shared" si="61"/>
        <v>2000666</v>
      </c>
      <c r="B1569" s="17">
        <v>200</v>
      </c>
      <c r="C1569" s="17">
        <v>666</v>
      </c>
      <c r="D1569" s="17" t="s">
        <v>917</v>
      </c>
      <c r="E1569" s="17">
        <f t="shared" si="59"/>
        <v>43186012351366</v>
      </c>
      <c r="F1569" s="17" t="s">
        <v>918</v>
      </c>
      <c r="G1569" s="17">
        <f t="shared" si="60"/>
        <v>206292566080</v>
      </c>
      <c r="H1569" s="17" t="s">
        <v>919</v>
      </c>
      <c r="I1569" s="17">
        <f t="shared" si="62"/>
        <v>206292566080</v>
      </c>
    </row>
    <row r="1570" spans="1:9" x14ac:dyDescent="0.3">
      <c r="A1570" s="17" t="str">
        <f t="shared" si="61"/>
        <v>2000667</v>
      </c>
      <c r="B1570" s="17">
        <v>200</v>
      </c>
      <c r="C1570" s="17">
        <v>667</v>
      </c>
      <c r="D1570" s="17" t="s">
        <v>917</v>
      </c>
      <c r="E1570" s="17">
        <f t="shared" si="59"/>
        <v>43617872474879</v>
      </c>
      <c r="F1570" s="17" t="s">
        <v>918</v>
      </c>
      <c r="G1570" s="17">
        <f t="shared" si="60"/>
        <v>208355491740</v>
      </c>
      <c r="H1570" s="17" t="s">
        <v>919</v>
      </c>
      <c r="I1570" s="17">
        <f t="shared" si="62"/>
        <v>208355491740</v>
      </c>
    </row>
    <row r="1571" spans="1:9" x14ac:dyDescent="0.3">
      <c r="A1571" s="17" t="str">
        <f t="shared" si="61"/>
        <v>2000668</v>
      </c>
      <c r="B1571" s="17">
        <v>200</v>
      </c>
      <c r="C1571" s="17">
        <v>668</v>
      </c>
      <c r="D1571" s="17" t="s">
        <v>917</v>
      </c>
      <c r="E1571" s="17">
        <f t="shared" si="59"/>
        <v>44054051199627</v>
      </c>
      <c r="F1571" s="17" t="s">
        <v>918</v>
      </c>
      <c r="G1571" s="17">
        <f t="shared" si="60"/>
        <v>210439046657</v>
      </c>
      <c r="H1571" s="17" t="s">
        <v>919</v>
      </c>
      <c r="I1571" s="17">
        <f t="shared" si="62"/>
        <v>210439046657</v>
      </c>
    </row>
    <row r="1572" spans="1:9" x14ac:dyDescent="0.3">
      <c r="A1572" s="17" t="str">
        <f t="shared" si="61"/>
        <v>2000669</v>
      </c>
      <c r="B1572" s="17">
        <v>200</v>
      </c>
      <c r="C1572" s="17">
        <v>669</v>
      </c>
      <c r="D1572" s="17" t="s">
        <v>917</v>
      </c>
      <c r="E1572" s="17">
        <f t="shared" si="59"/>
        <v>44494591711623</v>
      </c>
      <c r="F1572" s="17" t="s">
        <v>918</v>
      </c>
      <c r="G1572" s="17">
        <f t="shared" si="60"/>
        <v>212543437123</v>
      </c>
      <c r="H1572" s="17" t="s">
        <v>919</v>
      </c>
      <c r="I1572" s="17">
        <f t="shared" si="62"/>
        <v>212543437123</v>
      </c>
    </row>
    <row r="1573" spans="1:9" x14ac:dyDescent="0.3">
      <c r="A1573" s="17" t="str">
        <f t="shared" si="61"/>
        <v>2000670</v>
      </c>
      <c r="B1573" s="17">
        <v>200</v>
      </c>
      <c r="C1573" s="17">
        <v>670</v>
      </c>
      <c r="D1573" s="17" t="s">
        <v>917</v>
      </c>
      <c r="E1573" s="17">
        <f t="shared" si="59"/>
        <v>44939537628739</v>
      </c>
      <c r="F1573" s="17" t="s">
        <v>918</v>
      </c>
      <c r="G1573" s="17">
        <f t="shared" si="60"/>
        <v>214668871494</v>
      </c>
      <c r="H1573" s="17" t="s">
        <v>919</v>
      </c>
      <c r="I1573" s="17">
        <f t="shared" si="62"/>
        <v>214668871494</v>
      </c>
    </row>
    <row r="1574" spans="1:9" x14ac:dyDescent="0.3">
      <c r="A1574" s="17" t="str">
        <f t="shared" si="61"/>
        <v>2000671</v>
      </c>
      <c r="B1574" s="17">
        <v>200</v>
      </c>
      <c r="C1574" s="17">
        <v>671</v>
      </c>
      <c r="D1574" s="17" t="s">
        <v>917</v>
      </c>
      <c r="E1574" s="17">
        <f t="shared" si="59"/>
        <v>45388933005026</v>
      </c>
      <c r="F1574" s="17" t="s">
        <v>918</v>
      </c>
      <c r="G1574" s="17">
        <f t="shared" si="60"/>
        <v>216815560208</v>
      </c>
      <c r="H1574" s="17" t="s">
        <v>919</v>
      </c>
      <c r="I1574" s="17">
        <f t="shared" si="62"/>
        <v>216815560208</v>
      </c>
    </row>
    <row r="1575" spans="1:9" x14ac:dyDescent="0.3">
      <c r="A1575" s="17" t="str">
        <f t="shared" si="61"/>
        <v>2000672</v>
      </c>
      <c r="B1575" s="17">
        <v>200</v>
      </c>
      <c r="C1575" s="17">
        <v>672</v>
      </c>
      <c r="D1575" s="17" t="s">
        <v>917</v>
      </c>
      <c r="E1575" s="17">
        <f t="shared" si="59"/>
        <v>45842822335076</v>
      </c>
      <c r="F1575" s="17" t="s">
        <v>918</v>
      </c>
      <c r="G1575" s="17">
        <f t="shared" si="60"/>
        <v>218983715810</v>
      </c>
      <c r="H1575" s="17" t="s">
        <v>919</v>
      </c>
      <c r="I1575" s="17">
        <f t="shared" si="62"/>
        <v>218983715810</v>
      </c>
    </row>
    <row r="1576" spans="1:9" x14ac:dyDescent="0.3">
      <c r="A1576" s="17" t="str">
        <f t="shared" si="61"/>
        <v>2000673</v>
      </c>
      <c r="B1576" s="17">
        <v>200</v>
      </c>
      <c r="C1576" s="17">
        <v>673</v>
      </c>
      <c r="D1576" s="17" t="s">
        <v>917</v>
      </c>
      <c r="E1576" s="17">
        <f t="shared" si="59"/>
        <v>46301250558426</v>
      </c>
      <c r="F1576" s="17" t="s">
        <v>918</v>
      </c>
      <c r="G1576" s="17">
        <f t="shared" si="60"/>
        <v>221173552968</v>
      </c>
      <c r="H1576" s="17" t="s">
        <v>919</v>
      </c>
      <c r="I1576" s="17">
        <f t="shared" si="62"/>
        <v>221173552968</v>
      </c>
    </row>
    <row r="1577" spans="1:9" x14ac:dyDescent="0.3">
      <c r="A1577" s="17" t="str">
        <f t="shared" si="61"/>
        <v>2000674</v>
      </c>
      <c r="B1577" s="17">
        <v>200</v>
      </c>
      <c r="C1577" s="17">
        <v>674</v>
      </c>
      <c r="D1577" s="17" t="s">
        <v>917</v>
      </c>
      <c r="E1577" s="17">
        <f t="shared" si="59"/>
        <v>46764263064010</v>
      </c>
      <c r="F1577" s="17" t="s">
        <v>918</v>
      </c>
      <c r="G1577" s="17">
        <f t="shared" si="60"/>
        <v>223385288497</v>
      </c>
      <c r="H1577" s="17" t="s">
        <v>919</v>
      </c>
      <c r="I1577" s="17">
        <f t="shared" si="62"/>
        <v>223385288497</v>
      </c>
    </row>
    <row r="1578" spans="1:9" x14ac:dyDescent="0.3">
      <c r="A1578" s="17" t="str">
        <f t="shared" si="61"/>
        <v>2000675</v>
      </c>
      <c r="B1578" s="17">
        <v>200</v>
      </c>
      <c r="C1578" s="17">
        <v>675</v>
      </c>
      <c r="D1578" s="17" t="s">
        <v>917</v>
      </c>
      <c r="E1578" s="17">
        <f t="shared" si="59"/>
        <v>47231905694650</v>
      </c>
      <c r="F1578" s="17" t="s">
        <v>918</v>
      </c>
      <c r="G1578" s="17">
        <f t="shared" si="60"/>
        <v>225619141381</v>
      </c>
      <c r="H1578" s="17" t="s">
        <v>919</v>
      </c>
      <c r="I1578" s="17">
        <f t="shared" si="62"/>
        <v>225619141381</v>
      </c>
    </row>
    <row r="1579" spans="1:9" x14ac:dyDescent="0.3">
      <c r="A1579" s="17" t="str">
        <f t="shared" si="61"/>
        <v>2000676</v>
      </c>
      <c r="B1579" s="17">
        <v>200</v>
      </c>
      <c r="C1579" s="17">
        <v>676</v>
      </c>
      <c r="D1579" s="17" t="s">
        <v>917</v>
      </c>
      <c r="E1579" s="17">
        <f t="shared" si="59"/>
        <v>47704224751596</v>
      </c>
      <c r="F1579" s="17" t="s">
        <v>918</v>
      </c>
      <c r="G1579" s="17">
        <f t="shared" si="60"/>
        <v>227875332794</v>
      </c>
      <c r="H1579" s="17" t="s">
        <v>919</v>
      </c>
      <c r="I1579" s="17">
        <f t="shared" si="62"/>
        <v>227875332794</v>
      </c>
    </row>
    <row r="1580" spans="1:9" x14ac:dyDescent="0.3">
      <c r="A1580" s="17" t="str">
        <f t="shared" si="61"/>
        <v>2000677</v>
      </c>
      <c r="B1580" s="17">
        <v>200</v>
      </c>
      <c r="C1580" s="17">
        <v>677</v>
      </c>
      <c r="D1580" s="17" t="s">
        <v>917</v>
      </c>
      <c r="E1580" s="17">
        <f t="shared" si="59"/>
        <v>48181266999112</v>
      </c>
      <c r="F1580" s="17" t="s">
        <v>918</v>
      </c>
      <c r="G1580" s="17">
        <f t="shared" si="60"/>
        <v>230154086121</v>
      </c>
      <c r="H1580" s="17" t="s">
        <v>919</v>
      </c>
      <c r="I1580" s="17">
        <f t="shared" si="62"/>
        <v>230154086121</v>
      </c>
    </row>
    <row r="1581" spans="1:9" x14ac:dyDescent="0.3">
      <c r="A1581" s="17" t="str">
        <f t="shared" si="61"/>
        <v>2000678</v>
      </c>
      <c r="B1581" s="17">
        <v>200</v>
      </c>
      <c r="C1581" s="17">
        <v>678</v>
      </c>
      <c r="D1581" s="17" t="s">
        <v>917</v>
      </c>
      <c r="E1581" s="17">
        <f t="shared" si="59"/>
        <v>48663079669103</v>
      </c>
      <c r="F1581" s="17" t="s">
        <v>918</v>
      </c>
      <c r="G1581" s="17">
        <f t="shared" si="60"/>
        <v>232455626982</v>
      </c>
      <c r="H1581" s="17" t="s">
        <v>919</v>
      </c>
      <c r="I1581" s="17">
        <f t="shared" si="62"/>
        <v>232455626982</v>
      </c>
    </row>
    <row r="1582" spans="1:9" x14ac:dyDescent="0.3">
      <c r="A1582" s="17" t="str">
        <f t="shared" si="61"/>
        <v>2000679</v>
      </c>
      <c r="B1582" s="17">
        <v>200</v>
      </c>
      <c r="C1582" s="17">
        <v>679</v>
      </c>
      <c r="D1582" s="17" t="s">
        <v>917</v>
      </c>
      <c r="E1582" s="17">
        <f t="shared" si="59"/>
        <v>49149710465794</v>
      </c>
      <c r="F1582" s="17" t="s">
        <v>918</v>
      </c>
      <c r="G1582" s="17">
        <f t="shared" si="60"/>
        <v>234780183251</v>
      </c>
      <c r="H1582" s="17" t="s">
        <v>919</v>
      </c>
      <c r="I1582" s="17">
        <f t="shared" si="62"/>
        <v>234780183251</v>
      </c>
    </row>
    <row r="1583" spans="1:9" x14ac:dyDescent="0.3">
      <c r="A1583" s="17" t="str">
        <f t="shared" si="61"/>
        <v>2000680</v>
      </c>
      <c r="B1583" s="17">
        <v>200</v>
      </c>
      <c r="C1583" s="17">
        <v>680</v>
      </c>
      <c r="D1583" s="17" t="s">
        <v>917</v>
      </c>
      <c r="E1583" s="17">
        <f t="shared" si="59"/>
        <v>49641207570451</v>
      </c>
      <c r="F1583" s="17" t="s">
        <v>918</v>
      </c>
      <c r="G1583" s="17">
        <f t="shared" si="60"/>
        <v>237127985083</v>
      </c>
      <c r="H1583" s="17" t="s">
        <v>919</v>
      </c>
      <c r="I1583" s="17">
        <f t="shared" si="62"/>
        <v>237127985083</v>
      </c>
    </row>
    <row r="1584" spans="1:9" x14ac:dyDescent="0.3">
      <c r="A1584" s="17" t="str">
        <f t="shared" si="61"/>
        <v>2000681</v>
      </c>
      <c r="B1584" s="17">
        <v>200</v>
      </c>
      <c r="C1584" s="17">
        <v>681</v>
      </c>
      <c r="D1584" s="17" t="s">
        <v>917</v>
      </c>
      <c r="E1584" s="17">
        <f t="shared" si="59"/>
        <v>50137619646155</v>
      </c>
      <c r="F1584" s="17" t="s">
        <v>918</v>
      </c>
      <c r="G1584" s="17">
        <f t="shared" si="60"/>
        <v>239499264933</v>
      </c>
      <c r="H1584" s="17" t="s">
        <v>919</v>
      </c>
      <c r="I1584" s="17">
        <f t="shared" si="62"/>
        <v>239499264933</v>
      </c>
    </row>
    <row r="1585" spans="1:9" x14ac:dyDescent="0.3">
      <c r="A1585" s="17" t="str">
        <f t="shared" si="61"/>
        <v>2000682</v>
      </c>
      <c r="B1585" s="17">
        <v>200</v>
      </c>
      <c r="C1585" s="17">
        <v>682</v>
      </c>
      <c r="D1585" s="17" t="s">
        <v>917</v>
      </c>
      <c r="E1585" s="17">
        <f t="shared" si="59"/>
        <v>50638995842616</v>
      </c>
      <c r="F1585" s="17" t="s">
        <v>918</v>
      </c>
      <c r="G1585" s="17">
        <f t="shared" si="60"/>
        <v>241894257582</v>
      </c>
      <c r="H1585" s="17" t="s">
        <v>919</v>
      </c>
      <c r="I1585" s="17">
        <f t="shared" si="62"/>
        <v>241894257582</v>
      </c>
    </row>
    <row r="1586" spans="1:9" x14ac:dyDescent="0.3">
      <c r="A1586" s="17" t="str">
        <f t="shared" si="61"/>
        <v>2000683</v>
      </c>
      <c r="B1586" s="17">
        <v>200</v>
      </c>
      <c r="C1586" s="17">
        <v>683</v>
      </c>
      <c r="D1586" s="17" t="s">
        <v>917</v>
      </c>
      <c r="E1586" s="17">
        <f t="shared" si="59"/>
        <v>51145385801042</v>
      </c>
      <c r="F1586" s="17" t="s">
        <v>918</v>
      </c>
      <c r="G1586" s="17">
        <f t="shared" si="60"/>
        <v>244313200157</v>
      </c>
      <c r="H1586" s="17" t="s">
        <v>919</v>
      </c>
      <c r="I1586" s="17">
        <f t="shared" si="62"/>
        <v>244313200157</v>
      </c>
    </row>
    <row r="1587" spans="1:9" x14ac:dyDescent="0.3">
      <c r="A1587" s="17" t="str">
        <f t="shared" si="61"/>
        <v>2000684</v>
      </c>
      <c r="B1587" s="17">
        <v>200</v>
      </c>
      <c r="C1587" s="17">
        <v>684</v>
      </c>
      <c r="D1587" s="17" t="s">
        <v>917</v>
      </c>
      <c r="E1587" s="17">
        <f t="shared" si="59"/>
        <v>51656839659052</v>
      </c>
      <c r="F1587" s="17" t="s">
        <v>918</v>
      </c>
      <c r="G1587" s="17">
        <f t="shared" si="60"/>
        <v>246756332158</v>
      </c>
      <c r="H1587" s="17" t="s">
        <v>919</v>
      </c>
      <c r="I1587" s="17">
        <f t="shared" si="62"/>
        <v>246756332158</v>
      </c>
    </row>
    <row r="1588" spans="1:9" x14ac:dyDescent="0.3">
      <c r="A1588" s="17" t="str">
        <f t="shared" si="61"/>
        <v>2000685</v>
      </c>
      <c r="B1588" s="17">
        <v>200</v>
      </c>
      <c r="C1588" s="17">
        <v>685</v>
      </c>
      <c r="D1588" s="17" t="s">
        <v>917</v>
      </c>
      <c r="E1588" s="17">
        <f t="shared" ref="E1588:E1651" si="63">INT(E1587*1.01)</f>
        <v>52173408055642</v>
      </c>
      <c r="F1588" s="17" t="s">
        <v>918</v>
      </c>
      <c r="G1588" s="17">
        <f t="shared" ref="G1588:G1651" si="64">INT(G1587*1.01)</f>
        <v>249223895479</v>
      </c>
      <c r="H1588" s="17" t="s">
        <v>919</v>
      </c>
      <c r="I1588" s="17">
        <f t="shared" si="62"/>
        <v>249223895479</v>
      </c>
    </row>
    <row r="1589" spans="1:9" x14ac:dyDescent="0.3">
      <c r="A1589" s="17" t="str">
        <f t="shared" si="61"/>
        <v>2000686</v>
      </c>
      <c r="B1589" s="17">
        <v>200</v>
      </c>
      <c r="C1589" s="17">
        <v>686</v>
      </c>
      <c r="D1589" s="17" t="s">
        <v>917</v>
      </c>
      <c r="E1589" s="17">
        <f t="shared" si="63"/>
        <v>52695142136198</v>
      </c>
      <c r="F1589" s="17" t="s">
        <v>918</v>
      </c>
      <c r="G1589" s="17">
        <f t="shared" si="64"/>
        <v>251716134433</v>
      </c>
      <c r="H1589" s="17" t="s">
        <v>919</v>
      </c>
      <c r="I1589" s="17">
        <f t="shared" si="62"/>
        <v>251716134433</v>
      </c>
    </row>
    <row r="1590" spans="1:9" x14ac:dyDescent="0.3">
      <c r="A1590" s="17" t="str">
        <f t="shared" si="61"/>
        <v>2000687</v>
      </c>
      <c r="B1590" s="17">
        <v>200</v>
      </c>
      <c r="C1590" s="17">
        <v>687</v>
      </c>
      <c r="D1590" s="17" t="s">
        <v>917</v>
      </c>
      <c r="E1590" s="17">
        <f t="shared" si="63"/>
        <v>53222093557560</v>
      </c>
      <c r="F1590" s="17" t="s">
        <v>918</v>
      </c>
      <c r="G1590" s="17">
        <f t="shared" si="64"/>
        <v>254233295777</v>
      </c>
      <c r="H1590" s="17" t="s">
        <v>919</v>
      </c>
      <c r="I1590" s="17">
        <f t="shared" si="62"/>
        <v>254233295777</v>
      </c>
    </row>
    <row r="1591" spans="1:9" x14ac:dyDescent="0.3">
      <c r="A1591" s="17" t="str">
        <f t="shared" si="61"/>
        <v>2000688</v>
      </c>
      <c r="B1591" s="17">
        <v>200</v>
      </c>
      <c r="C1591" s="17">
        <v>688</v>
      </c>
      <c r="D1591" s="17" t="s">
        <v>917</v>
      </c>
      <c r="E1591" s="17">
        <f t="shared" si="63"/>
        <v>53754314493135</v>
      </c>
      <c r="F1591" s="17" t="s">
        <v>918</v>
      </c>
      <c r="G1591" s="17">
        <f t="shared" si="64"/>
        <v>256775628734</v>
      </c>
      <c r="H1591" s="17" t="s">
        <v>919</v>
      </c>
      <c r="I1591" s="17">
        <f t="shared" si="62"/>
        <v>256775628734</v>
      </c>
    </row>
    <row r="1592" spans="1:9" x14ac:dyDescent="0.3">
      <c r="A1592" s="17" t="str">
        <f t="shared" si="61"/>
        <v>2000689</v>
      </c>
      <c r="B1592" s="17">
        <v>200</v>
      </c>
      <c r="C1592" s="17">
        <v>689</v>
      </c>
      <c r="D1592" s="17" t="s">
        <v>917</v>
      </c>
      <c r="E1592" s="17">
        <f t="shared" si="63"/>
        <v>54291857638066</v>
      </c>
      <c r="F1592" s="17" t="s">
        <v>918</v>
      </c>
      <c r="G1592" s="17">
        <f t="shared" si="64"/>
        <v>259343385021</v>
      </c>
      <c r="H1592" s="17" t="s">
        <v>919</v>
      </c>
      <c r="I1592" s="17">
        <f t="shared" si="62"/>
        <v>259343385021</v>
      </c>
    </row>
    <row r="1593" spans="1:9" x14ac:dyDescent="0.3">
      <c r="A1593" s="17" t="str">
        <f t="shared" si="61"/>
        <v>2000690</v>
      </c>
      <c r="B1593" s="17">
        <v>200</v>
      </c>
      <c r="C1593" s="17">
        <v>690</v>
      </c>
      <c r="D1593" s="17" t="s">
        <v>917</v>
      </c>
      <c r="E1593" s="17">
        <f t="shared" si="63"/>
        <v>54834776214446</v>
      </c>
      <c r="F1593" s="17" t="s">
        <v>918</v>
      </c>
      <c r="G1593" s="17">
        <f t="shared" si="64"/>
        <v>261936818871</v>
      </c>
      <c r="H1593" s="17" t="s">
        <v>919</v>
      </c>
      <c r="I1593" s="17">
        <f t="shared" si="62"/>
        <v>261936818871</v>
      </c>
    </row>
    <row r="1594" spans="1:9" x14ac:dyDescent="0.3">
      <c r="A1594" s="17" t="str">
        <f t="shared" si="61"/>
        <v>2000691</v>
      </c>
      <c r="B1594" s="17">
        <v>200</v>
      </c>
      <c r="C1594" s="17">
        <v>691</v>
      </c>
      <c r="D1594" s="17" t="s">
        <v>917</v>
      </c>
      <c r="E1594" s="17">
        <f t="shared" si="63"/>
        <v>55383123976590</v>
      </c>
      <c r="F1594" s="17" t="s">
        <v>918</v>
      </c>
      <c r="G1594" s="17">
        <f t="shared" si="64"/>
        <v>264556187059</v>
      </c>
      <c r="H1594" s="17" t="s">
        <v>919</v>
      </c>
      <c r="I1594" s="17">
        <f t="shared" si="62"/>
        <v>264556187059</v>
      </c>
    </row>
    <row r="1595" spans="1:9" x14ac:dyDescent="0.3">
      <c r="A1595" s="17" t="str">
        <f t="shared" si="61"/>
        <v>2000692</v>
      </c>
      <c r="B1595" s="17">
        <v>200</v>
      </c>
      <c r="C1595" s="17">
        <v>692</v>
      </c>
      <c r="D1595" s="17" t="s">
        <v>917</v>
      </c>
      <c r="E1595" s="17">
        <f t="shared" si="63"/>
        <v>55936955216355</v>
      </c>
      <c r="F1595" s="17" t="s">
        <v>918</v>
      </c>
      <c r="G1595" s="17">
        <f t="shared" si="64"/>
        <v>267201748929</v>
      </c>
      <c r="H1595" s="17" t="s">
        <v>919</v>
      </c>
      <c r="I1595" s="17">
        <f t="shared" si="62"/>
        <v>267201748929</v>
      </c>
    </row>
    <row r="1596" spans="1:9" x14ac:dyDescent="0.3">
      <c r="A1596" s="17" t="str">
        <f t="shared" si="61"/>
        <v>2000693</v>
      </c>
      <c r="B1596" s="17">
        <v>200</v>
      </c>
      <c r="C1596" s="17">
        <v>693</v>
      </c>
      <c r="D1596" s="17" t="s">
        <v>917</v>
      </c>
      <c r="E1596" s="17">
        <f t="shared" si="63"/>
        <v>56496324768518</v>
      </c>
      <c r="F1596" s="17" t="s">
        <v>918</v>
      </c>
      <c r="G1596" s="17">
        <f t="shared" si="64"/>
        <v>269873766418</v>
      </c>
      <c r="H1596" s="17" t="s">
        <v>919</v>
      </c>
      <c r="I1596" s="17">
        <f t="shared" si="62"/>
        <v>269873766418</v>
      </c>
    </row>
    <row r="1597" spans="1:9" x14ac:dyDescent="0.3">
      <c r="A1597" s="17" t="str">
        <f t="shared" si="61"/>
        <v>2000694</v>
      </c>
      <c r="B1597" s="17">
        <v>200</v>
      </c>
      <c r="C1597" s="17">
        <v>694</v>
      </c>
      <c r="D1597" s="17" t="s">
        <v>917</v>
      </c>
      <c r="E1597" s="17">
        <f t="shared" si="63"/>
        <v>57061288016203</v>
      </c>
      <c r="F1597" s="17" t="s">
        <v>918</v>
      </c>
      <c r="G1597" s="17">
        <f t="shared" si="64"/>
        <v>272572504082</v>
      </c>
      <c r="H1597" s="17" t="s">
        <v>919</v>
      </c>
      <c r="I1597" s="17">
        <f t="shared" si="62"/>
        <v>272572504082</v>
      </c>
    </row>
    <row r="1598" spans="1:9" x14ac:dyDescent="0.3">
      <c r="A1598" s="17" t="str">
        <f t="shared" si="61"/>
        <v>2000695</v>
      </c>
      <c r="B1598" s="17">
        <v>200</v>
      </c>
      <c r="C1598" s="17">
        <v>695</v>
      </c>
      <c r="D1598" s="17" t="s">
        <v>917</v>
      </c>
      <c r="E1598" s="17">
        <f t="shared" si="63"/>
        <v>57631900896365</v>
      </c>
      <c r="F1598" s="17" t="s">
        <v>918</v>
      </c>
      <c r="G1598" s="17">
        <f t="shared" si="64"/>
        <v>275298229122</v>
      </c>
      <c r="H1598" s="17" t="s">
        <v>919</v>
      </c>
      <c r="I1598" s="17">
        <f t="shared" si="62"/>
        <v>275298229122</v>
      </c>
    </row>
    <row r="1599" spans="1:9" x14ac:dyDescent="0.3">
      <c r="A1599" s="17" t="str">
        <f t="shared" si="61"/>
        <v>2000696</v>
      </c>
      <c r="B1599" s="17">
        <v>200</v>
      </c>
      <c r="C1599" s="17">
        <v>696</v>
      </c>
      <c r="D1599" s="17" t="s">
        <v>917</v>
      </c>
      <c r="E1599" s="17">
        <f t="shared" si="63"/>
        <v>58208219905328</v>
      </c>
      <c r="F1599" s="17" t="s">
        <v>918</v>
      </c>
      <c r="G1599" s="17">
        <f t="shared" si="64"/>
        <v>278051211413</v>
      </c>
      <c r="H1599" s="17" t="s">
        <v>919</v>
      </c>
      <c r="I1599" s="17">
        <f t="shared" si="62"/>
        <v>278051211413</v>
      </c>
    </row>
    <row r="1600" spans="1:9" x14ac:dyDescent="0.3">
      <c r="A1600" s="17" t="str">
        <f t="shared" si="61"/>
        <v>2000697</v>
      </c>
      <c r="B1600" s="17">
        <v>200</v>
      </c>
      <c r="C1600" s="17">
        <v>697</v>
      </c>
      <c r="D1600" s="17" t="s">
        <v>917</v>
      </c>
      <c r="E1600" s="17">
        <f t="shared" si="63"/>
        <v>58790302104381</v>
      </c>
      <c r="F1600" s="17" t="s">
        <v>918</v>
      </c>
      <c r="G1600" s="17">
        <f t="shared" si="64"/>
        <v>280831723527</v>
      </c>
      <c r="H1600" s="17" t="s">
        <v>919</v>
      </c>
      <c r="I1600" s="17">
        <f t="shared" si="62"/>
        <v>280831723527</v>
      </c>
    </row>
    <row r="1601" spans="1:9" x14ac:dyDescent="0.3">
      <c r="A1601" s="17" t="str">
        <f t="shared" si="61"/>
        <v>2000698</v>
      </c>
      <c r="B1601" s="17">
        <v>200</v>
      </c>
      <c r="C1601" s="17">
        <v>698</v>
      </c>
      <c r="D1601" s="17" t="s">
        <v>917</v>
      </c>
      <c r="E1601" s="17">
        <f t="shared" si="63"/>
        <v>59378205125424</v>
      </c>
      <c r="F1601" s="17" t="s">
        <v>918</v>
      </c>
      <c r="G1601" s="17">
        <f t="shared" si="64"/>
        <v>283640040762</v>
      </c>
      <c r="H1601" s="17" t="s">
        <v>919</v>
      </c>
      <c r="I1601" s="17">
        <f t="shared" si="62"/>
        <v>283640040762</v>
      </c>
    </row>
    <row r="1602" spans="1:9" x14ac:dyDescent="0.3">
      <c r="A1602" s="17" t="str">
        <f t="shared" si="61"/>
        <v>2000699</v>
      </c>
      <c r="B1602" s="17">
        <v>200</v>
      </c>
      <c r="C1602" s="17">
        <v>699</v>
      </c>
      <c r="D1602" s="17" t="s">
        <v>917</v>
      </c>
      <c r="E1602" s="17">
        <f t="shared" si="63"/>
        <v>59971987176678</v>
      </c>
      <c r="F1602" s="17" t="s">
        <v>918</v>
      </c>
      <c r="G1602" s="17">
        <f t="shared" si="64"/>
        <v>286476441169</v>
      </c>
      <c r="H1602" s="17" t="s">
        <v>919</v>
      </c>
      <c r="I1602" s="17">
        <f t="shared" si="62"/>
        <v>286476441169</v>
      </c>
    </row>
    <row r="1603" spans="1:9" x14ac:dyDescent="0.3">
      <c r="A1603" s="17" t="str">
        <f t="shared" si="61"/>
        <v>2000700</v>
      </c>
      <c r="B1603" s="17">
        <v>200</v>
      </c>
      <c r="C1603" s="17">
        <v>700</v>
      </c>
      <c r="D1603" s="17" t="s">
        <v>917</v>
      </c>
      <c r="E1603" s="17">
        <f t="shared" si="63"/>
        <v>60571707048444</v>
      </c>
      <c r="F1603" s="17" t="s">
        <v>918</v>
      </c>
      <c r="G1603" s="17">
        <f t="shared" si="64"/>
        <v>289341205580</v>
      </c>
      <c r="H1603" s="17" t="s">
        <v>919</v>
      </c>
      <c r="I1603" s="17">
        <f t="shared" si="62"/>
        <v>289341205580</v>
      </c>
    </row>
    <row r="1604" spans="1:9" x14ac:dyDescent="0.3">
      <c r="A1604" s="17" t="str">
        <f t="shared" ref="A1604:A1667" si="65">B1604&amp;TEXT(C1604,"0000")</f>
        <v>2000701</v>
      </c>
      <c r="B1604" s="17">
        <v>200</v>
      </c>
      <c r="C1604" s="17">
        <v>701</v>
      </c>
      <c r="D1604" s="17" t="s">
        <v>917</v>
      </c>
      <c r="E1604" s="17">
        <f t="shared" si="63"/>
        <v>61177424118928</v>
      </c>
      <c r="F1604" s="17" t="s">
        <v>918</v>
      </c>
      <c r="G1604" s="17">
        <f t="shared" si="64"/>
        <v>292234617635</v>
      </c>
      <c r="H1604" s="17" t="s">
        <v>919</v>
      </c>
      <c r="I1604" s="17">
        <f t="shared" si="62"/>
        <v>292234617635</v>
      </c>
    </row>
    <row r="1605" spans="1:9" x14ac:dyDescent="0.3">
      <c r="A1605" s="17" t="str">
        <f t="shared" si="65"/>
        <v>2000702</v>
      </c>
      <c r="B1605" s="17">
        <v>200</v>
      </c>
      <c r="C1605" s="17">
        <v>702</v>
      </c>
      <c r="D1605" s="17" t="s">
        <v>917</v>
      </c>
      <c r="E1605" s="17">
        <f t="shared" si="63"/>
        <v>61789198360117</v>
      </c>
      <c r="F1605" s="17" t="s">
        <v>918</v>
      </c>
      <c r="G1605" s="17">
        <f t="shared" si="64"/>
        <v>295156963811</v>
      </c>
      <c r="H1605" s="17" t="s">
        <v>919</v>
      </c>
      <c r="I1605" s="17">
        <f t="shared" si="62"/>
        <v>295156963811</v>
      </c>
    </row>
    <row r="1606" spans="1:9" x14ac:dyDescent="0.3">
      <c r="A1606" s="17" t="str">
        <f t="shared" si="65"/>
        <v>2000703</v>
      </c>
      <c r="B1606" s="17">
        <v>200</v>
      </c>
      <c r="C1606" s="17">
        <v>703</v>
      </c>
      <c r="D1606" s="17" t="s">
        <v>917</v>
      </c>
      <c r="E1606" s="17">
        <f t="shared" si="63"/>
        <v>62407090343718</v>
      </c>
      <c r="F1606" s="17" t="s">
        <v>918</v>
      </c>
      <c r="G1606" s="17">
        <f t="shared" si="64"/>
        <v>298108533449</v>
      </c>
      <c r="H1606" s="17" t="s">
        <v>919</v>
      </c>
      <c r="I1606" s="17">
        <f t="shared" si="62"/>
        <v>298108533449</v>
      </c>
    </row>
    <row r="1607" spans="1:9" x14ac:dyDescent="0.3">
      <c r="A1607" s="17" t="str">
        <f t="shared" si="65"/>
        <v>2000704</v>
      </c>
      <c r="B1607" s="17">
        <v>200</v>
      </c>
      <c r="C1607" s="17">
        <v>704</v>
      </c>
      <c r="D1607" s="17" t="s">
        <v>917</v>
      </c>
      <c r="E1607" s="17">
        <f t="shared" si="63"/>
        <v>63031161247155</v>
      </c>
      <c r="F1607" s="17" t="s">
        <v>918</v>
      </c>
      <c r="G1607" s="17">
        <f t="shared" si="64"/>
        <v>301089618783</v>
      </c>
      <c r="H1607" s="17" t="s">
        <v>919</v>
      </c>
      <c r="I1607" s="17">
        <f t="shared" si="62"/>
        <v>301089618783</v>
      </c>
    </row>
    <row r="1608" spans="1:9" x14ac:dyDescent="0.3">
      <c r="A1608" s="17" t="str">
        <f t="shared" si="65"/>
        <v>2000705</v>
      </c>
      <c r="B1608" s="17">
        <v>200</v>
      </c>
      <c r="C1608" s="17">
        <v>705</v>
      </c>
      <c r="D1608" s="17" t="s">
        <v>917</v>
      </c>
      <c r="E1608" s="17">
        <f t="shared" si="63"/>
        <v>63661472859626</v>
      </c>
      <c r="F1608" s="17" t="s">
        <v>918</v>
      </c>
      <c r="G1608" s="17">
        <f t="shared" si="64"/>
        <v>304100514970</v>
      </c>
      <c r="H1608" s="17" t="s">
        <v>919</v>
      </c>
      <c r="I1608" s="17">
        <f t="shared" si="62"/>
        <v>304100514970</v>
      </c>
    </row>
    <row r="1609" spans="1:9" x14ac:dyDescent="0.3">
      <c r="A1609" s="17" t="str">
        <f t="shared" si="65"/>
        <v>2000706</v>
      </c>
      <c r="B1609" s="17">
        <v>200</v>
      </c>
      <c r="C1609" s="17">
        <v>706</v>
      </c>
      <c r="D1609" s="17" t="s">
        <v>917</v>
      </c>
      <c r="E1609" s="17">
        <f t="shared" si="63"/>
        <v>64298087588222</v>
      </c>
      <c r="F1609" s="17" t="s">
        <v>918</v>
      </c>
      <c r="G1609" s="17">
        <f t="shared" si="64"/>
        <v>307141520119</v>
      </c>
      <c r="H1609" s="17" t="s">
        <v>919</v>
      </c>
      <c r="I1609" s="17">
        <f t="shared" ref="I1609:I1672" si="66">G1609</f>
        <v>307141520119</v>
      </c>
    </row>
    <row r="1610" spans="1:9" x14ac:dyDescent="0.3">
      <c r="A1610" s="17" t="str">
        <f t="shared" si="65"/>
        <v>2000707</v>
      </c>
      <c r="B1610" s="17">
        <v>200</v>
      </c>
      <c r="C1610" s="17">
        <v>707</v>
      </c>
      <c r="D1610" s="17" t="s">
        <v>917</v>
      </c>
      <c r="E1610" s="17">
        <f t="shared" si="63"/>
        <v>64941068464104</v>
      </c>
      <c r="F1610" s="17" t="s">
        <v>918</v>
      </c>
      <c r="G1610" s="17">
        <f t="shared" si="64"/>
        <v>310212935320</v>
      </c>
      <c r="H1610" s="17" t="s">
        <v>919</v>
      </c>
      <c r="I1610" s="17">
        <f t="shared" si="66"/>
        <v>310212935320</v>
      </c>
    </row>
    <row r="1611" spans="1:9" x14ac:dyDescent="0.3">
      <c r="A1611" s="17" t="str">
        <f t="shared" si="65"/>
        <v>2000708</v>
      </c>
      <c r="B1611" s="17">
        <v>200</v>
      </c>
      <c r="C1611" s="17">
        <v>708</v>
      </c>
      <c r="D1611" s="17" t="s">
        <v>917</v>
      </c>
      <c r="E1611" s="17">
        <f t="shared" si="63"/>
        <v>65590479148745</v>
      </c>
      <c r="F1611" s="17" t="s">
        <v>918</v>
      </c>
      <c r="G1611" s="17">
        <f t="shared" si="64"/>
        <v>313315064673</v>
      </c>
      <c r="H1611" s="17" t="s">
        <v>919</v>
      </c>
      <c r="I1611" s="17">
        <f t="shared" si="66"/>
        <v>313315064673</v>
      </c>
    </row>
    <row r="1612" spans="1:9" x14ac:dyDescent="0.3">
      <c r="A1612" s="17" t="str">
        <f t="shared" si="65"/>
        <v>2000709</v>
      </c>
      <c r="B1612" s="17">
        <v>200</v>
      </c>
      <c r="C1612" s="17">
        <v>709</v>
      </c>
      <c r="D1612" s="17" t="s">
        <v>917</v>
      </c>
      <c r="E1612" s="17">
        <f t="shared" si="63"/>
        <v>66246383940232</v>
      </c>
      <c r="F1612" s="17" t="s">
        <v>918</v>
      </c>
      <c r="G1612" s="17">
        <f t="shared" si="64"/>
        <v>316448215319</v>
      </c>
      <c r="H1612" s="17" t="s">
        <v>919</v>
      </c>
      <c r="I1612" s="17">
        <f t="shared" si="66"/>
        <v>316448215319</v>
      </c>
    </row>
    <row r="1613" spans="1:9" x14ac:dyDescent="0.3">
      <c r="A1613" s="17" t="str">
        <f t="shared" si="65"/>
        <v>2000710</v>
      </c>
      <c r="B1613" s="17">
        <v>200</v>
      </c>
      <c r="C1613" s="17">
        <v>710</v>
      </c>
      <c r="D1613" s="17" t="s">
        <v>917</v>
      </c>
      <c r="E1613" s="17">
        <f t="shared" si="63"/>
        <v>66908847779634</v>
      </c>
      <c r="F1613" s="17" t="s">
        <v>918</v>
      </c>
      <c r="G1613" s="17">
        <f t="shared" si="64"/>
        <v>319612697472</v>
      </c>
      <c r="H1613" s="17" t="s">
        <v>919</v>
      </c>
      <c r="I1613" s="17">
        <f t="shared" si="66"/>
        <v>319612697472</v>
      </c>
    </row>
    <row r="1614" spans="1:9" x14ac:dyDescent="0.3">
      <c r="A1614" s="17" t="str">
        <f t="shared" si="65"/>
        <v>2000711</v>
      </c>
      <c r="B1614" s="17">
        <v>200</v>
      </c>
      <c r="C1614" s="17">
        <v>711</v>
      </c>
      <c r="D1614" s="17" t="s">
        <v>917</v>
      </c>
      <c r="E1614" s="17">
        <f t="shared" si="63"/>
        <v>67577936257430</v>
      </c>
      <c r="F1614" s="17" t="s">
        <v>918</v>
      </c>
      <c r="G1614" s="17">
        <f t="shared" si="64"/>
        <v>322808824446</v>
      </c>
      <c r="H1614" s="17" t="s">
        <v>919</v>
      </c>
      <c r="I1614" s="17">
        <f t="shared" si="66"/>
        <v>322808824446</v>
      </c>
    </row>
    <row r="1615" spans="1:9" x14ac:dyDescent="0.3">
      <c r="A1615" s="17" t="str">
        <f t="shared" si="65"/>
        <v>2000712</v>
      </c>
      <c r="B1615" s="17">
        <v>200</v>
      </c>
      <c r="C1615" s="17">
        <v>712</v>
      </c>
      <c r="D1615" s="17" t="s">
        <v>917</v>
      </c>
      <c r="E1615" s="17">
        <f t="shared" si="63"/>
        <v>68253715620004</v>
      </c>
      <c r="F1615" s="17" t="s">
        <v>918</v>
      </c>
      <c r="G1615" s="17">
        <f t="shared" si="64"/>
        <v>326036912690</v>
      </c>
      <c r="H1615" s="17" t="s">
        <v>919</v>
      </c>
      <c r="I1615" s="17">
        <f t="shared" si="66"/>
        <v>326036912690</v>
      </c>
    </row>
    <row r="1616" spans="1:9" x14ac:dyDescent="0.3">
      <c r="A1616" s="17" t="str">
        <f t="shared" si="65"/>
        <v>2000713</v>
      </c>
      <c r="B1616" s="17">
        <v>200</v>
      </c>
      <c r="C1616" s="17">
        <v>713</v>
      </c>
      <c r="D1616" s="17" t="s">
        <v>917</v>
      </c>
      <c r="E1616" s="17">
        <f t="shared" si="63"/>
        <v>68936252776204</v>
      </c>
      <c r="F1616" s="17" t="s">
        <v>918</v>
      </c>
      <c r="G1616" s="17">
        <f t="shared" si="64"/>
        <v>329297281816</v>
      </c>
      <c r="H1616" s="17" t="s">
        <v>919</v>
      </c>
      <c r="I1616" s="17">
        <f t="shared" si="66"/>
        <v>329297281816</v>
      </c>
    </row>
    <row r="1617" spans="1:9" x14ac:dyDescent="0.3">
      <c r="A1617" s="17" t="str">
        <f t="shared" si="65"/>
        <v>2000714</v>
      </c>
      <c r="B1617" s="17">
        <v>200</v>
      </c>
      <c r="C1617" s="17">
        <v>714</v>
      </c>
      <c r="D1617" s="17" t="s">
        <v>917</v>
      </c>
      <c r="E1617" s="17">
        <f t="shared" si="63"/>
        <v>69625615303966</v>
      </c>
      <c r="F1617" s="17" t="s">
        <v>918</v>
      </c>
      <c r="G1617" s="17">
        <f t="shared" si="64"/>
        <v>332590254634</v>
      </c>
      <c r="H1617" s="17" t="s">
        <v>919</v>
      </c>
      <c r="I1617" s="17">
        <f t="shared" si="66"/>
        <v>332590254634</v>
      </c>
    </row>
    <row r="1618" spans="1:9" x14ac:dyDescent="0.3">
      <c r="A1618" s="17" t="str">
        <f t="shared" si="65"/>
        <v>2000715</v>
      </c>
      <c r="B1618" s="17">
        <v>200</v>
      </c>
      <c r="C1618" s="17">
        <v>715</v>
      </c>
      <c r="D1618" s="17" t="s">
        <v>917</v>
      </c>
      <c r="E1618" s="17">
        <f t="shared" si="63"/>
        <v>70321871457005</v>
      </c>
      <c r="F1618" s="17" t="s">
        <v>918</v>
      </c>
      <c r="G1618" s="17">
        <f t="shared" si="64"/>
        <v>335916157180</v>
      </c>
      <c r="H1618" s="17" t="s">
        <v>919</v>
      </c>
      <c r="I1618" s="17">
        <f t="shared" si="66"/>
        <v>335916157180</v>
      </c>
    </row>
    <row r="1619" spans="1:9" x14ac:dyDescent="0.3">
      <c r="A1619" s="17" t="str">
        <f t="shared" si="65"/>
        <v>2000716</v>
      </c>
      <c r="B1619" s="17">
        <v>200</v>
      </c>
      <c r="C1619" s="17">
        <v>716</v>
      </c>
      <c r="D1619" s="17" t="s">
        <v>917</v>
      </c>
      <c r="E1619" s="17">
        <f t="shared" si="63"/>
        <v>71025090171575</v>
      </c>
      <c r="F1619" s="17" t="s">
        <v>918</v>
      </c>
      <c r="G1619" s="17">
        <f t="shared" si="64"/>
        <v>339275318751</v>
      </c>
      <c r="H1619" s="17" t="s">
        <v>919</v>
      </c>
      <c r="I1619" s="17">
        <f t="shared" si="66"/>
        <v>339275318751</v>
      </c>
    </row>
    <row r="1620" spans="1:9" x14ac:dyDescent="0.3">
      <c r="A1620" s="17" t="str">
        <f t="shared" si="65"/>
        <v>2000717</v>
      </c>
      <c r="B1620" s="17">
        <v>200</v>
      </c>
      <c r="C1620" s="17">
        <v>717</v>
      </c>
      <c r="D1620" s="17" t="s">
        <v>917</v>
      </c>
      <c r="E1620" s="17">
        <f t="shared" si="63"/>
        <v>71735341073290</v>
      </c>
      <c r="F1620" s="17" t="s">
        <v>918</v>
      </c>
      <c r="G1620" s="17">
        <f t="shared" si="64"/>
        <v>342668071938</v>
      </c>
      <c r="H1620" s="17" t="s">
        <v>919</v>
      </c>
      <c r="I1620" s="17">
        <f t="shared" si="66"/>
        <v>342668071938</v>
      </c>
    </row>
    <row r="1621" spans="1:9" x14ac:dyDescent="0.3">
      <c r="A1621" s="17" t="str">
        <f t="shared" si="65"/>
        <v>2000718</v>
      </c>
      <c r="B1621" s="17">
        <v>200</v>
      </c>
      <c r="C1621" s="17">
        <v>718</v>
      </c>
      <c r="D1621" s="17" t="s">
        <v>917</v>
      </c>
      <c r="E1621" s="17">
        <f t="shared" si="63"/>
        <v>72452694484022</v>
      </c>
      <c r="F1621" s="17" t="s">
        <v>918</v>
      </c>
      <c r="G1621" s="17">
        <f t="shared" si="64"/>
        <v>346094752657</v>
      </c>
      <c r="H1621" s="17" t="s">
        <v>919</v>
      </c>
      <c r="I1621" s="17">
        <f t="shared" si="66"/>
        <v>346094752657</v>
      </c>
    </row>
    <row r="1622" spans="1:9" x14ac:dyDescent="0.3">
      <c r="A1622" s="17" t="str">
        <f t="shared" si="65"/>
        <v>2000719</v>
      </c>
      <c r="B1622" s="17">
        <v>200</v>
      </c>
      <c r="C1622" s="17">
        <v>719</v>
      </c>
      <c r="D1622" s="17" t="s">
        <v>917</v>
      </c>
      <c r="E1622" s="17">
        <f t="shared" si="63"/>
        <v>73177221428862</v>
      </c>
      <c r="F1622" s="17" t="s">
        <v>918</v>
      </c>
      <c r="G1622" s="17">
        <f t="shared" si="64"/>
        <v>349555700183</v>
      </c>
      <c r="H1622" s="17" t="s">
        <v>919</v>
      </c>
      <c r="I1622" s="17">
        <f t="shared" si="66"/>
        <v>349555700183</v>
      </c>
    </row>
    <row r="1623" spans="1:9" x14ac:dyDescent="0.3">
      <c r="A1623" s="17" t="str">
        <f t="shared" si="65"/>
        <v>2000720</v>
      </c>
      <c r="B1623" s="17">
        <v>200</v>
      </c>
      <c r="C1623" s="17">
        <v>720</v>
      </c>
      <c r="D1623" s="17" t="s">
        <v>917</v>
      </c>
      <c r="E1623" s="17">
        <f t="shared" si="63"/>
        <v>73908993643150</v>
      </c>
      <c r="F1623" s="17" t="s">
        <v>918</v>
      </c>
      <c r="G1623" s="17">
        <f t="shared" si="64"/>
        <v>353051257184</v>
      </c>
      <c r="H1623" s="17" t="s">
        <v>919</v>
      </c>
      <c r="I1623" s="17">
        <f t="shared" si="66"/>
        <v>353051257184</v>
      </c>
    </row>
    <row r="1624" spans="1:9" x14ac:dyDescent="0.3">
      <c r="A1624" s="17" t="str">
        <f t="shared" si="65"/>
        <v>2000721</v>
      </c>
      <c r="B1624" s="17">
        <v>200</v>
      </c>
      <c r="C1624" s="17">
        <v>721</v>
      </c>
      <c r="D1624" s="17" t="s">
        <v>917</v>
      </c>
      <c r="E1624" s="17">
        <f t="shared" si="63"/>
        <v>74648083579581</v>
      </c>
      <c r="F1624" s="17" t="s">
        <v>918</v>
      </c>
      <c r="G1624" s="17">
        <f t="shared" si="64"/>
        <v>356581769755</v>
      </c>
      <c r="H1624" s="17" t="s">
        <v>919</v>
      </c>
      <c r="I1624" s="17">
        <f t="shared" si="66"/>
        <v>356581769755</v>
      </c>
    </row>
    <row r="1625" spans="1:9" x14ac:dyDescent="0.3">
      <c r="A1625" s="17" t="str">
        <f t="shared" si="65"/>
        <v>2000722</v>
      </c>
      <c r="B1625" s="17">
        <v>200</v>
      </c>
      <c r="C1625" s="17">
        <v>722</v>
      </c>
      <c r="D1625" s="17" t="s">
        <v>917</v>
      </c>
      <c r="E1625" s="17">
        <f t="shared" si="63"/>
        <v>75394564415376</v>
      </c>
      <c r="F1625" s="17" t="s">
        <v>918</v>
      </c>
      <c r="G1625" s="17">
        <f t="shared" si="64"/>
        <v>360147587452</v>
      </c>
      <c r="H1625" s="17" t="s">
        <v>919</v>
      </c>
      <c r="I1625" s="17">
        <f t="shared" si="66"/>
        <v>360147587452</v>
      </c>
    </row>
    <row r="1626" spans="1:9" x14ac:dyDescent="0.3">
      <c r="A1626" s="17" t="str">
        <f t="shared" si="65"/>
        <v>2000723</v>
      </c>
      <c r="B1626" s="17">
        <v>200</v>
      </c>
      <c r="C1626" s="17">
        <v>723</v>
      </c>
      <c r="D1626" s="17" t="s">
        <v>917</v>
      </c>
      <c r="E1626" s="17">
        <f t="shared" si="63"/>
        <v>76148510059529</v>
      </c>
      <c r="F1626" s="17" t="s">
        <v>918</v>
      </c>
      <c r="G1626" s="17">
        <f t="shared" si="64"/>
        <v>363749063326</v>
      </c>
      <c r="H1626" s="17" t="s">
        <v>919</v>
      </c>
      <c r="I1626" s="17">
        <f t="shared" si="66"/>
        <v>363749063326</v>
      </c>
    </row>
    <row r="1627" spans="1:9" x14ac:dyDescent="0.3">
      <c r="A1627" s="17" t="str">
        <f t="shared" si="65"/>
        <v>2000724</v>
      </c>
      <c r="B1627" s="17">
        <v>200</v>
      </c>
      <c r="C1627" s="17">
        <v>724</v>
      </c>
      <c r="D1627" s="17" t="s">
        <v>917</v>
      </c>
      <c r="E1627" s="17">
        <f t="shared" si="63"/>
        <v>76909995160124</v>
      </c>
      <c r="F1627" s="17" t="s">
        <v>918</v>
      </c>
      <c r="G1627" s="17">
        <f t="shared" si="64"/>
        <v>367386553959</v>
      </c>
      <c r="H1627" s="17" t="s">
        <v>919</v>
      </c>
      <c r="I1627" s="17">
        <f t="shared" si="66"/>
        <v>367386553959</v>
      </c>
    </row>
    <row r="1628" spans="1:9" x14ac:dyDescent="0.3">
      <c r="A1628" s="17" t="str">
        <f t="shared" si="65"/>
        <v>2000725</v>
      </c>
      <c r="B1628" s="17">
        <v>200</v>
      </c>
      <c r="C1628" s="17">
        <v>725</v>
      </c>
      <c r="D1628" s="17" t="s">
        <v>917</v>
      </c>
      <c r="E1628" s="17">
        <f t="shared" si="63"/>
        <v>77679095111725</v>
      </c>
      <c r="F1628" s="17" t="s">
        <v>918</v>
      </c>
      <c r="G1628" s="17">
        <f t="shared" si="64"/>
        <v>371060419498</v>
      </c>
      <c r="H1628" s="17" t="s">
        <v>919</v>
      </c>
      <c r="I1628" s="17">
        <f t="shared" si="66"/>
        <v>371060419498</v>
      </c>
    </row>
    <row r="1629" spans="1:9" x14ac:dyDescent="0.3">
      <c r="A1629" s="17" t="str">
        <f t="shared" si="65"/>
        <v>2000726</v>
      </c>
      <c r="B1629" s="17">
        <v>200</v>
      </c>
      <c r="C1629" s="17">
        <v>726</v>
      </c>
      <c r="D1629" s="17" t="s">
        <v>917</v>
      </c>
      <c r="E1629" s="17">
        <f t="shared" si="63"/>
        <v>78455886062842</v>
      </c>
      <c r="F1629" s="17" t="s">
        <v>918</v>
      </c>
      <c r="G1629" s="17">
        <f t="shared" si="64"/>
        <v>374771023692</v>
      </c>
      <c r="H1629" s="17" t="s">
        <v>919</v>
      </c>
      <c r="I1629" s="17">
        <f t="shared" si="66"/>
        <v>374771023692</v>
      </c>
    </row>
    <row r="1630" spans="1:9" x14ac:dyDescent="0.3">
      <c r="A1630" s="17" t="str">
        <f t="shared" si="65"/>
        <v>2000727</v>
      </c>
      <c r="B1630" s="17">
        <v>200</v>
      </c>
      <c r="C1630" s="17">
        <v>727</v>
      </c>
      <c r="D1630" s="17" t="s">
        <v>917</v>
      </c>
      <c r="E1630" s="17">
        <f t="shared" si="63"/>
        <v>79240444923470</v>
      </c>
      <c r="F1630" s="17" t="s">
        <v>918</v>
      </c>
      <c r="G1630" s="17">
        <f t="shared" si="64"/>
        <v>378518733928</v>
      </c>
      <c r="H1630" s="17" t="s">
        <v>919</v>
      </c>
      <c r="I1630" s="17">
        <f t="shared" si="66"/>
        <v>378518733928</v>
      </c>
    </row>
    <row r="1631" spans="1:9" x14ac:dyDescent="0.3">
      <c r="A1631" s="17" t="str">
        <f t="shared" si="65"/>
        <v>2000728</v>
      </c>
      <c r="B1631" s="17">
        <v>200</v>
      </c>
      <c r="C1631" s="17">
        <v>728</v>
      </c>
      <c r="D1631" s="17" t="s">
        <v>917</v>
      </c>
      <c r="E1631" s="17">
        <f t="shared" si="63"/>
        <v>80032849372704</v>
      </c>
      <c r="F1631" s="17" t="s">
        <v>918</v>
      </c>
      <c r="G1631" s="17">
        <f t="shared" si="64"/>
        <v>382303921267</v>
      </c>
      <c r="H1631" s="17" t="s">
        <v>919</v>
      </c>
      <c r="I1631" s="17">
        <f t="shared" si="66"/>
        <v>382303921267</v>
      </c>
    </row>
    <row r="1632" spans="1:9" x14ac:dyDescent="0.3">
      <c r="A1632" s="17" t="str">
        <f t="shared" si="65"/>
        <v>2000729</v>
      </c>
      <c r="B1632" s="17">
        <v>200</v>
      </c>
      <c r="C1632" s="17">
        <v>729</v>
      </c>
      <c r="D1632" s="17" t="s">
        <v>917</v>
      </c>
      <c r="E1632" s="17">
        <f t="shared" si="63"/>
        <v>80833177866431</v>
      </c>
      <c r="F1632" s="17" t="s">
        <v>918</v>
      </c>
      <c r="G1632" s="17">
        <f t="shared" si="64"/>
        <v>386126960479</v>
      </c>
      <c r="H1632" s="17" t="s">
        <v>919</v>
      </c>
      <c r="I1632" s="17">
        <f t="shared" si="66"/>
        <v>386126960479</v>
      </c>
    </row>
    <row r="1633" spans="1:9" x14ac:dyDescent="0.3">
      <c r="A1633" s="17" t="str">
        <f t="shared" si="65"/>
        <v>2000730</v>
      </c>
      <c r="B1633" s="17">
        <v>200</v>
      </c>
      <c r="C1633" s="17">
        <v>730</v>
      </c>
      <c r="D1633" s="17" t="s">
        <v>917</v>
      </c>
      <c r="E1633" s="17">
        <f t="shared" si="63"/>
        <v>81641509645095</v>
      </c>
      <c r="F1633" s="17" t="s">
        <v>918</v>
      </c>
      <c r="G1633" s="17">
        <f t="shared" si="64"/>
        <v>389988230083</v>
      </c>
      <c r="H1633" s="17" t="s">
        <v>919</v>
      </c>
      <c r="I1633" s="17">
        <f t="shared" si="66"/>
        <v>389988230083</v>
      </c>
    </row>
    <row r="1634" spans="1:9" x14ac:dyDescent="0.3">
      <c r="A1634" s="17" t="str">
        <f t="shared" si="65"/>
        <v>2000731</v>
      </c>
      <c r="B1634" s="17">
        <v>200</v>
      </c>
      <c r="C1634" s="17">
        <v>731</v>
      </c>
      <c r="D1634" s="17" t="s">
        <v>917</v>
      </c>
      <c r="E1634" s="17">
        <f t="shared" si="63"/>
        <v>82457924741546</v>
      </c>
      <c r="F1634" s="17" t="s">
        <v>918</v>
      </c>
      <c r="G1634" s="17">
        <f t="shared" si="64"/>
        <v>393888112383</v>
      </c>
      <c r="H1634" s="17" t="s">
        <v>919</v>
      </c>
      <c r="I1634" s="17">
        <f t="shared" si="66"/>
        <v>393888112383</v>
      </c>
    </row>
    <row r="1635" spans="1:9" x14ac:dyDescent="0.3">
      <c r="A1635" s="17" t="str">
        <f t="shared" si="65"/>
        <v>2000732</v>
      </c>
      <c r="B1635" s="17">
        <v>200</v>
      </c>
      <c r="C1635" s="17">
        <v>732</v>
      </c>
      <c r="D1635" s="17" t="s">
        <v>917</v>
      </c>
      <c r="E1635" s="17">
        <f t="shared" si="63"/>
        <v>83282503988961</v>
      </c>
      <c r="F1635" s="17" t="s">
        <v>918</v>
      </c>
      <c r="G1635" s="17">
        <f t="shared" si="64"/>
        <v>397826993506</v>
      </c>
      <c r="H1635" s="17" t="s">
        <v>919</v>
      </c>
      <c r="I1635" s="17">
        <f t="shared" si="66"/>
        <v>397826993506</v>
      </c>
    </row>
    <row r="1636" spans="1:9" x14ac:dyDescent="0.3">
      <c r="A1636" s="17" t="str">
        <f t="shared" si="65"/>
        <v>2000733</v>
      </c>
      <c r="B1636" s="17">
        <v>200</v>
      </c>
      <c r="C1636" s="17">
        <v>733</v>
      </c>
      <c r="D1636" s="17" t="s">
        <v>917</v>
      </c>
      <c r="E1636" s="17">
        <f t="shared" si="63"/>
        <v>84115329028850</v>
      </c>
      <c r="F1636" s="17" t="s">
        <v>918</v>
      </c>
      <c r="G1636" s="17">
        <f t="shared" si="64"/>
        <v>401805263441</v>
      </c>
      <c r="H1636" s="17" t="s">
        <v>919</v>
      </c>
      <c r="I1636" s="17">
        <f t="shared" si="66"/>
        <v>401805263441</v>
      </c>
    </row>
    <row r="1637" spans="1:9" x14ac:dyDescent="0.3">
      <c r="A1637" s="17" t="str">
        <f t="shared" si="65"/>
        <v>2000734</v>
      </c>
      <c r="B1637" s="17">
        <v>200</v>
      </c>
      <c r="C1637" s="17">
        <v>734</v>
      </c>
      <c r="D1637" s="17" t="s">
        <v>917</v>
      </c>
      <c r="E1637" s="17">
        <f t="shared" si="63"/>
        <v>84956482319138</v>
      </c>
      <c r="F1637" s="17" t="s">
        <v>918</v>
      </c>
      <c r="G1637" s="17">
        <f t="shared" si="64"/>
        <v>405823316075</v>
      </c>
      <c r="H1637" s="17" t="s">
        <v>919</v>
      </c>
      <c r="I1637" s="17">
        <f t="shared" si="66"/>
        <v>405823316075</v>
      </c>
    </row>
    <row r="1638" spans="1:9" x14ac:dyDescent="0.3">
      <c r="A1638" s="17" t="str">
        <f t="shared" si="65"/>
        <v>2000735</v>
      </c>
      <c r="B1638" s="17">
        <v>200</v>
      </c>
      <c r="C1638" s="17">
        <v>735</v>
      </c>
      <c r="D1638" s="17" t="s">
        <v>917</v>
      </c>
      <c r="E1638" s="17">
        <f t="shared" si="63"/>
        <v>85806047142329</v>
      </c>
      <c r="F1638" s="17" t="s">
        <v>918</v>
      </c>
      <c r="G1638" s="17">
        <f t="shared" si="64"/>
        <v>409881549235</v>
      </c>
      <c r="H1638" s="17" t="s">
        <v>919</v>
      </c>
      <c r="I1638" s="17">
        <f t="shared" si="66"/>
        <v>409881549235</v>
      </c>
    </row>
    <row r="1639" spans="1:9" x14ac:dyDescent="0.3">
      <c r="A1639" s="17" t="str">
        <f t="shared" si="65"/>
        <v>2000736</v>
      </c>
      <c r="B1639" s="17">
        <v>200</v>
      </c>
      <c r="C1639" s="17">
        <v>736</v>
      </c>
      <c r="D1639" s="17" t="s">
        <v>917</v>
      </c>
      <c r="E1639" s="17">
        <f t="shared" si="63"/>
        <v>86664107613752</v>
      </c>
      <c r="F1639" s="17" t="s">
        <v>918</v>
      </c>
      <c r="G1639" s="17">
        <f t="shared" si="64"/>
        <v>413980364727</v>
      </c>
      <c r="H1639" s="17" t="s">
        <v>919</v>
      </c>
      <c r="I1639" s="17">
        <f t="shared" si="66"/>
        <v>413980364727</v>
      </c>
    </row>
    <row r="1640" spans="1:9" x14ac:dyDescent="0.3">
      <c r="A1640" s="17" t="str">
        <f t="shared" si="65"/>
        <v>2000737</v>
      </c>
      <c r="B1640" s="17">
        <v>200</v>
      </c>
      <c r="C1640" s="17">
        <v>737</v>
      </c>
      <c r="D1640" s="17" t="s">
        <v>917</v>
      </c>
      <c r="E1640" s="17">
        <f t="shared" si="63"/>
        <v>87530748689889</v>
      </c>
      <c r="F1640" s="17" t="s">
        <v>918</v>
      </c>
      <c r="G1640" s="17">
        <f t="shared" si="64"/>
        <v>418120168374</v>
      </c>
      <c r="H1640" s="17" t="s">
        <v>919</v>
      </c>
      <c r="I1640" s="17">
        <f t="shared" si="66"/>
        <v>418120168374</v>
      </c>
    </row>
    <row r="1641" spans="1:9" x14ac:dyDescent="0.3">
      <c r="A1641" s="17" t="str">
        <f t="shared" si="65"/>
        <v>2000738</v>
      </c>
      <c r="B1641" s="17">
        <v>200</v>
      </c>
      <c r="C1641" s="17">
        <v>738</v>
      </c>
      <c r="D1641" s="17" t="s">
        <v>917</v>
      </c>
      <c r="E1641" s="17">
        <f t="shared" si="63"/>
        <v>88406056176787</v>
      </c>
      <c r="F1641" s="17" t="s">
        <v>918</v>
      </c>
      <c r="G1641" s="17">
        <f t="shared" si="64"/>
        <v>422301370057</v>
      </c>
      <c r="H1641" s="17" t="s">
        <v>919</v>
      </c>
      <c r="I1641" s="17">
        <f t="shared" si="66"/>
        <v>422301370057</v>
      </c>
    </row>
    <row r="1642" spans="1:9" x14ac:dyDescent="0.3">
      <c r="A1642" s="17" t="str">
        <f t="shared" si="65"/>
        <v>2000739</v>
      </c>
      <c r="B1642" s="17">
        <v>200</v>
      </c>
      <c r="C1642" s="17">
        <v>739</v>
      </c>
      <c r="D1642" s="17" t="s">
        <v>917</v>
      </c>
      <c r="E1642" s="17">
        <f t="shared" si="63"/>
        <v>89290116738554</v>
      </c>
      <c r="F1642" s="17" t="s">
        <v>918</v>
      </c>
      <c r="G1642" s="17">
        <f t="shared" si="64"/>
        <v>426524383757</v>
      </c>
      <c r="H1642" s="17" t="s">
        <v>919</v>
      </c>
      <c r="I1642" s="17">
        <f t="shared" si="66"/>
        <v>426524383757</v>
      </c>
    </row>
    <row r="1643" spans="1:9" x14ac:dyDescent="0.3">
      <c r="A1643" s="17" t="str">
        <f t="shared" si="65"/>
        <v>2000740</v>
      </c>
      <c r="B1643" s="17">
        <v>200</v>
      </c>
      <c r="C1643" s="17">
        <v>740</v>
      </c>
      <c r="D1643" s="17" t="s">
        <v>917</v>
      </c>
      <c r="E1643" s="17">
        <f t="shared" si="63"/>
        <v>90183017905939</v>
      </c>
      <c r="F1643" s="17" t="s">
        <v>918</v>
      </c>
      <c r="G1643" s="17">
        <f t="shared" si="64"/>
        <v>430789627594</v>
      </c>
      <c r="H1643" s="17" t="s">
        <v>919</v>
      </c>
      <c r="I1643" s="17">
        <f t="shared" si="66"/>
        <v>430789627594</v>
      </c>
    </row>
    <row r="1644" spans="1:9" x14ac:dyDescent="0.3">
      <c r="A1644" s="17" t="str">
        <f t="shared" si="65"/>
        <v>2000741</v>
      </c>
      <c r="B1644" s="17">
        <v>200</v>
      </c>
      <c r="C1644" s="17">
        <v>741</v>
      </c>
      <c r="D1644" s="17" t="s">
        <v>917</v>
      </c>
      <c r="E1644" s="17">
        <f t="shared" si="63"/>
        <v>91084848084998</v>
      </c>
      <c r="F1644" s="17" t="s">
        <v>918</v>
      </c>
      <c r="G1644" s="17">
        <f t="shared" si="64"/>
        <v>435097523869</v>
      </c>
      <c r="H1644" s="17" t="s">
        <v>919</v>
      </c>
      <c r="I1644" s="17">
        <f t="shared" si="66"/>
        <v>435097523869</v>
      </c>
    </row>
    <row r="1645" spans="1:9" x14ac:dyDescent="0.3">
      <c r="A1645" s="17" t="str">
        <f t="shared" si="65"/>
        <v>2000742</v>
      </c>
      <c r="B1645" s="17">
        <v>200</v>
      </c>
      <c r="C1645" s="17">
        <v>742</v>
      </c>
      <c r="D1645" s="17" t="s">
        <v>917</v>
      </c>
      <c r="E1645" s="17">
        <f t="shared" si="63"/>
        <v>91995696565848</v>
      </c>
      <c r="F1645" s="17" t="s">
        <v>918</v>
      </c>
      <c r="G1645" s="17">
        <f t="shared" si="64"/>
        <v>439448499107</v>
      </c>
      <c r="H1645" s="17" t="s">
        <v>919</v>
      </c>
      <c r="I1645" s="17">
        <f t="shared" si="66"/>
        <v>439448499107</v>
      </c>
    </row>
    <row r="1646" spans="1:9" x14ac:dyDescent="0.3">
      <c r="A1646" s="17" t="str">
        <f t="shared" si="65"/>
        <v>2000743</v>
      </c>
      <c r="B1646" s="17">
        <v>200</v>
      </c>
      <c r="C1646" s="17">
        <v>743</v>
      </c>
      <c r="D1646" s="17" t="s">
        <v>917</v>
      </c>
      <c r="E1646" s="17">
        <f t="shared" si="63"/>
        <v>92915653531506</v>
      </c>
      <c r="F1646" s="17" t="s">
        <v>918</v>
      </c>
      <c r="G1646" s="17">
        <f t="shared" si="64"/>
        <v>443842984098</v>
      </c>
      <c r="H1646" s="17" t="s">
        <v>919</v>
      </c>
      <c r="I1646" s="17">
        <f t="shared" si="66"/>
        <v>443842984098</v>
      </c>
    </row>
    <row r="1647" spans="1:9" x14ac:dyDescent="0.3">
      <c r="A1647" s="17" t="str">
        <f t="shared" si="65"/>
        <v>2000744</v>
      </c>
      <c r="B1647" s="17">
        <v>200</v>
      </c>
      <c r="C1647" s="17">
        <v>744</v>
      </c>
      <c r="D1647" s="17" t="s">
        <v>917</v>
      </c>
      <c r="E1647" s="17">
        <f t="shared" si="63"/>
        <v>93844810066821</v>
      </c>
      <c r="F1647" s="17" t="s">
        <v>918</v>
      </c>
      <c r="G1647" s="17">
        <f t="shared" si="64"/>
        <v>448281413938</v>
      </c>
      <c r="H1647" s="17" t="s">
        <v>919</v>
      </c>
      <c r="I1647" s="17">
        <f t="shared" si="66"/>
        <v>448281413938</v>
      </c>
    </row>
    <row r="1648" spans="1:9" x14ac:dyDescent="0.3">
      <c r="A1648" s="17" t="str">
        <f t="shared" si="65"/>
        <v>2000745</v>
      </c>
      <c r="B1648" s="17">
        <v>200</v>
      </c>
      <c r="C1648" s="17">
        <v>745</v>
      </c>
      <c r="D1648" s="17" t="s">
        <v>917</v>
      </c>
      <c r="E1648" s="17">
        <f t="shared" si="63"/>
        <v>94783258167489</v>
      </c>
      <c r="F1648" s="17" t="s">
        <v>918</v>
      </c>
      <c r="G1648" s="17">
        <f t="shared" si="64"/>
        <v>452764228077</v>
      </c>
      <c r="H1648" s="17" t="s">
        <v>919</v>
      </c>
      <c r="I1648" s="17">
        <f t="shared" si="66"/>
        <v>452764228077</v>
      </c>
    </row>
    <row r="1649" spans="1:9" x14ac:dyDescent="0.3">
      <c r="A1649" s="17" t="str">
        <f t="shared" si="65"/>
        <v>2000746</v>
      </c>
      <c r="B1649" s="17">
        <v>200</v>
      </c>
      <c r="C1649" s="17">
        <v>746</v>
      </c>
      <c r="D1649" s="17" t="s">
        <v>917</v>
      </c>
      <c r="E1649" s="17">
        <f t="shared" si="63"/>
        <v>95731090749163</v>
      </c>
      <c r="F1649" s="17" t="s">
        <v>918</v>
      </c>
      <c r="G1649" s="17">
        <f t="shared" si="64"/>
        <v>457291870357</v>
      </c>
      <c r="H1649" s="17" t="s">
        <v>919</v>
      </c>
      <c r="I1649" s="17">
        <f t="shared" si="66"/>
        <v>457291870357</v>
      </c>
    </row>
    <row r="1650" spans="1:9" x14ac:dyDescent="0.3">
      <c r="A1650" s="17" t="str">
        <f t="shared" si="65"/>
        <v>2000747</v>
      </c>
      <c r="B1650" s="17">
        <v>200</v>
      </c>
      <c r="C1650" s="17">
        <v>747</v>
      </c>
      <c r="D1650" s="17" t="s">
        <v>917</v>
      </c>
      <c r="E1650" s="17">
        <f t="shared" si="63"/>
        <v>96688401656654</v>
      </c>
      <c r="F1650" s="17" t="s">
        <v>918</v>
      </c>
      <c r="G1650" s="17">
        <f t="shared" si="64"/>
        <v>461864789060</v>
      </c>
      <c r="H1650" s="17" t="s">
        <v>919</v>
      </c>
      <c r="I1650" s="17">
        <f t="shared" si="66"/>
        <v>461864789060</v>
      </c>
    </row>
    <row r="1651" spans="1:9" x14ac:dyDescent="0.3">
      <c r="A1651" s="17" t="str">
        <f t="shared" si="65"/>
        <v>2000748</v>
      </c>
      <c r="B1651" s="17">
        <v>200</v>
      </c>
      <c r="C1651" s="17">
        <v>748</v>
      </c>
      <c r="D1651" s="17" t="s">
        <v>917</v>
      </c>
      <c r="E1651" s="17">
        <f t="shared" si="63"/>
        <v>97655285673220</v>
      </c>
      <c r="F1651" s="17" t="s">
        <v>918</v>
      </c>
      <c r="G1651" s="17">
        <f t="shared" si="64"/>
        <v>466483436950</v>
      </c>
      <c r="H1651" s="17" t="s">
        <v>919</v>
      </c>
      <c r="I1651" s="17">
        <f t="shared" si="66"/>
        <v>466483436950</v>
      </c>
    </row>
    <row r="1652" spans="1:9" x14ac:dyDescent="0.3">
      <c r="A1652" s="17" t="str">
        <f t="shared" si="65"/>
        <v>2000749</v>
      </c>
      <c r="B1652" s="17">
        <v>200</v>
      </c>
      <c r="C1652" s="17">
        <v>749</v>
      </c>
      <c r="D1652" s="17" t="s">
        <v>917</v>
      </c>
      <c r="E1652" s="17">
        <f t="shared" ref="E1652:E1715" si="67">INT(E1651*1.01)</f>
        <v>98631838529952</v>
      </c>
      <c r="F1652" s="17" t="s">
        <v>918</v>
      </c>
      <c r="G1652" s="17">
        <f t="shared" ref="G1652:G1715" si="68">INT(G1651*1.01)</f>
        <v>471148271319</v>
      </c>
      <c r="H1652" s="17" t="s">
        <v>919</v>
      </c>
      <c r="I1652" s="17">
        <f t="shared" si="66"/>
        <v>471148271319</v>
      </c>
    </row>
    <row r="1653" spans="1:9" x14ac:dyDescent="0.3">
      <c r="A1653" s="17" t="str">
        <f t="shared" si="65"/>
        <v>2000750</v>
      </c>
      <c r="B1653" s="17">
        <v>200</v>
      </c>
      <c r="C1653" s="17">
        <v>750</v>
      </c>
      <c r="D1653" s="17" t="s">
        <v>917</v>
      </c>
      <c r="E1653" s="17">
        <f t="shared" si="67"/>
        <v>99618156915251</v>
      </c>
      <c r="F1653" s="17" t="s">
        <v>918</v>
      </c>
      <c r="G1653" s="17">
        <f t="shared" si="68"/>
        <v>475859754032</v>
      </c>
      <c r="H1653" s="17" t="s">
        <v>919</v>
      </c>
      <c r="I1653" s="17">
        <f t="shared" si="66"/>
        <v>475859754032</v>
      </c>
    </row>
    <row r="1654" spans="1:9" x14ac:dyDescent="0.3">
      <c r="A1654" s="17" t="str">
        <f t="shared" si="65"/>
        <v>2000751</v>
      </c>
      <c r="B1654" s="17">
        <v>200</v>
      </c>
      <c r="C1654" s="17">
        <v>751</v>
      </c>
      <c r="D1654" s="17" t="s">
        <v>917</v>
      </c>
      <c r="E1654" s="17">
        <f t="shared" si="67"/>
        <v>100614338484404</v>
      </c>
      <c r="F1654" s="17" t="s">
        <v>918</v>
      </c>
      <c r="G1654" s="17">
        <f t="shared" si="68"/>
        <v>480618351572</v>
      </c>
      <c r="H1654" s="17" t="s">
        <v>919</v>
      </c>
      <c r="I1654" s="17">
        <f t="shared" si="66"/>
        <v>480618351572</v>
      </c>
    </row>
    <row r="1655" spans="1:9" x14ac:dyDescent="0.3">
      <c r="A1655" s="17" t="str">
        <f t="shared" si="65"/>
        <v>2000752</v>
      </c>
      <c r="B1655" s="17">
        <v>200</v>
      </c>
      <c r="C1655" s="17">
        <v>752</v>
      </c>
      <c r="D1655" s="17" t="s">
        <v>917</v>
      </c>
      <c r="E1655" s="17">
        <f t="shared" si="67"/>
        <v>101620481869248</v>
      </c>
      <c r="F1655" s="17" t="s">
        <v>918</v>
      </c>
      <c r="G1655" s="17">
        <f t="shared" si="68"/>
        <v>485424535087</v>
      </c>
      <c r="H1655" s="17" t="s">
        <v>919</v>
      </c>
      <c r="I1655" s="17">
        <f t="shared" si="66"/>
        <v>485424535087</v>
      </c>
    </row>
    <row r="1656" spans="1:9" x14ac:dyDescent="0.3">
      <c r="A1656" s="17" t="str">
        <f t="shared" si="65"/>
        <v>2000753</v>
      </c>
      <c r="B1656" s="17">
        <v>200</v>
      </c>
      <c r="C1656" s="17">
        <v>753</v>
      </c>
      <c r="D1656" s="17" t="s">
        <v>917</v>
      </c>
      <c r="E1656" s="17">
        <f t="shared" si="67"/>
        <v>102636686687940</v>
      </c>
      <c r="F1656" s="17" t="s">
        <v>918</v>
      </c>
      <c r="G1656" s="17">
        <f t="shared" si="68"/>
        <v>490278780437</v>
      </c>
      <c r="H1656" s="17" t="s">
        <v>919</v>
      </c>
      <c r="I1656" s="17">
        <f t="shared" si="66"/>
        <v>490278780437</v>
      </c>
    </row>
    <row r="1657" spans="1:9" x14ac:dyDescent="0.3">
      <c r="A1657" s="17" t="str">
        <f t="shared" si="65"/>
        <v>2000754</v>
      </c>
      <c r="B1657" s="17">
        <v>200</v>
      </c>
      <c r="C1657" s="17">
        <v>754</v>
      </c>
      <c r="D1657" s="17" t="s">
        <v>917</v>
      </c>
      <c r="E1657" s="17">
        <f t="shared" si="67"/>
        <v>103663053554819</v>
      </c>
      <c r="F1657" s="17" t="s">
        <v>918</v>
      </c>
      <c r="G1657" s="17">
        <f t="shared" si="68"/>
        <v>495181568241</v>
      </c>
      <c r="H1657" s="17" t="s">
        <v>919</v>
      </c>
      <c r="I1657" s="17">
        <f t="shared" si="66"/>
        <v>495181568241</v>
      </c>
    </row>
    <row r="1658" spans="1:9" x14ac:dyDescent="0.3">
      <c r="A1658" s="17" t="str">
        <f t="shared" si="65"/>
        <v>2000755</v>
      </c>
      <c r="B1658" s="17">
        <v>200</v>
      </c>
      <c r="C1658" s="17">
        <v>755</v>
      </c>
      <c r="D1658" s="17" t="s">
        <v>917</v>
      </c>
      <c r="E1658" s="17">
        <f t="shared" si="67"/>
        <v>104699684090367</v>
      </c>
      <c r="F1658" s="17" t="s">
        <v>918</v>
      </c>
      <c r="G1658" s="17">
        <f t="shared" si="68"/>
        <v>500133383923</v>
      </c>
      <c r="H1658" s="17" t="s">
        <v>919</v>
      </c>
      <c r="I1658" s="17">
        <f t="shared" si="66"/>
        <v>500133383923</v>
      </c>
    </row>
    <row r="1659" spans="1:9" x14ac:dyDescent="0.3">
      <c r="A1659" s="17" t="str">
        <f t="shared" si="65"/>
        <v>2000756</v>
      </c>
      <c r="B1659" s="17">
        <v>200</v>
      </c>
      <c r="C1659" s="17">
        <v>756</v>
      </c>
      <c r="D1659" s="17" t="s">
        <v>917</v>
      </c>
      <c r="E1659" s="17">
        <f t="shared" si="67"/>
        <v>105746680931271</v>
      </c>
      <c r="F1659" s="17" t="s">
        <v>918</v>
      </c>
      <c r="G1659" s="17">
        <f t="shared" si="68"/>
        <v>505134717762</v>
      </c>
      <c r="H1659" s="17" t="s">
        <v>919</v>
      </c>
      <c r="I1659" s="17">
        <f t="shared" si="66"/>
        <v>505134717762</v>
      </c>
    </row>
    <row r="1660" spans="1:9" x14ac:dyDescent="0.3">
      <c r="A1660" s="17" t="str">
        <f t="shared" si="65"/>
        <v>2000757</v>
      </c>
      <c r="B1660" s="17">
        <v>200</v>
      </c>
      <c r="C1660" s="17">
        <v>757</v>
      </c>
      <c r="D1660" s="17" t="s">
        <v>917</v>
      </c>
      <c r="E1660" s="17">
        <f t="shared" si="67"/>
        <v>106804147740584</v>
      </c>
      <c r="F1660" s="17" t="s">
        <v>918</v>
      </c>
      <c r="G1660" s="17">
        <f t="shared" si="68"/>
        <v>510186064939</v>
      </c>
      <c r="H1660" s="17" t="s">
        <v>919</v>
      </c>
      <c r="I1660" s="17">
        <f t="shared" si="66"/>
        <v>510186064939</v>
      </c>
    </row>
    <row r="1661" spans="1:9" x14ac:dyDescent="0.3">
      <c r="A1661" s="17" t="str">
        <f t="shared" si="65"/>
        <v>2000758</v>
      </c>
      <c r="B1661" s="17">
        <v>200</v>
      </c>
      <c r="C1661" s="17">
        <v>758</v>
      </c>
      <c r="D1661" s="17" t="s">
        <v>917</v>
      </c>
      <c r="E1661" s="17">
        <f t="shared" si="67"/>
        <v>107872189217990</v>
      </c>
      <c r="F1661" s="17" t="s">
        <v>918</v>
      </c>
      <c r="G1661" s="17">
        <f t="shared" si="68"/>
        <v>515287925588</v>
      </c>
      <c r="H1661" s="17" t="s">
        <v>919</v>
      </c>
      <c r="I1661" s="17">
        <f t="shared" si="66"/>
        <v>515287925588</v>
      </c>
    </row>
    <row r="1662" spans="1:9" x14ac:dyDescent="0.3">
      <c r="A1662" s="17" t="str">
        <f t="shared" si="65"/>
        <v>2000759</v>
      </c>
      <c r="B1662" s="17">
        <v>200</v>
      </c>
      <c r="C1662" s="17">
        <v>759</v>
      </c>
      <c r="D1662" s="17" t="s">
        <v>917</v>
      </c>
      <c r="E1662" s="17">
        <f t="shared" si="67"/>
        <v>108950911110170</v>
      </c>
      <c r="F1662" s="17" t="s">
        <v>918</v>
      </c>
      <c r="G1662" s="17">
        <f t="shared" si="68"/>
        <v>520440804843</v>
      </c>
      <c r="H1662" s="17" t="s">
        <v>919</v>
      </c>
      <c r="I1662" s="17">
        <f t="shared" si="66"/>
        <v>520440804843</v>
      </c>
    </row>
    <row r="1663" spans="1:9" x14ac:dyDescent="0.3">
      <c r="A1663" s="17" t="str">
        <f t="shared" si="65"/>
        <v>2000760</v>
      </c>
      <c r="B1663" s="17">
        <v>200</v>
      </c>
      <c r="C1663" s="17">
        <v>760</v>
      </c>
      <c r="D1663" s="17" t="s">
        <v>917</v>
      </c>
      <c r="E1663" s="17">
        <f t="shared" si="67"/>
        <v>110040420221272</v>
      </c>
      <c r="F1663" s="17" t="s">
        <v>918</v>
      </c>
      <c r="G1663" s="17">
        <f t="shared" si="68"/>
        <v>525645212891</v>
      </c>
      <c r="H1663" s="17" t="s">
        <v>919</v>
      </c>
      <c r="I1663" s="17">
        <f t="shared" si="66"/>
        <v>525645212891</v>
      </c>
    </row>
    <row r="1664" spans="1:9" x14ac:dyDescent="0.3">
      <c r="A1664" s="17" t="str">
        <f t="shared" si="65"/>
        <v>2000761</v>
      </c>
      <c r="B1664" s="17">
        <v>200</v>
      </c>
      <c r="C1664" s="17">
        <v>761</v>
      </c>
      <c r="D1664" s="17" t="s">
        <v>917</v>
      </c>
      <c r="E1664" s="17">
        <f t="shared" si="67"/>
        <v>111140824423485</v>
      </c>
      <c r="F1664" s="17" t="s">
        <v>918</v>
      </c>
      <c r="G1664" s="17">
        <f t="shared" si="68"/>
        <v>530901665019</v>
      </c>
      <c r="H1664" s="17" t="s">
        <v>919</v>
      </c>
      <c r="I1664" s="17">
        <f t="shared" si="66"/>
        <v>530901665019</v>
      </c>
    </row>
    <row r="1665" spans="1:9" x14ac:dyDescent="0.3">
      <c r="A1665" s="17" t="str">
        <f t="shared" si="65"/>
        <v>2000762</v>
      </c>
      <c r="B1665" s="17">
        <v>200</v>
      </c>
      <c r="C1665" s="17">
        <v>762</v>
      </c>
      <c r="D1665" s="17" t="s">
        <v>917</v>
      </c>
      <c r="E1665" s="17">
        <f t="shared" si="67"/>
        <v>112252232667720</v>
      </c>
      <c r="F1665" s="17" t="s">
        <v>918</v>
      </c>
      <c r="G1665" s="17">
        <f t="shared" si="68"/>
        <v>536210681669</v>
      </c>
      <c r="H1665" s="17" t="s">
        <v>919</v>
      </c>
      <c r="I1665" s="17">
        <f t="shared" si="66"/>
        <v>536210681669</v>
      </c>
    </row>
    <row r="1666" spans="1:9" x14ac:dyDescent="0.3">
      <c r="A1666" s="17" t="str">
        <f t="shared" si="65"/>
        <v>2000763</v>
      </c>
      <c r="B1666" s="17">
        <v>200</v>
      </c>
      <c r="C1666" s="17">
        <v>763</v>
      </c>
      <c r="D1666" s="17" t="s">
        <v>917</v>
      </c>
      <c r="E1666" s="17">
        <f t="shared" si="67"/>
        <v>113374754994397</v>
      </c>
      <c r="F1666" s="17" t="s">
        <v>918</v>
      </c>
      <c r="G1666" s="17">
        <f t="shared" si="68"/>
        <v>541572788485</v>
      </c>
      <c r="H1666" s="17" t="s">
        <v>919</v>
      </c>
      <c r="I1666" s="17">
        <f t="shared" si="66"/>
        <v>541572788485</v>
      </c>
    </row>
    <row r="1667" spans="1:9" x14ac:dyDescent="0.3">
      <c r="A1667" s="17" t="str">
        <f t="shared" si="65"/>
        <v>2000764</v>
      </c>
      <c r="B1667" s="17">
        <v>200</v>
      </c>
      <c r="C1667" s="17">
        <v>764</v>
      </c>
      <c r="D1667" s="17" t="s">
        <v>917</v>
      </c>
      <c r="E1667" s="17">
        <f t="shared" si="67"/>
        <v>114508502544341</v>
      </c>
      <c r="F1667" s="17" t="s">
        <v>918</v>
      </c>
      <c r="G1667" s="17">
        <f t="shared" si="68"/>
        <v>546988516369</v>
      </c>
      <c r="H1667" s="17" t="s">
        <v>919</v>
      </c>
      <c r="I1667" s="17">
        <f t="shared" si="66"/>
        <v>546988516369</v>
      </c>
    </row>
    <row r="1668" spans="1:9" x14ac:dyDescent="0.3">
      <c r="A1668" s="17" t="str">
        <f t="shared" ref="A1668:A1731" si="69">B1668&amp;TEXT(C1668,"0000")</f>
        <v>2000765</v>
      </c>
      <c r="B1668" s="17">
        <v>200</v>
      </c>
      <c r="C1668" s="17">
        <v>765</v>
      </c>
      <c r="D1668" s="17" t="s">
        <v>917</v>
      </c>
      <c r="E1668" s="17">
        <f t="shared" si="67"/>
        <v>115653587569784</v>
      </c>
      <c r="F1668" s="17" t="s">
        <v>918</v>
      </c>
      <c r="G1668" s="17">
        <f t="shared" si="68"/>
        <v>552458401532</v>
      </c>
      <c r="H1668" s="17" t="s">
        <v>919</v>
      </c>
      <c r="I1668" s="17">
        <f t="shared" si="66"/>
        <v>552458401532</v>
      </c>
    </row>
    <row r="1669" spans="1:9" x14ac:dyDescent="0.3">
      <c r="A1669" s="17" t="str">
        <f t="shared" si="69"/>
        <v>2000766</v>
      </c>
      <c r="B1669" s="17">
        <v>200</v>
      </c>
      <c r="C1669" s="17">
        <v>766</v>
      </c>
      <c r="D1669" s="17" t="s">
        <v>917</v>
      </c>
      <c r="E1669" s="17">
        <f t="shared" si="67"/>
        <v>116810123445482</v>
      </c>
      <c r="F1669" s="17" t="s">
        <v>918</v>
      </c>
      <c r="G1669" s="17">
        <f t="shared" si="68"/>
        <v>557982985547</v>
      </c>
      <c r="H1669" s="17" t="s">
        <v>919</v>
      </c>
      <c r="I1669" s="17">
        <f t="shared" si="66"/>
        <v>557982985547</v>
      </c>
    </row>
    <row r="1670" spans="1:9" x14ac:dyDescent="0.3">
      <c r="A1670" s="17" t="str">
        <f t="shared" si="69"/>
        <v>2000767</v>
      </c>
      <c r="B1670" s="17">
        <v>200</v>
      </c>
      <c r="C1670" s="17">
        <v>767</v>
      </c>
      <c r="D1670" s="17" t="s">
        <v>917</v>
      </c>
      <c r="E1670" s="17">
        <f t="shared" si="67"/>
        <v>117978224679937</v>
      </c>
      <c r="F1670" s="17" t="s">
        <v>918</v>
      </c>
      <c r="G1670" s="17">
        <f t="shared" si="68"/>
        <v>563562815402</v>
      </c>
      <c r="H1670" s="17" t="s">
        <v>919</v>
      </c>
      <c r="I1670" s="17">
        <f t="shared" si="66"/>
        <v>563562815402</v>
      </c>
    </row>
    <row r="1671" spans="1:9" x14ac:dyDescent="0.3">
      <c r="A1671" s="17" t="str">
        <f t="shared" si="69"/>
        <v>2000768</v>
      </c>
      <c r="B1671" s="17">
        <v>200</v>
      </c>
      <c r="C1671" s="17">
        <v>768</v>
      </c>
      <c r="D1671" s="17" t="s">
        <v>917</v>
      </c>
      <c r="E1671" s="17">
        <f t="shared" si="67"/>
        <v>119158006926736</v>
      </c>
      <c r="F1671" s="17" t="s">
        <v>918</v>
      </c>
      <c r="G1671" s="17">
        <f t="shared" si="68"/>
        <v>569198443556</v>
      </c>
      <c r="H1671" s="17" t="s">
        <v>919</v>
      </c>
      <c r="I1671" s="17">
        <f t="shared" si="66"/>
        <v>569198443556</v>
      </c>
    </row>
    <row r="1672" spans="1:9" x14ac:dyDescent="0.3">
      <c r="A1672" s="17" t="str">
        <f t="shared" si="69"/>
        <v>2000769</v>
      </c>
      <c r="B1672" s="17">
        <v>200</v>
      </c>
      <c r="C1672" s="17">
        <v>769</v>
      </c>
      <c r="D1672" s="17" t="s">
        <v>917</v>
      </c>
      <c r="E1672" s="17">
        <f t="shared" si="67"/>
        <v>120349586996003</v>
      </c>
      <c r="F1672" s="17" t="s">
        <v>918</v>
      </c>
      <c r="G1672" s="17">
        <f t="shared" si="68"/>
        <v>574890427991</v>
      </c>
      <c r="H1672" s="17" t="s">
        <v>919</v>
      </c>
      <c r="I1672" s="17">
        <f t="shared" si="66"/>
        <v>574890427991</v>
      </c>
    </row>
    <row r="1673" spans="1:9" x14ac:dyDescent="0.3">
      <c r="A1673" s="17" t="str">
        <f t="shared" si="69"/>
        <v>2000770</v>
      </c>
      <c r="B1673" s="17">
        <v>200</v>
      </c>
      <c r="C1673" s="17">
        <v>770</v>
      </c>
      <c r="D1673" s="17" t="s">
        <v>917</v>
      </c>
      <c r="E1673" s="17">
        <f t="shared" si="67"/>
        <v>121553082865963</v>
      </c>
      <c r="F1673" s="17" t="s">
        <v>918</v>
      </c>
      <c r="G1673" s="17">
        <f t="shared" si="68"/>
        <v>580639332270</v>
      </c>
      <c r="H1673" s="17" t="s">
        <v>919</v>
      </c>
      <c r="I1673" s="17">
        <f t="shared" ref="I1673:I1736" si="70">G1673</f>
        <v>580639332270</v>
      </c>
    </row>
    <row r="1674" spans="1:9" x14ac:dyDescent="0.3">
      <c r="A1674" s="17" t="str">
        <f t="shared" si="69"/>
        <v>2000771</v>
      </c>
      <c r="B1674" s="17">
        <v>200</v>
      </c>
      <c r="C1674" s="17">
        <v>771</v>
      </c>
      <c r="D1674" s="17" t="s">
        <v>917</v>
      </c>
      <c r="E1674" s="17">
        <f t="shared" si="67"/>
        <v>122768613694623</v>
      </c>
      <c r="F1674" s="17" t="s">
        <v>918</v>
      </c>
      <c r="G1674" s="17">
        <f t="shared" si="68"/>
        <v>586445725592</v>
      </c>
      <c r="H1674" s="17" t="s">
        <v>919</v>
      </c>
      <c r="I1674" s="17">
        <f t="shared" si="70"/>
        <v>586445725592</v>
      </c>
    </row>
    <row r="1675" spans="1:9" x14ac:dyDescent="0.3">
      <c r="A1675" s="17" t="str">
        <f t="shared" si="69"/>
        <v>2000772</v>
      </c>
      <c r="B1675" s="17">
        <v>200</v>
      </c>
      <c r="C1675" s="17">
        <v>772</v>
      </c>
      <c r="D1675" s="17" t="s">
        <v>917</v>
      </c>
      <c r="E1675" s="17">
        <f t="shared" si="67"/>
        <v>123996299831569</v>
      </c>
      <c r="F1675" s="17" t="s">
        <v>918</v>
      </c>
      <c r="G1675" s="17">
        <f t="shared" si="68"/>
        <v>592310182847</v>
      </c>
      <c r="H1675" s="17" t="s">
        <v>919</v>
      </c>
      <c r="I1675" s="17">
        <f t="shared" si="70"/>
        <v>592310182847</v>
      </c>
    </row>
    <row r="1676" spans="1:9" x14ac:dyDescent="0.3">
      <c r="A1676" s="17" t="str">
        <f t="shared" si="69"/>
        <v>2000773</v>
      </c>
      <c r="B1676" s="17">
        <v>200</v>
      </c>
      <c r="C1676" s="17">
        <v>773</v>
      </c>
      <c r="D1676" s="17" t="s">
        <v>917</v>
      </c>
      <c r="E1676" s="17">
        <f t="shared" si="67"/>
        <v>125236262829885</v>
      </c>
      <c r="F1676" s="17" t="s">
        <v>918</v>
      </c>
      <c r="G1676" s="17">
        <f t="shared" si="68"/>
        <v>598233284675</v>
      </c>
      <c r="H1676" s="17" t="s">
        <v>919</v>
      </c>
      <c r="I1676" s="17">
        <f t="shared" si="70"/>
        <v>598233284675</v>
      </c>
    </row>
    <row r="1677" spans="1:9" x14ac:dyDescent="0.3">
      <c r="A1677" s="17" t="str">
        <f t="shared" si="69"/>
        <v>2000774</v>
      </c>
      <c r="B1677" s="17">
        <v>200</v>
      </c>
      <c r="C1677" s="17">
        <v>774</v>
      </c>
      <c r="D1677" s="17" t="s">
        <v>917</v>
      </c>
      <c r="E1677" s="17">
        <f t="shared" si="67"/>
        <v>126488625458184</v>
      </c>
      <c r="F1677" s="17" t="s">
        <v>918</v>
      </c>
      <c r="G1677" s="17">
        <f t="shared" si="68"/>
        <v>604215617521</v>
      </c>
      <c r="H1677" s="17" t="s">
        <v>919</v>
      </c>
      <c r="I1677" s="17">
        <f t="shared" si="70"/>
        <v>604215617521</v>
      </c>
    </row>
    <row r="1678" spans="1:9" x14ac:dyDescent="0.3">
      <c r="A1678" s="17" t="str">
        <f t="shared" si="69"/>
        <v>2000775</v>
      </c>
      <c r="B1678" s="17">
        <v>200</v>
      </c>
      <c r="C1678" s="17">
        <v>775</v>
      </c>
      <c r="D1678" s="17" t="s">
        <v>917</v>
      </c>
      <c r="E1678" s="17">
        <f t="shared" si="67"/>
        <v>127753511712766</v>
      </c>
      <c r="F1678" s="17" t="s">
        <v>918</v>
      </c>
      <c r="G1678" s="17">
        <f t="shared" si="68"/>
        <v>610257773696</v>
      </c>
      <c r="H1678" s="17" t="s">
        <v>919</v>
      </c>
      <c r="I1678" s="17">
        <f t="shared" si="70"/>
        <v>610257773696</v>
      </c>
    </row>
    <row r="1679" spans="1:9" x14ac:dyDescent="0.3">
      <c r="A1679" s="17" t="str">
        <f t="shared" si="69"/>
        <v>2000776</v>
      </c>
      <c r="B1679" s="17">
        <v>200</v>
      </c>
      <c r="C1679" s="17">
        <v>776</v>
      </c>
      <c r="D1679" s="17" t="s">
        <v>917</v>
      </c>
      <c r="E1679" s="17">
        <f t="shared" si="67"/>
        <v>129031046829894</v>
      </c>
      <c r="F1679" s="17" t="s">
        <v>918</v>
      </c>
      <c r="G1679" s="17">
        <f t="shared" si="68"/>
        <v>616360351432</v>
      </c>
      <c r="H1679" s="17" t="s">
        <v>919</v>
      </c>
      <c r="I1679" s="17">
        <f t="shared" si="70"/>
        <v>616360351432</v>
      </c>
    </row>
    <row r="1680" spans="1:9" x14ac:dyDescent="0.3">
      <c r="A1680" s="17" t="str">
        <f t="shared" si="69"/>
        <v>2000777</v>
      </c>
      <c r="B1680" s="17">
        <v>200</v>
      </c>
      <c r="C1680" s="17">
        <v>777</v>
      </c>
      <c r="D1680" s="17" t="s">
        <v>917</v>
      </c>
      <c r="E1680" s="17">
        <f t="shared" si="67"/>
        <v>130321357298193</v>
      </c>
      <c r="F1680" s="17" t="s">
        <v>918</v>
      </c>
      <c r="G1680" s="17">
        <f t="shared" si="68"/>
        <v>622523954946</v>
      </c>
      <c r="H1680" s="17" t="s">
        <v>919</v>
      </c>
      <c r="I1680" s="17">
        <f t="shared" si="70"/>
        <v>622523954946</v>
      </c>
    </row>
    <row r="1681" spans="1:9" x14ac:dyDescent="0.3">
      <c r="A1681" s="17" t="str">
        <f t="shared" si="69"/>
        <v>2000778</v>
      </c>
      <c r="B1681" s="17">
        <v>200</v>
      </c>
      <c r="C1681" s="17">
        <v>778</v>
      </c>
      <c r="D1681" s="17" t="s">
        <v>917</v>
      </c>
      <c r="E1681" s="17">
        <f t="shared" si="67"/>
        <v>131624570871175</v>
      </c>
      <c r="F1681" s="17" t="s">
        <v>918</v>
      </c>
      <c r="G1681" s="17">
        <f t="shared" si="68"/>
        <v>628749194495</v>
      </c>
      <c r="H1681" s="17" t="s">
        <v>919</v>
      </c>
      <c r="I1681" s="17">
        <f t="shared" si="70"/>
        <v>628749194495</v>
      </c>
    </row>
    <row r="1682" spans="1:9" x14ac:dyDescent="0.3">
      <c r="A1682" s="17" t="str">
        <f t="shared" si="69"/>
        <v>2000779</v>
      </c>
      <c r="B1682" s="17">
        <v>200</v>
      </c>
      <c r="C1682" s="17">
        <v>779</v>
      </c>
      <c r="D1682" s="17" t="s">
        <v>917</v>
      </c>
      <c r="E1682" s="17">
        <f t="shared" si="67"/>
        <v>132940816579887</v>
      </c>
      <c r="F1682" s="17" t="s">
        <v>918</v>
      </c>
      <c r="G1682" s="17">
        <f t="shared" si="68"/>
        <v>635036686439</v>
      </c>
      <c r="H1682" s="17" t="s">
        <v>919</v>
      </c>
      <c r="I1682" s="17">
        <f t="shared" si="70"/>
        <v>635036686439</v>
      </c>
    </row>
    <row r="1683" spans="1:9" x14ac:dyDescent="0.3">
      <c r="A1683" s="17" t="str">
        <f t="shared" si="69"/>
        <v>2000780</v>
      </c>
      <c r="B1683" s="17">
        <v>200</v>
      </c>
      <c r="C1683" s="17">
        <v>780</v>
      </c>
      <c r="D1683" s="17" t="s">
        <v>917</v>
      </c>
      <c r="E1683" s="17">
        <f t="shared" si="67"/>
        <v>134270224745686</v>
      </c>
      <c r="F1683" s="17" t="s">
        <v>918</v>
      </c>
      <c r="G1683" s="17">
        <f t="shared" si="68"/>
        <v>641387053303</v>
      </c>
      <c r="H1683" s="17" t="s">
        <v>919</v>
      </c>
      <c r="I1683" s="17">
        <f t="shared" si="70"/>
        <v>641387053303</v>
      </c>
    </row>
    <row r="1684" spans="1:9" x14ac:dyDescent="0.3">
      <c r="A1684" s="17" t="str">
        <f t="shared" si="69"/>
        <v>2000781</v>
      </c>
      <c r="B1684" s="17">
        <v>200</v>
      </c>
      <c r="C1684" s="17">
        <v>781</v>
      </c>
      <c r="D1684" s="17" t="s">
        <v>917</v>
      </c>
      <c r="E1684" s="17">
        <f t="shared" si="67"/>
        <v>135612926993143</v>
      </c>
      <c r="F1684" s="17" t="s">
        <v>918</v>
      </c>
      <c r="G1684" s="17">
        <f t="shared" si="68"/>
        <v>647800923836</v>
      </c>
      <c r="H1684" s="17" t="s">
        <v>919</v>
      </c>
      <c r="I1684" s="17">
        <f t="shared" si="70"/>
        <v>647800923836</v>
      </c>
    </row>
    <row r="1685" spans="1:9" x14ac:dyDescent="0.3">
      <c r="A1685" s="17" t="str">
        <f t="shared" si="69"/>
        <v>2000782</v>
      </c>
      <c r="B1685" s="17">
        <v>200</v>
      </c>
      <c r="C1685" s="17">
        <v>782</v>
      </c>
      <c r="D1685" s="17" t="s">
        <v>917</v>
      </c>
      <c r="E1685" s="17">
        <f t="shared" si="67"/>
        <v>136969056263074</v>
      </c>
      <c r="F1685" s="17" t="s">
        <v>918</v>
      </c>
      <c r="G1685" s="17">
        <f t="shared" si="68"/>
        <v>654278933074</v>
      </c>
      <c r="H1685" s="17" t="s">
        <v>919</v>
      </c>
      <c r="I1685" s="17">
        <f t="shared" si="70"/>
        <v>654278933074</v>
      </c>
    </row>
    <row r="1686" spans="1:9" x14ac:dyDescent="0.3">
      <c r="A1686" s="17" t="str">
        <f t="shared" si="69"/>
        <v>2000783</v>
      </c>
      <c r="B1686" s="17">
        <v>200</v>
      </c>
      <c r="C1686" s="17">
        <v>783</v>
      </c>
      <c r="D1686" s="17" t="s">
        <v>917</v>
      </c>
      <c r="E1686" s="17">
        <f t="shared" si="67"/>
        <v>138338746825705</v>
      </c>
      <c r="F1686" s="17" t="s">
        <v>918</v>
      </c>
      <c r="G1686" s="17">
        <f t="shared" si="68"/>
        <v>660821722404</v>
      </c>
      <c r="H1686" s="17" t="s">
        <v>919</v>
      </c>
      <c r="I1686" s="17">
        <f t="shared" si="70"/>
        <v>660821722404</v>
      </c>
    </row>
    <row r="1687" spans="1:9" x14ac:dyDescent="0.3">
      <c r="A1687" s="17" t="str">
        <f t="shared" si="69"/>
        <v>2000784</v>
      </c>
      <c r="B1687" s="17">
        <v>200</v>
      </c>
      <c r="C1687" s="17">
        <v>784</v>
      </c>
      <c r="D1687" s="17" t="s">
        <v>917</v>
      </c>
      <c r="E1687" s="17">
        <f t="shared" si="67"/>
        <v>139722134293962</v>
      </c>
      <c r="F1687" s="17" t="s">
        <v>918</v>
      </c>
      <c r="G1687" s="17">
        <f t="shared" si="68"/>
        <v>667429939628</v>
      </c>
      <c r="H1687" s="17" t="s">
        <v>919</v>
      </c>
      <c r="I1687" s="17">
        <f t="shared" si="70"/>
        <v>667429939628</v>
      </c>
    </row>
    <row r="1688" spans="1:9" x14ac:dyDescent="0.3">
      <c r="A1688" s="17" t="str">
        <f t="shared" si="69"/>
        <v>2000785</v>
      </c>
      <c r="B1688" s="17">
        <v>200</v>
      </c>
      <c r="C1688" s="17">
        <v>785</v>
      </c>
      <c r="D1688" s="17" t="s">
        <v>917</v>
      </c>
      <c r="E1688" s="17">
        <f t="shared" si="67"/>
        <v>141119355636902</v>
      </c>
      <c r="F1688" s="17" t="s">
        <v>918</v>
      </c>
      <c r="G1688" s="17">
        <f t="shared" si="68"/>
        <v>674104239024</v>
      </c>
      <c r="H1688" s="17" t="s">
        <v>919</v>
      </c>
      <c r="I1688" s="17">
        <f t="shared" si="70"/>
        <v>674104239024</v>
      </c>
    </row>
    <row r="1689" spans="1:9" x14ac:dyDescent="0.3">
      <c r="A1689" s="17" t="str">
        <f t="shared" si="69"/>
        <v>2000786</v>
      </c>
      <c r="B1689" s="17">
        <v>200</v>
      </c>
      <c r="C1689" s="17">
        <v>786</v>
      </c>
      <c r="D1689" s="17" t="s">
        <v>917</v>
      </c>
      <c r="E1689" s="17">
        <f t="shared" si="67"/>
        <v>142530549193271</v>
      </c>
      <c r="F1689" s="17" t="s">
        <v>918</v>
      </c>
      <c r="G1689" s="17">
        <f t="shared" si="68"/>
        <v>680845281414</v>
      </c>
      <c r="H1689" s="17" t="s">
        <v>919</v>
      </c>
      <c r="I1689" s="17">
        <f t="shared" si="70"/>
        <v>680845281414</v>
      </c>
    </row>
    <row r="1690" spans="1:9" x14ac:dyDescent="0.3">
      <c r="A1690" s="17" t="str">
        <f t="shared" si="69"/>
        <v>2000787</v>
      </c>
      <c r="B1690" s="17">
        <v>200</v>
      </c>
      <c r="C1690" s="17">
        <v>787</v>
      </c>
      <c r="D1690" s="17" t="s">
        <v>917</v>
      </c>
      <c r="E1690" s="17">
        <f t="shared" si="67"/>
        <v>143955854685204</v>
      </c>
      <c r="F1690" s="17" t="s">
        <v>918</v>
      </c>
      <c r="G1690" s="17">
        <f t="shared" si="68"/>
        <v>687653734228</v>
      </c>
      <c r="H1690" s="17" t="s">
        <v>919</v>
      </c>
      <c r="I1690" s="17">
        <f t="shared" si="70"/>
        <v>687653734228</v>
      </c>
    </row>
    <row r="1691" spans="1:9" x14ac:dyDescent="0.3">
      <c r="A1691" s="17" t="str">
        <f t="shared" si="69"/>
        <v>2000788</v>
      </c>
      <c r="B1691" s="17">
        <v>200</v>
      </c>
      <c r="C1691" s="17">
        <v>788</v>
      </c>
      <c r="D1691" s="17" t="s">
        <v>917</v>
      </c>
      <c r="E1691" s="17">
        <f t="shared" si="67"/>
        <v>145395413232056</v>
      </c>
      <c r="F1691" s="17" t="s">
        <v>918</v>
      </c>
      <c r="G1691" s="17">
        <f t="shared" si="68"/>
        <v>694530271570</v>
      </c>
      <c r="H1691" s="17" t="s">
        <v>919</v>
      </c>
      <c r="I1691" s="17">
        <f t="shared" si="70"/>
        <v>694530271570</v>
      </c>
    </row>
    <row r="1692" spans="1:9" x14ac:dyDescent="0.3">
      <c r="A1692" s="17" t="str">
        <f t="shared" si="69"/>
        <v>2000789</v>
      </c>
      <c r="B1692" s="17">
        <v>200</v>
      </c>
      <c r="C1692" s="17">
        <v>789</v>
      </c>
      <c r="D1692" s="17" t="s">
        <v>917</v>
      </c>
      <c r="E1692" s="17">
        <f t="shared" si="67"/>
        <v>146849367364377</v>
      </c>
      <c r="F1692" s="17" t="s">
        <v>918</v>
      </c>
      <c r="G1692" s="17">
        <f t="shared" si="68"/>
        <v>701475574285</v>
      </c>
      <c r="H1692" s="17" t="s">
        <v>919</v>
      </c>
      <c r="I1692" s="17">
        <f t="shared" si="70"/>
        <v>701475574285</v>
      </c>
    </row>
    <row r="1693" spans="1:9" x14ac:dyDescent="0.3">
      <c r="A1693" s="17" t="str">
        <f t="shared" si="69"/>
        <v>2000790</v>
      </c>
      <c r="B1693" s="17">
        <v>200</v>
      </c>
      <c r="C1693" s="17">
        <v>790</v>
      </c>
      <c r="D1693" s="17" t="s">
        <v>917</v>
      </c>
      <c r="E1693" s="17">
        <f t="shared" si="67"/>
        <v>148317861038021</v>
      </c>
      <c r="F1693" s="17" t="s">
        <v>918</v>
      </c>
      <c r="G1693" s="17">
        <f t="shared" si="68"/>
        <v>708490330027</v>
      </c>
      <c r="H1693" s="17" t="s">
        <v>919</v>
      </c>
      <c r="I1693" s="17">
        <f t="shared" si="70"/>
        <v>708490330027</v>
      </c>
    </row>
    <row r="1694" spans="1:9" x14ac:dyDescent="0.3">
      <c r="A1694" s="17" t="str">
        <f t="shared" si="69"/>
        <v>2000791</v>
      </c>
      <c r="B1694" s="17">
        <v>200</v>
      </c>
      <c r="C1694" s="17">
        <v>791</v>
      </c>
      <c r="D1694" s="17" t="s">
        <v>917</v>
      </c>
      <c r="E1694" s="17">
        <f t="shared" si="67"/>
        <v>149801039648401</v>
      </c>
      <c r="F1694" s="17" t="s">
        <v>918</v>
      </c>
      <c r="G1694" s="17">
        <f t="shared" si="68"/>
        <v>715575233327</v>
      </c>
      <c r="H1694" s="17" t="s">
        <v>919</v>
      </c>
      <c r="I1694" s="17">
        <f t="shared" si="70"/>
        <v>715575233327</v>
      </c>
    </row>
    <row r="1695" spans="1:9" x14ac:dyDescent="0.3">
      <c r="A1695" s="17" t="str">
        <f t="shared" si="69"/>
        <v>2000792</v>
      </c>
      <c r="B1695" s="17">
        <v>200</v>
      </c>
      <c r="C1695" s="17">
        <v>792</v>
      </c>
      <c r="D1695" s="17" t="s">
        <v>917</v>
      </c>
      <c r="E1695" s="17">
        <f t="shared" si="67"/>
        <v>151299050044885</v>
      </c>
      <c r="F1695" s="17" t="s">
        <v>918</v>
      </c>
      <c r="G1695" s="17">
        <f t="shared" si="68"/>
        <v>722730985660</v>
      </c>
      <c r="H1695" s="17" t="s">
        <v>919</v>
      </c>
      <c r="I1695" s="17">
        <f t="shared" si="70"/>
        <v>722730985660</v>
      </c>
    </row>
    <row r="1696" spans="1:9" x14ac:dyDescent="0.3">
      <c r="A1696" s="17" t="str">
        <f t="shared" si="69"/>
        <v>2000793</v>
      </c>
      <c r="B1696" s="17">
        <v>200</v>
      </c>
      <c r="C1696" s="17">
        <v>793</v>
      </c>
      <c r="D1696" s="17" t="s">
        <v>917</v>
      </c>
      <c r="E1696" s="17">
        <f t="shared" si="67"/>
        <v>152812040545334</v>
      </c>
      <c r="F1696" s="17" t="s">
        <v>918</v>
      </c>
      <c r="G1696" s="17">
        <f t="shared" si="68"/>
        <v>729958295516</v>
      </c>
      <c r="H1696" s="17" t="s">
        <v>919</v>
      </c>
      <c r="I1696" s="17">
        <f t="shared" si="70"/>
        <v>729958295516</v>
      </c>
    </row>
    <row r="1697" spans="1:9" x14ac:dyDescent="0.3">
      <c r="A1697" s="17" t="str">
        <f t="shared" si="69"/>
        <v>2000794</v>
      </c>
      <c r="B1697" s="17">
        <v>200</v>
      </c>
      <c r="C1697" s="17">
        <v>794</v>
      </c>
      <c r="D1697" s="17" t="s">
        <v>917</v>
      </c>
      <c r="E1697" s="17">
        <f t="shared" si="67"/>
        <v>154340160950787</v>
      </c>
      <c r="F1697" s="17" t="s">
        <v>918</v>
      </c>
      <c r="G1697" s="17">
        <f t="shared" si="68"/>
        <v>737257878471</v>
      </c>
      <c r="H1697" s="17" t="s">
        <v>919</v>
      </c>
      <c r="I1697" s="17">
        <f t="shared" si="70"/>
        <v>737257878471</v>
      </c>
    </row>
    <row r="1698" spans="1:9" x14ac:dyDescent="0.3">
      <c r="A1698" s="17" t="str">
        <f t="shared" si="69"/>
        <v>2000795</v>
      </c>
      <c r="B1698" s="17">
        <v>200</v>
      </c>
      <c r="C1698" s="17">
        <v>795</v>
      </c>
      <c r="D1698" s="17" t="s">
        <v>917</v>
      </c>
      <c r="E1698" s="17">
        <f t="shared" si="67"/>
        <v>155883562560295</v>
      </c>
      <c r="F1698" s="17" t="s">
        <v>918</v>
      </c>
      <c r="G1698" s="17">
        <f t="shared" si="68"/>
        <v>744630457255</v>
      </c>
      <c r="H1698" s="17" t="s">
        <v>919</v>
      </c>
      <c r="I1698" s="17">
        <f t="shared" si="70"/>
        <v>744630457255</v>
      </c>
    </row>
    <row r="1699" spans="1:9" x14ac:dyDescent="0.3">
      <c r="A1699" s="17" t="str">
        <f t="shared" si="69"/>
        <v>2000796</v>
      </c>
      <c r="B1699" s="17">
        <v>200</v>
      </c>
      <c r="C1699" s="17">
        <v>796</v>
      </c>
      <c r="D1699" s="17" t="s">
        <v>917</v>
      </c>
      <c r="E1699" s="17">
        <f t="shared" si="67"/>
        <v>157442398185898</v>
      </c>
      <c r="F1699" s="17" t="s">
        <v>918</v>
      </c>
      <c r="G1699" s="17">
        <f t="shared" si="68"/>
        <v>752076761827</v>
      </c>
      <c r="H1699" s="17" t="s">
        <v>919</v>
      </c>
      <c r="I1699" s="17">
        <f t="shared" si="70"/>
        <v>752076761827</v>
      </c>
    </row>
    <row r="1700" spans="1:9" x14ac:dyDescent="0.3">
      <c r="A1700" s="17" t="str">
        <f t="shared" si="69"/>
        <v>2000797</v>
      </c>
      <c r="B1700" s="17">
        <v>200</v>
      </c>
      <c r="C1700" s="17">
        <v>797</v>
      </c>
      <c r="D1700" s="17" t="s">
        <v>917</v>
      </c>
      <c r="E1700" s="17">
        <f t="shared" si="67"/>
        <v>159016822167757</v>
      </c>
      <c r="F1700" s="17" t="s">
        <v>918</v>
      </c>
      <c r="G1700" s="17">
        <f t="shared" si="68"/>
        <v>759597529445</v>
      </c>
      <c r="H1700" s="17" t="s">
        <v>919</v>
      </c>
      <c r="I1700" s="17">
        <f t="shared" si="70"/>
        <v>759597529445</v>
      </c>
    </row>
    <row r="1701" spans="1:9" x14ac:dyDescent="0.3">
      <c r="A1701" s="17" t="str">
        <f t="shared" si="69"/>
        <v>2000798</v>
      </c>
      <c r="B1701" s="17">
        <v>200</v>
      </c>
      <c r="C1701" s="17">
        <v>798</v>
      </c>
      <c r="D1701" s="17" t="s">
        <v>917</v>
      </c>
      <c r="E1701" s="17">
        <f t="shared" si="67"/>
        <v>160606990389435</v>
      </c>
      <c r="F1701" s="17" t="s">
        <v>918</v>
      </c>
      <c r="G1701" s="17">
        <f t="shared" si="68"/>
        <v>767193504739</v>
      </c>
      <c r="H1701" s="17" t="s">
        <v>919</v>
      </c>
      <c r="I1701" s="17">
        <f t="shared" si="70"/>
        <v>767193504739</v>
      </c>
    </row>
    <row r="1702" spans="1:9" x14ac:dyDescent="0.3">
      <c r="A1702" s="17" t="str">
        <f t="shared" si="69"/>
        <v>2000799</v>
      </c>
      <c r="B1702" s="17">
        <v>200</v>
      </c>
      <c r="C1702" s="17">
        <v>799</v>
      </c>
      <c r="D1702" s="17" t="s">
        <v>917</v>
      </c>
      <c r="E1702" s="17">
        <f t="shared" si="67"/>
        <v>162213060293329</v>
      </c>
      <c r="F1702" s="17" t="s">
        <v>918</v>
      </c>
      <c r="G1702" s="17">
        <f t="shared" si="68"/>
        <v>774865439786</v>
      </c>
      <c r="H1702" s="17" t="s">
        <v>919</v>
      </c>
      <c r="I1702" s="17">
        <f t="shared" si="70"/>
        <v>774865439786</v>
      </c>
    </row>
    <row r="1703" spans="1:9" x14ac:dyDescent="0.3">
      <c r="A1703" s="17" t="str">
        <f t="shared" si="69"/>
        <v>2000800</v>
      </c>
      <c r="B1703" s="17">
        <v>200</v>
      </c>
      <c r="C1703" s="17">
        <v>800</v>
      </c>
      <c r="D1703" s="17" t="s">
        <v>917</v>
      </c>
      <c r="E1703" s="17">
        <f t="shared" si="67"/>
        <v>163835190896262</v>
      </c>
      <c r="F1703" s="17" t="s">
        <v>918</v>
      </c>
      <c r="G1703" s="17">
        <f t="shared" si="68"/>
        <v>782614094183</v>
      </c>
      <c r="H1703" s="17" t="s">
        <v>919</v>
      </c>
      <c r="I1703" s="17">
        <f t="shared" si="70"/>
        <v>782614094183</v>
      </c>
    </row>
    <row r="1704" spans="1:9" x14ac:dyDescent="0.3">
      <c r="A1704" s="17" t="str">
        <f t="shared" si="69"/>
        <v>2000801</v>
      </c>
      <c r="B1704" s="17">
        <v>200</v>
      </c>
      <c r="C1704" s="17">
        <v>801</v>
      </c>
      <c r="D1704" s="17" t="s">
        <v>917</v>
      </c>
      <c r="E1704" s="17">
        <f t="shared" si="67"/>
        <v>165473542805225</v>
      </c>
      <c r="F1704" s="17" t="s">
        <v>918</v>
      </c>
      <c r="G1704" s="17">
        <f t="shared" si="68"/>
        <v>790440235124</v>
      </c>
      <c r="H1704" s="17" t="s">
        <v>919</v>
      </c>
      <c r="I1704" s="17">
        <f t="shared" si="70"/>
        <v>790440235124</v>
      </c>
    </row>
    <row r="1705" spans="1:9" x14ac:dyDescent="0.3">
      <c r="A1705" s="17" t="str">
        <f t="shared" si="69"/>
        <v>2000802</v>
      </c>
      <c r="B1705" s="17">
        <v>200</v>
      </c>
      <c r="C1705" s="17">
        <v>802</v>
      </c>
      <c r="D1705" s="17" t="s">
        <v>917</v>
      </c>
      <c r="E1705" s="17">
        <f t="shared" si="67"/>
        <v>167128278233277</v>
      </c>
      <c r="F1705" s="17" t="s">
        <v>918</v>
      </c>
      <c r="G1705" s="17">
        <f t="shared" si="68"/>
        <v>798344637475</v>
      </c>
      <c r="H1705" s="17" t="s">
        <v>919</v>
      </c>
      <c r="I1705" s="17">
        <f t="shared" si="70"/>
        <v>798344637475</v>
      </c>
    </row>
    <row r="1706" spans="1:9" x14ac:dyDescent="0.3">
      <c r="A1706" s="17" t="str">
        <f t="shared" si="69"/>
        <v>2000803</v>
      </c>
      <c r="B1706" s="17">
        <v>200</v>
      </c>
      <c r="C1706" s="17">
        <v>803</v>
      </c>
      <c r="D1706" s="17" t="s">
        <v>917</v>
      </c>
      <c r="E1706" s="17">
        <f t="shared" si="67"/>
        <v>168799561015610</v>
      </c>
      <c r="F1706" s="17" t="s">
        <v>918</v>
      </c>
      <c r="G1706" s="17">
        <f t="shared" si="68"/>
        <v>806328083849</v>
      </c>
      <c r="H1706" s="17" t="s">
        <v>919</v>
      </c>
      <c r="I1706" s="17">
        <f t="shared" si="70"/>
        <v>806328083849</v>
      </c>
    </row>
    <row r="1707" spans="1:9" x14ac:dyDescent="0.3">
      <c r="A1707" s="17" t="str">
        <f t="shared" si="69"/>
        <v>2000804</v>
      </c>
      <c r="B1707" s="17">
        <v>200</v>
      </c>
      <c r="C1707" s="17">
        <v>804</v>
      </c>
      <c r="D1707" s="17" t="s">
        <v>917</v>
      </c>
      <c r="E1707" s="17">
        <f t="shared" si="67"/>
        <v>170487556625766</v>
      </c>
      <c r="F1707" s="17" t="s">
        <v>918</v>
      </c>
      <c r="G1707" s="17">
        <f t="shared" si="68"/>
        <v>814391364687</v>
      </c>
      <c r="H1707" s="17" t="s">
        <v>919</v>
      </c>
      <c r="I1707" s="17">
        <f t="shared" si="70"/>
        <v>814391364687</v>
      </c>
    </row>
    <row r="1708" spans="1:9" x14ac:dyDescent="0.3">
      <c r="A1708" s="17" t="str">
        <f t="shared" si="69"/>
        <v>2000805</v>
      </c>
      <c r="B1708" s="17">
        <v>200</v>
      </c>
      <c r="C1708" s="17">
        <v>805</v>
      </c>
      <c r="D1708" s="17" t="s">
        <v>917</v>
      </c>
      <c r="E1708" s="17">
        <f t="shared" si="67"/>
        <v>172192432192024</v>
      </c>
      <c r="F1708" s="17" t="s">
        <v>918</v>
      </c>
      <c r="G1708" s="17">
        <f t="shared" si="68"/>
        <v>822535278333</v>
      </c>
      <c r="H1708" s="17" t="s">
        <v>919</v>
      </c>
      <c r="I1708" s="17">
        <f t="shared" si="70"/>
        <v>822535278333</v>
      </c>
    </row>
    <row r="1709" spans="1:9" x14ac:dyDescent="0.3">
      <c r="A1709" s="17" t="str">
        <f t="shared" si="69"/>
        <v>2000806</v>
      </c>
      <c r="B1709" s="17">
        <v>200</v>
      </c>
      <c r="C1709" s="17">
        <v>806</v>
      </c>
      <c r="D1709" s="17" t="s">
        <v>917</v>
      </c>
      <c r="E1709" s="17">
        <f t="shared" si="67"/>
        <v>173914356513944</v>
      </c>
      <c r="F1709" s="17" t="s">
        <v>918</v>
      </c>
      <c r="G1709" s="17">
        <f t="shared" si="68"/>
        <v>830760631116</v>
      </c>
      <c r="H1709" s="17" t="s">
        <v>919</v>
      </c>
      <c r="I1709" s="17">
        <f t="shared" si="70"/>
        <v>830760631116</v>
      </c>
    </row>
    <row r="1710" spans="1:9" x14ac:dyDescent="0.3">
      <c r="A1710" s="17" t="str">
        <f t="shared" si="69"/>
        <v>2000807</v>
      </c>
      <c r="B1710" s="17">
        <v>200</v>
      </c>
      <c r="C1710" s="17">
        <v>807</v>
      </c>
      <c r="D1710" s="17" t="s">
        <v>917</v>
      </c>
      <c r="E1710" s="17">
        <f t="shared" si="67"/>
        <v>175653500079083</v>
      </c>
      <c r="F1710" s="17" t="s">
        <v>918</v>
      </c>
      <c r="G1710" s="17">
        <f t="shared" si="68"/>
        <v>839068237427</v>
      </c>
      <c r="H1710" s="17" t="s">
        <v>919</v>
      </c>
      <c r="I1710" s="17">
        <f t="shared" si="70"/>
        <v>839068237427</v>
      </c>
    </row>
    <row r="1711" spans="1:9" x14ac:dyDescent="0.3">
      <c r="A1711" s="17" t="str">
        <f t="shared" si="69"/>
        <v>2000808</v>
      </c>
      <c r="B1711" s="17">
        <v>200</v>
      </c>
      <c r="C1711" s="17">
        <v>808</v>
      </c>
      <c r="D1711" s="17" t="s">
        <v>917</v>
      </c>
      <c r="E1711" s="17">
        <f t="shared" si="67"/>
        <v>177410035079874</v>
      </c>
      <c r="F1711" s="17" t="s">
        <v>918</v>
      </c>
      <c r="G1711" s="17">
        <f t="shared" si="68"/>
        <v>847458919801</v>
      </c>
      <c r="H1711" s="17" t="s">
        <v>919</v>
      </c>
      <c r="I1711" s="17">
        <f t="shared" si="70"/>
        <v>847458919801</v>
      </c>
    </row>
    <row r="1712" spans="1:9" x14ac:dyDescent="0.3">
      <c r="A1712" s="17" t="str">
        <f t="shared" si="69"/>
        <v>2000809</v>
      </c>
      <c r="B1712" s="17">
        <v>200</v>
      </c>
      <c r="C1712" s="17">
        <v>809</v>
      </c>
      <c r="D1712" s="17" t="s">
        <v>917</v>
      </c>
      <c r="E1712" s="17">
        <f t="shared" si="67"/>
        <v>179184135430673</v>
      </c>
      <c r="F1712" s="17" t="s">
        <v>918</v>
      </c>
      <c r="G1712" s="17">
        <f t="shared" si="68"/>
        <v>855933508999</v>
      </c>
      <c r="H1712" s="17" t="s">
        <v>919</v>
      </c>
      <c r="I1712" s="17">
        <f t="shared" si="70"/>
        <v>855933508999</v>
      </c>
    </row>
    <row r="1713" spans="1:9" x14ac:dyDescent="0.3">
      <c r="A1713" s="17" t="str">
        <f t="shared" si="69"/>
        <v>2000810</v>
      </c>
      <c r="B1713" s="17">
        <v>200</v>
      </c>
      <c r="C1713" s="17">
        <v>810</v>
      </c>
      <c r="D1713" s="17" t="s">
        <v>917</v>
      </c>
      <c r="E1713" s="17">
        <f t="shared" si="67"/>
        <v>180975976784980</v>
      </c>
      <c r="F1713" s="17" t="s">
        <v>918</v>
      </c>
      <c r="G1713" s="17">
        <f t="shared" si="68"/>
        <v>864492844088</v>
      </c>
      <c r="H1713" s="17" t="s">
        <v>919</v>
      </c>
      <c r="I1713" s="17">
        <f t="shared" si="70"/>
        <v>864492844088</v>
      </c>
    </row>
    <row r="1714" spans="1:9" x14ac:dyDescent="0.3">
      <c r="A1714" s="17" t="str">
        <f t="shared" si="69"/>
        <v>2000811</v>
      </c>
      <c r="B1714" s="17">
        <v>200</v>
      </c>
      <c r="C1714" s="17">
        <v>811</v>
      </c>
      <c r="D1714" s="17" t="s">
        <v>917</v>
      </c>
      <c r="E1714" s="17">
        <f t="shared" si="67"/>
        <v>182785736552830</v>
      </c>
      <c r="F1714" s="17" t="s">
        <v>918</v>
      </c>
      <c r="G1714" s="17">
        <f t="shared" si="68"/>
        <v>873137772528</v>
      </c>
      <c r="H1714" s="17" t="s">
        <v>919</v>
      </c>
      <c r="I1714" s="17">
        <f t="shared" si="70"/>
        <v>873137772528</v>
      </c>
    </row>
    <row r="1715" spans="1:9" x14ac:dyDescent="0.3">
      <c r="A1715" s="17" t="str">
        <f t="shared" si="69"/>
        <v>2000812</v>
      </c>
      <c r="B1715" s="17">
        <v>200</v>
      </c>
      <c r="C1715" s="17">
        <v>812</v>
      </c>
      <c r="D1715" s="17" t="s">
        <v>917</v>
      </c>
      <c r="E1715" s="17">
        <f t="shared" si="67"/>
        <v>184613593918358</v>
      </c>
      <c r="F1715" s="17" t="s">
        <v>918</v>
      </c>
      <c r="G1715" s="17">
        <f t="shared" si="68"/>
        <v>881869150253</v>
      </c>
      <c r="H1715" s="17" t="s">
        <v>919</v>
      </c>
      <c r="I1715" s="17">
        <f t="shared" si="70"/>
        <v>881869150253</v>
      </c>
    </row>
    <row r="1716" spans="1:9" x14ac:dyDescent="0.3">
      <c r="A1716" s="17" t="str">
        <f t="shared" si="69"/>
        <v>2000813</v>
      </c>
      <c r="B1716" s="17">
        <v>200</v>
      </c>
      <c r="C1716" s="17">
        <v>813</v>
      </c>
      <c r="D1716" s="17" t="s">
        <v>917</v>
      </c>
      <c r="E1716" s="17">
        <f t="shared" ref="E1716:E1779" si="71">INT(E1715*1.01)</f>
        <v>186459729857542</v>
      </c>
      <c r="F1716" s="17" t="s">
        <v>918</v>
      </c>
      <c r="G1716" s="17">
        <f t="shared" ref="G1716:G1779" si="72">INT(G1715*1.01)</f>
        <v>890687841755</v>
      </c>
      <c r="H1716" s="17" t="s">
        <v>919</v>
      </c>
      <c r="I1716" s="17">
        <f t="shared" si="70"/>
        <v>890687841755</v>
      </c>
    </row>
    <row r="1717" spans="1:9" x14ac:dyDescent="0.3">
      <c r="A1717" s="17" t="str">
        <f t="shared" si="69"/>
        <v>2000814</v>
      </c>
      <c r="B1717" s="17">
        <v>200</v>
      </c>
      <c r="C1717" s="17">
        <v>814</v>
      </c>
      <c r="D1717" s="17" t="s">
        <v>917</v>
      </c>
      <c r="E1717" s="17">
        <f t="shared" si="71"/>
        <v>188324327156117</v>
      </c>
      <c r="F1717" s="17" t="s">
        <v>918</v>
      </c>
      <c r="G1717" s="17">
        <f t="shared" si="72"/>
        <v>899594720172</v>
      </c>
      <c r="H1717" s="17" t="s">
        <v>919</v>
      </c>
      <c r="I1717" s="17">
        <f t="shared" si="70"/>
        <v>899594720172</v>
      </c>
    </row>
    <row r="1718" spans="1:9" x14ac:dyDescent="0.3">
      <c r="A1718" s="17" t="str">
        <f t="shared" si="69"/>
        <v>2000815</v>
      </c>
      <c r="B1718" s="17">
        <v>200</v>
      </c>
      <c r="C1718" s="17">
        <v>815</v>
      </c>
      <c r="D1718" s="17" t="s">
        <v>917</v>
      </c>
      <c r="E1718" s="17">
        <f t="shared" si="71"/>
        <v>190207570427678</v>
      </c>
      <c r="F1718" s="17" t="s">
        <v>918</v>
      </c>
      <c r="G1718" s="17">
        <f t="shared" si="72"/>
        <v>908590667373</v>
      </c>
      <c r="H1718" s="17" t="s">
        <v>919</v>
      </c>
      <c r="I1718" s="17">
        <f t="shared" si="70"/>
        <v>908590667373</v>
      </c>
    </row>
    <row r="1719" spans="1:9" x14ac:dyDescent="0.3">
      <c r="A1719" s="17" t="str">
        <f t="shared" si="69"/>
        <v>2000816</v>
      </c>
      <c r="B1719" s="17">
        <v>200</v>
      </c>
      <c r="C1719" s="17">
        <v>816</v>
      </c>
      <c r="D1719" s="17" t="s">
        <v>917</v>
      </c>
      <c r="E1719" s="17">
        <f t="shared" si="71"/>
        <v>192109646131955</v>
      </c>
      <c r="F1719" s="17" t="s">
        <v>918</v>
      </c>
      <c r="G1719" s="17">
        <f t="shared" si="72"/>
        <v>917676574046</v>
      </c>
      <c r="H1719" s="17" t="s">
        <v>919</v>
      </c>
      <c r="I1719" s="17">
        <f t="shared" si="70"/>
        <v>917676574046</v>
      </c>
    </row>
    <row r="1720" spans="1:9" x14ac:dyDescent="0.3">
      <c r="A1720" s="17" t="str">
        <f t="shared" si="69"/>
        <v>2000817</v>
      </c>
      <c r="B1720" s="17">
        <v>200</v>
      </c>
      <c r="C1720" s="17">
        <v>817</v>
      </c>
      <c r="D1720" s="17" t="s">
        <v>917</v>
      </c>
      <c r="E1720" s="17">
        <f t="shared" si="71"/>
        <v>194030742593275</v>
      </c>
      <c r="F1720" s="17" t="s">
        <v>918</v>
      </c>
      <c r="G1720" s="17">
        <f t="shared" si="72"/>
        <v>926853339786</v>
      </c>
      <c r="H1720" s="17" t="s">
        <v>919</v>
      </c>
      <c r="I1720" s="17">
        <f t="shared" si="70"/>
        <v>926853339786</v>
      </c>
    </row>
    <row r="1721" spans="1:9" x14ac:dyDescent="0.3">
      <c r="A1721" s="17" t="str">
        <f t="shared" si="69"/>
        <v>2000818</v>
      </c>
      <c r="B1721" s="17">
        <v>200</v>
      </c>
      <c r="C1721" s="17">
        <v>818</v>
      </c>
      <c r="D1721" s="17" t="s">
        <v>917</v>
      </c>
      <c r="E1721" s="17">
        <f t="shared" si="71"/>
        <v>195971050019208</v>
      </c>
      <c r="F1721" s="17" t="s">
        <v>918</v>
      </c>
      <c r="G1721" s="17">
        <f t="shared" si="72"/>
        <v>936121873183</v>
      </c>
      <c r="H1721" s="17" t="s">
        <v>919</v>
      </c>
      <c r="I1721" s="17">
        <f t="shared" si="70"/>
        <v>936121873183</v>
      </c>
    </row>
    <row r="1722" spans="1:9" x14ac:dyDescent="0.3">
      <c r="A1722" s="17" t="str">
        <f t="shared" si="69"/>
        <v>2000819</v>
      </c>
      <c r="B1722" s="17">
        <v>200</v>
      </c>
      <c r="C1722" s="17">
        <v>819</v>
      </c>
      <c r="D1722" s="17" t="s">
        <v>917</v>
      </c>
      <c r="E1722" s="17">
        <f t="shared" si="71"/>
        <v>197930760519400</v>
      </c>
      <c r="F1722" s="17" t="s">
        <v>918</v>
      </c>
      <c r="G1722" s="17">
        <f t="shared" si="72"/>
        <v>945483091914</v>
      </c>
      <c r="H1722" s="17" t="s">
        <v>919</v>
      </c>
      <c r="I1722" s="17">
        <f t="shared" si="70"/>
        <v>945483091914</v>
      </c>
    </row>
    <row r="1723" spans="1:9" x14ac:dyDescent="0.3">
      <c r="A1723" s="17" t="str">
        <f t="shared" si="69"/>
        <v>2000820</v>
      </c>
      <c r="B1723" s="17">
        <v>200</v>
      </c>
      <c r="C1723" s="17">
        <v>820</v>
      </c>
      <c r="D1723" s="17" t="s">
        <v>917</v>
      </c>
      <c r="E1723" s="17">
        <f t="shared" si="71"/>
        <v>199910068124594</v>
      </c>
      <c r="F1723" s="17" t="s">
        <v>918</v>
      </c>
      <c r="G1723" s="17">
        <f t="shared" si="72"/>
        <v>954937922833</v>
      </c>
      <c r="H1723" s="17" t="s">
        <v>919</v>
      </c>
      <c r="I1723" s="17">
        <f t="shared" si="70"/>
        <v>954937922833</v>
      </c>
    </row>
    <row r="1724" spans="1:9" x14ac:dyDescent="0.3">
      <c r="A1724" s="17" t="str">
        <f t="shared" si="69"/>
        <v>2000821</v>
      </c>
      <c r="B1724" s="17">
        <v>200</v>
      </c>
      <c r="C1724" s="17">
        <v>821</v>
      </c>
      <c r="D1724" s="17" t="s">
        <v>917</v>
      </c>
      <c r="E1724" s="17">
        <f t="shared" si="71"/>
        <v>201909168805840</v>
      </c>
      <c r="F1724" s="17" t="s">
        <v>918</v>
      </c>
      <c r="G1724" s="17">
        <f t="shared" si="72"/>
        <v>964487302061</v>
      </c>
      <c r="H1724" s="17" t="s">
        <v>919</v>
      </c>
      <c r="I1724" s="17">
        <f t="shared" si="70"/>
        <v>964487302061</v>
      </c>
    </row>
    <row r="1725" spans="1:9" x14ac:dyDescent="0.3">
      <c r="A1725" s="17" t="str">
        <f t="shared" si="69"/>
        <v>2000822</v>
      </c>
      <c r="B1725" s="17">
        <v>200</v>
      </c>
      <c r="C1725" s="17">
        <v>822</v>
      </c>
      <c r="D1725" s="17" t="s">
        <v>917</v>
      </c>
      <c r="E1725" s="17">
        <f t="shared" si="71"/>
        <v>203928260493898</v>
      </c>
      <c r="F1725" s="17" t="s">
        <v>918</v>
      </c>
      <c r="G1725" s="17">
        <f t="shared" si="72"/>
        <v>974132175081</v>
      </c>
      <c r="H1725" s="17" t="s">
        <v>919</v>
      </c>
      <c r="I1725" s="17">
        <f t="shared" si="70"/>
        <v>974132175081</v>
      </c>
    </row>
    <row r="1726" spans="1:9" x14ac:dyDescent="0.3">
      <c r="A1726" s="17" t="str">
        <f t="shared" si="69"/>
        <v>2000823</v>
      </c>
      <c r="B1726" s="17">
        <v>200</v>
      </c>
      <c r="C1726" s="17">
        <v>823</v>
      </c>
      <c r="D1726" s="17" t="s">
        <v>917</v>
      </c>
      <c r="E1726" s="17">
        <f t="shared" si="71"/>
        <v>205967543098837</v>
      </c>
      <c r="F1726" s="17" t="s">
        <v>918</v>
      </c>
      <c r="G1726" s="17">
        <f t="shared" si="72"/>
        <v>983873496831</v>
      </c>
      <c r="H1726" s="17" t="s">
        <v>919</v>
      </c>
      <c r="I1726" s="17">
        <f t="shared" si="70"/>
        <v>983873496831</v>
      </c>
    </row>
    <row r="1727" spans="1:9" x14ac:dyDescent="0.3">
      <c r="A1727" s="17" t="str">
        <f t="shared" si="69"/>
        <v>2000824</v>
      </c>
      <c r="B1727" s="17">
        <v>200</v>
      </c>
      <c r="C1727" s="17">
        <v>824</v>
      </c>
      <c r="D1727" s="17" t="s">
        <v>917</v>
      </c>
      <c r="E1727" s="17">
        <f t="shared" si="71"/>
        <v>208027218529825</v>
      </c>
      <c r="F1727" s="17" t="s">
        <v>918</v>
      </c>
      <c r="G1727" s="17">
        <f t="shared" si="72"/>
        <v>993712231799</v>
      </c>
      <c r="H1727" s="17" t="s">
        <v>919</v>
      </c>
      <c r="I1727" s="17">
        <f t="shared" si="70"/>
        <v>993712231799</v>
      </c>
    </row>
    <row r="1728" spans="1:9" x14ac:dyDescent="0.3">
      <c r="A1728" s="17" t="str">
        <f t="shared" si="69"/>
        <v>2000825</v>
      </c>
      <c r="B1728" s="17">
        <v>200</v>
      </c>
      <c r="C1728" s="17">
        <v>825</v>
      </c>
      <c r="D1728" s="17" t="s">
        <v>917</v>
      </c>
      <c r="E1728" s="17">
        <f t="shared" si="71"/>
        <v>210107490715123</v>
      </c>
      <c r="F1728" s="17" t="s">
        <v>918</v>
      </c>
      <c r="G1728" s="17">
        <f t="shared" si="72"/>
        <v>1003649354116</v>
      </c>
      <c r="H1728" s="17" t="s">
        <v>919</v>
      </c>
      <c r="I1728" s="17">
        <f t="shared" si="70"/>
        <v>1003649354116</v>
      </c>
    </row>
    <row r="1729" spans="1:9" x14ac:dyDescent="0.3">
      <c r="A1729" s="17" t="str">
        <f t="shared" si="69"/>
        <v>2000826</v>
      </c>
      <c r="B1729" s="17">
        <v>200</v>
      </c>
      <c r="C1729" s="17">
        <v>826</v>
      </c>
      <c r="D1729" s="17" t="s">
        <v>917</v>
      </c>
      <c r="E1729" s="17">
        <f t="shared" si="71"/>
        <v>212208565622274</v>
      </c>
      <c r="F1729" s="17" t="s">
        <v>918</v>
      </c>
      <c r="G1729" s="17">
        <f t="shared" si="72"/>
        <v>1013685847657</v>
      </c>
      <c r="H1729" s="17" t="s">
        <v>919</v>
      </c>
      <c r="I1729" s="17">
        <f t="shared" si="70"/>
        <v>1013685847657</v>
      </c>
    </row>
    <row r="1730" spans="1:9" x14ac:dyDescent="0.3">
      <c r="A1730" s="17" t="str">
        <f t="shared" si="69"/>
        <v>2000827</v>
      </c>
      <c r="B1730" s="17">
        <v>200</v>
      </c>
      <c r="C1730" s="17">
        <v>827</v>
      </c>
      <c r="D1730" s="17" t="s">
        <v>917</v>
      </c>
      <c r="E1730" s="17">
        <f t="shared" si="71"/>
        <v>214330651278497</v>
      </c>
      <c r="F1730" s="17" t="s">
        <v>918</v>
      </c>
      <c r="G1730" s="17">
        <f t="shared" si="72"/>
        <v>1023822706133</v>
      </c>
      <c r="H1730" s="17" t="s">
        <v>919</v>
      </c>
      <c r="I1730" s="17">
        <f t="shared" si="70"/>
        <v>1023822706133</v>
      </c>
    </row>
    <row r="1731" spans="1:9" x14ac:dyDescent="0.3">
      <c r="A1731" s="17" t="str">
        <f t="shared" si="69"/>
        <v>2000828</v>
      </c>
      <c r="B1731" s="17">
        <v>200</v>
      </c>
      <c r="C1731" s="17">
        <v>828</v>
      </c>
      <c r="D1731" s="17" t="s">
        <v>917</v>
      </c>
      <c r="E1731" s="17">
        <f t="shared" si="71"/>
        <v>216473957791282</v>
      </c>
      <c r="F1731" s="17" t="s">
        <v>918</v>
      </c>
      <c r="G1731" s="17">
        <f t="shared" si="72"/>
        <v>1034060933194</v>
      </c>
      <c r="H1731" s="17" t="s">
        <v>919</v>
      </c>
      <c r="I1731" s="17">
        <f t="shared" si="70"/>
        <v>1034060933194</v>
      </c>
    </row>
    <row r="1732" spans="1:9" x14ac:dyDescent="0.3">
      <c r="A1732" s="17" t="str">
        <f t="shared" ref="A1732:A1795" si="73">B1732&amp;TEXT(C1732,"0000")</f>
        <v>2000829</v>
      </c>
      <c r="B1732" s="17">
        <v>200</v>
      </c>
      <c r="C1732" s="17">
        <v>829</v>
      </c>
      <c r="D1732" s="17" t="s">
        <v>917</v>
      </c>
      <c r="E1732" s="17">
        <f t="shared" si="71"/>
        <v>218638697369195</v>
      </c>
      <c r="F1732" s="17" t="s">
        <v>918</v>
      </c>
      <c r="G1732" s="17">
        <f t="shared" si="72"/>
        <v>1044401542525</v>
      </c>
      <c r="H1732" s="17" t="s">
        <v>919</v>
      </c>
      <c r="I1732" s="17">
        <f t="shared" si="70"/>
        <v>1044401542525</v>
      </c>
    </row>
    <row r="1733" spans="1:9" x14ac:dyDescent="0.3">
      <c r="A1733" s="17" t="str">
        <f t="shared" si="73"/>
        <v>2000830</v>
      </c>
      <c r="B1733" s="17">
        <v>200</v>
      </c>
      <c r="C1733" s="17">
        <v>830</v>
      </c>
      <c r="D1733" s="17" t="s">
        <v>917</v>
      </c>
      <c r="E1733" s="17">
        <f t="shared" si="71"/>
        <v>220825084342887</v>
      </c>
      <c r="F1733" s="17" t="s">
        <v>918</v>
      </c>
      <c r="G1733" s="17">
        <f t="shared" si="72"/>
        <v>1054845557950</v>
      </c>
      <c r="H1733" s="17" t="s">
        <v>919</v>
      </c>
      <c r="I1733" s="17">
        <f t="shared" si="70"/>
        <v>1054845557950</v>
      </c>
    </row>
    <row r="1734" spans="1:9" x14ac:dyDescent="0.3">
      <c r="A1734" s="17" t="str">
        <f t="shared" si="73"/>
        <v>2000831</v>
      </c>
      <c r="B1734" s="17">
        <v>200</v>
      </c>
      <c r="C1734" s="17">
        <v>831</v>
      </c>
      <c r="D1734" s="17" t="s">
        <v>917</v>
      </c>
      <c r="E1734" s="17">
        <f t="shared" si="71"/>
        <v>223033335186316</v>
      </c>
      <c r="F1734" s="17" t="s">
        <v>918</v>
      </c>
      <c r="G1734" s="17">
        <f t="shared" si="72"/>
        <v>1065394013529</v>
      </c>
      <c r="H1734" s="17" t="s">
        <v>919</v>
      </c>
      <c r="I1734" s="17">
        <f t="shared" si="70"/>
        <v>1065394013529</v>
      </c>
    </row>
    <row r="1735" spans="1:9" x14ac:dyDescent="0.3">
      <c r="A1735" s="17" t="str">
        <f t="shared" si="73"/>
        <v>2000832</v>
      </c>
      <c r="B1735" s="17">
        <v>200</v>
      </c>
      <c r="C1735" s="17">
        <v>832</v>
      </c>
      <c r="D1735" s="17" t="s">
        <v>917</v>
      </c>
      <c r="E1735" s="17">
        <f t="shared" si="71"/>
        <v>225263668538179</v>
      </c>
      <c r="F1735" s="17" t="s">
        <v>918</v>
      </c>
      <c r="G1735" s="17">
        <f t="shared" si="72"/>
        <v>1076047953664</v>
      </c>
      <c r="H1735" s="17" t="s">
        <v>919</v>
      </c>
      <c r="I1735" s="17">
        <f t="shared" si="70"/>
        <v>1076047953664</v>
      </c>
    </row>
    <row r="1736" spans="1:9" x14ac:dyDescent="0.3">
      <c r="A1736" s="17" t="str">
        <f t="shared" si="73"/>
        <v>2000833</v>
      </c>
      <c r="B1736" s="17">
        <v>200</v>
      </c>
      <c r="C1736" s="17">
        <v>833</v>
      </c>
      <c r="D1736" s="17" t="s">
        <v>917</v>
      </c>
      <c r="E1736" s="17">
        <f t="shared" si="71"/>
        <v>227516305223561</v>
      </c>
      <c r="F1736" s="17" t="s">
        <v>918</v>
      </c>
      <c r="G1736" s="17">
        <f t="shared" si="72"/>
        <v>1086808433200</v>
      </c>
      <c r="H1736" s="17" t="s">
        <v>919</v>
      </c>
      <c r="I1736" s="17">
        <f t="shared" si="70"/>
        <v>1086808433200</v>
      </c>
    </row>
    <row r="1737" spans="1:9" x14ac:dyDescent="0.3">
      <c r="A1737" s="17" t="str">
        <f t="shared" si="73"/>
        <v>2000834</v>
      </c>
      <c r="B1737" s="17">
        <v>200</v>
      </c>
      <c r="C1737" s="17">
        <v>834</v>
      </c>
      <c r="D1737" s="17" t="s">
        <v>917</v>
      </c>
      <c r="E1737" s="17">
        <f t="shared" si="71"/>
        <v>229791468275797</v>
      </c>
      <c r="F1737" s="17" t="s">
        <v>918</v>
      </c>
      <c r="G1737" s="17">
        <f t="shared" si="72"/>
        <v>1097676517532</v>
      </c>
      <c r="H1737" s="17" t="s">
        <v>919</v>
      </c>
      <c r="I1737" s="17">
        <f t="shared" ref="I1737:I1800" si="74">G1737</f>
        <v>1097676517532</v>
      </c>
    </row>
    <row r="1738" spans="1:9" x14ac:dyDescent="0.3">
      <c r="A1738" s="17" t="str">
        <f t="shared" si="73"/>
        <v>2000835</v>
      </c>
      <c r="B1738" s="17">
        <v>200</v>
      </c>
      <c r="C1738" s="17">
        <v>835</v>
      </c>
      <c r="D1738" s="17" t="s">
        <v>917</v>
      </c>
      <c r="E1738" s="17">
        <f t="shared" si="71"/>
        <v>232089382958555</v>
      </c>
      <c r="F1738" s="17" t="s">
        <v>918</v>
      </c>
      <c r="G1738" s="17">
        <f t="shared" si="72"/>
        <v>1108653282707</v>
      </c>
      <c r="H1738" s="17" t="s">
        <v>919</v>
      </c>
      <c r="I1738" s="17">
        <f t="shared" si="74"/>
        <v>1108653282707</v>
      </c>
    </row>
    <row r="1739" spans="1:9" x14ac:dyDescent="0.3">
      <c r="A1739" s="17" t="str">
        <f t="shared" si="73"/>
        <v>2000836</v>
      </c>
      <c r="B1739" s="17">
        <v>200</v>
      </c>
      <c r="C1739" s="17">
        <v>836</v>
      </c>
      <c r="D1739" s="17" t="s">
        <v>917</v>
      </c>
      <c r="E1739" s="17">
        <f t="shared" si="71"/>
        <v>234410276788141</v>
      </c>
      <c r="F1739" s="17" t="s">
        <v>918</v>
      </c>
      <c r="G1739" s="17">
        <f t="shared" si="72"/>
        <v>1119739815534</v>
      </c>
      <c r="H1739" s="17" t="s">
        <v>919</v>
      </c>
      <c r="I1739" s="17">
        <f t="shared" si="74"/>
        <v>1119739815534</v>
      </c>
    </row>
    <row r="1740" spans="1:9" x14ac:dyDescent="0.3">
      <c r="A1740" s="17" t="str">
        <f t="shared" si="73"/>
        <v>2000837</v>
      </c>
      <c r="B1740" s="17">
        <v>200</v>
      </c>
      <c r="C1740" s="17">
        <v>837</v>
      </c>
      <c r="D1740" s="17" t="s">
        <v>917</v>
      </c>
      <c r="E1740" s="17">
        <f t="shared" si="71"/>
        <v>236754379556022</v>
      </c>
      <c r="F1740" s="17" t="s">
        <v>918</v>
      </c>
      <c r="G1740" s="17">
        <f t="shared" si="72"/>
        <v>1130937213689</v>
      </c>
      <c r="H1740" s="17" t="s">
        <v>919</v>
      </c>
      <c r="I1740" s="17">
        <f t="shared" si="74"/>
        <v>1130937213689</v>
      </c>
    </row>
    <row r="1741" spans="1:9" x14ac:dyDescent="0.3">
      <c r="A1741" s="17" t="str">
        <f t="shared" si="73"/>
        <v>2000838</v>
      </c>
      <c r="B1741" s="17">
        <v>200</v>
      </c>
      <c r="C1741" s="17">
        <v>838</v>
      </c>
      <c r="D1741" s="17" t="s">
        <v>917</v>
      </c>
      <c r="E1741" s="17">
        <f t="shared" si="71"/>
        <v>239121923351582</v>
      </c>
      <c r="F1741" s="17" t="s">
        <v>918</v>
      </c>
      <c r="G1741" s="17">
        <f t="shared" si="72"/>
        <v>1142246585825</v>
      </c>
      <c r="H1741" s="17" t="s">
        <v>919</v>
      </c>
      <c r="I1741" s="17">
        <f t="shared" si="74"/>
        <v>1142246585825</v>
      </c>
    </row>
    <row r="1742" spans="1:9" x14ac:dyDescent="0.3">
      <c r="A1742" s="17" t="str">
        <f t="shared" si="73"/>
        <v>2000839</v>
      </c>
      <c r="B1742" s="17">
        <v>200</v>
      </c>
      <c r="C1742" s="17">
        <v>839</v>
      </c>
      <c r="D1742" s="17" t="s">
        <v>917</v>
      </c>
      <c r="E1742" s="17">
        <f t="shared" si="71"/>
        <v>241513142585098</v>
      </c>
      <c r="F1742" s="17" t="s">
        <v>918</v>
      </c>
      <c r="G1742" s="17">
        <f t="shared" si="72"/>
        <v>1153669051683</v>
      </c>
      <c r="H1742" s="17" t="s">
        <v>919</v>
      </c>
      <c r="I1742" s="17">
        <f t="shared" si="74"/>
        <v>1153669051683</v>
      </c>
    </row>
    <row r="1743" spans="1:9" x14ac:dyDescent="0.3">
      <c r="A1743" s="17" t="str">
        <f t="shared" si="73"/>
        <v>2000840</v>
      </c>
      <c r="B1743" s="17">
        <v>200</v>
      </c>
      <c r="C1743" s="17">
        <v>840</v>
      </c>
      <c r="D1743" s="17" t="s">
        <v>917</v>
      </c>
      <c r="E1743" s="17">
        <f t="shared" si="71"/>
        <v>243928274010949</v>
      </c>
      <c r="F1743" s="17" t="s">
        <v>918</v>
      </c>
      <c r="G1743" s="17">
        <f t="shared" si="72"/>
        <v>1165205742199</v>
      </c>
      <c r="H1743" s="17" t="s">
        <v>919</v>
      </c>
      <c r="I1743" s="17">
        <f t="shared" si="74"/>
        <v>1165205742199</v>
      </c>
    </row>
    <row r="1744" spans="1:9" x14ac:dyDescent="0.3">
      <c r="A1744" s="17" t="str">
        <f t="shared" si="73"/>
        <v>2000841</v>
      </c>
      <c r="B1744" s="17">
        <v>200</v>
      </c>
      <c r="C1744" s="17">
        <v>841</v>
      </c>
      <c r="D1744" s="17" t="s">
        <v>917</v>
      </c>
      <c r="E1744" s="17">
        <f t="shared" si="71"/>
        <v>246367556751059</v>
      </c>
      <c r="F1744" s="17" t="s">
        <v>918</v>
      </c>
      <c r="G1744" s="17">
        <f t="shared" si="72"/>
        <v>1176857799620</v>
      </c>
      <c r="H1744" s="17" t="s">
        <v>919</v>
      </c>
      <c r="I1744" s="17">
        <f t="shared" si="74"/>
        <v>1176857799620</v>
      </c>
    </row>
    <row r="1745" spans="1:9" x14ac:dyDescent="0.3">
      <c r="A1745" s="17" t="str">
        <f t="shared" si="73"/>
        <v>2000842</v>
      </c>
      <c r="B1745" s="17">
        <v>200</v>
      </c>
      <c r="C1745" s="17">
        <v>842</v>
      </c>
      <c r="D1745" s="17" t="s">
        <v>917</v>
      </c>
      <c r="E1745" s="17">
        <f t="shared" si="71"/>
        <v>248831232318570</v>
      </c>
      <c r="F1745" s="17" t="s">
        <v>918</v>
      </c>
      <c r="G1745" s="17">
        <f t="shared" si="72"/>
        <v>1188626377616</v>
      </c>
      <c r="H1745" s="17" t="s">
        <v>919</v>
      </c>
      <c r="I1745" s="17">
        <f t="shared" si="74"/>
        <v>1188626377616</v>
      </c>
    </row>
    <row r="1746" spans="1:9" x14ac:dyDescent="0.3">
      <c r="A1746" s="17" t="str">
        <f t="shared" si="73"/>
        <v>2000843</v>
      </c>
      <c r="B1746" s="17">
        <v>200</v>
      </c>
      <c r="C1746" s="17">
        <v>843</v>
      </c>
      <c r="D1746" s="17" t="s">
        <v>917</v>
      </c>
      <c r="E1746" s="17">
        <f t="shared" si="71"/>
        <v>251319544641756</v>
      </c>
      <c r="F1746" s="17" t="s">
        <v>918</v>
      </c>
      <c r="G1746" s="17">
        <f t="shared" si="72"/>
        <v>1200512641392</v>
      </c>
      <c r="H1746" s="17" t="s">
        <v>919</v>
      </c>
      <c r="I1746" s="17">
        <f t="shared" si="74"/>
        <v>1200512641392</v>
      </c>
    </row>
    <row r="1747" spans="1:9" x14ac:dyDescent="0.3">
      <c r="A1747" s="17" t="str">
        <f t="shared" si="73"/>
        <v>2000844</v>
      </c>
      <c r="B1747" s="17">
        <v>200</v>
      </c>
      <c r="C1747" s="17">
        <v>844</v>
      </c>
      <c r="D1747" s="17" t="s">
        <v>917</v>
      </c>
      <c r="E1747" s="17">
        <f t="shared" si="71"/>
        <v>253832740088174</v>
      </c>
      <c r="F1747" s="17" t="s">
        <v>918</v>
      </c>
      <c r="G1747" s="17">
        <f t="shared" si="72"/>
        <v>1212517767805</v>
      </c>
      <c r="H1747" s="17" t="s">
        <v>919</v>
      </c>
      <c r="I1747" s="17">
        <f t="shared" si="74"/>
        <v>1212517767805</v>
      </c>
    </row>
    <row r="1748" spans="1:9" x14ac:dyDescent="0.3">
      <c r="A1748" s="17" t="str">
        <f t="shared" si="73"/>
        <v>2000845</v>
      </c>
      <c r="B1748" s="17">
        <v>200</v>
      </c>
      <c r="C1748" s="17">
        <v>845</v>
      </c>
      <c r="D1748" s="17" t="s">
        <v>917</v>
      </c>
      <c r="E1748" s="17">
        <f t="shared" si="71"/>
        <v>256371067489056</v>
      </c>
      <c r="F1748" s="17" t="s">
        <v>918</v>
      </c>
      <c r="G1748" s="17">
        <f t="shared" si="72"/>
        <v>1224642945483</v>
      </c>
      <c r="H1748" s="17" t="s">
        <v>919</v>
      </c>
      <c r="I1748" s="17">
        <f t="shared" si="74"/>
        <v>1224642945483</v>
      </c>
    </row>
    <row r="1749" spans="1:9" x14ac:dyDescent="0.3">
      <c r="A1749" s="17" t="str">
        <f t="shared" si="73"/>
        <v>2000846</v>
      </c>
      <c r="B1749" s="17">
        <v>200</v>
      </c>
      <c r="C1749" s="17">
        <v>846</v>
      </c>
      <c r="D1749" s="17" t="s">
        <v>917</v>
      </c>
      <c r="E1749" s="17">
        <f t="shared" si="71"/>
        <v>258934778163947</v>
      </c>
      <c r="F1749" s="17" t="s">
        <v>918</v>
      </c>
      <c r="G1749" s="17">
        <f t="shared" si="72"/>
        <v>1236889374937</v>
      </c>
      <c r="H1749" s="17" t="s">
        <v>919</v>
      </c>
      <c r="I1749" s="17">
        <f t="shared" si="74"/>
        <v>1236889374937</v>
      </c>
    </row>
    <row r="1750" spans="1:9" x14ac:dyDescent="0.3">
      <c r="A1750" s="17" t="str">
        <f t="shared" si="73"/>
        <v>2000847</v>
      </c>
      <c r="B1750" s="17">
        <v>200</v>
      </c>
      <c r="C1750" s="17">
        <v>847</v>
      </c>
      <c r="D1750" s="17" t="s">
        <v>917</v>
      </c>
      <c r="E1750" s="17">
        <f t="shared" si="71"/>
        <v>261524125945586</v>
      </c>
      <c r="F1750" s="17" t="s">
        <v>918</v>
      </c>
      <c r="G1750" s="17">
        <f t="shared" si="72"/>
        <v>1249258268686</v>
      </c>
      <c r="H1750" s="17" t="s">
        <v>919</v>
      </c>
      <c r="I1750" s="17">
        <f t="shared" si="74"/>
        <v>1249258268686</v>
      </c>
    </row>
    <row r="1751" spans="1:9" x14ac:dyDescent="0.3">
      <c r="A1751" s="17" t="str">
        <f t="shared" si="73"/>
        <v>2000848</v>
      </c>
      <c r="B1751" s="17">
        <v>200</v>
      </c>
      <c r="C1751" s="17">
        <v>848</v>
      </c>
      <c r="D1751" s="17" t="s">
        <v>917</v>
      </c>
      <c r="E1751" s="17">
        <f t="shared" si="71"/>
        <v>264139367205042</v>
      </c>
      <c r="F1751" s="17" t="s">
        <v>918</v>
      </c>
      <c r="G1751" s="17">
        <f t="shared" si="72"/>
        <v>1261750851372</v>
      </c>
      <c r="H1751" s="17" t="s">
        <v>919</v>
      </c>
      <c r="I1751" s="17">
        <f t="shared" si="74"/>
        <v>1261750851372</v>
      </c>
    </row>
    <row r="1752" spans="1:9" x14ac:dyDescent="0.3">
      <c r="A1752" s="17" t="str">
        <f t="shared" si="73"/>
        <v>2000849</v>
      </c>
      <c r="B1752" s="17">
        <v>200</v>
      </c>
      <c r="C1752" s="17">
        <v>849</v>
      </c>
      <c r="D1752" s="17" t="s">
        <v>917</v>
      </c>
      <c r="E1752" s="17">
        <f t="shared" si="71"/>
        <v>266780760877092</v>
      </c>
      <c r="F1752" s="17" t="s">
        <v>918</v>
      </c>
      <c r="G1752" s="17">
        <f t="shared" si="72"/>
        <v>1274368359885</v>
      </c>
      <c r="H1752" s="17" t="s">
        <v>919</v>
      </c>
      <c r="I1752" s="17">
        <f t="shared" si="74"/>
        <v>1274368359885</v>
      </c>
    </row>
    <row r="1753" spans="1:9" x14ac:dyDescent="0.3">
      <c r="A1753" s="17" t="str">
        <f t="shared" si="73"/>
        <v>2000850</v>
      </c>
      <c r="B1753" s="17">
        <v>200</v>
      </c>
      <c r="C1753" s="17">
        <v>850</v>
      </c>
      <c r="D1753" s="17" t="s">
        <v>917</v>
      </c>
      <c r="E1753" s="17">
        <f t="shared" si="71"/>
        <v>269448568485863</v>
      </c>
      <c r="F1753" s="17" t="s">
        <v>918</v>
      </c>
      <c r="G1753" s="17">
        <f t="shared" si="72"/>
        <v>1287112043483</v>
      </c>
      <c r="H1753" s="17" t="s">
        <v>919</v>
      </c>
      <c r="I1753" s="17">
        <f t="shared" si="74"/>
        <v>1287112043483</v>
      </c>
    </row>
    <row r="1754" spans="1:9" x14ac:dyDescent="0.3">
      <c r="A1754" s="17" t="str">
        <f t="shared" si="73"/>
        <v>2000851</v>
      </c>
      <c r="B1754" s="17">
        <v>200</v>
      </c>
      <c r="C1754" s="17">
        <v>851</v>
      </c>
      <c r="D1754" s="17" t="s">
        <v>917</v>
      </c>
      <c r="E1754" s="17">
        <f t="shared" si="71"/>
        <v>272143054170722</v>
      </c>
      <c r="F1754" s="17" t="s">
        <v>918</v>
      </c>
      <c r="G1754" s="17">
        <f t="shared" si="72"/>
        <v>1299983163917</v>
      </c>
      <c r="H1754" s="17" t="s">
        <v>919</v>
      </c>
      <c r="I1754" s="17">
        <f t="shared" si="74"/>
        <v>1299983163917</v>
      </c>
    </row>
    <row r="1755" spans="1:9" x14ac:dyDescent="0.3">
      <c r="A1755" s="17" t="str">
        <f t="shared" si="73"/>
        <v>2000852</v>
      </c>
      <c r="B1755" s="17">
        <v>200</v>
      </c>
      <c r="C1755" s="17">
        <v>852</v>
      </c>
      <c r="D1755" s="17" t="s">
        <v>917</v>
      </c>
      <c r="E1755" s="17">
        <f t="shared" si="71"/>
        <v>274864484712429</v>
      </c>
      <c r="F1755" s="17" t="s">
        <v>918</v>
      </c>
      <c r="G1755" s="17">
        <f t="shared" si="72"/>
        <v>1312982995556</v>
      </c>
      <c r="H1755" s="17" t="s">
        <v>919</v>
      </c>
      <c r="I1755" s="17">
        <f t="shared" si="74"/>
        <v>1312982995556</v>
      </c>
    </row>
    <row r="1756" spans="1:9" x14ac:dyDescent="0.3">
      <c r="A1756" s="17" t="str">
        <f t="shared" si="73"/>
        <v>2000853</v>
      </c>
      <c r="B1756" s="17">
        <v>200</v>
      </c>
      <c r="C1756" s="17">
        <v>853</v>
      </c>
      <c r="D1756" s="17" t="s">
        <v>917</v>
      </c>
      <c r="E1756" s="17">
        <f t="shared" si="71"/>
        <v>277613129559553</v>
      </c>
      <c r="F1756" s="17" t="s">
        <v>918</v>
      </c>
      <c r="G1756" s="17">
        <f t="shared" si="72"/>
        <v>1326112825511</v>
      </c>
      <c r="H1756" s="17" t="s">
        <v>919</v>
      </c>
      <c r="I1756" s="17">
        <f t="shared" si="74"/>
        <v>1326112825511</v>
      </c>
    </row>
    <row r="1757" spans="1:9" x14ac:dyDescent="0.3">
      <c r="A1757" s="17" t="str">
        <f t="shared" si="73"/>
        <v>2000854</v>
      </c>
      <c r="B1757" s="17">
        <v>200</v>
      </c>
      <c r="C1757" s="17">
        <v>854</v>
      </c>
      <c r="D1757" s="17" t="s">
        <v>917</v>
      </c>
      <c r="E1757" s="17">
        <f t="shared" si="71"/>
        <v>280389260855149</v>
      </c>
      <c r="F1757" s="17" t="s">
        <v>918</v>
      </c>
      <c r="G1757" s="17">
        <f t="shared" si="72"/>
        <v>1339373953766</v>
      </c>
      <c r="H1757" s="17" t="s">
        <v>919</v>
      </c>
      <c r="I1757" s="17">
        <f t="shared" si="74"/>
        <v>1339373953766</v>
      </c>
    </row>
    <row r="1758" spans="1:9" x14ac:dyDescent="0.3">
      <c r="A1758" s="17" t="str">
        <f t="shared" si="73"/>
        <v>2000855</v>
      </c>
      <c r="B1758" s="17">
        <v>200</v>
      </c>
      <c r="C1758" s="17">
        <v>855</v>
      </c>
      <c r="D1758" s="17" t="s">
        <v>917</v>
      </c>
      <c r="E1758" s="17">
        <f t="shared" si="71"/>
        <v>283193153463701</v>
      </c>
      <c r="F1758" s="17" t="s">
        <v>918</v>
      </c>
      <c r="G1758" s="17">
        <f t="shared" si="72"/>
        <v>1352767693303</v>
      </c>
      <c r="H1758" s="17" t="s">
        <v>919</v>
      </c>
      <c r="I1758" s="17">
        <f t="shared" si="74"/>
        <v>1352767693303</v>
      </c>
    </row>
    <row r="1759" spans="1:9" x14ac:dyDescent="0.3">
      <c r="A1759" s="17" t="str">
        <f t="shared" si="73"/>
        <v>2000856</v>
      </c>
      <c r="B1759" s="17">
        <v>200</v>
      </c>
      <c r="C1759" s="17">
        <v>856</v>
      </c>
      <c r="D1759" s="17" t="s">
        <v>917</v>
      </c>
      <c r="E1759" s="17">
        <f t="shared" si="71"/>
        <v>286025084998338</v>
      </c>
      <c r="F1759" s="17" t="s">
        <v>918</v>
      </c>
      <c r="G1759" s="17">
        <f t="shared" si="72"/>
        <v>1366295370236</v>
      </c>
      <c r="H1759" s="17" t="s">
        <v>919</v>
      </c>
      <c r="I1759" s="17">
        <f t="shared" si="74"/>
        <v>1366295370236</v>
      </c>
    </row>
    <row r="1760" spans="1:9" x14ac:dyDescent="0.3">
      <c r="A1760" s="17" t="str">
        <f t="shared" si="73"/>
        <v>2000857</v>
      </c>
      <c r="B1760" s="17">
        <v>200</v>
      </c>
      <c r="C1760" s="17">
        <v>857</v>
      </c>
      <c r="D1760" s="17" t="s">
        <v>917</v>
      </c>
      <c r="E1760" s="17">
        <f t="shared" si="71"/>
        <v>288885335848321</v>
      </c>
      <c r="F1760" s="17" t="s">
        <v>918</v>
      </c>
      <c r="G1760" s="17">
        <f t="shared" si="72"/>
        <v>1379958323938</v>
      </c>
      <c r="H1760" s="17" t="s">
        <v>919</v>
      </c>
      <c r="I1760" s="17">
        <f t="shared" si="74"/>
        <v>1379958323938</v>
      </c>
    </row>
    <row r="1761" spans="1:9" x14ac:dyDescent="0.3">
      <c r="A1761" s="17" t="str">
        <f t="shared" si="73"/>
        <v>2000858</v>
      </c>
      <c r="B1761" s="17">
        <v>200</v>
      </c>
      <c r="C1761" s="17">
        <v>858</v>
      </c>
      <c r="D1761" s="17" t="s">
        <v>917</v>
      </c>
      <c r="E1761" s="17">
        <f t="shared" si="71"/>
        <v>291774189206804</v>
      </c>
      <c r="F1761" s="17" t="s">
        <v>918</v>
      </c>
      <c r="G1761" s="17">
        <f t="shared" si="72"/>
        <v>1393757907177</v>
      </c>
      <c r="H1761" s="17" t="s">
        <v>919</v>
      </c>
      <c r="I1761" s="17">
        <f t="shared" si="74"/>
        <v>1393757907177</v>
      </c>
    </row>
    <row r="1762" spans="1:9" x14ac:dyDescent="0.3">
      <c r="A1762" s="17" t="str">
        <f t="shared" si="73"/>
        <v>2000859</v>
      </c>
      <c r="B1762" s="17">
        <v>200</v>
      </c>
      <c r="C1762" s="17">
        <v>859</v>
      </c>
      <c r="D1762" s="17" t="s">
        <v>917</v>
      </c>
      <c r="E1762" s="17">
        <f t="shared" si="71"/>
        <v>294691931098872</v>
      </c>
      <c r="F1762" s="17" t="s">
        <v>918</v>
      </c>
      <c r="G1762" s="17">
        <f t="shared" si="72"/>
        <v>1407695486248</v>
      </c>
      <c r="H1762" s="17" t="s">
        <v>919</v>
      </c>
      <c r="I1762" s="17">
        <f t="shared" si="74"/>
        <v>1407695486248</v>
      </c>
    </row>
    <row r="1763" spans="1:9" x14ac:dyDescent="0.3">
      <c r="A1763" s="17" t="str">
        <f t="shared" si="73"/>
        <v>2000860</v>
      </c>
      <c r="B1763" s="17">
        <v>200</v>
      </c>
      <c r="C1763" s="17">
        <v>860</v>
      </c>
      <c r="D1763" s="17" t="s">
        <v>917</v>
      </c>
      <c r="E1763" s="17">
        <f t="shared" si="71"/>
        <v>297638850409861</v>
      </c>
      <c r="F1763" s="17" t="s">
        <v>918</v>
      </c>
      <c r="G1763" s="17">
        <f t="shared" si="72"/>
        <v>1421772441110</v>
      </c>
      <c r="H1763" s="17" t="s">
        <v>919</v>
      </c>
      <c r="I1763" s="17">
        <f t="shared" si="74"/>
        <v>1421772441110</v>
      </c>
    </row>
    <row r="1764" spans="1:9" x14ac:dyDescent="0.3">
      <c r="A1764" s="17" t="str">
        <f t="shared" si="73"/>
        <v>2000861</v>
      </c>
      <c r="B1764" s="17">
        <v>200</v>
      </c>
      <c r="C1764" s="17">
        <v>861</v>
      </c>
      <c r="D1764" s="17" t="s">
        <v>917</v>
      </c>
      <c r="E1764" s="17">
        <f t="shared" si="71"/>
        <v>300615238913960</v>
      </c>
      <c r="F1764" s="17" t="s">
        <v>918</v>
      </c>
      <c r="G1764" s="17">
        <f t="shared" si="72"/>
        <v>1435990165521</v>
      </c>
      <c r="H1764" s="17" t="s">
        <v>919</v>
      </c>
      <c r="I1764" s="17">
        <f t="shared" si="74"/>
        <v>1435990165521</v>
      </c>
    </row>
    <row r="1765" spans="1:9" x14ac:dyDescent="0.3">
      <c r="A1765" s="17" t="str">
        <f t="shared" si="73"/>
        <v>2000862</v>
      </c>
      <c r="B1765" s="17">
        <v>200</v>
      </c>
      <c r="C1765" s="17">
        <v>862</v>
      </c>
      <c r="D1765" s="17" t="s">
        <v>917</v>
      </c>
      <c r="E1765" s="17">
        <f t="shared" si="71"/>
        <v>303621391303100</v>
      </c>
      <c r="F1765" s="17" t="s">
        <v>918</v>
      </c>
      <c r="G1765" s="17">
        <f t="shared" si="72"/>
        <v>1450350067176</v>
      </c>
      <c r="H1765" s="17" t="s">
        <v>919</v>
      </c>
      <c r="I1765" s="17">
        <f t="shared" si="74"/>
        <v>1450350067176</v>
      </c>
    </row>
    <row r="1766" spans="1:9" x14ac:dyDescent="0.3">
      <c r="A1766" s="17" t="str">
        <f t="shared" si="73"/>
        <v>2000863</v>
      </c>
      <c r="B1766" s="17">
        <v>200</v>
      </c>
      <c r="C1766" s="17">
        <v>863</v>
      </c>
      <c r="D1766" s="17" t="s">
        <v>917</v>
      </c>
      <c r="E1766" s="17">
        <f t="shared" si="71"/>
        <v>306657605216131</v>
      </c>
      <c r="F1766" s="17" t="s">
        <v>918</v>
      </c>
      <c r="G1766" s="17">
        <f t="shared" si="72"/>
        <v>1464853567847</v>
      </c>
      <c r="H1766" s="17" t="s">
        <v>919</v>
      </c>
      <c r="I1766" s="17">
        <f t="shared" si="74"/>
        <v>1464853567847</v>
      </c>
    </row>
    <row r="1767" spans="1:9" x14ac:dyDescent="0.3">
      <c r="A1767" s="17" t="str">
        <f t="shared" si="73"/>
        <v>2000864</v>
      </c>
      <c r="B1767" s="17">
        <v>200</v>
      </c>
      <c r="C1767" s="17">
        <v>864</v>
      </c>
      <c r="D1767" s="17" t="s">
        <v>917</v>
      </c>
      <c r="E1767" s="17">
        <f t="shared" si="71"/>
        <v>309724181268292</v>
      </c>
      <c r="F1767" s="17" t="s">
        <v>918</v>
      </c>
      <c r="G1767" s="17">
        <f t="shared" si="72"/>
        <v>1479502103525</v>
      </c>
      <c r="H1767" s="17" t="s">
        <v>919</v>
      </c>
      <c r="I1767" s="17">
        <f t="shared" si="74"/>
        <v>1479502103525</v>
      </c>
    </row>
    <row r="1768" spans="1:9" x14ac:dyDescent="0.3">
      <c r="A1768" s="17" t="str">
        <f t="shared" si="73"/>
        <v>2000865</v>
      </c>
      <c r="B1768" s="17">
        <v>200</v>
      </c>
      <c r="C1768" s="17">
        <v>865</v>
      </c>
      <c r="D1768" s="17" t="s">
        <v>917</v>
      </c>
      <c r="E1768" s="17">
        <f t="shared" si="71"/>
        <v>312821423080975</v>
      </c>
      <c r="F1768" s="17" t="s">
        <v>918</v>
      </c>
      <c r="G1768" s="17">
        <f t="shared" si="72"/>
        <v>1494297124560</v>
      </c>
      <c r="H1768" s="17" t="s">
        <v>919</v>
      </c>
      <c r="I1768" s="17">
        <f t="shared" si="74"/>
        <v>1494297124560</v>
      </c>
    </row>
    <row r="1769" spans="1:9" x14ac:dyDescent="0.3">
      <c r="A1769" s="17" t="str">
        <f t="shared" si="73"/>
        <v>2000866</v>
      </c>
      <c r="B1769" s="17">
        <v>200</v>
      </c>
      <c r="C1769" s="17">
        <v>866</v>
      </c>
      <c r="D1769" s="17" t="s">
        <v>917</v>
      </c>
      <c r="E1769" s="17">
        <f t="shared" si="71"/>
        <v>315949637311785</v>
      </c>
      <c r="F1769" s="17" t="s">
        <v>918</v>
      </c>
      <c r="G1769" s="17">
        <f t="shared" si="72"/>
        <v>1509240095805</v>
      </c>
      <c r="H1769" s="17" t="s">
        <v>919</v>
      </c>
      <c r="I1769" s="17">
        <f t="shared" si="74"/>
        <v>1509240095805</v>
      </c>
    </row>
    <row r="1770" spans="1:9" x14ac:dyDescent="0.3">
      <c r="A1770" s="17" t="str">
        <f t="shared" si="73"/>
        <v>2000867</v>
      </c>
      <c r="B1770" s="17">
        <v>200</v>
      </c>
      <c r="C1770" s="17">
        <v>867</v>
      </c>
      <c r="D1770" s="17" t="s">
        <v>917</v>
      </c>
      <c r="E1770" s="17">
        <f t="shared" si="71"/>
        <v>319109133684903</v>
      </c>
      <c r="F1770" s="17" t="s">
        <v>918</v>
      </c>
      <c r="G1770" s="17">
        <f t="shared" si="72"/>
        <v>1524332496763</v>
      </c>
      <c r="H1770" s="17" t="s">
        <v>919</v>
      </c>
      <c r="I1770" s="17">
        <f t="shared" si="74"/>
        <v>1524332496763</v>
      </c>
    </row>
    <row r="1771" spans="1:9" x14ac:dyDescent="0.3">
      <c r="A1771" s="17" t="str">
        <f t="shared" si="73"/>
        <v>2000868</v>
      </c>
      <c r="B1771" s="17">
        <v>200</v>
      </c>
      <c r="C1771" s="17">
        <v>868</v>
      </c>
      <c r="D1771" s="17" t="s">
        <v>917</v>
      </c>
      <c r="E1771" s="17">
        <f t="shared" si="71"/>
        <v>322300225021752</v>
      </c>
      <c r="F1771" s="17" t="s">
        <v>918</v>
      </c>
      <c r="G1771" s="17">
        <f t="shared" si="72"/>
        <v>1539575821730</v>
      </c>
      <c r="H1771" s="17" t="s">
        <v>919</v>
      </c>
      <c r="I1771" s="17">
        <f t="shared" si="74"/>
        <v>1539575821730</v>
      </c>
    </row>
    <row r="1772" spans="1:9" x14ac:dyDescent="0.3">
      <c r="A1772" s="17" t="str">
        <f t="shared" si="73"/>
        <v>2000869</v>
      </c>
      <c r="B1772" s="17">
        <v>200</v>
      </c>
      <c r="C1772" s="17">
        <v>869</v>
      </c>
      <c r="D1772" s="17" t="s">
        <v>917</v>
      </c>
      <c r="E1772" s="17">
        <f t="shared" si="71"/>
        <v>325523227271970</v>
      </c>
      <c r="F1772" s="17" t="s">
        <v>918</v>
      </c>
      <c r="G1772" s="17">
        <f t="shared" si="72"/>
        <v>1554971579947</v>
      </c>
      <c r="H1772" s="17" t="s">
        <v>919</v>
      </c>
      <c r="I1772" s="17">
        <f t="shared" si="74"/>
        <v>1554971579947</v>
      </c>
    </row>
    <row r="1773" spans="1:9" x14ac:dyDescent="0.3">
      <c r="A1773" s="17" t="str">
        <f t="shared" si="73"/>
        <v>2000870</v>
      </c>
      <c r="B1773" s="17">
        <v>200</v>
      </c>
      <c r="C1773" s="17">
        <v>870</v>
      </c>
      <c r="D1773" s="17" t="s">
        <v>917</v>
      </c>
      <c r="E1773" s="17">
        <f t="shared" si="71"/>
        <v>328778459544690</v>
      </c>
      <c r="F1773" s="17" t="s">
        <v>918</v>
      </c>
      <c r="G1773" s="17">
        <f t="shared" si="72"/>
        <v>1570521295746</v>
      </c>
      <c r="H1773" s="17" t="s">
        <v>919</v>
      </c>
      <c r="I1773" s="17">
        <f t="shared" si="74"/>
        <v>1570521295746</v>
      </c>
    </row>
    <row r="1774" spans="1:9" x14ac:dyDescent="0.3">
      <c r="A1774" s="17" t="str">
        <f t="shared" si="73"/>
        <v>2000871</v>
      </c>
      <c r="B1774" s="17">
        <v>200</v>
      </c>
      <c r="C1774" s="17">
        <v>871</v>
      </c>
      <c r="D1774" s="17" t="s">
        <v>917</v>
      </c>
      <c r="E1774" s="17">
        <f t="shared" si="71"/>
        <v>332066244140137</v>
      </c>
      <c r="F1774" s="17" t="s">
        <v>918</v>
      </c>
      <c r="G1774" s="17">
        <f t="shared" si="72"/>
        <v>1586226508703</v>
      </c>
      <c r="H1774" s="17" t="s">
        <v>919</v>
      </c>
      <c r="I1774" s="17">
        <f t="shared" si="74"/>
        <v>1586226508703</v>
      </c>
    </row>
    <row r="1775" spans="1:9" x14ac:dyDescent="0.3">
      <c r="A1775" s="17" t="str">
        <f t="shared" si="73"/>
        <v>2000872</v>
      </c>
      <c r="B1775" s="17">
        <v>200</v>
      </c>
      <c r="C1775" s="17">
        <v>872</v>
      </c>
      <c r="D1775" s="17" t="s">
        <v>917</v>
      </c>
      <c r="E1775" s="17">
        <f t="shared" si="71"/>
        <v>335386906581538</v>
      </c>
      <c r="F1775" s="17" t="s">
        <v>918</v>
      </c>
      <c r="G1775" s="17">
        <f t="shared" si="72"/>
        <v>1602088773790</v>
      </c>
      <c r="H1775" s="17" t="s">
        <v>919</v>
      </c>
      <c r="I1775" s="17">
        <f t="shared" si="74"/>
        <v>1602088773790</v>
      </c>
    </row>
    <row r="1776" spans="1:9" x14ac:dyDescent="0.3">
      <c r="A1776" s="17" t="str">
        <f t="shared" si="73"/>
        <v>2000873</v>
      </c>
      <c r="B1776" s="17">
        <v>200</v>
      </c>
      <c r="C1776" s="17">
        <v>873</v>
      </c>
      <c r="D1776" s="17" t="s">
        <v>917</v>
      </c>
      <c r="E1776" s="17">
        <f t="shared" si="71"/>
        <v>338740775647353</v>
      </c>
      <c r="F1776" s="17" t="s">
        <v>918</v>
      </c>
      <c r="G1776" s="17">
        <f t="shared" si="72"/>
        <v>1618109661527</v>
      </c>
      <c r="H1776" s="17" t="s">
        <v>919</v>
      </c>
      <c r="I1776" s="17">
        <f t="shared" si="74"/>
        <v>1618109661527</v>
      </c>
    </row>
    <row r="1777" spans="1:9" x14ac:dyDescent="0.3">
      <c r="A1777" s="17" t="str">
        <f t="shared" si="73"/>
        <v>2000874</v>
      </c>
      <c r="B1777" s="17">
        <v>200</v>
      </c>
      <c r="C1777" s="17">
        <v>874</v>
      </c>
      <c r="D1777" s="17" t="s">
        <v>917</v>
      </c>
      <c r="E1777" s="17">
        <f t="shared" si="71"/>
        <v>342128183403827</v>
      </c>
      <c r="F1777" s="17" t="s">
        <v>918</v>
      </c>
      <c r="G1777" s="17">
        <f t="shared" si="72"/>
        <v>1634290758142</v>
      </c>
      <c r="H1777" s="17" t="s">
        <v>919</v>
      </c>
      <c r="I1777" s="17">
        <f t="shared" si="74"/>
        <v>1634290758142</v>
      </c>
    </row>
    <row r="1778" spans="1:9" x14ac:dyDescent="0.3">
      <c r="A1778" s="17" t="str">
        <f t="shared" si="73"/>
        <v>2000875</v>
      </c>
      <c r="B1778" s="17">
        <v>200</v>
      </c>
      <c r="C1778" s="17">
        <v>875</v>
      </c>
      <c r="D1778" s="17" t="s">
        <v>917</v>
      </c>
      <c r="E1778" s="17">
        <f t="shared" si="71"/>
        <v>345549465237865</v>
      </c>
      <c r="F1778" s="17" t="s">
        <v>918</v>
      </c>
      <c r="G1778" s="17">
        <f t="shared" si="72"/>
        <v>1650633665723</v>
      </c>
      <c r="H1778" s="17" t="s">
        <v>919</v>
      </c>
      <c r="I1778" s="17">
        <f t="shared" si="74"/>
        <v>1650633665723</v>
      </c>
    </row>
    <row r="1779" spans="1:9" x14ac:dyDescent="0.3">
      <c r="A1779" s="17" t="str">
        <f t="shared" si="73"/>
        <v>2000876</v>
      </c>
      <c r="B1779" s="17">
        <v>200</v>
      </c>
      <c r="C1779" s="17">
        <v>876</v>
      </c>
      <c r="D1779" s="17" t="s">
        <v>917</v>
      </c>
      <c r="E1779" s="17">
        <f t="shared" si="71"/>
        <v>349004959890244</v>
      </c>
      <c r="F1779" s="17" t="s">
        <v>918</v>
      </c>
      <c r="G1779" s="17">
        <f t="shared" si="72"/>
        <v>1667140002380</v>
      </c>
      <c r="H1779" s="17" t="s">
        <v>919</v>
      </c>
      <c r="I1779" s="17">
        <f t="shared" si="74"/>
        <v>1667140002380</v>
      </c>
    </row>
    <row r="1780" spans="1:9" x14ac:dyDescent="0.3">
      <c r="A1780" s="17" t="str">
        <f t="shared" si="73"/>
        <v>2000877</v>
      </c>
      <c r="B1780" s="17">
        <v>200</v>
      </c>
      <c r="C1780" s="17">
        <v>877</v>
      </c>
      <c r="D1780" s="17" t="s">
        <v>917</v>
      </c>
      <c r="E1780" s="17">
        <f t="shared" ref="E1780:E1843" si="75">INT(E1779*1.01)</f>
        <v>352495009489146</v>
      </c>
      <c r="F1780" s="17" t="s">
        <v>918</v>
      </c>
      <c r="G1780" s="17">
        <f t="shared" ref="G1780:G1843" si="76">INT(G1779*1.01)</f>
        <v>1683811402403</v>
      </c>
      <c r="H1780" s="17" t="s">
        <v>919</v>
      </c>
      <c r="I1780" s="17">
        <f t="shared" si="74"/>
        <v>1683811402403</v>
      </c>
    </row>
    <row r="1781" spans="1:9" x14ac:dyDescent="0.3">
      <c r="A1781" s="17" t="str">
        <f t="shared" si="73"/>
        <v>2000878</v>
      </c>
      <c r="B1781" s="17">
        <v>200</v>
      </c>
      <c r="C1781" s="17">
        <v>878</v>
      </c>
      <c r="D1781" s="17" t="s">
        <v>917</v>
      </c>
      <c r="E1781" s="17">
        <f t="shared" si="75"/>
        <v>356019959584037</v>
      </c>
      <c r="F1781" s="17" t="s">
        <v>918</v>
      </c>
      <c r="G1781" s="17">
        <f t="shared" si="76"/>
        <v>1700649516427</v>
      </c>
      <c r="H1781" s="17" t="s">
        <v>919</v>
      </c>
      <c r="I1781" s="17">
        <f t="shared" si="74"/>
        <v>1700649516427</v>
      </c>
    </row>
    <row r="1782" spans="1:9" x14ac:dyDescent="0.3">
      <c r="A1782" s="17" t="str">
        <f t="shared" si="73"/>
        <v>2000879</v>
      </c>
      <c r="B1782" s="17">
        <v>200</v>
      </c>
      <c r="C1782" s="17">
        <v>879</v>
      </c>
      <c r="D1782" s="17" t="s">
        <v>917</v>
      </c>
      <c r="E1782" s="17">
        <f t="shared" si="75"/>
        <v>359580159179877</v>
      </c>
      <c r="F1782" s="17" t="s">
        <v>918</v>
      </c>
      <c r="G1782" s="17">
        <f t="shared" si="76"/>
        <v>1717656011591</v>
      </c>
      <c r="H1782" s="17" t="s">
        <v>919</v>
      </c>
      <c r="I1782" s="17">
        <f t="shared" si="74"/>
        <v>1717656011591</v>
      </c>
    </row>
    <row r="1783" spans="1:9" x14ac:dyDescent="0.3">
      <c r="A1783" s="17" t="str">
        <f t="shared" si="73"/>
        <v>2000880</v>
      </c>
      <c r="B1783" s="17">
        <v>200</v>
      </c>
      <c r="C1783" s="17">
        <v>880</v>
      </c>
      <c r="D1783" s="17" t="s">
        <v>917</v>
      </c>
      <c r="E1783" s="17">
        <f t="shared" si="75"/>
        <v>363175960771676</v>
      </c>
      <c r="F1783" s="17" t="s">
        <v>918</v>
      </c>
      <c r="G1783" s="17">
        <f t="shared" si="76"/>
        <v>1734832571706</v>
      </c>
      <c r="H1783" s="17" t="s">
        <v>919</v>
      </c>
      <c r="I1783" s="17">
        <f t="shared" si="74"/>
        <v>1734832571706</v>
      </c>
    </row>
    <row r="1784" spans="1:9" x14ac:dyDescent="0.3">
      <c r="A1784" s="17" t="str">
        <f t="shared" si="73"/>
        <v>2000881</v>
      </c>
      <c r="B1784" s="17">
        <v>200</v>
      </c>
      <c r="C1784" s="17">
        <v>881</v>
      </c>
      <c r="D1784" s="17" t="s">
        <v>917</v>
      </c>
      <c r="E1784" s="17">
        <f t="shared" si="75"/>
        <v>366807720379393</v>
      </c>
      <c r="F1784" s="17" t="s">
        <v>918</v>
      </c>
      <c r="G1784" s="17">
        <f t="shared" si="76"/>
        <v>1752180897423</v>
      </c>
      <c r="H1784" s="17" t="s">
        <v>919</v>
      </c>
      <c r="I1784" s="17">
        <f t="shared" si="74"/>
        <v>1752180897423</v>
      </c>
    </row>
    <row r="1785" spans="1:9" x14ac:dyDescent="0.3">
      <c r="A1785" s="17" t="str">
        <f t="shared" si="73"/>
        <v>2000882</v>
      </c>
      <c r="B1785" s="17">
        <v>200</v>
      </c>
      <c r="C1785" s="17">
        <v>882</v>
      </c>
      <c r="D1785" s="17" t="s">
        <v>917</v>
      </c>
      <c r="E1785" s="17">
        <f t="shared" si="75"/>
        <v>370475797583187</v>
      </c>
      <c r="F1785" s="17" t="s">
        <v>918</v>
      </c>
      <c r="G1785" s="17">
        <f t="shared" si="76"/>
        <v>1769702706397</v>
      </c>
      <c r="H1785" s="17" t="s">
        <v>919</v>
      </c>
      <c r="I1785" s="17">
        <f t="shared" si="74"/>
        <v>1769702706397</v>
      </c>
    </row>
    <row r="1786" spans="1:9" x14ac:dyDescent="0.3">
      <c r="A1786" s="17" t="str">
        <f t="shared" si="73"/>
        <v>2000883</v>
      </c>
      <c r="B1786" s="17">
        <v>200</v>
      </c>
      <c r="C1786" s="17">
        <v>883</v>
      </c>
      <c r="D1786" s="17" t="s">
        <v>917</v>
      </c>
      <c r="E1786" s="17">
        <f t="shared" si="75"/>
        <v>374180555559019</v>
      </c>
      <c r="F1786" s="17" t="s">
        <v>918</v>
      </c>
      <c r="G1786" s="17">
        <f t="shared" si="76"/>
        <v>1787399733460</v>
      </c>
      <c r="H1786" s="17" t="s">
        <v>919</v>
      </c>
      <c r="I1786" s="17">
        <f t="shared" si="74"/>
        <v>1787399733460</v>
      </c>
    </row>
    <row r="1787" spans="1:9" x14ac:dyDescent="0.3">
      <c r="A1787" s="17" t="str">
        <f t="shared" si="73"/>
        <v>2000884</v>
      </c>
      <c r="B1787" s="17">
        <v>200</v>
      </c>
      <c r="C1787" s="17">
        <v>884</v>
      </c>
      <c r="D1787" s="17" t="s">
        <v>917</v>
      </c>
      <c r="E1787" s="17">
        <f t="shared" si="75"/>
        <v>377922361114609</v>
      </c>
      <c r="F1787" s="17" t="s">
        <v>918</v>
      </c>
      <c r="G1787" s="17">
        <f t="shared" si="76"/>
        <v>1805273730794</v>
      </c>
      <c r="H1787" s="17" t="s">
        <v>919</v>
      </c>
      <c r="I1787" s="17">
        <f t="shared" si="74"/>
        <v>1805273730794</v>
      </c>
    </row>
    <row r="1788" spans="1:9" x14ac:dyDescent="0.3">
      <c r="A1788" s="17" t="str">
        <f t="shared" si="73"/>
        <v>2000885</v>
      </c>
      <c r="B1788" s="17">
        <v>200</v>
      </c>
      <c r="C1788" s="17">
        <v>885</v>
      </c>
      <c r="D1788" s="17" t="s">
        <v>917</v>
      </c>
      <c r="E1788" s="17">
        <f t="shared" si="75"/>
        <v>381701584725755</v>
      </c>
      <c r="F1788" s="17" t="s">
        <v>918</v>
      </c>
      <c r="G1788" s="17">
        <f t="shared" si="76"/>
        <v>1823326468101</v>
      </c>
      <c r="H1788" s="17" t="s">
        <v>919</v>
      </c>
      <c r="I1788" s="17">
        <f t="shared" si="74"/>
        <v>1823326468101</v>
      </c>
    </row>
    <row r="1789" spans="1:9" x14ac:dyDescent="0.3">
      <c r="A1789" s="17" t="str">
        <f t="shared" si="73"/>
        <v>2000886</v>
      </c>
      <c r="B1789" s="17">
        <v>200</v>
      </c>
      <c r="C1789" s="17">
        <v>886</v>
      </c>
      <c r="D1789" s="17" t="s">
        <v>917</v>
      </c>
      <c r="E1789" s="17">
        <f t="shared" si="75"/>
        <v>385518600573013</v>
      </c>
      <c r="F1789" s="17" t="s">
        <v>918</v>
      </c>
      <c r="G1789" s="17">
        <f t="shared" si="76"/>
        <v>1841559732782</v>
      </c>
      <c r="H1789" s="17" t="s">
        <v>919</v>
      </c>
      <c r="I1789" s="17">
        <f t="shared" si="74"/>
        <v>1841559732782</v>
      </c>
    </row>
    <row r="1790" spans="1:9" x14ac:dyDescent="0.3">
      <c r="A1790" s="17" t="str">
        <f t="shared" si="73"/>
        <v>2000887</v>
      </c>
      <c r="B1790" s="17">
        <v>200</v>
      </c>
      <c r="C1790" s="17">
        <v>887</v>
      </c>
      <c r="D1790" s="17" t="s">
        <v>917</v>
      </c>
      <c r="E1790" s="17">
        <f t="shared" si="75"/>
        <v>389373786578743</v>
      </c>
      <c r="F1790" s="17" t="s">
        <v>918</v>
      </c>
      <c r="G1790" s="17">
        <f t="shared" si="76"/>
        <v>1859975330109</v>
      </c>
      <c r="H1790" s="17" t="s">
        <v>919</v>
      </c>
      <c r="I1790" s="17">
        <f t="shared" si="74"/>
        <v>1859975330109</v>
      </c>
    </row>
    <row r="1791" spans="1:9" x14ac:dyDescent="0.3">
      <c r="A1791" s="17" t="str">
        <f t="shared" si="73"/>
        <v>2000888</v>
      </c>
      <c r="B1791" s="17">
        <v>200</v>
      </c>
      <c r="C1791" s="17">
        <v>888</v>
      </c>
      <c r="D1791" s="17" t="s">
        <v>917</v>
      </c>
      <c r="E1791" s="17">
        <f t="shared" si="75"/>
        <v>393267524444530</v>
      </c>
      <c r="F1791" s="17" t="s">
        <v>918</v>
      </c>
      <c r="G1791" s="17">
        <f t="shared" si="76"/>
        <v>1878575083410</v>
      </c>
      <c r="H1791" s="17" t="s">
        <v>919</v>
      </c>
      <c r="I1791" s="17">
        <f t="shared" si="74"/>
        <v>1878575083410</v>
      </c>
    </row>
    <row r="1792" spans="1:9" x14ac:dyDescent="0.3">
      <c r="A1792" s="17" t="str">
        <f t="shared" si="73"/>
        <v>2000889</v>
      </c>
      <c r="B1792" s="17">
        <v>200</v>
      </c>
      <c r="C1792" s="17">
        <v>889</v>
      </c>
      <c r="D1792" s="17" t="s">
        <v>917</v>
      </c>
      <c r="E1792" s="17">
        <f t="shared" si="75"/>
        <v>397200199688975</v>
      </c>
      <c r="F1792" s="17" t="s">
        <v>918</v>
      </c>
      <c r="G1792" s="17">
        <f t="shared" si="76"/>
        <v>1897360834244</v>
      </c>
      <c r="H1792" s="17" t="s">
        <v>919</v>
      </c>
      <c r="I1792" s="17">
        <f t="shared" si="74"/>
        <v>1897360834244</v>
      </c>
    </row>
    <row r="1793" spans="1:9" x14ac:dyDescent="0.3">
      <c r="A1793" s="17" t="str">
        <f t="shared" si="73"/>
        <v>2000890</v>
      </c>
      <c r="B1793" s="17">
        <v>200</v>
      </c>
      <c r="C1793" s="17">
        <v>890</v>
      </c>
      <c r="D1793" s="17" t="s">
        <v>917</v>
      </c>
      <c r="E1793" s="17">
        <f t="shared" si="75"/>
        <v>401172201685865</v>
      </c>
      <c r="F1793" s="17" t="s">
        <v>918</v>
      </c>
      <c r="G1793" s="17">
        <f t="shared" si="76"/>
        <v>1916334442586</v>
      </c>
      <c r="H1793" s="17" t="s">
        <v>919</v>
      </c>
      <c r="I1793" s="17">
        <f t="shared" si="74"/>
        <v>1916334442586</v>
      </c>
    </row>
    <row r="1794" spans="1:9" x14ac:dyDescent="0.3">
      <c r="A1794" s="17" t="str">
        <f t="shared" si="73"/>
        <v>2000891</v>
      </c>
      <c r="B1794" s="17">
        <v>200</v>
      </c>
      <c r="C1794" s="17">
        <v>891</v>
      </c>
      <c r="D1794" s="17" t="s">
        <v>917</v>
      </c>
      <c r="E1794" s="17">
        <f t="shared" si="75"/>
        <v>405183923702724</v>
      </c>
      <c r="F1794" s="17" t="s">
        <v>918</v>
      </c>
      <c r="G1794" s="17">
        <f t="shared" si="76"/>
        <v>1935497787011</v>
      </c>
      <c r="H1794" s="17" t="s">
        <v>919</v>
      </c>
      <c r="I1794" s="17">
        <f t="shared" si="74"/>
        <v>1935497787011</v>
      </c>
    </row>
    <row r="1795" spans="1:9" x14ac:dyDescent="0.3">
      <c r="A1795" s="17" t="str">
        <f t="shared" si="73"/>
        <v>2000892</v>
      </c>
      <c r="B1795" s="17">
        <v>200</v>
      </c>
      <c r="C1795" s="17">
        <v>892</v>
      </c>
      <c r="D1795" s="17" t="s">
        <v>917</v>
      </c>
      <c r="E1795" s="17">
        <f t="shared" si="75"/>
        <v>409235762939751</v>
      </c>
      <c r="F1795" s="17" t="s">
        <v>918</v>
      </c>
      <c r="G1795" s="17">
        <f t="shared" si="76"/>
        <v>1954852764881</v>
      </c>
      <c r="H1795" s="17" t="s">
        <v>919</v>
      </c>
      <c r="I1795" s="17">
        <f t="shared" si="74"/>
        <v>1954852764881</v>
      </c>
    </row>
    <row r="1796" spans="1:9" x14ac:dyDescent="0.3">
      <c r="A1796" s="17" t="str">
        <f t="shared" ref="A1796:A1859" si="77">B1796&amp;TEXT(C1796,"0000")</f>
        <v>2000893</v>
      </c>
      <c r="B1796" s="17">
        <v>200</v>
      </c>
      <c r="C1796" s="17">
        <v>893</v>
      </c>
      <c r="D1796" s="17" t="s">
        <v>917</v>
      </c>
      <c r="E1796" s="17">
        <f t="shared" si="75"/>
        <v>413328120569149</v>
      </c>
      <c r="F1796" s="17" t="s">
        <v>918</v>
      </c>
      <c r="G1796" s="17">
        <f t="shared" si="76"/>
        <v>1974401292529</v>
      </c>
      <c r="H1796" s="17" t="s">
        <v>919</v>
      </c>
      <c r="I1796" s="17">
        <f t="shared" si="74"/>
        <v>1974401292529</v>
      </c>
    </row>
    <row r="1797" spans="1:9" x14ac:dyDescent="0.3">
      <c r="A1797" s="17" t="str">
        <f t="shared" si="77"/>
        <v>2000894</v>
      </c>
      <c r="B1797" s="17">
        <v>200</v>
      </c>
      <c r="C1797" s="17">
        <v>894</v>
      </c>
      <c r="D1797" s="17" t="s">
        <v>917</v>
      </c>
      <c r="E1797" s="17">
        <f t="shared" si="75"/>
        <v>417461401774841</v>
      </c>
      <c r="F1797" s="17" t="s">
        <v>918</v>
      </c>
      <c r="G1797" s="17">
        <f t="shared" si="76"/>
        <v>1994145305454</v>
      </c>
      <c r="H1797" s="17" t="s">
        <v>919</v>
      </c>
      <c r="I1797" s="17">
        <f t="shared" si="74"/>
        <v>1994145305454</v>
      </c>
    </row>
    <row r="1798" spans="1:9" x14ac:dyDescent="0.3">
      <c r="A1798" s="17" t="str">
        <f t="shared" si="77"/>
        <v>2000895</v>
      </c>
      <c r="B1798" s="17">
        <v>200</v>
      </c>
      <c r="C1798" s="17">
        <v>895</v>
      </c>
      <c r="D1798" s="17" t="s">
        <v>917</v>
      </c>
      <c r="E1798" s="17">
        <f t="shared" si="75"/>
        <v>421636015792589</v>
      </c>
      <c r="F1798" s="17" t="s">
        <v>918</v>
      </c>
      <c r="G1798" s="17">
        <f t="shared" si="76"/>
        <v>2014086758508</v>
      </c>
      <c r="H1798" s="17" t="s">
        <v>919</v>
      </c>
      <c r="I1798" s="17">
        <f t="shared" si="74"/>
        <v>2014086758508</v>
      </c>
    </row>
    <row r="1799" spans="1:9" x14ac:dyDescent="0.3">
      <c r="A1799" s="17" t="str">
        <f t="shared" si="77"/>
        <v>2000896</v>
      </c>
      <c r="B1799" s="17">
        <v>200</v>
      </c>
      <c r="C1799" s="17">
        <v>896</v>
      </c>
      <c r="D1799" s="17" t="s">
        <v>917</v>
      </c>
      <c r="E1799" s="17">
        <f t="shared" si="75"/>
        <v>425852375950515</v>
      </c>
      <c r="F1799" s="17" t="s">
        <v>918</v>
      </c>
      <c r="G1799" s="17">
        <f t="shared" si="76"/>
        <v>2034227626093</v>
      </c>
      <c r="H1799" s="17" t="s">
        <v>919</v>
      </c>
      <c r="I1799" s="17">
        <f t="shared" si="74"/>
        <v>2034227626093</v>
      </c>
    </row>
    <row r="1800" spans="1:9" x14ac:dyDescent="0.3">
      <c r="A1800" s="17" t="str">
        <f t="shared" si="77"/>
        <v>2000897</v>
      </c>
      <c r="B1800" s="17">
        <v>200</v>
      </c>
      <c r="C1800" s="17">
        <v>897</v>
      </c>
      <c r="D1800" s="17" t="s">
        <v>917</v>
      </c>
      <c r="E1800" s="17">
        <f t="shared" si="75"/>
        <v>430110899710020</v>
      </c>
      <c r="F1800" s="17" t="s">
        <v>918</v>
      </c>
      <c r="G1800" s="17">
        <f t="shared" si="76"/>
        <v>2054569902353</v>
      </c>
      <c r="H1800" s="17" t="s">
        <v>919</v>
      </c>
      <c r="I1800" s="17">
        <f t="shared" si="74"/>
        <v>2054569902353</v>
      </c>
    </row>
    <row r="1801" spans="1:9" x14ac:dyDescent="0.3">
      <c r="A1801" s="17" t="str">
        <f t="shared" si="77"/>
        <v>2000898</v>
      </c>
      <c r="B1801" s="17">
        <v>200</v>
      </c>
      <c r="C1801" s="17">
        <v>898</v>
      </c>
      <c r="D1801" s="17" t="s">
        <v>917</v>
      </c>
      <c r="E1801" s="17">
        <f t="shared" si="75"/>
        <v>434412008707120</v>
      </c>
      <c r="F1801" s="17" t="s">
        <v>918</v>
      </c>
      <c r="G1801" s="17">
        <f t="shared" si="76"/>
        <v>2075115601376</v>
      </c>
      <c r="H1801" s="17" t="s">
        <v>919</v>
      </c>
      <c r="I1801" s="17">
        <f t="shared" ref="I1801:I1864" si="78">G1801</f>
        <v>2075115601376</v>
      </c>
    </row>
    <row r="1802" spans="1:9" x14ac:dyDescent="0.3">
      <c r="A1802" s="17" t="str">
        <f t="shared" si="77"/>
        <v>2000899</v>
      </c>
      <c r="B1802" s="17">
        <v>200</v>
      </c>
      <c r="C1802" s="17">
        <v>899</v>
      </c>
      <c r="D1802" s="17" t="s">
        <v>917</v>
      </c>
      <c r="E1802" s="17">
        <f t="shared" si="75"/>
        <v>438756128794191</v>
      </c>
      <c r="F1802" s="17" t="s">
        <v>918</v>
      </c>
      <c r="G1802" s="17">
        <f t="shared" si="76"/>
        <v>2095866757389</v>
      </c>
      <c r="H1802" s="17" t="s">
        <v>919</v>
      </c>
      <c r="I1802" s="17">
        <f t="shared" si="78"/>
        <v>2095866757389</v>
      </c>
    </row>
    <row r="1803" spans="1:9" x14ac:dyDescent="0.3">
      <c r="A1803" s="17" t="str">
        <f t="shared" si="77"/>
        <v>2000900</v>
      </c>
      <c r="B1803" s="17">
        <v>200</v>
      </c>
      <c r="C1803" s="17">
        <v>900</v>
      </c>
      <c r="D1803" s="17" t="s">
        <v>917</v>
      </c>
      <c r="E1803" s="17">
        <f t="shared" si="75"/>
        <v>443143690082133</v>
      </c>
      <c r="F1803" s="17" t="s">
        <v>918</v>
      </c>
      <c r="G1803" s="17">
        <f t="shared" si="76"/>
        <v>2116825424962</v>
      </c>
      <c r="H1803" s="17" t="s">
        <v>919</v>
      </c>
      <c r="I1803" s="17">
        <f t="shared" si="78"/>
        <v>2116825424962</v>
      </c>
    </row>
    <row r="1804" spans="1:9" x14ac:dyDescent="0.3">
      <c r="A1804" s="17" t="str">
        <f t="shared" si="77"/>
        <v>2000901</v>
      </c>
      <c r="B1804" s="17">
        <v>200</v>
      </c>
      <c r="C1804" s="17">
        <v>901</v>
      </c>
      <c r="D1804" s="17" t="s">
        <v>917</v>
      </c>
      <c r="E1804" s="17">
        <f t="shared" si="75"/>
        <v>447575126982954</v>
      </c>
      <c r="F1804" s="17" t="s">
        <v>918</v>
      </c>
      <c r="G1804" s="17">
        <f t="shared" si="76"/>
        <v>2137993679211</v>
      </c>
      <c r="H1804" s="17" t="s">
        <v>919</v>
      </c>
      <c r="I1804" s="17">
        <f t="shared" si="78"/>
        <v>2137993679211</v>
      </c>
    </row>
    <row r="1805" spans="1:9" x14ac:dyDescent="0.3">
      <c r="A1805" s="17" t="str">
        <f t="shared" si="77"/>
        <v>2000902</v>
      </c>
      <c r="B1805" s="17">
        <v>200</v>
      </c>
      <c r="C1805" s="17">
        <v>902</v>
      </c>
      <c r="D1805" s="17" t="s">
        <v>917</v>
      </c>
      <c r="E1805" s="17">
        <f t="shared" si="75"/>
        <v>452050878252784</v>
      </c>
      <c r="F1805" s="17" t="s">
        <v>918</v>
      </c>
      <c r="G1805" s="17">
        <f t="shared" si="76"/>
        <v>2159373616003</v>
      </c>
      <c r="H1805" s="17" t="s">
        <v>919</v>
      </c>
      <c r="I1805" s="17">
        <f t="shared" si="78"/>
        <v>2159373616003</v>
      </c>
    </row>
    <row r="1806" spans="1:9" x14ac:dyDescent="0.3">
      <c r="A1806" s="17" t="str">
        <f t="shared" si="77"/>
        <v>2000903</v>
      </c>
      <c r="B1806" s="17">
        <v>200</v>
      </c>
      <c r="C1806" s="17">
        <v>903</v>
      </c>
      <c r="D1806" s="17" t="s">
        <v>917</v>
      </c>
      <c r="E1806" s="17">
        <f t="shared" si="75"/>
        <v>456571387035312</v>
      </c>
      <c r="F1806" s="17" t="s">
        <v>918</v>
      </c>
      <c r="G1806" s="17">
        <f t="shared" si="76"/>
        <v>2180967352163</v>
      </c>
      <c r="H1806" s="17" t="s">
        <v>919</v>
      </c>
      <c r="I1806" s="17">
        <f t="shared" si="78"/>
        <v>2180967352163</v>
      </c>
    </row>
    <row r="1807" spans="1:9" x14ac:dyDescent="0.3">
      <c r="A1807" s="17" t="str">
        <f t="shared" si="77"/>
        <v>2000904</v>
      </c>
      <c r="B1807" s="17">
        <v>200</v>
      </c>
      <c r="C1807" s="17">
        <v>904</v>
      </c>
      <c r="D1807" s="17" t="s">
        <v>917</v>
      </c>
      <c r="E1807" s="17">
        <f t="shared" si="75"/>
        <v>461137100905665</v>
      </c>
      <c r="F1807" s="17" t="s">
        <v>918</v>
      </c>
      <c r="G1807" s="17">
        <f t="shared" si="76"/>
        <v>2202777025684</v>
      </c>
      <c r="H1807" s="17" t="s">
        <v>919</v>
      </c>
      <c r="I1807" s="17">
        <f t="shared" si="78"/>
        <v>2202777025684</v>
      </c>
    </row>
    <row r="1808" spans="1:9" x14ac:dyDescent="0.3">
      <c r="A1808" s="17" t="str">
        <f t="shared" si="77"/>
        <v>2000905</v>
      </c>
      <c r="B1808" s="17">
        <v>200</v>
      </c>
      <c r="C1808" s="17">
        <v>905</v>
      </c>
      <c r="D1808" s="17" t="s">
        <v>917</v>
      </c>
      <c r="E1808" s="17">
        <f t="shared" si="75"/>
        <v>465748471914722</v>
      </c>
      <c r="F1808" s="17" t="s">
        <v>918</v>
      </c>
      <c r="G1808" s="17">
        <f t="shared" si="76"/>
        <v>2224804795940</v>
      </c>
      <c r="H1808" s="17" t="s">
        <v>919</v>
      </c>
      <c r="I1808" s="17">
        <f t="shared" si="78"/>
        <v>2224804795940</v>
      </c>
    </row>
    <row r="1809" spans="1:9" x14ac:dyDescent="0.3">
      <c r="A1809" s="17" t="str">
        <f t="shared" si="77"/>
        <v>2000906</v>
      </c>
      <c r="B1809" s="17">
        <v>200</v>
      </c>
      <c r="C1809" s="17">
        <v>906</v>
      </c>
      <c r="D1809" s="17" t="s">
        <v>917</v>
      </c>
      <c r="E1809" s="17">
        <f t="shared" si="75"/>
        <v>470405956633869</v>
      </c>
      <c r="F1809" s="17" t="s">
        <v>918</v>
      </c>
      <c r="G1809" s="17">
        <f t="shared" si="76"/>
        <v>2247052843899</v>
      </c>
      <c r="H1809" s="17" t="s">
        <v>919</v>
      </c>
      <c r="I1809" s="17">
        <f t="shared" si="78"/>
        <v>2247052843899</v>
      </c>
    </row>
    <row r="1810" spans="1:9" x14ac:dyDescent="0.3">
      <c r="A1810" s="17" t="str">
        <f t="shared" si="77"/>
        <v>2000907</v>
      </c>
      <c r="B1810" s="17">
        <v>200</v>
      </c>
      <c r="C1810" s="17">
        <v>907</v>
      </c>
      <c r="D1810" s="17" t="s">
        <v>917</v>
      </c>
      <c r="E1810" s="17">
        <f t="shared" si="75"/>
        <v>475110016200208</v>
      </c>
      <c r="F1810" s="17" t="s">
        <v>918</v>
      </c>
      <c r="G1810" s="17">
        <f t="shared" si="76"/>
        <v>2269523372337</v>
      </c>
      <c r="H1810" s="17" t="s">
        <v>919</v>
      </c>
      <c r="I1810" s="17">
        <f t="shared" si="78"/>
        <v>2269523372337</v>
      </c>
    </row>
    <row r="1811" spans="1:9" x14ac:dyDescent="0.3">
      <c r="A1811" s="17" t="str">
        <f t="shared" si="77"/>
        <v>2000908</v>
      </c>
      <c r="B1811" s="17">
        <v>200</v>
      </c>
      <c r="C1811" s="17">
        <v>908</v>
      </c>
      <c r="D1811" s="17" t="s">
        <v>917</v>
      </c>
      <c r="E1811" s="17">
        <f t="shared" si="75"/>
        <v>479861116362210</v>
      </c>
      <c r="F1811" s="17" t="s">
        <v>918</v>
      </c>
      <c r="G1811" s="17">
        <f t="shared" si="76"/>
        <v>2292218606060</v>
      </c>
      <c r="H1811" s="17" t="s">
        <v>919</v>
      </c>
      <c r="I1811" s="17">
        <f t="shared" si="78"/>
        <v>2292218606060</v>
      </c>
    </row>
    <row r="1812" spans="1:9" x14ac:dyDescent="0.3">
      <c r="A1812" s="17" t="str">
        <f t="shared" si="77"/>
        <v>2000909</v>
      </c>
      <c r="B1812" s="17">
        <v>200</v>
      </c>
      <c r="C1812" s="17">
        <v>909</v>
      </c>
      <c r="D1812" s="17" t="s">
        <v>917</v>
      </c>
      <c r="E1812" s="17">
        <f t="shared" si="75"/>
        <v>484659727525832</v>
      </c>
      <c r="F1812" s="17" t="s">
        <v>918</v>
      </c>
      <c r="G1812" s="17">
        <f t="shared" si="76"/>
        <v>2315140792120</v>
      </c>
      <c r="H1812" s="17" t="s">
        <v>919</v>
      </c>
      <c r="I1812" s="17">
        <f t="shared" si="78"/>
        <v>2315140792120</v>
      </c>
    </row>
    <row r="1813" spans="1:9" x14ac:dyDescent="0.3">
      <c r="A1813" s="17" t="str">
        <f t="shared" si="77"/>
        <v>2000910</v>
      </c>
      <c r="B1813" s="17">
        <v>200</v>
      </c>
      <c r="C1813" s="17">
        <v>910</v>
      </c>
      <c r="D1813" s="17" t="s">
        <v>917</v>
      </c>
      <c r="E1813" s="17">
        <f t="shared" si="75"/>
        <v>489506324801090</v>
      </c>
      <c r="F1813" s="17" t="s">
        <v>918</v>
      </c>
      <c r="G1813" s="17">
        <f t="shared" si="76"/>
        <v>2338292200041</v>
      </c>
      <c r="H1813" s="17" t="s">
        <v>919</v>
      </c>
      <c r="I1813" s="17">
        <f t="shared" si="78"/>
        <v>2338292200041</v>
      </c>
    </row>
    <row r="1814" spans="1:9" x14ac:dyDescent="0.3">
      <c r="A1814" s="17" t="str">
        <f t="shared" si="77"/>
        <v>2000911</v>
      </c>
      <c r="B1814" s="17">
        <v>200</v>
      </c>
      <c r="C1814" s="17">
        <v>911</v>
      </c>
      <c r="D1814" s="17" t="s">
        <v>917</v>
      </c>
      <c r="E1814" s="17">
        <f t="shared" si="75"/>
        <v>494401388049101</v>
      </c>
      <c r="F1814" s="17" t="s">
        <v>918</v>
      </c>
      <c r="G1814" s="17">
        <f t="shared" si="76"/>
        <v>2361675122041</v>
      </c>
      <c r="H1814" s="17" t="s">
        <v>919</v>
      </c>
      <c r="I1814" s="17">
        <f t="shared" si="78"/>
        <v>2361675122041</v>
      </c>
    </row>
    <row r="1815" spans="1:9" x14ac:dyDescent="0.3">
      <c r="A1815" s="17" t="str">
        <f t="shared" si="77"/>
        <v>2000912</v>
      </c>
      <c r="B1815" s="17">
        <v>200</v>
      </c>
      <c r="C1815" s="17">
        <v>912</v>
      </c>
      <c r="D1815" s="17" t="s">
        <v>917</v>
      </c>
      <c r="E1815" s="17">
        <f t="shared" si="75"/>
        <v>499345401929592</v>
      </c>
      <c r="F1815" s="17" t="s">
        <v>918</v>
      </c>
      <c r="G1815" s="17">
        <f t="shared" si="76"/>
        <v>2385291873261</v>
      </c>
      <c r="H1815" s="17" t="s">
        <v>919</v>
      </c>
      <c r="I1815" s="17">
        <f t="shared" si="78"/>
        <v>2385291873261</v>
      </c>
    </row>
    <row r="1816" spans="1:9" x14ac:dyDescent="0.3">
      <c r="A1816" s="17" t="str">
        <f t="shared" si="77"/>
        <v>2000913</v>
      </c>
      <c r="B1816" s="17">
        <v>200</v>
      </c>
      <c r="C1816" s="17">
        <v>913</v>
      </c>
      <c r="D1816" s="17" t="s">
        <v>917</v>
      </c>
      <c r="E1816" s="17">
        <f t="shared" si="75"/>
        <v>504338855948888</v>
      </c>
      <c r="F1816" s="17" t="s">
        <v>918</v>
      </c>
      <c r="G1816" s="17">
        <f t="shared" si="76"/>
        <v>2409144791993</v>
      </c>
      <c r="H1816" s="17" t="s">
        <v>919</v>
      </c>
      <c r="I1816" s="17">
        <f t="shared" si="78"/>
        <v>2409144791993</v>
      </c>
    </row>
    <row r="1817" spans="1:9" x14ac:dyDescent="0.3">
      <c r="A1817" s="17" t="str">
        <f t="shared" si="77"/>
        <v>2000914</v>
      </c>
      <c r="B1817" s="17">
        <v>200</v>
      </c>
      <c r="C1817" s="17">
        <v>914</v>
      </c>
      <c r="D1817" s="17" t="s">
        <v>917</v>
      </c>
      <c r="E1817" s="17">
        <f t="shared" si="75"/>
        <v>509382244508377</v>
      </c>
      <c r="F1817" s="17" t="s">
        <v>918</v>
      </c>
      <c r="G1817" s="17">
        <f t="shared" si="76"/>
        <v>2433236239912</v>
      </c>
      <c r="H1817" s="17" t="s">
        <v>919</v>
      </c>
      <c r="I1817" s="17">
        <f t="shared" si="78"/>
        <v>2433236239912</v>
      </c>
    </row>
    <row r="1818" spans="1:9" x14ac:dyDescent="0.3">
      <c r="A1818" s="17" t="str">
        <f t="shared" si="77"/>
        <v>2000915</v>
      </c>
      <c r="B1818" s="17">
        <v>200</v>
      </c>
      <c r="C1818" s="17">
        <v>915</v>
      </c>
      <c r="D1818" s="17" t="s">
        <v>917</v>
      </c>
      <c r="E1818" s="17">
        <f t="shared" si="75"/>
        <v>514476066953461</v>
      </c>
      <c r="F1818" s="17" t="s">
        <v>918</v>
      </c>
      <c r="G1818" s="17">
        <f t="shared" si="76"/>
        <v>2457568602311</v>
      </c>
      <c r="H1818" s="17" t="s">
        <v>919</v>
      </c>
      <c r="I1818" s="17">
        <f t="shared" si="78"/>
        <v>2457568602311</v>
      </c>
    </row>
    <row r="1819" spans="1:9" x14ac:dyDescent="0.3">
      <c r="A1819" s="17" t="str">
        <f t="shared" si="77"/>
        <v>2000916</v>
      </c>
      <c r="B1819" s="17">
        <v>200</v>
      </c>
      <c r="C1819" s="17">
        <v>916</v>
      </c>
      <c r="D1819" s="17" t="s">
        <v>917</v>
      </c>
      <c r="E1819" s="17">
        <f t="shared" si="75"/>
        <v>519620827622996</v>
      </c>
      <c r="F1819" s="17" t="s">
        <v>918</v>
      </c>
      <c r="G1819" s="17">
        <f t="shared" si="76"/>
        <v>2482144288334</v>
      </c>
      <c r="H1819" s="17" t="s">
        <v>919</v>
      </c>
      <c r="I1819" s="17">
        <f t="shared" si="78"/>
        <v>2482144288334</v>
      </c>
    </row>
    <row r="1820" spans="1:9" x14ac:dyDescent="0.3">
      <c r="A1820" s="17" t="str">
        <f t="shared" si="77"/>
        <v>2000917</v>
      </c>
      <c r="B1820" s="17">
        <v>200</v>
      </c>
      <c r="C1820" s="17">
        <v>917</v>
      </c>
      <c r="D1820" s="17" t="s">
        <v>917</v>
      </c>
      <c r="E1820" s="17">
        <f t="shared" si="75"/>
        <v>524817035899226</v>
      </c>
      <c r="F1820" s="17" t="s">
        <v>918</v>
      </c>
      <c r="G1820" s="17">
        <f t="shared" si="76"/>
        <v>2506965731217</v>
      </c>
      <c r="H1820" s="17" t="s">
        <v>919</v>
      </c>
      <c r="I1820" s="17">
        <f t="shared" si="78"/>
        <v>2506965731217</v>
      </c>
    </row>
    <row r="1821" spans="1:9" x14ac:dyDescent="0.3">
      <c r="A1821" s="17" t="str">
        <f t="shared" si="77"/>
        <v>2000918</v>
      </c>
      <c r="B1821" s="17">
        <v>200</v>
      </c>
      <c r="C1821" s="17">
        <v>918</v>
      </c>
      <c r="D1821" s="17" t="s">
        <v>917</v>
      </c>
      <c r="E1821" s="17">
        <f t="shared" si="75"/>
        <v>530065206258218</v>
      </c>
      <c r="F1821" s="17" t="s">
        <v>918</v>
      </c>
      <c r="G1821" s="17">
        <f t="shared" si="76"/>
        <v>2532035388529</v>
      </c>
      <c r="H1821" s="17" t="s">
        <v>919</v>
      </c>
      <c r="I1821" s="17">
        <f t="shared" si="78"/>
        <v>2532035388529</v>
      </c>
    </row>
    <row r="1822" spans="1:9" x14ac:dyDescent="0.3">
      <c r="A1822" s="17" t="str">
        <f t="shared" si="77"/>
        <v>2000919</v>
      </c>
      <c r="B1822" s="17">
        <v>200</v>
      </c>
      <c r="C1822" s="17">
        <v>919</v>
      </c>
      <c r="D1822" s="17" t="s">
        <v>917</v>
      </c>
      <c r="E1822" s="17">
        <f t="shared" si="75"/>
        <v>535365858320800</v>
      </c>
      <c r="F1822" s="17" t="s">
        <v>918</v>
      </c>
      <c r="G1822" s="17">
        <f t="shared" si="76"/>
        <v>2557355742414</v>
      </c>
      <c r="H1822" s="17" t="s">
        <v>919</v>
      </c>
      <c r="I1822" s="17">
        <f t="shared" si="78"/>
        <v>2557355742414</v>
      </c>
    </row>
    <row r="1823" spans="1:9" x14ac:dyDescent="0.3">
      <c r="A1823" s="17" t="str">
        <f t="shared" si="77"/>
        <v>2000920</v>
      </c>
      <c r="B1823" s="17">
        <v>200</v>
      </c>
      <c r="C1823" s="17">
        <v>920</v>
      </c>
      <c r="D1823" s="17" t="s">
        <v>917</v>
      </c>
      <c r="E1823" s="17">
        <f t="shared" si="75"/>
        <v>540719516904008</v>
      </c>
      <c r="F1823" s="17" t="s">
        <v>918</v>
      </c>
      <c r="G1823" s="17">
        <f t="shared" si="76"/>
        <v>2582929299838</v>
      </c>
      <c r="H1823" s="17" t="s">
        <v>919</v>
      </c>
      <c r="I1823" s="17">
        <f t="shared" si="78"/>
        <v>2582929299838</v>
      </c>
    </row>
    <row r="1824" spans="1:9" x14ac:dyDescent="0.3">
      <c r="A1824" s="17" t="str">
        <f t="shared" si="77"/>
        <v>2000921</v>
      </c>
      <c r="B1824" s="17">
        <v>200</v>
      </c>
      <c r="C1824" s="17">
        <v>921</v>
      </c>
      <c r="D1824" s="17" t="s">
        <v>917</v>
      </c>
      <c r="E1824" s="17">
        <f t="shared" si="75"/>
        <v>546126712073048</v>
      </c>
      <c r="F1824" s="17" t="s">
        <v>918</v>
      </c>
      <c r="G1824" s="17">
        <f t="shared" si="76"/>
        <v>2608758592836</v>
      </c>
      <c r="H1824" s="17" t="s">
        <v>919</v>
      </c>
      <c r="I1824" s="17">
        <f t="shared" si="78"/>
        <v>2608758592836</v>
      </c>
    </row>
    <row r="1825" spans="1:9" x14ac:dyDescent="0.3">
      <c r="A1825" s="17" t="str">
        <f t="shared" si="77"/>
        <v>2000922</v>
      </c>
      <c r="B1825" s="17">
        <v>200</v>
      </c>
      <c r="C1825" s="17">
        <v>922</v>
      </c>
      <c r="D1825" s="17" t="s">
        <v>917</v>
      </c>
      <c r="E1825" s="17">
        <f t="shared" si="75"/>
        <v>551587979193779</v>
      </c>
      <c r="F1825" s="17" t="s">
        <v>918</v>
      </c>
      <c r="G1825" s="17">
        <f t="shared" si="76"/>
        <v>2634846178764</v>
      </c>
      <c r="H1825" s="17" t="s">
        <v>919</v>
      </c>
      <c r="I1825" s="17">
        <f t="shared" si="78"/>
        <v>2634846178764</v>
      </c>
    </row>
    <row r="1826" spans="1:9" x14ac:dyDescent="0.3">
      <c r="A1826" s="17" t="str">
        <f t="shared" si="77"/>
        <v>2000923</v>
      </c>
      <c r="B1826" s="17">
        <v>200</v>
      </c>
      <c r="C1826" s="17">
        <v>923</v>
      </c>
      <c r="D1826" s="17" t="s">
        <v>917</v>
      </c>
      <c r="E1826" s="17">
        <f t="shared" si="75"/>
        <v>557103858985717</v>
      </c>
      <c r="F1826" s="17" t="s">
        <v>918</v>
      </c>
      <c r="G1826" s="17">
        <f t="shared" si="76"/>
        <v>2661194640551</v>
      </c>
      <c r="H1826" s="17" t="s">
        <v>919</v>
      </c>
      <c r="I1826" s="17">
        <f t="shared" si="78"/>
        <v>2661194640551</v>
      </c>
    </row>
    <row r="1827" spans="1:9" x14ac:dyDescent="0.3">
      <c r="A1827" s="17" t="str">
        <f t="shared" si="77"/>
        <v>2000924</v>
      </c>
      <c r="B1827" s="17">
        <v>200</v>
      </c>
      <c r="C1827" s="17">
        <v>924</v>
      </c>
      <c r="D1827" s="17" t="s">
        <v>917</v>
      </c>
      <c r="E1827" s="17">
        <f t="shared" si="75"/>
        <v>562674897575574</v>
      </c>
      <c r="F1827" s="17" t="s">
        <v>918</v>
      </c>
      <c r="G1827" s="17">
        <f t="shared" si="76"/>
        <v>2687806586956</v>
      </c>
      <c r="H1827" s="17" t="s">
        <v>919</v>
      </c>
      <c r="I1827" s="17">
        <f t="shared" si="78"/>
        <v>2687806586956</v>
      </c>
    </row>
    <row r="1828" spans="1:9" x14ac:dyDescent="0.3">
      <c r="A1828" s="17" t="str">
        <f t="shared" si="77"/>
        <v>2000925</v>
      </c>
      <c r="B1828" s="17">
        <v>200</v>
      </c>
      <c r="C1828" s="17">
        <v>925</v>
      </c>
      <c r="D1828" s="17" t="s">
        <v>917</v>
      </c>
      <c r="E1828" s="17">
        <f t="shared" si="75"/>
        <v>568301646551330</v>
      </c>
      <c r="F1828" s="17" t="s">
        <v>918</v>
      </c>
      <c r="G1828" s="17">
        <f t="shared" si="76"/>
        <v>2714684652825</v>
      </c>
      <c r="H1828" s="17" t="s">
        <v>919</v>
      </c>
      <c r="I1828" s="17">
        <f t="shared" si="78"/>
        <v>2714684652825</v>
      </c>
    </row>
    <row r="1829" spans="1:9" x14ac:dyDescent="0.3">
      <c r="A1829" s="17" t="str">
        <f t="shared" si="77"/>
        <v>2000926</v>
      </c>
      <c r="B1829" s="17">
        <v>200</v>
      </c>
      <c r="C1829" s="17">
        <v>926</v>
      </c>
      <c r="D1829" s="17" t="s">
        <v>917</v>
      </c>
      <c r="E1829" s="17">
        <f t="shared" si="75"/>
        <v>573984663016843</v>
      </c>
      <c r="F1829" s="17" t="s">
        <v>918</v>
      </c>
      <c r="G1829" s="17">
        <f t="shared" si="76"/>
        <v>2741831499353</v>
      </c>
      <c r="H1829" s="17" t="s">
        <v>919</v>
      </c>
      <c r="I1829" s="17">
        <f t="shared" si="78"/>
        <v>2741831499353</v>
      </c>
    </row>
    <row r="1830" spans="1:9" x14ac:dyDescent="0.3">
      <c r="A1830" s="17" t="str">
        <f t="shared" si="77"/>
        <v>2000927</v>
      </c>
      <c r="B1830" s="17">
        <v>200</v>
      </c>
      <c r="C1830" s="17">
        <v>927</v>
      </c>
      <c r="D1830" s="17" t="s">
        <v>917</v>
      </c>
      <c r="E1830" s="17">
        <f t="shared" si="75"/>
        <v>579724509647011</v>
      </c>
      <c r="F1830" s="17" t="s">
        <v>918</v>
      </c>
      <c r="G1830" s="17">
        <f t="shared" si="76"/>
        <v>2769249814346</v>
      </c>
      <c r="H1830" s="17" t="s">
        <v>919</v>
      </c>
      <c r="I1830" s="17">
        <f t="shared" si="78"/>
        <v>2769249814346</v>
      </c>
    </row>
    <row r="1831" spans="1:9" x14ac:dyDescent="0.3">
      <c r="A1831" s="17" t="str">
        <f t="shared" si="77"/>
        <v>2000928</v>
      </c>
      <c r="B1831" s="17">
        <v>200</v>
      </c>
      <c r="C1831" s="17">
        <v>928</v>
      </c>
      <c r="D1831" s="17" t="s">
        <v>917</v>
      </c>
      <c r="E1831" s="17">
        <f t="shared" si="75"/>
        <v>585521754743481</v>
      </c>
      <c r="F1831" s="17" t="s">
        <v>918</v>
      </c>
      <c r="G1831" s="17">
        <f t="shared" si="76"/>
        <v>2796942312489</v>
      </c>
      <c r="H1831" s="17" t="s">
        <v>919</v>
      </c>
      <c r="I1831" s="17">
        <f t="shared" si="78"/>
        <v>2796942312489</v>
      </c>
    </row>
    <row r="1832" spans="1:9" x14ac:dyDescent="0.3">
      <c r="A1832" s="17" t="str">
        <f t="shared" si="77"/>
        <v>2000929</v>
      </c>
      <c r="B1832" s="17">
        <v>200</v>
      </c>
      <c r="C1832" s="17">
        <v>929</v>
      </c>
      <c r="D1832" s="17" t="s">
        <v>917</v>
      </c>
      <c r="E1832" s="17">
        <f t="shared" si="75"/>
        <v>591376972290916</v>
      </c>
      <c r="F1832" s="17" t="s">
        <v>918</v>
      </c>
      <c r="G1832" s="17">
        <f t="shared" si="76"/>
        <v>2824911735613</v>
      </c>
      <c r="H1832" s="17" t="s">
        <v>919</v>
      </c>
      <c r="I1832" s="17">
        <f t="shared" si="78"/>
        <v>2824911735613</v>
      </c>
    </row>
    <row r="1833" spans="1:9" x14ac:dyDescent="0.3">
      <c r="A1833" s="17" t="str">
        <f t="shared" si="77"/>
        <v>2000930</v>
      </c>
      <c r="B1833" s="17">
        <v>200</v>
      </c>
      <c r="C1833" s="17">
        <v>930</v>
      </c>
      <c r="D1833" s="17" t="s">
        <v>917</v>
      </c>
      <c r="E1833" s="17">
        <f t="shared" si="75"/>
        <v>597290742013825</v>
      </c>
      <c r="F1833" s="17" t="s">
        <v>918</v>
      </c>
      <c r="G1833" s="17">
        <f t="shared" si="76"/>
        <v>2853160852969</v>
      </c>
      <c r="H1833" s="17" t="s">
        <v>919</v>
      </c>
      <c r="I1833" s="17">
        <f t="shared" si="78"/>
        <v>2853160852969</v>
      </c>
    </row>
    <row r="1834" spans="1:9" x14ac:dyDescent="0.3">
      <c r="A1834" s="17" t="str">
        <f t="shared" si="77"/>
        <v>2000931</v>
      </c>
      <c r="B1834" s="17">
        <v>200</v>
      </c>
      <c r="C1834" s="17">
        <v>931</v>
      </c>
      <c r="D1834" s="17" t="s">
        <v>917</v>
      </c>
      <c r="E1834" s="17">
        <f t="shared" si="75"/>
        <v>603263649433963</v>
      </c>
      <c r="F1834" s="17" t="s">
        <v>918</v>
      </c>
      <c r="G1834" s="17">
        <f t="shared" si="76"/>
        <v>2881692461498</v>
      </c>
      <c r="H1834" s="17" t="s">
        <v>919</v>
      </c>
      <c r="I1834" s="17">
        <f t="shared" si="78"/>
        <v>2881692461498</v>
      </c>
    </row>
    <row r="1835" spans="1:9" x14ac:dyDescent="0.3">
      <c r="A1835" s="17" t="str">
        <f t="shared" si="77"/>
        <v>2000932</v>
      </c>
      <c r="B1835" s="17">
        <v>200</v>
      </c>
      <c r="C1835" s="17">
        <v>932</v>
      </c>
      <c r="D1835" s="17" t="s">
        <v>917</v>
      </c>
      <c r="E1835" s="17">
        <f t="shared" si="75"/>
        <v>609296285928303</v>
      </c>
      <c r="F1835" s="17" t="s">
        <v>918</v>
      </c>
      <c r="G1835" s="17">
        <f t="shared" si="76"/>
        <v>2910509386112</v>
      </c>
      <c r="H1835" s="17" t="s">
        <v>919</v>
      </c>
      <c r="I1835" s="17">
        <f t="shared" si="78"/>
        <v>2910509386112</v>
      </c>
    </row>
    <row r="1836" spans="1:9" x14ac:dyDescent="0.3">
      <c r="A1836" s="17" t="str">
        <f t="shared" si="77"/>
        <v>2000933</v>
      </c>
      <c r="B1836" s="17">
        <v>200</v>
      </c>
      <c r="C1836" s="17">
        <v>933</v>
      </c>
      <c r="D1836" s="17" t="s">
        <v>917</v>
      </c>
      <c r="E1836" s="17">
        <f t="shared" si="75"/>
        <v>615389248787586</v>
      </c>
      <c r="F1836" s="17" t="s">
        <v>918</v>
      </c>
      <c r="G1836" s="17">
        <f t="shared" si="76"/>
        <v>2939614479973</v>
      </c>
      <c r="H1836" s="17" t="s">
        <v>919</v>
      </c>
      <c r="I1836" s="17">
        <f t="shared" si="78"/>
        <v>2939614479973</v>
      </c>
    </row>
    <row r="1837" spans="1:9" x14ac:dyDescent="0.3">
      <c r="A1837" s="17" t="str">
        <f t="shared" si="77"/>
        <v>2000934</v>
      </c>
      <c r="B1837" s="17">
        <v>200</v>
      </c>
      <c r="C1837" s="17">
        <v>934</v>
      </c>
      <c r="D1837" s="17" t="s">
        <v>917</v>
      </c>
      <c r="E1837" s="17">
        <f t="shared" si="75"/>
        <v>621543141275462</v>
      </c>
      <c r="F1837" s="17" t="s">
        <v>918</v>
      </c>
      <c r="G1837" s="17">
        <f t="shared" si="76"/>
        <v>2969010624772</v>
      </c>
      <c r="H1837" s="17" t="s">
        <v>919</v>
      </c>
      <c r="I1837" s="17">
        <f t="shared" si="78"/>
        <v>2969010624772</v>
      </c>
    </row>
    <row r="1838" spans="1:9" x14ac:dyDescent="0.3">
      <c r="A1838" s="17" t="str">
        <f t="shared" si="77"/>
        <v>2000935</v>
      </c>
      <c r="B1838" s="17">
        <v>200</v>
      </c>
      <c r="C1838" s="17">
        <v>935</v>
      </c>
      <c r="D1838" s="17" t="s">
        <v>917</v>
      </c>
      <c r="E1838" s="17">
        <f t="shared" si="75"/>
        <v>627758572688217</v>
      </c>
      <c r="F1838" s="17" t="s">
        <v>918</v>
      </c>
      <c r="G1838" s="17">
        <f t="shared" si="76"/>
        <v>2998700731019</v>
      </c>
      <c r="H1838" s="17" t="s">
        <v>919</v>
      </c>
      <c r="I1838" s="17">
        <f t="shared" si="78"/>
        <v>2998700731019</v>
      </c>
    </row>
    <row r="1839" spans="1:9" x14ac:dyDescent="0.3">
      <c r="A1839" s="17" t="str">
        <f t="shared" si="77"/>
        <v>2000936</v>
      </c>
      <c r="B1839" s="17">
        <v>200</v>
      </c>
      <c r="C1839" s="17">
        <v>936</v>
      </c>
      <c r="D1839" s="17" t="s">
        <v>917</v>
      </c>
      <c r="E1839" s="17">
        <f t="shared" si="75"/>
        <v>634036158415099</v>
      </c>
      <c r="F1839" s="17" t="s">
        <v>918</v>
      </c>
      <c r="G1839" s="17">
        <f t="shared" si="76"/>
        <v>3028687738329</v>
      </c>
      <c r="H1839" s="17" t="s">
        <v>919</v>
      </c>
      <c r="I1839" s="17">
        <f t="shared" si="78"/>
        <v>3028687738329</v>
      </c>
    </row>
    <row r="1840" spans="1:9" x14ac:dyDescent="0.3">
      <c r="A1840" s="17" t="str">
        <f t="shared" si="77"/>
        <v>2000937</v>
      </c>
      <c r="B1840" s="17">
        <v>200</v>
      </c>
      <c r="C1840" s="17">
        <v>937</v>
      </c>
      <c r="D1840" s="17" t="s">
        <v>917</v>
      </c>
      <c r="E1840" s="17">
        <f t="shared" si="75"/>
        <v>640376519999250</v>
      </c>
      <c r="F1840" s="17" t="s">
        <v>918</v>
      </c>
      <c r="G1840" s="17">
        <f t="shared" si="76"/>
        <v>3058974615712</v>
      </c>
      <c r="H1840" s="17" t="s">
        <v>919</v>
      </c>
      <c r="I1840" s="17">
        <f t="shared" si="78"/>
        <v>3058974615712</v>
      </c>
    </row>
    <row r="1841" spans="1:9" x14ac:dyDescent="0.3">
      <c r="A1841" s="17" t="str">
        <f t="shared" si="77"/>
        <v>2000938</v>
      </c>
      <c r="B1841" s="17">
        <v>200</v>
      </c>
      <c r="C1841" s="17">
        <v>938</v>
      </c>
      <c r="D1841" s="17" t="s">
        <v>917</v>
      </c>
      <c r="E1841" s="17">
        <f t="shared" si="75"/>
        <v>646780285199243</v>
      </c>
      <c r="F1841" s="17" t="s">
        <v>918</v>
      </c>
      <c r="G1841" s="17">
        <f t="shared" si="76"/>
        <v>3089564361869</v>
      </c>
      <c r="H1841" s="17" t="s">
        <v>919</v>
      </c>
      <c r="I1841" s="17">
        <f t="shared" si="78"/>
        <v>3089564361869</v>
      </c>
    </row>
    <row r="1842" spans="1:9" x14ac:dyDescent="0.3">
      <c r="A1842" s="17" t="str">
        <f t="shared" si="77"/>
        <v>2000939</v>
      </c>
      <c r="B1842" s="17">
        <v>200</v>
      </c>
      <c r="C1842" s="17">
        <v>939</v>
      </c>
      <c r="D1842" s="17" t="s">
        <v>917</v>
      </c>
      <c r="E1842" s="17">
        <f t="shared" si="75"/>
        <v>653248088051235</v>
      </c>
      <c r="F1842" s="17" t="s">
        <v>918</v>
      </c>
      <c r="G1842" s="17">
        <f t="shared" si="76"/>
        <v>3120460005487</v>
      </c>
      <c r="H1842" s="17" t="s">
        <v>919</v>
      </c>
      <c r="I1842" s="17">
        <f t="shared" si="78"/>
        <v>3120460005487</v>
      </c>
    </row>
    <row r="1843" spans="1:9" x14ac:dyDescent="0.3">
      <c r="A1843" s="17" t="str">
        <f t="shared" si="77"/>
        <v>2000940</v>
      </c>
      <c r="B1843" s="17">
        <v>200</v>
      </c>
      <c r="C1843" s="17">
        <v>940</v>
      </c>
      <c r="D1843" s="17" t="s">
        <v>917</v>
      </c>
      <c r="E1843" s="17">
        <f t="shared" si="75"/>
        <v>659780568931747</v>
      </c>
      <c r="F1843" s="17" t="s">
        <v>918</v>
      </c>
      <c r="G1843" s="17">
        <f t="shared" si="76"/>
        <v>3151664605541</v>
      </c>
      <c r="H1843" s="17" t="s">
        <v>919</v>
      </c>
      <c r="I1843" s="17">
        <f t="shared" si="78"/>
        <v>3151664605541</v>
      </c>
    </row>
    <row r="1844" spans="1:9" x14ac:dyDescent="0.3">
      <c r="A1844" s="17" t="str">
        <f t="shared" si="77"/>
        <v>2000941</v>
      </c>
      <c r="B1844" s="17">
        <v>200</v>
      </c>
      <c r="C1844" s="17">
        <v>941</v>
      </c>
      <c r="D1844" s="17" t="s">
        <v>917</v>
      </c>
      <c r="E1844" s="17">
        <f t="shared" ref="E1844:E1903" si="79">INT(E1843*1.01)</f>
        <v>666378374621065</v>
      </c>
      <c r="F1844" s="17" t="s">
        <v>918</v>
      </c>
      <c r="G1844" s="17">
        <f t="shared" ref="G1844:G1903" si="80">INT(G1843*1.01)</f>
        <v>3183181251596</v>
      </c>
      <c r="H1844" s="17" t="s">
        <v>919</v>
      </c>
      <c r="I1844" s="17">
        <f t="shared" si="78"/>
        <v>3183181251596</v>
      </c>
    </row>
    <row r="1845" spans="1:9" x14ac:dyDescent="0.3">
      <c r="A1845" s="17" t="str">
        <f t="shared" si="77"/>
        <v>2000942</v>
      </c>
      <c r="B1845" s="17">
        <v>200</v>
      </c>
      <c r="C1845" s="17">
        <v>942</v>
      </c>
      <c r="D1845" s="17" t="s">
        <v>917</v>
      </c>
      <c r="E1845" s="17">
        <f t="shared" si="79"/>
        <v>673042158367276</v>
      </c>
      <c r="F1845" s="17" t="s">
        <v>918</v>
      </c>
      <c r="G1845" s="17">
        <f t="shared" si="80"/>
        <v>3215013064111</v>
      </c>
      <c r="H1845" s="17" t="s">
        <v>919</v>
      </c>
      <c r="I1845" s="17">
        <f t="shared" si="78"/>
        <v>3215013064111</v>
      </c>
    </row>
    <row r="1846" spans="1:9" x14ac:dyDescent="0.3">
      <c r="A1846" s="17" t="str">
        <f t="shared" si="77"/>
        <v>2000943</v>
      </c>
      <c r="B1846" s="17">
        <v>200</v>
      </c>
      <c r="C1846" s="17">
        <v>943</v>
      </c>
      <c r="D1846" s="17" t="s">
        <v>917</v>
      </c>
      <c r="E1846" s="17">
        <f t="shared" si="79"/>
        <v>679772579950949</v>
      </c>
      <c r="F1846" s="17" t="s">
        <v>918</v>
      </c>
      <c r="G1846" s="17">
        <f t="shared" si="80"/>
        <v>3247163194752</v>
      </c>
      <c r="H1846" s="17" t="s">
        <v>919</v>
      </c>
      <c r="I1846" s="17">
        <f t="shared" si="78"/>
        <v>3247163194752</v>
      </c>
    </row>
    <row r="1847" spans="1:9" x14ac:dyDescent="0.3">
      <c r="A1847" s="17" t="str">
        <f t="shared" si="77"/>
        <v>2000944</v>
      </c>
      <c r="B1847" s="17">
        <v>200</v>
      </c>
      <c r="C1847" s="17">
        <v>944</v>
      </c>
      <c r="D1847" s="17" t="s">
        <v>917</v>
      </c>
      <c r="E1847" s="17">
        <f t="shared" si="79"/>
        <v>686570305750459</v>
      </c>
      <c r="F1847" s="17" t="s">
        <v>918</v>
      </c>
      <c r="G1847" s="17">
        <f t="shared" si="80"/>
        <v>3279634826699</v>
      </c>
      <c r="H1847" s="17" t="s">
        <v>919</v>
      </c>
      <c r="I1847" s="17">
        <f t="shared" si="78"/>
        <v>3279634826699</v>
      </c>
    </row>
    <row r="1848" spans="1:9" x14ac:dyDescent="0.3">
      <c r="A1848" s="17" t="str">
        <f t="shared" si="77"/>
        <v>2000945</v>
      </c>
      <c r="B1848" s="17">
        <v>200</v>
      </c>
      <c r="C1848" s="17">
        <v>945</v>
      </c>
      <c r="D1848" s="17" t="s">
        <v>917</v>
      </c>
      <c r="E1848" s="17">
        <f t="shared" si="79"/>
        <v>693436008807964</v>
      </c>
      <c r="F1848" s="17" t="s">
        <v>918</v>
      </c>
      <c r="G1848" s="17">
        <f t="shared" si="80"/>
        <v>3312431174965</v>
      </c>
      <c r="H1848" s="17" t="s">
        <v>919</v>
      </c>
      <c r="I1848" s="17">
        <f t="shared" si="78"/>
        <v>3312431174965</v>
      </c>
    </row>
    <row r="1849" spans="1:9" x14ac:dyDescent="0.3">
      <c r="A1849" s="17" t="str">
        <f t="shared" si="77"/>
        <v>2000946</v>
      </c>
      <c r="B1849" s="17">
        <v>200</v>
      </c>
      <c r="C1849" s="17">
        <v>946</v>
      </c>
      <c r="D1849" s="17" t="s">
        <v>917</v>
      </c>
      <c r="E1849" s="17">
        <f t="shared" si="79"/>
        <v>700370368896044</v>
      </c>
      <c r="F1849" s="17" t="s">
        <v>918</v>
      </c>
      <c r="G1849" s="17">
        <f t="shared" si="80"/>
        <v>3345555486714</v>
      </c>
      <c r="H1849" s="17" t="s">
        <v>919</v>
      </c>
      <c r="I1849" s="17">
        <f t="shared" si="78"/>
        <v>3345555486714</v>
      </c>
    </row>
    <row r="1850" spans="1:9" x14ac:dyDescent="0.3">
      <c r="A1850" s="17" t="str">
        <f t="shared" si="77"/>
        <v>2000947</v>
      </c>
      <c r="B1850" s="17">
        <v>200</v>
      </c>
      <c r="C1850" s="17">
        <v>947</v>
      </c>
      <c r="D1850" s="17" t="s">
        <v>917</v>
      </c>
      <c r="E1850" s="17">
        <f t="shared" si="79"/>
        <v>707374072585005</v>
      </c>
      <c r="F1850" s="17" t="s">
        <v>918</v>
      </c>
      <c r="G1850" s="17">
        <f t="shared" si="80"/>
        <v>3379011041581</v>
      </c>
      <c r="H1850" s="17" t="s">
        <v>919</v>
      </c>
      <c r="I1850" s="17">
        <f t="shared" si="78"/>
        <v>3379011041581</v>
      </c>
    </row>
    <row r="1851" spans="1:9" x14ac:dyDescent="0.3">
      <c r="A1851" s="17" t="str">
        <f t="shared" si="77"/>
        <v>2000948</v>
      </c>
      <c r="B1851" s="17">
        <v>200</v>
      </c>
      <c r="C1851" s="17">
        <v>948</v>
      </c>
      <c r="D1851" s="17" t="s">
        <v>917</v>
      </c>
      <c r="E1851" s="17">
        <f t="shared" si="79"/>
        <v>714447813310855</v>
      </c>
      <c r="F1851" s="17" t="s">
        <v>918</v>
      </c>
      <c r="G1851" s="17">
        <f t="shared" si="80"/>
        <v>3412801151996</v>
      </c>
      <c r="H1851" s="17" t="s">
        <v>919</v>
      </c>
      <c r="I1851" s="17">
        <f t="shared" si="78"/>
        <v>3412801151996</v>
      </c>
    </row>
    <row r="1852" spans="1:9" x14ac:dyDescent="0.3">
      <c r="A1852" s="17" t="str">
        <f t="shared" si="77"/>
        <v>2000949</v>
      </c>
      <c r="B1852" s="17">
        <v>200</v>
      </c>
      <c r="C1852" s="17">
        <v>949</v>
      </c>
      <c r="D1852" s="17" t="s">
        <v>917</v>
      </c>
      <c r="E1852" s="17">
        <f t="shared" si="79"/>
        <v>721592291443964</v>
      </c>
      <c r="F1852" s="17" t="s">
        <v>918</v>
      </c>
      <c r="G1852" s="17">
        <f t="shared" si="80"/>
        <v>3446929163515</v>
      </c>
      <c r="H1852" s="17" t="s">
        <v>919</v>
      </c>
      <c r="I1852" s="17">
        <f t="shared" si="78"/>
        <v>3446929163515</v>
      </c>
    </row>
    <row r="1853" spans="1:9" x14ac:dyDescent="0.3">
      <c r="A1853" s="17" t="str">
        <f t="shared" si="77"/>
        <v>2000950</v>
      </c>
      <c r="B1853" s="17">
        <v>200</v>
      </c>
      <c r="C1853" s="17">
        <v>950</v>
      </c>
      <c r="D1853" s="17" t="s">
        <v>917</v>
      </c>
      <c r="E1853" s="17">
        <f t="shared" si="79"/>
        <v>728808214358404</v>
      </c>
      <c r="F1853" s="17" t="s">
        <v>918</v>
      </c>
      <c r="G1853" s="17">
        <f t="shared" si="80"/>
        <v>3481398455150</v>
      </c>
      <c r="H1853" s="17" t="s">
        <v>919</v>
      </c>
      <c r="I1853" s="17">
        <f t="shared" si="78"/>
        <v>3481398455150</v>
      </c>
    </row>
    <row r="1854" spans="1:9" x14ac:dyDescent="0.3">
      <c r="A1854" s="17" t="str">
        <f t="shared" si="77"/>
        <v>2000951</v>
      </c>
      <c r="B1854" s="17">
        <v>200</v>
      </c>
      <c r="C1854" s="17">
        <v>951</v>
      </c>
      <c r="D1854" s="17" t="s">
        <v>917</v>
      </c>
      <c r="E1854" s="17">
        <f t="shared" si="79"/>
        <v>736096296501988</v>
      </c>
      <c r="F1854" s="17" t="s">
        <v>918</v>
      </c>
      <c r="G1854" s="17">
        <f t="shared" si="80"/>
        <v>3516212439701</v>
      </c>
      <c r="H1854" s="17" t="s">
        <v>919</v>
      </c>
      <c r="I1854" s="17">
        <f t="shared" si="78"/>
        <v>3516212439701</v>
      </c>
    </row>
    <row r="1855" spans="1:9" x14ac:dyDescent="0.3">
      <c r="A1855" s="17" t="str">
        <f t="shared" si="77"/>
        <v>2000952</v>
      </c>
      <c r="B1855" s="17">
        <v>200</v>
      </c>
      <c r="C1855" s="17">
        <v>952</v>
      </c>
      <c r="D1855" s="17" t="s">
        <v>917</v>
      </c>
      <c r="E1855" s="17">
        <f t="shared" si="79"/>
        <v>743457259467008</v>
      </c>
      <c r="F1855" s="17" t="s">
        <v>918</v>
      </c>
      <c r="G1855" s="17">
        <f t="shared" si="80"/>
        <v>3551374564098</v>
      </c>
      <c r="H1855" s="17" t="s">
        <v>919</v>
      </c>
      <c r="I1855" s="17">
        <f t="shared" si="78"/>
        <v>3551374564098</v>
      </c>
    </row>
    <row r="1856" spans="1:9" x14ac:dyDescent="0.3">
      <c r="A1856" s="17" t="str">
        <f t="shared" si="77"/>
        <v>2000953</v>
      </c>
      <c r="B1856" s="17">
        <v>200</v>
      </c>
      <c r="C1856" s="17">
        <v>953</v>
      </c>
      <c r="D1856" s="17" t="s">
        <v>917</v>
      </c>
      <c r="E1856" s="17">
        <f t="shared" si="79"/>
        <v>750891832061678</v>
      </c>
      <c r="F1856" s="17" t="s">
        <v>918</v>
      </c>
      <c r="G1856" s="17">
        <f t="shared" si="80"/>
        <v>3586888309738</v>
      </c>
      <c r="H1856" s="17" t="s">
        <v>919</v>
      </c>
      <c r="I1856" s="17">
        <f t="shared" si="78"/>
        <v>3586888309738</v>
      </c>
    </row>
    <row r="1857" spans="1:9" x14ac:dyDescent="0.3">
      <c r="A1857" s="17" t="str">
        <f t="shared" si="77"/>
        <v>2000954</v>
      </c>
      <c r="B1857" s="17">
        <v>200</v>
      </c>
      <c r="C1857" s="17">
        <v>954</v>
      </c>
      <c r="D1857" s="17" t="s">
        <v>917</v>
      </c>
      <c r="E1857" s="17">
        <f t="shared" si="79"/>
        <v>758400750382295</v>
      </c>
      <c r="F1857" s="17" t="s">
        <v>918</v>
      </c>
      <c r="G1857" s="17">
        <f t="shared" si="80"/>
        <v>3622757192835</v>
      </c>
      <c r="H1857" s="17" t="s">
        <v>919</v>
      </c>
      <c r="I1857" s="17">
        <f t="shared" si="78"/>
        <v>3622757192835</v>
      </c>
    </row>
    <row r="1858" spans="1:9" x14ac:dyDescent="0.3">
      <c r="A1858" s="17" t="str">
        <f t="shared" si="77"/>
        <v>2000955</v>
      </c>
      <c r="B1858" s="17">
        <v>200</v>
      </c>
      <c r="C1858" s="17">
        <v>955</v>
      </c>
      <c r="D1858" s="17" t="s">
        <v>917</v>
      </c>
      <c r="E1858" s="17">
        <f t="shared" si="79"/>
        <v>765984757886118</v>
      </c>
      <c r="F1858" s="17" t="s">
        <v>918</v>
      </c>
      <c r="G1858" s="17">
        <f t="shared" si="80"/>
        <v>3658984764763</v>
      </c>
      <c r="H1858" s="17" t="s">
        <v>919</v>
      </c>
      <c r="I1858" s="17">
        <f t="shared" si="78"/>
        <v>3658984764763</v>
      </c>
    </row>
    <row r="1859" spans="1:9" x14ac:dyDescent="0.3">
      <c r="A1859" s="17" t="str">
        <f t="shared" si="77"/>
        <v>2000956</v>
      </c>
      <c r="B1859" s="17">
        <v>200</v>
      </c>
      <c r="C1859" s="17">
        <v>956</v>
      </c>
      <c r="D1859" s="17" t="s">
        <v>917</v>
      </c>
      <c r="E1859" s="17">
        <f t="shared" si="79"/>
        <v>773644605464979</v>
      </c>
      <c r="F1859" s="17" t="s">
        <v>918</v>
      </c>
      <c r="G1859" s="17">
        <f t="shared" si="80"/>
        <v>3695574612410</v>
      </c>
      <c r="H1859" s="17" t="s">
        <v>919</v>
      </c>
      <c r="I1859" s="17">
        <f t="shared" si="78"/>
        <v>3695574612410</v>
      </c>
    </row>
    <row r="1860" spans="1:9" x14ac:dyDescent="0.3">
      <c r="A1860" s="17" t="str">
        <f t="shared" ref="A1860:A1923" si="81">B1860&amp;TEXT(C1860,"0000")</f>
        <v>2000957</v>
      </c>
      <c r="B1860" s="17">
        <v>200</v>
      </c>
      <c r="C1860" s="17">
        <v>957</v>
      </c>
      <c r="D1860" s="17" t="s">
        <v>917</v>
      </c>
      <c r="E1860" s="17">
        <f t="shared" si="79"/>
        <v>781381051519629</v>
      </c>
      <c r="F1860" s="17" t="s">
        <v>918</v>
      </c>
      <c r="G1860" s="17">
        <f t="shared" si="80"/>
        <v>3732530358534</v>
      </c>
      <c r="H1860" s="17" t="s">
        <v>919</v>
      </c>
      <c r="I1860" s="17">
        <f t="shared" si="78"/>
        <v>3732530358534</v>
      </c>
    </row>
    <row r="1861" spans="1:9" x14ac:dyDescent="0.3">
      <c r="A1861" s="17" t="str">
        <f t="shared" si="81"/>
        <v>2000958</v>
      </c>
      <c r="B1861" s="17">
        <v>200</v>
      </c>
      <c r="C1861" s="17">
        <v>958</v>
      </c>
      <c r="D1861" s="17" t="s">
        <v>917</v>
      </c>
      <c r="E1861" s="17">
        <f t="shared" si="79"/>
        <v>789194862034825</v>
      </c>
      <c r="F1861" s="17" t="s">
        <v>918</v>
      </c>
      <c r="G1861" s="17">
        <f t="shared" si="80"/>
        <v>3769855662119</v>
      </c>
      <c r="H1861" s="17" t="s">
        <v>919</v>
      </c>
      <c r="I1861" s="17">
        <f t="shared" si="78"/>
        <v>3769855662119</v>
      </c>
    </row>
    <row r="1862" spans="1:9" x14ac:dyDescent="0.3">
      <c r="A1862" s="17" t="str">
        <f t="shared" si="81"/>
        <v>2000959</v>
      </c>
      <c r="B1862" s="17">
        <v>200</v>
      </c>
      <c r="C1862" s="17">
        <v>959</v>
      </c>
      <c r="D1862" s="17" t="s">
        <v>917</v>
      </c>
      <c r="E1862" s="17">
        <f t="shared" si="79"/>
        <v>797086810655173</v>
      </c>
      <c r="F1862" s="17" t="s">
        <v>918</v>
      </c>
      <c r="G1862" s="17">
        <f t="shared" si="80"/>
        <v>3807554218740</v>
      </c>
      <c r="H1862" s="17" t="s">
        <v>919</v>
      </c>
      <c r="I1862" s="17">
        <f t="shared" si="78"/>
        <v>3807554218740</v>
      </c>
    </row>
    <row r="1863" spans="1:9" x14ac:dyDescent="0.3">
      <c r="A1863" s="17" t="str">
        <f t="shared" si="81"/>
        <v>2000960</v>
      </c>
      <c r="B1863" s="17">
        <v>200</v>
      </c>
      <c r="C1863" s="17">
        <v>960</v>
      </c>
      <c r="D1863" s="17" t="s">
        <v>917</v>
      </c>
      <c r="E1863" s="17">
        <f t="shared" si="79"/>
        <v>805057678761725</v>
      </c>
      <c r="F1863" s="17" t="s">
        <v>918</v>
      </c>
      <c r="G1863" s="17">
        <f t="shared" si="80"/>
        <v>3845629760927</v>
      </c>
      <c r="H1863" s="17" t="s">
        <v>919</v>
      </c>
      <c r="I1863" s="17">
        <f t="shared" si="78"/>
        <v>3845629760927</v>
      </c>
    </row>
    <row r="1864" spans="1:9" x14ac:dyDescent="0.3">
      <c r="A1864" s="17" t="str">
        <f t="shared" si="81"/>
        <v>2000961</v>
      </c>
      <c r="B1864" s="17">
        <v>200</v>
      </c>
      <c r="C1864" s="17">
        <v>961</v>
      </c>
      <c r="D1864" s="17" t="s">
        <v>917</v>
      </c>
      <c r="E1864" s="17">
        <f t="shared" si="79"/>
        <v>813108255549342</v>
      </c>
      <c r="F1864" s="17" t="s">
        <v>918</v>
      </c>
      <c r="G1864" s="17">
        <f t="shared" si="80"/>
        <v>3884086058536</v>
      </c>
      <c r="H1864" s="17" t="s">
        <v>919</v>
      </c>
      <c r="I1864" s="17">
        <f t="shared" si="78"/>
        <v>3884086058536</v>
      </c>
    </row>
    <row r="1865" spans="1:9" x14ac:dyDescent="0.3">
      <c r="A1865" s="17" t="str">
        <f t="shared" si="81"/>
        <v>2000962</v>
      </c>
      <c r="B1865" s="17">
        <v>200</v>
      </c>
      <c r="C1865" s="17">
        <v>962</v>
      </c>
      <c r="D1865" s="17" t="s">
        <v>917</v>
      </c>
      <c r="E1865" s="17">
        <f t="shared" si="79"/>
        <v>821239338104835</v>
      </c>
      <c r="F1865" s="17" t="s">
        <v>918</v>
      </c>
      <c r="G1865" s="17">
        <f t="shared" si="80"/>
        <v>3922926919121</v>
      </c>
      <c r="H1865" s="17" t="s">
        <v>919</v>
      </c>
      <c r="I1865" s="17">
        <f t="shared" ref="I1865:I1903" si="82">G1865</f>
        <v>3922926919121</v>
      </c>
    </row>
    <row r="1866" spans="1:9" x14ac:dyDescent="0.3">
      <c r="A1866" s="17" t="str">
        <f t="shared" si="81"/>
        <v>2000963</v>
      </c>
      <c r="B1866" s="17">
        <v>200</v>
      </c>
      <c r="C1866" s="17">
        <v>963</v>
      </c>
      <c r="D1866" s="17" t="s">
        <v>917</v>
      </c>
      <c r="E1866" s="17">
        <f t="shared" si="79"/>
        <v>829451731485883</v>
      </c>
      <c r="F1866" s="17" t="s">
        <v>918</v>
      </c>
      <c r="G1866" s="17">
        <f t="shared" si="80"/>
        <v>3962156188312</v>
      </c>
      <c r="H1866" s="17" t="s">
        <v>919</v>
      </c>
      <c r="I1866" s="17">
        <f t="shared" si="82"/>
        <v>3962156188312</v>
      </c>
    </row>
    <row r="1867" spans="1:9" x14ac:dyDescent="0.3">
      <c r="A1867" s="17" t="str">
        <f t="shared" si="81"/>
        <v>2000964</v>
      </c>
      <c r="B1867" s="17">
        <v>200</v>
      </c>
      <c r="C1867" s="17">
        <v>964</v>
      </c>
      <c r="D1867" s="17" t="s">
        <v>917</v>
      </c>
      <c r="E1867" s="17">
        <f t="shared" si="79"/>
        <v>837746248800742</v>
      </c>
      <c r="F1867" s="17" t="s">
        <v>918</v>
      </c>
      <c r="G1867" s="17">
        <f t="shared" si="80"/>
        <v>4001777750195</v>
      </c>
      <c r="H1867" s="17" t="s">
        <v>919</v>
      </c>
      <c r="I1867" s="17">
        <f t="shared" si="82"/>
        <v>4001777750195</v>
      </c>
    </row>
    <row r="1868" spans="1:9" x14ac:dyDescent="0.3">
      <c r="A1868" s="17" t="str">
        <f t="shared" si="81"/>
        <v>2000965</v>
      </c>
      <c r="B1868" s="17">
        <v>200</v>
      </c>
      <c r="C1868" s="17">
        <v>965</v>
      </c>
      <c r="D1868" s="17" t="s">
        <v>917</v>
      </c>
      <c r="E1868" s="17">
        <f t="shared" si="79"/>
        <v>846123711288749</v>
      </c>
      <c r="F1868" s="17" t="s">
        <v>918</v>
      </c>
      <c r="G1868" s="17">
        <f t="shared" si="80"/>
        <v>4041795527696</v>
      </c>
      <c r="H1868" s="17" t="s">
        <v>919</v>
      </c>
      <c r="I1868" s="17">
        <f t="shared" si="82"/>
        <v>4041795527696</v>
      </c>
    </row>
    <row r="1869" spans="1:9" x14ac:dyDescent="0.3">
      <c r="A1869" s="17" t="str">
        <f t="shared" si="81"/>
        <v>2000966</v>
      </c>
      <c r="B1869" s="17">
        <v>200</v>
      </c>
      <c r="C1869" s="17">
        <v>966</v>
      </c>
      <c r="D1869" s="17" t="s">
        <v>917</v>
      </c>
      <c r="E1869" s="17">
        <f t="shared" si="79"/>
        <v>854584948401637</v>
      </c>
      <c r="F1869" s="17" t="s">
        <v>918</v>
      </c>
      <c r="G1869" s="17">
        <f t="shared" si="80"/>
        <v>4082213482972</v>
      </c>
      <c r="H1869" s="17" t="s">
        <v>919</v>
      </c>
      <c r="I1869" s="17">
        <f t="shared" si="82"/>
        <v>4082213482972</v>
      </c>
    </row>
    <row r="1870" spans="1:9" x14ac:dyDescent="0.3">
      <c r="A1870" s="17" t="str">
        <f t="shared" si="81"/>
        <v>2000967</v>
      </c>
      <c r="B1870" s="17">
        <v>200</v>
      </c>
      <c r="C1870" s="17">
        <v>967</v>
      </c>
      <c r="D1870" s="17" t="s">
        <v>917</v>
      </c>
      <c r="E1870" s="17">
        <f t="shared" si="79"/>
        <v>863130797885653</v>
      </c>
      <c r="F1870" s="17" t="s">
        <v>918</v>
      </c>
      <c r="G1870" s="17">
        <f t="shared" si="80"/>
        <v>4123035617801</v>
      </c>
      <c r="H1870" s="17" t="s">
        <v>919</v>
      </c>
      <c r="I1870" s="17">
        <f t="shared" si="82"/>
        <v>4123035617801</v>
      </c>
    </row>
    <row r="1871" spans="1:9" x14ac:dyDescent="0.3">
      <c r="A1871" s="17" t="str">
        <f t="shared" si="81"/>
        <v>2000968</v>
      </c>
      <c r="B1871" s="17">
        <v>200</v>
      </c>
      <c r="C1871" s="17">
        <v>968</v>
      </c>
      <c r="D1871" s="17" t="s">
        <v>917</v>
      </c>
      <c r="E1871" s="17">
        <f t="shared" si="79"/>
        <v>871762105864510</v>
      </c>
      <c r="F1871" s="17" t="s">
        <v>918</v>
      </c>
      <c r="G1871" s="17">
        <f t="shared" si="80"/>
        <v>4164265973979</v>
      </c>
      <c r="H1871" s="17" t="s">
        <v>919</v>
      </c>
      <c r="I1871" s="17">
        <f t="shared" si="82"/>
        <v>4164265973979</v>
      </c>
    </row>
    <row r="1872" spans="1:9" x14ac:dyDescent="0.3">
      <c r="A1872" s="17" t="str">
        <f t="shared" si="81"/>
        <v>2000969</v>
      </c>
      <c r="B1872" s="17">
        <v>200</v>
      </c>
      <c r="C1872" s="17">
        <v>969</v>
      </c>
      <c r="D1872" s="17" t="s">
        <v>917</v>
      </c>
      <c r="E1872" s="17">
        <f t="shared" si="79"/>
        <v>880479726923155</v>
      </c>
      <c r="F1872" s="17" t="s">
        <v>918</v>
      </c>
      <c r="G1872" s="17">
        <f t="shared" si="80"/>
        <v>4205908633718</v>
      </c>
      <c r="H1872" s="17" t="s">
        <v>919</v>
      </c>
      <c r="I1872" s="17">
        <f t="shared" si="82"/>
        <v>4205908633718</v>
      </c>
    </row>
    <row r="1873" spans="1:9" x14ac:dyDescent="0.3">
      <c r="A1873" s="17" t="str">
        <f t="shared" si="81"/>
        <v>2000970</v>
      </c>
      <c r="B1873" s="17">
        <v>200</v>
      </c>
      <c r="C1873" s="17">
        <v>970</v>
      </c>
      <c r="D1873" s="17" t="s">
        <v>917</v>
      </c>
      <c r="E1873" s="17">
        <f t="shared" si="79"/>
        <v>889284524192387</v>
      </c>
      <c r="F1873" s="17" t="s">
        <v>918</v>
      </c>
      <c r="G1873" s="17">
        <f t="shared" si="80"/>
        <v>4247967720055</v>
      </c>
      <c r="H1873" s="17" t="s">
        <v>919</v>
      </c>
      <c r="I1873" s="17">
        <f t="shared" si="82"/>
        <v>4247967720055</v>
      </c>
    </row>
    <row r="1874" spans="1:9" x14ac:dyDescent="0.3">
      <c r="A1874" s="17" t="str">
        <f t="shared" si="81"/>
        <v>2000971</v>
      </c>
      <c r="B1874" s="17">
        <v>200</v>
      </c>
      <c r="C1874" s="17">
        <v>971</v>
      </c>
      <c r="D1874" s="17" t="s">
        <v>917</v>
      </c>
      <c r="E1874" s="17">
        <f t="shared" si="79"/>
        <v>898177369434311</v>
      </c>
      <c r="F1874" s="17" t="s">
        <v>918</v>
      </c>
      <c r="G1874" s="17">
        <f t="shared" si="80"/>
        <v>4290447397255</v>
      </c>
      <c r="H1874" s="17" t="s">
        <v>919</v>
      </c>
      <c r="I1874" s="17">
        <f t="shared" si="82"/>
        <v>4290447397255</v>
      </c>
    </row>
    <row r="1875" spans="1:9" x14ac:dyDescent="0.3">
      <c r="A1875" s="17" t="str">
        <f t="shared" si="81"/>
        <v>2000972</v>
      </c>
      <c r="B1875" s="17">
        <v>200</v>
      </c>
      <c r="C1875" s="17">
        <v>972</v>
      </c>
      <c r="D1875" s="17" t="s">
        <v>917</v>
      </c>
      <c r="E1875" s="17">
        <f t="shared" si="79"/>
        <v>907159143128654</v>
      </c>
      <c r="F1875" s="17" t="s">
        <v>918</v>
      </c>
      <c r="G1875" s="17">
        <f t="shared" si="80"/>
        <v>4333351871227</v>
      </c>
      <c r="H1875" s="17" t="s">
        <v>919</v>
      </c>
      <c r="I1875" s="17">
        <f t="shared" si="82"/>
        <v>4333351871227</v>
      </c>
    </row>
    <row r="1876" spans="1:9" x14ac:dyDescent="0.3">
      <c r="A1876" s="17" t="str">
        <f t="shared" si="81"/>
        <v>2000973</v>
      </c>
      <c r="B1876" s="17">
        <v>200</v>
      </c>
      <c r="C1876" s="17">
        <v>973</v>
      </c>
      <c r="D1876" s="17" t="s">
        <v>917</v>
      </c>
      <c r="E1876" s="17">
        <f t="shared" si="79"/>
        <v>916230734559941</v>
      </c>
      <c r="F1876" s="17" t="s">
        <v>918</v>
      </c>
      <c r="G1876" s="17">
        <f t="shared" si="80"/>
        <v>4376685389939</v>
      </c>
      <c r="H1876" s="17" t="s">
        <v>919</v>
      </c>
      <c r="I1876" s="17">
        <f t="shared" si="82"/>
        <v>4376685389939</v>
      </c>
    </row>
    <row r="1877" spans="1:9" x14ac:dyDescent="0.3">
      <c r="A1877" s="17" t="str">
        <f t="shared" si="81"/>
        <v>2000974</v>
      </c>
      <c r="B1877" s="17">
        <v>200</v>
      </c>
      <c r="C1877" s="17">
        <v>974</v>
      </c>
      <c r="D1877" s="17" t="s">
        <v>917</v>
      </c>
      <c r="E1877" s="17">
        <f t="shared" si="79"/>
        <v>925393041905540</v>
      </c>
      <c r="F1877" s="17" t="s">
        <v>918</v>
      </c>
      <c r="G1877" s="17">
        <f t="shared" si="80"/>
        <v>4420452243838</v>
      </c>
      <c r="H1877" s="17" t="s">
        <v>919</v>
      </c>
      <c r="I1877" s="17">
        <f t="shared" si="82"/>
        <v>4420452243838</v>
      </c>
    </row>
    <row r="1878" spans="1:9" x14ac:dyDescent="0.3">
      <c r="A1878" s="17" t="str">
        <f t="shared" si="81"/>
        <v>2000975</v>
      </c>
      <c r="B1878" s="17">
        <v>200</v>
      </c>
      <c r="C1878" s="17">
        <v>975</v>
      </c>
      <c r="D1878" s="17" t="s">
        <v>917</v>
      </c>
      <c r="E1878" s="17">
        <f t="shared" si="79"/>
        <v>934646972324595</v>
      </c>
      <c r="F1878" s="17" t="s">
        <v>918</v>
      </c>
      <c r="G1878" s="17">
        <f t="shared" si="80"/>
        <v>4464656766276</v>
      </c>
      <c r="H1878" s="17" t="s">
        <v>919</v>
      </c>
      <c r="I1878" s="17">
        <f t="shared" si="82"/>
        <v>4464656766276</v>
      </c>
    </row>
    <row r="1879" spans="1:9" x14ac:dyDescent="0.3">
      <c r="A1879" s="17" t="str">
        <f t="shared" si="81"/>
        <v>2000976</v>
      </c>
      <c r="B1879" s="17">
        <v>200</v>
      </c>
      <c r="C1879" s="17">
        <v>976</v>
      </c>
      <c r="D1879" s="17" t="s">
        <v>917</v>
      </c>
      <c r="E1879" s="17">
        <f t="shared" si="79"/>
        <v>943993442047841</v>
      </c>
      <c r="F1879" s="17" t="s">
        <v>918</v>
      </c>
      <c r="G1879" s="17">
        <f t="shared" si="80"/>
        <v>4509303333938</v>
      </c>
      <c r="H1879" s="17" t="s">
        <v>919</v>
      </c>
      <c r="I1879" s="17">
        <f t="shared" si="82"/>
        <v>4509303333938</v>
      </c>
    </row>
    <row r="1880" spans="1:9" x14ac:dyDescent="0.3">
      <c r="A1880" s="17" t="str">
        <f t="shared" si="81"/>
        <v>2000977</v>
      </c>
      <c r="B1880" s="17">
        <v>200</v>
      </c>
      <c r="C1880" s="17">
        <v>977</v>
      </c>
      <c r="D1880" s="17" t="s">
        <v>917</v>
      </c>
      <c r="E1880" s="17">
        <f t="shared" si="79"/>
        <v>953433376468319</v>
      </c>
      <c r="F1880" s="17" t="s">
        <v>918</v>
      </c>
      <c r="G1880" s="17">
        <f t="shared" si="80"/>
        <v>4554396367277</v>
      </c>
      <c r="H1880" s="17" t="s">
        <v>919</v>
      </c>
      <c r="I1880" s="17">
        <f t="shared" si="82"/>
        <v>4554396367277</v>
      </c>
    </row>
    <row r="1881" spans="1:9" x14ac:dyDescent="0.3">
      <c r="A1881" s="17" t="str">
        <f t="shared" si="81"/>
        <v>2000978</v>
      </c>
      <c r="B1881" s="17">
        <v>200</v>
      </c>
      <c r="C1881" s="17">
        <v>978</v>
      </c>
      <c r="D1881" s="17" t="s">
        <v>917</v>
      </c>
      <c r="E1881" s="17">
        <f t="shared" si="79"/>
        <v>962967710233002</v>
      </c>
      <c r="F1881" s="17" t="s">
        <v>918</v>
      </c>
      <c r="G1881" s="17">
        <f t="shared" si="80"/>
        <v>4599940330949</v>
      </c>
      <c r="H1881" s="17" t="s">
        <v>919</v>
      </c>
      <c r="I1881" s="17">
        <f t="shared" si="82"/>
        <v>4599940330949</v>
      </c>
    </row>
    <row r="1882" spans="1:9" x14ac:dyDescent="0.3">
      <c r="A1882" s="17" t="str">
        <f t="shared" si="81"/>
        <v>2000979</v>
      </c>
      <c r="B1882" s="17">
        <v>200</v>
      </c>
      <c r="C1882" s="17">
        <v>979</v>
      </c>
      <c r="D1882" s="17" t="s">
        <v>917</v>
      </c>
      <c r="E1882" s="17">
        <f t="shared" si="79"/>
        <v>972597387335332</v>
      </c>
      <c r="F1882" s="17" t="s">
        <v>918</v>
      </c>
      <c r="G1882" s="17">
        <f t="shared" si="80"/>
        <v>4645939734258</v>
      </c>
      <c r="H1882" s="17" t="s">
        <v>919</v>
      </c>
      <c r="I1882" s="17">
        <f t="shared" si="82"/>
        <v>4645939734258</v>
      </c>
    </row>
    <row r="1883" spans="1:9" x14ac:dyDescent="0.3">
      <c r="A1883" s="17" t="str">
        <f t="shared" si="81"/>
        <v>2000980</v>
      </c>
      <c r="B1883" s="17">
        <v>200</v>
      </c>
      <c r="C1883" s="17">
        <v>980</v>
      </c>
      <c r="D1883" s="17" t="s">
        <v>917</v>
      </c>
      <c r="E1883" s="17">
        <f t="shared" si="79"/>
        <v>982323361208685</v>
      </c>
      <c r="F1883" s="17" t="s">
        <v>918</v>
      </c>
      <c r="G1883" s="17">
        <f t="shared" si="80"/>
        <v>4692399131600</v>
      </c>
      <c r="H1883" s="17" t="s">
        <v>919</v>
      </c>
      <c r="I1883" s="17">
        <f t="shared" si="82"/>
        <v>4692399131600</v>
      </c>
    </row>
    <row r="1884" spans="1:9" x14ac:dyDescent="0.3">
      <c r="A1884" s="17" t="str">
        <f t="shared" si="81"/>
        <v>2000981</v>
      </c>
      <c r="B1884" s="17">
        <v>200</v>
      </c>
      <c r="C1884" s="17">
        <v>981</v>
      </c>
      <c r="D1884" s="17" t="s">
        <v>917</v>
      </c>
      <c r="E1884" s="17">
        <f t="shared" si="79"/>
        <v>992146594820772</v>
      </c>
      <c r="F1884" s="17" t="s">
        <v>918</v>
      </c>
      <c r="G1884" s="17">
        <f t="shared" si="80"/>
        <v>4739323122916</v>
      </c>
      <c r="H1884" s="17" t="s">
        <v>919</v>
      </c>
      <c r="I1884" s="17">
        <f t="shared" si="82"/>
        <v>4739323122916</v>
      </c>
    </row>
    <row r="1885" spans="1:9" x14ac:dyDescent="0.3">
      <c r="A1885" s="17" t="str">
        <f t="shared" si="81"/>
        <v>2000982</v>
      </c>
      <c r="B1885" s="17">
        <v>200</v>
      </c>
      <c r="C1885" s="17">
        <v>982</v>
      </c>
      <c r="D1885" s="17" t="s">
        <v>917</v>
      </c>
      <c r="E1885" s="17">
        <f t="shared" si="79"/>
        <v>1002068060768979</v>
      </c>
      <c r="F1885" s="17" t="s">
        <v>918</v>
      </c>
      <c r="G1885" s="17">
        <f t="shared" si="80"/>
        <v>4786716354145</v>
      </c>
      <c r="H1885" s="17" t="s">
        <v>919</v>
      </c>
      <c r="I1885" s="17">
        <f t="shared" si="82"/>
        <v>4786716354145</v>
      </c>
    </row>
    <row r="1886" spans="1:9" x14ac:dyDescent="0.3">
      <c r="A1886" s="17" t="str">
        <f t="shared" si="81"/>
        <v>2000983</v>
      </c>
      <c r="B1886" s="17">
        <v>200</v>
      </c>
      <c r="C1886" s="17">
        <v>983</v>
      </c>
      <c r="D1886" s="17" t="s">
        <v>917</v>
      </c>
      <c r="E1886" s="17">
        <f t="shared" si="79"/>
        <v>1012088741376668</v>
      </c>
      <c r="F1886" s="17" t="s">
        <v>918</v>
      </c>
      <c r="G1886" s="17">
        <f t="shared" si="80"/>
        <v>4834583517686</v>
      </c>
      <c r="H1886" s="17" t="s">
        <v>919</v>
      </c>
      <c r="I1886" s="17">
        <f t="shared" si="82"/>
        <v>4834583517686</v>
      </c>
    </row>
    <row r="1887" spans="1:9" x14ac:dyDescent="0.3">
      <c r="A1887" s="17" t="str">
        <f t="shared" si="81"/>
        <v>2000984</v>
      </c>
      <c r="B1887" s="17">
        <v>200</v>
      </c>
      <c r="C1887" s="17">
        <v>984</v>
      </c>
      <c r="D1887" s="17" t="s">
        <v>917</v>
      </c>
      <c r="E1887" s="17">
        <f t="shared" si="79"/>
        <v>1022209628790434</v>
      </c>
      <c r="F1887" s="17" t="s">
        <v>918</v>
      </c>
      <c r="G1887" s="17">
        <f t="shared" si="80"/>
        <v>4882929352862</v>
      </c>
      <c r="H1887" s="17" t="s">
        <v>919</v>
      </c>
      <c r="I1887" s="17">
        <f t="shared" si="82"/>
        <v>4882929352862</v>
      </c>
    </row>
    <row r="1888" spans="1:9" x14ac:dyDescent="0.3">
      <c r="A1888" s="17" t="str">
        <f t="shared" si="81"/>
        <v>2000985</v>
      </c>
      <c r="B1888" s="17">
        <v>200</v>
      </c>
      <c r="C1888" s="17">
        <v>985</v>
      </c>
      <c r="D1888" s="17" t="s">
        <v>917</v>
      </c>
      <c r="E1888" s="17">
        <f t="shared" si="79"/>
        <v>1032431725078338</v>
      </c>
      <c r="F1888" s="17" t="s">
        <v>918</v>
      </c>
      <c r="G1888" s="17">
        <f t="shared" si="80"/>
        <v>4931758646390</v>
      </c>
      <c r="H1888" s="17" t="s">
        <v>919</v>
      </c>
      <c r="I1888" s="17">
        <f t="shared" si="82"/>
        <v>4931758646390</v>
      </c>
    </row>
    <row r="1889" spans="1:9" x14ac:dyDescent="0.3">
      <c r="A1889" s="17" t="str">
        <f t="shared" si="81"/>
        <v>2000986</v>
      </c>
      <c r="B1889" s="17">
        <v>200</v>
      </c>
      <c r="C1889" s="17">
        <v>986</v>
      </c>
      <c r="D1889" s="17" t="s">
        <v>917</v>
      </c>
      <c r="E1889" s="17">
        <f t="shared" si="79"/>
        <v>1042756042329121</v>
      </c>
      <c r="F1889" s="17" t="s">
        <v>918</v>
      </c>
      <c r="G1889" s="17">
        <f t="shared" si="80"/>
        <v>4981076232853</v>
      </c>
      <c r="H1889" s="17" t="s">
        <v>919</v>
      </c>
      <c r="I1889" s="17">
        <f t="shared" si="82"/>
        <v>4981076232853</v>
      </c>
    </row>
    <row r="1890" spans="1:9" x14ac:dyDescent="0.3">
      <c r="A1890" s="17" t="str">
        <f t="shared" si="81"/>
        <v>2000987</v>
      </c>
      <c r="B1890" s="17">
        <v>200</v>
      </c>
      <c r="C1890" s="17">
        <v>987</v>
      </c>
      <c r="D1890" s="17" t="s">
        <v>917</v>
      </c>
      <c r="E1890" s="17">
        <f t="shared" si="79"/>
        <v>1053183602752412</v>
      </c>
      <c r="F1890" s="17" t="s">
        <v>918</v>
      </c>
      <c r="G1890" s="17">
        <f t="shared" si="80"/>
        <v>5030886995181</v>
      </c>
      <c r="H1890" s="17" t="s">
        <v>919</v>
      </c>
      <c r="I1890" s="17">
        <f t="shared" si="82"/>
        <v>5030886995181</v>
      </c>
    </row>
    <row r="1891" spans="1:9" x14ac:dyDescent="0.3">
      <c r="A1891" s="17" t="str">
        <f t="shared" si="81"/>
        <v>2000988</v>
      </c>
      <c r="B1891" s="17">
        <v>200</v>
      </c>
      <c r="C1891" s="17">
        <v>988</v>
      </c>
      <c r="D1891" s="17" t="s">
        <v>917</v>
      </c>
      <c r="E1891" s="17">
        <f t="shared" si="79"/>
        <v>1063715438779936</v>
      </c>
      <c r="F1891" s="17" t="s">
        <v>918</v>
      </c>
      <c r="G1891" s="17">
        <f t="shared" si="80"/>
        <v>5081195865132</v>
      </c>
      <c r="H1891" s="17" t="s">
        <v>919</v>
      </c>
      <c r="I1891" s="17">
        <f t="shared" si="82"/>
        <v>5081195865132</v>
      </c>
    </row>
    <row r="1892" spans="1:9" x14ac:dyDescent="0.3">
      <c r="A1892" s="17" t="str">
        <f t="shared" si="81"/>
        <v>2000989</v>
      </c>
      <c r="B1892" s="17">
        <v>200</v>
      </c>
      <c r="C1892" s="17">
        <v>989</v>
      </c>
      <c r="D1892" s="17" t="s">
        <v>917</v>
      </c>
      <c r="E1892" s="17">
        <f t="shared" si="79"/>
        <v>1074352593167735</v>
      </c>
      <c r="F1892" s="17" t="s">
        <v>918</v>
      </c>
      <c r="G1892" s="17">
        <f t="shared" si="80"/>
        <v>5132007823783</v>
      </c>
      <c r="H1892" s="17" t="s">
        <v>919</v>
      </c>
      <c r="I1892" s="17">
        <f t="shared" si="82"/>
        <v>5132007823783</v>
      </c>
    </row>
    <row r="1893" spans="1:9" x14ac:dyDescent="0.3">
      <c r="A1893" s="17" t="str">
        <f t="shared" si="81"/>
        <v>2000990</v>
      </c>
      <c r="B1893" s="17">
        <v>200</v>
      </c>
      <c r="C1893" s="17">
        <v>990</v>
      </c>
      <c r="D1893" s="17" t="s">
        <v>917</v>
      </c>
      <c r="E1893" s="17">
        <f t="shared" si="79"/>
        <v>1085096119099412</v>
      </c>
      <c r="F1893" s="17" t="s">
        <v>918</v>
      </c>
      <c r="G1893" s="17">
        <f t="shared" si="80"/>
        <v>5183327902020</v>
      </c>
      <c r="H1893" s="17" t="s">
        <v>919</v>
      </c>
      <c r="I1893" s="17">
        <f t="shared" si="82"/>
        <v>5183327902020</v>
      </c>
    </row>
    <row r="1894" spans="1:9" x14ac:dyDescent="0.3">
      <c r="A1894" s="17" t="str">
        <f t="shared" si="81"/>
        <v>2000991</v>
      </c>
      <c r="B1894" s="17">
        <v>200</v>
      </c>
      <c r="C1894" s="17">
        <v>991</v>
      </c>
      <c r="D1894" s="17" t="s">
        <v>917</v>
      </c>
      <c r="E1894" s="17">
        <f t="shared" si="79"/>
        <v>1095947080290406</v>
      </c>
      <c r="F1894" s="17" t="s">
        <v>918</v>
      </c>
      <c r="G1894" s="17">
        <f t="shared" si="80"/>
        <v>5235161181040</v>
      </c>
      <c r="H1894" s="17" t="s">
        <v>919</v>
      </c>
      <c r="I1894" s="17">
        <f t="shared" si="82"/>
        <v>5235161181040</v>
      </c>
    </row>
    <row r="1895" spans="1:9" x14ac:dyDescent="0.3">
      <c r="A1895" s="17" t="str">
        <f t="shared" si="81"/>
        <v>2000992</v>
      </c>
      <c r="B1895" s="17">
        <v>200</v>
      </c>
      <c r="C1895" s="17">
        <v>992</v>
      </c>
      <c r="D1895" s="17" t="s">
        <v>917</v>
      </c>
      <c r="E1895" s="17">
        <f t="shared" si="79"/>
        <v>1106906551093310</v>
      </c>
      <c r="F1895" s="17" t="s">
        <v>918</v>
      </c>
      <c r="G1895" s="17">
        <f t="shared" si="80"/>
        <v>5287512792850</v>
      </c>
      <c r="H1895" s="17" t="s">
        <v>919</v>
      </c>
      <c r="I1895" s="17">
        <f t="shared" si="82"/>
        <v>5287512792850</v>
      </c>
    </row>
    <row r="1896" spans="1:9" x14ac:dyDescent="0.3">
      <c r="A1896" s="17" t="str">
        <f t="shared" si="81"/>
        <v>2000993</v>
      </c>
      <c r="B1896" s="17">
        <v>200</v>
      </c>
      <c r="C1896" s="17">
        <v>993</v>
      </c>
      <c r="D1896" s="17" t="s">
        <v>917</v>
      </c>
      <c r="E1896" s="17">
        <f t="shared" si="79"/>
        <v>1117975616604243</v>
      </c>
      <c r="F1896" s="17" t="s">
        <v>918</v>
      </c>
      <c r="G1896" s="17">
        <f t="shared" si="80"/>
        <v>5340387920778</v>
      </c>
      <c r="H1896" s="17" t="s">
        <v>919</v>
      </c>
      <c r="I1896" s="17">
        <f t="shared" si="82"/>
        <v>5340387920778</v>
      </c>
    </row>
    <row r="1897" spans="1:9" x14ac:dyDescent="0.3">
      <c r="A1897" s="17" t="str">
        <f t="shared" si="81"/>
        <v>2000994</v>
      </c>
      <c r="B1897" s="17">
        <v>200</v>
      </c>
      <c r="C1897" s="17">
        <v>994</v>
      </c>
      <c r="D1897" s="17" t="s">
        <v>917</v>
      </c>
      <c r="E1897" s="17">
        <f t="shared" si="79"/>
        <v>1129155372770285</v>
      </c>
      <c r="F1897" s="17" t="s">
        <v>918</v>
      </c>
      <c r="G1897" s="17">
        <f t="shared" si="80"/>
        <v>5393791799985</v>
      </c>
      <c r="H1897" s="17" t="s">
        <v>919</v>
      </c>
      <c r="I1897" s="17">
        <f t="shared" si="82"/>
        <v>5393791799985</v>
      </c>
    </row>
    <row r="1898" spans="1:9" x14ac:dyDescent="0.3">
      <c r="A1898" s="17" t="str">
        <f t="shared" si="81"/>
        <v>2000995</v>
      </c>
      <c r="B1898" s="17">
        <v>200</v>
      </c>
      <c r="C1898" s="17">
        <v>995</v>
      </c>
      <c r="D1898" s="17" t="s">
        <v>917</v>
      </c>
      <c r="E1898" s="17">
        <f t="shared" si="79"/>
        <v>1140446926497987</v>
      </c>
      <c r="F1898" s="17" t="s">
        <v>918</v>
      </c>
      <c r="G1898" s="17">
        <f t="shared" si="80"/>
        <v>5447729717984</v>
      </c>
      <c r="H1898" s="17" t="s">
        <v>919</v>
      </c>
      <c r="I1898" s="17">
        <f t="shared" si="82"/>
        <v>5447729717984</v>
      </c>
    </row>
    <row r="1899" spans="1:9" x14ac:dyDescent="0.3">
      <c r="A1899" s="17" t="str">
        <f t="shared" si="81"/>
        <v>2000996</v>
      </c>
      <c r="B1899" s="17">
        <v>200</v>
      </c>
      <c r="C1899" s="17">
        <v>996</v>
      </c>
      <c r="D1899" s="17" t="s">
        <v>917</v>
      </c>
      <c r="E1899" s="17">
        <f t="shared" si="79"/>
        <v>1151851395762967</v>
      </c>
      <c r="F1899" s="17" t="s">
        <v>918</v>
      </c>
      <c r="G1899" s="17">
        <f t="shared" si="80"/>
        <v>5502207015163</v>
      </c>
      <c r="H1899" s="17" t="s">
        <v>919</v>
      </c>
      <c r="I1899" s="17">
        <f t="shared" si="82"/>
        <v>5502207015163</v>
      </c>
    </row>
    <row r="1900" spans="1:9" x14ac:dyDescent="0.3">
      <c r="A1900" s="17" t="str">
        <f t="shared" si="81"/>
        <v>2000997</v>
      </c>
      <c r="B1900" s="17">
        <v>200</v>
      </c>
      <c r="C1900" s="17">
        <v>997</v>
      </c>
      <c r="D1900" s="17" t="s">
        <v>917</v>
      </c>
      <c r="E1900" s="17">
        <f t="shared" si="79"/>
        <v>1163369909720596</v>
      </c>
      <c r="F1900" s="17" t="s">
        <v>918</v>
      </c>
      <c r="G1900" s="17">
        <f t="shared" si="80"/>
        <v>5557229085314</v>
      </c>
      <c r="H1900" s="17" t="s">
        <v>919</v>
      </c>
      <c r="I1900" s="17">
        <f t="shared" si="82"/>
        <v>5557229085314</v>
      </c>
    </row>
    <row r="1901" spans="1:9" x14ac:dyDescent="0.3">
      <c r="A1901" s="17" t="str">
        <f t="shared" si="81"/>
        <v>2000998</v>
      </c>
      <c r="B1901" s="17">
        <v>200</v>
      </c>
      <c r="C1901" s="17">
        <v>998</v>
      </c>
      <c r="D1901" s="17" t="s">
        <v>917</v>
      </c>
      <c r="E1901" s="17">
        <f t="shared" si="79"/>
        <v>1175003608817802</v>
      </c>
      <c r="F1901" s="17" t="s">
        <v>918</v>
      </c>
      <c r="G1901" s="17">
        <f t="shared" si="80"/>
        <v>5612801376167</v>
      </c>
      <c r="H1901" s="17" t="s">
        <v>919</v>
      </c>
      <c r="I1901" s="17">
        <f t="shared" si="82"/>
        <v>5612801376167</v>
      </c>
    </row>
    <row r="1902" spans="1:9" x14ac:dyDescent="0.3">
      <c r="A1902" s="17" t="str">
        <f t="shared" si="81"/>
        <v>2000999</v>
      </c>
      <c r="B1902" s="17">
        <v>200</v>
      </c>
      <c r="C1902" s="17">
        <v>999</v>
      </c>
      <c r="D1902" s="17" t="s">
        <v>917</v>
      </c>
      <c r="E1902" s="17">
        <f t="shared" si="79"/>
        <v>1186753644905980</v>
      </c>
      <c r="F1902" s="17" t="s">
        <v>918</v>
      </c>
      <c r="G1902" s="17">
        <f t="shared" si="80"/>
        <v>5668929389928</v>
      </c>
      <c r="H1902" s="17" t="s">
        <v>919</v>
      </c>
      <c r="I1902" s="17">
        <f t="shared" si="82"/>
        <v>5668929389928</v>
      </c>
    </row>
    <row r="1903" spans="1:9" x14ac:dyDescent="0.3">
      <c r="A1903" s="17" t="str">
        <f t="shared" si="81"/>
        <v>2001000</v>
      </c>
      <c r="B1903" s="17">
        <v>200</v>
      </c>
      <c r="C1903" s="17">
        <v>1000</v>
      </c>
      <c r="D1903" s="17" t="s">
        <v>917</v>
      </c>
      <c r="E1903" s="17">
        <f t="shared" si="79"/>
        <v>1198621181355039</v>
      </c>
      <c r="F1903" s="17" t="s">
        <v>918</v>
      </c>
      <c r="G1903" s="17">
        <f t="shared" si="80"/>
        <v>5725618683827</v>
      </c>
      <c r="H1903" s="17" t="s">
        <v>919</v>
      </c>
      <c r="I1903" s="17">
        <f t="shared" si="82"/>
        <v>5725618683827</v>
      </c>
    </row>
    <row r="1904" spans="1:9" x14ac:dyDescent="0.3">
      <c r="A1904" s="17" t="str">
        <f t="shared" si="81"/>
        <v>2010001</v>
      </c>
      <c r="B1904" s="17">
        <v>201</v>
      </c>
      <c r="C1904" s="17">
        <v>1</v>
      </c>
      <c r="D1904" s="17" t="s">
        <v>917</v>
      </c>
      <c r="E1904" s="17">
        <v>0</v>
      </c>
      <c r="F1904" s="17" t="s">
        <v>918</v>
      </c>
      <c r="G1904" s="17">
        <v>0</v>
      </c>
      <c r="H1904" s="17" t="s">
        <v>919</v>
      </c>
      <c r="I1904" s="17">
        <v>0</v>
      </c>
    </row>
    <row r="1905" spans="1:9" x14ac:dyDescent="0.3">
      <c r="A1905" s="17" t="str">
        <f t="shared" si="81"/>
        <v>2010002</v>
      </c>
      <c r="B1905" s="17">
        <v>201</v>
      </c>
      <c r="C1905" s="17">
        <v>2</v>
      </c>
      <c r="D1905" s="17" t="s">
        <v>917</v>
      </c>
      <c r="E1905" s="17">
        <v>0</v>
      </c>
      <c r="F1905" s="17" t="s">
        <v>918</v>
      </c>
      <c r="G1905" s="17">
        <v>25000</v>
      </c>
      <c r="H1905" s="17" t="s">
        <v>919</v>
      </c>
      <c r="I1905" s="17">
        <f t="shared" ref="I1905:I1968" si="83">G1905</f>
        <v>25000</v>
      </c>
    </row>
    <row r="1906" spans="1:9" x14ac:dyDescent="0.3">
      <c r="A1906" s="17" t="str">
        <f t="shared" si="81"/>
        <v>2010003</v>
      </c>
      <c r="B1906" s="17">
        <v>201</v>
      </c>
      <c r="C1906" s="17">
        <v>3</v>
      </c>
      <c r="D1906" s="17" t="s">
        <v>917</v>
      </c>
      <c r="E1906" s="17">
        <v>0</v>
      </c>
      <c r="F1906" s="17" t="s">
        <v>918</v>
      </c>
      <c r="G1906" s="17">
        <v>50000</v>
      </c>
      <c r="H1906" s="17" t="s">
        <v>919</v>
      </c>
      <c r="I1906" s="17">
        <f t="shared" si="83"/>
        <v>50000</v>
      </c>
    </row>
    <row r="1907" spans="1:9" x14ac:dyDescent="0.3">
      <c r="A1907" s="17" t="str">
        <f t="shared" si="81"/>
        <v>2010004</v>
      </c>
      <c r="B1907" s="17">
        <v>201</v>
      </c>
      <c r="C1907" s="17">
        <v>4</v>
      </c>
      <c r="D1907" s="17" t="s">
        <v>917</v>
      </c>
      <c r="E1907" s="17">
        <v>0</v>
      </c>
      <c r="F1907" s="17" t="s">
        <v>918</v>
      </c>
      <c r="G1907" s="17">
        <v>100000</v>
      </c>
      <c r="H1907" s="17" t="s">
        <v>919</v>
      </c>
      <c r="I1907" s="17">
        <f t="shared" si="83"/>
        <v>100000</v>
      </c>
    </row>
    <row r="1908" spans="1:9" x14ac:dyDescent="0.3">
      <c r="A1908" s="17" t="str">
        <f t="shared" si="81"/>
        <v>2010005</v>
      </c>
      <c r="B1908" s="17">
        <v>201</v>
      </c>
      <c r="C1908" s="17">
        <v>5</v>
      </c>
      <c r="D1908" s="17" t="s">
        <v>917</v>
      </c>
      <c r="E1908" s="17">
        <v>0</v>
      </c>
      <c r="F1908" s="17" t="s">
        <v>918</v>
      </c>
      <c r="G1908" s="17">
        <v>275000</v>
      </c>
      <c r="H1908" s="17" t="s">
        <v>919</v>
      </c>
      <c r="I1908" s="17">
        <f t="shared" si="83"/>
        <v>275000</v>
      </c>
    </row>
    <row r="1909" spans="1:9" x14ac:dyDescent="0.3">
      <c r="A1909" s="17" t="str">
        <f t="shared" si="81"/>
        <v>2010006</v>
      </c>
      <c r="B1909" s="17">
        <v>201</v>
      </c>
      <c r="C1909" s="17">
        <v>6</v>
      </c>
      <c r="D1909" s="17" t="s">
        <v>917</v>
      </c>
      <c r="E1909" s="17">
        <v>0</v>
      </c>
      <c r="F1909" s="17" t="s">
        <v>918</v>
      </c>
      <c r="G1909" s="17">
        <v>301000</v>
      </c>
      <c r="H1909" s="17" t="s">
        <v>919</v>
      </c>
      <c r="I1909" s="17">
        <f t="shared" si="83"/>
        <v>301000</v>
      </c>
    </row>
    <row r="1910" spans="1:9" x14ac:dyDescent="0.3">
      <c r="A1910" s="17" t="str">
        <f t="shared" si="81"/>
        <v>2010007</v>
      </c>
      <c r="B1910" s="17">
        <v>201</v>
      </c>
      <c r="C1910" s="17">
        <v>7</v>
      </c>
      <c r="D1910" s="17" t="s">
        <v>917</v>
      </c>
      <c r="E1910" s="17">
        <v>0</v>
      </c>
      <c r="F1910" s="17" t="s">
        <v>918</v>
      </c>
      <c r="G1910" s="17">
        <v>329000</v>
      </c>
      <c r="H1910" s="17" t="s">
        <v>919</v>
      </c>
      <c r="I1910" s="17">
        <f t="shared" si="83"/>
        <v>329000</v>
      </c>
    </row>
    <row r="1911" spans="1:9" x14ac:dyDescent="0.3">
      <c r="A1911" s="17" t="str">
        <f t="shared" si="81"/>
        <v>2010008</v>
      </c>
      <c r="B1911" s="17">
        <v>201</v>
      </c>
      <c r="C1911" s="17">
        <v>8</v>
      </c>
      <c r="D1911" s="17" t="s">
        <v>917</v>
      </c>
      <c r="E1911" s="17">
        <v>0</v>
      </c>
      <c r="F1911" s="17" t="s">
        <v>918</v>
      </c>
      <c r="G1911" s="17">
        <v>359000</v>
      </c>
      <c r="H1911" s="17" t="s">
        <v>919</v>
      </c>
      <c r="I1911" s="17">
        <f t="shared" si="83"/>
        <v>359000</v>
      </c>
    </row>
    <row r="1912" spans="1:9" x14ac:dyDescent="0.3">
      <c r="A1912" s="17" t="str">
        <f t="shared" si="81"/>
        <v>2010009</v>
      </c>
      <c r="B1912" s="17">
        <v>201</v>
      </c>
      <c r="C1912" s="17">
        <v>9</v>
      </c>
      <c r="D1912" s="17" t="s">
        <v>917</v>
      </c>
      <c r="E1912" s="17">
        <v>0</v>
      </c>
      <c r="F1912" s="17" t="s">
        <v>918</v>
      </c>
      <c r="G1912" s="17">
        <v>391500</v>
      </c>
      <c r="H1912" s="17" t="s">
        <v>919</v>
      </c>
      <c r="I1912" s="17">
        <f t="shared" si="83"/>
        <v>391500</v>
      </c>
    </row>
    <row r="1913" spans="1:9" x14ac:dyDescent="0.3">
      <c r="A1913" s="17" t="str">
        <f t="shared" si="81"/>
        <v>2010010</v>
      </c>
      <c r="B1913" s="17">
        <v>201</v>
      </c>
      <c r="C1913" s="17">
        <v>10</v>
      </c>
      <c r="D1913" s="17" t="s">
        <v>917</v>
      </c>
      <c r="E1913" s="17">
        <v>0</v>
      </c>
      <c r="F1913" s="17" t="s">
        <v>918</v>
      </c>
      <c r="G1913" s="17">
        <v>425500</v>
      </c>
      <c r="H1913" s="17" t="s">
        <v>919</v>
      </c>
      <c r="I1913" s="17">
        <f t="shared" si="83"/>
        <v>425500</v>
      </c>
    </row>
    <row r="1914" spans="1:9" x14ac:dyDescent="0.3">
      <c r="A1914" s="17" t="str">
        <f t="shared" si="81"/>
        <v>2010011</v>
      </c>
      <c r="B1914" s="17">
        <v>201</v>
      </c>
      <c r="C1914" s="17">
        <v>11</v>
      </c>
      <c r="D1914" s="17" t="s">
        <v>917</v>
      </c>
      <c r="E1914" s="17">
        <v>0</v>
      </c>
      <c r="F1914" s="17" t="s">
        <v>918</v>
      </c>
      <c r="G1914" s="17">
        <v>462500</v>
      </c>
      <c r="H1914" s="17" t="s">
        <v>919</v>
      </c>
      <c r="I1914" s="17">
        <f t="shared" si="83"/>
        <v>462500</v>
      </c>
    </row>
    <row r="1915" spans="1:9" x14ac:dyDescent="0.3">
      <c r="A1915" s="17" t="str">
        <f t="shared" si="81"/>
        <v>2010012</v>
      </c>
      <c r="B1915" s="17">
        <v>201</v>
      </c>
      <c r="C1915" s="17">
        <v>12</v>
      </c>
      <c r="D1915" s="17" t="s">
        <v>917</v>
      </c>
      <c r="E1915" s="17">
        <v>0</v>
      </c>
      <c r="F1915" s="17" t="s">
        <v>918</v>
      </c>
      <c r="G1915" s="17">
        <v>502000</v>
      </c>
      <c r="H1915" s="17" t="s">
        <v>919</v>
      </c>
      <c r="I1915" s="17">
        <f t="shared" si="83"/>
        <v>502000</v>
      </c>
    </row>
    <row r="1916" spans="1:9" x14ac:dyDescent="0.3">
      <c r="A1916" s="17" t="str">
        <f t="shared" si="81"/>
        <v>2010013</v>
      </c>
      <c r="B1916" s="17">
        <v>201</v>
      </c>
      <c r="C1916" s="17">
        <v>13</v>
      </c>
      <c r="D1916" s="17" t="s">
        <v>917</v>
      </c>
      <c r="E1916" s="17">
        <v>0</v>
      </c>
      <c r="F1916" s="17" t="s">
        <v>918</v>
      </c>
      <c r="G1916" s="17">
        <v>544000</v>
      </c>
      <c r="H1916" s="17" t="s">
        <v>919</v>
      </c>
      <c r="I1916" s="17">
        <f t="shared" si="83"/>
        <v>544000</v>
      </c>
    </row>
    <row r="1917" spans="1:9" x14ac:dyDescent="0.3">
      <c r="A1917" s="17" t="str">
        <f t="shared" si="81"/>
        <v>2010014</v>
      </c>
      <c r="B1917" s="17">
        <v>201</v>
      </c>
      <c r="C1917" s="17">
        <v>14</v>
      </c>
      <c r="D1917" s="17" t="s">
        <v>917</v>
      </c>
      <c r="E1917" s="17">
        <v>0</v>
      </c>
      <c r="F1917" s="17" t="s">
        <v>918</v>
      </c>
      <c r="G1917" s="17">
        <v>589000</v>
      </c>
      <c r="H1917" s="17" t="s">
        <v>919</v>
      </c>
      <c r="I1917" s="17">
        <f t="shared" si="83"/>
        <v>589000</v>
      </c>
    </row>
    <row r="1918" spans="1:9" x14ac:dyDescent="0.3">
      <c r="A1918" s="17" t="str">
        <f t="shared" si="81"/>
        <v>2010015</v>
      </c>
      <c r="B1918" s="17">
        <v>201</v>
      </c>
      <c r="C1918" s="17">
        <v>15</v>
      </c>
      <c r="D1918" s="17" t="s">
        <v>917</v>
      </c>
      <c r="E1918" s="17">
        <v>0</v>
      </c>
      <c r="F1918" s="17" t="s">
        <v>918</v>
      </c>
      <c r="G1918" s="17">
        <v>637500</v>
      </c>
      <c r="H1918" s="17" t="s">
        <v>919</v>
      </c>
      <c r="I1918" s="17">
        <f t="shared" si="83"/>
        <v>637500</v>
      </c>
    </row>
    <row r="1919" spans="1:9" x14ac:dyDescent="0.3">
      <c r="A1919" s="17" t="str">
        <f t="shared" si="81"/>
        <v>2010016</v>
      </c>
      <c r="B1919" s="17">
        <v>201</v>
      </c>
      <c r="C1919" s="17">
        <v>16</v>
      </c>
      <c r="D1919" s="17" t="s">
        <v>917</v>
      </c>
      <c r="E1919" s="17">
        <v>0</v>
      </c>
      <c r="F1919" s="17" t="s">
        <v>918</v>
      </c>
      <c r="G1919" s="17">
        <v>689000</v>
      </c>
      <c r="H1919" s="17" t="s">
        <v>919</v>
      </c>
      <c r="I1919" s="17">
        <f t="shared" si="83"/>
        <v>689000</v>
      </c>
    </row>
    <row r="1920" spans="1:9" x14ac:dyDescent="0.3">
      <c r="A1920" s="17" t="str">
        <f t="shared" si="81"/>
        <v>2010017</v>
      </c>
      <c r="B1920" s="17">
        <v>201</v>
      </c>
      <c r="C1920" s="17">
        <v>17</v>
      </c>
      <c r="D1920" s="17" t="s">
        <v>917</v>
      </c>
      <c r="E1920" s="17">
        <v>0</v>
      </c>
      <c r="F1920" s="17" t="s">
        <v>918</v>
      </c>
      <c r="G1920" s="17">
        <v>744500</v>
      </c>
      <c r="H1920" s="17" t="s">
        <v>919</v>
      </c>
      <c r="I1920" s="17">
        <f t="shared" si="83"/>
        <v>744500</v>
      </c>
    </row>
    <row r="1921" spans="1:9" x14ac:dyDescent="0.3">
      <c r="A1921" s="17" t="str">
        <f t="shared" si="81"/>
        <v>2010018</v>
      </c>
      <c r="B1921" s="17">
        <v>201</v>
      </c>
      <c r="C1921" s="17">
        <v>18</v>
      </c>
      <c r="D1921" s="17" t="s">
        <v>917</v>
      </c>
      <c r="E1921" s="17">
        <v>0</v>
      </c>
      <c r="F1921" s="17" t="s">
        <v>918</v>
      </c>
      <c r="G1921" s="17">
        <v>803500</v>
      </c>
      <c r="H1921" s="17" t="s">
        <v>919</v>
      </c>
      <c r="I1921" s="17">
        <f t="shared" si="83"/>
        <v>803500</v>
      </c>
    </row>
    <row r="1922" spans="1:9" x14ac:dyDescent="0.3">
      <c r="A1922" s="17" t="str">
        <f t="shared" si="81"/>
        <v>2010019</v>
      </c>
      <c r="B1922" s="17">
        <v>201</v>
      </c>
      <c r="C1922" s="17">
        <v>19</v>
      </c>
      <c r="D1922" s="17" t="s">
        <v>917</v>
      </c>
      <c r="E1922" s="17">
        <v>0</v>
      </c>
      <c r="F1922" s="17" t="s">
        <v>918</v>
      </c>
      <c r="G1922" s="17">
        <v>866500</v>
      </c>
      <c r="H1922" s="17" t="s">
        <v>919</v>
      </c>
      <c r="I1922" s="17">
        <f t="shared" si="83"/>
        <v>866500</v>
      </c>
    </row>
    <row r="1923" spans="1:9" x14ac:dyDescent="0.3">
      <c r="A1923" s="17" t="str">
        <f t="shared" si="81"/>
        <v>2010020</v>
      </c>
      <c r="B1923" s="17">
        <v>201</v>
      </c>
      <c r="C1923" s="17">
        <v>20</v>
      </c>
      <c r="D1923" s="17" t="s">
        <v>917</v>
      </c>
      <c r="E1923" s="17">
        <v>0</v>
      </c>
      <c r="F1923" s="17" t="s">
        <v>918</v>
      </c>
      <c r="G1923" s="17">
        <v>934500</v>
      </c>
      <c r="H1923" s="17" t="s">
        <v>919</v>
      </c>
      <c r="I1923" s="17">
        <f t="shared" si="83"/>
        <v>934500</v>
      </c>
    </row>
    <row r="1924" spans="1:9" x14ac:dyDescent="0.3">
      <c r="A1924" s="17" t="str">
        <f t="shared" ref="A1924:A1987" si="84">B1924&amp;TEXT(C1924,"0000")</f>
        <v>2010021</v>
      </c>
      <c r="B1924" s="17">
        <v>201</v>
      </c>
      <c r="C1924" s="17">
        <v>21</v>
      </c>
      <c r="D1924" s="17" t="s">
        <v>917</v>
      </c>
      <c r="E1924" s="17">
        <v>0</v>
      </c>
      <c r="F1924" s="17" t="s">
        <v>918</v>
      </c>
      <c r="G1924" s="17">
        <v>1007000</v>
      </c>
      <c r="H1924" s="17" t="s">
        <v>919</v>
      </c>
      <c r="I1924" s="17">
        <f t="shared" si="83"/>
        <v>1007000</v>
      </c>
    </row>
    <row r="1925" spans="1:9" x14ac:dyDescent="0.3">
      <c r="A1925" s="17" t="str">
        <f t="shared" si="84"/>
        <v>2010022</v>
      </c>
      <c r="B1925" s="17">
        <v>201</v>
      </c>
      <c r="C1925" s="17">
        <v>22</v>
      </c>
      <c r="D1925" s="17" t="s">
        <v>917</v>
      </c>
      <c r="E1925" s="17">
        <v>0</v>
      </c>
      <c r="F1925" s="17" t="s">
        <v>918</v>
      </c>
      <c r="G1925" s="17">
        <v>1084500</v>
      </c>
      <c r="H1925" s="17" t="s">
        <v>919</v>
      </c>
      <c r="I1925" s="17">
        <f t="shared" si="83"/>
        <v>1084500</v>
      </c>
    </row>
    <row r="1926" spans="1:9" x14ac:dyDescent="0.3">
      <c r="A1926" s="17" t="str">
        <f t="shared" si="84"/>
        <v>2010023</v>
      </c>
      <c r="B1926" s="17">
        <v>201</v>
      </c>
      <c r="C1926" s="17">
        <v>23</v>
      </c>
      <c r="D1926" s="17" t="s">
        <v>917</v>
      </c>
      <c r="E1926" s="17">
        <v>0</v>
      </c>
      <c r="F1926" s="17" t="s">
        <v>918</v>
      </c>
      <c r="G1926" s="17">
        <v>1167000</v>
      </c>
      <c r="H1926" s="17" t="s">
        <v>919</v>
      </c>
      <c r="I1926" s="17">
        <f t="shared" si="83"/>
        <v>1167000</v>
      </c>
    </row>
    <row r="1927" spans="1:9" x14ac:dyDescent="0.3">
      <c r="A1927" s="17" t="str">
        <f t="shared" si="84"/>
        <v>2010024</v>
      </c>
      <c r="B1927" s="17">
        <v>201</v>
      </c>
      <c r="C1927" s="17">
        <v>24</v>
      </c>
      <c r="D1927" s="17" t="s">
        <v>917</v>
      </c>
      <c r="E1927" s="17">
        <v>0</v>
      </c>
      <c r="F1927" s="17" t="s">
        <v>918</v>
      </c>
      <c r="G1927" s="17">
        <v>1256000</v>
      </c>
      <c r="H1927" s="17" t="s">
        <v>919</v>
      </c>
      <c r="I1927" s="17">
        <f t="shared" si="83"/>
        <v>1256000</v>
      </c>
    </row>
    <row r="1928" spans="1:9" x14ac:dyDescent="0.3">
      <c r="A1928" s="17" t="str">
        <f t="shared" si="84"/>
        <v>2010025</v>
      </c>
      <c r="B1928" s="17">
        <v>201</v>
      </c>
      <c r="C1928" s="17">
        <v>25</v>
      </c>
      <c r="D1928" s="17" t="s">
        <v>917</v>
      </c>
      <c r="E1928" s="17">
        <v>0</v>
      </c>
      <c r="F1928" s="17" t="s">
        <v>918</v>
      </c>
      <c r="G1928" s="17">
        <v>1351000</v>
      </c>
      <c r="H1928" s="17" t="s">
        <v>919</v>
      </c>
      <c r="I1928" s="17">
        <f t="shared" si="83"/>
        <v>1351000</v>
      </c>
    </row>
    <row r="1929" spans="1:9" x14ac:dyDescent="0.3">
      <c r="A1929" s="17" t="str">
        <f t="shared" si="84"/>
        <v>2010026</v>
      </c>
      <c r="B1929" s="17">
        <v>201</v>
      </c>
      <c r="C1929" s="17">
        <v>26</v>
      </c>
      <c r="D1929" s="17" t="s">
        <v>917</v>
      </c>
      <c r="E1929" s="17">
        <v>0</v>
      </c>
      <c r="F1929" s="17" t="s">
        <v>918</v>
      </c>
      <c r="G1929" s="17">
        <v>1452500</v>
      </c>
      <c r="H1929" s="17" t="s">
        <v>919</v>
      </c>
      <c r="I1929" s="17">
        <f t="shared" si="83"/>
        <v>1452500</v>
      </c>
    </row>
    <row r="1930" spans="1:9" x14ac:dyDescent="0.3">
      <c r="A1930" s="17" t="str">
        <f t="shared" si="84"/>
        <v>2010027</v>
      </c>
      <c r="B1930" s="17">
        <v>201</v>
      </c>
      <c r="C1930" s="17">
        <v>27</v>
      </c>
      <c r="D1930" s="17" t="s">
        <v>917</v>
      </c>
      <c r="E1930" s="17">
        <v>0</v>
      </c>
      <c r="F1930" s="17" t="s">
        <v>918</v>
      </c>
      <c r="G1930" s="17">
        <v>1561000</v>
      </c>
      <c r="H1930" s="17" t="s">
        <v>919</v>
      </c>
      <c r="I1930" s="17">
        <f t="shared" si="83"/>
        <v>1561000</v>
      </c>
    </row>
    <row r="1931" spans="1:9" x14ac:dyDescent="0.3">
      <c r="A1931" s="17" t="str">
        <f t="shared" si="84"/>
        <v>2010028</v>
      </c>
      <c r="B1931" s="17">
        <v>201</v>
      </c>
      <c r="C1931" s="17">
        <v>28</v>
      </c>
      <c r="D1931" s="17" t="s">
        <v>917</v>
      </c>
      <c r="E1931" s="17">
        <v>0</v>
      </c>
      <c r="F1931" s="17" t="s">
        <v>918</v>
      </c>
      <c r="G1931" s="17">
        <v>1677500</v>
      </c>
      <c r="H1931" s="17" t="s">
        <v>919</v>
      </c>
      <c r="I1931" s="17">
        <f t="shared" si="83"/>
        <v>1677500</v>
      </c>
    </row>
    <row r="1932" spans="1:9" x14ac:dyDescent="0.3">
      <c r="A1932" s="17" t="str">
        <f t="shared" si="84"/>
        <v>2010029</v>
      </c>
      <c r="B1932" s="17">
        <v>201</v>
      </c>
      <c r="C1932" s="17">
        <v>29</v>
      </c>
      <c r="D1932" s="17" t="s">
        <v>917</v>
      </c>
      <c r="E1932" s="17">
        <v>0</v>
      </c>
      <c r="F1932" s="17" t="s">
        <v>918</v>
      </c>
      <c r="G1932" s="17">
        <v>1802000</v>
      </c>
      <c r="H1932" s="17" t="s">
        <v>919</v>
      </c>
      <c r="I1932" s="17">
        <f t="shared" si="83"/>
        <v>1802000</v>
      </c>
    </row>
    <row r="1933" spans="1:9" x14ac:dyDescent="0.3">
      <c r="A1933" s="17" t="str">
        <f t="shared" si="84"/>
        <v>2010030</v>
      </c>
      <c r="B1933" s="17">
        <v>201</v>
      </c>
      <c r="C1933" s="17">
        <v>30</v>
      </c>
      <c r="D1933" s="17" t="s">
        <v>917</v>
      </c>
      <c r="E1933" s="17">
        <v>0</v>
      </c>
      <c r="F1933" s="17" t="s">
        <v>918</v>
      </c>
      <c r="G1933" s="17">
        <v>1935000</v>
      </c>
      <c r="H1933" s="17" t="s">
        <v>919</v>
      </c>
      <c r="I1933" s="17">
        <f t="shared" si="83"/>
        <v>1935000</v>
      </c>
    </row>
    <row r="1934" spans="1:9" x14ac:dyDescent="0.3">
      <c r="A1934" s="17" t="str">
        <f t="shared" si="84"/>
        <v>2010031</v>
      </c>
      <c r="B1934" s="17">
        <v>201</v>
      </c>
      <c r="C1934" s="17">
        <v>31</v>
      </c>
      <c r="D1934" s="17" t="s">
        <v>917</v>
      </c>
      <c r="E1934" s="17">
        <v>0</v>
      </c>
      <c r="F1934" s="17" t="s">
        <v>918</v>
      </c>
      <c r="G1934" s="17">
        <v>2077500</v>
      </c>
      <c r="H1934" s="17" t="s">
        <v>919</v>
      </c>
      <c r="I1934" s="17">
        <f t="shared" si="83"/>
        <v>2077500</v>
      </c>
    </row>
    <row r="1935" spans="1:9" x14ac:dyDescent="0.3">
      <c r="A1935" s="17" t="str">
        <f t="shared" si="84"/>
        <v>2010032</v>
      </c>
      <c r="B1935" s="17">
        <v>201</v>
      </c>
      <c r="C1935" s="17">
        <v>32</v>
      </c>
      <c r="D1935" s="17" t="s">
        <v>917</v>
      </c>
      <c r="E1935" s="17">
        <v>0</v>
      </c>
      <c r="F1935" s="17" t="s">
        <v>918</v>
      </c>
      <c r="G1935" s="17">
        <v>2230000</v>
      </c>
      <c r="H1935" s="17" t="s">
        <v>919</v>
      </c>
      <c r="I1935" s="17">
        <f t="shared" si="83"/>
        <v>2230000</v>
      </c>
    </row>
    <row r="1936" spans="1:9" x14ac:dyDescent="0.3">
      <c r="A1936" s="17" t="str">
        <f t="shared" si="84"/>
        <v>2010033</v>
      </c>
      <c r="B1936" s="17">
        <v>201</v>
      </c>
      <c r="C1936" s="17">
        <v>33</v>
      </c>
      <c r="D1936" s="17" t="s">
        <v>917</v>
      </c>
      <c r="E1936" s="17">
        <v>0</v>
      </c>
      <c r="F1936" s="17" t="s">
        <v>918</v>
      </c>
      <c r="G1936" s="17">
        <v>2393000</v>
      </c>
      <c r="H1936" s="17" t="s">
        <v>919</v>
      </c>
      <c r="I1936" s="17">
        <f t="shared" si="83"/>
        <v>2393000</v>
      </c>
    </row>
    <row r="1937" spans="1:9" x14ac:dyDescent="0.3">
      <c r="A1937" s="17" t="str">
        <f t="shared" si="84"/>
        <v>2010034</v>
      </c>
      <c r="B1937" s="17">
        <v>201</v>
      </c>
      <c r="C1937" s="17">
        <v>34</v>
      </c>
      <c r="D1937" s="17" t="s">
        <v>917</v>
      </c>
      <c r="E1937" s="17">
        <v>0</v>
      </c>
      <c r="F1937" s="17" t="s">
        <v>918</v>
      </c>
      <c r="G1937" s="17">
        <v>2567500</v>
      </c>
      <c r="H1937" s="17" t="s">
        <v>919</v>
      </c>
      <c r="I1937" s="17">
        <f t="shared" si="83"/>
        <v>2567500</v>
      </c>
    </row>
    <row r="1938" spans="1:9" x14ac:dyDescent="0.3">
      <c r="A1938" s="17" t="str">
        <f t="shared" si="84"/>
        <v>2010035</v>
      </c>
      <c r="B1938" s="17">
        <v>201</v>
      </c>
      <c r="C1938" s="17">
        <v>35</v>
      </c>
      <c r="D1938" s="17" t="s">
        <v>917</v>
      </c>
      <c r="E1938" s="17">
        <v>0</v>
      </c>
      <c r="F1938" s="17" t="s">
        <v>918</v>
      </c>
      <c r="G1938" s="17">
        <v>2754500</v>
      </c>
      <c r="H1938" s="17" t="s">
        <v>919</v>
      </c>
      <c r="I1938" s="17">
        <f t="shared" si="83"/>
        <v>2754500</v>
      </c>
    </row>
    <row r="1939" spans="1:9" x14ac:dyDescent="0.3">
      <c r="A1939" s="17" t="str">
        <f t="shared" si="84"/>
        <v>2010036</v>
      </c>
      <c r="B1939" s="17">
        <v>201</v>
      </c>
      <c r="C1939" s="17">
        <v>36</v>
      </c>
      <c r="D1939" s="17" t="s">
        <v>917</v>
      </c>
      <c r="E1939" s="17">
        <v>0</v>
      </c>
      <c r="F1939" s="17" t="s">
        <v>918</v>
      </c>
      <c r="G1939" s="17">
        <v>2954000</v>
      </c>
      <c r="H1939" s="17" t="s">
        <v>919</v>
      </c>
      <c r="I1939" s="17">
        <f t="shared" si="83"/>
        <v>2954000</v>
      </c>
    </row>
    <row r="1940" spans="1:9" x14ac:dyDescent="0.3">
      <c r="A1940" s="17" t="str">
        <f t="shared" si="84"/>
        <v>2010037</v>
      </c>
      <c r="B1940" s="17">
        <v>201</v>
      </c>
      <c r="C1940" s="17">
        <v>37</v>
      </c>
      <c r="D1940" s="17" t="s">
        <v>917</v>
      </c>
      <c r="E1940" s="17">
        <v>0</v>
      </c>
      <c r="F1940" s="17" t="s">
        <v>918</v>
      </c>
      <c r="G1940" s="17">
        <v>3168000</v>
      </c>
      <c r="H1940" s="17" t="s">
        <v>919</v>
      </c>
      <c r="I1940" s="17">
        <f t="shared" si="83"/>
        <v>3168000</v>
      </c>
    </row>
    <row r="1941" spans="1:9" x14ac:dyDescent="0.3">
      <c r="A1941" s="17" t="str">
        <f t="shared" si="84"/>
        <v>2010038</v>
      </c>
      <c r="B1941" s="17">
        <v>201</v>
      </c>
      <c r="C1941" s="17">
        <v>38</v>
      </c>
      <c r="D1941" s="17" t="s">
        <v>917</v>
      </c>
      <c r="E1941" s="17">
        <v>0</v>
      </c>
      <c r="F1941" s="17" t="s">
        <v>918</v>
      </c>
      <c r="G1941" s="17">
        <v>3397000</v>
      </c>
      <c r="H1941" s="17" t="s">
        <v>919</v>
      </c>
      <c r="I1941" s="17">
        <f t="shared" si="83"/>
        <v>3397000</v>
      </c>
    </row>
    <row r="1942" spans="1:9" x14ac:dyDescent="0.3">
      <c r="A1942" s="17" t="str">
        <f t="shared" si="84"/>
        <v>2010039</v>
      </c>
      <c r="B1942" s="17">
        <v>201</v>
      </c>
      <c r="C1942" s="17">
        <v>39</v>
      </c>
      <c r="D1942" s="17" t="s">
        <v>917</v>
      </c>
      <c r="E1942" s="17">
        <v>0</v>
      </c>
      <c r="F1942" s="17" t="s">
        <v>918</v>
      </c>
      <c r="G1942" s="17">
        <v>3641500</v>
      </c>
      <c r="H1942" s="17" t="s">
        <v>919</v>
      </c>
      <c r="I1942" s="17">
        <f t="shared" si="83"/>
        <v>3641500</v>
      </c>
    </row>
    <row r="1943" spans="1:9" x14ac:dyDescent="0.3">
      <c r="A1943" s="17" t="str">
        <f t="shared" si="84"/>
        <v>2010040</v>
      </c>
      <c r="B1943" s="17">
        <v>201</v>
      </c>
      <c r="C1943" s="17">
        <v>40</v>
      </c>
      <c r="D1943" s="17" t="s">
        <v>917</v>
      </c>
      <c r="E1943" s="17">
        <v>0</v>
      </c>
      <c r="F1943" s="17" t="s">
        <v>918</v>
      </c>
      <c r="G1943" s="17">
        <v>3903500</v>
      </c>
      <c r="H1943" s="17" t="s">
        <v>919</v>
      </c>
      <c r="I1943" s="17">
        <f t="shared" si="83"/>
        <v>3903500</v>
      </c>
    </row>
    <row r="1944" spans="1:9" x14ac:dyDescent="0.3">
      <c r="A1944" s="17" t="str">
        <f t="shared" si="84"/>
        <v>2010041</v>
      </c>
      <c r="B1944" s="17">
        <v>201</v>
      </c>
      <c r="C1944" s="17">
        <v>41</v>
      </c>
      <c r="D1944" s="17" t="s">
        <v>917</v>
      </c>
      <c r="E1944" s="17">
        <v>0</v>
      </c>
      <c r="F1944" s="17" t="s">
        <v>918</v>
      </c>
      <c r="G1944" s="17">
        <v>4183500</v>
      </c>
      <c r="H1944" s="17" t="s">
        <v>919</v>
      </c>
      <c r="I1944" s="17">
        <f t="shared" si="83"/>
        <v>4183500</v>
      </c>
    </row>
    <row r="1945" spans="1:9" x14ac:dyDescent="0.3">
      <c r="A1945" s="17" t="str">
        <f t="shared" si="84"/>
        <v>2010042</v>
      </c>
      <c r="B1945" s="17">
        <v>201</v>
      </c>
      <c r="C1945" s="17">
        <v>42</v>
      </c>
      <c r="D1945" s="17" t="s">
        <v>917</v>
      </c>
      <c r="E1945" s="17">
        <v>0</v>
      </c>
      <c r="F1945" s="17" t="s">
        <v>918</v>
      </c>
      <c r="G1945" s="17">
        <v>4483500</v>
      </c>
      <c r="H1945" s="17" t="s">
        <v>919</v>
      </c>
      <c r="I1945" s="17">
        <f t="shared" si="83"/>
        <v>4483500</v>
      </c>
    </row>
    <row r="1946" spans="1:9" x14ac:dyDescent="0.3">
      <c r="A1946" s="17" t="str">
        <f t="shared" si="84"/>
        <v>2010043</v>
      </c>
      <c r="B1946" s="17">
        <v>201</v>
      </c>
      <c r="C1946" s="17">
        <v>43</v>
      </c>
      <c r="D1946" s="17" t="s">
        <v>917</v>
      </c>
      <c r="E1946" s="17">
        <v>0</v>
      </c>
      <c r="F1946" s="17" t="s">
        <v>918</v>
      </c>
      <c r="G1946" s="17">
        <v>4804500</v>
      </c>
      <c r="H1946" s="17" t="s">
        <v>919</v>
      </c>
      <c r="I1946" s="17">
        <f t="shared" si="83"/>
        <v>4804500</v>
      </c>
    </row>
    <row r="1947" spans="1:9" x14ac:dyDescent="0.3">
      <c r="A1947" s="17" t="str">
        <f t="shared" si="84"/>
        <v>2010044</v>
      </c>
      <c r="B1947" s="17">
        <v>201</v>
      </c>
      <c r="C1947" s="17">
        <v>44</v>
      </c>
      <c r="D1947" s="17" t="s">
        <v>917</v>
      </c>
      <c r="E1947" s="17">
        <v>0</v>
      </c>
      <c r="F1947" s="17" t="s">
        <v>918</v>
      </c>
      <c r="G1947" s="17">
        <v>5148000</v>
      </c>
      <c r="H1947" s="17" t="s">
        <v>919</v>
      </c>
      <c r="I1947" s="17">
        <f t="shared" si="83"/>
        <v>5148000</v>
      </c>
    </row>
    <row r="1948" spans="1:9" x14ac:dyDescent="0.3">
      <c r="A1948" s="17" t="str">
        <f t="shared" si="84"/>
        <v>2010045</v>
      </c>
      <c r="B1948" s="17">
        <v>201</v>
      </c>
      <c r="C1948" s="17">
        <v>45</v>
      </c>
      <c r="D1948" s="17" t="s">
        <v>917</v>
      </c>
      <c r="E1948" s="17">
        <v>0</v>
      </c>
      <c r="F1948" s="17" t="s">
        <v>918</v>
      </c>
      <c r="G1948" s="17">
        <v>5515000</v>
      </c>
      <c r="H1948" s="17" t="s">
        <v>919</v>
      </c>
      <c r="I1948" s="17">
        <f t="shared" si="83"/>
        <v>5515000</v>
      </c>
    </row>
    <row r="1949" spans="1:9" x14ac:dyDescent="0.3">
      <c r="A1949" s="17" t="str">
        <f t="shared" si="84"/>
        <v>2010046</v>
      </c>
      <c r="B1949" s="17">
        <v>201</v>
      </c>
      <c r="C1949" s="17">
        <v>46</v>
      </c>
      <c r="D1949" s="17" t="s">
        <v>917</v>
      </c>
      <c r="E1949" s="17">
        <v>0</v>
      </c>
      <c r="F1949" s="17" t="s">
        <v>918</v>
      </c>
      <c r="G1949" s="17">
        <v>5908500</v>
      </c>
      <c r="H1949" s="17" t="s">
        <v>919</v>
      </c>
      <c r="I1949" s="17">
        <f t="shared" si="83"/>
        <v>5908500</v>
      </c>
    </row>
    <row r="1950" spans="1:9" x14ac:dyDescent="0.3">
      <c r="A1950" s="17" t="str">
        <f t="shared" si="84"/>
        <v>2010047</v>
      </c>
      <c r="B1950" s="17">
        <v>201</v>
      </c>
      <c r="C1950" s="17">
        <v>47</v>
      </c>
      <c r="D1950" s="17" t="s">
        <v>917</v>
      </c>
      <c r="E1950" s="17">
        <v>0</v>
      </c>
      <c r="F1950" s="17" t="s">
        <v>918</v>
      </c>
      <c r="G1950" s="17">
        <v>6269000</v>
      </c>
      <c r="H1950" s="17" t="s">
        <v>919</v>
      </c>
      <c r="I1950" s="17">
        <f t="shared" si="83"/>
        <v>6269000</v>
      </c>
    </row>
    <row r="1951" spans="1:9" x14ac:dyDescent="0.3">
      <c r="A1951" s="17" t="str">
        <f t="shared" si="84"/>
        <v>2010048</v>
      </c>
      <c r="B1951" s="17">
        <v>201</v>
      </c>
      <c r="C1951" s="17">
        <v>48</v>
      </c>
      <c r="D1951" s="17" t="s">
        <v>917</v>
      </c>
      <c r="E1951" s="17">
        <v>0</v>
      </c>
      <c r="F1951" s="17" t="s">
        <v>918</v>
      </c>
      <c r="G1951" s="17">
        <v>6651000</v>
      </c>
      <c r="H1951" s="17" t="s">
        <v>919</v>
      </c>
      <c r="I1951" s="17">
        <f t="shared" si="83"/>
        <v>6651000</v>
      </c>
    </row>
    <row r="1952" spans="1:9" x14ac:dyDescent="0.3">
      <c r="A1952" s="17" t="str">
        <f t="shared" si="84"/>
        <v>2010049</v>
      </c>
      <c r="B1952" s="17">
        <v>201</v>
      </c>
      <c r="C1952" s="17">
        <v>49</v>
      </c>
      <c r="D1952" s="17" t="s">
        <v>917</v>
      </c>
      <c r="E1952" s="17">
        <v>0</v>
      </c>
      <c r="F1952" s="17" t="s">
        <v>918</v>
      </c>
      <c r="G1952" s="17">
        <v>7056000</v>
      </c>
      <c r="H1952" s="17" t="s">
        <v>919</v>
      </c>
      <c r="I1952" s="17">
        <f t="shared" si="83"/>
        <v>7056000</v>
      </c>
    </row>
    <row r="1953" spans="1:9" x14ac:dyDescent="0.3">
      <c r="A1953" s="17" t="str">
        <f t="shared" si="84"/>
        <v>2010050</v>
      </c>
      <c r="B1953" s="17">
        <v>201</v>
      </c>
      <c r="C1953" s="17">
        <v>50</v>
      </c>
      <c r="D1953" s="17" t="s">
        <v>917</v>
      </c>
      <c r="E1953" s="17">
        <v>0</v>
      </c>
      <c r="F1953" s="17" t="s">
        <v>918</v>
      </c>
      <c r="G1953" s="17">
        <v>7485500</v>
      </c>
      <c r="H1953" s="17" t="s">
        <v>919</v>
      </c>
      <c r="I1953" s="17">
        <f t="shared" si="83"/>
        <v>7485500</v>
      </c>
    </row>
    <row r="1954" spans="1:9" x14ac:dyDescent="0.3">
      <c r="A1954" s="17" t="str">
        <f t="shared" si="84"/>
        <v>2010051</v>
      </c>
      <c r="B1954" s="17">
        <v>201</v>
      </c>
      <c r="C1954" s="17">
        <v>51</v>
      </c>
      <c r="D1954" s="17" t="s">
        <v>917</v>
      </c>
      <c r="E1954" s="17">
        <v>0</v>
      </c>
      <c r="F1954" s="17" t="s">
        <v>918</v>
      </c>
      <c r="G1954" s="17">
        <v>7940500</v>
      </c>
      <c r="H1954" s="17" t="s">
        <v>919</v>
      </c>
      <c r="I1954" s="17">
        <f t="shared" si="83"/>
        <v>7940500</v>
      </c>
    </row>
    <row r="1955" spans="1:9" x14ac:dyDescent="0.3">
      <c r="A1955" s="17" t="str">
        <f t="shared" si="84"/>
        <v>2010052</v>
      </c>
      <c r="B1955" s="17">
        <v>201</v>
      </c>
      <c r="C1955" s="17">
        <v>52</v>
      </c>
      <c r="D1955" s="17" t="s">
        <v>917</v>
      </c>
      <c r="E1955" s="17">
        <v>0</v>
      </c>
      <c r="F1955" s="17" t="s">
        <v>918</v>
      </c>
      <c r="G1955" s="17">
        <v>8423000</v>
      </c>
      <c r="H1955" s="17" t="s">
        <v>919</v>
      </c>
      <c r="I1955" s="17">
        <f t="shared" si="83"/>
        <v>8423000</v>
      </c>
    </row>
    <row r="1956" spans="1:9" x14ac:dyDescent="0.3">
      <c r="A1956" s="17" t="str">
        <f t="shared" si="84"/>
        <v>2010053</v>
      </c>
      <c r="B1956" s="17">
        <v>201</v>
      </c>
      <c r="C1956" s="17">
        <v>53</v>
      </c>
      <c r="D1956" s="17" t="s">
        <v>917</v>
      </c>
      <c r="E1956" s="17">
        <v>0</v>
      </c>
      <c r="F1956" s="17" t="s">
        <v>918</v>
      </c>
      <c r="G1956" s="17">
        <v>8934500</v>
      </c>
      <c r="H1956" s="17" t="s">
        <v>919</v>
      </c>
      <c r="I1956" s="17">
        <f t="shared" si="83"/>
        <v>8934500</v>
      </c>
    </row>
    <row r="1957" spans="1:9" x14ac:dyDescent="0.3">
      <c r="A1957" s="17" t="str">
        <f t="shared" si="84"/>
        <v>2010054</v>
      </c>
      <c r="B1957" s="17">
        <v>201</v>
      </c>
      <c r="C1957" s="17">
        <v>54</v>
      </c>
      <c r="D1957" s="17" t="s">
        <v>917</v>
      </c>
      <c r="E1957" s="17">
        <v>0</v>
      </c>
      <c r="F1957" s="17" t="s">
        <v>918</v>
      </c>
      <c r="G1957" s="17">
        <v>9476500</v>
      </c>
      <c r="H1957" s="17" t="s">
        <v>919</v>
      </c>
      <c r="I1957" s="17">
        <f t="shared" si="83"/>
        <v>9476500</v>
      </c>
    </row>
    <row r="1958" spans="1:9" x14ac:dyDescent="0.3">
      <c r="A1958" s="17" t="str">
        <f t="shared" si="84"/>
        <v>2010055</v>
      </c>
      <c r="B1958" s="17">
        <v>201</v>
      </c>
      <c r="C1958" s="17">
        <v>55</v>
      </c>
      <c r="D1958" s="17" t="s">
        <v>917</v>
      </c>
      <c r="E1958" s="17">
        <v>0</v>
      </c>
      <c r="F1958" s="17" t="s">
        <v>918</v>
      </c>
      <c r="G1958" s="17">
        <v>10051000</v>
      </c>
      <c r="H1958" s="17" t="s">
        <v>919</v>
      </c>
      <c r="I1958" s="17">
        <f t="shared" si="83"/>
        <v>10051000</v>
      </c>
    </row>
    <row r="1959" spans="1:9" x14ac:dyDescent="0.3">
      <c r="A1959" s="17" t="str">
        <f t="shared" si="84"/>
        <v>2010056</v>
      </c>
      <c r="B1959" s="17">
        <v>201</v>
      </c>
      <c r="C1959" s="17">
        <v>56</v>
      </c>
      <c r="D1959" s="17" t="s">
        <v>917</v>
      </c>
      <c r="E1959" s="17">
        <v>0</v>
      </c>
      <c r="F1959" s="17" t="s">
        <v>918</v>
      </c>
      <c r="G1959" s="17">
        <v>10660000</v>
      </c>
      <c r="H1959" s="17" t="s">
        <v>919</v>
      </c>
      <c r="I1959" s="17">
        <f t="shared" si="83"/>
        <v>10660000</v>
      </c>
    </row>
    <row r="1960" spans="1:9" x14ac:dyDescent="0.3">
      <c r="A1960" s="17" t="str">
        <f t="shared" si="84"/>
        <v>2010057</v>
      </c>
      <c r="B1960" s="17">
        <v>201</v>
      </c>
      <c r="C1960" s="17">
        <v>57</v>
      </c>
      <c r="D1960" s="17" t="s">
        <v>917</v>
      </c>
      <c r="E1960" s="17">
        <v>0</v>
      </c>
      <c r="F1960" s="17" t="s">
        <v>918</v>
      </c>
      <c r="G1960" s="17">
        <v>11305500</v>
      </c>
      <c r="H1960" s="17" t="s">
        <v>919</v>
      </c>
      <c r="I1960" s="17">
        <f t="shared" si="83"/>
        <v>11305500</v>
      </c>
    </row>
    <row r="1961" spans="1:9" x14ac:dyDescent="0.3">
      <c r="A1961" s="17" t="str">
        <f t="shared" si="84"/>
        <v>2010058</v>
      </c>
      <c r="B1961" s="17">
        <v>201</v>
      </c>
      <c r="C1961" s="17">
        <v>58</v>
      </c>
      <c r="D1961" s="17" t="s">
        <v>917</v>
      </c>
      <c r="E1961" s="17">
        <v>0</v>
      </c>
      <c r="F1961" s="17" t="s">
        <v>918</v>
      </c>
      <c r="G1961" s="17">
        <v>11990000</v>
      </c>
      <c r="H1961" s="17" t="s">
        <v>919</v>
      </c>
      <c r="I1961" s="17">
        <f t="shared" si="83"/>
        <v>11990000</v>
      </c>
    </row>
    <row r="1962" spans="1:9" x14ac:dyDescent="0.3">
      <c r="A1962" s="17" t="str">
        <f t="shared" si="84"/>
        <v>2010059</v>
      </c>
      <c r="B1962" s="17">
        <v>201</v>
      </c>
      <c r="C1962" s="17">
        <v>59</v>
      </c>
      <c r="D1962" s="17" t="s">
        <v>917</v>
      </c>
      <c r="E1962" s="17">
        <v>0</v>
      </c>
      <c r="F1962" s="17" t="s">
        <v>918</v>
      </c>
      <c r="G1962" s="17">
        <v>12715500</v>
      </c>
      <c r="H1962" s="17" t="s">
        <v>919</v>
      </c>
      <c r="I1962" s="17">
        <f t="shared" si="83"/>
        <v>12715500</v>
      </c>
    </row>
    <row r="1963" spans="1:9" x14ac:dyDescent="0.3">
      <c r="A1963" s="17" t="str">
        <f t="shared" si="84"/>
        <v>2010060</v>
      </c>
      <c r="B1963" s="17">
        <v>201</v>
      </c>
      <c r="C1963" s="17">
        <v>60</v>
      </c>
      <c r="D1963" s="17" t="s">
        <v>917</v>
      </c>
      <c r="E1963" s="17">
        <v>0</v>
      </c>
      <c r="F1963" s="17" t="s">
        <v>918</v>
      </c>
      <c r="G1963" s="17">
        <v>13484500</v>
      </c>
      <c r="H1963" s="17" t="s">
        <v>919</v>
      </c>
      <c r="I1963" s="17">
        <f t="shared" si="83"/>
        <v>13484500</v>
      </c>
    </row>
    <row r="1964" spans="1:9" x14ac:dyDescent="0.3">
      <c r="A1964" s="17" t="str">
        <f t="shared" si="84"/>
        <v>2010061</v>
      </c>
      <c r="B1964" s="17">
        <v>201</v>
      </c>
      <c r="C1964" s="17">
        <v>61</v>
      </c>
      <c r="D1964" s="17" t="s">
        <v>917</v>
      </c>
      <c r="E1964" s="17">
        <v>0</v>
      </c>
      <c r="F1964" s="17" t="s">
        <v>918</v>
      </c>
      <c r="G1964" s="17">
        <v>14299500</v>
      </c>
      <c r="H1964" s="17" t="s">
        <v>919</v>
      </c>
      <c r="I1964" s="17">
        <f t="shared" si="83"/>
        <v>14299500</v>
      </c>
    </row>
    <row r="1965" spans="1:9" x14ac:dyDescent="0.3">
      <c r="A1965" s="17" t="str">
        <f t="shared" si="84"/>
        <v>2010062</v>
      </c>
      <c r="B1965" s="17">
        <v>201</v>
      </c>
      <c r="C1965" s="17">
        <v>62</v>
      </c>
      <c r="D1965" s="17" t="s">
        <v>917</v>
      </c>
      <c r="E1965" s="17">
        <v>0</v>
      </c>
      <c r="F1965" s="17" t="s">
        <v>918</v>
      </c>
      <c r="G1965" s="17">
        <v>15163500</v>
      </c>
      <c r="H1965" s="17" t="s">
        <v>919</v>
      </c>
      <c r="I1965" s="17">
        <f t="shared" si="83"/>
        <v>15163500</v>
      </c>
    </row>
    <row r="1966" spans="1:9" x14ac:dyDescent="0.3">
      <c r="A1966" s="17" t="str">
        <f t="shared" si="84"/>
        <v>2010063</v>
      </c>
      <c r="B1966" s="17">
        <v>201</v>
      </c>
      <c r="C1966" s="17">
        <v>63</v>
      </c>
      <c r="D1966" s="17" t="s">
        <v>917</v>
      </c>
      <c r="E1966" s="17">
        <v>0</v>
      </c>
      <c r="F1966" s="17" t="s">
        <v>918</v>
      </c>
      <c r="G1966" s="17">
        <v>16079500</v>
      </c>
      <c r="H1966" s="17" t="s">
        <v>919</v>
      </c>
      <c r="I1966" s="17">
        <f t="shared" si="83"/>
        <v>16079500</v>
      </c>
    </row>
    <row r="1967" spans="1:9" x14ac:dyDescent="0.3">
      <c r="A1967" s="17" t="str">
        <f t="shared" si="84"/>
        <v>2010064</v>
      </c>
      <c r="B1967" s="17">
        <v>201</v>
      </c>
      <c r="C1967" s="17">
        <v>64</v>
      </c>
      <c r="D1967" s="17" t="s">
        <v>917</v>
      </c>
      <c r="E1967" s="17">
        <v>0</v>
      </c>
      <c r="F1967" s="17" t="s">
        <v>918</v>
      </c>
      <c r="G1967" s="17">
        <v>17050000</v>
      </c>
      <c r="H1967" s="17" t="s">
        <v>919</v>
      </c>
      <c r="I1967" s="17">
        <f t="shared" si="83"/>
        <v>17050000</v>
      </c>
    </row>
    <row r="1968" spans="1:9" x14ac:dyDescent="0.3">
      <c r="A1968" s="17" t="str">
        <f t="shared" si="84"/>
        <v>2010065</v>
      </c>
      <c r="B1968" s="17">
        <v>201</v>
      </c>
      <c r="C1968" s="17">
        <v>65</v>
      </c>
      <c r="D1968" s="17" t="s">
        <v>917</v>
      </c>
      <c r="E1968" s="17">
        <v>0</v>
      </c>
      <c r="F1968" s="17" t="s">
        <v>918</v>
      </c>
      <c r="G1968" s="17">
        <v>18079000</v>
      </c>
      <c r="H1968" s="17" t="s">
        <v>919</v>
      </c>
      <c r="I1968" s="17">
        <f t="shared" si="83"/>
        <v>18079000</v>
      </c>
    </row>
    <row r="1969" spans="1:9" x14ac:dyDescent="0.3">
      <c r="A1969" s="17" t="str">
        <f t="shared" si="84"/>
        <v>2010066</v>
      </c>
      <c r="B1969" s="17">
        <v>201</v>
      </c>
      <c r="C1969" s="17">
        <v>66</v>
      </c>
      <c r="D1969" s="17" t="s">
        <v>917</v>
      </c>
      <c r="E1969" s="17">
        <v>0</v>
      </c>
      <c r="F1969" s="17" t="s">
        <v>918</v>
      </c>
      <c r="G1969" s="17">
        <v>19170000</v>
      </c>
      <c r="H1969" s="17" t="s">
        <v>919</v>
      </c>
      <c r="I1969" s="17">
        <f t="shared" ref="I1969:I2032" si="85">G1969</f>
        <v>19170000</v>
      </c>
    </row>
    <row r="1970" spans="1:9" x14ac:dyDescent="0.3">
      <c r="A1970" s="17" t="str">
        <f t="shared" si="84"/>
        <v>2010067</v>
      </c>
      <c r="B1970" s="17">
        <v>201</v>
      </c>
      <c r="C1970" s="17">
        <v>67</v>
      </c>
      <c r="D1970" s="17" t="s">
        <v>917</v>
      </c>
      <c r="E1970" s="17">
        <v>0</v>
      </c>
      <c r="F1970" s="17" t="s">
        <v>918</v>
      </c>
      <c r="G1970" s="17">
        <v>20326000</v>
      </c>
      <c r="H1970" s="17" t="s">
        <v>919</v>
      </c>
      <c r="I1970" s="17">
        <f t="shared" si="85"/>
        <v>20326000</v>
      </c>
    </row>
    <row r="1971" spans="1:9" x14ac:dyDescent="0.3">
      <c r="A1971" s="17" t="str">
        <f t="shared" si="84"/>
        <v>2010068</v>
      </c>
      <c r="B1971" s="17">
        <v>201</v>
      </c>
      <c r="C1971" s="17">
        <v>68</v>
      </c>
      <c r="D1971" s="17" t="s">
        <v>917</v>
      </c>
      <c r="E1971" s="17">
        <v>0</v>
      </c>
      <c r="F1971" s="17" t="s">
        <v>918</v>
      </c>
      <c r="G1971" s="17">
        <v>21551500</v>
      </c>
      <c r="H1971" s="17" t="s">
        <v>919</v>
      </c>
      <c r="I1971" s="17">
        <f t="shared" si="85"/>
        <v>21551500</v>
      </c>
    </row>
    <row r="1972" spans="1:9" x14ac:dyDescent="0.3">
      <c r="A1972" s="17" t="str">
        <f t="shared" si="84"/>
        <v>2010069</v>
      </c>
      <c r="B1972" s="17">
        <v>201</v>
      </c>
      <c r="C1972" s="17">
        <v>69</v>
      </c>
      <c r="D1972" s="17" t="s">
        <v>917</v>
      </c>
      <c r="E1972" s="17">
        <v>0</v>
      </c>
      <c r="F1972" s="17" t="s">
        <v>918</v>
      </c>
      <c r="G1972" s="17">
        <v>22850500</v>
      </c>
      <c r="H1972" s="17" t="s">
        <v>919</v>
      </c>
      <c r="I1972" s="17">
        <f t="shared" si="85"/>
        <v>22850500</v>
      </c>
    </row>
    <row r="1973" spans="1:9" x14ac:dyDescent="0.3">
      <c r="A1973" s="17" t="str">
        <f t="shared" si="84"/>
        <v>2010070</v>
      </c>
      <c r="B1973" s="17">
        <v>201</v>
      </c>
      <c r="C1973" s="17">
        <v>70</v>
      </c>
      <c r="D1973" s="17" t="s">
        <v>917</v>
      </c>
      <c r="E1973" s="17">
        <v>0</v>
      </c>
      <c r="F1973" s="17" t="s">
        <v>918</v>
      </c>
      <c r="G1973" s="17">
        <v>24228000</v>
      </c>
      <c r="H1973" s="17" t="s">
        <v>919</v>
      </c>
      <c r="I1973" s="17">
        <f t="shared" si="85"/>
        <v>24228000</v>
      </c>
    </row>
    <row r="1974" spans="1:9" x14ac:dyDescent="0.3">
      <c r="A1974" s="17" t="str">
        <f t="shared" si="84"/>
        <v>2010071</v>
      </c>
      <c r="B1974" s="17">
        <v>201</v>
      </c>
      <c r="C1974" s="17">
        <v>71</v>
      </c>
      <c r="D1974" s="17" t="s">
        <v>917</v>
      </c>
      <c r="E1974" s="17">
        <v>0</v>
      </c>
      <c r="F1974" s="17" t="s">
        <v>918</v>
      </c>
      <c r="G1974" s="17">
        <v>25687500</v>
      </c>
      <c r="H1974" s="17" t="s">
        <v>919</v>
      </c>
      <c r="I1974" s="17">
        <f t="shared" si="85"/>
        <v>25687500</v>
      </c>
    </row>
    <row r="1975" spans="1:9" x14ac:dyDescent="0.3">
      <c r="A1975" s="17" t="str">
        <f t="shared" si="84"/>
        <v>2010072</v>
      </c>
      <c r="B1975" s="17">
        <v>201</v>
      </c>
      <c r="C1975" s="17">
        <v>72</v>
      </c>
      <c r="D1975" s="17" t="s">
        <v>917</v>
      </c>
      <c r="E1975" s="17">
        <v>0</v>
      </c>
      <c r="F1975" s="17" t="s">
        <v>918</v>
      </c>
      <c r="G1975" s="17">
        <v>27234500</v>
      </c>
      <c r="H1975" s="17" t="s">
        <v>919</v>
      </c>
      <c r="I1975" s="17">
        <f t="shared" si="85"/>
        <v>27234500</v>
      </c>
    </row>
    <row r="1976" spans="1:9" x14ac:dyDescent="0.3">
      <c r="A1976" s="17" t="str">
        <f t="shared" si="84"/>
        <v>2010073</v>
      </c>
      <c r="B1976" s="17">
        <v>201</v>
      </c>
      <c r="C1976" s="17">
        <v>73</v>
      </c>
      <c r="D1976" s="17" t="s">
        <v>917</v>
      </c>
      <c r="E1976" s="17">
        <v>0</v>
      </c>
      <c r="F1976" s="17" t="s">
        <v>918</v>
      </c>
      <c r="G1976" s="17">
        <v>28875000</v>
      </c>
      <c r="H1976" s="17" t="s">
        <v>919</v>
      </c>
      <c r="I1976" s="17">
        <f t="shared" si="85"/>
        <v>28875000</v>
      </c>
    </row>
    <row r="1977" spans="1:9" x14ac:dyDescent="0.3">
      <c r="A1977" s="17" t="str">
        <f t="shared" si="84"/>
        <v>2010074</v>
      </c>
      <c r="B1977" s="17">
        <v>201</v>
      </c>
      <c r="C1977" s="17">
        <v>74</v>
      </c>
      <c r="D1977" s="17" t="s">
        <v>917</v>
      </c>
      <c r="E1977" s="17">
        <v>0</v>
      </c>
      <c r="F1977" s="17" t="s">
        <v>918</v>
      </c>
      <c r="G1977" s="17">
        <v>30613500</v>
      </c>
      <c r="H1977" s="17" t="s">
        <v>919</v>
      </c>
      <c r="I1977" s="17">
        <f t="shared" si="85"/>
        <v>30613500</v>
      </c>
    </row>
    <row r="1978" spans="1:9" x14ac:dyDescent="0.3">
      <c r="A1978" s="17" t="str">
        <f t="shared" si="84"/>
        <v>2010075</v>
      </c>
      <c r="B1978" s="17">
        <v>201</v>
      </c>
      <c r="C1978" s="17">
        <v>75</v>
      </c>
      <c r="D1978" s="17" t="s">
        <v>917</v>
      </c>
      <c r="E1978" s="17">
        <v>0</v>
      </c>
      <c r="F1978" s="17" t="s">
        <v>918</v>
      </c>
      <c r="G1978" s="17">
        <v>32456000</v>
      </c>
      <c r="H1978" s="17" t="s">
        <v>919</v>
      </c>
      <c r="I1978" s="17">
        <f t="shared" si="85"/>
        <v>32456000</v>
      </c>
    </row>
    <row r="1979" spans="1:9" x14ac:dyDescent="0.3">
      <c r="A1979" s="17" t="str">
        <f t="shared" si="84"/>
        <v>2010076</v>
      </c>
      <c r="B1979" s="17">
        <v>201</v>
      </c>
      <c r="C1979" s="17">
        <v>76</v>
      </c>
      <c r="D1979" s="17" t="s">
        <v>917</v>
      </c>
      <c r="E1979" s="17">
        <v>0</v>
      </c>
      <c r="F1979" s="17" t="s">
        <v>918</v>
      </c>
      <c r="G1979" s="17">
        <v>34409500</v>
      </c>
      <c r="H1979" s="17" t="s">
        <v>919</v>
      </c>
      <c r="I1979" s="17">
        <f t="shared" si="85"/>
        <v>34409500</v>
      </c>
    </row>
    <row r="1980" spans="1:9" x14ac:dyDescent="0.3">
      <c r="A1980" s="17" t="str">
        <f t="shared" si="84"/>
        <v>2010077</v>
      </c>
      <c r="B1980" s="17">
        <v>201</v>
      </c>
      <c r="C1980" s="17">
        <v>77</v>
      </c>
      <c r="D1980" s="17" t="s">
        <v>917</v>
      </c>
      <c r="E1980" s="17">
        <v>0</v>
      </c>
      <c r="F1980" s="17" t="s">
        <v>918</v>
      </c>
      <c r="G1980" s="17">
        <v>36135000</v>
      </c>
      <c r="H1980" s="17" t="s">
        <v>919</v>
      </c>
      <c r="I1980" s="17">
        <f t="shared" si="85"/>
        <v>36135000</v>
      </c>
    </row>
    <row r="1981" spans="1:9" x14ac:dyDescent="0.3">
      <c r="A1981" s="17" t="str">
        <f t="shared" si="84"/>
        <v>2010078</v>
      </c>
      <c r="B1981" s="17">
        <v>201</v>
      </c>
      <c r="C1981" s="17">
        <v>78</v>
      </c>
      <c r="D1981" s="17" t="s">
        <v>917</v>
      </c>
      <c r="E1981" s="17">
        <v>0</v>
      </c>
      <c r="F1981" s="17" t="s">
        <v>918</v>
      </c>
      <c r="G1981" s="17">
        <v>37947000</v>
      </c>
      <c r="H1981" s="17" t="s">
        <v>919</v>
      </c>
      <c r="I1981" s="17">
        <f t="shared" si="85"/>
        <v>37947000</v>
      </c>
    </row>
    <row r="1982" spans="1:9" x14ac:dyDescent="0.3">
      <c r="A1982" s="17" t="str">
        <f t="shared" si="84"/>
        <v>2010079</v>
      </c>
      <c r="B1982" s="17">
        <v>201</v>
      </c>
      <c r="C1982" s="17">
        <v>79</v>
      </c>
      <c r="D1982" s="17" t="s">
        <v>917</v>
      </c>
      <c r="E1982" s="17">
        <v>0</v>
      </c>
      <c r="F1982" s="17" t="s">
        <v>918</v>
      </c>
      <c r="G1982" s="17">
        <v>39849000</v>
      </c>
      <c r="H1982" s="17" t="s">
        <v>919</v>
      </c>
      <c r="I1982" s="17">
        <f t="shared" si="85"/>
        <v>39849000</v>
      </c>
    </row>
    <row r="1983" spans="1:9" x14ac:dyDescent="0.3">
      <c r="A1983" s="17" t="str">
        <f t="shared" si="84"/>
        <v>2010080</v>
      </c>
      <c r="B1983" s="17">
        <v>201</v>
      </c>
      <c r="C1983" s="17">
        <v>80</v>
      </c>
      <c r="D1983" s="17" t="s">
        <v>917</v>
      </c>
      <c r="E1983" s="17">
        <v>0</v>
      </c>
      <c r="F1983" s="17" t="s">
        <v>918</v>
      </c>
      <c r="G1983" s="17">
        <v>41846500</v>
      </c>
      <c r="H1983" s="17" t="s">
        <v>919</v>
      </c>
      <c r="I1983" s="17">
        <f t="shared" si="85"/>
        <v>41846500</v>
      </c>
    </row>
    <row r="1984" spans="1:9" x14ac:dyDescent="0.3">
      <c r="A1984" s="17" t="str">
        <f t="shared" si="84"/>
        <v>2010081</v>
      </c>
      <c r="B1984" s="17">
        <v>201</v>
      </c>
      <c r="C1984" s="17">
        <v>81</v>
      </c>
      <c r="D1984" s="17" t="s">
        <v>917</v>
      </c>
      <c r="E1984" s="17">
        <v>0</v>
      </c>
      <c r="F1984" s="17" t="s">
        <v>918</v>
      </c>
      <c r="G1984" s="17">
        <v>43944000</v>
      </c>
      <c r="H1984" s="17" t="s">
        <v>919</v>
      </c>
      <c r="I1984" s="17">
        <f t="shared" si="85"/>
        <v>43944000</v>
      </c>
    </row>
    <row r="1985" spans="1:9" x14ac:dyDescent="0.3">
      <c r="A1985" s="17" t="str">
        <f t="shared" si="84"/>
        <v>2010082</v>
      </c>
      <c r="B1985" s="17">
        <v>201</v>
      </c>
      <c r="C1985" s="17">
        <v>82</v>
      </c>
      <c r="D1985" s="17" t="s">
        <v>917</v>
      </c>
      <c r="E1985" s="17">
        <v>0</v>
      </c>
      <c r="F1985" s="17" t="s">
        <v>918</v>
      </c>
      <c r="G1985" s="17">
        <v>46146000</v>
      </c>
      <c r="H1985" s="17" t="s">
        <v>919</v>
      </c>
      <c r="I1985" s="17">
        <f t="shared" si="85"/>
        <v>46146000</v>
      </c>
    </row>
    <row r="1986" spans="1:9" x14ac:dyDescent="0.3">
      <c r="A1986" s="17" t="str">
        <f t="shared" si="84"/>
        <v>2010083</v>
      </c>
      <c r="B1986" s="17">
        <v>201</v>
      </c>
      <c r="C1986" s="17">
        <v>83</v>
      </c>
      <c r="D1986" s="17" t="s">
        <v>917</v>
      </c>
      <c r="E1986" s="17">
        <v>0</v>
      </c>
      <c r="F1986" s="17" t="s">
        <v>918</v>
      </c>
      <c r="G1986" s="17">
        <v>48458500</v>
      </c>
      <c r="H1986" s="17" t="s">
        <v>919</v>
      </c>
      <c r="I1986" s="17">
        <f t="shared" si="85"/>
        <v>48458500</v>
      </c>
    </row>
    <row r="1987" spans="1:9" x14ac:dyDescent="0.3">
      <c r="A1987" s="17" t="str">
        <f t="shared" si="84"/>
        <v>2010084</v>
      </c>
      <c r="B1987" s="17">
        <v>201</v>
      </c>
      <c r="C1987" s="17">
        <v>84</v>
      </c>
      <c r="D1987" s="17" t="s">
        <v>917</v>
      </c>
      <c r="E1987" s="17">
        <v>0</v>
      </c>
      <c r="F1987" s="17" t="s">
        <v>918</v>
      </c>
      <c r="G1987" s="17">
        <v>50886500</v>
      </c>
      <c r="H1987" s="17" t="s">
        <v>919</v>
      </c>
      <c r="I1987" s="17">
        <f t="shared" si="85"/>
        <v>50886500</v>
      </c>
    </row>
    <row r="1988" spans="1:9" x14ac:dyDescent="0.3">
      <c r="A1988" s="17" t="str">
        <f t="shared" ref="A1988:A2051" si="86">B1988&amp;TEXT(C1988,"0000")</f>
        <v>2010085</v>
      </c>
      <c r="B1988" s="17">
        <v>201</v>
      </c>
      <c r="C1988" s="17">
        <v>85</v>
      </c>
      <c r="D1988" s="17" t="s">
        <v>917</v>
      </c>
      <c r="E1988" s="17">
        <v>0</v>
      </c>
      <c r="F1988" s="17" t="s">
        <v>918</v>
      </c>
      <c r="G1988" s="17">
        <v>53435500</v>
      </c>
      <c r="H1988" s="17" t="s">
        <v>919</v>
      </c>
      <c r="I1988" s="17">
        <f t="shared" si="85"/>
        <v>53435500</v>
      </c>
    </row>
    <row r="1989" spans="1:9" x14ac:dyDescent="0.3">
      <c r="A1989" s="17" t="str">
        <f t="shared" si="86"/>
        <v>2010086</v>
      </c>
      <c r="B1989" s="17">
        <v>201</v>
      </c>
      <c r="C1989" s="17">
        <v>86</v>
      </c>
      <c r="D1989" s="17" t="s">
        <v>917</v>
      </c>
      <c r="E1989" s="17">
        <v>0</v>
      </c>
      <c r="F1989" s="17" t="s">
        <v>918</v>
      </c>
      <c r="G1989" s="17">
        <v>56112500</v>
      </c>
      <c r="H1989" s="17" t="s">
        <v>919</v>
      </c>
      <c r="I1989" s="17">
        <f t="shared" si="85"/>
        <v>56112500</v>
      </c>
    </row>
    <row r="1990" spans="1:9" x14ac:dyDescent="0.3">
      <c r="A1990" s="17" t="str">
        <f t="shared" si="86"/>
        <v>2010087</v>
      </c>
      <c r="B1990" s="17">
        <v>201</v>
      </c>
      <c r="C1990" s="17">
        <v>87</v>
      </c>
      <c r="D1990" s="17" t="s">
        <v>917</v>
      </c>
      <c r="E1990" s="17">
        <v>0</v>
      </c>
      <c r="F1990" s="17" t="s">
        <v>918</v>
      </c>
      <c r="G1990" s="17">
        <v>58923000</v>
      </c>
      <c r="H1990" s="17" t="s">
        <v>919</v>
      </c>
      <c r="I1990" s="17">
        <f t="shared" si="85"/>
        <v>58923000</v>
      </c>
    </row>
    <row r="1991" spans="1:9" x14ac:dyDescent="0.3">
      <c r="A1991" s="17" t="str">
        <f t="shared" si="86"/>
        <v>2010088</v>
      </c>
      <c r="B1991" s="17">
        <v>201</v>
      </c>
      <c r="C1991" s="17">
        <v>88</v>
      </c>
      <c r="D1991" s="17" t="s">
        <v>917</v>
      </c>
      <c r="E1991" s="17">
        <v>0</v>
      </c>
      <c r="F1991" s="17" t="s">
        <v>918</v>
      </c>
      <c r="G1991" s="17">
        <v>61874500</v>
      </c>
      <c r="H1991" s="17" t="s">
        <v>919</v>
      </c>
      <c r="I1991" s="17">
        <f t="shared" si="85"/>
        <v>61874500</v>
      </c>
    </row>
    <row r="1992" spans="1:9" x14ac:dyDescent="0.3">
      <c r="A1992" s="17" t="str">
        <f t="shared" si="86"/>
        <v>2010089</v>
      </c>
      <c r="B1992" s="17">
        <v>201</v>
      </c>
      <c r="C1992" s="17">
        <v>89</v>
      </c>
      <c r="D1992" s="17" t="s">
        <v>917</v>
      </c>
      <c r="E1992" s="17">
        <v>0</v>
      </c>
      <c r="F1992" s="17" t="s">
        <v>918</v>
      </c>
      <c r="G1992" s="17">
        <v>64973000</v>
      </c>
      <c r="H1992" s="17" t="s">
        <v>919</v>
      </c>
      <c r="I1992" s="17">
        <f t="shared" si="85"/>
        <v>64973000</v>
      </c>
    </row>
    <row r="1993" spans="1:9" x14ac:dyDescent="0.3">
      <c r="A1993" s="17" t="str">
        <f t="shared" si="86"/>
        <v>2010090</v>
      </c>
      <c r="B1993" s="17">
        <v>201</v>
      </c>
      <c r="C1993" s="17">
        <v>90</v>
      </c>
      <c r="D1993" s="17" t="s">
        <v>917</v>
      </c>
      <c r="E1993" s="17">
        <v>0</v>
      </c>
      <c r="F1993" s="17" t="s">
        <v>918</v>
      </c>
      <c r="G1993" s="17">
        <v>68226500</v>
      </c>
      <c r="H1993" s="17" t="s">
        <v>919</v>
      </c>
      <c r="I1993" s="17">
        <f t="shared" si="85"/>
        <v>68226500</v>
      </c>
    </row>
    <row r="1994" spans="1:9" x14ac:dyDescent="0.3">
      <c r="A1994" s="17" t="str">
        <f t="shared" si="86"/>
        <v>2010091</v>
      </c>
      <c r="B1994" s="17">
        <v>201</v>
      </c>
      <c r="C1994" s="17">
        <v>91</v>
      </c>
      <c r="D1994" s="17" t="s">
        <v>917</v>
      </c>
      <c r="E1994" s="17">
        <v>0</v>
      </c>
      <c r="F1994" s="17" t="s">
        <v>918</v>
      </c>
      <c r="G1994" s="17">
        <v>71643000</v>
      </c>
      <c r="H1994" s="17" t="s">
        <v>919</v>
      </c>
      <c r="I1994" s="17">
        <f t="shared" si="85"/>
        <v>71643000</v>
      </c>
    </row>
    <row r="1995" spans="1:9" x14ac:dyDescent="0.3">
      <c r="A1995" s="17" t="str">
        <f t="shared" si="86"/>
        <v>2010092</v>
      </c>
      <c r="B1995" s="17">
        <v>201</v>
      </c>
      <c r="C1995" s="17">
        <v>92</v>
      </c>
      <c r="D1995" s="17" t="s">
        <v>917</v>
      </c>
      <c r="E1995" s="17">
        <v>0</v>
      </c>
      <c r="F1995" s="17" t="s">
        <v>918</v>
      </c>
      <c r="G1995" s="17">
        <v>75230500</v>
      </c>
      <c r="H1995" s="17" t="s">
        <v>919</v>
      </c>
      <c r="I1995" s="17">
        <f t="shared" si="85"/>
        <v>75230500</v>
      </c>
    </row>
    <row r="1996" spans="1:9" x14ac:dyDescent="0.3">
      <c r="A1996" s="17" t="str">
        <f t="shared" si="86"/>
        <v>2010093</v>
      </c>
      <c r="B1996" s="17">
        <v>201</v>
      </c>
      <c r="C1996" s="17">
        <v>93</v>
      </c>
      <c r="D1996" s="17" t="s">
        <v>917</v>
      </c>
      <c r="E1996" s="17">
        <v>0</v>
      </c>
      <c r="F1996" s="17" t="s">
        <v>918</v>
      </c>
      <c r="G1996" s="17">
        <v>78997000</v>
      </c>
      <c r="H1996" s="17" t="s">
        <v>919</v>
      </c>
      <c r="I1996" s="17">
        <f t="shared" si="85"/>
        <v>78997000</v>
      </c>
    </row>
    <row r="1997" spans="1:9" x14ac:dyDescent="0.3">
      <c r="A1997" s="17" t="str">
        <f t="shared" si="86"/>
        <v>2010094</v>
      </c>
      <c r="B1997" s="17">
        <v>201</v>
      </c>
      <c r="C1997" s="17">
        <v>94</v>
      </c>
      <c r="D1997" s="17" t="s">
        <v>917</v>
      </c>
      <c r="E1997" s="17">
        <v>0</v>
      </c>
      <c r="F1997" s="17" t="s">
        <v>918</v>
      </c>
      <c r="G1997" s="17">
        <v>82951500</v>
      </c>
      <c r="H1997" s="17" t="s">
        <v>919</v>
      </c>
      <c r="I1997" s="17">
        <f t="shared" si="85"/>
        <v>82951500</v>
      </c>
    </row>
    <row r="1998" spans="1:9" x14ac:dyDescent="0.3">
      <c r="A1998" s="17" t="str">
        <f t="shared" si="86"/>
        <v>2010095</v>
      </c>
      <c r="B1998" s="17">
        <v>201</v>
      </c>
      <c r="C1998" s="17">
        <v>95</v>
      </c>
      <c r="D1998" s="17" t="s">
        <v>917</v>
      </c>
      <c r="E1998" s="17">
        <v>0</v>
      </c>
      <c r="F1998" s="17" t="s">
        <v>918</v>
      </c>
      <c r="G1998" s="17">
        <v>87104000</v>
      </c>
      <c r="H1998" s="17" t="s">
        <v>919</v>
      </c>
      <c r="I1998" s="17">
        <f t="shared" si="85"/>
        <v>87104000</v>
      </c>
    </row>
    <row r="1999" spans="1:9" x14ac:dyDescent="0.3">
      <c r="A1999" s="17" t="str">
        <f t="shared" si="86"/>
        <v>2010096</v>
      </c>
      <c r="B1999" s="17">
        <v>201</v>
      </c>
      <c r="C1999" s="17">
        <v>96</v>
      </c>
      <c r="D1999" s="17" t="s">
        <v>917</v>
      </c>
      <c r="E1999" s="17">
        <v>0</v>
      </c>
      <c r="F1999" s="17" t="s">
        <v>918</v>
      </c>
      <c r="G1999" s="17">
        <v>91464500</v>
      </c>
      <c r="H1999" s="17" t="s">
        <v>919</v>
      </c>
      <c r="I1999" s="17">
        <f t="shared" si="85"/>
        <v>91464500</v>
      </c>
    </row>
    <row r="2000" spans="1:9" x14ac:dyDescent="0.3">
      <c r="A2000" s="17" t="str">
        <f t="shared" si="86"/>
        <v>2010097</v>
      </c>
      <c r="B2000" s="17">
        <v>201</v>
      </c>
      <c r="C2000" s="17">
        <v>97</v>
      </c>
      <c r="D2000" s="17" t="s">
        <v>917</v>
      </c>
      <c r="E2000" s="17">
        <v>0</v>
      </c>
      <c r="F2000" s="17" t="s">
        <v>918</v>
      </c>
      <c r="G2000" s="17">
        <v>96958500</v>
      </c>
      <c r="H2000" s="17" t="s">
        <v>919</v>
      </c>
      <c r="I2000" s="17">
        <f t="shared" si="85"/>
        <v>96958500</v>
      </c>
    </row>
    <row r="2001" spans="1:9" x14ac:dyDescent="0.3">
      <c r="A2001" s="17" t="str">
        <f t="shared" si="86"/>
        <v>2010098</v>
      </c>
      <c r="B2001" s="17">
        <v>201</v>
      </c>
      <c r="C2001" s="17">
        <v>98</v>
      </c>
      <c r="D2001" s="17" t="s">
        <v>917</v>
      </c>
      <c r="E2001" s="17">
        <v>0</v>
      </c>
      <c r="F2001" s="17" t="s">
        <v>918</v>
      </c>
      <c r="G2001" s="17">
        <v>98899500</v>
      </c>
      <c r="H2001" s="17" t="s">
        <v>919</v>
      </c>
      <c r="I2001" s="17">
        <f t="shared" si="85"/>
        <v>98899500</v>
      </c>
    </row>
    <row r="2002" spans="1:9" x14ac:dyDescent="0.3">
      <c r="A2002" s="17" t="str">
        <f t="shared" si="86"/>
        <v>2010099</v>
      </c>
      <c r="B2002" s="17">
        <v>201</v>
      </c>
      <c r="C2002" s="17">
        <v>99</v>
      </c>
      <c r="D2002" s="17" t="s">
        <v>917</v>
      </c>
      <c r="E2002" s="17">
        <v>0</v>
      </c>
      <c r="F2002" s="17" t="s">
        <v>918</v>
      </c>
      <c r="G2002" s="17">
        <v>100879500</v>
      </c>
      <c r="H2002" s="17" t="s">
        <v>919</v>
      </c>
      <c r="I2002" s="17">
        <f t="shared" si="85"/>
        <v>100879500</v>
      </c>
    </row>
    <row r="2003" spans="1:9" x14ac:dyDescent="0.3">
      <c r="A2003" s="17" t="str">
        <f t="shared" si="86"/>
        <v>2010100</v>
      </c>
      <c r="B2003" s="17">
        <v>201</v>
      </c>
      <c r="C2003" s="17">
        <v>100</v>
      </c>
      <c r="D2003" s="17" t="s">
        <v>917</v>
      </c>
      <c r="E2003" s="17">
        <v>0</v>
      </c>
      <c r="F2003" s="17" t="s">
        <v>918</v>
      </c>
      <c r="G2003" s="17">
        <v>102899000</v>
      </c>
      <c r="H2003" s="17" t="s">
        <v>919</v>
      </c>
      <c r="I2003" s="17">
        <f t="shared" si="85"/>
        <v>102899000</v>
      </c>
    </row>
    <row r="2004" spans="1:9" x14ac:dyDescent="0.3">
      <c r="A2004" s="17" t="str">
        <f t="shared" si="86"/>
        <v>2010101</v>
      </c>
      <c r="B2004" s="17">
        <v>201</v>
      </c>
      <c r="C2004" s="17">
        <v>101</v>
      </c>
      <c r="D2004" s="17" t="s">
        <v>917</v>
      </c>
      <c r="E2004" s="17">
        <v>0</v>
      </c>
      <c r="F2004" s="17" t="s">
        <v>918</v>
      </c>
      <c r="G2004" s="17">
        <v>104959000</v>
      </c>
      <c r="H2004" s="17" t="s">
        <v>919</v>
      </c>
      <c r="I2004" s="17">
        <f t="shared" si="85"/>
        <v>104959000</v>
      </c>
    </row>
    <row r="2005" spans="1:9" x14ac:dyDescent="0.3">
      <c r="A2005" s="17" t="str">
        <f t="shared" si="86"/>
        <v>2010102</v>
      </c>
      <c r="B2005" s="17">
        <v>201</v>
      </c>
      <c r="C2005" s="17">
        <v>102</v>
      </c>
      <c r="D2005" s="17" t="s">
        <v>917</v>
      </c>
      <c r="E2005" s="17">
        <v>0</v>
      </c>
      <c r="F2005" s="17" t="s">
        <v>918</v>
      </c>
      <c r="G2005" s="17">
        <v>107060500</v>
      </c>
      <c r="H2005" s="17" t="s">
        <v>919</v>
      </c>
      <c r="I2005" s="17">
        <f t="shared" si="85"/>
        <v>107060500</v>
      </c>
    </row>
    <row r="2006" spans="1:9" x14ac:dyDescent="0.3">
      <c r="A2006" s="17" t="str">
        <f t="shared" si="86"/>
        <v>2010103</v>
      </c>
      <c r="B2006" s="17">
        <v>201</v>
      </c>
      <c r="C2006" s="17">
        <v>103</v>
      </c>
      <c r="D2006" s="17" t="s">
        <v>917</v>
      </c>
      <c r="E2006" s="17">
        <v>0</v>
      </c>
      <c r="F2006" s="17" t="s">
        <v>918</v>
      </c>
      <c r="G2006" s="17">
        <v>109203500</v>
      </c>
      <c r="H2006" s="17" t="s">
        <v>919</v>
      </c>
      <c r="I2006" s="17">
        <f t="shared" si="85"/>
        <v>109203500</v>
      </c>
    </row>
    <row r="2007" spans="1:9" x14ac:dyDescent="0.3">
      <c r="A2007" s="17" t="str">
        <f t="shared" si="86"/>
        <v>2010104</v>
      </c>
      <c r="B2007" s="17">
        <v>201</v>
      </c>
      <c r="C2007" s="17">
        <v>104</v>
      </c>
      <c r="D2007" s="17" t="s">
        <v>917</v>
      </c>
      <c r="E2007" s="17">
        <v>0</v>
      </c>
      <c r="F2007" s="17" t="s">
        <v>918</v>
      </c>
      <c r="G2007" s="17">
        <v>111389500</v>
      </c>
      <c r="H2007" s="17" t="s">
        <v>919</v>
      </c>
      <c r="I2007" s="17">
        <f t="shared" si="85"/>
        <v>111389500</v>
      </c>
    </row>
    <row r="2008" spans="1:9" x14ac:dyDescent="0.3">
      <c r="A2008" s="17" t="str">
        <f t="shared" si="86"/>
        <v>2010105</v>
      </c>
      <c r="B2008" s="17">
        <v>201</v>
      </c>
      <c r="C2008" s="17">
        <v>105</v>
      </c>
      <c r="D2008" s="17" t="s">
        <v>917</v>
      </c>
      <c r="E2008" s="17">
        <v>0</v>
      </c>
      <c r="F2008" s="17" t="s">
        <v>918</v>
      </c>
      <c r="G2008" s="17">
        <v>113619500</v>
      </c>
      <c r="H2008" s="17" t="s">
        <v>919</v>
      </c>
      <c r="I2008" s="17">
        <f t="shared" si="85"/>
        <v>113619500</v>
      </c>
    </row>
    <row r="2009" spans="1:9" x14ac:dyDescent="0.3">
      <c r="A2009" s="17" t="str">
        <f t="shared" si="86"/>
        <v>2010106</v>
      </c>
      <c r="B2009" s="17">
        <v>201</v>
      </c>
      <c r="C2009" s="17">
        <v>106</v>
      </c>
      <c r="D2009" s="17" t="s">
        <v>917</v>
      </c>
      <c r="E2009" s="17">
        <v>0</v>
      </c>
      <c r="F2009" s="17" t="s">
        <v>918</v>
      </c>
      <c r="G2009" s="17">
        <v>115893500</v>
      </c>
      <c r="H2009" s="17" t="s">
        <v>919</v>
      </c>
      <c r="I2009" s="17">
        <f t="shared" si="85"/>
        <v>115893500</v>
      </c>
    </row>
    <row r="2010" spans="1:9" x14ac:dyDescent="0.3">
      <c r="A2010" s="17" t="str">
        <f t="shared" si="86"/>
        <v>2010107</v>
      </c>
      <c r="B2010" s="17">
        <v>201</v>
      </c>
      <c r="C2010" s="17">
        <v>107</v>
      </c>
      <c r="D2010" s="17" t="s">
        <v>917</v>
      </c>
      <c r="E2010" s="17">
        <v>0</v>
      </c>
      <c r="F2010" s="17" t="s">
        <v>918</v>
      </c>
      <c r="G2010" s="17">
        <v>118213500</v>
      </c>
      <c r="H2010" s="17" t="s">
        <v>919</v>
      </c>
      <c r="I2010" s="17">
        <f t="shared" si="85"/>
        <v>118213500</v>
      </c>
    </row>
    <row r="2011" spans="1:9" x14ac:dyDescent="0.3">
      <c r="A2011" s="17" t="str">
        <f t="shared" si="86"/>
        <v>2010108</v>
      </c>
      <c r="B2011" s="17">
        <v>201</v>
      </c>
      <c r="C2011" s="17">
        <v>108</v>
      </c>
      <c r="D2011" s="17" t="s">
        <v>917</v>
      </c>
      <c r="E2011" s="17">
        <v>0</v>
      </c>
      <c r="F2011" s="17" t="s">
        <v>918</v>
      </c>
      <c r="G2011" s="17">
        <v>120580000</v>
      </c>
      <c r="H2011" s="17" t="s">
        <v>919</v>
      </c>
      <c r="I2011" s="17">
        <f t="shared" si="85"/>
        <v>120580000</v>
      </c>
    </row>
    <row r="2012" spans="1:9" x14ac:dyDescent="0.3">
      <c r="A2012" s="17" t="str">
        <f t="shared" si="86"/>
        <v>2010109</v>
      </c>
      <c r="B2012" s="17">
        <v>201</v>
      </c>
      <c r="C2012" s="17">
        <v>109</v>
      </c>
      <c r="D2012" s="17" t="s">
        <v>917</v>
      </c>
      <c r="E2012" s="17">
        <v>0</v>
      </c>
      <c r="F2012" s="17" t="s">
        <v>918</v>
      </c>
      <c r="G2012" s="17">
        <v>122993500</v>
      </c>
      <c r="H2012" s="17" t="s">
        <v>919</v>
      </c>
      <c r="I2012" s="17">
        <f t="shared" si="85"/>
        <v>122993500</v>
      </c>
    </row>
    <row r="2013" spans="1:9" x14ac:dyDescent="0.3">
      <c r="A2013" s="17" t="str">
        <f t="shared" si="86"/>
        <v>2010110</v>
      </c>
      <c r="B2013" s="17">
        <v>201</v>
      </c>
      <c r="C2013" s="17">
        <v>110</v>
      </c>
      <c r="D2013" s="17" t="s">
        <v>917</v>
      </c>
      <c r="E2013" s="17">
        <v>0</v>
      </c>
      <c r="F2013" s="17" t="s">
        <v>918</v>
      </c>
      <c r="G2013" s="17">
        <v>125455500</v>
      </c>
      <c r="H2013" s="17" t="s">
        <v>919</v>
      </c>
      <c r="I2013" s="17">
        <f t="shared" si="85"/>
        <v>125455500</v>
      </c>
    </row>
    <row r="2014" spans="1:9" x14ac:dyDescent="0.3">
      <c r="A2014" s="17" t="str">
        <f t="shared" si="86"/>
        <v>2010111</v>
      </c>
      <c r="B2014" s="17">
        <v>201</v>
      </c>
      <c r="C2014" s="17">
        <v>111</v>
      </c>
      <c r="D2014" s="17" t="s">
        <v>917</v>
      </c>
      <c r="E2014" s="17">
        <v>0</v>
      </c>
      <c r="F2014" s="17" t="s">
        <v>918</v>
      </c>
      <c r="G2014" s="17">
        <v>127966500</v>
      </c>
      <c r="H2014" s="17" t="s">
        <v>919</v>
      </c>
      <c r="I2014" s="17">
        <f t="shared" si="85"/>
        <v>127966500</v>
      </c>
    </row>
    <row r="2015" spans="1:9" x14ac:dyDescent="0.3">
      <c r="A2015" s="17" t="str">
        <f t="shared" si="86"/>
        <v>2010112</v>
      </c>
      <c r="B2015" s="17">
        <v>201</v>
      </c>
      <c r="C2015" s="17">
        <v>112</v>
      </c>
      <c r="D2015" s="17" t="s">
        <v>917</v>
      </c>
      <c r="E2015" s="17">
        <v>0</v>
      </c>
      <c r="F2015" s="17" t="s">
        <v>918</v>
      </c>
      <c r="G2015" s="17">
        <v>130528000</v>
      </c>
      <c r="H2015" s="17" t="s">
        <v>919</v>
      </c>
      <c r="I2015" s="17">
        <f t="shared" si="85"/>
        <v>130528000</v>
      </c>
    </row>
    <row r="2016" spans="1:9" x14ac:dyDescent="0.3">
      <c r="A2016" s="17" t="str">
        <f t="shared" si="86"/>
        <v>2010113</v>
      </c>
      <c r="B2016" s="17">
        <v>201</v>
      </c>
      <c r="C2016" s="17">
        <v>113</v>
      </c>
      <c r="D2016" s="17" t="s">
        <v>917</v>
      </c>
      <c r="E2016" s="17">
        <v>0</v>
      </c>
      <c r="F2016" s="17" t="s">
        <v>918</v>
      </c>
      <c r="G2016" s="17">
        <v>133140500</v>
      </c>
      <c r="H2016" s="17" t="s">
        <v>919</v>
      </c>
      <c r="I2016" s="17">
        <f t="shared" si="85"/>
        <v>133140500</v>
      </c>
    </row>
    <row r="2017" spans="1:9" x14ac:dyDescent="0.3">
      <c r="A2017" s="17" t="str">
        <f t="shared" si="86"/>
        <v>2010114</v>
      </c>
      <c r="B2017" s="17">
        <v>201</v>
      </c>
      <c r="C2017" s="17">
        <v>114</v>
      </c>
      <c r="D2017" s="17" t="s">
        <v>917</v>
      </c>
      <c r="E2017" s="17">
        <v>0</v>
      </c>
      <c r="F2017" s="17" t="s">
        <v>918</v>
      </c>
      <c r="G2017" s="17">
        <v>135805000</v>
      </c>
      <c r="H2017" s="17" t="s">
        <v>919</v>
      </c>
      <c r="I2017" s="17">
        <f t="shared" si="85"/>
        <v>135805000</v>
      </c>
    </row>
    <row r="2018" spans="1:9" x14ac:dyDescent="0.3">
      <c r="A2018" s="17" t="str">
        <f t="shared" si="86"/>
        <v>2010115</v>
      </c>
      <c r="B2018" s="17">
        <v>201</v>
      </c>
      <c r="C2018" s="17">
        <v>115</v>
      </c>
      <c r="D2018" s="17" t="s">
        <v>917</v>
      </c>
      <c r="E2018" s="17">
        <v>0</v>
      </c>
      <c r="F2018" s="17" t="s">
        <v>918</v>
      </c>
      <c r="G2018" s="17">
        <v>138523500</v>
      </c>
      <c r="H2018" s="17" t="s">
        <v>919</v>
      </c>
      <c r="I2018" s="17">
        <f t="shared" si="85"/>
        <v>138523500</v>
      </c>
    </row>
    <row r="2019" spans="1:9" x14ac:dyDescent="0.3">
      <c r="A2019" s="17" t="str">
        <f t="shared" si="86"/>
        <v>2010116</v>
      </c>
      <c r="B2019" s="17">
        <v>201</v>
      </c>
      <c r="C2019" s="17">
        <v>116</v>
      </c>
      <c r="D2019" s="17" t="s">
        <v>917</v>
      </c>
      <c r="E2019" s="17">
        <v>0</v>
      </c>
      <c r="F2019" s="17" t="s">
        <v>918</v>
      </c>
      <c r="G2019" s="17">
        <v>141296000</v>
      </c>
      <c r="H2019" s="17" t="s">
        <v>919</v>
      </c>
      <c r="I2019" s="17">
        <f t="shared" si="85"/>
        <v>141296000</v>
      </c>
    </row>
    <row r="2020" spans="1:9" x14ac:dyDescent="0.3">
      <c r="A2020" s="17" t="str">
        <f t="shared" si="86"/>
        <v>2010117</v>
      </c>
      <c r="B2020" s="17">
        <v>201</v>
      </c>
      <c r="C2020" s="17">
        <v>117</v>
      </c>
      <c r="D2020" s="17" t="s">
        <v>917</v>
      </c>
      <c r="E2020" s="17">
        <v>0</v>
      </c>
      <c r="F2020" s="17" t="s">
        <v>918</v>
      </c>
      <c r="G2020" s="17">
        <v>144123500</v>
      </c>
      <c r="H2020" s="17" t="s">
        <v>919</v>
      </c>
      <c r="I2020" s="17">
        <f t="shared" si="85"/>
        <v>144123500</v>
      </c>
    </row>
    <row r="2021" spans="1:9" x14ac:dyDescent="0.3">
      <c r="A2021" s="17" t="str">
        <f t="shared" si="86"/>
        <v>2010118</v>
      </c>
      <c r="B2021" s="17">
        <v>201</v>
      </c>
      <c r="C2021" s="17">
        <v>118</v>
      </c>
      <c r="D2021" s="17" t="s">
        <v>917</v>
      </c>
      <c r="E2021" s="17">
        <v>0</v>
      </c>
      <c r="F2021" s="17" t="s">
        <v>918</v>
      </c>
      <c r="G2021" s="17">
        <v>147008000</v>
      </c>
      <c r="H2021" s="17" t="s">
        <v>919</v>
      </c>
      <c r="I2021" s="17">
        <f t="shared" si="85"/>
        <v>147008000</v>
      </c>
    </row>
    <row r="2022" spans="1:9" x14ac:dyDescent="0.3">
      <c r="A2022" s="17" t="str">
        <f t="shared" si="86"/>
        <v>2010119</v>
      </c>
      <c r="B2022" s="17">
        <v>201</v>
      </c>
      <c r="C2022" s="17">
        <v>119</v>
      </c>
      <c r="D2022" s="17" t="s">
        <v>917</v>
      </c>
      <c r="E2022" s="17">
        <v>0</v>
      </c>
      <c r="F2022" s="17" t="s">
        <v>918</v>
      </c>
      <c r="G2022" s="17">
        <v>149950500</v>
      </c>
      <c r="H2022" s="17" t="s">
        <v>919</v>
      </c>
      <c r="I2022" s="17">
        <f t="shared" si="85"/>
        <v>149950500</v>
      </c>
    </row>
    <row r="2023" spans="1:9" x14ac:dyDescent="0.3">
      <c r="A2023" s="17" t="str">
        <f t="shared" si="86"/>
        <v>2010120</v>
      </c>
      <c r="B2023" s="17">
        <v>201</v>
      </c>
      <c r="C2023" s="17">
        <v>120</v>
      </c>
      <c r="D2023" s="17" t="s">
        <v>917</v>
      </c>
      <c r="E2023" s="17">
        <v>0</v>
      </c>
      <c r="F2023" s="17" t="s">
        <v>918</v>
      </c>
      <c r="G2023" s="17">
        <v>152951500</v>
      </c>
      <c r="H2023" s="17" t="s">
        <v>919</v>
      </c>
      <c r="I2023" s="17">
        <f t="shared" si="85"/>
        <v>152951500</v>
      </c>
    </row>
    <row r="2024" spans="1:9" x14ac:dyDescent="0.3">
      <c r="A2024" s="17" t="str">
        <f t="shared" si="86"/>
        <v>2010121</v>
      </c>
      <c r="B2024" s="17">
        <v>201</v>
      </c>
      <c r="C2024" s="17">
        <v>121</v>
      </c>
      <c r="D2024" s="17" t="s">
        <v>917</v>
      </c>
      <c r="E2024" s="17">
        <v>0</v>
      </c>
      <c r="F2024" s="17" t="s">
        <v>918</v>
      </c>
      <c r="G2024" s="17">
        <v>156012500</v>
      </c>
      <c r="H2024" s="17" t="s">
        <v>919</v>
      </c>
      <c r="I2024" s="17">
        <f t="shared" si="85"/>
        <v>156012500</v>
      </c>
    </row>
    <row r="2025" spans="1:9" x14ac:dyDescent="0.3">
      <c r="A2025" s="17" t="str">
        <f t="shared" si="86"/>
        <v>2010122</v>
      </c>
      <c r="B2025" s="17">
        <v>201</v>
      </c>
      <c r="C2025" s="17">
        <v>122</v>
      </c>
      <c r="D2025" s="17" t="s">
        <v>917</v>
      </c>
      <c r="E2025" s="17">
        <v>0</v>
      </c>
      <c r="F2025" s="17" t="s">
        <v>918</v>
      </c>
      <c r="G2025" s="17">
        <v>159134500</v>
      </c>
      <c r="H2025" s="17" t="s">
        <v>919</v>
      </c>
      <c r="I2025" s="17">
        <f t="shared" si="85"/>
        <v>159134500</v>
      </c>
    </row>
    <row r="2026" spans="1:9" x14ac:dyDescent="0.3">
      <c r="A2026" s="17" t="str">
        <f t="shared" si="86"/>
        <v>2010123</v>
      </c>
      <c r="B2026" s="17">
        <v>201</v>
      </c>
      <c r="C2026" s="17">
        <v>123</v>
      </c>
      <c r="D2026" s="17" t="s">
        <v>917</v>
      </c>
      <c r="E2026" s="17">
        <v>0</v>
      </c>
      <c r="F2026" s="17" t="s">
        <v>918</v>
      </c>
      <c r="G2026" s="17">
        <v>162319500</v>
      </c>
      <c r="H2026" s="17" t="s">
        <v>919</v>
      </c>
      <c r="I2026" s="17">
        <f t="shared" si="85"/>
        <v>162319500</v>
      </c>
    </row>
    <row r="2027" spans="1:9" x14ac:dyDescent="0.3">
      <c r="A2027" s="17" t="str">
        <f t="shared" si="86"/>
        <v>2010124</v>
      </c>
      <c r="B2027" s="17">
        <v>201</v>
      </c>
      <c r="C2027" s="17">
        <v>124</v>
      </c>
      <c r="D2027" s="17" t="s">
        <v>917</v>
      </c>
      <c r="E2027" s="17">
        <v>0</v>
      </c>
      <c r="F2027" s="17" t="s">
        <v>918</v>
      </c>
      <c r="G2027" s="17">
        <v>165567500</v>
      </c>
      <c r="H2027" s="17" t="s">
        <v>919</v>
      </c>
      <c r="I2027" s="17">
        <f t="shared" si="85"/>
        <v>165567500</v>
      </c>
    </row>
    <row r="2028" spans="1:9" x14ac:dyDescent="0.3">
      <c r="A2028" s="17" t="str">
        <f t="shared" si="86"/>
        <v>2010125</v>
      </c>
      <c r="B2028" s="17">
        <v>201</v>
      </c>
      <c r="C2028" s="17">
        <v>125</v>
      </c>
      <c r="D2028" s="17" t="s">
        <v>917</v>
      </c>
      <c r="E2028" s="17">
        <v>0</v>
      </c>
      <c r="F2028" s="17" t="s">
        <v>918</v>
      </c>
      <c r="G2028" s="17">
        <v>168881000</v>
      </c>
      <c r="H2028" s="17" t="s">
        <v>919</v>
      </c>
      <c r="I2028" s="17">
        <f t="shared" si="85"/>
        <v>168881000</v>
      </c>
    </row>
    <row r="2029" spans="1:9" x14ac:dyDescent="0.3">
      <c r="A2029" s="17" t="str">
        <f t="shared" si="86"/>
        <v>2010126</v>
      </c>
      <c r="B2029" s="17">
        <v>201</v>
      </c>
      <c r="C2029" s="17">
        <v>126</v>
      </c>
      <c r="D2029" s="17" t="s">
        <v>917</v>
      </c>
      <c r="E2029" s="17">
        <v>0</v>
      </c>
      <c r="F2029" s="17" t="s">
        <v>918</v>
      </c>
      <c r="G2029" s="17">
        <v>172260500</v>
      </c>
      <c r="H2029" s="17" t="s">
        <v>919</v>
      </c>
      <c r="I2029" s="17">
        <f t="shared" si="85"/>
        <v>172260500</v>
      </c>
    </row>
    <row r="2030" spans="1:9" x14ac:dyDescent="0.3">
      <c r="A2030" s="17" t="str">
        <f t="shared" si="86"/>
        <v>2010127</v>
      </c>
      <c r="B2030" s="17">
        <v>201</v>
      </c>
      <c r="C2030" s="17">
        <v>127</v>
      </c>
      <c r="D2030" s="17" t="s">
        <v>917</v>
      </c>
      <c r="E2030" s="17">
        <v>0</v>
      </c>
      <c r="F2030" s="17" t="s">
        <v>918</v>
      </c>
      <c r="G2030" s="17">
        <v>175708000</v>
      </c>
      <c r="H2030" s="17" t="s">
        <v>919</v>
      </c>
      <c r="I2030" s="17">
        <f t="shared" si="85"/>
        <v>175708000</v>
      </c>
    </row>
    <row r="2031" spans="1:9" x14ac:dyDescent="0.3">
      <c r="A2031" s="17" t="str">
        <f t="shared" si="86"/>
        <v>2010128</v>
      </c>
      <c r="B2031" s="17">
        <v>201</v>
      </c>
      <c r="C2031" s="17">
        <v>128</v>
      </c>
      <c r="D2031" s="17" t="s">
        <v>917</v>
      </c>
      <c r="E2031" s="17">
        <v>0</v>
      </c>
      <c r="F2031" s="17" t="s">
        <v>918</v>
      </c>
      <c r="G2031" s="17">
        <v>179224000</v>
      </c>
      <c r="H2031" s="17" t="s">
        <v>919</v>
      </c>
      <c r="I2031" s="17">
        <f t="shared" si="85"/>
        <v>179224000</v>
      </c>
    </row>
    <row r="2032" spans="1:9" x14ac:dyDescent="0.3">
      <c r="A2032" s="17" t="str">
        <f t="shared" si="86"/>
        <v>2010129</v>
      </c>
      <c r="B2032" s="17">
        <v>201</v>
      </c>
      <c r="C2032" s="17">
        <v>129</v>
      </c>
      <c r="D2032" s="17" t="s">
        <v>917</v>
      </c>
      <c r="E2032" s="17">
        <v>0</v>
      </c>
      <c r="F2032" s="17" t="s">
        <v>918</v>
      </c>
      <c r="G2032" s="17">
        <v>182810500</v>
      </c>
      <c r="H2032" s="17" t="s">
        <v>919</v>
      </c>
      <c r="I2032" s="17">
        <f t="shared" si="85"/>
        <v>182810500</v>
      </c>
    </row>
    <row r="2033" spans="1:9" x14ac:dyDescent="0.3">
      <c r="A2033" s="17" t="str">
        <f t="shared" si="86"/>
        <v>2010130</v>
      </c>
      <c r="B2033" s="17">
        <v>201</v>
      </c>
      <c r="C2033" s="17">
        <v>130</v>
      </c>
      <c r="D2033" s="17" t="s">
        <v>917</v>
      </c>
      <c r="E2033" s="17">
        <v>0</v>
      </c>
      <c r="F2033" s="17" t="s">
        <v>918</v>
      </c>
      <c r="G2033" s="17">
        <v>186469000</v>
      </c>
      <c r="H2033" s="17" t="s">
        <v>919</v>
      </c>
      <c r="I2033" s="17">
        <f t="shared" ref="I2033:I2096" si="87">G2033</f>
        <v>186469000</v>
      </c>
    </row>
    <row r="2034" spans="1:9" x14ac:dyDescent="0.3">
      <c r="A2034" s="17" t="str">
        <f t="shared" si="86"/>
        <v>2010131</v>
      </c>
      <c r="B2034" s="17">
        <v>201</v>
      </c>
      <c r="C2034" s="17">
        <v>131</v>
      </c>
      <c r="D2034" s="17" t="s">
        <v>917</v>
      </c>
      <c r="E2034" s="17">
        <v>0</v>
      </c>
      <c r="F2034" s="17" t="s">
        <v>918</v>
      </c>
      <c r="G2034" s="17">
        <v>190200000</v>
      </c>
      <c r="H2034" s="17" t="s">
        <v>919</v>
      </c>
      <c r="I2034" s="17">
        <f t="shared" si="87"/>
        <v>190200000</v>
      </c>
    </row>
    <row r="2035" spans="1:9" x14ac:dyDescent="0.3">
      <c r="A2035" s="17" t="str">
        <f t="shared" si="86"/>
        <v>2010132</v>
      </c>
      <c r="B2035" s="17">
        <v>201</v>
      </c>
      <c r="C2035" s="17">
        <v>132</v>
      </c>
      <c r="D2035" s="17" t="s">
        <v>917</v>
      </c>
      <c r="E2035" s="17">
        <v>0</v>
      </c>
      <c r="F2035" s="17" t="s">
        <v>918</v>
      </c>
      <c r="G2035" s="17">
        <v>194006000</v>
      </c>
      <c r="H2035" s="17" t="s">
        <v>919</v>
      </c>
      <c r="I2035" s="17">
        <f t="shared" si="87"/>
        <v>194006000</v>
      </c>
    </row>
    <row r="2036" spans="1:9" x14ac:dyDescent="0.3">
      <c r="A2036" s="17" t="str">
        <f t="shared" si="86"/>
        <v>2010133</v>
      </c>
      <c r="B2036" s="17">
        <v>201</v>
      </c>
      <c r="C2036" s="17">
        <v>133</v>
      </c>
      <c r="D2036" s="17" t="s">
        <v>917</v>
      </c>
      <c r="E2036" s="17">
        <v>0</v>
      </c>
      <c r="F2036" s="17" t="s">
        <v>918</v>
      </c>
      <c r="G2036" s="17">
        <v>197888500</v>
      </c>
      <c r="H2036" s="17" t="s">
        <v>919</v>
      </c>
      <c r="I2036" s="17">
        <f t="shared" si="87"/>
        <v>197888500</v>
      </c>
    </row>
    <row r="2037" spans="1:9" x14ac:dyDescent="0.3">
      <c r="A2037" s="17" t="str">
        <f t="shared" si="86"/>
        <v>2010134</v>
      </c>
      <c r="B2037" s="17">
        <v>201</v>
      </c>
      <c r="C2037" s="17">
        <v>134</v>
      </c>
      <c r="D2037" s="17" t="s">
        <v>917</v>
      </c>
      <c r="E2037" s="17">
        <v>0</v>
      </c>
      <c r="F2037" s="17" t="s">
        <v>918</v>
      </c>
      <c r="G2037" s="17">
        <v>201848000</v>
      </c>
      <c r="H2037" s="17" t="s">
        <v>919</v>
      </c>
      <c r="I2037" s="17">
        <f t="shared" si="87"/>
        <v>201848000</v>
      </c>
    </row>
    <row r="2038" spans="1:9" x14ac:dyDescent="0.3">
      <c r="A2038" s="17" t="str">
        <f t="shared" si="86"/>
        <v>2010135</v>
      </c>
      <c r="B2038" s="17">
        <v>201</v>
      </c>
      <c r="C2038" s="17">
        <v>135</v>
      </c>
      <c r="D2038" s="17" t="s">
        <v>917</v>
      </c>
      <c r="E2038" s="17">
        <v>0</v>
      </c>
      <c r="F2038" s="17" t="s">
        <v>918</v>
      </c>
      <c r="G2038" s="17">
        <v>205887000</v>
      </c>
      <c r="H2038" s="17" t="s">
        <v>919</v>
      </c>
      <c r="I2038" s="17">
        <f t="shared" si="87"/>
        <v>205887000</v>
      </c>
    </row>
    <row r="2039" spans="1:9" x14ac:dyDescent="0.3">
      <c r="A2039" s="17" t="str">
        <f t="shared" si="86"/>
        <v>2010136</v>
      </c>
      <c r="B2039" s="17">
        <v>201</v>
      </c>
      <c r="C2039" s="17">
        <v>136</v>
      </c>
      <c r="D2039" s="17" t="s">
        <v>917</v>
      </c>
      <c r="E2039" s="17">
        <v>0</v>
      </c>
      <c r="F2039" s="17" t="s">
        <v>918</v>
      </c>
      <c r="G2039" s="17">
        <v>210007000</v>
      </c>
      <c r="H2039" s="17" t="s">
        <v>919</v>
      </c>
      <c r="I2039" s="17">
        <f t="shared" si="87"/>
        <v>210007000</v>
      </c>
    </row>
    <row r="2040" spans="1:9" x14ac:dyDescent="0.3">
      <c r="A2040" s="17" t="str">
        <f t="shared" si="86"/>
        <v>2010137</v>
      </c>
      <c r="B2040" s="17">
        <v>201</v>
      </c>
      <c r="C2040" s="17">
        <v>137</v>
      </c>
      <c r="D2040" s="17" t="s">
        <v>917</v>
      </c>
      <c r="E2040" s="17">
        <v>0</v>
      </c>
      <c r="F2040" s="17" t="s">
        <v>918</v>
      </c>
      <c r="G2040" s="17">
        <v>214209000</v>
      </c>
      <c r="H2040" s="17" t="s">
        <v>919</v>
      </c>
      <c r="I2040" s="17">
        <f t="shared" si="87"/>
        <v>214209000</v>
      </c>
    </row>
    <row r="2041" spans="1:9" x14ac:dyDescent="0.3">
      <c r="A2041" s="17" t="str">
        <f t="shared" si="86"/>
        <v>2010138</v>
      </c>
      <c r="B2041" s="17">
        <v>201</v>
      </c>
      <c r="C2041" s="17">
        <v>138</v>
      </c>
      <c r="D2041" s="17" t="s">
        <v>917</v>
      </c>
      <c r="E2041" s="17">
        <v>0</v>
      </c>
      <c r="F2041" s="17" t="s">
        <v>918</v>
      </c>
      <c r="G2041" s="17">
        <v>218495000</v>
      </c>
      <c r="H2041" s="17" t="s">
        <v>919</v>
      </c>
      <c r="I2041" s="17">
        <f t="shared" si="87"/>
        <v>218495000</v>
      </c>
    </row>
    <row r="2042" spans="1:9" x14ac:dyDescent="0.3">
      <c r="A2042" s="17" t="str">
        <f t="shared" si="86"/>
        <v>2010139</v>
      </c>
      <c r="B2042" s="17">
        <v>201</v>
      </c>
      <c r="C2042" s="17">
        <v>139</v>
      </c>
      <c r="D2042" s="17" t="s">
        <v>917</v>
      </c>
      <c r="E2042" s="17">
        <v>0</v>
      </c>
      <c r="F2042" s="17" t="s">
        <v>918</v>
      </c>
      <c r="G2042" s="17">
        <v>222867000</v>
      </c>
      <c r="H2042" s="17" t="s">
        <v>919</v>
      </c>
      <c r="I2042" s="17">
        <f t="shared" si="87"/>
        <v>222867000</v>
      </c>
    </row>
    <row r="2043" spans="1:9" x14ac:dyDescent="0.3">
      <c r="A2043" s="17" t="str">
        <f t="shared" si="86"/>
        <v>2010140</v>
      </c>
      <c r="B2043" s="17">
        <v>201</v>
      </c>
      <c r="C2043" s="17">
        <v>140</v>
      </c>
      <c r="D2043" s="17" t="s">
        <v>917</v>
      </c>
      <c r="E2043" s="17">
        <v>0</v>
      </c>
      <c r="F2043" s="17" t="s">
        <v>918</v>
      </c>
      <c r="G2043" s="17">
        <v>227326500</v>
      </c>
      <c r="H2043" s="17" t="s">
        <v>919</v>
      </c>
      <c r="I2043" s="17">
        <f t="shared" si="87"/>
        <v>227326500</v>
      </c>
    </row>
    <row r="2044" spans="1:9" x14ac:dyDescent="0.3">
      <c r="A2044" s="17" t="str">
        <f t="shared" si="86"/>
        <v>2010141</v>
      </c>
      <c r="B2044" s="17">
        <v>201</v>
      </c>
      <c r="C2044" s="17">
        <v>141</v>
      </c>
      <c r="D2044" s="17" t="s">
        <v>917</v>
      </c>
      <c r="E2044" s="17">
        <v>0</v>
      </c>
      <c r="F2044" s="17" t="s">
        <v>918</v>
      </c>
      <c r="G2044" s="17">
        <v>231875000</v>
      </c>
      <c r="H2044" s="17" t="s">
        <v>919</v>
      </c>
      <c r="I2044" s="17">
        <f t="shared" si="87"/>
        <v>231875000</v>
      </c>
    </row>
    <row r="2045" spans="1:9" x14ac:dyDescent="0.3">
      <c r="A2045" s="17" t="str">
        <f t="shared" si="86"/>
        <v>2010142</v>
      </c>
      <c r="B2045" s="17">
        <v>201</v>
      </c>
      <c r="C2045" s="17">
        <v>142</v>
      </c>
      <c r="D2045" s="17" t="s">
        <v>917</v>
      </c>
      <c r="E2045" s="17">
        <v>0</v>
      </c>
      <c r="F2045" s="17" t="s">
        <v>918</v>
      </c>
      <c r="G2045" s="17">
        <v>236514500</v>
      </c>
      <c r="H2045" s="17" t="s">
        <v>919</v>
      </c>
      <c r="I2045" s="17">
        <f t="shared" si="87"/>
        <v>236514500</v>
      </c>
    </row>
    <row r="2046" spans="1:9" x14ac:dyDescent="0.3">
      <c r="A2046" s="17" t="str">
        <f t="shared" si="86"/>
        <v>2010143</v>
      </c>
      <c r="B2046" s="17">
        <v>201</v>
      </c>
      <c r="C2046" s="17">
        <v>143</v>
      </c>
      <c r="D2046" s="17" t="s">
        <v>917</v>
      </c>
      <c r="E2046" s="17">
        <v>0</v>
      </c>
      <c r="F2046" s="17" t="s">
        <v>918</v>
      </c>
      <c r="G2046" s="17">
        <v>241246500</v>
      </c>
      <c r="H2046" s="17" t="s">
        <v>919</v>
      </c>
      <c r="I2046" s="17">
        <f t="shared" si="87"/>
        <v>241246500</v>
      </c>
    </row>
    <row r="2047" spans="1:9" x14ac:dyDescent="0.3">
      <c r="A2047" s="17" t="str">
        <f t="shared" si="86"/>
        <v>2010144</v>
      </c>
      <c r="B2047" s="17">
        <v>201</v>
      </c>
      <c r="C2047" s="17">
        <v>144</v>
      </c>
      <c r="D2047" s="17" t="s">
        <v>917</v>
      </c>
      <c r="E2047" s="17">
        <v>0</v>
      </c>
      <c r="F2047" s="17" t="s">
        <v>918</v>
      </c>
      <c r="G2047" s="17">
        <v>246073500</v>
      </c>
      <c r="H2047" s="17" t="s">
        <v>919</v>
      </c>
      <c r="I2047" s="17">
        <f t="shared" si="87"/>
        <v>246073500</v>
      </c>
    </row>
    <row r="2048" spans="1:9" x14ac:dyDescent="0.3">
      <c r="A2048" s="17" t="str">
        <f t="shared" si="86"/>
        <v>2010145</v>
      </c>
      <c r="B2048" s="17">
        <v>201</v>
      </c>
      <c r="C2048" s="17">
        <v>145</v>
      </c>
      <c r="D2048" s="17" t="s">
        <v>917</v>
      </c>
      <c r="E2048" s="17">
        <v>0</v>
      </c>
      <c r="F2048" s="17" t="s">
        <v>918</v>
      </c>
      <c r="G2048" s="17">
        <v>250997000</v>
      </c>
      <c r="H2048" s="17" t="s">
        <v>919</v>
      </c>
      <c r="I2048" s="17">
        <f t="shared" si="87"/>
        <v>250997000</v>
      </c>
    </row>
    <row r="2049" spans="1:9" x14ac:dyDescent="0.3">
      <c r="A2049" s="17" t="str">
        <f t="shared" si="86"/>
        <v>2010146</v>
      </c>
      <c r="B2049" s="17">
        <v>201</v>
      </c>
      <c r="C2049" s="17">
        <v>146</v>
      </c>
      <c r="D2049" s="17" t="s">
        <v>917</v>
      </c>
      <c r="E2049" s="17">
        <v>0</v>
      </c>
      <c r="F2049" s="17" t="s">
        <v>918</v>
      </c>
      <c r="G2049" s="17">
        <v>256019000</v>
      </c>
      <c r="H2049" s="17" t="s">
        <v>919</v>
      </c>
      <c r="I2049" s="17">
        <f t="shared" si="87"/>
        <v>256019000</v>
      </c>
    </row>
    <row r="2050" spans="1:9" x14ac:dyDescent="0.3">
      <c r="A2050" s="17" t="str">
        <f t="shared" si="86"/>
        <v>2010147</v>
      </c>
      <c r="B2050" s="17">
        <v>201</v>
      </c>
      <c r="C2050" s="17">
        <v>147</v>
      </c>
      <c r="D2050" s="17" t="s">
        <v>917</v>
      </c>
      <c r="E2050" s="17">
        <v>0</v>
      </c>
      <c r="F2050" s="17" t="s">
        <v>918</v>
      </c>
      <c r="G2050" s="17">
        <v>261141500</v>
      </c>
      <c r="H2050" s="17" t="s">
        <v>919</v>
      </c>
      <c r="I2050" s="17">
        <f t="shared" si="87"/>
        <v>261141500</v>
      </c>
    </row>
    <row r="2051" spans="1:9" x14ac:dyDescent="0.3">
      <c r="A2051" s="17" t="str">
        <f t="shared" si="86"/>
        <v>2010148</v>
      </c>
      <c r="B2051" s="17">
        <v>201</v>
      </c>
      <c r="C2051" s="17">
        <v>148</v>
      </c>
      <c r="D2051" s="17" t="s">
        <v>917</v>
      </c>
      <c r="E2051" s="17">
        <v>0</v>
      </c>
      <c r="F2051" s="17" t="s">
        <v>918</v>
      </c>
      <c r="G2051" s="17">
        <v>266366500</v>
      </c>
      <c r="H2051" s="17" t="s">
        <v>919</v>
      </c>
      <c r="I2051" s="17">
        <f t="shared" si="87"/>
        <v>266366500</v>
      </c>
    </row>
    <row r="2052" spans="1:9" x14ac:dyDescent="0.3">
      <c r="A2052" s="17" t="str">
        <f t="shared" ref="A2052:A2115" si="88">B2052&amp;TEXT(C2052,"0000")</f>
        <v>2010149</v>
      </c>
      <c r="B2052" s="17">
        <v>201</v>
      </c>
      <c r="C2052" s="17">
        <v>149</v>
      </c>
      <c r="D2052" s="17" t="s">
        <v>917</v>
      </c>
      <c r="E2052" s="17">
        <v>0</v>
      </c>
      <c r="F2052" s="17" t="s">
        <v>918</v>
      </c>
      <c r="G2052" s="17">
        <v>271695500</v>
      </c>
      <c r="H2052" s="17" t="s">
        <v>919</v>
      </c>
      <c r="I2052" s="17">
        <f t="shared" si="87"/>
        <v>271695500</v>
      </c>
    </row>
    <row r="2053" spans="1:9" x14ac:dyDescent="0.3">
      <c r="A2053" s="17" t="str">
        <f t="shared" si="88"/>
        <v>2010150</v>
      </c>
      <c r="B2053" s="17">
        <v>201</v>
      </c>
      <c r="C2053" s="17">
        <v>150</v>
      </c>
      <c r="D2053" s="17" t="s">
        <v>917</v>
      </c>
      <c r="E2053" s="17">
        <v>0</v>
      </c>
      <c r="F2053" s="17" t="s">
        <v>918</v>
      </c>
      <c r="G2053" s="17">
        <v>277131500</v>
      </c>
      <c r="H2053" s="17" t="s">
        <v>919</v>
      </c>
      <c r="I2053" s="17">
        <f t="shared" si="87"/>
        <v>277131500</v>
      </c>
    </row>
    <row r="2054" spans="1:9" x14ac:dyDescent="0.3">
      <c r="A2054" s="17" t="str">
        <f t="shared" si="88"/>
        <v>2010151</v>
      </c>
      <c r="B2054" s="17">
        <v>201</v>
      </c>
      <c r="C2054" s="17">
        <v>151</v>
      </c>
      <c r="D2054" s="17" t="s">
        <v>917</v>
      </c>
      <c r="E2054" s="17">
        <v>0</v>
      </c>
      <c r="F2054" s="17" t="s">
        <v>918</v>
      </c>
      <c r="G2054" s="17">
        <v>282676000</v>
      </c>
      <c r="H2054" s="17" t="s">
        <v>919</v>
      </c>
      <c r="I2054" s="17">
        <f t="shared" si="87"/>
        <v>282676000</v>
      </c>
    </row>
    <row r="2055" spans="1:9" x14ac:dyDescent="0.3">
      <c r="A2055" s="17" t="str">
        <f t="shared" si="88"/>
        <v>2010152</v>
      </c>
      <c r="B2055" s="17">
        <v>201</v>
      </c>
      <c r="C2055" s="17">
        <v>152</v>
      </c>
      <c r="D2055" s="17" t="s">
        <v>917</v>
      </c>
      <c r="E2055" s="17">
        <v>0</v>
      </c>
      <c r="F2055" s="17" t="s">
        <v>918</v>
      </c>
      <c r="G2055" s="17">
        <v>288331500</v>
      </c>
      <c r="H2055" s="17" t="s">
        <v>919</v>
      </c>
      <c r="I2055" s="17">
        <f t="shared" si="87"/>
        <v>288331500</v>
      </c>
    </row>
    <row r="2056" spans="1:9" x14ac:dyDescent="0.3">
      <c r="A2056" s="17" t="str">
        <f t="shared" si="88"/>
        <v>2010153</v>
      </c>
      <c r="B2056" s="17">
        <v>201</v>
      </c>
      <c r="C2056" s="17">
        <v>153</v>
      </c>
      <c r="D2056" s="17" t="s">
        <v>917</v>
      </c>
      <c r="E2056" s="17">
        <v>0</v>
      </c>
      <c r="F2056" s="17" t="s">
        <v>918</v>
      </c>
      <c r="G2056" s="17">
        <v>294100500</v>
      </c>
      <c r="H2056" s="17" t="s">
        <v>919</v>
      </c>
      <c r="I2056" s="17">
        <f t="shared" si="87"/>
        <v>294100500</v>
      </c>
    </row>
    <row r="2057" spans="1:9" x14ac:dyDescent="0.3">
      <c r="A2057" s="17" t="str">
        <f t="shared" si="88"/>
        <v>2010154</v>
      </c>
      <c r="B2057" s="17">
        <v>201</v>
      </c>
      <c r="C2057" s="17">
        <v>154</v>
      </c>
      <c r="D2057" s="17" t="s">
        <v>917</v>
      </c>
      <c r="E2057" s="17">
        <v>0</v>
      </c>
      <c r="F2057" s="17" t="s">
        <v>918</v>
      </c>
      <c r="G2057" s="17">
        <v>299984500</v>
      </c>
      <c r="H2057" s="17" t="s">
        <v>919</v>
      </c>
      <c r="I2057" s="17">
        <f t="shared" si="87"/>
        <v>299984500</v>
      </c>
    </row>
    <row r="2058" spans="1:9" x14ac:dyDescent="0.3">
      <c r="A2058" s="17" t="str">
        <f t="shared" si="88"/>
        <v>2010155</v>
      </c>
      <c r="B2058" s="17">
        <v>201</v>
      </c>
      <c r="C2058" s="17">
        <v>155</v>
      </c>
      <c r="D2058" s="17" t="s">
        <v>917</v>
      </c>
      <c r="E2058" s="17">
        <v>0</v>
      </c>
      <c r="F2058" s="17" t="s">
        <v>918</v>
      </c>
      <c r="G2058" s="17">
        <v>305986000</v>
      </c>
      <c r="H2058" s="17" t="s">
        <v>919</v>
      </c>
      <c r="I2058" s="17">
        <f t="shared" si="87"/>
        <v>305986000</v>
      </c>
    </row>
    <row r="2059" spans="1:9" x14ac:dyDescent="0.3">
      <c r="A2059" s="17" t="str">
        <f t="shared" si="88"/>
        <v>2010156</v>
      </c>
      <c r="B2059" s="17">
        <v>201</v>
      </c>
      <c r="C2059" s="17">
        <v>156</v>
      </c>
      <c r="D2059" s="17" t="s">
        <v>917</v>
      </c>
      <c r="E2059" s="17">
        <v>0</v>
      </c>
      <c r="F2059" s="17" t="s">
        <v>918</v>
      </c>
      <c r="G2059" s="17">
        <v>312108000</v>
      </c>
      <c r="H2059" s="17" t="s">
        <v>919</v>
      </c>
      <c r="I2059" s="17">
        <f t="shared" si="87"/>
        <v>312108000</v>
      </c>
    </row>
    <row r="2060" spans="1:9" x14ac:dyDescent="0.3">
      <c r="A2060" s="17" t="str">
        <f t="shared" si="88"/>
        <v>2010157</v>
      </c>
      <c r="B2060" s="17">
        <v>201</v>
      </c>
      <c r="C2060" s="17">
        <v>157</v>
      </c>
      <c r="D2060" s="17" t="s">
        <v>917</v>
      </c>
      <c r="E2060" s="17">
        <v>0</v>
      </c>
      <c r="F2060" s="17" t="s">
        <v>918</v>
      </c>
      <c r="G2060" s="17">
        <v>318352000</v>
      </c>
      <c r="H2060" s="17" t="s">
        <v>919</v>
      </c>
      <c r="I2060" s="17">
        <f t="shared" si="87"/>
        <v>318352000</v>
      </c>
    </row>
    <row r="2061" spans="1:9" x14ac:dyDescent="0.3">
      <c r="A2061" s="17" t="str">
        <f t="shared" si="88"/>
        <v>2010158</v>
      </c>
      <c r="B2061" s="17">
        <v>201</v>
      </c>
      <c r="C2061" s="17">
        <v>158</v>
      </c>
      <c r="D2061" s="17" t="s">
        <v>917</v>
      </c>
      <c r="E2061" s="17">
        <v>0</v>
      </c>
      <c r="F2061" s="17" t="s">
        <v>918</v>
      </c>
      <c r="G2061" s="17">
        <v>324721000</v>
      </c>
      <c r="H2061" s="17" t="s">
        <v>919</v>
      </c>
      <c r="I2061" s="17">
        <f t="shared" si="87"/>
        <v>324721000</v>
      </c>
    </row>
    <row r="2062" spans="1:9" x14ac:dyDescent="0.3">
      <c r="A2062" s="17" t="str">
        <f t="shared" si="88"/>
        <v>2010159</v>
      </c>
      <c r="B2062" s="17">
        <v>201</v>
      </c>
      <c r="C2062" s="17">
        <v>159</v>
      </c>
      <c r="D2062" s="17" t="s">
        <v>917</v>
      </c>
      <c r="E2062" s="17">
        <v>0</v>
      </c>
      <c r="F2062" s="17" t="s">
        <v>918</v>
      </c>
      <c r="G2062" s="17">
        <v>331217500</v>
      </c>
      <c r="H2062" s="17" t="s">
        <v>919</v>
      </c>
      <c r="I2062" s="17">
        <f t="shared" si="87"/>
        <v>331217500</v>
      </c>
    </row>
    <row r="2063" spans="1:9" x14ac:dyDescent="0.3">
      <c r="A2063" s="17" t="str">
        <f t="shared" si="88"/>
        <v>2010160</v>
      </c>
      <c r="B2063" s="17">
        <v>201</v>
      </c>
      <c r="C2063" s="17">
        <v>160</v>
      </c>
      <c r="D2063" s="17" t="s">
        <v>917</v>
      </c>
      <c r="E2063" s="17">
        <v>0</v>
      </c>
      <c r="F2063" s="17" t="s">
        <v>918</v>
      </c>
      <c r="G2063" s="17">
        <v>337844000</v>
      </c>
      <c r="H2063" s="17" t="s">
        <v>919</v>
      </c>
      <c r="I2063" s="17">
        <f t="shared" si="87"/>
        <v>337844000</v>
      </c>
    </row>
    <row r="2064" spans="1:9" x14ac:dyDescent="0.3">
      <c r="A2064" s="17" t="str">
        <f t="shared" si="88"/>
        <v>2010161</v>
      </c>
      <c r="B2064" s="17">
        <v>201</v>
      </c>
      <c r="C2064" s="17">
        <v>161</v>
      </c>
      <c r="D2064" s="17" t="s">
        <v>917</v>
      </c>
      <c r="E2064" s="17">
        <v>0</v>
      </c>
      <c r="F2064" s="17" t="s">
        <v>918</v>
      </c>
      <c r="G2064" s="17">
        <v>344602500</v>
      </c>
      <c r="H2064" s="17" t="s">
        <v>919</v>
      </c>
      <c r="I2064" s="17">
        <f t="shared" si="87"/>
        <v>344602500</v>
      </c>
    </row>
    <row r="2065" spans="1:9" x14ac:dyDescent="0.3">
      <c r="A2065" s="17" t="str">
        <f t="shared" si="88"/>
        <v>2010162</v>
      </c>
      <c r="B2065" s="17">
        <v>201</v>
      </c>
      <c r="C2065" s="17">
        <v>162</v>
      </c>
      <c r="D2065" s="17" t="s">
        <v>917</v>
      </c>
      <c r="E2065" s="17">
        <v>0</v>
      </c>
      <c r="F2065" s="17" t="s">
        <v>918</v>
      </c>
      <c r="G2065" s="17">
        <v>351496500</v>
      </c>
      <c r="H2065" s="17" t="s">
        <v>919</v>
      </c>
      <c r="I2065" s="17">
        <f t="shared" si="87"/>
        <v>351496500</v>
      </c>
    </row>
    <row r="2066" spans="1:9" x14ac:dyDescent="0.3">
      <c r="A2066" s="17" t="str">
        <f t="shared" si="88"/>
        <v>2010163</v>
      </c>
      <c r="B2066" s="17">
        <v>201</v>
      </c>
      <c r="C2066" s="17">
        <v>163</v>
      </c>
      <c r="D2066" s="17" t="s">
        <v>917</v>
      </c>
      <c r="E2066" s="17">
        <v>0</v>
      </c>
      <c r="F2066" s="17" t="s">
        <v>918</v>
      </c>
      <c r="G2066" s="17">
        <v>358528500</v>
      </c>
      <c r="H2066" s="17" t="s">
        <v>919</v>
      </c>
      <c r="I2066" s="17">
        <f t="shared" si="87"/>
        <v>358528500</v>
      </c>
    </row>
    <row r="2067" spans="1:9" x14ac:dyDescent="0.3">
      <c r="A2067" s="17" t="str">
        <f t="shared" si="88"/>
        <v>2010164</v>
      </c>
      <c r="B2067" s="17">
        <v>201</v>
      </c>
      <c r="C2067" s="17">
        <v>164</v>
      </c>
      <c r="D2067" s="17" t="s">
        <v>917</v>
      </c>
      <c r="E2067" s="17">
        <v>0</v>
      </c>
      <c r="F2067" s="17" t="s">
        <v>918</v>
      </c>
      <c r="G2067" s="17">
        <v>365701000</v>
      </c>
      <c r="H2067" s="17" t="s">
        <v>919</v>
      </c>
      <c r="I2067" s="17">
        <f t="shared" si="87"/>
        <v>365701000</v>
      </c>
    </row>
    <row r="2068" spans="1:9" x14ac:dyDescent="0.3">
      <c r="A2068" s="17" t="str">
        <f t="shared" si="88"/>
        <v>2010165</v>
      </c>
      <c r="B2068" s="17">
        <v>201</v>
      </c>
      <c r="C2068" s="17">
        <v>165</v>
      </c>
      <c r="D2068" s="17" t="s">
        <v>917</v>
      </c>
      <c r="E2068" s="17">
        <v>0</v>
      </c>
      <c r="F2068" s="17" t="s">
        <v>918</v>
      </c>
      <c r="G2068" s="17">
        <v>373017500</v>
      </c>
      <c r="H2068" s="17" t="s">
        <v>919</v>
      </c>
      <c r="I2068" s="17">
        <f t="shared" si="87"/>
        <v>373017500</v>
      </c>
    </row>
    <row r="2069" spans="1:9" x14ac:dyDescent="0.3">
      <c r="A2069" s="17" t="str">
        <f t="shared" si="88"/>
        <v>2010166</v>
      </c>
      <c r="B2069" s="17">
        <v>201</v>
      </c>
      <c r="C2069" s="17">
        <v>166</v>
      </c>
      <c r="D2069" s="17" t="s">
        <v>917</v>
      </c>
      <c r="E2069" s="17">
        <v>0</v>
      </c>
      <c r="F2069" s="17" t="s">
        <v>918</v>
      </c>
      <c r="G2069" s="17">
        <v>380479500</v>
      </c>
      <c r="H2069" s="17" t="s">
        <v>919</v>
      </c>
      <c r="I2069" s="17">
        <f t="shared" si="87"/>
        <v>380479500</v>
      </c>
    </row>
    <row r="2070" spans="1:9" x14ac:dyDescent="0.3">
      <c r="A2070" s="17" t="str">
        <f t="shared" si="88"/>
        <v>2010167</v>
      </c>
      <c r="B2070" s="17">
        <v>201</v>
      </c>
      <c r="C2070" s="17">
        <v>167</v>
      </c>
      <c r="D2070" s="17" t="s">
        <v>917</v>
      </c>
      <c r="E2070" s="17">
        <v>0</v>
      </c>
      <c r="F2070" s="17" t="s">
        <v>918</v>
      </c>
      <c r="G2070" s="17">
        <v>388091000</v>
      </c>
      <c r="H2070" s="17" t="s">
        <v>919</v>
      </c>
      <c r="I2070" s="17">
        <f t="shared" si="87"/>
        <v>388091000</v>
      </c>
    </row>
    <row r="2071" spans="1:9" x14ac:dyDescent="0.3">
      <c r="A2071" s="17" t="str">
        <f t="shared" si="88"/>
        <v>2010168</v>
      </c>
      <c r="B2071" s="17">
        <v>201</v>
      </c>
      <c r="C2071" s="17">
        <v>168</v>
      </c>
      <c r="D2071" s="17" t="s">
        <v>917</v>
      </c>
      <c r="E2071" s="17">
        <v>0</v>
      </c>
      <c r="F2071" s="17" t="s">
        <v>918</v>
      </c>
      <c r="G2071" s="17">
        <v>395855000</v>
      </c>
      <c r="H2071" s="17" t="s">
        <v>919</v>
      </c>
      <c r="I2071" s="17">
        <f t="shared" si="87"/>
        <v>395855000</v>
      </c>
    </row>
    <row r="2072" spans="1:9" x14ac:dyDescent="0.3">
      <c r="A2072" s="17" t="str">
        <f t="shared" si="88"/>
        <v>2010169</v>
      </c>
      <c r="B2072" s="17">
        <v>201</v>
      </c>
      <c r="C2072" s="17">
        <v>169</v>
      </c>
      <c r="D2072" s="17" t="s">
        <v>917</v>
      </c>
      <c r="E2072" s="17">
        <v>0</v>
      </c>
      <c r="F2072" s="17" t="s">
        <v>918</v>
      </c>
      <c r="G2072" s="17">
        <v>403774000</v>
      </c>
      <c r="H2072" s="17" t="s">
        <v>919</v>
      </c>
      <c r="I2072" s="17">
        <f t="shared" si="87"/>
        <v>403774000</v>
      </c>
    </row>
    <row r="2073" spans="1:9" x14ac:dyDescent="0.3">
      <c r="A2073" s="17" t="str">
        <f t="shared" si="88"/>
        <v>2010170</v>
      </c>
      <c r="B2073" s="17">
        <v>201</v>
      </c>
      <c r="C2073" s="17">
        <v>170</v>
      </c>
      <c r="D2073" s="17" t="s">
        <v>917</v>
      </c>
      <c r="E2073" s="17">
        <v>0</v>
      </c>
      <c r="F2073" s="17" t="s">
        <v>918</v>
      </c>
      <c r="G2073" s="17">
        <v>411851500</v>
      </c>
      <c r="H2073" s="17" t="s">
        <v>919</v>
      </c>
      <c r="I2073" s="17">
        <f t="shared" si="87"/>
        <v>411851500</v>
      </c>
    </row>
    <row r="2074" spans="1:9" x14ac:dyDescent="0.3">
      <c r="A2074" s="17" t="str">
        <f t="shared" si="88"/>
        <v>2010171</v>
      </c>
      <c r="B2074" s="17">
        <v>201</v>
      </c>
      <c r="C2074" s="17">
        <v>171</v>
      </c>
      <c r="D2074" s="17" t="s">
        <v>917</v>
      </c>
      <c r="E2074" s="17">
        <v>0</v>
      </c>
      <c r="F2074" s="17" t="s">
        <v>918</v>
      </c>
      <c r="G2074" s="17">
        <v>420090500</v>
      </c>
      <c r="H2074" s="17" t="s">
        <v>919</v>
      </c>
      <c r="I2074" s="17">
        <f t="shared" si="87"/>
        <v>420090500</v>
      </c>
    </row>
    <row r="2075" spans="1:9" x14ac:dyDescent="0.3">
      <c r="A2075" s="17" t="str">
        <f t="shared" si="88"/>
        <v>2010172</v>
      </c>
      <c r="B2075" s="17">
        <v>201</v>
      </c>
      <c r="C2075" s="17">
        <v>172</v>
      </c>
      <c r="D2075" s="17" t="s">
        <v>917</v>
      </c>
      <c r="E2075" s="17">
        <v>0</v>
      </c>
      <c r="F2075" s="17" t="s">
        <v>918</v>
      </c>
      <c r="G2075" s="17">
        <v>428494500</v>
      </c>
      <c r="H2075" s="17" t="s">
        <v>919</v>
      </c>
      <c r="I2075" s="17">
        <f t="shared" si="87"/>
        <v>428494500</v>
      </c>
    </row>
    <row r="2076" spans="1:9" x14ac:dyDescent="0.3">
      <c r="A2076" s="17" t="str">
        <f t="shared" si="88"/>
        <v>2010173</v>
      </c>
      <c r="B2076" s="17">
        <v>201</v>
      </c>
      <c r="C2076" s="17">
        <v>173</v>
      </c>
      <c r="D2076" s="17" t="s">
        <v>917</v>
      </c>
      <c r="E2076" s="17">
        <v>0</v>
      </c>
      <c r="F2076" s="17" t="s">
        <v>918</v>
      </c>
      <c r="G2076" s="17">
        <v>437066500</v>
      </c>
      <c r="H2076" s="17" t="s">
        <v>919</v>
      </c>
      <c r="I2076" s="17">
        <f t="shared" si="87"/>
        <v>437066500</v>
      </c>
    </row>
    <row r="2077" spans="1:9" x14ac:dyDescent="0.3">
      <c r="A2077" s="17" t="str">
        <f t="shared" si="88"/>
        <v>2010174</v>
      </c>
      <c r="B2077" s="17">
        <v>201</v>
      </c>
      <c r="C2077" s="17">
        <v>174</v>
      </c>
      <c r="D2077" s="17" t="s">
        <v>917</v>
      </c>
      <c r="E2077" s="17">
        <v>0</v>
      </c>
      <c r="F2077" s="17" t="s">
        <v>918</v>
      </c>
      <c r="G2077" s="17">
        <v>445809500</v>
      </c>
      <c r="H2077" s="17" t="s">
        <v>919</v>
      </c>
      <c r="I2077" s="17">
        <f t="shared" si="87"/>
        <v>445809500</v>
      </c>
    </row>
    <row r="2078" spans="1:9" x14ac:dyDescent="0.3">
      <c r="A2078" s="17" t="str">
        <f t="shared" si="88"/>
        <v>2010175</v>
      </c>
      <c r="B2078" s="17">
        <v>201</v>
      </c>
      <c r="C2078" s="17">
        <v>175</v>
      </c>
      <c r="D2078" s="17" t="s">
        <v>917</v>
      </c>
      <c r="E2078" s="17">
        <v>0</v>
      </c>
      <c r="F2078" s="17" t="s">
        <v>918</v>
      </c>
      <c r="G2078" s="17">
        <v>454728000</v>
      </c>
      <c r="H2078" s="17" t="s">
        <v>919</v>
      </c>
      <c r="I2078" s="17">
        <f t="shared" si="87"/>
        <v>454728000</v>
      </c>
    </row>
    <row r="2079" spans="1:9" x14ac:dyDescent="0.3">
      <c r="A2079" s="17" t="str">
        <f t="shared" si="88"/>
        <v>2010176</v>
      </c>
      <c r="B2079" s="17">
        <v>201</v>
      </c>
      <c r="C2079" s="17">
        <v>176</v>
      </c>
      <c r="D2079" s="17" t="s">
        <v>917</v>
      </c>
      <c r="E2079" s="17">
        <v>0</v>
      </c>
      <c r="F2079" s="17" t="s">
        <v>918</v>
      </c>
      <c r="G2079" s="17">
        <v>463824500</v>
      </c>
      <c r="H2079" s="17" t="s">
        <v>919</v>
      </c>
      <c r="I2079" s="17">
        <f t="shared" si="87"/>
        <v>463824500</v>
      </c>
    </row>
    <row r="2080" spans="1:9" x14ac:dyDescent="0.3">
      <c r="A2080" s="17" t="str">
        <f t="shared" si="88"/>
        <v>2010177</v>
      </c>
      <c r="B2080" s="17">
        <v>201</v>
      </c>
      <c r="C2080" s="17">
        <v>177</v>
      </c>
      <c r="D2080" s="17" t="s">
        <v>917</v>
      </c>
      <c r="E2080" s="17">
        <v>0</v>
      </c>
      <c r="F2080" s="17" t="s">
        <v>918</v>
      </c>
      <c r="G2080" s="17">
        <v>473103000</v>
      </c>
      <c r="H2080" s="17" t="s">
        <v>919</v>
      </c>
      <c r="I2080" s="17">
        <f t="shared" si="87"/>
        <v>473103000</v>
      </c>
    </row>
    <row r="2081" spans="1:9" x14ac:dyDescent="0.3">
      <c r="A2081" s="17" t="str">
        <f t="shared" si="88"/>
        <v>2010178</v>
      </c>
      <c r="B2081" s="17">
        <v>201</v>
      </c>
      <c r="C2081" s="17">
        <v>178</v>
      </c>
      <c r="D2081" s="17" t="s">
        <v>917</v>
      </c>
      <c r="E2081" s="17">
        <v>0</v>
      </c>
      <c r="F2081" s="17" t="s">
        <v>918</v>
      </c>
      <c r="G2081" s="17">
        <v>482567000</v>
      </c>
      <c r="H2081" s="17" t="s">
        <v>919</v>
      </c>
      <c r="I2081" s="17">
        <f t="shared" si="87"/>
        <v>482567000</v>
      </c>
    </row>
    <row r="2082" spans="1:9" x14ac:dyDescent="0.3">
      <c r="A2082" s="17" t="str">
        <f t="shared" si="88"/>
        <v>2010179</v>
      </c>
      <c r="B2082" s="17">
        <v>201</v>
      </c>
      <c r="C2082" s="17">
        <v>179</v>
      </c>
      <c r="D2082" s="17" t="s">
        <v>917</v>
      </c>
      <c r="E2082" s="17">
        <v>0</v>
      </c>
      <c r="F2082" s="17" t="s">
        <v>918</v>
      </c>
      <c r="G2082" s="17">
        <v>492220500</v>
      </c>
      <c r="H2082" s="17" t="s">
        <v>919</v>
      </c>
      <c r="I2082" s="17">
        <f t="shared" si="87"/>
        <v>492220500</v>
      </c>
    </row>
    <row r="2083" spans="1:9" x14ac:dyDescent="0.3">
      <c r="A2083" s="17" t="str">
        <f t="shared" si="88"/>
        <v>2010180</v>
      </c>
      <c r="B2083" s="17">
        <v>201</v>
      </c>
      <c r="C2083" s="17">
        <v>180</v>
      </c>
      <c r="D2083" s="17" t="s">
        <v>917</v>
      </c>
      <c r="E2083" s="17">
        <v>0</v>
      </c>
      <c r="F2083" s="17" t="s">
        <v>918</v>
      </c>
      <c r="G2083" s="17">
        <v>502067000</v>
      </c>
      <c r="H2083" s="17" t="s">
        <v>919</v>
      </c>
      <c r="I2083" s="17">
        <f t="shared" si="87"/>
        <v>502067000</v>
      </c>
    </row>
    <row r="2084" spans="1:9" x14ac:dyDescent="0.3">
      <c r="A2084" s="17" t="str">
        <f t="shared" si="88"/>
        <v>2010181</v>
      </c>
      <c r="B2084" s="17">
        <v>201</v>
      </c>
      <c r="C2084" s="17">
        <v>181</v>
      </c>
      <c r="D2084" s="17" t="s">
        <v>917</v>
      </c>
      <c r="E2084" s="17">
        <v>0</v>
      </c>
      <c r="F2084" s="17" t="s">
        <v>918</v>
      </c>
      <c r="G2084" s="17">
        <v>512110000</v>
      </c>
      <c r="H2084" s="17" t="s">
        <v>919</v>
      </c>
      <c r="I2084" s="17">
        <f t="shared" si="87"/>
        <v>512110000</v>
      </c>
    </row>
    <row r="2085" spans="1:9" x14ac:dyDescent="0.3">
      <c r="A2085" s="17" t="str">
        <f t="shared" si="88"/>
        <v>2010182</v>
      </c>
      <c r="B2085" s="17">
        <v>201</v>
      </c>
      <c r="C2085" s="17">
        <v>182</v>
      </c>
      <c r="D2085" s="17" t="s">
        <v>917</v>
      </c>
      <c r="E2085" s="17">
        <v>0</v>
      </c>
      <c r="F2085" s="17" t="s">
        <v>918</v>
      </c>
      <c r="G2085" s="17">
        <v>522354500</v>
      </c>
      <c r="H2085" s="17" t="s">
        <v>919</v>
      </c>
      <c r="I2085" s="17">
        <f t="shared" si="87"/>
        <v>522354500</v>
      </c>
    </row>
    <row r="2086" spans="1:9" x14ac:dyDescent="0.3">
      <c r="A2086" s="17" t="str">
        <f t="shared" si="88"/>
        <v>2010183</v>
      </c>
      <c r="B2086" s="17">
        <v>201</v>
      </c>
      <c r="C2086" s="17">
        <v>183</v>
      </c>
      <c r="D2086" s="17" t="s">
        <v>917</v>
      </c>
      <c r="E2086" s="17">
        <v>0</v>
      </c>
      <c r="F2086" s="17" t="s">
        <v>918</v>
      </c>
      <c r="G2086" s="17">
        <v>532803500</v>
      </c>
      <c r="H2086" s="17" t="s">
        <v>919</v>
      </c>
      <c r="I2086" s="17">
        <f t="shared" si="87"/>
        <v>532803500</v>
      </c>
    </row>
    <row r="2087" spans="1:9" x14ac:dyDescent="0.3">
      <c r="A2087" s="17" t="str">
        <f t="shared" si="88"/>
        <v>2010184</v>
      </c>
      <c r="B2087" s="17">
        <v>201</v>
      </c>
      <c r="C2087" s="17">
        <v>184</v>
      </c>
      <c r="D2087" s="17" t="s">
        <v>917</v>
      </c>
      <c r="E2087" s="17">
        <v>0</v>
      </c>
      <c r="F2087" s="17" t="s">
        <v>918</v>
      </c>
      <c r="G2087" s="17">
        <v>543461500</v>
      </c>
      <c r="H2087" s="17" t="s">
        <v>919</v>
      </c>
      <c r="I2087" s="17">
        <f t="shared" si="87"/>
        <v>543461500</v>
      </c>
    </row>
    <row r="2088" spans="1:9" x14ac:dyDescent="0.3">
      <c r="A2088" s="17" t="str">
        <f t="shared" si="88"/>
        <v>2010185</v>
      </c>
      <c r="B2088" s="17">
        <v>201</v>
      </c>
      <c r="C2088" s="17">
        <v>185</v>
      </c>
      <c r="D2088" s="17" t="s">
        <v>917</v>
      </c>
      <c r="E2088" s="17">
        <v>0</v>
      </c>
      <c r="F2088" s="17" t="s">
        <v>918</v>
      </c>
      <c r="G2088" s="17">
        <v>554333000</v>
      </c>
      <c r="H2088" s="17" t="s">
        <v>919</v>
      </c>
      <c r="I2088" s="17">
        <f t="shared" si="87"/>
        <v>554333000</v>
      </c>
    </row>
    <row r="2089" spans="1:9" x14ac:dyDescent="0.3">
      <c r="A2089" s="17" t="str">
        <f t="shared" si="88"/>
        <v>2010186</v>
      </c>
      <c r="B2089" s="17">
        <v>201</v>
      </c>
      <c r="C2089" s="17">
        <v>186</v>
      </c>
      <c r="D2089" s="17" t="s">
        <v>917</v>
      </c>
      <c r="E2089" s="17">
        <v>0</v>
      </c>
      <c r="F2089" s="17" t="s">
        <v>918</v>
      </c>
      <c r="G2089" s="17">
        <v>565421500</v>
      </c>
      <c r="H2089" s="17" t="s">
        <v>919</v>
      </c>
      <c r="I2089" s="17">
        <f t="shared" si="87"/>
        <v>565421500</v>
      </c>
    </row>
    <row r="2090" spans="1:9" x14ac:dyDescent="0.3">
      <c r="A2090" s="17" t="str">
        <f t="shared" si="88"/>
        <v>2010187</v>
      </c>
      <c r="B2090" s="17">
        <v>201</v>
      </c>
      <c r="C2090" s="17">
        <v>187</v>
      </c>
      <c r="D2090" s="17" t="s">
        <v>917</v>
      </c>
      <c r="E2090" s="17">
        <v>0</v>
      </c>
      <c r="F2090" s="17" t="s">
        <v>918</v>
      </c>
      <c r="G2090" s="17">
        <v>576732000</v>
      </c>
      <c r="H2090" s="17" t="s">
        <v>919</v>
      </c>
      <c r="I2090" s="17">
        <f t="shared" si="87"/>
        <v>576732000</v>
      </c>
    </row>
    <row r="2091" spans="1:9" x14ac:dyDescent="0.3">
      <c r="A2091" s="17" t="str">
        <f t="shared" si="88"/>
        <v>2010188</v>
      </c>
      <c r="B2091" s="17">
        <v>201</v>
      </c>
      <c r="C2091" s="17">
        <v>188</v>
      </c>
      <c r="D2091" s="17" t="s">
        <v>917</v>
      </c>
      <c r="E2091" s="17">
        <v>0</v>
      </c>
      <c r="F2091" s="17" t="s">
        <v>918</v>
      </c>
      <c r="G2091" s="17">
        <v>588268500</v>
      </c>
      <c r="H2091" s="17" t="s">
        <v>919</v>
      </c>
      <c r="I2091" s="17">
        <f t="shared" si="87"/>
        <v>588268500</v>
      </c>
    </row>
    <row r="2092" spans="1:9" x14ac:dyDescent="0.3">
      <c r="A2092" s="17" t="str">
        <f t="shared" si="88"/>
        <v>2010189</v>
      </c>
      <c r="B2092" s="17">
        <v>201</v>
      </c>
      <c r="C2092" s="17">
        <v>189</v>
      </c>
      <c r="D2092" s="17" t="s">
        <v>917</v>
      </c>
      <c r="E2092" s="17">
        <v>0</v>
      </c>
      <c r="F2092" s="17" t="s">
        <v>918</v>
      </c>
      <c r="G2092" s="17">
        <v>600036000</v>
      </c>
      <c r="H2092" s="17" t="s">
        <v>919</v>
      </c>
      <c r="I2092" s="17">
        <f t="shared" si="87"/>
        <v>600036000</v>
      </c>
    </row>
    <row r="2093" spans="1:9" x14ac:dyDescent="0.3">
      <c r="A2093" s="17" t="str">
        <f t="shared" si="88"/>
        <v>2010190</v>
      </c>
      <c r="B2093" s="17">
        <v>201</v>
      </c>
      <c r="C2093" s="17">
        <v>190</v>
      </c>
      <c r="D2093" s="17" t="s">
        <v>917</v>
      </c>
      <c r="E2093" s="17">
        <v>0</v>
      </c>
      <c r="F2093" s="17" t="s">
        <v>918</v>
      </c>
      <c r="G2093" s="17">
        <v>612038500</v>
      </c>
      <c r="H2093" s="17" t="s">
        <v>919</v>
      </c>
      <c r="I2093" s="17">
        <f t="shared" si="87"/>
        <v>612038500</v>
      </c>
    </row>
    <row r="2094" spans="1:9" x14ac:dyDescent="0.3">
      <c r="A2094" s="17" t="str">
        <f t="shared" si="88"/>
        <v>2010191</v>
      </c>
      <c r="B2094" s="17">
        <v>201</v>
      </c>
      <c r="C2094" s="17">
        <v>191</v>
      </c>
      <c r="D2094" s="17" t="s">
        <v>917</v>
      </c>
      <c r="E2094" s="17">
        <v>0</v>
      </c>
      <c r="F2094" s="17" t="s">
        <v>918</v>
      </c>
      <c r="G2094" s="17">
        <v>624281500</v>
      </c>
      <c r="H2094" s="17" t="s">
        <v>919</v>
      </c>
      <c r="I2094" s="17">
        <f t="shared" si="87"/>
        <v>624281500</v>
      </c>
    </row>
    <row r="2095" spans="1:9" x14ac:dyDescent="0.3">
      <c r="A2095" s="17" t="str">
        <f t="shared" si="88"/>
        <v>2010192</v>
      </c>
      <c r="B2095" s="17">
        <v>201</v>
      </c>
      <c r="C2095" s="17">
        <v>192</v>
      </c>
      <c r="D2095" s="17" t="s">
        <v>917</v>
      </c>
      <c r="E2095" s="17">
        <v>0</v>
      </c>
      <c r="F2095" s="17" t="s">
        <v>918</v>
      </c>
      <c r="G2095" s="17">
        <v>636769000</v>
      </c>
      <c r="H2095" s="17" t="s">
        <v>919</v>
      </c>
      <c r="I2095" s="17">
        <f t="shared" si="87"/>
        <v>636769000</v>
      </c>
    </row>
    <row r="2096" spans="1:9" x14ac:dyDescent="0.3">
      <c r="A2096" s="17" t="str">
        <f t="shared" si="88"/>
        <v>2010193</v>
      </c>
      <c r="B2096" s="17">
        <v>201</v>
      </c>
      <c r="C2096" s="17">
        <v>193</v>
      </c>
      <c r="D2096" s="17" t="s">
        <v>917</v>
      </c>
      <c r="E2096" s="17">
        <v>0</v>
      </c>
      <c r="F2096" s="17" t="s">
        <v>918</v>
      </c>
      <c r="G2096" s="17">
        <v>649506500</v>
      </c>
      <c r="H2096" s="17" t="s">
        <v>919</v>
      </c>
      <c r="I2096" s="17">
        <f t="shared" si="87"/>
        <v>649506500</v>
      </c>
    </row>
    <row r="2097" spans="1:9" x14ac:dyDescent="0.3">
      <c r="A2097" s="17" t="str">
        <f t="shared" si="88"/>
        <v>2010194</v>
      </c>
      <c r="B2097" s="17">
        <v>201</v>
      </c>
      <c r="C2097" s="17">
        <v>194</v>
      </c>
      <c r="D2097" s="17" t="s">
        <v>917</v>
      </c>
      <c r="E2097" s="17">
        <v>0</v>
      </c>
      <c r="F2097" s="17" t="s">
        <v>918</v>
      </c>
      <c r="G2097" s="17">
        <v>662498500</v>
      </c>
      <c r="H2097" s="17" t="s">
        <v>919</v>
      </c>
      <c r="I2097" s="17">
        <f t="shared" ref="I2097:I2160" si="89">G2097</f>
        <v>662498500</v>
      </c>
    </row>
    <row r="2098" spans="1:9" x14ac:dyDescent="0.3">
      <c r="A2098" s="17" t="str">
        <f t="shared" si="88"/>
        <v>2010195</v>
      </c>
      <c r="B2098" s="17">
        <v>201</v>
      </c>
      <c r="C2098" s="17">
        <v>195</v>
      </c>
      <c r="D2098" s="17" t="s">
        <v>917</v>
      </c>
      <c r="E2098" s="17">
        <v>0</v>
      </c>
      <c r="F2098" s="17" t="s">
        <v>918</v>
      </c>
      <c r="G2098" s="17">
        <v>675750500</v>
      </c>
      <c r="H2098" s="17" t="s">
        <v>919</v>
      </c>
      <c r="I2098" s="17">
        <f t="shared" si="89"/>
        <v>675750500</v>
      </c>
    </row>
    <row r="2099" spans="1:9" x14ac:dyDescent="0.3">
      <c r="A2099" s="17" t="str">
        <f t="shared" si="88"/>
        <v>2010196</v>
      </c>
      <c r="B2099" s="17">
        <v>201</v>
      </c>
      <c r="C2099" s="17">
        <v>196</v>
      </c>
      <c r="D2099" s="17" t="s">
        <v>917</v>
      </c>
      <c r="E2099" s="17">
        <v>0</v>
      </c>
      <c r="F2099" s="17" t="s">
        <v>918</v>
      </c>
      <c r="G2099" s="17">
        <v>689267500</v>
      </c>
      <c r="H2099" s="17" t="s">
        <v>919</v>
      </c>
      <c r="I2099" s="17">
        <f t="shared" si="89"/>
        <v>689267500</v>
      </c>
    </row>
    <row r="2100" spans="1:9" x14ac:dyDescent="0.3">
      <c r="A2100" s="17" t="str">
        <f t="shared" si="88"/>
        <v>2010197</v>
      </c>
      <c r="B2100" s="17">
        <v>201</v>
      </c>
      <c r="C2100" s="17">
        <v>197</v>
      </c>
      <c r="D2100" s="17" t="s">
        <v>917</v>
      </c>
      <c r="E2100" s="17">
        <v>0</v>
      </c>
      <c r="F2100" s="17" t="s">
        <v>918</v>
      </c>
      <c r="G2100" s="17">
        <v>703055000</v>
      </c>
      <c r="H2100" s="17" t="s">
        <v>919</v>
      </c>
      <c r="I2100" s="17">
        <f t="shared" si="89"/>
        <v>703055000</v>
      </c>
    </row>
    <row r="2101" spans="1:9" x14ac:dyDescent="0.3">
      <c r="A2101" s="17" t="str">
        <f t="shared" si="88"/>
        <v>2010198</v>
      </c>
      <c r="B2101" s="17">
        <v>201</v>
      </c>
      <c r="C2101" s="17">
        <v>198</v>
      </c>
      <c r="D2101" s="17" t="s">
        <v>917</v>
      </c>
      <c r="E2101" s="17">
        <v>0</v>
      </c>
      <c r="F2101" s="17" t="s">
        <v>918</v>
      </c>
      <c r="G2101" s="17">
        <v>717118000</v>
      </c>
      <c r="H2101" s="17" t="s">
        <v>919</v>
      </c>
      <c r="I2101" s="17">
        <f t="shared" si="89"/>
        <v>717118000</v>
      </c>
    </row>
    <row r="2102" spans="1:9" x14ac:dyDescent="0.3">
      <c r="A2102" s="17" t="str">
        <f t="shared" si="88"/>
        <v>2010199</v>
      </c>
      <c r="B2102" s="17">
        <v>201</v>
      </c>
      <c r="C2102" s="17">
        <v>199</v>
      </c>
      <c r="D2102" s="17" t="s">
        <v>917</v>
      </c>
      <c r="E2102" s="17">
        <v>0</v>
      </c>
      <c r="F2102" s="17" t="s">
        <v>918</v>
      </c>
      <c r="G2102" s="17">
        <v>731462500</v>
      </c>
      <c r="H2102" s="17" t="s">
        <v>919</v>
      </c>
      <c r="I2102" s="17">
        <f t="shared" si="89"/>
        <v>731462500</v>
      </c>
    </row>
    <row r="2103" spans="1:9" x14ac:dyDescent="0.3">
      <c r="A2103" s="17" t="str">
        <f t="shared" si="88"/>
        <v>2010200</v>
      </c>
      <c r="B2103" s="17">
        <v>201</v>
      </c>
      <c r="C2103" s="17">
        <v>200</v>
      </c>
      <c r="D2103" s="17" t="s">
        <v>917</v>
      </c>
      <c r="E2103" s="17">
        <v>0</v>
      </c>
      <c r="F2103" s="17" t="s">
        <v>918</v>
      </c>
      <c r="G2103" s="17">
        <v>746093500</v>
      </c>
      <c r="H2103" s="17" t="s">
        <v>919</v>
      </c>
      <c r="I2103" s="17">
        <f t="shared" si="89"/>
        <v>746093500</v>
      </c>
    </row>
    <row r="2104" spans="1:9" x14ac:dyDescent="0.3">
      <c r="A2104" s="17" t="str">
        <f t="shared" si="88"/>
        <v>2010201</v>
      </c>
      <c r="B2104" s="17">
        <v>201</v>
      </c>
      <c r="C2104" s="17">
        <v>201</v>
      </c>
      <c r="D2104" s="17" t="s">
        <v>917</v>
      </c>
      <c r="E2104" s="17">
        <v>0</v>
      </c>
      <c r="F2104" s="17" t="s">
        <v>918</v>
      </c>
      <c r="G2104" s="17">
        <v>761017500</v>
      </c>
      <c r="H2104" s="17" t="s">
        <v>919</v>
      </c>
      <c r="I2104" s="17">
        <f t="shared" si="89"/>
        <v>761017500</v>
      </c>
    </row>
    <row r="2105" spans="1:9" x14ac:dyDescent="0.3">
      <c r="A2105" s="17" t="str">
        <f t="shared" si="88"/>
        <v>2010202</v>
      </c>
      <c r="B2105" s="17">
        <v>201</v>
      </c>
      <c r="C2105" s="17">
        <v>202</v>
      </c>
      <c r="D2105" s="17" t="s">
        <v>917</v>
      </c>
      <c r="E2105" s="17">
        <v>0</v>
      </c>
      <c r="F2105" s="17" t="s">
        <v>918</v>
      </c>
      <c r="G2105" s="17">
        <v>776240000</v>
      </c>
      <c r="H2105" s="17" t="s">
        <v>919</v>
      </c>
      <c r="I2105" s="17">
        <f t="shared" si="89"/>
        <v>776240000</v>
      </c>
    </row>
    <row r="2106" spans="1:9" x14ac:dyDescent="0.3">
      <c r="A2106" s="17" t="str">
        <f t="shared" si="88"/>
        <v>2010203</v>
      </c>
      <c r="B2106" s="17">
        <v>201</v>
      </c>
      <c r="C2106" s="17">
        <v>203</v>
      </c>
      <c r="D2106" s="17" t="s">
        <v>917</v>
      </c>
      <c r="E2106" s="17">
        <v>0</v>
      </c>
      <c r="F2106" s="17" t="s">
        <v>918</v>
      </c>
      <c r="G2106" s="17">
        <v>791766500</v>
      </c>
      <c r="H2106" s="17" t="s">
        <v>919</v>
      </c>
      <c r="I2106" s="17">
        <f t="shared" si="89"/>
        <v>791766500</v>
      </c>
    </row>
    <row r="2107" spans="1:9" x14ac:dyDescent="0.3">
      <c r="A2107" s="17" t="str">
        <f t="shared" si="88"/>
        <v>2010204</v>
      </c>
      <c r="B2107" s="17">
        <v>201</v>
      </c>
      <c r="C2107" s="17">
        <v>204</v>
      </c>
      <c r="D2107" s="17" t="s">
        <v>917</v>
      </c>
      <c r="E2107" s="17">
        <v>0</v>
      </c>
      <c r="F2107" s="17" t="s">
        <v>918</v>
      </c>
      <c r="G2107" s="17">
        <v>807604000</v>
      </c>
      <c r="H2107" s="17" t="s">
        <v>919</v>
      </c>
      <c r="I2107" s="17">
        <f t="shared" si="89"/>
        <v>807604000</v>
      </c>
    </row>
    <row r="2108" spans="1:9" x14ac:dyDescent="0.3">
      <c r="A2108" s="17" t="str">
        <f t="shared" si="88"/>
        <v>2010205</v>
      </c>
      <c r="B2108" s="17">
        <v>201</v>
      </c>
      <c r="C2108" s="17">
        <v>205</v>
      </c>
      <c r="D2108" s="17" t="s">
        <v>917</v>
      </c>
      <c r="E2108" s="17">
        <v>0</v>
      </c>
      <c r="F2108" s="17" t="s">
        <v>918</v>
      </c>
      <c r="G2108" s="17">
        <v>823758000</v>
      </c>
      <c r="H2108" s="17" t="s">
        <v>919</v>
      </c>
      <c r="I2108" s="17">
        <f t="shared" si="89"/>
        <v>823758000</v>
      </c>
    </row>
    <row r="2109" spans="1:9" x14ac:dyDescent="0.3">
      <c r="A2109" s="17" t="str">
        <f t="shared" si="88"/>
        <v>2010206</v>
      </c>
      <c r="B2109" s="17">
        <v>201</v>
      </c>
      <c r="C2109" s="17">
        <v>206</v>
      </c>
      <c r="D2109" s="17" t="s">
        <v>917</v>
      </c>
      <c r="E2109" s="17">
        <v>0</v>
      </c>
      <c r="F2109" s="17" t="s">
        <v>918</v>
      </c>
      <c r="G2109" s="17">
        <v>840235000</v>
      </c>
      <c r="H2109" s="17" t="s">
        <v>919</v>
      </c>
      <c r="I2109" s="17">
        <f t="shared" si="89"/>
        <v>840235000</v>
      </c>
    </row>
    <row r="2110" spans="1:9" x14ac:dyDescent="0.3">
      <c r="A2110" s="17" t="str">
        <f t="shared" si="88"/>
        <v>2010207</v>
      </c>
      <c r="B2110" s="17">
        <v>201</v>
      </c>
      <c r="C2110" s="17">
        <v>207</v>
      </c>
      <c r="D2110" s="17" t="s">
        <v>917</v>
      </c>
      <c r="E2110" s="17">
        <v>0</v>
      </c>
      <c r="F2110" s="17" t="s">
        <v>918</v>
      </c>
      <c r="G2110" s="17">
        <v>857042000</v>
      </c>
      <c r="H2110" s="17" t="s">
        <v>919</v>
      </c>
      <c r="I2110" s="17">
        <f t="shared" si="89"/>
        <v>857042000</v>
      </c>
    </row>
    <row r="2111" spans="1:9" x14ac:dyDescent="0.3">
      <c r="A2111" s="17" t="str">
        <f t="shared" si="88"/>
        <v>2010208</v>
      </c>
      <c r="B2111" s="17">
        <v>201</v>
      </c>
      <c r="C2111" s="17">
        <v>208</v>
      </c>
      <c r="D2111" s="17" t="s">
        <v>917</v>
      </c>
      <c r="E2111" s="17">
        <v>0</v>
      </c>
      <c r="F2111" s="17" t="s">
        <v>918</v>
      </c>
      <c r="G2111" s="17">
        <v>874184500</v>
      </c>
      <c r="H2111" s="17" t="s">
        <v>919</v>
      </c>
      <c r="I2111" s="17">
        <f t="shared" si="89"/>
        <v>874184500</v>
      </c>
    </row>
    <row r="2112" spans="1:9" x14ac:dyDescent="0.3">
      <c r="A2112" s="17" t="str">
        <f t="shared" si="88"/>
        <v>2010209</v>
      </c>
      <c r="B2112" s="17">
        <v>201</v>
      </c>
      <c r="C2112" s="17">
        <v>209</v>
      </c>
      <c r="D2112" s="17" t="s">
        <v>917</v>
      </c>
      <c r="E2112" s="17">
        <v>0</v>
      </c>
      <c r="F2112" s="17" t="s">
        <v>918</v>
      </c>
      <c r="G2112" s="17">
        <v>891670500</v>
      </c>
      <c r="H2112" s="17" t="s">
        <v>919</v>
      </c>
      <c r="I2112" s="17">
        <f t="shared" si="89"/>
        <v>891670500</v>
      </c>
    </row>
    <row r="2113" spans="1:9" x14ac:dyDescent="0.3">
      <c r="A2113" s="17" t="str">
        <f t="shared" si="88"/>
        <v>2010210</v>
      </c>
      <c r="B2113" s="17">
        <v>201</v>
      </c>
      <c r="C2113" s="17">
        <v>210</v>
      </c>
      <c r="D2113" s="17" t="s">
        <v>917</v>
      </c>
      <c r="E2113" s="17">
        <v>0</v>
      </c>
      <c r="F2113" s="17" t="s">
        <v>918</v>
      </c>
      <c r="G2113" s="17">
        <v>909506000</v>
      </c>
      <c r="H2113" s="17" t="s">
        <v>919</v>
      </c>
      <c r="I2113" s="17">
        <f t="shared" si="89"/>
        <v>909506000</v>
      </c>
    </row>
    <row r="2114" spans="1:9" x14ac:dyDescent="0.3">
      <c r="A2114" s="17" t="str">
        <f t="shared" si="88"/>
        <v>2010211</v>
      </c>
      <c r="B2114" s="17">
        <v>201</v>
      </c>
      <c r="C2114" s="17">
        <v>211</v>
      </c>
      <c r="D2114" s="17" t="s">
        <v>917</v>
      </c>
      <c r="E2114" s="17">
        <v>0</v>
      </c>
      <c r="F2114" s="17" t="s">
        <v>918</v>
      </c>
      <c r="G2114" s="17">
        <v>927698000</v>
      </c>
      <c r="H2114" s="17" t="s">
        <v>919</v>
      </c>
      <c r="I2114" s="17">
        <f t="shared" si="89"/>
        <v>927698000</v>
      </c>
    </row>
    <row r="2115" spans="1:9" x14ac:dyDescent="0.3">
      <c r="A2115" s="17" t="str">
        <f t="shared" si="88"/>
        <v>2010212</v>
      </c>
      <c r="B2115" s="17">
        <v>201</v>
      </c>
      <c r="C2115" s="17">
        <v>212</v>
      </c>
      <c r="D2115" s="17" t="s">
        <v>917</v>
      </c>
      <c r="E2115" s="17">
        <v>0</v>
      </c>
      <c r="F2115" s="17" t="s">
        <v>918</v>
      </c>
      <c r="G2115" s="17">
        <v>946254000</v>
      </c>
      <c r="H2115" s="17" t="s">
        <v>919</v>
      </c>
      <c r="I2115" s="17">
        <f t="shared" si="89"/>
        <v>946254000</v>
      </c>
    </row>
    <row r="2116" spans="1:9" x14ac:dyDescent="0.3">
      <c r="A2116" s="17" t="str">
        <f t="shared" ref="A2116:A2179" si="90">B2116&amp;TEXT(C2116,"0000")</f>
        <v>2010213</v>
      </c>
      <c r="B2116" s="17">
        <v>201</v>
      </c>
      <c r="C2116" s="17">
        <v>213</v>
      </c>
      <c r="D2116" s="17" t="s">
        <v>917</v>
      </c>
      <c r="E2116" s="17">
        <v>0</v>
      </c>
      <c r="F2116" s="17" t="s">
        <v>918</v>
      </c>
      <c r="G2116" s="17">
        <v>965181000</v>
      </c>
      <c r="H2116" s="17" t="s">
        <v>919</v>
      </c>
      <c r="I2116" s="17">
        <f t="shared" si="89"/>
        <v>965181000</v>
      </c>
    </row>
    <row r="2117" spans="1:9" x14ac:dyDescent="0.3">
      <c r="A2117" s="17" t="str">
        <f t="shared" si="90"/>
        <v>2010214</v>
      </c>
      <c r="B2117" s="17">
        <v>201</v>
      </c>
      <c r="C2117" s="17">
        <v>214</v>
      </c>
      <c r="D2117" s="17" t="s">
        <v>917</v>
      </c>
      <c r="E2117" s="17">
        <v>0</v>
      </c>
      <c r="F2117" s="17" t="s">
        <v>918</v>
      </c>
      <c r="G2117" s="17">
        <v>984486500</v>
      </c>
      <c r="H2117" s="17" t="s">
        <v>919</v>
      </c>
      <c r="I2117" s="17">
        <f t="shared" si="89"/>
        <v>984486500</v>
      </c>
    </row>
    <row r="2118" spans="1:9" x14ac:dyDescent="0.3">
      <c r="A2118" s="17" t="str">
        <f t="shared" si="90"/>
        <v>2010215</v>
      </c>
      <c r="B2118" s="17">
        <v>201</v>
      </c>
      <c r="C2118" s="17">
        <v>215</v>
      </c>
      <c r="D2118" s="17" t="s">
        <v>917</v>
      </c>
      <c r="E2118" s="17">
        <v>0</v>
      </c>
      <c r="F2118" s="17" t="s">
        <v>918</v>
      </c>
      <c r="G2118" s="17">
        <v>1004178500</v>
      </c>
      <c r="H2118" s="17" t="s">
        <v>919</v>
      </c>
      <c r="I2118" s="17">
        <f t="shared" si="89"/>
        <v>1004178500</v>
      </c>
    </row>
    <row r="2119" spans="1:9" x14ac:dyDescent="0.3">
      <c r="A2119" s="17" t="str">
        <f t="shared" si="90"/>
        <v>2010216</v>
      </c>
      <c r="B2119" s="17">
        <v>201</v>
      </c>
      <c r="C2119" s="17">
        <v>216</v>
      </c>
      <c r="D2119" s="17" t="s">
        <v>917</v>
      </c>
      <c r="E2119" s="17">
        <v>0</v>
      </c>
      <c r="F2119" s="17" t="s">
        <v>918</v>
      </c>
      <c r="G2119" s="17">
        <v>1024264000</v>
      </c>
      <c r="H2119" s="17" t="s">
        <v>919</v>
      </c>
      <c r="I2119" s="17">
        <f t="shared" si="89"/>
        <v>1024264000</v>
      </c>
    </row>
    <row r="2120" spans="1:9" x14ac:dyDescent="0.3">
      <c r="A2120" s="17" t="str">
        <f t="shared" si="90"/>
        <v>2010217</v>
      </c>
      <c r="B2120" s="17">
        <v>201</v>
      </c>
      <c r="C2120" s="17">
        <v>217</v>
      </c>
      <c r="D2120" s="17" t="s">
        <v>917</v>
      </c>
      <c r="E2120" s="17">
        <v>0</v>
      </c>
      <c r="F2120" s="17" t="s">
        <v>918</v>
      </c>
      <c r="G2120" s="17">
        <v>1044751000</v>
      </c>
      <c r="H2120" s="17" t="s">
        <v>919</v>
      </c>
      <c r="I2120" s="17">
        <f t="shared" si="89"/>
        <v>1044751000</v>
      </c>
    </row>
    <row r="2121" spans="1:9" x14ac:dyDescent="0.3">
      <c r="A2121" s="17" t="str">
        <f t="shared" si="90"/>
        <v>2010218</v>
      </c>
      <c r="B2121" s="17">
        <v>201</v>
      </c>
      <c r="C2121" s="17">
        <v>218</v>
      </c>
      <c r="D2121" s="17" t="s">
        <v>917</v>
      </c>
      <c r="E2121" s="17">
        <v>0</v>
      </c>
      <c r="F2121" s="17" t="s">
        <v>918</v>
      </c>
      <c r="G2121" s="17">
        <v>1065648500</v>
      </c>
      <c r="H2121" s="17" t="s">
        <v>919</v>
      </c>
      <c r="I2121" s="17">
        <f t="shared" si="89"/>
        <v>1065648500</v>
      </c>
    </row>
    <row r="2122" spans="1:9" x14ac:dyDescent="0.3">
      <c r="A2122" s="17" t="str">
        <f t="shared" si="90"/>
        <v>2010219</v>
      </c>
      <c r="B2122" s="17">
        <v>201</v>
      </c>
      <c r="C2122" s="17">
        <v>219</v>
      </c>
      <c r="D2122" s="17" t="s">
        <v>917</v>
      </c>
      <c r="E2122" s="17">
        <v>0</v>
      </c>
      <c r="F2122" s="17" t="s">
        <v>918</v>
      </c>
      <c r="G2122" s="17">
        <v>1086963000</v>
      </c>
      <c r="H2122" s="17" t="s">
        <v>919</v>
      </c>
      <c r="I2122" s="17">
        <f t="shared" si="89"/>
        <v>1086963000</v>
      </c>
    </row>
    <row r="2123" spans="1:9" x14ac:dyDescent="0.3">
      <c r="A2123" s="17" t="str">
        <f t="shared" si="90"/>
        <v>2010220</v>
      </c>
      <c r="B2123" s="17">
        <v>201</v>
      </c>
      <c r="C2123" s="17">
        <v>220</v>
      </c>
      <c r="D2123" s="17" t="s">
        <v>917</v>
      </c>
      <c r="E2123" s="17">
        <v>0</v>
      </c>
      <c r="F2123" s="17" t="s">
        <v>918</v>
      </c>
      <c r="G2123" s="17">
        <v>1108704500</v>
      </c>
      <c r="H2123" s="17" t="s">
        <v>919</v>
      </c>
      <c r="I2123" s="17">
        <f t="shared" si="89"/>
        <v>1108704500</v>
      </c>
    </row>
    <row r="2124" spans="1:9" x14ac:dyDescent="0.3">
      <c r="A2124" s="17" t="str">
        <f t="shared" si="90"/>
        <v>2010221</v>
      </c>
      <c r="B2124" s="17">
        <v>201</v>
      </c>
      <c r="C2124" s="17">
        <v>221</v>
      </c>
      <c r="D2124" s="17" t="s">
        <v>917</v>
      </c>
      <c r="E2124" s="17">
        <v>0</v>
      </c>
      <c r="F2124" s="17" t="s">
        <v>918</v>
      </c>
      <c r="G2124" s="17">
        <v>1130880500</v>
      </c>
      <c r="H2124" s="17" t="s">
        <v>919</v>
      </c>
      <c r="I2124" s="17">
        <f t="shared" si="89"/>
        <v>1130880500</v>
      </c>
    </row>
    <row r="2125" spans="1:9" x14ac:dyDescent="0.3">
      <c r="A2125" s="17" t="str">
        <f t="shared" si="90"/>
        <v>2010222</v>
      </c>
      <c r="B2125" s="17">
        <v>201</v>
      </c>
      <c r="C2125" s="17">
        <v>222</v>
      </c>
      <c r="D2125" s="17" t="s">
        <v>917</v>
      </c>
      <c r="E2125" s="17">
        <v>0</v>
      </c>
      <c r="F2125" s="17" t="s">
        <v>918</v>
      </c>
      <c r="G2125" s="17">
        <v>1153500000</v>
      </c>
      <c r="H2125" s="17" t="s">
        <v>919</v>
      </c>
      <c r="I2125" s="17">
        <f t="shared" si="89"/>
        <v>1153500000</v>
      </c>
    </row>
    <row r="2126" spans="1:9" x14ac:dyDescent="0.3">
      <c r="A2126" s="17" t="str">
        <f t="shared" si="90"/>
        <v>2010223</v>
      </c>
      <c r="B2126" s="17">
        <v>201</v>
      </c>
      <c r="C2126" s="17">
        <v>223</v>
      </c>
      <c r="D2126" s="17" t="s">
        <v>917</v>
      </c>
      <c r="E2126" s="17">
        <v>0</v>
      </c>
      <c r="F2126" s="17" t="s">
        <v>918</v>
      </c>
      <c r="G2126" s="17">
        <v>1176572000</v>
      </c>
      <c r="H2126" s="17" t="s">
        <v>919</v>
      </c>
      <c r="I2126" s="17">
        <f t="shared" si="89"/>
        <v>1176572000</v>
      </c>
    </row>
    <row r="2127" spans="1:9" x14ac:dyDescent="0.3">
      <c r="A2127" s="17" t="str">
        <f t="shared" si="90"/>
        <v>2010224</v>
      </c>
      <c r="B2127" s="17">
        <v>201</v>
      </c>
      <c r="C2127" s="17">
        <v>224</v>
      </c>
      <c r="D2127" s="17" t="s">
        <v>917</v>
      </c>
      <c r="E2127" s="17">
        <v>0</v>
      </c>
      <c r="F2127" s="17" t="s">
        <v>918</v>
      </c>
      <c r="G2127" s="17">
        <v>1200105500</v>
      </c>
      <c r="H2127" s="17" t="s">
        <v>919</v>
      </c>
      <c r="I2127" s="17">
        <f t="shared" si="89"/>
        <v>1200105500</v>
      </c>
    </row>
    <row r="2128" spans="1:9" x14ac:dyDescent="0.3">
      <c r="A2128" s="17" t="str">
        <f t="shared" si="90"/>
        <v>2010225</v>
      </c>
      <c r="B2128" s="17">
        <v>201</v>
      </c>
      <c r="C2128" s="17">
        <v>225</v>
      </c>
      <c r="D2128" s="17" t="s">
        <v>917</v>
      </c>
      <c r="E2128" s="17">
        <v>0</v>
      </c>
      <c r="F2128" s="17" t="s">
        <v>918</v>
      </c>
      <c r="G2128" s="17">
        <v>1224110000</v>
      </c>
      <c r="H2128" s="17" t="s">
        <v>919</v>
      </c>
      <c r="I2128" s="17">
        <f t="shared" si="89"/>
        <v>1224110000</v>
      </c>
    </row>
    <row r="2129" spans="1:9" x14ac:dyDescent="0.3">
      <c r="A2129" s="17" t="str">
        <f t="shared" si="90"/>
        <v>2010226</v>
      </c>
      <c r="B2129" s="17">
        <v>201</v>
      </c>
      <c r="C2129" s="17">
        <v>226</v>
      </c>
      <c r="D2129" s="17" t="s">
        <v>917</v>
      </c>
      <c r="E2129" s="17">
        <v>0</v>
      </c>
      <c r="F2129" s="17" t="s">
        <v>918</v>
      </c>
      <c r="G2129" s="17">
        <v>1248594000</v>
      </c>
      <c r="H2129" s="17" t="s">
        <v>919</v>
      </c>
      <c r="I2129" s="17">
        <f t="shared" si="89"/>
        <v>1248594000</v>
      </c>
    </row>
    <row r="2130" spans="1:9" x14ac:dyDescent="0.3">
      <c r="A2130" s="17" t="str">
        <f t="shared" si="90"/>
        <v>2010227</v>
      </c>
      <c r="B2130" s="17">
        <v>201</v>
      </c>
      <c r="C2130" s="17">
        <v>227</v>
      </c>
      <c r="D2130" s="17" t="s">
        <v>917</v>
      </c>
      <c r="E2130" s="17">
        <v>0</v>
      </c>
      <c r="F2130" s="17" t="s">
        <v>918</v>
      </c>
      <c r="G2130" s="17">
        <v>1273568000</v>
      </c>
      <c r="H2130" s="17" t="s">
        <v>919</v>
      </c>
      <c r="I2130" s="17">
        <f t="shared" si="89"/>
        <v>1273568000</v>
      </c>
    </row>
    <row r="2131" spans="1:9" x14ac:dyDescent="0.3">
      <c r="A2131" s="17" t="str">
        <f t="shared" si="90"/>
        <v>2010228</v>
      </c>
      <c r="B2131" s="17">
        <v>201</v>
      </c>
      <c r="C2131" s="17">
        <v>228</v>
      </c>
      <c r="D2131" s="17" t="s">
        <v>917</v>
      </c>
      <c r="E2131" s="17">
        <v>0</v>
      </c>
      <c r="F2131" s="17" t="s">
        <v>918</v>
      </c>
      <c r="G2131" s="17">
        <v>1299041500</v>
      </c>
      <c r="H2131" s="17" t="s">
        <v>919</v>
      </c>
      <c r="I2131" s="17">
        <f t="shared" si="89"/>
        <v>1299041500</v>
      </c>
    </row>
    <row r="2132" spans="1:9" x14ac:dyDescent="0.3">
      <c r="A2132" s="17" t="str">
        <f t="shared" si="90"/>
        <v>2010229</v>
      </c>
      <c r="B2132" s="17">
        <v>201</v>
      </c>
      <c r="C2132" s="17">
        <v>229</v>
      </c>
      <c r="D2132" s="17" t="s">
        <v>917</v>
      </c>
      <c r="E2132" s="17">
        <v>0</v>
      </c>
      <c r="F2132" s="17" t="s">
        <v>918</v>
      </c>
      <c r="G2132" s="17">
        <v>1325024000</v>
      </c>
      <c r="H2132" s="17" t="s">
        <v>919</v>
      </c>
      <c r="I2132" s="17">
        <f t="shared" si="89"/>
        <v>1325024000</v>
      </c>
    </row>
    <row r="2133" spans="1:9" x14ac:dyDescent="0.3">
      <c r="A2133" s="17" t="str">
        <f t="shared" si="90"/>
        <v>2010230</v>
      </c>
      <c r="B2133" s="17">
        <v>201</v>
      </c>
      <c r="C2133" s="17">
        <v>230</v>
      </c>
      <c r="D2133" s="17" t="s">
        <v>917</v>
      </c>
      <c r="E2133" s="17">
        <v>0</v>
      </c>
      <c r="F2133" s="17" t="s">
        <v>918</v>
      </c>
      <c r="G2133" s="17">
        <v>1351526500</v>
      </c>
      <c r="H2133" s="17" t="s">
        <v>919</v>
      </c>
      <c r="I2133" s="17">
        <f t="shared" si="89"/>
        <v>1351526500</v>
      </c>
    </row>
    <row r="2134" spans="1:9" x14ac:dyDescent="0.3">
      <c r="A2134" s="17" t="str">
        <f t="shared" si="90"/>
        <v>2010231</v>
      </c>
      <c r="B2134" s="17">
        <v>201</v>
      </c>
      <c r="C2134" s="17">
        <v>231</v>
      </c>
      <c r="D2134" s="17" t="s">
        <v>917</v>
      </c>
      <c r="E2134" s="17">
        <v>0</v>
      </c>
      <c r="F2134" s="17" t="s">
        <v>918</v>
      </c>
      <c r="G2134" s="17">
        <v>1378559000</v>
      </c>
      <c r="H2134" s="17" t="s">
        <v>919</v>
      </c>
      <c r="I2134" s="17">
        <f t="shared" si="89"/>
        <v>1378559000</v>
      </c>
    </row>
    <row r="2135" spans="1:9" x14ac:dyDescent="0.3">
      <c r="A2135" s="17" t="str">
        <f t="shared" si="90"/>
        <v>2010232</v>
      </c>
      <c r="B2135" s="17">
        <v>201</v>
      </c>
      <c r="C2135" s="17">
        <v>232</v>
      </c>
      <c r="D2135" s="17" t="s">
        <v>917</v>
      </c>
      <c r="E2135" s="17">
        <v>0</v>
      </c>
      <c r="F2135" s="17" t="s">
        <v>918</v>
      </c>
      <c r="G2135" s="17">
        <v>1406132500</v>
      </c>
      <c r="H2135" s="17" t="s">
        <v>919</v>
      </c>
      <c r="I2135" s="17">
        <f t="shared" si="89"/>
        <v>1406132500</v>
      </c>
    </row>
    <row r="2136" spans="1:9" x14ac:dyDescent="0.3">
      <c r="A2136" s="17" t="str">
        <f t="shared" si="90"/>
        <v>2010233</v>
      </c>
      <c r="B2136" s="17">
        <v>201</v>
      </c>
      <c r="C2136" s="17">
        <v>233</v>
      </c>
      <c r="D2136" s="17" t="s">
        <v>917</v>
      </c>
      <c r="E2136" s="17">
        <v>0</v>
      </c>
      <c r="F2136" s="17" t="s">
        <v>918</v>
      </c>
      <c r="G2136" s="17">
        <v>1434257000</v>
      </c>
      <c r="H2136" s="17" t="s">
        <v>919</v>
      </c>
      <c r="I2136" s="17">
        <f t="shared" si="89"/>
        <v>1434257000</v>
      </c>
    </row>
    <row r="2137" spans="1:9" x14ac:dyDescent="0.3">
      <c r="A2137" s="17" t="str">
        <f t="shared" si="90"/>
        <v>2010234</v>
      </c>
      <c r="B2137" s="17">
        <v>201</v>
      </c>
      <c r="C2137" s="17">
        <v>234</v>
      </c>
      <c r="D2137" s="17" t="s">
        <v>917</v>
      </c>
      <c r="E2137" s="17">
        <v>0</v>
      </c>
      <c r="F2137" s="17" t="s">
        <v>918</v>
      </c>
      <c r="G2137" s="17">
        <v>1462944000</v>
      </c>
      <c r="H2137" s="17" t="s">
        <v>919</v>
      </c>
      <c r="I2137" s="17">
        <f t="shared" si="89"/>
        <v>1462944000</v>
      </c>
    </row>
    <row r="2138" spans="1:9" x14ac:dyDescent="0.3">
      <c r="A2138" s="17" t="str">
        <f t="shared" si="90"/>
        <v>2010235</v>
      </c>
      <c r="B2138" s="17">
        <v>201</v>
      </c>
      <c r="C2138" s="17">
        <v>235</v>
      </c>
      <c r="D2138" s="17" t="s">
        <v>917</v>
      </c>
      <c r="E2138" s="17">
        <v>0</v>
      </c>
      <c r="F2138" s="17" t="s">
        <v>918</v>
      </c>
      <c r="G2138" s="17">
        <v>1492205000</v>
      </c>
      <c r="H2138" s="17" t="s">
        <v>919</v>
      </c>
      <c r="I2138" s="17">
        <f t="shared" si="89"/>
        <v>1492205000</v>
      </c>
    </row>
    <row r="2139" spans="1:9" x14ac:dyDescent="0.3">
      <c r="A2139" s="17" t="str">
        <f t="shared" si="90"/>
        <v>2010236</v>
      </c>
      <c r="B2139" s="17">
        <v>201</v>
      </c>
      <c r="C2139" s="17">
        <v>236</v>
      </c>
      <c r="D2139" s="17" t="s">
        <v>917</v>
      </c>
      <c r="E2139" s="17">
        <v>0</v>
      </c>
      <c r="F2139" s="17" t="s">
        <v>918</v>
      </c>
      <c r="G2139" s="17">
        <v>1522051000</v>
      </c>
      <c r="H2139" s="17" t="s">
        <v>919</v>
      </c>
      <c r="I2139" s="17">
        <f t="shared" si="89"/>
        <v>1522051000</v>
      </c>
    </row>
    <row r="2140" spans="1:9" x14ac:dyDescent="0.3">
      <c r="A2140" s="17" t="str">
        <f t="shared" si="90"/>
        <v>2010237</v>
      </c>
      <c r="B2140" s="17">
        <v>201</v>
      </c>
      <c r="C2140" s="17">
        <v>237</v>
      </c>
      <c r="D2140" s="17" t="s">
        <v>917</v>
      </c>
      <c r="E2140" s="17">
        <v>0</v>
      </c>
      <c r="F2140" s="17" t="s">
        <v>918</v>
      </c>
      <c r="G2140" s="17">
        <v>1552494000</v>
      </c>
      <c r="H2140" s="17" t="s">
        <v>919</v>
      </c>
      <c r="I2140" s="17">
        <f t="shared" si="89"/>
        <v>1552494000</v>
      </c>
    </row>
    <row r="2141" spans="1:9" x14ac:dyDescent="0.3">
      <c r="A2141" s="17" t="str">
        <f t="shared" si="90"/>
        <v>2010238</v>
      </c>
      <c r="B2141" s="17">
        <v>201</v>
      </c>
      <c r="C2141" s="17">
        <v>238</v>
      </c>
      <c r="D2141" s="17" t="s">
        <v>917</v>
      </c>
      <c r="E2141" s="17">
        <v>0</v>
      </c>
      <c r="F2141" s="17" t="s">
        <v>918</v>
      </c>
      <c r="G2141" s="17">
        <v>1583546000</v>
      </c>
      <c r="H2141" s="17" t="s">
        <v>919</v>
      </c>
      <c r="I2141" s="17">
        <f t="shared" si="89"/>
        <v>1583546000</v>
      </c>
    </row>
    <row r="2142" spans="1:9" x14ac:dyDescent="0.3">
      <c r="A2142" s="17" t="str">
        <f t="shared" si="90"/>
        <v>2010239</v>
      </c>
      <c r="B2142" s="17">
        <v>201</v>
      </c>
      <c r="C2142" s="17">
        <v>239</v>
      </c>
      <c r="D2142" s="17" t="s">
        <v>917</v>
      </c>
      <c r="E2142" s="17">
        <v>0</v>
      </c>
      <c r="F2142" s="17" t="s">
        <v>918</v>
      </c>
      <c r="G2142" s="17">
        <v>1615219000</v>
      </c>
      <c r="H2142" s="17" t="s">
        <v>919</v>
      </c>
      <c r="I2142" s="17">
        <f t="shared" si="89"/>
        <v>1615219000</v>
      </c>
    </row>
    <row r="2143" spans="1:9" x14ac:dyDescent="0.3">
      <c r="A2143" s="17" t="str">
        <f t="shared" si="90"/>
        <v>2010240</v>
      </c>
      <c r="B2143" s="17">
        <v>201</v>
      </c>
      <c r="C2143" s="17">
        <v>240</v>
      </c>
      <c r="D2143" s="17" t="s">
        <v>917</v>
      </c>
      <c r="E2143" s="17">
        <v>0</v>
      </c>
      <c r="F2143" s="17" t="s">
        <v>918</v>
      </c>
      <c r="G2143" s="17">
        <v>1647525500</v>
      </c>
      <c r="H2143" s="17" t="s">
        <v>919</v>
      </c>
      <c r="I2143" s="17">
        <f t="shared" si="89"/>
        <v>1647525500</v>
      </c>
    </row>
    <row r="2144" spans="1:9" x14ac:dyDescent="0.3">
      <c r="A2144" s="17" t="str">
        <f t="shared" si="90"/>
        <v>2010241</v>
      </c>
      <c r="B2144" s="17">
        <v>201</v>
      </c>
      <c r="C2144" s="17">
        <v>241</v>
      </c>
      <c r="D2144" s="17" t="s">
        <v>917</v>
      </c>
      <c r="E2144" s="17">
        <v>0</v>
      </c>
      <c r="F2144" s="17" t="s">
        <v>918</v>
      </c>
      <c r="G2144" s="17">
        <v>1680478000</v>
      </c>
      <c r="H2144" s="17" t="s">
        <v>919</v>
      </c>
      <c r="I2144" s="17">
        <f t="shared" si="89"/>
        <v>1680478000</v>
      </c>
    </row>
    <row r="2145" spans="1:9" x14ac:dyDescent="0.3">
      <c r="A2145" s="17" t="str">
        <f t="shared" si="90"/>
        <v>2010242</v>
      </c>
      <c r="B2145" s="17">
        <v>201</v>
      </c>
      <c r="C2145" s="17">
        <v>242</v>
      </c>
      <c r="D2145" s="17" t="s">
        <v>917</v>
      </c>
      <c r="E2145" s="17">
        <v>0</v>
      </c>
      <c r="F2145" s="17" t="s">
        <v>918</v>
      </c>
      <c r="G2145" s="17">
        <v>1714089500</v>
      </c>
      <c r="H2145" s="17" t="s">
        <v>919</v>
      </c>
      <c r="I2145" s="17">
        <f t="shared" si="89"/>
        <v>1714089500</v>
      </c>
    </row>
    <row r="2146" spans="1:9" x14ac:dyDescent="0.3">
      <c r="A2146" s="17" t="str">
        <f t="shared" si="90"/>
        <v>2010243</v>
      </c>
      <c r="B2146" s="17">
        <v>201</v>
      </c>
      <c r="C2146" s="17">
        <v>243</v>
      </c>
      <c r="D2146" s="17" t="s">
        <v>917</v>
      </c>
      <c r="E2146" s="17">
        <v>0</v>
      </c>
      <c r="F2146" s="17" t="s">
        <v>918</v>
      </c>
      <c r="G2146" s="17">
        <v>1748373000</v>
      </c>
      <c r="H2146" s="17" t="s">
        <v>919</v>
      </c>
      <c r="I2146" s="17">
        <f t="shared" si="89"/>
        <v>1748373000</v>
      </c>
    </row>
    <row r="2147" spans="1:9" x14ac:dyDescent="0.3">
      <c r="A2147" s="17" t="str">
        <f t="shared" si="90"/>
        <v>2010244</v>
      </c>
      <c r="B2147" s="17">
        <v>201</v>
      </c>
      <c r="C2147" s="17">
        <v>244</v>
      </c>
      <c r="D2147" s="17" t="s">
        <v>917</v>
      </c>
      <c r="E2147" s="17">
        <v>0</v>
      </c>
      <c r="F2147" s="17" t="s">
        <v>918</v>
      </c>
      <c r="G2147" s="17">
        <v>1783342500</v>
      </c>
      <c r="H2147" s="17" t="s">
        <v>919</v>
      </c>
      <c r="I2147" s="17">
        <f t="shared" si="89"/>
        <v>1783342500</v>
      </c>
    </row>
    <row r="2148" spans="1:9" x14ac:dyDescent="0.3">
      <c r="A2148" s="17" t="str">
        <f t="shared" si="90"/>
        <v>2010245</v>
      </c>
      <c r="B2148" s="17">
        <v>201</v>
      </c>
      <c r="C2148" s="17">
        <v>245</v>
      </c>
      <c r="D2148" s="17" t="s">
        <v>917</v>
      </c>
      <c r="E2148" s="17">
        <v>0</v>
      </c>
      <c r="F2148" s="17" t="s">
        <v>918</v>
      </c>
      <c r="G2148" s="17">
        <v>1819011500</v>
      </c>
      <c r="H2148" s="17" t="s">
        <v>919</v>
      </c>
      <c r="I2148" s="17">
        <f t="shared" si="89"/>
        <v>1819011500</v>
      </c>
    </row>
    <row r="2149" spans="1:9" x14ac:dyDescent="0.3">
      <c r="A2149" s="17" t="str">
        <f t="shared" si="90"/>
        <v>2010246</v>
      </c>
      <c r="B2149" s="17">
        <v>201</v>
      </c>
      <c r="C2149" s="17">
        <v>246</v>
      </c>
      <c r="D2149" s="17" t="s">
        <v>917</v>
      </c>
      <c r="E2149" s="17">
        <v>0</v>
      </c>
      <c r="F2149" s="17" t="s">
        <v>918</v>
      </c>
      <c r="G2149" s="17">
        <v>1855393500</v>
      </c>
      <c r="H2149" s="17" t="s">
        <v>919</v>
      </c>
      <c r="I2149" s="17">
        <f t="shared" si="89"/>
        <v>1855393500</v>
      </c>
    </row>
    <row r="2150" spans="1:9" x14ac:dyDescent="0.3">
      <c r="A2150" s="17" t="str">
        <f t="shared" si="90"/>
        <v>2010247</v>
      </c>
      <c r="B2150" s="17">
        <v>201</v>
      </c>
      <c r="C2150" s="17">
        <v>247</v>
      </c>
      <c r="D2150" s="17" t="s">
        <v>917</v>
      </c>
      <c r="E2150" s="17">
        <v>0</v>
      </c>
      <c r="F2150" s="17" t="s">
        <v>918</v>
      </c>
      <c r="G2150" s="17">
        <v>1892503500</v>
      </c>
      <c r="H2150" s="17" t="s">
        <v>919</v>
      </c>
      <c r="I2150" s="17">
        <f t="shared" si="89"/>
        <v>1892503500</v>
      </c>
    </row>
    <row r="2151" spans="1:9" x14ac:dyDescent="0.3">
      <c r="A2151" s="17" t="str">
        <f t="shared" si="90"/>
        <v>2010248</v>
      </c>
      <c r="B2151" s="17">
        <v>201</v>
      </c>
      <c r="C2151" s="17">
        <v>248</v>
      </c>
      <c r="D2151" s="17" t="s">
        <v>917</v>
      </c>
      <c r="E2151" s="17">
        <v>0</v>
      </c>
      <c r="F2151" s="17" t="s">
        <v>918</v>
      </c>
      <c r="G2151" s="17">
        <v>1930355500</v>
      </c>
      <c r="H2151" s="17" t="s">
        <v>919</v>
      </c>
      <c r="I2151" s="17">
        <f t="shared" si="89"/>
        <v>1930355500</v>
      </c>
    </row>
    <row r="2152" spans="1:9" x14ac:dyDescent="0.3">
      <c r="A2152" s="17" t="str">
        <f t="shared" si="90"/>
        <v>2010249</v>
      </c>
      <c r="B2152" s="17">
        <v>201</v>
      </c>
      <c r="C2152" s="17">
        <v>249</v>
      </c>
      <c r="D2152" s="17" t="s">
        <v>917</v>
      </c>
      <c r="E2152" s="17">
        <v>0</v>
      </c>
      <c r="F2152" s="17" t="s">
        <v>918</v>
      </c>
      <c r="G2152" s="17">
        <v>1968965000</v>
      </c>
      <c r="H2152" s="17" t="s">
        <v>919</v>
      </c>
      <c r="I2152" s="17">
        <f t="shared" si="89"/>
        <v>1968965000</v>
      </c>
    </row>
    <row r="2153" spans="1:9" x14ac:dyDescent="0.3">
      <c r="A2153" s="17" t="str">
        <f t="shared" si="90"/>
        <v>2010250</v>
      </c>
      <c r="B2153" s="17">
        <v>201</v>
      </c>
      <c r="C2153" s="17">
        <v>250</v>
      </c>
      <c r="D2153" s="17" t="s">
        <v>917</v>
      </c>
      <c r="E2153" s="17">
        <v>0</v>
      </c>
      <c r="F2153" s="17" t="s">
        <v>918</v>
      </c>
      <c r="G2153" s="17">
        <v>2008346000</v>
      </c>
      <c r="H2153" s="17" t="s">
        <v>919</v>
      </c>
      <c r="I2153" s="17">
        <f t="shared" si="89"/>
        <v>2008346000</v>
      </c>
    </row>
    <row r="2154" spans="1:9" x14ac:dyDescent="0.3">
      <c r="A2154" s="17" t="str">
        <f t="shared" si="90"/>
        <v>2010251</v>
      </c>
      <c r="B2154" s="17">
        <v>201</v>
      </c>
      <c r="C2154" s="17">
        <v>251</v>
      </c>
      <c r="D2154" s="17" t="s">
        <v>917</v>
      </c>
      <c r="E2154" s="17">
        <v>0</v>
      </c>
      <c r="F2154" s="17" t="s">
        <v>918</v>
      </c>
      <c r="G2154" s="17">
        <v>2048515000</v>
      </c>
      <c r="H2154" s="17" t="s">
        <v>919</v>
      </c>
      <c r="I2154" s="17">
        <f t="shared" si="89"/>
        <v>2048515000</v>
      </c>
    </row>
    <row r="2155" spans="1:9" x14ac:dyDescent="0.3">
      <c r="A2155" s="17" t="str">
        <f t="shared" si="90"/>
        <v>2010252</v>
      </c>
      <c r="B2155" s="17">
        <v>201</v>
      </c>
      <c r="C2155" s="17">
        <v>252</v>
      </c>
      <c r="D2155" s="17" t="s">
        <v>917</v>
      </c>
      <c r="E2155" s="17">
        <v>0</v>
      </c>
      <c r="F2155" s="17" t="s">
        <v>918</v>
      </c>
      <c r="G2155" s="17">
        <v>2089487500</v>
      </c>
      <c r="H2155" s="17" t="s">
        <v>919</v>
      </c>
      <c r="I2155" s="17">
        <f t="shared" si="89"/>
        <v>2089487500</v>
      </c>
    </row>
    <row r="2156" spans="1:9" x14ac:dyDescent="0.3">
      <c r="A2156" s="17" t="str">
        <f t="shared" si="90"/>
        <v>2010253</v>
      </c>
      <c r="B2156" s="17">
        <v>201</v>
      </c>
      <c r="C2156" s="17">
        <v>253</v>
      </c>
      <c r="D2156" s="17" t="s">
        <v>917</v>
      </c>
      <c r="E2156" s="17">
        <v>0</v>
      </c>
      <c r="F2156" s="17" t="s">
        <v>918</v>
      </c>
      <c r="G2156" s="17">
        <v>2131279000</v>
      </c>
      <c r="H2156" s="17" t="s">
        <v>919</v>
      </c>
      <c r="I2156" s="17">
        <f t="shared" si="89"/>
        <v>2131279000</v>
      </c>
    </row>
    <row r="2157" spans="1:9" x14ac:dyDescent="0.3">
      <c r="A2157" s="17" t="str">
        <f t="shared" si="90"/>
        <v>2010254</v>
      </c>
      <c r="B2157" s="17">
        <v>201</v>
      </c>
      <c r="C2157" s="17">
        <v>254</v>
      </c>
      <c r="D2157" s="17" t="s">
        <v>917</v>
      </c>
      <c r="E2157" s="17">
        <v>0</v>
      </c>
      <c r="F2157" s="17" t="s">
        <v>918</v>
      </c>
      <c r="G2157" s="17">
        <v>2173906500</v>
      </c>
      <c r="H2157" s="17" t="s">
        <v>919</v>
      </c>
      <c r="I2157" s="17">
        <f t="shared" si="89"/>
        <v>2173906500</v>
      </c>
    </row>
    <row r="2158" spans="1:9" x14ac:dyDescent="0.3">
      <c r="A2158" s="17" t="str">
        <f t="shared" si="90"/>
        <v>2010255</v>
      </c>
      <c r="B2158" s="17">
        <v>201</v>
      </c>
      <c r="C2158" s="17">
        <v>255</v>
      </c>
      <c r="D2158" s="17" t="s">
        <v>917</v>
      </c>
      <c r="E2158" s="17">
        <v>0</v>
      </c>
      <c r="F2158" s="17" t="s">
        <v>918</v>
      </c>
      <c r="G2158" s="17">
        <v>2217387000</v>
      </c>
      <c r="H2158" s="17" t="s">
        <v>919</v>
      </c>
      <c r="I2158" s="17">
        <f t="shared" si="89"/>
        <v>2217387000</v>
      </c>
    </row>
    <row r="2159" spans="1:9" x14ac:dyDescent="0.3">
      <c r="A2159" s="17" t="str">
        <f t="shared" si="90"/>
        <v>2010256</v>
      </c>
      <c r="B2159" s="17">
        <v>201</v>
      </c>
      <c r="C2159" s="17">
        <v>256</v>
      </c>
      <c r="D2159" s="17" t="s">
        <v>917</v>
      </c>
      <c r="E2159" s="17">
        <v>0</v>
      </c>
      <c r="F2159" s="17" t="s">
        <v>918</v>
      </c>
      <c r="G2159" s="17">
        <v>2261736500</v>
      </c>
      <c r="H2159" s="17" t="s">
        <v>919</v>
      </c>
      <c r="I2159" s="17">
        <f t="shared" si="89"/>
        <v>2261736500</v>
      </c>
    </row>
    <row r="2160" spans="1:9" x14ac:dyDescent="0.3">
      <c r="A2160" s="17" t="str">
        <f t="shared" si="90"/>
        <v>2010257</v>
      </c>
      <c r="B2160" s="17">
        <v>201</v>
      </c>
      <c r="C2160" s="17">
        <v>257</v>
      </c>
      <c r="D2160" s="17" t="s">
        <v>917</v>
      </c>
      <c r="E2160" s="17">
        <v>0</v>
      </c>
      <c r="F2160" s="17" t="s">
        <v>918</v>
      </c>
      <c r="G2160" s="17">
        <v>2306973500</v>
      </c>
      <c r="H2160" s="17" t="s">
        <v>919</v>
      </c>
      <c r="I2160" s="17">
        <f t="shared" si="89"/>
        <v>2306973500</v>
      </c>
    </row>
    <row r="2161" spans="1:9" x14ac:dyDescent="0.3">
      <c r="A2161" s="17" t="str">
        <f t="shared" si="90"/>
        <v>2010258</v>
      </c>
      <c r="B2161" s="17">
        <v>201</v>
      </c>
      <c r="C2161" s="17">
        <v>258</v>
      </c>
      <c r="D2161" s="17" t="s">
        <v>917</v>
      </c>
      <c r="E2161" s="17">
        <v>0</v>
      </c>
      <c r="F2161" s="17" t="s">
        <v>918</v>
      </c>
      <c r="G2161" s="17">
        <v>2353115000</v>
      </c>
      <c r="H2161" s="17" t="s">
        <v>919</v>
      </c>
      <c r="I2161" s="17">
        <f t="shared" ref="I2161:I2224" si="91">G2161</f>
        <v>2353115000</v>
      </c>
    </row>
    <row r="2162" spans="1:9" x14ac:dyDescent="0.3">
      <c r="A2162" s="17" t="str">
        <f t="shared" si="90"/>
        <v>2010259</v>
      </c>
      <c r="B2162" s="17">
        <v>201</v>
      </c>
      <c r="C2162" s="17">
        <v>259</v>
      </c>
      <c r="D2162" s="17" t="s">
        <v>917</v>
      </c>
      <c r="E2162" s="17">
        <v>0</v>
      </c>
      <c r="F2162" s="17" t="s">
        <v>918</v>
      </c>
      <c r="G2162" s="17">
        <v>2400179000</v>
      </c>
      <c r="H2162" s="17" t="s">
        <v>919</v>
      </c>
      <c r="I2162" s="17">
        <f t="shared" si="91"/>
        <v>2400179000</v>
      </c>
    </row>
    <row r="2163" spans="1:9" x14ac:dyDescent="0.3">
      <c r="A2163" s="17" t="str">
        <f t="shared" si="90"/>
        <v>2010260</v>
      </c>
      <c r="B2163" s="17">
        <v>201</v>
      </c>
      <c r="C2163" s="17">
        <v>260</v>
      </c>
      <c r="D2163" s="17" t="s">
        <v>917</v>
      </c>
      <c r="E2163" s="17">
        <v>0</v>
      </c>
      <c r="F2163" s="17" t="s">
        <v>918</v>
      </c>
      <c r="G2163" s="17">
        <v>2448184500</v>
      </c>
      <c r="H2163" s="17" t="s">
        <v>919</v>
      </c>
      <c r="I2163" s="17">
        <f t="shared" si="91"/>
        <v>2448184500</v>
      </c>
    </row>
    <row r="2164" spans="1:9" x14ac:dyDescent="0.3">
      <c r="A2164" s="17" t="str">
        <f t="shared" si="90"/>
        <v>2010261</v>
      </c>
      <c r="B2164" s="17">
        <v>201</v>
      </c>
      <c r="C2164" s="17">
        <v>261</v>
      </c>
      <c r="D2164" s="17" t="s">
        <v>917</v>
      </c>
      <c r="E2164" s="17">
        <v>0</v>
      </c>
      <c r="F2164" s="17" t="s">
        <v>918</v>
      </c>
      <c r="G2164" s="17">
        <v>2497150500</v>
      </c>
      <c r="H2164" s="17" t="s">
        <v>919</v>
      </c>
      <c r="I2164" s="17">
        <f t="shared" si="91"/>
        <v>2497150500</v>
      </c>
    </row>
    <row r="2165" spans="1:9" x14ac:dyDescent="0.3">
      <c r="A2165" s="17" t="str">
        <f t="shared" si="90"/>
        <v>2010262</v>
      </c>
      <c r="B2165" s="17">
        <v>201</v>
      </c>
      <c r="C2165" s="17">
        <v>262</v>
      </c>
      <c r="D2165" s="17" t="s">
        <v>917</v>
      </c>
      <c r="E2165" s="17">
        <v>0</v>
      </c>
      <c r="F2165" s="17" t="s">
        <v>918</v>
      </c>
      <c r="G2165" s="17">
        <v>2547095500</v>
      </c>
      <c r="H2165" s="17" t="s">
        <v>919</v>
      </c>
      <c r="I2165" s="17">
        <f t="shared" si="91"/>
        <v>2547095500</v>
      </c>
    </row>
    <row r="2166" spans="1:9" x14ac:dyDescent="0.3">
      <c r="A2166" s="17" t="str">
        <f t="shared" si="90"/>
        <v>2010263</v>
      </c>
      <c r="B2166" s="17">
        <v>201</v>
      </c>
      <c r="C2166" s="17">
        <v>263</v>
      </c>
      <c r="D2166" s="17" t="s">
        <v>917</v>
      </c>
      <c r="E2166" s="17">
        <v>0</v>
      </c>
      <c r="F2166" s="17" t="s">
        <v>918</v>
      </c>
      <c r="G2166" s="17">
        <v>2598039500</v>
      </c>
      <c r="H2166" s="17" t="s">
        <v>919</v>
      </c>
      <c r="I2166" s="17">
        <f t="shared" si="91"/>
        <v>2598039500</v>
      </c>
    </row>
    <row r="2167" spans="1:9" x14ac:dyDescent="0.3">
      <c r="A2167" s="17" t="str">
        <f t="shared" si="90"/>
        <v>2010264</v>
      </c>
      <c r="B2167" s="17">
        <v>201</v>
      </c>
      <c r="C2167" s="17">
        <v>264</v>
      </c>
      <c r="D2167" s="17" t="s">
        <v>917</v>
      </c>
      <c r="E2167" s="17">
        <v>0</v>
      </c>
      <c r="F2167" s="17" t="s">
        <v>918</v>
      </c>
      <c r="G2167" s="17">
        <v>2650002000</v>
      </c>
      <c r="H2167" s="17" t="s">
        <v>919</v>
      </c>
      <c r="I2167" s="17">
        <f t="shared" si="91"/>
        <v>2650002000</v>
      </c>
    </row>
    <row r="2168" spans="1:9" x14ac:dyDescent="0.3">
      <c r="A2168" s="17" t="str">
        <f t="shared" si="90"/>
        <v>2010265</v>
      </c>
      <c r="B2168" s="17">
        <v>201</v>
      </c>
      <c r="C2168" s="17">
        <v>265</v>
      </c>
      <c r="D2168" s="17" t="s">
        <v>917</v>
      </c>
      <c r="E2168" s="17">
        <v>0</v>
      </c>
      <c r="F2168" s="17" t="s">
        <v>918</v>
      </c>
      <c r="G2168" s="17">
        <v>2703004000</v>
      </c>
      <c r="H2168" s="17" t="s">
        <v>919</v>
      </c>
      <c r="I2168" s="17">
        <f t="shared" si="91"/>
        <v>2703004000</v>
      </c>
    </row>
    <row r="2169" spans="1:9" x14ac:dyDescent="0.3">
      <c r="A2169" s="17" t="str">
        <f t="shared" si="90"/>
        <v>2010266</v>
      </c>
      <c r="B2169" s="17">
        <v>201</v>
      </c>
      <c r="C2169" s="17">
        <v>266</v>
      </c>
      <c r="D2169" s="17" t="s">
        <v>917</v>
      </c>
      <c r="E2169" s="17">
        <v>0</v>
      </c>
      <c r="F2169" s="17" t="s">
        <v>918</v>
      </c>
      <c r="G2169" s="17">
        <v>2757066000</v>
      </c>
      <c r="H2169" s="17" t="s">
        <v>919</v>
      </c>
      <c r="I2169" s="17">
        <f t="shared" si="91"/>
        <v>2757066000</v>
      </c>
    </row>
    <row r="2170" spans="1:9" x14ac:dyDescent="0.3">
      <c r="A2170" s="17" t="str">
        <f t="shared" si="90"/>
        <v>2010267</v>
      </c>
      <c r="B2170" s="17">
        <v>201</v>
      </c>
      <c r="C2170" s="17">
        <v>267</v>
      </c>
      <c r="D2170" s="17" t="s">
        <v>917</v>
      </c>
      <c r="E2170" s="17">
        <v>0</v>
      </c>
      <c r="F2170" s="17" t="s">
        <v>918</v>
      </c>
      <c r="G2170" s="17">
        <v>2812209500</v>
      </c>
      <c r="H2170" s="17" t="s">
        <v>919</v>
      </c>
      <c r="I2170" s="17">
        <f t="shared" si="91"/>
        <v>2812209500</v>
      </c>
    </row>
    <row r="2171" spans="1:9" x14ac:dyDescent="0.3">
      <c r="A2171" s="17" t="str">
        <f t="shared" si="90"/>
        <v>2010268</v>
      </c>
      <c r="B2171" s="17">
        <v>201</v>
      </c>
      <c r="C2171" s="17">
        <v>268</v>
      </c>
      <c r="D2171" s="17" t="s">
        <v>917</v>
      </c>
      <c r="E2171" s="17">
        <v>0</v>
      </c>
      <c r="F2171" s="17" t="s">
        <v>918</v>
      </c>
      <c r="G2171" s="17">
        <v>2868455500</v>
      </c>
      <c r="H2171" s="17" t="s">
        <v>919</v>
      </c>
      <c r="I2171" s="17">
        <f t="shared" si="91"/>
        <v>2868455500</v>
      </c>
    </row>
    <row r="2172" spans="1:9" x14ac:dyDescent="0.3">
      <c r="A2172" s="17" t="str">
        <f t="shared" si="90"/>
        <v>2010269</v>
      </c>
      <c r="B2172" s="17">
        <v>201</v>
      </c>
      <c r="C2172" s="17">
        <v>269</v>
      </c>
      <c r="D2172" s="17" t="s">
        <v>917</v>
      </c>
      <c r="E2172" s="17">
        <v>0</v>
      </c>
      <c r="F2172" s="17" t="s">
        <v>918</v>
      </c>
      <c r="G2172" s="17">
        <v>2925827000</v>
      </c>
      <c r="H2172" s="17" t="s">
        <v>919</v>
      </c>
      <c r="I2172" s="17">
        <f t="shared" si="91"/>
        <v>2925827000</v>
      </c>
    </row>
    <row r="2173" spans="1:9" x14ac:dyDescent="0.3">
      <c r="A2173" s="17" t="str">
        <f t="shared" si="90"/>
        <v>2010270</v>
      </c>
      <c r="B2173" s="17">
        <v>201</v>
      </c>
      <c r="C2173" s="17">
        <v>270</v>
      </c>
      <c r="D2173" s="17" t="s">
        <v>917</v>
      </c>
      <c r="E2173" s="17">
        <v>0</v>
      </c>
      <c r="F2173" s="17" t="s">
        <v>918</v>
      </c>
      <c r="G2173" s="17">
        <v>2984345500</v>
      </c>
      <c r="H2173" s="17" t="s">
        <v>919</v>
      </c>
      <c r="I2173" s="17">
        <f t="shared" si="91"/>
        <v>2984345500</v>
      </c>
    </row>
    <row r="2174" spans="1:9" x14ac:dyDescent="0.3">
      <c r="A2174" s="17" t="str">
        <f t="shared" si="90"/>
        <v>2010271</v>
      </c>
      <c r="B2174" s="17">
        <v>201</v>
      </c>
      <c r="C2174" s="17">
        <v>271</v>
      </c>
      <c r="D2174" s="17" t="s">
        <v>917</v>
      </c>
      <c r="E2174" s="17">
        <v>0</v>
      </c>
      <c r="F2174" s="17" t="s">
        <v>918</v>
      </c>
      <c r="G2174" s="17">
        <v>3044034500</v>
      </c>
      <c r="H2174" s="17" t="s">
        <v>919</v>
      </c>
      <c r="I2174" s="17">
        <f t="shared" si="91"/>
        <v>3044034500</v>
      </c>
    </row>
    <row r="2175" spans="1:9" x14ac:dyDescent="0.3">
      <c r="A2175" s="17" t="str">
        <f t="shared" si="90"/>
        <v>2010272</v>
      </c>
      <c r="B2175" s="17">
        <v>201</v>
      </c>
      <c r="C2175" s="17">
        <v>272</v>
      </c>
      <c r="D2175" s="17" t="s">
        <v>917</v>
      </c>
      <c r="E2175" s="17">
        <v>0</v>
      </c>
      <c r="F2175" s="17" t="s">
        <v>918</v>
      </c>
      <c r="G2175" s="17">
        <v>3104917000</v>
      </c>
      <c r="H2175" s="17" t="s">
        <v>919</v>
      </c>
      <c r="I2175" s="17">
        <f t="shared" si="91"/>
        <v>3104917000</v>
      </c>
    </row>
    <row r="2176" spans="1:9" x14ac:dyDescent="0.3">
      <c r="A2176" s="17" t="str">
        <f t="shared" si="90"/>
        <v>2010273</v>
      </c>
      <c r="B2176" s="17">
        <v>201</v>
      </c>
      <c r="C2176" s="17">
        <v>273</v>
      </c>
      <c r="D2176" s="17" t="s">
        <v>917</v>
      </c>
      <c r="E2176" s="17">
        <v>0</v>
      </c>
      <c r="F2176" s="17" t="s">
        <v>918</v>
      </c>
      <c r="G2176" s="17">
        <v>3167017500</v>
      </c>
      <c r="H2176" s="17" t="s">
        <v>919</v>
      </c>
      <c r="I2176" s="17">
        <f t="shared" si="91"/>
        <v>3167017500</v>
      </c>
    </row>
    <row r="2177" spans="1:9" x14ac:dyDescent="0.3">
      <c r="A2177" s="17" t="str">
        <f t="shared" si="90"/>
        <v>2010274</v>
      </c>
      <c r="B2177" s="17">
        <v>201</v>
      </c>
      <c r="C2177" s="17">
        <v>274</v>
      </c>
      <c r="D2177" s="17" t="s">
        <v>917</v>
      </c>
      <c r="E2177" s="17">
        <v>0</v>
      </c>
      <c r="F2177" s="17" t="s">
        <v>918</v>
      </c>
      <c r="G2177" s="17">
        <v>3230359500</v>
      </c>
      <c r="H2177" s="17" t="s">
        <v>919</v>
      </c>
      <c r="I2177" s="17">
        <f t="shared" si="91"/>
        <v>3230359500</v>
      </c>
    </row>
    <row r="2178" spans="1:9" x14ac:dyDescent="0.3">
      <c r="A2178" s="17" t="str">
        <f t="shared" si="90"/>
        <v>2010275</v>
      </c>
      <c r="B2178" s="17">
        <v>201</v>
      </c>
      <c r="C2178" s="17">
        <v>275</v>
      </c>
      <c r="D2178" s="17" t="s">
        <v>917</v>
      </c>
      <c r="E2178" s="17">
        <v>0</v>
      </c>
      <c r="F2178" s="17" t="s">
        <v>918</v>
      </c>
      <c r="G2178" s="17">
        <v>3294969000</v>
      </c>
      <c r="H2178" s="17" t="s">
        <v>919</v>
      </c>
      <c r="I2178" s="17">
        <f t="shared" si="91"/>
        <v>3294969000</v>
      </c>
    </row>
    <row r="2179" spans="1:9" x14ac:dyDescent="0.3">
      <c r="A2179" s="17" t="str">
        <f t="shared" si="90"/>
        <v>2010276</v>
      </c>
      <c r="B2179" s="17">
        <v>201</v>
      </c>
      <c r="C2179" s="17">
        <v>276</v>
      </c>
      <c r="D2179" s="17" t="s">
        <v>917</v>
      </c>
      <c r="E2179" s="17">
        <v>0</v>
      </c>
      <c r="F2179" s="17" t="s">
        <v>918</v>
      </c>
      <c r="G2179" s="17">
        <v>3360870500</v>
      </c>
      <c r="H2179" s="17" t="s">
        <v>919</v>
      </c>
      <c r="I2179" s="17">
        <f t="shared" si="91"/>
        <v>3360870500</v>
      </c>
    </row>
    <row r="2180" spans="1:9" x14ac:dyDescent="0.3">
      <c r="A2180" s="17" t="str">
        <f t="shared" ref="A2180:A2243" si="92">B2180&amp;TEXT(C2180,"0000")</f>
        <v>2010277</v>
      </c>
      <c r="B2180" s="17">
        <v>201</v>
      </c>
      <c r="C2180" s="17">
        <v>277</v>
      </c>
      <c r="D2180" s="17" t="s">
        <v>917</v>
      </c>
      <c r="E2180" s="17">
        <v>0</v>
      </c>
      <c r="F2180" s="17" t="s">
        <v>918</v>
      </c>
      <c r="G2180" s="17">
        <v>3428089500</v>
      </c>
      <c r="H2180" s="17" t="s">
        <v>919</v>
      </c>
      <c r="I2180" s="17">
        <f t="shared" si="91"/>
        <v>3428089500</v>
      </c>
    </row>
    <row r="2181" spans="1:9" x14ac:dyDescent="0.3">
      <c r="A2181" s="17" t="str">
        <f t="shared" si="92"/>
        <v>2010278</v>
      </c>
      <c r="B2181" s="17">
        <v>201</v>
      </c>
      <c r="C2181" s="17">
        <v>278</v>
      </c>
      <c r="D2181" s="17" t="s">
        <v>917</v>
      </c>
      <c r="E2181" s="17">
        <v>0</v>
      </c>
      <c r="F2181" s="17" t="s">
        <v>918</v>
      </c>
      <c r="G2181" s="17">
        <v>3496653500</v>
      </c>
      <c r="H2181" s="17" t="s">
        <v>919</v>
      </c>
      <c r="I2181" s="17">
        <f t="shared" si="91"/>
        <v>3496653500</v>
      </c>
    </row>
    <row r="2182" spans="1:9" x14ac:dyDescent="0.3">
      <c r="A2182" s="17" t="str">
        <f t="shared" si="92"/>
        <v>2010279</v>
      </c>
      <c r="B2182" s="17">
        <v>201</v>
      </c>
      <c r="C2182" s="17">
        <v>279</v>
      </c>
      <c r="D2182" s="17" t="s">
        <v>917</v>
      </c>
      <c r="E2182" s="17">
        <v>0</v>
      </c>
      <c r="F2182" s="17" t="s">
        <v>918</v>
      </c>
      <c r="G2182" s="17">
        <v>3566588500</v>
      </c>
      <c r="H2182" s="17" t="s">
        <v>919</v>
      </c>
      <c r="I2182" s="17">
        <f t="shared" si="91"/>
        <v>3566588500</v>
      </c>
    </row>
    <row r="2183" spans="1:9" x14ac:dyDescent="0.3">
      <c r="A2183" s="17" t="str">
        <f t="shared" si="92"/>
        <v>2010280</v>
      </c>
      <c r="B2183" s="17">
        <v>201</v>
      </c>
      <c r="C2183" s="17">
        <v>280</v>
      </c>
      <c r="D2183" s="17" t="s">
        <v>917</v>
      </c>
      <c r="E2183" s="17">
        <v>0</v>
      </c>
      <c r="F2183" s="17" t="s">
        <v>918</v>
      </c>
      <c r="G2183" s="17">
        <v>3637922500</v>
      </c>
      <c r="H2183" s="17" t="s">
        <v>919</v>
      </c>
      <c r="I2183" s="17">
        <f t="shared" si="91"/>
        <v>3637922500</v>
      </c>
    </row>
    <row r="2184" spans="1:9" x14ac:dyDescent="0.3">
      <c r="A2184" s="17" t="str">
        <f t="shared" si="92"/>
        <v>2010281</v>
      </c>
      <c r="B2184" s="17">
        <v>201</v>
      </c>
      <c r="C2184" s="17">
        <v>281</v>
      </c>
      <c r="D2184" s="17" t="s">
        <v>917</v>
      </c>
      <c r="E2184" s="17">
        <v>0</v>
      </c>
      <c r="F2184" s="17" t="s">
        <v>918</v>
      </c>
      <c r="G2184" s="17">
        <v>3710683000</v>
      </c>
      <c r="H2184" s="17" t="s">
        <v>919</v>
      </c>
      <c r="I2184" s="17">
        <f t="shared" si="91"/>
        <v>3710683000</v>
      </c>
    </row>
    <row r="2185" spans="1:9" x14ac:dyDescent="0.3">
      <c r="A2185" s="17" t="str">
        <f t="shared" si="92"/>
        <v>2010282</v>
      </c>
      <c r="B2185" s="17">
        <v>201</v>
      </c>
      <c r="C2185" s="17">
        <v>282</v>
      </c>
      <c r="D2185" s="17" t="s">
        <v>917</v>
      </c>
      <c r="E2185" s="17">
        <v>0</v>
      </c>
      <c r="F2185" s="17" t="s">
        <v>918</v>
      </c>
      <c r="G2185" s="17">
        <v>3784898500</v>
      </c>
      <c r="H2185" s="17" t="s">
        <v>919</v>
      </c>
      <c r="I2185" s="17">
        <f t="shared" si="91"/>
        <v>3784898500</v>
      </c>
    </row>
    <row r="2186" spans="1:9" x14ac:dyDescent="0.3">
      <c r="A2186" s="17" t="str">
        <f t="shared" si="92"/>
        <v>2010283</v>
      </c>
      <c r="B2186" s="17">
        <v>201</v>
      </c>
      <c r="C2186" s="17">
        <v>283</v>
      </c>
      <c r="D2186" s="17" t="s">
        <v>917</v>
      </c>
      <c r="E2186" s="17">
        <v>0</v>
      </c>
      <c r="F2186" s="17" t="s">
        <v>918</v>
      </c>
      <c r="G2186" s="17">
        <v>3860598500</v>
      </c>
      <c r="H2186" s="17" t="s">
        <v>919</v>
      </c>
      <c r="I2186" s="17">
        <f t="shared" si="91"/>
        <v>3860598500</v>
      </c>
    </row>
    <row r="2187" spans="1:9" x14ac:dyDescent="0.3">
      <c r="A2187" s="17" t="str">
        <f t="shared" si="92"/>
        <v>2010284</v>
      </c>
      <c r="B2187" s="17">
        <v>201</v>
      </c>
      <c r="C2187" s="17">
        <v>284</v>
      </c>
      <c r="D2187" s="17" t="s">
        <v>917</v>
      </c>
      <c r="E2187" s="17">
        <v>0</v>
      </c>
      <c r="F2187" s="17" t="s">
        <v>918</v>
      </c>
      <c r="G2187" s="17">
        <v>3937812500</v>
      </c>
      <c r="H2187" s="17" t="s">
        <v>919</v>
      </c>
      <c r="I2187" s="17">
        <f t="shared" si="91"/>
        <v>3937812500</v>
      </c>
    </row>
    <row r="2188" spans="1:9" x14ac:dyDescent="0.3">
      <c r="A2188" s="17" t="str">
        <f t="shared" si="92"/>
        <v>2010285</v>
      </c>
      <c r="B2188" s="17">
        <v>201</v>
      </c>
      <c r="C2188" s="17">
        <v>285</v>
      </c>
      <c r="D2188" s="17" t="s">
        <v>917</v>
      </c>
      <c r="E2188" s="17">
        <v>0</v>
      </c>
      <c r="F2188" s="17" t="s">
        <v>918</v>
      </c>
      <c r="G2188" s="17">
        <v>4016570500</v>
      </c>
      <c r="H2188" s="17" t="s">
        <v>919</v>
      </c>
      <c r="I2188" s="17">
        <f t="shared" si="91"/>
        <v>4016570500</v>
      </c>
    </row>
    <row r="2189" spans="1:9" x14ac:dyDescent="0.3">
      <c r="A2189" s="17" t="str">
        <f t="shared" si="92"/>
        <v>2010286</v>
      </c>
      <c r="B2189" s="17">
        <v>201</v>
      </c>
      <c r="C2189" s="17">
        <v>286</v>
      </c>
      <c r="D2189" s="17" t="s">
        <v>917</v>
      </c>
      <c r="E2189" s="17">
        <v>0</v>
      </c>
      <c r="F2189" s="17" t="s">
        <v>918</v>
      </c>
      <c r="G2189" s="17">
        <v>4096904000</v>
      </c>
      <c r="H2189" s="17" t="s">
        <v>919</v>
      </c>
      <c r="I2189" s="17">
        <f t="shared" si="91"/>
        <v>4096904000</v>
      </c>
    </row>
    <row r="2190" spans="1:9" x14ac:dyDescent="0.3">
      <c r="A2190" s="17" t="str">
        <f t="shared" si="92"/>
        <v>2010287</v>
      </c>
      <c r="B2190" s="17">
        <v>201</v>
      </c>
      <c r="C2190" s="17">
        <v>287</v>
      </c>
      <c r="D2190" s="17" t="s">
        <v>917</v>
      </c>
      <c r="E2190" s="17">
        <v>0</v>
      </c>
      <c r="F2190" s="17" t="s">
        <v>918</v>
      </c>
      <c r="G2190" s="17">
        <v>4178844000</v>
      </c>
      <c r="H2190" s="17" t="s">
        <v>919</v>
      </c>
      <c r="I2190" s="17">
        <f t="shared" si="91"/>
        <v>4178844000</v>
      </c>
    </row>
    <row r="2191" spans="1:9" x14ac:dyDescent="0.3">
      <c r="A2191" s="17" t="str">
        <f t="shared" si="92"/>
        <v>2010288</v>
      </c>
      <c r="B2191" s="17">
        <v>201</v>
      </c>
      <c r="C2191" s="17">
        <v>288</v>
      </c>
      <c r="D2191" s="17" t="s">
        <v>917</v>
      </c>
      <c r="E2191" s="17">
        <v>0</v>
      </c>
      <c r="F2191" s="17" t="s">
        <v>918</v>
      </c>
      <c r="G2191" s="17">
        <v>4262423000</v>
      </c>
      <c r="H2191" s="17" t="s">
        <v>919</v>
      </c>
      <c r="I2191" s="17">
        <f t="shared" si="91"/>
        <v>4262423000</v>
      </c>
    </row>
    <row r="2192" spans="1:9" x14ac:dyDescent="0.3">
      <c r="A2192" s="17" t="str">
        <f t="shared" si="92"/>
        <v>2010289</v>
      </c>
      <c r="B2192" s="17">
        <v>201</v>
      </c>
      <c r="C2192" s="17">
        <v>289</v>
      </c>
      <c r="D2192" s="17" t="s">
        <v>917</v>
      </c>
      <c r="E2192" s="17">
        <v>0</v>
      </c>
      <c r="F2192" s="17" t="s">
        <v>918</v>
      </c>
      <c r="G2192" s="17">
        <v>4347673500</v>
      </c>
      <c r="H2192" s="17" t="s">
        <v>919</v>
      </c>
      <c r="I2192" s="17">
        <f t="shared" si="91"/>
        <v>4347673500</v>
      </c>
    </row>
    <row r="2193" spans="1:9" x14ac:dyDescent="0.3">
      <c r="A2193" s="17" t="str">
        <f t="shared" si="92"/>
        <v>2010290</v>
      </c>
      <c r="B2193" s="17">
        <v>201</v>
      </c>
      <c r="C2193" s="17">
        <v>290</v>
      </c>
      <c r="D2193" s="17" t="s">
        <v>917</v>
      </c>
      <c r="E2193" s="17">
        <v>0</v>
      </c>
      <c r="F2193" s="17" t="s">
        <v>918</v>
      </c>
      <c r="G2193" s="17">
        <v>4434629000</v>
      </c>
      <c r="H2193" s="17" t="s">
        <v>919</v>
      </c>
      <c r="I2193" s="17">
        <f t="shared" si="91"/>
        <v>4434629000</v>
      </c>
    </row>
    <row r="2194" spans="1:9" x14ac:dyDescent="0.3">
      <c r="A2194" s="17" t="str">
        <f t="shared" si="92"/>
        <v>2010291</v>
      </c>
      <c r="B2194" s="17">
        <v>201</v>
      </c>
      <c r="C2194" s="17">
        <v>291</v>
      </c>
      <c r="D2194" s="17" t="s">
        <v>917</v>
      </c>
      <c r="E2194" s="17">
        <v>0</v>
      </c>
      <c r="F2194" s="17" t="s">
        <v>918</v>
      </c>
      <c r="G2194" s="17">
        <v>4523323500</v>
      </c>
      <c r="H2194" s="17" t="s">
        <v>919</v>
      </c>
      <c r="I2194" s="17">
        <f t="shared" si="91"/>
        <v>4523323500</v>
      </c>
    </row>
    <row r="2195" spans="1:9" x14ac:dyDescent="0.3">
      <c r="A2195" s="17" t="str">
        <f t="shared" si="92"/>
        <v>2010292</v>
      </c>
      <c r="B2195" s="17">
        <v>201</v>
      </c>
      <c r="C2195" s="17">
        <v>292</v>
      </c>
      <c r="D2195" s="17" t="s">
        <v>917</v>
      </c>
      <c r="E2195" s="17">
        <v>0</v>
      </c>
      <c r="F2195" s="17" t="s">
        <v>918</v>
      </c>
      <c r="G2195" s="17">
        <v>4613792000</v>
      </c>
      <c r="H2195" s="17" t="s">
        <v>919</v>
      </c>
      <c r="I2195" s="17">
        <f t="shared" si="91"/>
        <v>4613792000</v>
      </c>
    </row>
    <row r="2196" spans="1:9" x14ac:dyDescent="0.3">
      <c r="A2196" s="17" t="str">
        <f t="shared" si="92"/>
        <v>2010293</v>
      </c>
      <c r="B2196" s="17">
        <v>201</v>
      </c>
      <c r="C2196" s="17">
        <v>293</v>
      </c>
      <c r="D2196" s="17" t="s">
        <v>917</v>
      </c>
      <c r="E2196" s="17">
        <v>0</v>
      </c>
      <c r="F2196" s="17" t="s">
        <v>918</v>
      </c>
      <c r="G2196" s="17">
        <v>4706070000</v>
      </c>
      <c r="H2196" s="17" t="s">
        <v>919</v>
      </c>
      <c r="I2196" s="17">
        <f t="shared" si="91"/>
        <v>4706070000</v>
      </c>
    </row>
    <row r="2197" spans="1:9" x14ac:dyDescent="0.3">
      <c r="A2197" s="17" t="str">
        <f t="shared" si="92"/>
        <v>2010294</v>
      </c>
      <c r="B2197" s="17">
        <v>201</v>
      </c>
      <c r="C2197" s="17">
        <v>294</v>
      </c>
      <c r="D2197" s="17" t="s">
        <v>917</v>
      </c>
      <c r="E2197" s="17">
        <v>0</v>
      </c>
      <c r="F2197" s="17" t="s">
        <v>918</v>
      </c>
      <c r="G2197" s="17">
        <v>4800193500</v>
      </c>
      <c r="H2197" s="17" t="s">
        <v>919</v>
      </c>
      <c r="I2197" s="17">
        <f t="shared" si="91"/>
        <v>4800193500</v>
      </c>
    </row>
    <row r="2198" spans="1:9" x14ac:dyDescent="0.3">
      <c r="A2198" s="17" t="str">
        <f t="shared" si="92"/>
        <v>2010295</v>
      </c>
      <c r="B2198" s="17">
        <v>201</v>
      </c>
      <c r="C2198" s="17">
        <v>295</v>
      </c>
      <c r="D2198" s="17" t="s">
        <v>917</v>
      </c>
      <c r="E2198" s="17">
        <v>0</v>
      </c>
      <c r="F2198" s="17" t="s">
        <v>918</v>
      </c>
      <c r="G2198" s="17">
        <v>4896199000</v>
      </c>
      <c r="H2198" s="17" t="s">
        <v>919</v>
      </c>
      <c r="I2198" s="17">
        <f t="shared" si="91"/>
        <v>4896199000</v>
      </c>
    </row>
    <row r="2199" spans="1:9" x14ac:dyDescent="0.3">
      <c r="A2199" s="17" t="str">
        <f t="shared" si="92"/>
        <v>2010296</v>
      </c>
      <c r="B2199" s="17">
        <v>201</v>
      </c>
      <c r="C2199" s="17">
        <v>296</v>
      </c>
      <c r="D2199" s="17" t="s">
        <v>917</v>
      </c>
      <c r="E2199" s="17">
        <v>0</v>
      </c>
      <c r="F2199" s="17" t="s">
        <v>918</v>
      </c>
      <c r="G2199" s="17">
        <v>4994125000</v>
      </c>
      <c r="H2199" s="17" t="s">
        <v>919</v>
      </c>
      <c r="I2199" s="17">
        <f t="shared" si="91"/>
        <v>4994125000</v>
      </c>
    </row>
    <row r="2200" spans="1:9" x14ac:dyDescent="0.3">
      <c r="A2200" s="17" t="str">
        <f t="shared" si="92"/>
        <v>2010297</v>
      </c>
      <c r="B2200" s="17">
        <v>201</v>
      </c>
      <c r="C2200" s="17">
        <v>297</v>
      </c>
      <c r="D2200" s="17" t="s">
        <v>917</v>
      </c>
      <c r="E2200" s="17">
        <v>0</v>
      </c>
      <c r="F2200" s="17" t="s">
        <v>918</v>
      </c>
      <c r="G2200" s="17">
        <v>5094009500</v>
      </c>
      <c r="H2200" s="17" t="s">
        <v>919</v>
      </c>
      <c r="I2200" s="17">
        <f t="shared" si="91"/>
        <v>5094009500</v>
      </c>
    </row>
    <row r="2201" spans="1:9" x14ac:dyDescent="0.3">
      <c r="A2201" s="17" t="str">
        <f t="shared" si="92"/>
        <v>2010298</v>
      </c>
      <c r="B2201" s="17">
        <v>201</v>
      </c>
      <c r="C2201" s="17">
        <v>298</v>
      </c>
      <c r="D2201" s="17" t="s">
        <v>917</v>
      </c>
      <c r="E2201" s="17">
        <v>0</v>
      </c>
      <c r="F2201" s="17" t="s">
        <v>918</v>
      </c>
      <c r="G2201" s="17">
        <v>5195892000</v>
      </c>
      <c r="H2201" s="17" t="s">
        <v>919</v>
      </c>
      <c r="I2201" s="17">
        <f t="shared" si="91"/>
        <v>5195892000</v>
      </c>
    </row>
    <row r="2202" spans="1:9" x14ac:dyDescent="0.3">
      <c r="A2202" s="17" t="str">
        <f t="shared" si="92"/>
        <v>2010299</v>
      </c>
      <c r="B2202" s="17">
        <v>201</v>
      </c>
      <c r="C2202" s="17">
        <v>299</v>
      </c>
      <c r="D2202" s="17" t="s">
        <v>917</v>
      </c>
      <c r="E2202" s="17">
        <v>0</v>
      </c>
      <c r="F2202" s="17" t="s">
        <v>918</v>
      </c>
      <c r="G2202" s="17">
        <v>5299811500</v>
      </c>
      <c r="H2202" s="17" t="s">
        <v>919</v>
      </c>
      <c r="I2202" s="17">
        <f t="shared" si="91"/>
        <v>5299811500</v>
      </c>
    </row>
    <row r="2203" spans="1:9" x14ac:dyDescent="0.3">
      <c r="A2203" s="17" t="str">
        <f t="shared" si="92"/>
        <v>2010300</v>
      </c>
      <c r="B2203" s="17">
        <v>201</v>
      </c>
      <c r="C2203" s="17">
        <v>300</v>
      </c>
      <c r="D2203" s="17" t="s">
        <v>917</v>
      </c>
      <c r="E2203" s="17">
        <v>0</v>
      </c>
      <c r="F2203" s="17" t="s">
        <v>918</v>
      </c>
      <c r="G2203" s="17">
        <v>5405810000</v>
      </c>
      <c r="H2203" s="17" t="s">
        <v>919</v>
      </c>
      <c r="I2203" s="17">
        <f t="shared" si="91"/>
        <v>5405810000</v>
      </c>
    </row>
    <row r="2204" spans="1:9" x14ac:dyDescent="0.3">
      <c r="A2204" s="17" t="str">
        <f t="shared" si="92"/>
        <v>2010301</v>
      </c>
      <c r="B2204" s="17">
        <v>201</v>
      </c>
      <c r="C2204" s="17">
        <v>301</v>
      </c>
      <c r="D2204" s="17" t="s">
        <v>917</v>
      </c>
      <c r="E2204" s="17">
        <v>0</v>
      </c>
      <c r="F2204" s="17" t="s">
        <v>918</v>
      </c>
      <c r="G2204" s="17">
        <f t="shared" ref="G2204:G2267" si="93">INT(G2203*1.01)</f>
        <v>5459868100</v>
      </c>
      <c r="H2204" s="17" t="s">
        <v>919</v>
      </c>
      <c r="I2204" s="17">
        <f t="shared" si="91"/>
        <v>5459868100</v>
      </c>
    </row>
    <row r="2205" spans="1:9" x14ac:dyDescent="0.3">
      <c r="A2205" s="17" t="str">
        <f t="shared" si="92"/>
        <v>2010302</v>
      </c>
      <c r="B2205" s="17">
        <v>201</v>
      </c>
      <c r="C2205" s="17">
        <v>302</v>
      </c>
      <c r="D2205" s="17" t="s">
        <v>917</v>
      </c>
      <c r="E2205" s="17">
        <v>0</v>
      </c>
      <c r="F2205" s="17" t="s">
        <v>918</v>
      </c>
      <c r="G2205" s="17">
        <f t="shared" si="93"/>
        <v>5514466781</v>
      </c>
      <c r="H2205" s="17" t="s">
        <v>919</v>
      </c>
      <c r="I2205" s="17">
        <f t="shared" si="91"/>
        <v>5514466781</v>
      </c>
    </row>
    <row r="2206" spans="1:9" x14ac:dyDescent="0.3">
      <c r="A2206" s="17" t="str">
        <f t="shared" si="92"/>
        <v>2010303</v>
      </c>
      <c r="B2206" s="17">
        <v>201</v>
      </c>
      <c r="C2206" s="17">
        <v>303</v>
      </c>
      <c r="D2206" s="17" t="s">
        <v>917</v>
      </c>
      <c r="E2206" s="17">
        <v>0</v>
      </c>
      <c r="F2206" s="17" t="s">
        <v>918</v>
      </c>
      <c r="G2206" s="17">
        <f t="shared" si="93"/>
        <v>5569611448</v>
      </c>
      <c r="H2206" s="17" t="s">
        <v>919</v>
      </c>
      <c r="I2206" s="17">
        <f t="shared" si="91"/>
        <v>5569611448</v>
      </c>
    </row>
    <row r="2207" spans="1:9" x14ac:dyDescent="0.3">
      <c r="A2207" s="17" t="str">
        <f t="shared" si="92"/>
        <v>2010304</v>
      </c>
      <c r="B2207" s="17">
        <v>201</v>
      </c>
      <c r="C2207" s="17">
        <v>304</v>
      </c>
      <c r="D2207" s="17" t="s">
        <v>917</v>
      </c>
      <c r="E2207" s="17">
        <v>0</v>
      </c>
      <c r="F2207" s="17" t="s">
        <v>918</v>
      </c>
      <c r="G2207" s="17">
        <f t="shared" si="93"/>
        <v>5625307562</v>
      </c>
      <c r="H2207" s="17" t="s">
        <v>919</v>
      </c>
      <c r="I2207" s="17">
        <f t="shared" si="91"/>
        <v>5625307562</v>
      </c>
    </row>
    <row r="2208" spans="1:9" x14ac:dyDescent="0.3">
      <c r="A2208" s="17" t="str">
        <f t="shared" si="92"/>
        <v>2010305</v>
      </c>
      <c r="B2208" s="17">
        <v>201</v>
      </c>
      <c r="C2208" s="17">
        <v>305</v>
      </c>
      <c r="D2208" s="17" t="s">
        <v>917</v>
      </c>
      <c r="E2208" s="17">
        <v>0</v>
      </c>
      <c r="F2208" s="17" t="s">
        <v>918</v>
      </c>
      <c r="G2208" s="17">
        <f t="shared" si="93"/>
        <v>5681560637</v>
      </c>
      <c r="H2208" s="17" t="s">
        <v>919</v>
      </c>
      <c r="I2208" s="17">
        <f t="shared" si="91"/>
        <v>5681560637</v>
      </c>
    </row>
    <row r="2209" spans="1:9" x14ac:dyDescent="0.3">
      <c r="A2209" s="17" t="str">
        <f t="shared" si="92"/>
        <v>2010306</v>
      </c>
      <c r="B2209" s="17">
        <v>201</v>
      </c>
      <c r="C2209" s="17">
        <v>306</v>
      </c>
      <c r="D2209" s="17" t="s">
        <v>917</v>
      </c>
      <c r="E2209" s="17">
        <v>0</v>
      </c>
      <c r="F2209" s="17" t="s">
        <v>918</v>
      </c>
      <c r="G2209" s="17">
        <f t="shared" si="93"/>
        <v>5738376243</v>
      </c>
      <c r="H2209" s="17" t="s">
        <v>919</v>
      </c>
      <c r="I2209" s="17">
        <f t="shared" si="91"/>
        <v>5738376243</v>
      </c>
    </row>
    <row r="2210" spans="1:9" x14ac:dyDescent="0.3">
      <c r="A2210" s="17" t="str">
        <f t="shared" si="92"/>
        <v>2010307</v>
      </c>
      <c r="B2210" s="17">
        <v>201</v>
      </c>
      <c r="C2210" s="17">
        <v>307</v>
      </c>
      <c r="D2210" s="17" t="s">
        <v>917</v>
      </c>
      <c r="E2210" s="17">
        <v>0</v>
      </c>
      <c r="F2210" s="17" t="s">
        <v>918</v>
      </c>
      <c r="G2210" s="17">
        <f t="shared" si="93"/>
        <v>5795760005</v>
      </c>
      <c r="H2210" s="17" t="s">
        <v>919</v>
      </c>
      <c r="I2210" s="17">
        <f t="shared" si="91"/>
        <v>5795760005</v>
      </c>
    </row>
    <row r="2211" spans="1:9" x14ac:dyDescent="0.3">
      <c r="A2211" s="17" t="str">
        <f t="shared" si="92"/>
        <v>2010308</v>
      </c>
      <c r="B2211" s="17">
        <v>201</v>
      </c>
      <c r="C2211" s="17">
        <v>308</v>
      </c>
      <c r="D2211" s="17" t="s">
        <v>917</v>
      </c>
      <c r="E2211" s="17">
        <v>0</v>
      </c>
      <c r="F2211" s="17" t="s">
        <v>918</v>
      </c>
      <c r="G2211" s="17">
        <f t="shared" si="93"/>
        <v>5853717605</v>
      </c>
      <c r="H2211" s="17" t="s">
        <v>919</v>
      </c>
      <c r="I2211" s="17">
        <f t="shared" si="91"/>
        <v>5853717605</v>
      </c>
    </row>
    <row r="2212" spans="1:9" x14ac:dyDescent="0.3">
      <c r="A2212" s="17" t="str">
        <f t="shared" si="92"/>
        <v>2010309</v>
      </c>
      <c r="B2212" s="17">
        <v>201</v>
      </c>
      <c r="C2212" s="17">
        <v>309</v>
      </c>
      <c r="D2212" s="17" t="s">
        <v>917</v>
      </c>
      <c r="E2212" s="17">
        <v>0</v>
      </c>
      <c r="F2212" s="17" t="s">
        <v>918</v>
      </c>
      <c r="G2212" s="17">
        <f t="shared" si="93"/>
        <v>5912254781</v>
      </c>
      <c r="H2212" s="17" t="s">
        <v>919</v>
      </c>
      <c r="I2212" s="17">
        <f t="shared" si="91"/>
        <v>5912254781</v>
      </c>
    </row>
    <row r="2213" spans="1:9" x14ac:dyDescent="0.3">
      <c r="A2213" s="17" t="str">
        <f t="shared" si="92"/>
        <v>2010310</v>
      </c>
      <c r="B2213" s="17">
        <v>201</v>
      </c>
      <c r="C2213" s="17">
        <v>310</v>
      </c>
      <c r="D2213" s="17" t="s">
        <v>917</v>
      </c>
      <c r="E2213" s="17">
        <v>0</v>
      </c>
      <c r="F2213" s="17" t="s">
        <v>918</v>
      </c>
      <c r="G2213" s="17">
        <f t="shared" si="93"/>
        <v>5971377328</v>
      </c>
      <c r="H2213" s="17" t="s">
        <v>919</v>
      </c>
      <c r="I2213" s="17">
        <f t="shared" si="91"/>
        <v>5971377328</v>
      </c>
    </row>
    <row r="2214" spans="1:9" x14ac:dyDescent="0.3">
      <c r="A2214" s="17" t="str">
        <f t="shared" si="92"/>
        <v>2010311</v>
      </c>
      <c r="B2214" s="17">
        <v>201</v>
      </c>
      <c r="C2214" s="17">
        <v>311</v>
      </c>
      <c r="D2214" s="17" t="s">
        <v>917</v>
      </c>
      <c r="E2214" s="17">
        <v>0</v>
      </c>
      <c r="F2214" s="17" t="s">
        <v>918</v>
      </c>
      <c r="G2214" s="17">
        <f t="shared" si="93"/>
        <v>6031091101</v>
      </c>
      <c r="H2214" s="17" t="s">
        <v>919</v>
      </c>
      <c r="I2214" s="17">
        <f t="shared" si="91"/>
        <v>6031091101</v>
      </c>
    </row>
    <row r="2215" spans="1:9" x14ac:dyDescent="0.3">
      <c r="A2215" s="17" t="str">
        <f t="shared" si="92"/>
        <v>2010312</v>
      </c>
      <c r="B2215" s="17">
        <v>201</v>
      </c>
      <c r="C2215" s="17">
        <v>312</v>
      </c>
      <c r="D2215" s="17" t="s">
        <v>917</v>
      </c>
      <c r="E2215" s="17">
        <v>0</v>
      </c>
      <c r="F2215" s="17" t="s">
        <v>918</v>
      </c>
      <c r="G2215" s="17">
        <f t="shared" si="93"/>
        <v>6091402012</v>
      </c>
      <c r="H2215" s="17" t="s">
        <v>919</v>
      </c>
      <c r="I2215" s="17">
        <f t="shared" si="91"/>
        <v>6091402012</v>
      </c>
    </row>
    <row r="2216" spans="1:9" x14ac:dyDescent="0.3">
      <c r="A2216" s="17" t="str">
        <f t="shared" si="92"/>
        <v>2010313</v>
      </c>
      <c r="B2216" s="17">
        <v>201</v>
      </c>
      <c r="C2216" s="17">
        <v>313</v>
      </c>
      <c r="D2216" s="17" t="s">
        <v>917</v>
      </c>
      <c r="E2216" s="17">
        <v>0</v>
      </c>
      <c r="F2216" s="17" t="s">
        <v>918</v>
      </c>
      <c r="G2216" s="17">
        <f t="shared" si="93"/>
        <v>6152316032</v>
      </c>
      <c r="H2216" s="17" t="s">
        <v>919</v>
      </c>
      <c r="I2216" s="17">
        <f t="shared" si="91"/>
        <v>6152316032</v>
      </c>
    </row>
    <row r="2217" spans="1:9" x14ac:dyDescent="0.3">
      <c r="A2217" s="17" t="str">
        <f t="shared" si="92"/>
        <v>2010314</v>
      </c>
      <c r="B2217" s="17">
        <v>201</v>
      </c>
      <c r="C2217" s="17">
        <v>314</v>
      </c>
      <c r="D2217" s="17" t="s">
        <v>917</v>
      </c>
      <c r="E2217" s="17">
        <v>0</v>
      </c>
      <c r="F2217" s="17" t="s">
        <v>918</v>
      </c>
      <c r="G2217" s="17">
        <f t="shared" si="93"/>
        <v>6213839192</v>
      </c>
      <c r="H2217" s="17" t="s">
        <v>919</v>
      </c>
      <c r="I2217" s="17">
        <f t="shared" si="91"/>
        <v>6213839192</v>
      </c>
    </row>
    <row r="2218" spans="1:9" x14ac:dyDescent="0.3">
      <c r="A2218" s="17" t="str">
        <f t="shared" si="92"/>
        <v>2010315</v>
      </c>
      <c r="B2218" s="17">
        <v>201</v>
      </c>
      <c r="C2218" s="17">
        <v>315</v>
      </c>
      <c r="D2218" s="17" t="s">
        <v>917</v>
      </c>
      <c r="E2218" s="17">
        <v>0</v>
      </c>
      <c r="F2218" s="17" t="s">
        <v>918</v>
      </c>
      <c r="G2218" s="17">
        <f t="shared" si="93"/>
        <v>6275977583</v>
      </c>
      <c r="H2218" s="17" t="s">
        <v>919</v>
      </c>
      <c r="I2218" s="17">
        <f t="shared" si="91"/>
        <v>6275977583</v>
      </c>
    </row>
    <row r="2219" spans="1:9" x14ac:dyDescent="0.3">
      <c r="A2219" s="17" t="str">
        <f t="shared" si="92"/>
        <v>2010316</v>
      </c>
      <c r="B2219" s="17">
        <v>201</v>
      </c>
      <c r="C2219" s="17">
        <v>316</v>
      </c>
      <c r="D2219" s="17" t="s">
        <v>917</v>
      </c>
      <c r="E2219" s="17">
        <v>0</v>
      </c>
      <c r="F2219" s="17" t="s">
        <v>918</v>
      </c>
      <c r="G2219" s="17">
        <f t="shared" si="93"/>
        <v>6338737358</v>
      </c>
      <c r="H2219" s="17" t="s">
        <v>919</v>
      </c>
      <c r="I2219" s="17">
        <f t="shared" si="91"/>
        <v>6338737358</v>
      </c>
    </row>
    <row r="2220" spans="1:9" x14ac:dyDescent="0.3">
      <c r="A2220" s="17" t="str">
        <f t="shared" si="92"/>
        <v>2010317</v>
      </c>
      <c r="B2220" s="17">
        <v>201</v>
      </c>
      <c r="C2220" s="17">
        <v>317</v>
      </c>
      <c r="D2220" s="17" t="s">
        <v>917</v>
      </c>
      <c r="E2220" s="17">
        <v>0</v>
      </c>
      <c r="F2220" s="17" t="s">
        <v>918</v>
      </c>
      <c r="G2220" s="17">
        <f t="shared" si="93"/>
        <v>6402124731</v>
      </c>
      <c r="H2220" s="17" t="s">
        <v>919</v>
      </c>
      <c r="I2220" s="17">
        <f t="shared" si="91"/>
        <v>6402124731</v>
      </c>
    </row>
    <row r="2221" spans="1:9" x14ac:dyDescent="0.3">
      <c r="A2221" s="17" t="str">
        <f t="shared" si="92"/>
        <v>2010318</v>
      </c>
      <c r="B2221" s="17">
        <v>201</v>
      </c>
      <c r="C2221" s="17">
        <v>318</v>
      </c>
      <c r="D2221" s="17" t="s">
        <v>917</v>
      </c>
      <c r="E2221" s="17">
        <v>0</v>
      </c>
      <c r="F2221" s="17" t="s">
        <v>918</v>
      </c>
      <c r="G2221" s="17">
        <f t="shared" si="93"/>
        <v>6466145978</v>
      </c>
      <c r="H2221" s="17" t="s">
        <v>919</v>
      </c>
      <c r="I2221" s="17">
        <f t="shared" si="91"/>
        <v>6466145978</v>
      </c>
    </row>
    <row r="2222" spans="1:9" x14ac:dyDescent="0.3">
      <c r="A2222" s="17" t="str">
        <f t="shared" si="92"/>
        <v>2010319</v>
      </c>
      <c r="B2222" s="17">
        <v>201</v>
      </c>
      <c r="C2222" s="17">
        <v>319</v>
      </c>
      <c r="D2222" s="17" t="s">
        <v>917</v>
      </c>
      <c r="E2222" s="17">
        <v>0</v>
      </c>
      <c r="F2222" s="17" t="s">
        <v>918</v>
      </c>
      <c r="G2222" s="17">
        <f t="shared" si="93"/>
        <v>6530807437</v>
      </c>
      <c r="H2222" s="17" t="s">
        <v>919</v>
      </c>
      <c r="I2222" s="17">
        <f t="shared" si="91"/>
        <v>6530807437</v>
      </c>
    </row>
    <row r="2223" spans="1:9" x14ac:dyDescent="0.3">
      <c r="A2223" s="17" t="str">
        <f t="shared" si="92"/>
        <v>2010320</v>
      </c>
      <c r="B2223" s="17">
        <v>201</v>
      </c>
      <c r="C2223" s="17">
        <v>320</v>
      </c>
      <c r="D2223" s="17" t="s">
        <v>917</v>
      </c>
      <c r="E2223" s="17">
        <v>0</v>
      </c>
      <c r="F2223" s="17" t="s">
        <v>918</v>
      </c>
      <c r="G2223" s="17">
        <f t="shared" si="93"/>
        <v>6596115511</v>
      </c>
      <c r="H2223" s="17" t="s">
        <v>919</v>
      </c>
      <c r="I2223" s="17">
        <f t="shared" si="91"/>
        <v>6596115511</v>
      </c>
    </row>
    <row r="2224" spans="1:9" x14ac:dyDescent="0.3">
      <c r="A2224" s="17" t="str">
        <f t="shared" si="92"/>
        <v>2010321</v>
      </c>
      <c r="B2224" s="17">
        <v>201</v>
      </c>
      <c r="C2224" s="17">
        <v>321</v>
      </c>
      <c r="D2224" s="17" t="s">
        <v>917</v>
      </c>
      <c r="E2224" s="17">
        <v>0</v>
      </c>
      <c r="F2224" s="17" t="s">
        <v>918</v>
      </c>
      <c r="G2224" s="17">
        <f t="shared" si="93"/>
        <v>6662076666</v>
      </c>
      <c r="H2224" s="17" t="s">
        <v>919</v>
      </c>
      <c r="I2224" s="17">
        <f t="shared" si="91"/>
        <v>6662076666</v>
      </c>
    </row>
    <row r="2225" spans="1:9" x14ac:dyDescent="0.3">
      <c r="A2225" s="17" t="str">
        <f t="shared" si="92"/>
        <v>2010322</v>
      </c>
      <c r="B2225" s="17">
        <v>201</v>
      </c>
      <c r="C2225" s="17">
        <v>322</v>
      </c>
      <c r="D2225" s="17" t="s">
        <v>917</v>
      </c>
      <c r="E2225" s="17">
        <v>0</v>
      </c>
      <c r="F2225" s="17" t="s">
        <v>918</v>
      </c>
      <c r="G2225" s="17">
        <f t="shared" si="93"/>
        <v>6728697432</v>
      </c>
      <c r="H2225" s="17" t="s">
        <v>919</v>
      </c>
      <c r="I2225" s="17">
        <f t="shared" ref="I2225:I2288" si="94">G2225</f>
        <v>6728697432</v>
      </c>
    </row>
    <row r="2226" spans="1:9" x14ac:dyDescent="0.3">
      <c r="A2226" s="17" t="str">
        <f t="shared" si="92"/>
        <v>2010323</v>
      </c>
      <c r="B2226" s="17">
        <v>201</v>
      </c>
      <c r="C2226" s="17">
        <v>323</v>
      </c>
      <c r="D2226" s="17" t="s">
        <v>917</v>
      </c>
      <c r="E2226" s="17">
        <v>0</v>
      </c>
      <c r="F2226" s="17" t="s">
        <v>918</v>
      </c>
      <c r="G2226" s="17">
        <f t="shared" si="93"/>
        <v>6795984406</v>
      </c>
      <c r="H2226" s="17" t="s">
        <v>919</v>
      </c>
      <c r="I2226" s="17">
        <f t="shared" si="94"/>
        <v>6795984406</v>
      </c>
    </row>
    <row r="2227" spans="1:9" x14ac:dyDescent="0.3">
      <c r="A2227" s="17" t="str">
        <f t="shared" si="92"/>
        <v>2010324</v>
      </c>
      <c r="B2227" s="17">
        <v>201</v>
      </c>
      <c r="C2227" s="17">
        <v>324</v>
      </c>
      <c r="D2227" s="17" t="s">
        <v>917</v>
      </c>
      <c r="E2227" s="17">
        <v>0</v>
      </c>
      <c r="F2227" s="17" t="s">
        <v>918</v>
      </c>
      <c r="G2227" s="17">
        <f t="shared" si="93"/>
        <v>6863944250</v>
      </c>
      <c r="H2227" s="17" t="s">
        <v>919</v>
      </c>
      <c r="I2227" s="17">
        <f t="shared" si="94"/>
        <v>6863944250</v>
      </c>
    </row>
    <row r="2228" spans="1:9" x14ac:dyDescent="0.3">
      <c r="A2228" s="17" t="str">
        <f t="shared" si="92"/>
        <v>2010325</v>
      </c>
      <c r="B2228" s="17">
        <v>201</v>
      </c>
      <c r="C2228" s="17">
        <v>325</v>
      </c>
      <c r="D2228" s="17" t="s">
        <v>917</v>
      </c>
      <c r="E2228" s="17">
        <v>0</v>
      </c>
      <c r="F2228" s="17" t="s">
        <v>918</v>
      </c>
      <c r="G2228" s="17">
        <f t="shared" si="93"/>
        <v>6932583692</v>
      </c>
      <c r="H2228" s="17" t="s">
        <v>919</v>
      </c>
      <c r="I2228" s="17">
        <f t="shared" si="94"/>
        <v>6932583692</v>
      </c>
    </row>
    <row r="2229" spans="1:9" x14ac:dyDescent="0.3">
      <c r="A2229" s="17" t="str">
        <f t="shared" si="92"/>
        <v>2010326</v>
      </c>
      <c r="B2229" s="17">
        <v>201</v>
      </c>
      <c r="C2229" s="17">
        <v>326</v>
      </c>
      <c r="D2229" s="17" t="s">
        <v>917</v>
      </c>
      <c r="E2229" s="17">
        <v>0</v>
      </c>
      <c r="F2229" s="17" t="s">
        <v>918</v>
      </c>
      <c r="G2229" s="17">
        <f t="shared" si="93"/>
        <v>7001909528</v>
      </c>
      <c r="H2229" s="17" t="s">
        <v>919</v>
      </c>
      <c r="I2229" s="17">
        <f t="shared" si="94"/>
        <v>7001909528</v>
      </c>
    </row>
    <row r="2230" spans="1:9" x14ac:dyDescent="0.3">
      <c r="A2230" s="17" t="str">
        <f t="shared" si="92"/>
        <v>2010327</v>
      </c>
      <c r="B2230" s="17">
        <v>201</v>
      </c>
      <c r="C2230" s="17">
        <v>327</v>
      </c>
      <c r="D2230" s="17" t="s">
        <v>917</v>
      </c>
      <c r="E2230" s="17">
        <v>0</v>
      </c>
      <c r="F2230" s="17" t="s">
        <v>918</v>
      </c>
      <c r="G2230" s="17">
        <f t="shared" si="93"/>
        <v>7071928623</v>
      </c>
      <c r="H2230" s="17" t="s">
        <v>919</v>
      </c>
      <c r="I2230" s="17">
        <f t="shared" si="94"/>
        <v>7071928623</v>
      </c>
    </row>
    <row r="2231" spans="1:9" x14ac:dyDescent="0.3">
      <c r="A2231" s="17" t="str">
        <f t="shared" si="92"/>
        <v>2010328</v>
      </c>
      <c r="B2231" s="17">
        <v>201</v>
      </c>
      <c r="C2231" s="17">
        <v>328</v>
      </c>
      <c r="D2231" s="17" t="s">
        <v>917</v>
      </c>
      <c r="E2231" s="17">
        <v>0</v>
      </c>
      <c r="F2231" s="17" t="s">
        <v>918</v>
      </c>
      <c r="G2231" s="17">
        <f t="shared" si="93"/>
        <v>7142647909</v>
      </c>
      <c r="H2231" s="17" t="s">
        <v>919</v>
      </c>
      <c r="I2231" s="17">
        <f t="shared" si="94"/>
        <v>7142647909</v>
      </c>
    </row>
    <row r="2232" spans="1:9" x14ac:dyDescent="0.3">
      <c r="A2232" s="17" t="str">
        <f t="shared" si="92"/>
        <v>2010329</v>
      </c>
      <c r="B2232" s="17">
        <v>201</v>
      </c>
      <c r="C2232" s="17">
        <v>329</v>
      </c>
      <c r="D2232" s="17" t="s">
        <v>917</v>
      </c>
      <c r="E2232" s="17">
        <v>0</v>
      </c>
      <c r="F2232" s="17" t="s">
        <v>918</v>
      </c>
      <c r="G2232" s="17">
        <f t="shared" si="93"/>
        <v>7214074388</v>
      </c>
      <c r="H2232" s="17" t="s">
        <v>919</v>
      </c>
      <c r="I2232" s="17">
        <f t="shared" si="94"/>
        <v>7214074388</v>
      </c>
    </row>
    <row r="2233" spans="1:9" x14ac:dyDescent="0.3">
      <c r="A2233" s="17" t="str">
        <f t="shared" si="92"/>
        <v>2010330</v>
      </c>
      <c r="B2233" s="17">
        <v>201</v>
      </c>
      <c r="C2233" s="17">
        <v>330</v>
      </c>
      <c r="D2233" s="17" t="s">
        <v>917</v>
      </c>
      <c r="E2233" s="17">
        <v>0</v>
      </c>
      <c r="F2233" s="17" t="s">
        <v>918</v>
      </c>
      <c r="G2233" s="17">
        <f t="shared" si="93"/>
        <v>7286215131</v>
      </c>
      <c r="H2233" s="17" t="s">
        <v>919</v>
      </c>
      <c r="I2233" s="17">
        <f t="shared" si="94"/>
        <v>7286215131</v>
      </c>
    </row>
    <row r="2234" spans="1:9" x14ac:dyDescent="0.3">
      <c r="A2234" s="17" t="str">
        <f t="shared" si="92"/>
        <v>2010331</v>
      </c>
      <c r="B2234" s="17">
        <v>201</v>
      </c>
      <c r="C2234" s="17">
        <v>331</v>
      </c>
      <c r="D2234" s="17" t="s">
        <v>917</v>
      </c>
      <c r="E2234" s="17">
        <v>0</v>
      </c>
      <c r="F2234" s="17" t="s">
        <v>918</v>
      </c>
      <c r="G2234" s="17">
        <f t="shared" si="93"/>
        <v>7359077282</v>
      </c>
      <c r="H2234" s="17" t="s">
        <v>919</v>
      </c>
      <c r="I2234" s="17">
        <f t="shared" si="94"/>
        <v>7359077282</v>
      </c>
    </row>
    <row r="2235" spans="1:9" x14ac:dyDescent="0.3">
      <c r="A2235" s="17" t="str">
        <f t="shared" si="92"/>
        <v>2010332</v>
      </c>
      <c r="B2235" s="17">
        <v>201</v>
      </c>
      <c r="C2235" s="17">
        <v>332</v>
      </c>
      <c r="D2235" s="17" t="s">
        <v>917</v>
      </c>
      <c r="E2235" s="17">
        <v>0</v>
      </c>
      <c r="F2235" s="17" t="s">
        <v>918</v>
      </c>
      <c r="G2235" s="17">
        <f t="shared" si="93"/>
        <v>7432668054</v>
      </c>
      <c r="H2235" s="17" t="s">
        <v>919</v>
      </c>
      <c r="I2235" s="17">
        <f t="shared" si="94"/>
        <v>7432668054</v>
      </c>
    </row>
    <row r="2236" spans="1:9" x14ac:dyDescent="0.3">
      <c r="A2236" s="17" t="str">
        <f t="shared" si="92"/>
        <v>2010333</v>
      </c>
      <c r="B2236" s="17">
        <v>201</v>
      </c>
      <c r="C2236" s="17">
        <v>333</v>
      </c>
      <c r="D2236" s="17" t="s">
        <v>917</v>
      </c>
      <c r="E2236" s="17">
        <v>0</v>
      </c>
      <c r="F2236" s="17" t="s">
        <v>918</v>
      </c>
      <c r="G2236" s="17">
        <f t="shared" si="93"/>
        <v>7506994734</v>
      </c>
      <c r="H2236" s="17" t="s">
        <v>919</v>
      </c>
      <c r="I2236" s="17">
        <f t="shared" si="94"/>
        <v>7506994734</v>
      </c>
    </row>
    <row r="2237" spans="1:9" x14ac:dyDescent="0.3">
      <c r="A2237" s="17" t="str">
        <f t="shared" si="92"/>
        <v>2010334</v>
      </c>
      <c r="B2237" s="17">
        <v>201</v>
      </c>
      <c r="C2237" s="17">
        <v>334</v>
      </c>
      <c r="D2237" s="17" t="s">
        <v>917</v>
      </c>
      <c r="E2237" s="17">
        <v>0</v>
      </c>
      <c r="F2237" s="17" t="s">
        <v>918</v>
      </c>
      <c r="G2237" s="17">
        <f t="shared" si="93"/>
        <v>7582064681</v>
      </c>
      <c r="H2237" s="17" t="s">
        <v>919</v>
      </c>
      <c r="I2237" s="17">
        <f t="shared" si="94"/>
        <v>7582064681</v>
      </c>
    </row>
    <row r="2238" spans="1:9" x14ac:dyDescent="0.3">
      <c r="A2238" s="17" t="str">
        <f t="shared" si="92"/>
        <v>2010335</v>
      </c>
      <c r="B2238" s="17">
        <v>201</v>
      </c>
      <c r="C2238" s="17">
        <v>335</v>
      </c>
      <c r="D2238" s="17" t="s">
        <v>917</v>
      </c>
      <c r="E2238" s="17">
        <v>0</v>
      </c>
      <c r="F2238" s="17" t="s">
        <v>918</v>
      </c>
      <c r="G2238" s="17">
        <f t="shared" si="93"/>
        <v>7657885327</v>
      </c>
      <c r="H2238" s="17" t="s">
        <v>919</v>
      </c>
      <c r="I2238" s="17">
        <f t="shared" si="94"/>
        <v>7657885327</v>
      </c>
    </row>
    <row r="2239" spans="1:9" x14ac:dyDescent="0.3">
      <c r="A2239" s="17" t="str">
        <f t="shared" si="92"/>
        <v>2010336</v>
      </c>
      <c r="B2239" s="17">
        <v>201</v>
      </c>
      <c r="C2239" s="17">
        <v>336</v>
      </c>
      <c r="D2239" s="17" t="s">
        <v>917</v>
      </c>
      <c r="E2239" s="17">
        <v>0</v>
      </c>
      <c r="F2239" s="17" t="s">
        <v>918</v>
      </c>
      <c r="G2239" s="17">
        <f t="shared" si="93"/>
        <v>7734464180</v>
      </c>
      <c r="H2239" s="17" t="s">
        <v>919</v>
      </c>
      <c r="I2239" s="17">
        <f t="shared" si="94"/>
        <v>7734464180</v>
      </c>
    </row>
    <row r="2240" spans="1:9" x14ac:dyDescent="0.3">
      <c r="A2240" s="17" t="str">
        <f t="shared" si="92"/>
        <v>2010337</v>
      </c>
      <c r="B2240" s="17">
        <v>201</v>
      </c>
      <c r="C2240" s="17">
        <v>337</v>
      </c>
      <c r="D2240" s="17" t="s">
        <v>917</v>
      </c>
      <c r="E2240" s="17">
        <v>0</v>
      </c>
      <c r="F2240" s="17" t="s">
        <v>918</v>
      </c>
      <c r="G2240" s="17">
        <f t="shared" si="93"/>
        <v>7811808821</v>
      </c>
      <c r="H2240" s="17" t="s">
        <v>919</v>
      </c>
      <c r="I2240" s="17">
        <f t="shared" si="94"/>
        <v>7811808821</v>
      </c>
    </row>
    <row r="2241" spans="1:9" x14ac:dyDescent="0.3">
      <c r="A2241" s="17" t="str">
        <f t="shared" si="92"/>
        <v>2010338</v>
      </c>
      <c r="B2241" s="17">
        <v>201</v>
      </c>
      <c r="C2241" s="17">
        <v>338</v>
      </c>
      <c r="D2241" s="17" t="s">
        <v>917</v>
      </c>
      <c r="E2241" s="17">
        <v>0</v>
      </c>
      <c r="F2241" s="17" t="s">
        <v>918</v>
      </c>
      <c r="G2241" s="17">
        <f t="shared" si="93"/>
        <v>7889926909</v>
      </c>
      <c r="H2241" s="17" t="s">
        <v>919</v>
      </c>
      <c r="I2241" s="17">
        <f t="shared" si="94"/>
        <v>7889926909</v>
      </c>
    </row>
    <row r="2242" spans="1:9" x14ac:dyDescent="0.3">
      <c r="A2242" s="17" t="str">
        <f t="shared" si="92"/>
        <v>2010339</v>
      </c>
      <c r="B2242" s="17">
        <v>201</v>
      </c>
      <c r="C2242" s="17">
        <v>339</v>
      </c>
      <c r="D2242" s="17" t="s">
        <v>917</v>
      </c>
      <c r="E2242" s="17">
        <v>0</v>
      </c>
      <c r="F2242" s="17" t="s">
        <v>918</v>
      </c>
      <c r="G2242" s="17">
        <f t="shared" si="93"/>
        <v>7968826178</v>
      </c>
      <c r="H2242" s="17" t="s">
        <v>919</v>
      </c>
      <c r="I2242" s="17">
        <f t="shared" si="94"/>
        <v>7968826178</v>
      </c>
    </row>
    <row r="2243" spans="1:9" x14ac:dyDescent="0.3">
      <c r="A2243" s="17" t="str">
        <f t="shared" si="92"/>
        <v>2010340</v>
      </c>
      <c r="B2243" s="17">
        <v>201</v>
      </c>
      <c r="C2243" s="17">
        <v>340</v>
      </c>
      <c r="D2243" s="17" t="s">
        <v>917</v>
      </c>
      <c r="E2243" s="17">
        <v>0</v>
      </c>
      <c r="F2243" s="17" t="s">
        <v>918</v>
      </c>
      <c r="G2243" s="17">
        <f t="shared" si="93"/>
        <v>8048514439</v>
      </c>
      <c r="H2243" s="17" t="s">
        <v>919</v>
      </c>
      <c r="I2243" s="17">
        <f t="shared" si="94"/>
        <v>8048514439</v>
      </c>
    </row>
    <row r="2244" spans="1:9" x14ac:dyDescent="0.3">
      <c r="A2244" s="17" t="str">
        <f t="shared" ref="A2244:A2307" si="95">B2244&amp;TEXT(C2244,"0000")</f>
        <v>2010341</v>
      </c>
      <c r="B2244" s="17">
        <v>201</v>
      </c>
      <c r="C2244" s="17">
        <v>341</v>
      </c>
      <c r="D2244" s="17" t="s">
        <v>917</v>
      </c>
      <c r="E2244" s="17">
        <v>0</v>
      </c>
      <c r="F2244" s="17" t="s">
        <v>918</v>
      </c>
      <c r="G2244" s="17">
        <f t="shared" si="93"/>
        <v>8128999583</v>
      </c>
      <c r="H2244" s="17" t="s">
        <v>919</v>
      </c>
      <c r="I2244" s="17">
        <f t="shared" si="94"/>
        <v>8128999583</v>
      </c>
    </row>
    <row r="2245" spans="1:9" x14ac:dyDescent="0.3">
      <c r="A2245" s="17" t="str">
        <f t="shared" si="95"/>
        <v>2010342</v>
      </c>
      <c r="B2245" s="17">
        <v>201</v>
      </c>
      <c r="C2245" s="17">
        <v>342</v>
      </c>
      <c r="D2245" s="17" t="s">
        <v>917</v>
      </c>
      <c r="E2245" s="17">
        <v>0</v>
      </c>
      <c r="F2245" s="17" t="s">
        <v>918</v>
      </c>
      <c r="G2245" s="17">
        <f t="shared" si="93"/>
        <v>8210289578</v>
      </c>
      <c r="H2245" s="17" t="s">
        <v>919</v>
      </c>
      <c r="I2245" s="17">
        <f t="shared" si="94"/>
        <v>8210289578</v>
      </c>
    </row>
    <row r="2246" spans="1:9" x14ac:dyDescent="0.3">
      <c r="A2246" s="17" t="str">
        <f t="shared" si="95"/>
        <v>2010343</v>
      </c>
      <c r="B2246" s="17">
        <v>201</v>
      </c>
      <c r="C2246" s="17">
        <v>343</v>
      </c>
      <c r="D2246" s="17" t="s">
        <v>917</v>
      </c>
      <c r="E2246" s="17">
        <v>0</v>
      </c>
      <c r="F2246" s="17" t="s">
        <v>918</v>
      </c>
      <c r="G2246" s="17">
        <f t="shared" si="93"/>
        <v>8292392473</v>
      </c>
      <c r="H2246" s="17" t="s">
        <v>919</v>
      </c>
      <c r="I2246" s="17">
        <f t="shared" si="94"/>
        <v>8292392473</v>
      </c>
    </row>
    <row r="2247" spans="1:9" x14ac:dyDescent="0.3">
      <c r="A2247" s="17" t="str">
        <f t="shared" si="95"/>
        <v>2010344</v>
      </c>
      <c r="B2247" s="17">
        <v>201</v>
      </c>
      <c r="C2247" s="17">
        <v>344</v>
      </c>
      <c r="D2247" s="17" t="s">
        <v>917</v>
      </c>
      <c r="E2247" s="17">
        <v>0</v>
      </c>
      <c r="F2247" s="17" t="s">
        <v>918</v>
      </c>
      <c r="G2247" s="17">
        <f t="shared" si="93"/>
        <v>8375316397</v>
      </c>
      <c r="H2247" s="17" t="s">
        <v>919</v>
      </c>
      <c r="I2247" s="17">
        <f t="shared" si="94"/>
        <v>8375316397</v>
      </c>
    </row>
    <row r="2248" spans="1:9" x14ac:dyDescent="0.3">
      <c r="A2248" s="17" t="str">
        <f t="shared" si="95"/>
        <v>2010345</v>
      </c>
      <c r="B2248" s="17">
        <v>201</v>
      </c>
      <c r="C2248" s="17">
        <v>345</v>
      </c>
      <c r="D2248" s="17" t="s">
        <v>917</v>
      </c>
      <c r="E2248" s="17">
        <v>0</v>
      </c>
      <c r="F2248" s="17" t="s">
        <v>918</v>
      </c>
      <c r="G2248" s="17">
        <f t="shared" si="93"/>
        <v>8459069560</v>
      </c>
      <c r="H2248" s="17" t="s">
        <v>919</v>
      </c>
      <c r="I2248" s="17">
        <f t="shared" si="94"/>
        <v>8459069560</v>
      </c>
    </row>
    <row r="2249" spans="1:9" x14ac:dyDescent="0.3">
      <c r="A2249" s="17" t="str">
        <f t="shared" si="95"/>
        <v>2010346</v>
      </c>
      <c r="B2249" s="17">
        <v>201</v>
      </c>
      <c r="C2249" s="17">
        <v>346</v>
      </c>
      <c r="D2249" s="17" t="s">
        <v>917</v>
      </c>
      <c r="E2249" s="17">
        <v>0</v>
      </c>
      <c r="F2249" s="17" t="s">
        <v>918</v>
      </c>
      <c r="G2249" s="17">
        <f t="shared" si="93"/>
        <v>8543660255</v>
      </c>
      <c r="H2249" s="17" t="s">
        <v>919</v>
      </c>
      <c r="I2249" s="17">
        <f t="shared" si="94"/>
        <v>8543660255</v>
      </c>
    </row>
    <row r="2250" spans="1:9" x14ac:dyDescent="0.3">
      <c r="A2250" s="17" t="str">
        <f t="shared" si="95"/>
        <v>2010347</v>
      </c>
      <c r="B2250" s="17">
        <v>201</v>
      </c>
      <c r="C2250" s="17">
        <v>347</v>
      </c>
      <c r="D2250" s="17" t="s">
        <v>917</v>
      </c>
      <c r="E2250" s="17">
        <v>0</v>
      </c>
      <c r="F2250" s="17" t="s">
        <v>918</v>
      </c>
      <c r="G2250" s="17">
        <f t="shared" si="93"/>
        <v>8629096857</v>
      </c>
      <c r="H2250" s="17" t="s">
        <v>919</v>
      </c>
      <c r="I2250" s="17">
        <f t="shared" si="94"/>
        <v>8629096857</v>
      </c>
    </row>
    <row r="2251" spans="1:9" x14ac:dyDescent="0.3">
      <c r="A2251" s="17" t="str">
        <f t="shared" si="95"/>
        <v>2010348</v>
      </c>
      <c r="B2251" s="17">
        <v>201</v>
      </c>
      <c r="C2251" s="17">
        <v>348</v>
      </c>
      <c r="D2251" s="17" t="s">
        <v>917</v>
      </c>
      <c r="E2251" s="17">
        <v>0</v>
      </c>
      <c r="F2251" s="17" t="s">
        <v>918</v>
      </c>
      <c r="G2251" s="17">
        <f t="shared" si="93"/>
        <v>8715387825</v>
      </c>
      <c r="H2251" s="17" t="s">
        <v>919</v>
      </c>
      <c r="I2251" s="17">
        <f t="shared" si="94"/>
        <v>8715387825</v>
      </c>
    </row>
    <row r="2252" spans="1:9" x14ac:dyDescent="0.3">
      <c r="A2252" s="17" t="str">
        <f t="shared" si="95"/>
        <v>2010349</v>
      </c>
      <c r="B2252" s="17">
        <v>201</v>
      </c>
      <c r="C2252" s="17">
        <v>349</v>
      </c>
      <c r="D2252" s="17" t="s">
        <v>917</v>
      </c>
      <c r="E2252" s="17">
        <v>0</v>
      </c>
      <c r="F2252" s="17" t="s">
        <v>918</v>
      </c>
      <c r="G2252" s="17">
        <f t="shared" si="93"/>
        <v>8802541703</v>
      </c>
      <c r="H2252" s="17" t="s">
        <v>919</v>
      </c>
      <c r="I2252" s="17">
        <f t="shared" si="94"/>
        <v>8802541703</v>
      </c>
    </row>
    <row r="2253" spans="1:9" x14ac:dyDescent="0.3">
      <c r="A2253" s="17" t="str">
        <f t="shared" si="95"/>
        <v>2010350</v>
      </c>
      <c r="B2253" s="17">
        <v>201</v>
      </c>
      <c r="C2253" s="17">
        <v>350</v>
      </c>
      <c r="D2253" s="17" t="s">
        <v>917</v>
      </c>
      <c r="E2253" s="17">
        <v>0</v>
      </c>
      <c r="F2253" s="17" t="s">
        <v>918</v>
      </c>
      <c r="G2253" s="17">
        <f t="shared" si="93"/>
        <v>8890567120</v>
      </c>
      <c r="H2253" s="17" t="s">
        <v>919</v>
      </c>
      <c r="I2253" s="17">
        <f t="shared" si="94"/>
        <v>8890567120</v>
      </c>
    </row>
    <row r="2254" spans="1:9" x14ac:dyDescent="0.3">
      <c r="A2254" s="17" t="str">
        <f t="shared" si="95"/>
        <v>2010351</v>
      </c>
      <c r="B2254" s="17">
        <v>201</v>
      </c>
      <c r="C2254" s="17">
        <v>351</v>
      </c>
      <c r="D2254" s="17" t="s">
        <v>917</v>
      </c>
      <c r="E2254" s="17">
        <v>0</v>
      </c>
      <c r="F2254" s="17" t="s">
        <v>918</v>
      </c>
      <c r="G2254" s="17">
        <f t="shared" si="93"/>
        <v>8979472791</v>
      </c>
      <c r="H2254" s="17" t="s">
        <v>919</v>
      </c>
      <c r="I2254" s="17">
        <f t="shared" si="94"/>
        <v>8979472791</v>
      </c>
    </row>
    <row r="2255" spans="1:9" x14ac:dyDescent="0.3">
      <c r="A2255" s="17" t="str">
        <f t="shared" si="95"/>
        <v>2010352</v>
      </c>
      <c r="B2255" s="17">
        <v>201</v>
      </c>
      <c r="C2255" s="17">
        <v>352</v>
      </c>
      <c r="D2255" s="17" t="s">
        <v>917</v>
      </c>
      <c r="E2255" s="17">
        <v>0</v>
      </c>
      <c r="F2255" s="17" t="s">
        <v>918</v>
      </c>
      <c r="G2255" s="17">
        <f t="shared" si="93"/>
        <v>9069267518</v>
      </c>
      <c r="H2255" s="17" t="s">
        <v>919</v>
      </c>
      <c r="I2255" s="17">
        <f t="shared" si="94"/>
        <v>9069267518</v>
      </c>
    </row>
    <row r="2256" spans="1:9" x14ac:dyDescent="0.3">
      <c r="A2256" s="17" t="str">
        <f t="shared" si="95"/>
        <v>2010353</v>
      </c>
      <c r="B2256" s="17">
        <v>201</v>
      </c>
      <c r="C2256" s="17">
        <v>353</v>
      </c>
      <c r="D2256" s="17" t="s">
        <v>917</v>
      </c>
      <c r="E2256" s="17">
        <v>0</v>
      </c>
      <c r="F2256" s="17" t="s">
        <v>918</v>
      </c>
      <c r="G2256" s="17">
        <f t="shared" si="93"/>
        <v>9159960193</v>
      </c>
      <c r="H2256" s="17" t="s">
        <v>919</v>
      </c>
      <c r="I2256" s="17">
        <f t="shared" si="94"/>
        <v>9159960193</v>
      </c>
    </row>
    <row r="2257" spans="1:9" x14ac:dyDescent="0.3">
      <c r="A2257" s="17" t="str">
        <f t="shared" si="95"/>
        <v>2010354</v>
      </c>
      <c r="B2257" s="17">
        <v>201</v>
      </c>
      <c r="C2257" s="17">
        <v>354</v>
      </c>
      <c r="D2257" s="17" t="s">
        <v>917</v>
      </c>
      <c r="E2257" s="17">
        <v>0</v>
      </c>
      <c r="F2257" s="17" t="s">
        <v>918</v>
      </c>
      <c r="G2257" s="17">
        <f t="shared" si="93"/>
        <v>9251559794</v>
      </c>
      <c r="H2257" s="17" t="s">
        <v>919</v>
      </c>
      <c r="I2257" s="17">
        <f t="shared" si="94"/>
        <v>9251559794</v>
      </c>
    </row>
    <row r="2258" spans="1:9" x14ac:dyDescent="0.3">
      <c r="A2258" s="17" t="str">
        <f t="shared" si="95"/>
        <v>2010355</v>
      </c>
      <c r="B2258" s="17">
        <v>201</v>
      </c>
      <c r="C2258" s="17">
        <v>355</v>
      </c>
      <c r="D2258" s="17" t="s">
        <v>917</v>
      </c>
      <c r="E2258" s="17">
        <v>0</v>
      </c>
      <c r="F2258" s="17" t="s">
        <v>918</v>
      </c>
      <c r="G2258" s="17">
        <f t="shared" si="93"/>
        <v>9344075391</v>
      </c>
      <c r="H2258" s="17" t="s">
        <v>919</v>
      </c>
      <c r="I2258" s="17">
        <f t="shared" si="94"/>
        <v>9344075391</v>
      </c>
    </row>
    <row r="2259" spans="1:9" x14ac:dyDescent="0.3">
      <c r="A2259" s="17" t="str">
        <f t="shared" si="95"/>
        <v>2010356</v>
      </c>
      <c r="B2259" s="17">
        <v>201</v>
      </c>
      <c r="C2259" s="17">
        <v>356</v>
      </c>
      <c r="D2259" s="17" t="s">
        <v>917</v>
      </c>
      <c r="E2259" s="17">
        <v>0</v>
      </c>
      <c r="F2259" s="17" t="s">
        <v>918</v>
      </c>
      <c r="G2259" s="17">
        <f t="shared" si="93"/>
        <v>9437516144</v>
      </c>
      <c r="H2259" s="17" t="s">
        <v>919</v>
      </c>
      <c r="I2259" s="17">
        <f t="shared" si="94"/>
        <v>9437516144</v>
      </c>
    </row>
    <row r="2260" spans="1:9" x14ac:dyDescent="0.3">
      <c r="A2260" s="17" t="str">
        <f t="shared" si="95"/>
        <v>2010357</v>
      </c>
      <c r="B2260" s="17">
        <v>201</v>
      </c>
      <c r="C2260" s="17">
        <v>357</v>
      </c>
      <c r="D2260" s="17" t="s">
        <v>917</v>
      </c>
      <c r="E2260" s="17">
        <v>0</v>
      </c>
      <c r="F2260" s="17" t="s">
        <v>918</v>
      </c>
      <c r="G2260" s="17">
        <f t="shared" si="93"/>
        <v>9531891305</v>
      </c>
      <c r="H2260" s="17" t="s">
        <v>919</v>
      </c>
      <c r="I2260" s="17">
        <f t="shared" si="94"/>
        <v>9531891305</v>
      </c>
    </row>
    <row r="2261" spans="1:9" x14ac:dyDescent="0.3">
      <c r="A2261" s="17" t="str">
        <f t="shared" si="95"/>
        <v>2010358</v>
      </c>
      <c r="B2261" s="17">
        <v>201</v>
      </c>
      <c r="C2261" s="17">
        <v>358</v>
      </c>
      <c r="D2261" s="17" t="s">
        <v>917</v>
      </c>
      <c r="E2261" s="17">
        <v>0</v>
      </c>
      <c r="F2261" s="17" t="s">
        <v>918</v>
      </c>
      <c r="G2261" s="17">
        <f t="shared" si="93"/>
        <v>9627210218</v>
      </c>
      <c r="H2261" s="17" t="s">
        <v>919</v>
      </c>
      <c r="I2261" s="17">
        <f t="shared" si="94"/>
        <v>9627210218</v>
      </c>
    </row>
    <row r="2262" spans="1:9" x14ac:dyDescent="0.3">
      <c r="A2262" s="17" t="str">
        <f t="shared" si="95"/>
        <v>2010359</v>
      </c>
      <c r="B2262" s="17">
        <v>201</v>
      </c>
      <c r="C2262" s="17">
        <v>359</v>
      </c>
      <c r="D2262" s="17" t="s">
        <v>917</v>
      </c>
      <c r="E2262" s="17">
        <v>0</v>
      </c>
      <c r="F2262" s="17" t="s">
        <v>918</v>
      </c>
      <c r="G2262" s="17">
        <f t="shared" si="93"/>
        <v>9723482320</v>
      </c>
      <c r="H2262" s="17" t="s">
        <v>919</v>
      </c>
      <c r="I2262" s="17">
        <f t="shared" si="94"/>
        <v>9723482320</v>
      </c>
    </row>
    <row r="2263" spans="1:9" x14ac:dyDescent="0.3">
      <c r="A2263" s="17" t="str">
        <f t="shared" si="95"/>
        <v>2010360</v>
      </c>
      <c r="B2263" s="17">
        <v>201</v>
      </c>
      <c r="C2263" s="17">
        <v>360</v>
      </c>
      <c r="D2263" s="17" t="s">
        <v>917</v>
      </c>
      <c r="E2263" s="17">
        <v>0</v>
      </c>
      <c r="F2263" s="17" t="s">
        <v>918</v>
      </c>
      <c r="G2263" s="17">
        <f t="shared" si="93"/>
        <v>9820717143</v>
      </c>
      <c r="H2263" s="17" t="s">
        <v>919</v>
      </c>
      <c r="I2263" s="17">
        <f t="shared" si="94"/>
        <v>9820717143</v>
      </c>
    </row>
    <row r="2264" spans="1:9" x14ac:dyDescent="0.3">
      <c r="A2264" s="17" t="str">
        <f t="shared" si="95"/>
        <v>2010361</v>
      </c>
      <c r="B2264" s="17">
        <v>201</v>
      </c>
      <c r="C2264" s="17">
        <v>361</v>
      </c>
      <c r="D2264" s="17" t="s">
        <v>917</v>
      </c>
      <c r="E2264" s="17">
        <v>0</v>
      </c>
      <c r="F2264" s="17" t="s">
        <v>918</v>
      </c>
      <c r="G2264" s="17">
        <f t="shared" si="93"/>
        <v>9918924314</v>
      </c>
      <c r="H2264" s="17" t="s">
        <v>919</v>
      </c>
      <c r="I2264" s="17">
        <f t="shared" si="94"/>
        <v>9918924314</v>
      </c>
    </row>
    <row r="2265" spans="1:9" x14ac:dyDescent="0.3">
      <c r="A2265" s="17" t="str">
        <f t="shared" si="95"/>
        <v>2010362</v>
      </c>
      <c r="B2265" s="17">
        <v>201</v>
      </c>
      <c r="C2265" s="17">
        <v>362</v>
      </c>
      <c r="D2265" s="17" t="s">
        <v>917</v>
      </c>
      <c r="E2265" s="17">
        <v>0</v>
      </c>
      <c r="F2265" s="17" t="s">
        <v>918</v>
      </c>
      <c r="G2265" s="17">
        <f t="shared" si="93"/>
        <v>10018113557</v>
      </c>
      <c r="H2265" s="17" t="s">
        <v>919</v>
      </c>
      <c r="I2265" s="17">
        <f t="shared" si="94"/>
        <v>10018113557</v>
      </c>
    </row>
    <row r="2266" spans="1:9" x14ac:dyDescent="0.3">
      <c r="A2266" s="17" t="str">
        <f t="shared" si="95"/>
        <v>2010363</v>
      </c>
      <c r="B2266" s="17">
        <v>201</v>
      </c>
      <c r="C2266" s="17">
        <v>363</v>
      </c>
      <c r="D2266" s="17" t="s">
        <v>917</v>
      </c>
      <c r="E2266" s="17">
        <v>0</v>
      </c>
      <c r="F2266" s="17" t="s">
        <v>918</v>
      </c>
      <c r="G2266" s="17">
        <f t="shared" si="93"/>
        <v>10118294692</v>
      </c>
      <c r="H2266" s="17" t="s">
        <v>919</v>
      </c>
      <c r="I2266" s="17">
        <f t="shared" si="94"/>
        <v>10118294692</v>
      </c>
    </row>
    <row r="2267" spans="1:9" x14ac:dyDescent="0.3">
      <c r="A2267" s="17" t="str">
        <f t="shared" si="95"/>
        <v>2010364</v>
      </c>
      <c r="B2267" s="17">
        <v>201</v>
      </c>
      <c r="C2267" s="17">
        <v>364</v>
      </c>
      <c r="D2267" s="17" t="s">
        <v>917</v>
      </c>
      <c r="E2267" s="17">
        <v>0</v>
      </c>
      <c r="F2267" s="17" t="s">
        <v>918</v>
      </c>
      <c r="G2267" s="17">
        <f t="shared" si="93"/>
        <v>10219477638</v>
      </c>
      <c r="H2267" s="17" t="s">
        <v>919</v>
      </c>
      <c r="I2267" s="17">
        <f t="shared" si="94"/>
        <v>10219477638</v>
      </c>
    </row>
    <row r="2268" spans="1:9" x14ac:dyDescent="0.3">
      <c r="A2268" s="17" t="str">
        <f t="shared" si="95"/>
        <v>2010365</v>
      </c>
      <c r="B2268" s="17">
        <v>201</v>
      </c>
      <c r="C2268" s="17">
        <v>365</v>
      </c>
      <c r="D2268" s="17" t="s">
        <v>917</v>
      </c>
      <c r="E2268" s="17">
        <v>0</v>
      </c>
      <c r="F2268" s="17" t="s">
        <v>918</v>
      </c>
      <c r="G2268" s="17">
        <f t="shared" ref="G2268:G2331" si="96">INT(G2267*1.01)</f>
        <v>10321672414</v>
      </c>
      <c r="H2268" s="17" t="s">
        <v>919</v>
      </c>
      <c r="I2268" s="17">
        <f t="shared" si="94"/>
        <v>10321672414</v>
      </c>
    </row>
    <row r="2269" spans="1:9" x14ac:dyDescent="0.3">
      <c r="A2269" s="17" t="str">
        <f t="shared" si="95"/>
        <v>2010366</v>
      </c>
      <c r="B2269" s="17">
        <v>201</v>
      </c>
      <c r="C2269" s="17">
        <v>366</v>
      </c>
      <c r="D2269" s="17" t="s">
        <v>917</v>
      </c>
      <c r="E2269" s="17">
        <v>0</v>
      </c>
      <c r="F2269" s="17" t="s">
        <v>918</v>
      </c>
      <c r="G2269" s="17">
        <f t="shared" si="96"/>
        <v>10424889138</v>
      </c>
      <c r="H2269" s="17" t="s">
        <v>919</v>
      </c>
      <c r="I2269" s="17">
        <f t="shared" si="94"/>
        <v>10424889138</v>
      </c>
    </row>
    <row r="2270" spans="1:9" x14ac:dyDescent="0.3">
      <c r="A2270" s="17" t="str">
        <f t="shared" si="95"/>
        <v>2010367</v>
      </c>
      <c r="B2270" s="17">
        <v>201</v>
      </c>
      <c r="C2270" s="17">
        <v>367</v>
      </c>
      <c r="D2270" s="17" t="s">
        <v>917</v>
      </c>
      <c r="E2270" s="17">
        <v>0</v>
      </c>
      <c r="F2270" s="17" t="s">
        <v>918</v>
      </c>
      <c r="G2270" s="17">
        <f t="shared" si="96"/>
        <v>10529138029</v>
      </c>
      <c r="H2270" s="17" t="s">
        <v>919</v>
      </c>
      <c r="I2270" s="17">
        <f t="shared" si="94"/>
        <v>10529138029</v>
      </c>
    </row>
    <row r="2271" spans="1:9" x14ac:dyDescent="0.3">
      <c r="A2271" s="17" t="str">
        <f t="shared" si="95"/>
        <v>2010368</v>
      </c>
      <c r="B2271" s="17">
        <v>201</v>
      </c>
      <c r="C2271" s="17">
        <v>368</v>
      </c>
      <c r="D2271" s="17" t="s">
        <v>917</v>
      </c>
      <c r="E2271" s="17">
        <v>0</v>
      </c>
      <c r="F2271" s="17" t="s">
        <v>918</v>
      </c>
      <c r="G2271" s="17">
        <f t="shared" si="96"/>
        <v>10634429409</v>
      </c>
      <c r="H2271" s="17" t="s">
        <v>919</v>
      </c>
      <c r="I2271" s="17">
        <f t="shared" si="94"/>
        <v>10634429409</v>
      </c>
    </row>
    <row r="2272" spans="1:9" x14ac:dyDescent="0.3">
      <c r="A2272" s="17" t="str">
        <f t="shared" si="95"/>
        <v>2010369</v>
      </c>
      <c r="B2272" s="17">
        <v>201</v>
      </c>
      <c r="C2272" s="17">
        <v>369</v>
      </c>
      <c r="D2272" s="17" t="s">
        <v>917</v>
      </c>
      <c r="E2272" s="17">
        <v>0</v>
      </c>
      <c r="F2272" s="17" t="s">
        <v>918</v>
      </c>
      <c r="G2272" s="17">
        <f t="shared" si="96"/>
        <v>10740773703</v>
      </c>
      <c r="H2272" s="17" t="s">
        <v>919</v>
      </c>
      <c r="I2272" s="17">
        <f t="shared" si="94"/>
        <v>10740773703</v>
      </c>
    </row>
    <row r="2273" spans="1:9" x14ac:dyDescent="0.3">
      <c r="A2273" s="17" t="str">
        <f t="shared" si="95"/>
        <v>2010370</v>
      </c>
      <c r="B2273" s="17">
        <v>201</v>
      </c>
      <c r="C2273" s="17">
        <v>370</v>
      </c>
      <c r="D2273" s="17" t="s">
        <v>917</v>
      </c>
      <c r="E2273" s="17">
        <v>0</v>
      </c>
      <c r="F2273" s="17" t="s">
        <v>918</v>
      </c>
      <c r="G2273" s="17">
        <f t="shared" si="96"/>
        <v>10848181440</v>
      </c>
      <c r="H2273" s="17" t="s">
        <v>919</v>
      </c>
      <c r="I2273" s="17">
        <f t="shared" si="94"/>
        <v>10848181440</v>
      </c>
    </row>
    <row r="2274" spans="1:9" x14ac:dyDescent="0.3">
      <c r="A2274" s="17" t="str">
        <f t="shared" si="95"/>
        <v>2010371</v>
      </c>
      <c r="B2274" s="17">
        <v>201</v>
      </c>
      <c r="C2274" s="17">
        <v>371</v>
      </c>
      <c r="D2274" s="17" t="s">
        <v>917</v>
      </c>
      <c r="E2274" s="17">
        <v>0</v>
      </c>
      <c r="F2274" s="17" t="s">
        <v>918</v>
      </c>
      <c r="G2274" s="17">
        <f t="shared" si="96"/>
        <v>10956663254</v>
      </c>
      <c r="H2274" s="17" t="s">
        <v>919</v>
      </c>
      <c r="I2274" s="17">
        <f t="shared" si="94"/>
        <v>10956663254</v>
      </c>
    </row>
    <row r="2275" spans="1:9" x14ac:dyDescent="0.3">
      <c r="A2275" s="17" t="str">
        <f t="shared" si="95"/>
        <v>2010372</v>
      </c>
      <c r="B2275" s="17">
        <v>201</v>
      </c>
      <c r="C2275" s="17">
        <v>372</v>
      </c>
      <c r="D2275" s="17" t="s">
        <v>917</v>
      </c>
      <c r="E2275" s="17">
        <v>0</v>
      </c>
      <c r="F2275" s="17" t="s">
        <v>918</v>
      </c>
      <c r="G2275" s="17">
        <f t="shared" si="96"/>
        <v>11066229886</v>
      </c>
      <c r="H2275" s="17" t="s">
        <v>919</v>
      </c>
      <c r="I2275" s="17">
        <f t="shared" si="94"/>
        <v>11066229886</v>
      </c>
    </row>
    <row r="2276" spans="1:9" x14ac:dyDescent="0.3">
      <c r="A2276" s="17" t="str">
        <f t="shared" si="95"/>
        <v>2010373</v>
      </c>
      <c r="B2276" s="17">
        <v>201</v>
      </c>
      <c r="C2276" s="17">
        <v>373</v>
      </c>
      <c r="D2276" s="17" t="s">
        <v>917</v>
      </c>
      <c r="E2276" s="17">
        <v>0</v>
      </c>
      <c r="F2276" s="17" t="s">
        <v>918</v>
      </c>
      <c r="G2276" s="17">
        <f t="shared" si="96"/>
        <v>11176892184</v>
      </c>
      <c r="H2276" s="17" t="s">
        <v>919</v>
      </c>
      <c r="I2276" s="17">
        <f t="shared" si="94"/>
        <v>11176892184</v>
      </c>
    </row>
    <row r="2277" spans="1:9" x14ac:dyDescent="0.3">
      <c r="A2277" s="17" t="str">
        <f t="shared" si="95"/>
        <v>2010374</v>
      </c>
      <c r="B2277" s="17">
        <v>201</v>
      </c>
      <c r="C2277" s="17">
        <v>374</v>
      </c>
      <c r="D2277" s="17" t="s">
        <v>917</v>
      </c>
      <c r="E2277" s="17">
        <v>0</v>
      </c>
      <c r="F2277" s="17" t="s">
        <v>918</v>
      </c>
      <c r="G2277" s="17">
        <f t="shared" si="96"/>
        <v>11288661105</v>
      </c>
      <c r="H2277" s="17" t="s">
        <v>919</v>
      </c>
      <c r="I2277" s="17">
        <f t="shared" si="94"/>
        <v>11288661105</v>
      </c>
    </row>
    <row r="2278" spans="1:9" x14ac:dyDescent="0.3">
      <c r="A2278" s="17" t="str">
        <f t="shared" si="95"/>
        <v>2010375</v>
      </c>
      <c r="B2278" s="17">
        <v>201</v>
      </c>
      <c r="C2278" s="17">
        <v>375</v>
      </c>
      <c r="D2278" s="17" t="s">
        <v>917</v>
      </c>
      <c r="E2278" s="17">
        <v>0</v>
      </c>
      <c r="F2278" s="17" t="s">
        <v>918</v>
      </c>
      <c r="G2278" s="17">
        <f t="shared" si="96"/>
        <v>11401547716</v>
      </c>
      <c r="H2278" s="17" t="s">
        <v>919</v>
      </c>
      <c r="I2278" s="17">
        <f t="shared" si="94"/>
        <v>11401547716</v>
      </c>
    </row>
    <row r="2279" spans="1:9" x14ac:dyDescent="0.3">
      <c r="A2279" s="17" t="str">
        <f t="shared" si="95"/>
        <v>2010376</v>
      </c>
      <c r="B2279" s="17">
        <v>201</v>
      </c>
      <c r="C2279" s="17">
        <v>376</v>
      </c>
      <c r="D2279" s="17" t="s">
        <v>917</v>
      </c>
      <c r="E2279" s="17">
        <v>0</v>
      </c>
      <c r="F2279" s="17" t="s">
        <v>918</v>
      </c>
      <c r="G2279" s="17">
        <f t="shared" si="96"/>
        <v>11515563193</v>
      </c>
      <c r="H2279" s="17" t="s">
        <v>919</v>
      </c>
      <c r="I2279" s="17">
        <f t="shared" si="94"/>
        <v>11515563193</v>
      </c>
    </row>
    <row r="2280" spans="1:9" x14ac:dyDescent="0.3">
      <c r="A2280" s="17" t="str">
        <f t="shared" si="95"/>
        <v>2010377</v>
      </c>
      <c r="B2280" s="17">
        <v>201</v>
      </c>
      <c r="C2280" s="17">
        <v>377</v>
      </c>
      <c r="D2280" s="17" t="s">
        <v>917</v>
      </c>
      <c r="E2280" s="17">
        <v>0</v>
      </c>
      <c r="F2280" s="17" t="s">
        <v>918</v>
      </c>
      <c r="G2280" s="17">
        <f t="shared" si="96"/>
        <v>11630718824</v>
      </c>
      <c r="H2280" s="17" t="s">
        <v>919</v>
      </c>
      <c r="I2280" s="17">
        <f t="shared" si="94"/>
        <v>11630718824</v>
      </c>
    </row>
    <row r="2281" spans="1:9" x14ac:dyDescent="0.3">
      <c r="A2281" s="17" t="str">
        <f t="shared" si="95"/>
        <v>2010378</v>
      </c>
      <c r="B2281" s="17">
        <v>201</v>
      </c>
      <c r="C2281" s="17">
        <v>378</v>
      </c>
      <c r="D2281" s="17" t="s">
        <v>917</v>
      </c>
      <c r="E2281" s="17">
        <v>0</v>
      </c>
      <c r="F2281" s="17" t="s">
        <v>918</v>
      </c>
      <c r="G2281" s="17">
        <f t="shared" si="96"/>
        <v>11747026012</v>
      </c>
      <c r="H2281" s="17" t="s">
        <v>919</v>
      </c>
      <c r="I2281" s="17">
        <f t="shared" si="94"/>
        <v>11747026012</v>
      </c>
    </row>
    <row r="2282" spans="1:9" x14ac:dyDescent="0.3">
      <c r="A2282" s="17" t="str">
        <f t="shared" si="95"/>
        <v>2010379</v>
      </c>
      <c r="B2282" s="17">
        <v>201</v>
      </c>
      <c r="C2282" s="17">
        <v>379</v>
      </c>
      <c r="D2282" s="17" t="s">
        <v>917</v>
      </c>
      <c r="E2282" s="17">
        <v>0</v>
      </c>
      <c r="F2282" s="17" t="s">
        <v>918</v>
      </c>
      <c r="G2282" s="17">
        <f t="shared" si="96"/>
        <v>11864496272</v>
      </c>
      <c r="H2282" s="17" t="s">
        <v>919</v>
      </c>
      <c r="I2282" s="17">
        <f t="shared" si="94"/>
        <v>11864496272</v>
      </c>
    </row>
    <row r="2283" spans="1:9" x14ac:dyDescent="0.3">
      <c r="A2283" s="17" t="str">
        <f t="shared" si="95"/>
        <v>2010380</v>
      </c>
      <c r="B2283" s="17">
        <v>201</v>
      </c>
      <c r="C2283" s="17">
        <v>380</v>
      </c>
      <c r="D2283" s="17" t="s">
        <v>917</v>
      </c>
      <c r="E2283" s="17">
        <v>0</v>
      </c>
      <c r="F2283" s="17" t="s">
        <v>918</v>
      </c>
      <c r="G2283" s="17">
        <f t="shared" si="96"/>
        <v>11983141234</v>
      </c>
      <c r="H2283" s="17" t="s">
        <v>919</v>
      </c>
      <c r="I2283" s="17">
        <f t="shared" si="94"/>
        <v>11983141234</v>
      </c>
    </row>
    <row r="2284" spans="1:9" x14ac:dyDescent="0.3">
      <c r="A2284" s="17" t="str">
        <f t="shared" si="95"/>
        <v>2010381</v>
      </c>
      <c r="B2284" s="17">
        <v>201</v>
      </c>
      <c r="C2284" s="17">
        <v>381</v>
      </c>
      <c r="D2284" s="17" t="s">
        <v>917</v>
      </c>
      <c r="E2284" s="17">
        <v>0</v>
      </c>
      <c r="F2284" s="17" t="s">
        <v>918</v>
      </c>
      <c r="G2284" s="17">
        <f t="shared" si="96"/>
        <v>12102972646</v>
      </c>
      <c r="H2284" s="17" t="s">
        <v>919</v>
      </c>
      <c r="I2284" s="17">
        <f t="shared" si="94"/>
        <v>12102972646</v>
      </c>
    </row>
    <row r="2285" spans="1:9" x14ac:dyDescent="0.3">
      <c r="A2285" s="17" t="str">
        <f t="shared" si="95"/>
        <v>2010382</v>
      </c>
      <c r="B2285" s="17">
        <v>201</v>
      </c>
      <c r="C2285" s="17">
        <v>382</v>
      </c>
      <c r="D2285" s="17" t="s">
        <v>917</v>
      </c>
      <c r="E2285" s="17">
        <v>0</v>
      </c>
      <c r="F2285" s="17" t="s">
        <v>918</v>
      </c>
      <c r="G2285" s="17">
        <f t="shared" si="96"/>
        <v>12224002372</v>
      </c>
      <c r="H2285" s="17" t="s">
        <v>919</v>
      </c>
      <c r="I2285" s="17">
        <f t="shared" si="94"/>
        <v>12224002372</v>
      </c>
    </row>
    <row r="2286" spans="1:9" x14ac:dyDescent="0.3">
      <c r="A2286" s="17" t="str">
        <f t="shared" si="95"/>
        <v>2010383</v>
      </c>
      <c r="B2286" s="17">
        <v>201</v>
      </c>
      <c r="C2286" s="17">
        <v>383</v>
      </c>
      <c r="D2286" s="17" t="s">
        <v>917</v>
      </c>
      <c r="E2286" s="17">
        <v>0</v>
      </c>
      <c r="F2286" s="17" t="s">
        <v>918</v>
      </c>
      <c r="G2286" s="17">
        <f t="shared" si="96"/>
        <v>12346242395</v>
      </c>
      <c r="H2286" s="17" t="s">
        <v>919</v>
      </c>
      <c r="I2286" s="17">
        <f t="shared" si="94"/>
        <v>12346242395</v>
      </c>
    </row>
    <row r="2287" spans="1:9" x14ac:dyDescent="0.3">
      <c r="A2287" s="17" t="str">
        <f t="shared" si="95"/>
        <v>2010384</v>
      </c>
      <c r="B2287" s="17">
        <v>201</v>
      </c>
      <c r="C2287" s="17">
        <v>384</v>
      </c>
      <c r="D2287" s="17" t="s">
        <v>917</v>
      </c>
      <c r="E2287" s="17">
        <v>0</v>
      </c>
      <c r="F2287" s="17" t="s">
        <v>918</v>
      </c>
      <c r="G2287" s="17">
        <f t="shared" si="96"/>
        <v>12469704818</v>
      </c>
      <c r="H2287" s="17" t="s">
        <v>919</v>
      </c>
      <c r="I2287" s="17">
        <f t="shared" si="94"/>
        <v>12469704818</v>
      </c>
    </row>
    <row r="2288" spans="1:9" x14ac:dyDescent="0.3">
      <c r="A2288" s="17" t="str">
        <f t="shared" si="95"/>
        <v>2010385</v>
      </c>
      <c r="B2288" s="17">
        <v>201</v>
      </c>
      <c r="C2288" s="17">
        <v>385</v>
      </c>
      <c r="D2288" s="17" t="s">
        <v>917</v>
      </c>
      <c r="E2288" s="17">
        <v>0</v>
      </c>
      <c r="F2288" s="17" t="s">
        <v>918</v>
      </c>
      <c r="G2288" s="17">
        <f t="shared" si="96"/>
        <v>12594401866</v>
      </c>
      <c r="H2288" s="17" t="s">
        <v>919</v>
      </c>
      <c r="I2288" s="17">
        <f t="shared" si="94"/>
        <v>12594401866</v>
      </c>
    </row>
    <row r="2289" spans="1:9" x14ac:dyDescent="0.3">
      <c r="A2289" s="17" t="str">
        <f t="shared" si="95"/>
        <v>2010386</v>
      </c>
      <c r="B2289" s="17">
        <v>201</v>
      </c>
      <c r="C2289" s="17">
        <v>386</v>
      </c>
      <c r="D2289" s="17" t="s">
        <v>917</v>
      </c>
      <c r="E2289" s="17">
        <v>0</v>
      </c>
      <c r="F2289" s="17" t="s">
        <v>918</v>
      </c>
      <c r="G2289" s="17">
        <f t="shared" si="96"/>
        <v>12720345884</v>
      </c>
      <c r="H2289" s="17" t="s">
        <v>919</v>
      </c>
      <c r="I2289" s="17">
        <f t="shared" ref="I2289:I2352" si="97">G2289</f>
        <v>12720345884</v>
      </c>
    </row>
    <row r="2290" spans="1:9" x14ac:dyDescent="0.3">
      <c r="A2290" s="17" t="str">
        <f t="shared" si="95"/>
        <v>2010387</v>
      </c>
      <c r="B2290" s="17">
        <v>201</v>
      </c>
      <c r="C2290" s="17">
        <v>387</v>
      </c>
      <c r="D2290" s="17" t="s">
        <v>917</v>
      </c>
      <c r="E2290" s="17">
        <v>0</v>
      </c>
      <c r="F2290" s="17" t="s">
        <v>918</v>
      </c>
      <c r="G2290" s="17">
        <f t="shared" si="96"/>
        <v>12847549342</v>
      </c>
      <c r="H2290" s="17" t="s">
        <v>919</v>
      </c>
      <c r="I2290" s="17">
        <f t="shared" si="97"/>
        <v>12847549342</v>
      </c>
    </row>
    <row r="2291" spans="1:9" x14ac:dyDescent="0.3">
      <c r="A2291" s="17" t="str">
        <f t="shared" si="95"/>
        <v>2010388</v>
      </c>
      <c r="B2291" s="17">
        <v>201</v>
      </c>
      <c r="C2291" s="17">
        <v>388</v>
      </c>
      <c r="D2291" s="17" t="s">
        <v>917</v>
      </c>
      <c r="E2291" s="17">
        <v>0</v>
      </c>
      <c r="F2291" s="17" t="s">
        <v>918</v>
      </c>
      <c r="G2291" s="17">
        <f t="shared" si="96"/>
        <v>12976024835</v>
      </c>
      <c r="H2291" s="17" t="s">
        <v>919</v>
      </c>
      <c r="I2291" s="17">
        <f t="shared" si="97"/>
        <v>12976024835</v>
      </c>
    </row>
    <row r="2292" spans="1:9" x14ac:dyDescent="0.3">
      <c r="A2292" s="17" t="str">
        <f t="shared" si="95"/>
        <v>2010389</v>
      </c>
      <c r="B2292" s="17">
        <v>201</v>
      </c>
      <c r="C2292" s="17">
        <v>389</v>
      </c>
      <c r="D2292" s="17" t="s">
        <v>917</v>
      </c>
      <c r="E2292" s="17">
        <v>0</v>
      </c>
      <c r="F2292" s="17" t="s">
        <v>918</v>
      </c>
      <c r="G2292" s="17">
        <f t="shared" si="96"/>
        <v>13105785083</v>
      </c>
      <c r="H2292" s="17" t="s">
        <v>919</v>
      </c>
      <c r="I2292" s="17">
        <f t="shared" si="97"/>
        <v>13105785083</v>
      </c>
    </row>
    <row r="2293" spans="1:9" x14ac:dyDescent="0.3">
      <c r="A2293" s="17" t="str">
        <f t="shared" si="95"/>
        <v>2010390</v>
      </c>
      <c r="B2293" s="17">
        <v>201</v>
      </c>
      <c r="C2293" s="17">
        <v>390</v>
      </c>
      <c r="D2293" s="17" t="s">
        <v>917</v>
      </c>
      <c r="E2293" s="17">
        <v>0</v>
      </c>
      <c r="F2293" s="17" t="s">
        <v>918</v>
      </c>
      <c r="G2293" s="17">
        <f t="shared" si="96"/>
        <v>13236842933</v>
      </c>
      <c r="H2293" s="17" t="s">
        <v>919</v>
      </c>
      <c r="I2293" s="17">
        <f t="shared" si="97"/>
        <v>13236842933</v>
      </c>
    </row>
    <row r="2294" spans="1:9" x14ac:dyDescent="0.3">
      <c r="A2294" s="17" t="str">
        <f t="shared" si="95"/>
        <v>2010391</v>
      </c>
      <c r="B2294" s="17">
        <v>201</v>
      </c>
      <c r="C2294" s="17">
        <v>391</v>
      </c>
      <c r="D2294" s="17" t="s">
        <v>917</v>
      </c>
      <c r="E2294" s="17">
        <v>0</v>
      </c>
      <c r="F2294" s="17" t="s">
        <v>918</v>
      </c>
      <c r="G2294" s="17">
        <f t="shared" si="96"/>
        <v>13369211362</v>
      </c>
      <c r="H2294" s="17" t="s">
        <v>919</v>
      </c>
      <c r="I2294" s="17">
        <f t="shared" si="97"/>
        <v>13369211362</v>
      </c>
    </row>
    <row r="2295" spans="1:9" x14ac:dyDescent="0.3">
      <c r="A2295" s="17" t="str">
        <f t="shared" si="95"/>
        <v>2010392</v>
      </c>
      <c r="B2295" s="17">
        <v>201</v>
      </c>
      <c r="C2295" s="17">
        <v>392</v>
      </c>
      <c r="D2295" s="17" t="s">
        <v>917</v>
      </c>
      <c r="E2295" s="17">
        <v>0</v>
      </c>
      <c r="F2295" s="17" t="s">
        <v>918</v>
      </c>
      <c r="G2295" s="17">
        <f t="shared" si="96"/>
        <v>13502903475</v>
      </c>
      <c r="H2295" s="17" t="s">
        <v>919</v>
      </c>
      <c r="I2295" s="17">
        <f t="shared" si="97"/>
        <v>13502903475</v>
      </c>
    </row>
    <row r="2296" spans="1:9" x14ac:dyDescent="0.3">
      <c r="A2296" s="17" t="str">
        <f t="shared" si="95"/>
        <v>2010393</v>
      </c>
      <c r="B2296" s="17">
        <v>201</v>
      </c>
      <c r="C2296" s="17">
        <v>393</v>
      </c>
      <c r="D2296" s="17" t="s">
        <v>917</v>
      </c>
      <c r="E2296" s="17">
        <v>0</v>
      </c>
      <c r="F2296" s="17" t="s">
        <v>918</v>
      </c>
      <c r="G2296" s="17">
        <f t="shared" si="96"/>
        <v>13637932509</v>
      </c>
      <c r="H2296" s="17" t="s">
        <v>919</v>
      </c>
      <c r="I2296" s="17">
        <f t="shared" si="97"/>
        <v>13637932509</v>
      </c>
    </row>
    <row r="2297" spans="1:9" x14ac:dyDescent="0.3">
      <c r="A2297" s="17" t="str">
        <f t="shared" si="95"/>
        <v>2010394</v>
      </c>
      <c r="B2297" s="17">
        <v>201</v>
      </c>
      <c r="C2297" s="17">
        <v>394</v>
      </c>
      <c r="D2297" s="17" t="s">
        <v>917</v>
      </c>
      <c r="E2297" s="17">
        <v>0</v>
      </c>
      <c r="F2297" s="17" t="s">
        <v>918</v>
      </c>
      <c r="G2297" s="17">
        <f t="shared" si="96"/>
        <v>13774311834</v>
      </c>
      <c r="H2297" s="17" t="s">
        <v>919</v>
      </c>
      <c r="I2297" s="17">
        <f t="shared" si="97"/>
        <v>13774311834</v>
      </c>
    </row>
    <row r="2298" spans="1:9" x14ac:dyDescent="0.3">
      <c r="A2298" s="17" t="str">
        <f t="shared" si="95"/>
        <v>2010395</v>
      </c>
      <c r="B2298" s="17">
        <v>201</v>
      </c>
      <c r="C2298" s="17">
        <v>395</v>
      </c>
      <c r="D2298" s="17" t="s">
        <v>917</v>
      </c>
      <c r="E2298" s="17">
        <v>0</v>
      </c>
      <c r="F2298" s="17" t="s">
        <v>918</v>
      </c>
      <c r="G2298" s="17">
        <f t="shared" si="96"/>
        <v>13912054952</v>
      </c>
      <c r="H2298" s="17" t="s">
        <v>919</v>
      </c>
      <c r="I2298" s="17">
        <f t="shared" si="97"/>
        <v>13912054952</v>
      </c>
    </row>
    <row r="2299" spans="1:9" x14ac:dyDescent="0.3">
      <c r="A2299" s="17" t="str">
        <f t="shared" si="95"/>
        <v>2010396</v>
      </c>
      <c r="B2299" s="17">
        <v>201</v>
      </c>
      <c r="C2299" s="17">
        <v>396</v>
      </c>
      <c r="D2299" s="17" t="s">
        <v>917</v>
      </c>
      <c r="E2299" s="17">
        <v>0</v>
      </c>
      <c r="F2299" s="17" t="s">
        <v>918</v>
      </c>
      <c r="G2299" s="17">
        <f t="shared" si="96"/>
        <v>14051175501</v>
      </c>
      <c r="H2299" s="17" t="s">
        <v>919</v>
      </c>
      <c r="I2299" s="17">
        <f t="shared" si="97"/>
        <v>14051175501</v>
      </c>
    </row>
    <row r="2300" spans="1:9" x14ac:dyDescent="0.3">
      <c r="A2300" s="17" t="str">
        <f t="shared" si="95"/>
        <v>2010397</v>
      </c>
      <c r="B2300" s="17">
        <v>201</v>
      </c>
      <c r="C2300" s="17">
        <v>397</v>
      </c>
      <c r="D2300" s="17" t="s">
        <v>917</v>
      </c>
      <c r="E2300" s="17">
        <v>0</v>
      </c>
      <c r="F2300" s="17" t="s">
        <v>918</v>
      </c>
      <c r="G2300" s="17">
        <f t="shared" si="96"/>
        <v>14191687256</v>
      </c>
      <c r="H2300" s="17" t="s">
        <v>919</v>
      </c>
      <c r="I2300" s="17">
        <f t="shared" si="97"/>
        <v>14191687256</v>
      </c>
    </row>
    <row r="2301" spans="1:9" x14ac:dyDescent="0.3">
      <c r="A2301" s="17" t="str">
        <f t="shared" si="95"/>
        <v>2010398</v>
      </c>
      <c r="B2301" s="17">
        <v>201</v>
      </c>
      <c r="C2301" s="17">
        <v>398</v>
      </c>
      <c r="D2301" s="17" t="s">
        <v>917</v>
      </c>
      <c r="E2301" s="17">
        <v>0</v>
      </c>
      <c r="F2301" s="17" t="s">
        <v>918</v>
      </c>
      <c r="G2301" s="17">
        <f t="shared" si="96"/>
        <v>14333604128</v>
      </c>
      <c r="H2301" s="17" t="s">
        <v>919</v>
      </c>
      <c r="I2301" s="17">
        <f t="shared" si="97"/>
        <v>14333604128</v>
      </c>
    </row>
    <row r="2302" spans="1:9" x14ac:dyDescent="0.3">
      <c r="A2302" s="17" t="str">
        <f t="shared" si="95"/>
        <v>2010399</v>
      </c>
      <c r="B2302" s="17">
        <v>201</v>
      </c>
      <c r="C2302" s="17">
        <v>399</v>
      </c>
      <c r="D2302" s="17" t="s">
        <v>917</v>
      </c>
      <c r="E2302" s="17">
        <v>0</v>
      </c>
      <c r="F2302" s="17" t="s">
        <v>918</v>
      </c>
      <c r="G2302" s="17">
        <f t="shared" si="96"/>
        <v>14476940169</v>
      </c>
      <c r="H2302" s="17" t="s">
        <v>919</v>
      </c>
      <c r="I2302" s="17">
        <f t="shared" si="97"/>
        <v>14476940169</v>
      </c>
    </row>
    <row r="2303" spans="1:9" x14ac:dyDescent="0.3">
      <c r="A2303" s="17" t="str">
        <f t="shared" si="95"/>
        <v>2010400</v>
      </c>
      <c r="B2303" s="17">
        <v>201</v>
      </c>
      <c r="C2303" s="17">
        <v>400</v>
      </c>
      <c r="D2303" s="17" t="s">
        <v>917</v>
      </c>
      <c r="E2303" s="17">
        <v>0</v>
      </c>
      <c r="F2303" s="17" t="s">
        <v>918</v>
      </c>
      <c r="G2303" s="17">
        <f t="shared" si="96"/>
        <v>14621709570</v>
      </c>
      <c r="H2303" s="17" t="s">
        <v>919</v>
      </c>
      <c r="I2303" s="17">
        <f t="shared" si="97"/>
        <v>14621709570</v>
      </c>
    </row>
    <row r="2304" spans="1:9" x14ac:dyDescent="0.3">
      <c r="A2304" s="17" t="str">
        <f t="shared" si="95"/>
        <v>2010401</v>
      </c>
      <c r="B2304" s="17">
        <v>201</v>
      </c>
      <c r="C2304" s="17">
        <v>401</v>
      </c>
      <c r="D2304" s="17" t="s">
        <v>917</v>
      </c>
      <c r="E2304" s="17">
        <v>0</v>
      </c>
      <c r="F2304" s="17" t="s">
        <v>918</v>
      </c>
      <c r="G2304" s="17">
        <f t="shared" si="96"/>
        <v>14767926665</v>
      </c>
      <c r="H2304" s="17" t="s">
        <v>919</v>
      </c>
      <c r="I2304" s="17">
        <f t="shared" si="97"/>
        <v>14767926665</v>
      </c>
    </row>
    <row r="2305" spans="1:9" x14ac:dyDescent="0.3">
      <c r="A2305" s="17" t="str">
        <f t="shared" si="95"/>
        <v>2010402</v>
      </c>
      <c r="B2305" s="17">
        <v>201</v>
      </c>
      <c r="C2305" s="17">
        <v>402</v>
      </c>
      <c r="D2305" s="17" t="s">
        <v>917</v>
      </c>
      <c r="E2305" s="17">
        <v>0</v>
      </c>
      <c r="F2305" s="17" t="s">
        <v>918</v>
      </c>
      <c r="G2305" s="17">
        <f t="shared" si="96"/>
        <v>14915605931</v>
      </c>
      <c r="H2305" s="17" t="s">
        <v>919</v>
      </c>
      <c r="I2305" s="17">
        <f t="shared" si="97"/>
        <v>14915605931</v>
      </c>
    </row>
    <row r="2306" spans="1:9" x14ac:dyDescent="0.3">
      <c r="A2306" s="17" t="str">
        <f t="shared" si="95"/>
        <v>2010403</v>
      </c>
      <c r="B2306" s="17">
        <v>201</v>
      </c>
      <c r="C2306" s="17">
        <v>403</v>
      </c>
      <c r="D2306" s="17" t="s">
        <v>917</v>
      </c>
      <c r="E2306" s="17">
        <v>0</v>
      </c>
      <c r="F2306" s="17" t="s">
        <v>918</v>
      </c>
      <c r="G2306" s="17">
        <f t="shared" si="96"/>
        <v>15064761990</v>
      </c>
      <c r="H2306" s="17" t="s">
        <v>919</v>
      </c>
      <c r="I2306" s="17">
        <f t="shared" si="97"/>
        <v>15064761990</v>
      </c>
    </row>
    <row r="2307" spans="1:9" x14ac:dyDescent="0.3">
      <c r="A2307" s="17" t="str">
        <f t="shared" si="95"/>
        <v>2010404</v>
      </c>
      <c r="B2307" s="17">
        <v>201</v>
      </c>
      <c r="C2307" s="17">
        <v>404</v>
      </c>
      <c r="D2307" s="17" t="s">
        <v>917</v>
      </c>
      <c r="E2307" s="17">
        <v>0</v>
      </c>
      <c r="F2307" s="17" t="s">
        <v>918</v>
      </c>
      <c r="G2307" s="17">
        <f t="shared" si="96"/>
        <v>15215409609</v>
      </c>
      <c r="H2307" s="17" t="s">
        <v>919</v>
      </c>
      <c r="I2307" s="17">
        <f t="shared" si="97"/>
        <v>15215409609</v>
      </c>
    </row>
    <row r="2308" spans="1:9" x14ac:dyDescent="0.3">
      <c r="A2308" s="17" t="str">
        <f t="shared" ref="A2308:A2371" si="98">B2308&amp;TEXT(C2308,"0000")</f>
        <v>2010405</v>
      </c>
      <c r="B2308" s="17">
        <v>201</v>
      </c>
      <c r="C2308" s="17">
        <v>405</v>
      </c>
      <c r="D2308" s="17" t="s">
        <v>917</v>
      </c>
      <c r="E2308" s="17">
        <v>0</v>
      </c>
      <c r="F2308" s="17" t="s">
        <v>918</v>
      </c>
      <c r="G2308" s="17">
        <f t="shared" si="96"/>
        <v>15367563705</v>
      </c>
      <c r="H2308" s="17" t="s">
        <v>919</v>
      </c>
      <c r="I2308" s="17">
        <f t="shared" si="97"/>
        <v>15367563705</v>
      </c>
    </row>
    <row r="2309" spans="1:9" x14ac:dyDescent="0.3">
      <c r="A2309" s="17" t="str">
        <f t="shared" si="98"/>
        <v>2010406</v>
      </c>
      <c r="B2309" s="17">
        <v>201</v>
      </c>
      <c r="C2309" s="17">
        <v>406</v>
      </c>
      <c r="D2309" s="17" t="s">
        <v>917</v>
      </c>
      <c r="E2309" s="17">
        <v>0</v>
      </c>
      <c r="F2309" s="17" t="s">
        <v>918</v>
      </c>
      <c r="G2309" s="17">
        <f t="shared" si="96"/>
        <v>15521239342</v>
      </c>
      <c r="H2309" s="17" t="s">
        <v>919</v>
      </c>
      <c r="I2309" s="17">
        <f t="shared" si="97"/>
        <v>15521239342</v>
      </c>
    </row>
    <row r="2310" spans="1:9" x14ac:dyDescent="0.3">
      <c r="A2310" s="17" t="str">
        <f t="shared" si="98"/>
        <v>2010407</v>
      </c>
      <c r="B2310" s="17">
        <v>201</v>
      </c>
      <c r="C2310" s="17">
        <v>407</v>
      </c>
      <c r="D2310" s="17" t="s">
        <v>917</v>
      </c>
      <c r="E2310" s="17">
        <v>0</v>
      </c>
      <c r="F2310" s="17" t="s">
        <v>918</v>
      </c>
      <c r="G2310" s="17">
        <f t="shared" si="96"/>
        <v>15676451735</v>
      </c>
      <c r="H2310" s="17" t="s">
        <v>919</v>
      </c>
      <c r="I2310" s="17">
        <f t="shared" si="97"/>
        <v>15676451735</v>
      </c>
    </row>
    <row r="2311" spans="1:9" x14ac:dyDescent="0.3">
      <c r="A2311" s="17" t="str">
        <f t="shared" si="98"/>
        <v>2010408</v>
      </c>
      <c r="B2311" s="17">
        <v>201</v>
      </c>
      <c r="C2311" s="17">
        <v>408</v>
      </c>
      <c r="D2311" s="17" t="s">
        <v>917</v>
      </c>
      <c r="E2311" s="17">
        <v>0</v>
      </c>
      <c r="F2311" s="17" t="s">
        <v>918</v>
      </c>
      <c r="G2311" s="17">
        <f t="shared" si="96"/>
        <v>15833216252</v>
      </c>
      <c r="H2311" s="17" t="s">
        <v>919</v>
      </c>
      <c r="I2311" s="17">
        <f t="shared" si="97"/>
        <v>15833216252</v>
      </c>
    </row>
    <row r="2312" spans="1:9" x14ac:dyDescent="0.3">
      <c r="A2312" s="17" t="str">
        <f t="shared" si="98"/>
        <v>2010409</v>
      </c>
      <c r="B2312" s="17">
        <v>201</v>
      </c>
      <c r="C2312" s="17">
        <v>409</v>
      </c>
      <c r="D2312" s="17" t="s">
        <v>917</v>
      </c>
      <c r="E2312" s="17">
        <v>0</v>
      </c>
      <c r="F2312" s="17" t="s">
        <v>918</v>
      </c>
      <c r="G2312" s="17">
        <f t="shared" si="96"/>
        <v>15991548414</v>
      </c>
      <c r="H2312" s="17" t="s">
        <v>919</v>
      </c>
      <c r="I2312" s="17">
        <f t="shared" si="97"/>
        <v>15991548414</v>
      </c>
    </row>
    <row r="2313" spans="1:9" x14ac:dyDescent="0.3">
      <c r="A2313" s="17" t="str">
        <f t="shared" si="98"/>
        <v>2010410</v>
      </c>
      <c r="B2313" s="17">
        <v>201</v>
      </c>
      <c r="C2313" s="17">
        <v>410</v>
      </c>
      <c r="D2313" s="17" t="s">
        <v>917</v>
      </c>
      <c r="E2313" s="17">
        <v>0</v>
      </c>
      <c r="F2313" s="17" t="s">
        <v>918</v>
      </c>
      <c r="G2313" s="17">
        <f t="shared" si="96"/>
        <v>16151463898</v>
      </c>
      <c r="H2313" s="17" t="s">
        <v>919</v>
      </c>
      <c r="I2313" s="17">
        <f t="shared" si="97"/>
        <v>16151463898</v>
      </c>
    </row>
    <row r="2314" spans="1:9" x14ac:dyDescent="0.3">
      <c r="A2314" s="17" t="str">
        <f t="shared" si="98"/>
        <v>2010411</v>
      </c>
      <c r="B2314" s="17">
        <v>201</v>
      </c>
      <c r="C2314" s="17">
        <v>411</v>
      </c>
      <c r="D2314" s="17" t="s">
        <v>917</v>
      </c>
      <c r="E2314" s="17">
        <v>0</v>
      </c>
      <c r="F2314" s="17" t="s">
        <v>918</v>
      </c>
      <c r="G2314" s="17">
        <f t="shared" si="96"/>
        <v>16312978536</v>
      </c>
      <c r="H2314" s="17" t="s">
        <v>919</v>
      </c>
      <c r="I2314" s="17">
        <f t="shared" si="97"/>
        <v>16312978536</v>
      </c>
    </row>
    <row r="2315" spans="1:9" x14ac:dyDescent="0.3">
      <c r="A2315" s="17" t="str">
        <f t="shared" si="98"/>
        <v>2010412</v>
      </c>
      <c r="B2315" s="17">
        <v>201</v>
      </c>
      <c r="C2315" s="17">
        <v>412</v>
      </c>
      <c r="D2315" s="17" t="s">
        <v>917</v>
      </c>
      <c r="E2315" s="17">
        <v>0</v>
      </c>
      <c r="F2315" s="17" t="s">
        <v>918</v>
      </c>
      <c r="G2315" s="17">
        <f t="shared" si="96"/>
        <v>16476108321</v>
      </c>
      <c r="H2315" s="17" t="s">
        <v>919</v>
      </c>
      <c r="I2315" s="17">
        <f t="shared" si="97"/>
        <v>16476108321</v>
      </c>
    </row>
    <row r="2316" spans="1:9" x14ac:dyDescent="0.3">
      <c r="A2316" s="17" t="str">
        <f t="shared" si="98"/>
        <v>2010413</v>
      </c>
      <c r="B2316" s="17">
        <v>201</v>
      </c>
      <c r="C2316" s="17">
        <v>413</v>
      </c>
      <c r="D2316" s="17" t="s">
        <v>917</v>
      </c>
      <c r="E2316" s="17">
        <v>0</v>
      </c>
      <c r="F2316" s="17" t="s">
        <v>918</v>
      </c>
      <c r="G2316" s="17">
        <f t="shared" si="96"/>
        <v>16640869404</v>
      </c>
      <c r="H2316" s="17" t="s">
        <v>919</v>
      </c>
      <c r="I2316" s="17">
        <f t="shared" si="97"/>
        <v>16640869404</v>
      </c>
    </row>
    <row r="2317" spans="1:9" x14ac:dyDescent="0.3">
      <c r="A2317" s="17" t="str">
        <f t="shared" si="98"/>
        <v>2010414</v>
      </c>
      <c r="B2317" s="17">
        <v>201</v>
      </c>
      <c r="C2317" s="17">
        <v>414</v>
      </c>
      <c r="D2317" s="17" t="s">
        <v>917</v>
      </c>
      <c r="E2317" s="17">
        <v>0</v>
      </c>
      <c r="F2317" s="17" t="s">
        <v>918</v>
      </c>
      <c r="G2317" s="17">
        <f t="shared" si="96"/>
        <v>16807278098</v>
      </c>
      <c r="H2317" s="17" t="s">
        <v>919</v>
      </c>
      <c r="I2317" s="17">
        <f t="shared" si="97"/>
        <v>16807278098</v>
      </c>
    </row>
    <row r="2318" spans="1:9" x14ac:dyDescent="0.3">
      <c r="A2318" s="17" t="str">
        <f t="shared" si="98"/>
        <v>2010415</v>
      </c>
      <c r="B2318" s="17">
        <v>201</v>
      </c>
      <c r="C2318" s="17">
        <v>415</v>
      </c>
      <c r="D2318" s="17" t="s">
        <v>917</v>
      </c>
      <c r="E2318" s="17">
        <v>0</v>
      </c>
      <c r="F2318" s="17" t="s">
        <v>918</v>
      </c>
      <c r="G2318" s="17">
        <f t="shared" si="96"/>
        <v>16975350878</v>
      </c>
      <c r="H2318" s="17" t="s">
        <v>919</v>
      </c>
      <c r="I2318" s="17">
        <f t="shared" si="97"/>
        <v>16975350878</v>
      </c>
    </row>
    <row r="2319" spans="1:9" x14ac:dyDescent="0.3">
      <c r="A2319" s="17" t="str">
        <f t="shared" si="98"/>
        <v>2010416</v>
      </c>
      <c r="B2319" s="17">
        <v>201</v>
      </c>
      <c r="C2319" s="17">
        <v>416</v>
      </c>
      <c r="D2319" s="17" t="s">
        <v>917</v>
      </c>
      <c r="E2319" s="17">
        <v>0</v>
      </c>
      <c r="F2319" s="17" t="s">
        <v>918</v>
      </c>
      <c r="G2319" s="17">
        <f t="shared" si="96"/>
        <v>17145104386</v>
      </c>
      <c r="H2319" s="17" t="s">
        <v>919</v>
      </c>
      <c r="I2319" s="17">
        <f t="shared" si="97"/>
        <v>17145104386</v>
      </c>
    </row>
    <row r="2320" spans="1:9" x14ac:dyDescent="0.3">
      <c r="A2320" s="17" t="str">
        <f t="shared" si="98"/>
        <v>2010417</v>
      </c>
      <c r="B2320" s="17">
        <v>201</v>
      </c>
      <c r="C2320" s="17">
        <v>417</v>
      </c>
      <c r="D2320" s="17" t="s">
        <v>917</v>
      </c>
      <c r="E2320" s="17">
        <v>0</v>
      </c>
      <c r="F2320" s="17" t="s">
        <v>918</v>
      </c>
      <c r="G2320" s="17">
        <f t="shared" si="96"/>
        <v>17316555429</v>
      </c>
      <c r="H2320" s="17" t="s">
        <v>919</v>
      </c>
      <c r="I2320" s="17">
        <f t="shared" si="97"/>
        <v>17316555429</v>
      </c>
    </row>
    <row r="2321" spans="1:9" x14ac:dyDescent="0.3">
      <c r="A2321" s="17" t="str">
        <f t="shared" si="98"/>
        <v>2010418</v>
      </c>
      <c r="B2321" s="17">
        <v>201</v>
      </c>
      <c r="C2321" s="17">
        <v>418</v>
      </c>
      <c r="D2321" s="17" t="s">
        <v>917</v>
      </c>
      <c r="E2321" s="17">
        <v>0</v>
      </c>
      <c r="F2321" s="17" t="s">
        <v>918</v>
      </c>
      <c r="G2321" s="17">
        <f t="shared" si="96"/>
        <v>17489720983</v>
      </c>
      <c r="H2321" s="17" t="s">
        <v>919</v>
      </c>
      <c r="I2321" s="17">
        <f t="shared" si="97"/>
        <v>17489720983</v>
      </c>
    </row>
    <row r="2322" spans="1:9" x14ac:dyDescent="0.3">
      <c r="A2322" s="17" t="str">
        <f t="shared" si="98"/>
        <v>2010419</v>
      </c>
      <c r="B2322" s="17">
        <v>201</v>
      </c>
      <c r="C2322" s="17">
        <v>419</v>
      </c>
      <c r="D2322" s="17" t="s">
        <v>917</v>
      </c>
      <c r="E2322" s="17">
        <v>0</v>
      </c>
      <c r="F2322" s="17" t="s">
        <v>918</v>
      </c>
      <c r="G2322" s="17">
        <f t="shared" si="96"/>
        <v>17664618192</v>
      </c>
      <c r="H2322" s="17" t="s">
        <v>919</v>
      </c>
      <c r="I2322" s="17">
        <f t="shared" si="97"/>
        <v>17664618192</v>
      </c>
    </row>
    <row r="2323" spans="1:9" x14ac:dyDescent="0.3">
      <c r="A2323" s="17" t="str">
        <f t="shared" si="98"/>
        <v>2010420</v>
      </c>
      <c r="B2323" s="17">
        <v>201</v>
      </c>
      <c r="C2323" s="17">
        <v>420</v>
      </c>
      <c r="D2323" s="17" t="s">
        <v>917</v>
      </c>
      <c r="E2323" s="17">
        <v>0</v>
      </c>
      <c r="F2323" s="17" t="s">
        <v>918</v>
      </c>
      <c r="G2323" s="17">
        <f t="shared" si="96"/>
        <v>17841264373</v>
      </c>
      <c r="H2323" s="17" t="s">
        <v>919</v>
      </c>
      <c r="I2323" s="17">
        <f t="shared" si="97"/>
        <v>17841264373</v>
      </c>
    </row>
    <row r="2324" spans="1:9" x14ac:dyDescent="0.3">
      <c r="A2324" s="17" t="str">
        <f t="shared" si="98"/>
        <v>2010421</v>
      </c>
      <c r="B2324" s="17">
        <v>201</v>
      </c>
      <c r="C2324" s="17">
        <v>421</v>
      </c>
      <c r="D2324" s="17" t="s">
        <v>917</v>
      </c>
      <c r="E2324" s="17">
        <v>0</v>
      </c>
      <c r="F2324" s="17" t="s">
        <v>918</v>
      </c>
      <c r="G2324" s="17">
        <f t="shared" si="96"/>
        <v>18019677016</v>
      </c>
      <c r="H2324" s="17" t="s">
        <v>919</v>
      </c>
      <c r="I2324" s="17">
        <f t="shared" si="97"/>
        <v>18019677016</v>
      </c>
    </row>
    <row r="2325" spans="1:9" x14ac:dyDescent="0.3">
      <c r="A2325" s="17" t="str">
        <f t="shared" si="98"/>
        <v>2010422</v>
      </c>
      <c r="B2325" s="17">
        <v>201</v>
      </c>
      <c r="C2325" s="17">
        <v>422</v>
      </c>
      <c r="D2325" s="17" t="s">
        <v>917</v>
      </c>
      <c r="E2325" s="17">
        <v>0</v>
      </c>
      <c r="F2325" s="17" t="s">
        <v>918</v>
      </c>
      <c r="G2325" s="17">
        <f t="shared" si="96"/>
        <v>18199873786</v>
      </c>
      <c r="H2325" s="17" t="s">
        <v>919</v>
      </c>
      <c r="I2325" s="17">
        <f t="shared" si="97"/>
        <v>18199873786</v>
      </c>
    </row>
    <row r="2326" spans="1:9" x14ac:dyDescent="0.3">
      <c r="A2326" s="17" t="str">
        <f t="shared" si="98"/>
        <v>2010423</v>
      </c>
      <c r="B2326" s="17">
        <v>201</v>
      </c>
      <c r="C2326" s="17">
        <v>423</v>
      </c>
      <c r="D2326" s="17" t="s">
        <v>917</v>
      </c>
      <c r="E2326" s="17">
        <v>0</v>
      </c>
      <c r="F2326" s="17" t="s">
        <v>918</v>
      </c>
      <c r="G2326" s="17">
        <f t="shared" si="96"/>
        <v>18381872523</v>
      </c>
      <c r="H2326" s="17" t="s">
        <v>919</v>
      </c>
      <c r="I2326" s="17">
        <f t="shared" si="97"/>
        <v>18381872523</v>
      </c>
    </row>
    <row r="2327" spans="1:9" x14ac:dyDescent="0.3">
      <c r="A2327" s="17" t="str">
        <f t="shared" si="98"/>
        <v>2010424</v>
      </c>
      <c r="B2327" s="17">
        <v>201</v>
      </c>
      <c r="C2327" s="17">
        <v>424</v>
      </c>
      <c r="D2327" s="17" t="s">
        <v>917</v>
      </c>
      <c r="E2327" s="17">
        <v>0</v>
      </c>
      <c r="F2327" s="17" t="s">
        <v>918</v>
      </c>
      <c r="G2327" s="17">
        <f t="shared" si="96"/>
        <v>18565691248</v>
      </c>
      <c r="H2327" s="17" t="s">
        <v>919</v>
      </c>
      <c r="I2327" s="17">
        <f t="shared" si="97"/>
        <v>18565691248</v>
      </c>
    </row>
    <row r="2328" spans="1:9" x14ac:dyDescent="0.3">
      <c r="A2328" s="17" t="str">
        <f t="shared" si="98"/>
        <v>2010425</v>
      </c>
      <c r="B2328" s="17">
        <v>201</v>
      </c>
      <c r="C2328" s="17">
        <v>425</v>
      </c>
      <c r="D2328" s="17" t="s">
        <v>917</v>
      </c>
      <c r="E2328" s="17">
        <v>0</v>
      </c>
      <c r="F2328" s="17" t="s">
        <v>918</v>
      </c>
      <c r="G2328" s="17">
        <f t="shared" si="96"/>
        <v>18751348160</v>
      </c>
      <c r="H2328" s="17" t="s">
        <v>919</v>
      </c>
      <c r="I2328" s="17">
        <f t="shared" si="97"/>
        <v>18751348160</v>
      </c>
    </row>
    <row r="2329" spans="1:9" x14ac:dyDescent="0.3">
      <c r="A2329" s="17" t="str">
        <f t="shared" si="98"/>
        <v>2010426</v>
      </c>
      <c r="B2329" s="17">
        <v>201</v>
      </c>
      <c r="C2329" s="17">
        <v>426</v>
      </c>
      <c r="D2329" s="17" t="s">
        <v>917</v>
      </c>
      <c r="E2329" s="17">
        <v>0</v>
      </c>
      <c r="F2329" s="17" t="s">
        <v>918</v>
      </c>
      <c r="G2329" s="17">
        <f t="shared" si="96"/>
        <v>18938861641</v>
      </c>
      <c r="H2329" s="17" t="s">
        <v>919</v>
      </c>
      <c r="I2329" s="17">
        <f t="shared" si="97"/>
        <v>18938861641</v>
      </c>
    </row>
    <row r="2330" spans="1:9" x14ac:dyDescent="0.3">
      <c r="A2330" s="17" t="str">
        <f t="shared" si="98"/>
        <v>2010427</v>
      </c>
      <c r="B2330" s="17">
        <v>201</v>
      </c>
      <c r="C2330" s="17">
        <v>427</v>
      </c>
      <c r="D2330" s="17" t="s">
        <v>917</v>
      </c>
      <c r="E2330" s="17">
        <v>0</v>
      </c>
      <c r="F2330" s="17" t="s">
        <v>918</v>
      </c>
      <c r="G2330" s="17">
        <f t="shared" si="96"/>
        <v>19128250257</v>
      </c>
      <c r="H2330" s="17" t="s">
        <v>919</v>
      </c>
      <c r="I2330" s="17">
        <f t="shared" si="97"/>
        <v>19128250257</v>
      </c>
    </row>
    <row r="2331" spans="1:9" x14ac:dyDescent="0.3">
      <c r="A2331" s="17" t="str">
        <f t="shared" si="98"/>
        <v>2010428</v>
      </c>
      <c r="B2331" s="17">
        <v>201</v>
      </c>
      <c r="C2331" s="17">
        <v>428</v>
      </c>
      <c r="D2331" s="17" t="s">
        <v>917</v>
      </c>
      <c r="E2331" s="17">
        <v>0</v>
      </c>
      <c r="F2331" s="17" t="s">
        <v>918</v>
      </c>
      <c r="G2331" s="17">
        <f t="shared" si="96"/>
        <v>19319532759</v>
      </c>
      <c r="H2331" s="17" t="s">
        <v>919</v>
      </c>
      <c r="I2331" s="17">
        <f t="shared" si="97"/>
        <v>19319532759</v>
      </c>
    </row>
    <row r="2332" spans="1:9" x14ac:dyDescent="0.3">
      <c r="A2332" s="17" t="str">
        <f t="shared" si="98"/>
        <v>2010429</v>
      </c>
      <c r="B2332" s="17">
        <v>201</v>
      </c>
      <c r="C2332" s="17">
        <v>429</v>
      </c>
      <c r="D2332" s="17" t="s">
        <v>917</v>
      </c>
      <c r="E2332" s="17">
        <v>0</v>
      </c>
      <c r="F2332" s="17" t="s">
        <v>918</v>
      </c>
      <c r="G2332" s="17">
        <f t="shared" ref="G2332:G2395" si="99">INT(G2331*1.01)</f>
        <v>19512728086</v>
      </c>
      <c r="H2332" s="17" t="s">
        <v>919</v>
      </c>
      <c r="I2332" s="17">
        <f t="shared" si="97"/>
        <v>19512728086</v>
      </c>
    </row>
    <row r="2333" spans="1:9" x14ac:dyDescent="0.3">
      <c r="A2333" s="17" t="str">
        <f t="shared" si="98"/>
        <v>2010430</v>
      </c>
      <c r="B2333" s="17">
        <v>201</v>
      </c>
      <c r="C2333" s="17">
        <v>430</v>
      </c>
      <c r="D2333" s="17" t="s">
        <v>917</v>
      </c>
      <c r="E2333" s="17">
        <v>0</v>
      </c>
      <c r="F2333" s="17" t="s">
        <v>918</v>
      </c>
      <c r="G2333" s="17">
        <f t="shared" si="99"/>
        <v>19707855366</v>
      </c>
      <c r="H2333" s="17" t="s">
        <v>919</v>
      </c>
      <c r="I2333" s="17">
        <f t="shared" si="97"/>
        <v>19707855366</v>
      </c>
    </row>
    <row r="2334" spans="1:9" x14ac:dyDescent="0.3">
      <c r="A2334" s="17" t="str">
        <f t="shared" si="98"/>
        <v>2010431</v>
      </c>
      <c r="B2334" s="17">
        <v>201</v>
      </c>
      <c r="C2334" s="17">
        <v>431</v>
      </c>
      <c r="D2334" s="17" t="s">
        <v>917</v>
      </c>
      <c r="E2334" s="17">
        <v>0</v>
      </c>
      <c r="F2334" s="17" t="s">
        <v>918</v>
      </c>
      <c r="G2334" s="17">
        <f t="shared" si="99"/>
        <v>19904933919</v>
      </c>
      <c r="H2334" s="17" t="s">
        <v>919</v>
      </c>
      <c r="I2334" s="17">
        <f t="shared" si="97"/>
        <v>19904933919</v>
      </c>
    </row>
    <row r="2335" spans="1:9" x14ac:dyDescent="0.3">
      <c r="A2335" s="17" t="str">
        <f t="shared" si="98"/>
        <v>2010432</v>
      </c>
      <c r="B2335" s="17">
        <v>201</v>
      </c>
      <c r="C2335" s="17">
        <v>432</v>
      </c>
      <c r="D2335" s="17" t="s">
        <v>917</v>
      </c>
      <c r="E2335" s="17">
        <v>0</v>
      </c>
      <c r="F2335" s="17" t="s">
        <v>918</v>
      </c>
      <c r="G2335" s="17">
        <f t="shared" si="99"/>
        <v>20103983258</v>
      </c>
      <c r="H2335" s="17" t="s">
        <v>919</v>
      </c>
      <c r="I2335" s="17">
        <f t="shared" si="97"/>
        <v>20103983258</v>
      </c>
    </row>
    <row r="2336" spans="1:9" x14ac:dyDescent="0.3">
      <c r="A2336" s="17" t="str">
        <f t="shared" si="98"/>
        <v>2010433</v>
      </c>
      <c r="B2336" s="17">
        <v>201</v>
      </c>
      <c r="C2336" s="17">
        <v>433</v>
      </c>
      <c r="D2336" s="17" t="s">
        <v>917</v>
      </c>
      <c r="E2336" s="17">
        <v>0</v>
      </c>
      <c r="F2336" s="17" t="s">
        <v>918</v>
      </c>
      <c r="G2336" s="17">
        <f t="shared" si="99"/>
        <v>20305023090</v>
      </c>
      <c r="H2336" s="17" t="s">
        <v>919</v>
      </c>
      <c r="I2336" s="17">
        <f t="shared" si="97"/>
        <v>20305023090</v>
      </c>
    </row>
    <row r="2337" spans="1:9" x14ac:dyDescent="0.3">
      <c r="A2337" s="17" t="str">
        <f t="shared" si="98"/>
        <v>2010434</v>
      </c>
      <c r="B2337" s="17">
        <v>201</v>
      </c>
      <c r="C2337" s="17">
        <v>434</v>
      </c>
      <c r="D2337" s="17" t="s">
        <v>917</v>
      </c>
      <c r="E2337" s="17">
        <v>0</v>
      </c>
      <c r="F2337" s="17" t="s">
        <v>918</v>
      </c>
      <c r="G2337" s="17">
        <f t="shared" si="99"/>
        <v>20508073320</v>
      </c>
      <c r="H2337" s="17" t="s">
        <v>919</v>
      </c>
      <c r="I2337" s="17">
        <f t="shared" si="97"/>
        <v>20508073320</v>
      </c>
    </row>
    <row r="2338" spans="1:9" x14ac:dyDescent="0.3">
      <c r="A2338" s="17" t="str">
        <f t="shared" si="98"/>
        <v>2010435</v>
      </c>
      <c r="B2338" s="17">
        <v>201</v>
      </c>
      <c r="C2338" s="17">
        <v>435</v>
      </c>
      <c r="D2338" s="17" t="s">
        <v>917</v>
      </c>
      <c r="E2338" s="17">
        <v>0</v>
      </c>
      <c r="F2338" s="17" t="s">
        <v>918</v>
      </c>
      <c r="G2338" s="17">
        <f t="shared" si="99"/>
        <v>20713154053</v>
      </c>
      <c r="H2338" s="17" t="s">
        <v>919</v>
      </c>
      <c r="I2338" s="17">
        <f t="shared" si="97"/>
        <v>20713154053</v>
      </c>
    </row>
    <row r="2339" spans="1:9" x14ac:dyDescent="0.3">
      <c r="A2339" s="17" t="str">
        <f t="shared" si="98"/>
        <v>2010436</v>
      </c>
      <c r="B2339" s="17">
        <v>201</v>
      </c>
      <c r="C2339" s="17">
        <v>436</v>
      </c>
      <c r="D2339" s="17" t="s">
        <v>917</v>
      </c>
      <c r="E2339" s="17">
        <v>0</v>
      </c>
      <c r="F2339" s="17" t="s">
        <v>918</v>
      </c>
      <c r="G2339" s="17">
        <f t="shared" si="99"/>
        <v>20920285593</v>
      </c>
      <c r="H2339" s="17" t="s">
        <v>919</v>
      </c>
      <c r="I2339" s="17">
        <f t="shared" si="97"/>
        <v>20920285593</v>
      </c>
    </row>
    <row r="2340" spans="1:9" x14ac:dyDescent="0.3">
      <c r="A2340" s="17" t="str">
        <f t="shared" si="98"/>
        <v>2010437</v>
      </c>
      <c r="B2340" s="17">
        <v>201</v>
      </c>
      <c r="C2340" s="17">
        <v>437</v>
      </c>
      <c r="D2340" s="17" t="s">
        <v>917</v>
      </c>
      <c r="E2340" s="17">
        <v>0</v>
      </c>
      <c r="F2340" s="17" t="s">
        <v>918</v>
      </c>
      <c r="G2340" s="17">
        <f t="shared" si="99"/>
        <v>21129488448</v>
      </c>
      <c r="H2340" s="17" t="s">
        <v>919</v>
      </c>
      <c r="I2340" s="17">
        <f t="shared" si="97"/>
        <v>21129488448</v>
      </c>
    </row>
    <row r="2341" spans="1:9" x14ac:dyDescent="0.3">
      <c r="A2341" s="17" t="str">
        <f t="shared" si="98"/>
        <v>2010438</v>
      </c>
      <c r="B2341" s="17">
        <v>201</v>
      </c>
      <c r="C2341" s="17">
        <v>438</v>
      </c>
      <c r="D2341" s="17" t="s">
        <v>917</v>
      </c>
      <c r="E2341" s="17">
        <v>0</v>
      </c>
      <c r="F2341" s="17" t="s">
        <v>918</v>
      </c>
      <c r="G2341" s="17">
        <f t="shared" si="99"/>
        <v>21340783332</v>
      </c>
      <c r="H2341" s="17" t="s">
        <v>919</v>
      </c>
      <c r="I2341" s="17">
        <f t="shared" si="97"/>
        <v>21340783332</v>
      </c>
    </row>
    <row r="2342" spans="1:9" x14ac:dyDescent="0.3">
      <c r="A2342" s="17" t="str">
        <f t="shared" si="98"/>
        <v>2010439</v>
      </c>
      <c r="B2342" s="17">
        <v>201</v>
      </c>
      <c r="C2342" s="17">
        <v>439</v>
      </c>
      <c r="D2342" s="17" t="s">
        <v>917</v>
      </c>
      <c r="E2342" s="17">
        <v>0</v>
      </c>
      <c r="F2342" s="17" t="s">
        <v>918</v>
      </c>
      <c r="G2342" s="17">
        <f t="shared" si="99"/>
        <v>21554191165</v>
      </c>
      <c r="H2342" s="17" t="s">
        <v>919</v>
      </c>
      <c r="I2342" s="17">
        <f t="shared" si="97"/>
        <v>21554191165</v>
      </c>
    </row>
    <row r="2343" spans="1:9" x14ac:dyDescent="0.3">
      <c r="A2343" s="17" t="str">
        <f t="shared" si="98"/>
        <v>2010440</v>
      </c>
      <c r="B2343" s="17">
        <v>201</v>
      </c>
      <c r="C2343" s="17">
        <v>440</v>
      </c>
      <c r="D2343" s="17" t="s">
        <v>917</v>
      </c>
      <c r="E2343" s="17">
        <v>0</v>
      </c>
      <c r="F2343" s="17" t="s">
        <v>918</v>
      </c>
      <c r="G2343" s="17">
        <f t="shared" si="99"/>
        <v>21769733076</v>
      </c>
      <c r="H2343" s="17" t="s">
        <v>919</v>
      </c>
      <c r="I2343" s="17">
        <f t="shared" si="97"/>
        <v>21769733076</v>
      </c>
    </row>
    <row r="2344" spans="1:9" x14ac:dyDescent="0.3">
      <c r="A2344" s="17" t="str">
        <f t="shared" si="98"/>
        <v>2010441</v>
      </c>
      <c r="B2344" s="17">
        <v>201</v>
      </c>
      <c r="C2344" s="17">
        <v>441</v>
      </c>
      <c r="D2344" s="17" t="s">
        <v>917</v>
      </c>
      <c r="E2344" s="17">
        <v>0</v>
      </c>
      <c r="F2344" s="17" t="s">
        <v>918</v>
      </c>
      <c r="G2344" s="17">
        <f t="shared" si="99"/>
        <v>21987430406</v>
      </c>
      <c r="H2344" s="17" t="s">
        <v>919</v>
      </c>
      <c r="I2344" s="17">
        <f t="shared" si="97"/>
        <v>21987430406</v>
      </c>
    </row>
    <row r="2345" spans="1:9" x14ac:dyDescent="0.3">
      <c r="A2345" s="17" t="str">
        <f t="shared" si="98"/>
        <v>2010442</v>
      </c>
      <c r="B2345" s="17">
        <v>201</v>
      </c>
      <c r="C2345" s="17">
        <v>442</v>
      </c>
      <c r="D2345" s="17" t="s">
        <v>917</v>
      </c>
      <c r="E2345" s="17">
        <v>0</v>
      </c>
      <c r="F2345" s="17" t="s">
        <v>918</v>
      </c>
      <c r="G2345" s="17">
        <f t="shared" si="99"/>
        <v>22207304710</v>
      </c>
      <c r="H2345" s="17" t="s">
        <v>919</v>
      </c>
      <c r="I2345" s="17">
        <f t="shared" si="97"/>
        <v>22207304710</v>
      </c>
    </row>
    <row r="2346" spans="1:9" x14ac:dyDescent="0.3">
      <c r="A2346" s="17" t="str">
        <f t="shared" si="98"/>
        <v>2010443</v>
      </c>
      <c r="B2346" s="17">
        <v>201</v>
      </c>
      <c r="C2346" s="17">
        <v>443</v>
      </c>
      <c r="D2346" s="17" t="s">
        <v>917</v>
      </c>
      <c r="E2346" s="17">
        <v>0</v>
      </c>
      <c r="F2346" s="17" t="s">
        <v>918</v>
      </c>
      <c r="G2346" s="17">
        <f t="shared" si="99"/>
        <v>22429377757</v>
      </c>
      <c r="H2346" s="17" t="s">
        <v>919</v>
      </c>
      <c r="I2346" s="17">
        <f t="shared" si="97"/>
        <v>22429377757</v>
      </c>
    </row>
    <row r="2347" spans="1:9" x14ac:dyDescent="0.3">
      <c r="A2347" s="17" t="str">
        <f t="shared" si="98"/>
        <v>2010444</v>
      </c>
      <c r="B2347" s="17">
        <v>201</v>
      </c>
      <c r="C2347" s="17">
        <v>444</v>
      </c>
      <c r="D2347" s="17" t="s">
        <v>917</v>
      </c>
      <c r="E2347" s="17">
        <v>0</v>
      </c>
      <c r="F2347" s="17" t="s">
        <v>918</v>
      </c>
      <c r="G2347" s="17">
        <f t="shared" si="99"/>
        <v>22653671534</v>
      </c>
      <c r="H2347" s="17" t="s">
        <v>919</v>
      </c>
      <c r="I2347" s="17">
        <f t="shared" si="97"/>
        <v>22653671534</v>
      </c>
    </row>
    <row r="2348" spans="1:9" x14ac:dyDescent="0.3">
      <c r="A2348" s="17" t="str">
        <f t="shared" si="98"/>
        <v>2010445</v>
      </c>
      <c r="B2348" s="17">
        <v>201</v>
      </c>
      <c r="C2348" s="17">
        <v>445</v>
      </c>
      <c r="D2348" s="17" t="s">
        <v>917</v>
      </c>
      <c r="E2348" s="17">
        <v>0</v>
      </c>
      <c r="F2348" s="17" t="s">
        <v>918</v>
      </c>
      <c r="G2348" s="17">
        <f t="shared" si="99"/>
        <v>22880208249</v>
      </c>
      <c r="H2348" s="17" t="s">
        <v>919</v>
      </c>
      <c r="I2348" s="17">
        <f t="shared" si="97"/>
        <v>22880208249</v>
      </c>
    </row>
    <row r="2349" spans="1:9" x14ac:dyDescent="0.3">
      <c r="A2349" s="17" t="str">
        <f t="shared" si="98"/>
        <v>2010446</v>
      </c>
      <c r="B2349" s="17">
        <v>201</v>
      </c>
      <c r="C2349" s="17">
        <v>446</v>
      </c>
      <c r="D2349" s="17" t="s">
        <v>917</v>
      </c>
      <c r="E2349" s="17">
        <v>0</v>
      </c>
      <c r="F2349" s="17" t="s">
        <v>918</v>
      </c>
      <c r="G2349" s="17">
        <f t="shared" si="99"/>
        <v>23109010331</v>
      </c>
      <c r="H2349" s="17" t="s">
        <v>919</v>
      </c>
      <c r="I2349" s="17">
        <f t="shared" si="97"/>
        <v>23109010331</v>
      </c>
    </row>
    <row r="2350" spans="1:9" x14ac:dyDescent="0.3">
      <c r="A2350" s="17" t="str">
        <f t="shared" si="98"/>
        <v>2010447</v>
      </c>
      <c r="B2350" s="17">
        <v>201</v>
      </c>
      <c r="C2350" s="17">
        <v>447</v>
      </c>
      <c r="D2350" s="17" t="s">
        <v>917</v>
      </c>
      <c r="E2350" s="17">
        <v>0</v>
      </c>
      <c r="F2350" s="17" t="s">
        <v>918</v>
      </c>
      <c r="G2350" s="17">
        <f t="shared" si="99"/>
        <v>23340100434</v>
      </c>
      <c r="H2350" s="17" t="s">
        <v>919</v>
      </c>
      <c r="I2350" s="17">
        <f t="shared" si="97"/>
        <v>23340100434</v>
      </c>
    </row>
    <row r="2351" spans="1:9" x14ac:dyDescent="0.3">
      <c r="A2351" s="17" t="str">
        <f t="shared" si="98"/>
        <v>2010448</v>
      </c>
      <c r="B2351" s="17">
        <v>201</v>
      </c>
      <c r="C2351" s="17">
        <v>448</v>
      </c>
      <c r="D2351" s="17" t="s">
        <v>917</v>
      </c>
      <c r="E2351" s="17">
        <v>0</v>
      </c>
      <c r="F2351" s="17" t="s">
        <v>918</v>
      </c>
      <c r="G2351" s="17">
        <f t="shared" si="99"/>
        <v>23573501438</v>
      </c>
      <c r="H2351" s="17" t="s">
        <v>919</v>
      </c>
      <c r="I2351" s="17">
        <f t="shared" si="97"/>
        <v>23573501438</v>
      </c>
    </row>
    <row r="2352" spans="1:9" x14ac:dyDescent="0.3">
      <c r="A2352" s="17" t="str">
        <f t="shared" si="98"/>
        <v>2010449</v>
      </c>
      <c r="B2352" s="17">
        <v>201</v>
      </c>
      <c r="C2352" s="17">
        <v>449</v>
      </c>
      <c r="D2352" s="17" t="s">
        <v>917</v>
      </c>
      <c r="E2352" s="17">
        <v>0</v>
      </c>
      <c r="F2352" s="17" t="s">
        <v>918</v>
      </c>
      <c r="G2352" s="17">
        <f t="shared" si="99"/>
        <v>23809236452</v>
      </c>
      <c r="H2352" s="17" t="s">
        <v>919</v>
      </c>
      <c r="I2352" s="17">
        <f t="shared" si="97"/>
        <v>23809236452</v>
      </c>
    </row>
    <row r="2353" spans="1:9" x14ac:dyDescent="0.3">
      <c r="A2353" s="17" t="str">
        <f t="shared" si="98"/>
        <v>2010450</v>
      </c>
      <c r="B2353" s="17">
        <v>201</v>
      </c>
      <c r="C2353" s="17">
        <v>450</v>
      </c>
      <c r="D2353" s="17" t="s">
        <v>917</v>
      </c>
      <c r="E2353" s="17">
        <v>0</v>
      </c>
      <c r="F2353" s="17" t="s">
        <v>918</v>
      </c>
      <c r="G2353" s="17">
        <f t="shared" si="99"/>
        <v>24047328816</v>
      </c>
      <c r="H2353" s="17" t="s">
        <v>919</v>
      </c>
      <c r="I2353" s="17">
        <f t="shared" ref="I2353:I2416" si="100">G2353</f>
        <v>24047328816</v>
      </c>
    </row>
    <row r="2354" spans="1:9" x14ac:dyDescent="0.3">
      <c r="A2354" s="17" t="str">
        <f t="shared" si="98"/>
        <v>2010451</v>
      </c>
      <c r="B2354" s="17">
        <v>201</v>
      </c>
      <c r="C2354" s="17">
        <v>451</v>
      </c>
      <c r="D2354" s="17" t="s">
        <v>917</v>
      </c>
      <c r="E2354" s="17">
        <v>0</v>
      </c>
      <c r="F2354" s="17" t="s">
        <v>918</v>
      </c>
      <c r="G2354" s="17">
        <f t="shared" si="99"/>
        <v>24287802104</v>
      </c>
      <c r="H2354" s="17" t="s">
        <v>919</v>
      </c>
      <c r="I2354" s="17">
        <f t="shared" si="100"/>
        <v>24287802104</v>
      </c>
    </row>
    <row r="2355" spans="1:9" x14ac:dyDescent="0.3">
      <c r="A2355" s="17" t="str">
        <f t="shared" si="98"/>
        <v>2010452</v>
      </c>
      <c r="B2355" s="17">
        <v>201</v>
      </c>
      <c r="C2355" s="17">
        <v>452</v>
      </c>
      <c r="D2355" s="17" t="s">
        <v>917</v>
      </c>
      <c r="E2355" s="17">
        <v>0</v>
      </c>
      <c r="F2355" s="17" t="s">
        <v>918</v>
      </c>
      <c r="G2355" s="17">
        <f t="shared" si="99"/>
        <v>24530680125</v>
      </c>
      <c r="H2355" s="17" t="s">
        <v>919</v>
      </c>
      <c r="I2355" s="17">
        <f t="shared" si="100"/>
        <v>24530680125</v>
      </c>
    </row>
    <row r="2356" spans="1:9" x14ac:dyDescent="0.3">
      <c r="A2356" s="17" t="str">
        <f t="shared" si="98"/>
        <v>2010453</v>
      </c>
      <c r="B2356" s="17">
        <v>201</v>
      </c>
      <c r="C2356" s="17">
        <v>453</v>
      </c>
      <c r="D2356" s="17" t="s">
        <v>917</v>
      </c>
      <c r="E2356" s="17">
        <v>0</v>
      </c>
      <c r="F2356" s="17" t="s">
        <v>918</v>
      </c>
      <c r="G2356" s="17">
        <f t="shared" si="99"/>
        <v>24775986926</v>
      </c>
      <c r="H2356" s="17" t="s">
        <v>919</v>
      </c>
      <c r="I2356" s="17">
        <f t="shared" si="100"/>
        <v>24775986926</v>
      </c>
    </row>
    <row r="2357" spans="1:9" x14ac:dyDescent="0.3">
      <c r="A2357" s="17" t="str">
        <f t="shared" si="98"/>
        <v>2010454</v>
      </c>
      <c r="B2357" s="17">
        <v>201</v>
      </c>
      <c r="C2357" s="17">
        <v>454</v>
      </c>
      <c r="D2357" s="17" t="s">
        <v>917</v>
      </c>
      <c r="E2357" s="17">
        <v>0</v>
      </c>
      <c r="F2357" s="17" t="s">
        <v>918</v>
      </c>
      <c r="G2357" s="17">
        <f t="shared" si="99"/>
        <v>25023746795</v>
      </c>
      <c r="H2357" s="17" t="s">
        <v>919</v>
      </c>
      <c r="I2357" s="17">
        <f t="shared" si="100"/>
        <v>25023746795</v>
      </c>
    </row>
    <row r="2358" spans="1:9" x14ac:dyDescent="0.3">
      <c r="A2358" s="17" t="str">
        <f t="shared" si="98"/>
        <v>2010455</v>
      </c>
      <c r="B2358" s="17">
        <v>201</v>
      </c>
      <c r="C2358" s="17">
        <v>455</v>
      </c>
      <c r="D2358" s="17" t="s">
        <v>917</v>
      </c>
      <c r="E2358" s="17">
        <v>0</v>
      </c>
      <c r="F2358" s="17" t="s">
        <v>918</v>
      </c>
      <c r="G2358" s="17">
        <f t="shared" si="99"/>
        <v>25273984262</v>
      </c>
      <c r="H2358" s="17" t="s">
        <v>919</v>
      </c>
      <c r="I2358" s="17">
        <f t="shared" si="100"/>
        <v>25273984262</v>
      </c>
    </row>
    <row r="2359" spans="1:9" x14ac:dyDescent="0.3">
      <c r="A2359" s="17" t="str">
        <f t="shared" si="98"/>
        <v>2010456</v>
      </c>
      <c r="B2359" s="17">
        <v>201</v>
      </c>
      <c r="C2359" s="17">
        <v>456</v>
      </c>
      <c r="D2359" s="17" t="s">
        <v>917</v>
      </c>
      <c r="E2359" s="17">
        <v>0</v>
      </c>
      <c r="F2359" s="17" t="s">
        <v>918</v>
      </c>
      <c r="G2359" s="17">
        <f t="shared" si="99"/>
        <v>25526724104</v>
      </c>
      <c r="H2359" s="17" t="s">
        <v>919</v>
      </c>
      <c r="I2359" s="17">
        <f t="shared" si="100"/>
        <v>25526724104</v>
      </c>
    </row>
    <row r="2360" spans="1:9" x14ac:dyDescent="0.3">
      <c r="A2360" s="17" t="str">
        <f t="shared" si="98"/>
        <v>2010457</v>
      </c>
      <c r="B2360" s="17">
        <v>201</v>
      </c>
      <c r="C2360" s="17">
        <v>457</v>
      </c>
      <c r="D2360" s="17" t="s">
        <v>917</v>
      </c>
      <c r="E2360" s="17">
        <v>0</v>
      </c>
      <c r="F2360" s="17" t="s">
        <v>918</v>
      </c>
      <c r="G2360" s="17">
        <f t="shared" si="99"/>
        <v>25781991345</v>
      </c>
      <c r="H2360" s="17" t="s">
        <v>919</v>
      </c>
      <c r="I2360" s="17">
        <f t="shared" si="100"/>
        <v>25781991345</v>
      </c>
    </row>
    <row r="2361" spans="1:9" x14ac:dyDescent="0.3">
      <c r="A2361" s="17" t="str">
        <f t="shared" si="98"/>
        <v>2010458</v>
      </c>
      <c r="B2361" s="17">
        <v>201</v>
      </c>
      <c r="C2361" s="17">
        <v>458</v>
      </c>
      <c r="D2361" s="17" t="s">
        <v>917</v>
      </c>
      <c r="E2361" s="17">
        <v>0</v>
      </c>
      <c r="F2361" s="17" t="s">
        <v>918</v>
      </c>
      <c r="G2361" s="17">
        <f t="shared" si="99"/>
        <v>26039811258</v>
      </c>
      <c r="H2361" s="17" t="s">
        <v>919</v>
      </c>
      <c r="I2361" s="17">
        <f t="shared" si="100"/>
        <v>26039811258</v>
      </c>
    </row>
    <row r="2362" spans="1:9" x14ac:dyDescent="0.3">
      <c r="A2362" s="17" t="str">
        <f t="shared" si="98"/>
        <v>2010459</v>
      </c>
      <c r="B2362" s="17">
        <v>201</v>
      </c>
      <c r="C2362" s="17">
        <v>459</v>
      </c>
      <c r="D2362" s="17" t="s">
        <v>917</v>
      </c>
      <c r="E2362" s="17">
        <v>0</v>
      </c>
      <c r="F2362" s="17" t="s">
        <v>918</v>
      </c>
      <c r="G2362" s="17">
        <f t="shared" si="99"/>
        <v>26300209370</v>
      </c>
      <c r="H2362" s="17" t="s">
        <v>919</v>
      </c>
      <c r="I2362" s="17">
        <f t="shared" si="100"/>
        <v>26300209370</v>
      </c>
    </row>
    <row r="2363" spans="1:9" x14ac:dyDescent="0.3">
      <c r="A2363" s="17" t="str">
        <f t="shared" si="98"/>
        <v>2010460</v>
      </c>
      <c r="B2363" s="17">
        <v>201</v>
      </c>
      <c r="C2363" s="17">
        <v>460</v>
      </c>
      <c r="D2363" s="17" t="s">
        <v>917</v>
      </c>
      <c r="E2363" s="17">
        <v>0</v>
      </c>
      <c r="F2363" s="17" t="s">
        <v>918</v>
      </c>
      <c r="G2363" s="17">
        <f t="shared" si="99"/>
        <v>26563211463</v>
      </c>
      <c r="H2363" s="17" t="s">
        <v>919</v>
      </c>
      <c r="I2363" s="17">
        <f t="shared" si="100"/>
        <v>26563211463</v>
      </c>
    </row>
    <row r="2364" spans="1:9" x14ac:dyDescent="0.3">
      <c r="A2364" s="17" t="str">
        <f t="shared" si="98"/>
        <v>2010461</v>
      </c>
      <c r="B2364" s="17">
        <v>201</v>
      </c>
      <c r="C2364" s="17">
        <v>461</v>
      </c>
      <c r="D2364" s="17" t="s">
        <v>917</v>
      </c>
      <c r="E2364" s="17">
        <v>0</v>
      </c>
      <c r="F2364" s="17" t="s">
        <v>918</v>
      </c>
      <c r="G2364" s="17">
        <f t="shared" si="99"/>
        <v>26828843577</v>
      </c>
      <c r="H2364" s="17" t="s">
        <v>919</v>
      </c>
      <c r="I2364" s="17">
        <f t="shared" si="100"/>
        <v>26828843577</v>
      </c>
    </row>
    <row r="2365" spans="1:9" x14ac:dyDescent="0.3">
      <c r="A2365" s="17" t="str">
        <f t="shared" si="98"/>
        <v>2010462</v>
      </c>
      <c r="B2365" s="17">
        <v>201</v>
      </c>
      <c r="C2365" s="17">
        <v>462</v>
      </c>
      <c r="D2365" s="17" t="s">
        <v>917</v>
      </c>
      <c r="E2365" s="17">
        <v>0</v>
      </c>
      <c r="F2365" s="17" t="s">
        <v>918</v>
      </c>
      <c r="G2365" s="17">
        <f t="shared" si="99"/>
        <v>27097132012</v>
      </c>
      <c r="H2365" s="17" t="s">
        <v>919</v>
      </c>
      <c r="I2365" s="17">
        <f t="shared" si="100"/>
        <v>27097132012</v>
      </c>
    </row>
    <row r="2366" spans="1:9" x14ac:dyDescent="0.3">
      <c r="A2366" s="17" t="str">
        <f t="shared" si="98"/>
        <v>2010463</v>
      </c>
      <c r="B2366" s="17">
        <v>201</v>
      </c>
      <c r="C2366" s="17">
        <v>463</v>
      </c>
      <c r="D2366" s="17" t="s">
        <v>917</v>
      </c>
      <c r="E2366" s="17">
        <v>0</v>
      </c>
      <c r="F2366" s="17" t="s">
        <v>918</v>
      </c>
      <c r="G2366" s="17">
        <f t="shared" si="99"/>
        <v>27368103332</v>
      </c>
      <c r="H2366" s="17" t="s">
        <v>919</v>
      </c>
      <c r="I2366" s="17">
        <f t="shared" si="100"/>
        <v>27368103332</v>
      </c>
    </row>
    <row r="2367" spans="1:9" x14ac:dyDescent="0.3">
      <c r="A2367" s="17" t="str">
        <f t="shared" si="98"/>
        <v>2010464</v>
      </c>
      <c r="B2367" s="17">
        <v>201</v>
      </c>
      <c r="C2367" s="17">
        <v>464</v>
      </c>
      <c r="D2367" s="17" t="s">
        <v>917</v>
      </c>
      <c r="E2367" s="17">
        <v>0</v>
      </c>
      <c r="F2367" s="17" t="s">
        <v>918</v>
      </c>
      <c r="G2367" s="17">
        <f t="shared" si="99"/>
        <v>27641784365</v>
      </c>
      <c r="H2367" s="17" t="s">
        <v>919</v>
      </c>
      <c r="I2367" s="17">
        <f t="shared" si="100"/>
        <v>27641784365</v>
      </c>
    </row>
    <row r="2368" spans="1:9" x14ac:dyDescent="0.3">
      <c r="A2368" s="17" t="str">
        <f t="shared" si="98"/>
        <v>2010465</v>
      </c>
      <c r="B2368" s="17">
        <v>201</v>
      </c>
      <c r="C2368" s="17">
        <v>465</v>
      </c>
      <c r="D2368" s="17" t="s">
        <v>917</v>
      </c>
      <c r="E2368" s="17">
        <v>0</v>
      </c>
      <c r="F2368" s="17" t="s">
        <v>918</v>
      </c>
      <c r="G2368" s="17">
        <f t="shared" si="99"/>
        <v>27918202208</v>
      </c>
      <c r="H2368" s="17" t="s">
        <v>919</v>
      </c>
      <c r="I2368" s="17">
        <f t="shared" si="100"/>
        <v>27918202208</v>
      </c>
    </row>
    <row r="2369" spans="1:9" x14ac:dyDescent="0.3">
      <c r="A2369" s="17" t="str">
        <f t="shared" si="98"/>
        <v>2010466</v>
      </c>
      <c r="B2369" s="17">
        <v>201</v>
      </c>
      <c r="C2369" s="17">
        <v>466</v>
      </c>
      <c r="D2369" s="17" t="s">
        <v>917</v>
      </c>
      <c r="E2369" s="17">
        <v>0</v>
      </c>
      <c r="F2369" s="17" t="s">
        <v>918</v>
      </c>
      <c r="G2369" s="17">
        <f t="shared" si="99"/>
        <v>28197384230</v>
      </c>
      <c r="H2369" s="17" t="s">
        <v>919</v>
      </c>
      <c r="I2369" s="17">
        <f t="shared" si="100"/>
        <v>28197384230</v>
      </c>
    </row>
    <row r="2370" spans="1:9" x14ac:dyDescent="0.3">
      <c r="A2370" s="17" t="str">
        <f t="shared" si="98"/>
        <v>2010467</v>
      </c>
      <c r="B2370" s="17">
        <v>201</v>
      </c>
      <c r="C2370" s="17">
        <v>467</v>
      </c>
      <c r="D2370" s="17" t="s">
        <v>917</v>
      </c>
      <c r="E2370" s="17">
        <v>0</v>
      </c>
      <c r="F2370" s="17" t="s">
        <v>918</v>
      </c>
      <c r="G2370" s="17">
        <f t="shared" si="99"/>
        <v>28479358072</v>
      </c>
      <c r="H2370" s="17" t="s">
        <v>919</v>
      </c>
      <c r="I2370" s="17">
        <f t="shared" si="100"/>
        <v>28479358072</v>
      </c>
    </row>
    <row r="2371" spans="1:9" x14ac:dyDescent="0.3">
      <c r="A2371" s="17" t="str">
        <f t="shared" si="98"/>
        <v>2010468</v>
      </c>
      <c r="B2371" s="17">
        <v>201</v>
      </c>
      <c r="C2371" s="17">
        <v>468</v>
      </c>
      <c r="D2371" s="17" t="s">
        <v>917</v>
      </c>
      <c r="E2371" s="17">
        <v>0</v>
      </c>
      <c r="F2371" s="17" t="s">
        <v>918</v>
      </c>
      <c r="G2371" s="17">
        <f t="shared" si="99"/>
        <v>28764151652</v>
      </c>
      <c r="H2371" s="17" t="s">
        <v>919</v>
      </c>
      <c r="I2371" s="17">
        <f t="shared" si="100"/>
        <v>28764151652</v>
      </c>
    </row>
    <row r="2372" spans="1:9" x14ac:dyDescent="0.3">
      <c r="A2372" s="17" t="str">
        <f t="shared" ref="A2372:A2435" si="101">B2372&amp;TEXT(C2372,"0000")</f>
        <v>2010469</v>
      </c>
      <c r="B2372" s="17">
        <v>201</v>
      </c>
      <c r="C2372" s="17">
        <v>469</v>
      </c>
      <c r="D2372" s="17" t="s">
        <v>917</v>
      </c>
      <c r="E2372" s="17">
        <v>0</v>
      </c>
      <c r="F2372" s="17" t="s">
        <v>918</v>
      </c>
      <c r="G2372" s="17">
        <f t="shared" si="99"/>
        <v>29051793168</v>
      </c>
      <c r="H2372" s="17" t="s">
        <v>919</v>
      </c>
      <c r="I2372" s="17">
        <f t="shared" si="100"/>
        <v>29051793168</v>
      </c>
    </row>
    <row r="2373" spans="1:9" x14ac:dyDescent="0.3">
      <c r="A2373" s="17" t="str">
        <f t="shared" si="101"/>
        <v>2010470</v>
      </c>
      <c r="B2373" s="17">
        <v>201</v>
      </c>
      <c r="C2373" s="17">
        <v>470</v>
      </c>
      <c r="D2373" s="17" t="s">
        <v>917</v>
      </c>
      <c r="E2373" s="17">
        <v>0</v>
      </c>
      <c r="F2373" s="17" t="s">
        <v>918</v>
      </c>
      <c r="G2373" s="17">
        <f t="shared" si="99"/>
        <v>29342311099</v>
      </c>
      <c r="H2373" s="17" t="s">
        <v>919</v>
      </c>
      <c r="I2373" s="17">
        <f t="shared" si="100"/>
        <v>29342311099</v>
      </c>
    </row>
    <row r="2374" spans="1:9" x14ac:dyDescent="0.3">
      <c r="A2374" s="17" t="str">
        <f t="shared" si="101"/>
        <v>2010471</v>
      </c>
      <c r="B2374" s="17">
        <v>201</v>
      </c>
      <c r="C2374" s="17">
        <v>471</v>
      </c>
      <c r="D2374" s="17" t="s">
        <v>917</v>
      </c>
      <c r="E2374" s="17">
        <v>0</v>
      </c>
      <c r="F2374" s="17" t="s">
        <v>918</v>
      </c>
      <c r="G2374" s="17">
        <f t="shared" si="99"/>
        <v>29635734209</v>
      </c>
      <c r="H2374" s="17" t="s">
        <v>919</v>
      </c>
      <c r="I2374" s="17">
        <f t="shared" si="100"/>
        <v>29635734209</v>
      </c>
    </row>
    <row r="2375" spans="1:9" x14ac:dyDescent="0.3">
      <c r="A2375" s="17" t="str">
        <f t="shared" si="101"/>
        <v>2010472</v>
      </c>
      <c r="B2375" s="17">
        <v>201</v>
      </c>
      <c r="C2375" s="17">
        <v>472</v>
      </c>
      <c r="D2375" s="17" t="s">
        <v>917</v>
      </c>
      <c r="E2375" s="17">
        <v>0</v>
      </c>
      <c r="F2375" s="17" t="s">
        <v>918</v>
      </c>
      <c r="G2375" s="17">
        <f t="shared" si="99"/>
        <v>29932091551</v>
      </c>
      <c r="H2375" s="17" t="s">
        <v>919</v>
      </c>
      <c r="I2375" s="17">
        <f t="shared" si="100"/>
        <v>29932091551</v>
      </c>
    </row>
    <row r="2376" spans="1:9" x14ac:dyDescent="0.3">
      <c r="A2376" s="17" t="str">
        <f t="shared" si="101"/>
        <v>2010473</v>
      </c>
      <c r="B2376" s="17">
        <v>201</v>
      </c>
      <c r="C2376" s="17">
        <v>473</v>
      </c>
      <c r="D2376" s="17" t="s">
        <v>917</v>
      </c>
      <c r="E2376" s="17">
        <v>0</v>
      </c>
      <c r="F2376" s="17" t="s">
        <v>918</v>
      </c>
      <c r="G2376" s="17">
        <f t="shared" si="99"/>
        <v>30231412466</v>
      </c>
      <c r="H2376" s="17" t="s">
        <v>919</v>
      </c>
      <c r="I2376" s="17">
        <f t="shared" si="100"/>
        <v>30231412466</v>
      </c>
    </row>
    <row r="2377" spans="1:9" x14ac:dyDescent="0.3">
      <c r="A2377" s="17" t="str">
        <f t="shared" si="101"/>
        <v>2010474</v>
      </c>
      <c r="B2377" s="17">
        <v>201</v>
      </c>
      <c r="C2377" s="17">
        <v>474</v>
      </c>
      <c r="D2377" s="17" t="s">
        <v>917</v>
      </c>
      <c r="E2377" s="17">
        <v>0</v>
      </c>
      <c r="F2377" s="17" t="s">
        <v>918</v>
      </c>
      <c r="G2377" s="17">
        <f t="shared" si="99"/>
        <v>30533726590</v>
      </c>
      <c r="H2377" s="17" t="s">
        <v>919</v>
      </c>
      <c r="I2377" s="17">
        <f t="shared" si="100"/>
        <v>30533726590</v>
      </c>
    </row>
    <row r="2378" spans="1:9" x14ac:dyDescent="0.3">
      <c r="A2378" s="17" t="str">
        <f t="shared" si="101"/>
        <v>2010475</v>
      </c>
      <c r="B2378" s="17">
        <v>201</v>
      </c>
      <c r="C2378" s="17">
        <v>475</v>
      </c>
      <c r="D2378" s="17" t="s">
        <v>917</v>
      </c>
      <c r="E2378" s="17">
        <v>0</v>
      </c>
      <c r="F2378" s="17" t="s">
        <v>918</v>
      </c>
      <c r="G2378" s="17">
        <f t="shared" si="99"/>
        <v>30839063855</v>
      </c>
      <c r="H2378" s="17" t="s">
        <v>919</v>
      </c>
      <c r="I2378" s="17">
        <f t="shared" si="100"/>
        <v>30839063855</v>
      </c>
    </row>
    <row r="2379" spans="1:9" x14ac:dyDescent="0.3">
      <c r="A2379" s="17" t="str">
        <f t="shared" si="101"/>
        <v>2010476</v>
      </c>
      <c r="B2379" s="17">
        <v>201</v>
      </c>
      <c r="C2379" s="17">
        <v>476</v>
      </c>
      <c r="D2379" s="17" t="s">
        <v>917</v>
      </c>
      <c r="E2379" s="17">
        <v>0</v>
      </c>
      <c r="F2379" s="17" t="s">
        <v>918</v>
      </c>
      <c r="G2379" s="17">
        <f t="shared" si="99"/>
        <v>31147454493</v>
      </c>
      <c r="H2379" s="17" t="s">
        <v>919</v>
      </c>
      <c r="I2379" s="17">
        <f t="shared" si="100"/>
        <v>31147454493</v>
      </c>
    </row>
    <row r="2380" spans="1:9" x14ac:dyDescent="0.3">
      <c r="A2380" s="17" t="str">
        <f t="shared" si="101"/>
        <v>2010477</v>
      </c>
      <c r="B2380" s="17">
        <v>201</v>
      </c>
      <c r="C2380" s="17">
        <v>477</v>
      </c>
      <c r="D2380" s="17" t="s">
        <v>917</v>
      </c>
      <c r="E2380" s="17">
        <v>0</v>
      </c>
      <c r="F2380" s="17" t="s">
        <v>918</v>
      </c>
      <c r="G2380" s="17">
        <f t="shared" si="99"/>
        <v>31458929037</v>
      </c>
      <c r="H2380" s="17" t="s">
        <v>919</v>
      </c>
      <c r="I2380" s="17">
        <f t="shared" si="100"/>
        <v>31458929037</v>
      </c>
    </row>
    <row r="2381" spans="1:9" x14ac:dyDescent="0.3">
      <c r="A2381" s="17" t="str">
        <f t="shared" si="101"/>
        <v>2010478</v>
      </c>
      <c r="B2381" s="17">
        <v>201</v>
      </c>
      <c r="C2381" s="17">
        <v>478</v>
      </c>
      <c r="D2381" s="17" t="s">
        <v>917</v>
      </c>
      <c r="E2381" s="17">
        <v>0</v>
      </c>
      <c r="F2381" s="17" t="s">
        <v>918</v>
      </c>
      <c r="G2381" s="17">
        <f t="shared" si="99"/>
        <v>31773518327</v>
      </c>
      <c r="H2381" s="17" t="s">
        <v>919</v>
      </c>
      <c r="I2381" s="17">
        <f t="shared" si="100"/>
        <v>31773518327</v>
      </c>
    </row>
    <row r="2382" spans="1:9" x14ac:dyDescent="0.3">
      <c r="A2382" s="17" t="str">
        <f t="shared" si="101"/>
        <v>2010479</v>
      </c>
      <c r="B2382" s="17">
        <v>201</v>
      </c>
      <c r="C2382" s="17">
        <v>479</v>
      </c>
      <c r="D2382" s="17" t="s">
        <v>917</v>
      </c>
      <c r="E2382" s="17">
        <v>0</v>
      </c>
      <c r="F2382" s="17" t="s">
        <v>918</v>
      </c>
      <c r="G2382" s="17">
        <f t="shared" si="99"/>
        <v>32091253510</v>
      </c>
      <c r="H2382" s="17" t="s">
        <v>919</v>
      </c>
      <c r="I2382" s="17">
        <f t="shared" si="100"/>
        <v>32091253510</v>
      </c>
    </row>
    <row r="2383" spans="1:9" x14ac:dyDescent="0.3">
      <c r="A2383" s="17" t="str">
        <f t="shared" si="101"/>
        <v>2010480</v>
      </c>
      <c r="B2383" s="17">
        <v>201</v>
      </c>
      <c r="C2383" s="17">
        <v>480</v>
      </c>
      <c r="D2383" s="17" t="s">
        <v>917</v>
      </c>
      <c r="E2383" s="17">
        <v>0</v>
      </c>
      <c r="F2383" s="17" t="s">
        <v>918</v>
      </c>
      <c r="G2383" s="17">
        <f t="shared" si="99"/>
        <v>32412166045</v>
      </c>
      <c r="H2383" s="17" t="s">
        <v>919</v>
      </c>
      <c r="I2383" s="17">
        <f t="shared" si="100"/>
        <v>32412166045</v>
      </c>
    </row>
    <row r="2384" spans="1:9" x14ac:dyDescent="0.3">
      <c r="A2384" s="17" t="str">
        <f t="shared" si="101"/>
        <v>2010481</v>
      </c>
      <c r="B2384" s="17">
        <v>201</v>
      </c>
      <c r="C2384" s="17">
        <v>481</v>
      </c>
      <c r="D2384" s="17" t="s">
        <v>917</v>
      </c>
      <c r="E2384" s="17">
        <v>0</v>
      </c>
      <c r="F2384" s="17" t="s">
        <v>918</v>
      </c>
      <c r="G2384" s="17">
        <f t="shared" si="99"/>
        <v>32736287705</v>
      </c>
      <c r="H2384" s="17" t="s">
        <v>919</v>
      </c>
      <c r="I2384" s="17">
        <f t="shared" si="100"/>
        <v>32736287705</v>
      </c>
    </row>
    <row r="2385" spans="1:9" x14ac:dyDescent="0.3">
      <c r="A2385" s="17" t="str">
        <f t="shared" si="101"/>
        <v>2010482</v>
      </c>
      <c r="B2385" s="17">
        <v>201</v>
      </c>
      <c r="C2385" s="17">
        <v>482</v>
      </c>
      <c r="D2385" s="17" t="s">
        <v>917</v>
      </c>
      <c r="E2385" s="17">
        <v>0</v>
      </c>
      <c r="F2385" s="17" t="s">
        <v>918</v>
      </c>
      <c r="G2385" s="17">
        <f t="shared" si="99"/>
        <v>33063650582</v>
      </c>
      <c r="H2385" s="17" t="s">
        <v>919</v>
      </c>
      <c r="I2385" s="17">
        <f t="shared" si="100"/>
        <v>33063650582</v>
      </c>
    </row>
    <row r="2386" spans="1:9" x14ac:dyDescent="0.3">
      <c r="A2386" s="17" t="str">
        <f t="shared" si="101"/>
        <v>2010483</v>
      </c>
      <c r="B2386" s="17">
        <v>201</v>
      </c>
      <c r="C2386" s="17">
        <v>483</v>
      </c>
      <c r="D2386" s="17" t="s">
        <v>917</v>
      </c>
      <c r="E2386" s="17">
        <v>0</v>
      </c>
      <c r="F2386" s="17" t="s">
        <v>918</v>
      </c>
      <c r="G2386" s="17">
        <f t="shared" si="99"/>
        <v>33394287087</v>
      </c>
      <c r="H2386" s="17" t="s">
        <v>919</v>
      </c>
      <c r="I2386" s="17">
        <f t="shared" si="100"/>
        <v>33394287087</v>
      </c>
    </row>
    <row r="2387" spans="1:9" x14ac:dyDescent="0.3">
      <c r="A2387" s="17" t="str">
        <f t="shared" si="101"/>
        <v>2010484</v>
      </c>
      <c r="B2387" s="17">
        <v>201</v>
      </c>
      <c r="C2387" s="17">
        <v>484</v>
      </c>
      <c r="D2387" s="17" t="s">
        <v>917</v>
      </c>
      <c r="E2387" s="17">
        <v>0</v>
      </c>
      <c r="F2387" s="17" t="s">
        <v>918</v>
      </c>
      <c r="G2387" s="17">
        <f t="shared" si="99"/>
        <v>33728229957</v>
      </c>
      <c r="H2387" s="17" t="s">
        <v>919</v>
      </c>
      <c r="I2387" s="17">
        <f t="shared" si="100"/>
        <v>33728229957</v>
      </c>
    </row>
    <row r="2388" spans="1:9" x14ac:dyDescent="0.3">
      <c r="A2388" s="17" t="str">
        <f t="shared" si="101"/>
        <v>2010485</v>
      </c>
      <c r="B2388" s="17">
        <v>201</v>
      </c>
      <c r="C2388" s="17">
        <v>485</v>
      </c>
      <c r="D2388" s="17" t="s">
        <v>917</v>
      </c>
      <c r="E2388" s="17">
        <v>0</v>
      </c>
      <c r="F2388" s="17" t="s">
        <v>918</v>
      </c>
      <c r="G2388" s="17">
        <f t="shared" si="99"/>
        <v>34065512256</v>
      </c>
      <c r="H2388" s="17" t="s">
        <v>919</v>
      </c>
      <c r="I2388" s="17">
        <f t="shared" si="100"/>
        <v>34065512256</v>
      </c>
    </row>
    <row r="2389" spans="1:9" x14ac:dyDescent="0.3">
      <c r="A2389" s="17" t="str">
        <f t="shared" si="101"/>
        <v>2010486</v>
      </c>
      <c r="B2389" s="17">
        <v>201</v>
      </c>
      <c r="C2389" s="17">
        <v>486</v>
      </c>
      <c r="D2389" s="17" t="s">
        <v>917</v>
      </c>
      <c r="E2389" s="17">
        <v>0</v>
      </c>
      <c r="F2389" s="17" t="s">
        <v>918</v>
      </c>
      <c r="G2389" s="17">
        <f t="shared" si="99"/>
        <v>34406167378</v>
      </c>
      <c r="H2389" s="17" t="s">
        <v>919</v>
      </c>
      <c r="I2389" s="17">
        <f t="shared" si="100"/>
        <v>34406167378</v>
      </c>
    </row>
    <row r="2390" spans="1:9" x14ac:dyDescent="0.3">
      <c r="A2390" s="17" t="str">
        <f t="shared" si="101"/>
        <v>2010487</v>
      </c>
      <c r="B2390" s="17">
        <v>201</v>
      </c>
      <c r="C2390" s="17">
        <v>487</v>
      </c>
      <c r="D2390" s="17" t="s">
        <v>917</v>
      </c>
      <c r="E2390" s="17">
        <v>0</v>
      </c>
      <c r="F2390" s="17" t="s">
        <v>918</v>
      </c>
      <c r="G2390" s="17">
        <f t="shared" si="99"/>
        <v>34750229051</v>
      </c>
      <c r="H2390" s="17" t="s">
        <v>919</v>
      </c>
      <c r="I2390" s="17">
        <f t="shared" si="100"/>
        <v>34750229051</v>
      </c>
    </row>
    <row r="2391" spans="1:9" x14ac:dyDescent="0.3">
      <c r="A2391" s="17" t="str">
        <f t="shared" si="101"/>
        <v>2010488</v>
      </c>
      <c r="B2391" s="17">
        <v>201</v>
      </c>
      <c r="C2391" s="17">
        <v>488</v>
      </c>
      <c r="D2391" s="17" t="s">
        <v>917</v>
      </c>
      <c r="E2391" s="17">
        <v>0</v>
      </c>
      <c r="F2391" s="17" t="s">
        <v>918</v>
      </c>
      <c r="G2391" s="17">
        <f t="shared" si="99"/>
        <v>35097731341</v>
      </c>
      <c r="H2391" s="17" t="s">
        <v>919</v>
      </c>
      <c r="I2391" s="17">
        <f t="shared" si="100"/>
        <v>35097731341</v>
      </c>
    </row>
    <row r="2392" spans="1:9" x14ac:dyDescent="0.3">
      <c r="A2392" s="17" t="str">
        <f t="shared" si="101"/>
        <v>2010489</v>
      </c>
      <c r="B2392" s="17">
        <v>201</v>
      </c>
      <c r="C2392" s="17">
        <v>489</v>
      </c>
      <c r="D2392" s="17" t="s">
        <v>917</v>
      </c>
      <c r="E2392" s="17">
        <v>0</v>
      </c>
      <c r="F2392" s="17" t="s">
        <v>918</v>
      </c>
      <c r="G2392" s="17">
        <f t="shared" si="99"/>
        <v>35448708654</v>
      </c>
      <c r="H2392" s="17" t="s">
        <v>919</v>
      </c>
      <c r="I2392" s="17">
        <f t="shared" si="100"/>
        <v>35448708654</v>
      </c>
    </row>
    <row r="2393" spans="1:9" x14ac:dyDescent="0.3">
      <c r="A2393" s="17" t="str">
        <f t="shared" si="101"/>
        <v>2010490</v>
      </c>
      <c r="B2393" s="17">
        <v>201</v>
      </c>
      <c r="C2393" s="17">
        <v>490</v>
      </c>
      <c r="D2393" s="17" t="s">
        <v>917</v>
      </c>
      <c r="E2393" s="17">
        <v>0</v>
      </c>
      <c r="F2393" s="17" t="s">
        <v>918</v>
      </c>
      <c r="G2393" s="17">
        <f t="shared" si="99"/>
        <v>35803195740</v>
      </c>
      <c r="H2393" s="17" t="s">
        <v>919</v>
      </c>
      <c r="I2393" s="17">
        <f t="shared" si="100"/>
        <v>35803195740</v>
      </c>
    </row>
    <row r="2394" spans="1:9" x14ac:dyDescent="0.3">
      <c r="A2394" s="17" t="str">
        <f t="shared" si="101"/>
        <v>2010491</v>
      </c>
      <c r="B2394" s="17">
        <v>201</v>
      </c>
      <c r="C2394" s="17">
        <v>491</v>
      </c>
      <c r="D2394" s="17" t="s">
        <v>917</v>
      </c>
      <c r="E2394" s="17">
        <v>0</v>
      </c>
      <c r="F2394" s="17" t="s">
        <v>918</v>
      </c>
      <c r="G2394" s="17">
        <f t="shared" si="99"/>
        <v>36161227697</v>
      </c>
      <c r="H2394" s="17" t="s">
        <v>919</v>
      </c>
      <c r="I2394" s="17">
        <f t="shared" si="100"/>
        <v>36161227697</v>
      </c>
    </row>
    <row r="2395" spans="1:9" x14ac:dyDescent="0.3">
      <c r="A2395" s="17" t="str">
        <f t="shared" si="101"/>
        <v>2010492</v>
      </c>
      <c r="B2395" s="17">
        <v>201</v>
      </c>
      <c r="C2395" s="17">
        <v>492</v>
      </c>
      <c r="D2395" s="17" t="s">
        <v>917</v>
      </c>
      <c r="E2395" s="17">
        <v>0</v>
      </c>
      <c r="F2395" s="17" t="s">
        <v>918</v>
      </c>
      <c r="G2395" s="17">
        <f t="shared" si="99"/>
        <v>36522839973</v>
      </c>
      <c r="H2395" s="17" t="s">
        <v>919</v>
      </c>
      <c r="I2395" s="17">
        <f t="shared" si="100"/>
        <v>36522839973</v>
      </c>
    </row>
    <row r="2396" spans="1:9" x14ac:dyDescent="0.3">
      <c r="A2396" s="17" t="str">
        <f t="shared" si="101"/>
        <v>2010493</v>
      </c>
      <c r="B2396" s="17">
        <v>201</v>
      </c>
      <c r="C2396" s="17">
        <v>493</v>
      </c>
      <c r="D2396" s="17" t="s">
        <v>917</v>
      </c>
      <c r="E2396" s="17">
        <v>0</v>
      </c>
      <c r="F2396" s="17" t="s">
        <v>918</v>
      </c>
      <c r="G2396" s="17">
        <f t="shared" ref="G2396:G2459" si="102">INT(G2395*1.01)</f>
        <v>36888068372</v>
      </c>
      <c r="H2396" s="17" t="s">
        <v>919</v>
      </c>
      <c r="I2396" s="17">
        <f t="shared" si="100"/>
        <v>36888068372</v>
      </c>
    </row>
    <row r="2397" spans="1:9" x14ac:dyDescent="0.3">
      <c r="A2397" s="17" t="str">
        <f t="shared" si="101"/>
        <v>2010494</v>
      </c>
      <c r="B2397" s="17">
        <v>201</v>
      </c>
      <c r="C2397" s="17">
        <v>494</v>
      </c>
      <c r="D2397" s="17" t="s">
        <v>917</v>
      </c>
      <c r="E2397" s="17">
        <v>0</v>
      </c>
      <c r="F2397" s="17" t="s">
        <v>918</v>
      </c>
      <c r="G2397" s="17">
        <f t="shared" si="102"/>
        <v>37256949055</v>
      </c>
      <c r="H2397" s="17" t="s">
        <v>919</v>
      </c>
      <c r="I2397" s="17">
        <f t="shared" si="100"/>
        <v>37256949055</v>
      </c>
    </row>
    <row r="2398" spans="1:9" x14ac:dyDescent="0.3">
      <c r="A2398" s="17" t="str">
        <f t="shared" si="101"/>
        <v>2010495</v>
      </c>
      <c r="B2398" s="17">
        <v>201</v>
      </c>
      <c r="C2398" s="17">
        <v>495</v>
      </c>
      <c r="D2398" s="17" t="s">
        <v>917</v>
      </c>
      <c r="E2398" s="17">
        <v>0</v>
      </c>
      <c r="F2398" s="17" t="s">
        <v>918</v>
      </c>
      <c r="G2398" s="17">
        <f t="shared" si="102"/>
        <v>37629518545</v>
      </c>
      <c r="H2398" s="17" t="s">
        <v>919</v>
      </c>
      <c r="I2398" s="17">
        <f t="shared" si="100"/>
        <v>37629518545</v>
      </c>
    </row>
    <row r="2399" spans="1:9" x14ac:dyDescent="0.3">
      <c r="A2399" s="17" t="str">
        <f t="shared" si="101"/>
        <v>2010496</v>
      </c>
      <c r="B2399" s="17">
        <v>201</v>
      </c>
      <c r="C2399" s="17">
        <v>496</v>
      </c>
      <c r="D2399" s="17" t="s">
        <v>917</v>
      </c>
      <c r="E2399" s="17">
        <v>0</v>
      </c>
      <c r="F2399" s="17" t="s">
        <v>918</v>
      </c>
      <c r="G2399" s="17">
        <f t="shared" si="102"/>
        <v>38005813730</v>
      </c>
      <c r="H2399" s="17" t="s">
        <v>919</v>
      </c>
      <c r="I2399" s="17">
        <f t="shared" si="100"/>
        <v>38005813730</v>
      </c>
    </row>
    <row r="2400" spans="1:9" x14ac:dyDescent="0.3">
      <c r="A2400" s="17" t="str">
        <f t="shared" si="101"/>
        <v>2010497</v>
      </c>
      <c r="B2400" s="17">
        <v>201</v>
      </c>
      <c r="C2400" s="17">
        <v>497</v>
      </c>
      <c r="D2400" s="17" t="s">
        <v>917</v>
      </c>
      <c r="E2400" s="17">
        <v>0</v>
      </c>
      <c r="F2400" s="17" t="s">
        <v>918</v>
      </c>
      <c r="G2400" s="17">
        <f t="shared" si="102"/>
        <v>38385871867</v>
      </c>
      <c r="H2400" s="17" t="s">
        <v>919</v>
      </c>
      <c r="I2400" s="17">
        <f t="shared" si="100"/>
        <v>38385871867</v>
      </c>
    </row>
    <row r="2401" spans="1:9" x14ac:dyDescent="0.3">
      <c r="A2401" s="17" t="str">
        <f t="shared" si="101"/>
        <v>2010498</v>
      </c>
      <c r="B2401" s="17">
        <v>201</v>
      </c>
      <c r="C2401" s="17">
        <v>498</v>
      </c>
      <c r="D2401" s="17" t="s">
        <v>917</v>
      </c>
      <c r="E2401" s="17">
        <v>0</v>
      </c>
      <c r="F2401" s="17" t="s">
        <v>918</v>
      </c>
      <c r="G2401" s="17">
        <f t="shared" si="102"/>
        <v>38769730585</v>
      </c>
      <c r="H2401" s="17" t="s">
        <v>919</v>
      </c>
      <c r="I2401" s="17">
        <f t="shared" si="100"/>
        <v>38769730585</v>
      </c>
    </row>
    <row r="2402" spans="1:9" x14ac:dyDescent="0.3">
      <c r="A2402" s="17" t="str">
        <f t="shared" si="101"/>
        <v>2010499</v>
      </c>
      <c r="B2402" s="17">
        <v>201</v>
      </c>
      <c r="C2402" s="17">
        <v>499</v>
      </c>
      <c r="D2402" s="17" t="s">
        <v>917</v>
      </c>
      <c r="E2402" s="17">
        <v>0</v>
      </c>
      <c r="F2402" s="17" t="s">
        <v>918</v>
      </c>
      <c r="G2402" s="17">
        <f t="shared" si="102"/>
        <v>39157427890</v>
      </c>
      <c r="H2402" s="17" t="s">
        <v>919</v>
      </c>
      <c r="I2402" s="17">
        <f t="shared" si="100"/>
        <v>39157427890</v>
      </c>
    </row>
    <row r="2403" spans="1:9" x14ac:dyDescent="0.3">
      <c r="A2403" s="17" t="str">
        <f t="shared" si="101"/>
        <v>2010500</v>
      </c>
      <c r="B2403" s="17">
        <v>201</v>
      </c>
      <c r="C2403" s="17">
        <v>500</v>
      </c>
      <c r="D2403" s="17" t="s">
        <v>917</v>
      </c>
      <c r="E2403" s="17">
        <v>0</v>
      </c>
      <c r="F2403" s="17" t="s">
        <v>918</v>
      </c>
      <c r="G2403" s="17">
        <f t="shared" si="102"/>
        <v>39549002168</v>
      </c>
      <c r="H2403" s="17" t="s">
        <v>919</v>
      </c>
      <c r="I2403" s="17">
        <f t="shared" si="100"/>
        <v>39549002168</v>
      </c>
    </row>
    <row r="2404" spans="1:9" x14ac:dyDescent="0.3">
      <c r="A2404" s="17" t="str">
        <f t="shared" si="101"/>
        <v>2010501</v>
      </c>
      <c r="B2404" s="17">
        <v>201</v>
      </c>
      <c r="C2404" s="17">
        <v>501</v>
      </c>
      <c r="D2404" s="17" t="s">
        <v>917</v>
      </c>
      <c r="E2404" s="17">
        <v>0</v>
      </c>
      <c r="F2404" s="17" t="s">
        <v>918</v>
      </c>
      <c r="G2404" s="17">
        <f t="shared" si="102"/>
        <v>39944492189</v>
      </c>
      <c r="H2404" s="17" t="s">
        <v>919</v>
      </c>
      <c r="I2404" s="17">
        <f t="shared" si="100"/>
        <v>39944492189</v>
      </c>
    </row>
    <row r="2405" spans="1:9" x14ac:dyDescent="0.3">
      <c r="A2405" s="17" t="str">
        <f t="shared" si="101"/>
        <v>2010502</v>
      </c>
      <c r="B2405" s="17">
        <v>201</v>
      </c>
      <c r="C2405" s="17">
        <v>502</v>
      </c>
      <c r="D2405" s="17" t="s">
        <v>917</v>
      </c>
      <c r="E2405" s="17">
        <v>0</v>
      </c>
      <c r="F2405" s="17" t="s">
        <v>918</v>
      </c>
      <c r="G2405" s="17">
        <f t="shared" si="102"/>
        <v>40343937110</v>
      </c>
      <c r="H2405" s="17" t="s">
        <v>919</v>
      </c>
      <c r="I2405" s="17">
        <f t="shared" si="100"/>
        <v>40343937110</v>
      </c>
    </row>
    <row r="2406" spans="1:9" x14ac:dyDescent="0.3">
      <c r="A2406" s="17" t="str">
        <f t="shared" si="101"/>
        <v>2010503</v>
      </c>
      <c r="B2406" s="17">
        <v>201</v>
      </c>
      <c r="C2406" s="17">
        <v>503</v>
      </c>
      <c r="D2406" s="17" t="s">
        <v>917</v>
      </c>
      <c r="E2406" s="17">
        <v>0</v>
      </c>
      <c r="F2406" s="17" t="s">
        <v>918</v>
      </c>
      <c r="G2406" s="17">
        <f t="shared" si="102"/>
        <v>40747376481</v>
      </c>
      <c r="H2406" s="17" t="s">
        <v>919</v>
      </c>
      <c r="I2406" s="17">
        <f t="shared" si="100"/>
        <v>40747376481</v>
      </c>
    </row>
    <row r="2407" spans="1:9" x14ac:dyDescent="0.3">
      <c r="A2407" s="17" t="str">
        <f t="shared" si="101"/>
        <v>2010504</v>
      </c>
      <c r="B2407" s="17">
        <v>201</v>
      </c>
      <c r="C2407" s="17">
        <v>504</v>
      </c>
      <c r="D2407" s="17" t="s">
        <v>917</v>
      </c>
      <c r="E2407" s="17">
        <v>0</v>
      </c>
      <c r="F2407" s="17" t="s">
        <v>918</v>
      </c>
      <c r="G2407" s="17">
        <f t="shared" si="102"/>
        <v>41154850245</v>
      </c>
      <c r="H2407" s="17" t="s">
        <v>919</v>
      </c>
      <c r="I2407" s="17">
        <f t="shared" si="100"/>
        <v>41154850245</v>
      </c>
    </row>
    <row r="2408" spans="1:9" x14ac:dyDescent="0.3">
      <c r="A2408" s="17" t="str">
        <f t="shared" si="101"/>
        <v>2010505</v>
      </c>
      <c r="B2408" s="17">
        <v>201</v>
      </c>
      <c r="C2408" s="17">
        <v>505</v>
      </c>
      <c r="D2408" s="17" t="s">
        <v>917</v>
      </c>
      <c r="E2408" s="17">
        <v>0</v>
      </c>
      <c r="F2408" s="17" t="s">
        <v>918</v>
      </c>
      <c r="G2408" s="17">
        <f t="shared" si="102"/>
        <v>41566398747</v>
      </c>
      <c r="H2408" s="17" t="s">
        <v>919</v>
      </c>
      <c r="I2408" s="17">
        <f t="shared" si="100"/>
        <v>41566398747</v>
      </c>
    </row>
    <row r="2409" spans="1:9" x14ac:dyDescent="0.3">
      <c r="A2409" s="17" t="str">
        <f t="shared" si="101"/>
        <v>2010506</v>
      </c>
      <c r="B2409" s="17">
        <v>201</v>
      </c>
      <c r="C2409" s="17">
        <v>506</v>
      </c>
      <c r="D2409" s="17" t="s">
        <v>917</v>
      </c>
      <c r="E2409" s="17">
        <v>0</v>
      </c>
      <c r="F2409" s="17" t="s">
        <v>918</v>
      </c>
      <c r="G2409" s="17">
        <f t="shared" si="102"/>
        <v>41982062734</v>
      </c>
      <c r="H2409" s="17" t="s">
        <v>919</v>
      </c>
      <c r="I2409" s="17">
        <f t="shared" si="100"/>
        <v>41982062734</v>
      </c>
    </row>
    <row r="2410" spans="1:9" x14ac:dyDescent="0.3">
      <c r="A2410" s="17" t="str">
        <f t="shared" si="101"/>
        <v>2010507</v>
      </c>
      <c r="B2410" s="17">
        <v>201</v>
      </c>
      <c r="C2410" s="17">
        <v>507</v>
      </c>
      <c r="D2410" s="17" t="s">
        <v>917</v>
      </c>
      <c r="E2410" s="17">
        <v>0</v>
      </c>
      <c r="F2410" s="17" t="s">
        <v>918</v>
      </c>
      <c r="G2410" s="17">
        <f t="shared" si="102"/>
        <v>42401883361</v>
      </c>
      <c r="H2410" s="17" t="s">
        <v>919</v>
      </c>
      <c r="I2410" s="17">
        <f t="shared" si="100"/>
        <v>42401883361</v>
      </c>
    </row>
    <row r="2411" spans="1:9" x14ac:dyDescent="0.3">
      <c r="A2411" s="17" t="str">
        <f t="shared" si="101"/>
        <v>2010508</v>
      </c>
      <c r="B2411" s="17">
        <v>201</v>
      </c>
      <c r="C2411" s="17">
        <v>508</v>
      </c>
      <c r="D2411" s="17" t="s">
        <v>917</v>
      </c>
      <c r="E2411" s="17">
        <v>0</v>
      </c>
      <c r="F2411" s="17" t="s">
        <v>918</v>
      </c>
      <c r="G2411" s="17">
        <f t="shared" si="102"/>
        <v>42825902194</v>
      </c>
      <c r="H2411" s="17" t="s">
        <v>919</v>
      </c>
      <c r="I2411" s="17">
        <f t="shared" si="100"/>
        <v>42825902194</v>
      </c>
    </row>
    <row r="2412" spans="1:9" x14ac:dyDescent="0.3">
      <c r="A2412" s="17" t="str">
        <f t="shared" si="101"/>
        <v>2010509</v>
      </c>
      <c r="B2412" s="17">
        <v>201</v>
      </c>
      <c r="C2412" s="17">
        <v>509</v>
      </c>
      <c r="D2412" s="17" t="s">
        <v>917</v>
      </c>
      <c r="E2412" s="17">
        <v>0</v>
      </c>
      <c r="F2412" s="17" t="s">
        <v>918</v>
      </c>
      <c r="G2412" s="17">
        <f t="shared" si="102"/>
        <v>43254161215</v>
      </c>
      <c r="H2412" s="17" t="s">
        <v>919</v>
      </c>
      <c r="I2412" s="17">
        <f t="shared" si="100"/>
        <v>43254161215</v>
      </c>
    </row>
    <row r="2413" spans="1:9" x14ac:dyDescent="0.3">
      <c r="A2413" s="17" t="str">
        <f t="shared" si="101"/>
        <v>2010510</v>
      </c>
      <c r="B2413" s="17">
        <v>201</v>
      </c>
      <c r="C2413" s="17">
        <v>510</v>
      </c>
      <c r="D2413" s="17" t="s">
        <v>917</v>
      </c>
      <c r="E2413" s="17">
        <v>0</v>
      </c>
      <c r="F2413" s="17" t="s">
        <v>918</v>
      </c>
      <c r="G2413" s="17">
        <f t="shared" si="102"/>
        <v>43686702827</v>
      </c>
      <c r="H2413" s="17" t="s">
        <v>919</v>
      </c>
      <c r="I2413" s="17">
        <f t="shared" si="100"/>
        <v>43686702827</v>
      </c>
    </row>
    <row r="2414" spans="1:9" x14ac:dyDescent="0.3">
      <c r="A2414" s="17" t="str">
        <f t="shared" si="101"/>
        <v>2010511</v>
      </c>
      <c r="B2414" s="17">
        <v>201</v>
      </c>
      <c r="C2414" s="17">
        <v>511</v>
      </c>
      <c r="D2414" s="17" t="s">
        <v>917</v>
      </c>
      <c r="E2414" s="17">
        <v>0</v>
      </c>
      <c r="F2414" s="17" t="s">
        <v>918</v>
      </c>
      <c r="G2414" s="17">
        <f t="shared" si="102"/>
        <v>44123569855</v>
      </c>
      <c r="H2414" s="17" t="s">
        <v>919</v>
      </c>
      <c r="I2414" s="17">
        <f t="shared" si="100"/>
        <v>44123569855</v>
      </c>
    </row>
    <row r="2415" spans="1:9" x14ac:dyDescent="0.3">
      <c r="A2415" s="17" t="str">
        <f t="shared" si="101"/>
        <v>2010512</v>
      </c>
      <c r="B2415" s="17">
        <v>201</v>
      </c>
      <c r="C2415" s="17">
        <v>512</v>
      </c>
      <c r="D2415" s="17" t="s">
        <v>917</v>
      </c>
      <c r="E2415" s="17">
        <v>0</v>
      </c>
      <c r="F2415" s="17" t="s">
        <v>918</v>
      </c>
      <c r="G2415" s="17">
        <f t="shared" si="102"/>
        <v>44564805553</v>
      </c>
      <c r="H2415" s="17" t="s">
        <v>919</v>
      </c>
      <c r="I2415" s="17">
        <f t="shared" si="100"/>
        <v>44564805553</v>
      </c>
    </row>
    <row r="2416" spans="1:9" x14ac:dyDescent="0.3">
      <c r="A2416" s="17" t="str">
        <f t="shared" si="101"/>
        <v>2010513</v>
      </c>
      <c r="B2416" s="17">
        <v>201</v>
      </c>
      <c r="C2416" s="17">
        <v>513</v>
      </c>
      <c r="D2416" s="17" t="s">
        <v>917</v>
      </c>
      <c r="E2416" s="17">
        <v>0</v>
      </c>
      <c r="F2416" s="17" t="s">
        <v>918</v>
      </c>
      <c r="G2416" s="17">
        <f t="shared" si="102"/>
        <v>45010453608</v>
      </c>
      <c r="H2416" s="17" t="s">
        <v>919</v>
      </c>
      <c r="I2416" s="17">
        <f t="shared" si="100"/>
        <v>45010453608</v>
      </c>
    </row>
    <row r="2417" spans="1:9" x14ac:dyDescent="0.3">
      <c r="A2417" s="17" t="str">
        <f t="shared" si="101"/>
        <v>2010514</v>
      </c>
      <c r="B2417" s="17">
        <v>201</v>
      </c>
      <c r="C2417" s="17">
        <v>514</v>
      </c>
      <c r="D2417" s="17" t="s">
        <v>917</v>
      </c>
      <c r="E2417" s="17">
        <v>0</v>
      </c>
      <c r="F2417" s="17" t="s">
        <v>918</v>
      </c>
      <c r="G2417" s="17">
        <f t="shared" si="102"/>
        <v>45460558144</v>
      </c>
      <c r="H2417" s="17" t="s">
        <v>919</v>
      </c>
      <c r="I2417" s="17">
        <f t="shared" ref="I2417:I2480" si="103">G2417</f>
        <v>45460558144</v>
      </c>
    </row>
    <row r="2418" spans="1:9" x14ac:dyDescent="0.3">
      <c r="A2418" s="17" t="str">
        <f t="shared" si="101"/>
        <v>2010515</v>
      </c>
      <c r="B2418" s="17">
        <v>201</v>
      </c>
      <c r="C2418" s="17">
        <v>515</v>
      </c>
      <c r="D2418" s="17" t="s">
        <v>917</v>
      </c>
      <c r="E2418" s="17">
        <v>0</v>
      </c>
      <c r="F2418" s="17" t="s">
        <v>918</v>
      </c>
      <c r="G2418" s="17">
        <f t="shared" si="102"/>
        <v>45915163725</v>
      </c>
      <c r="H2418" s="17" t="s">
        <v>919</v>
      </c>
      <c r="I2418" s="17">
        <f t="shared" si="103"/>
        <v>45915163725</v>
      </c>
    </row>
    <row r="2419" spans="1:9" x14ac:dyDescent="0.3">
      <c r="A2419" s="17" t="str">
        <f t="shared" si="101"/>
        <v>2010516</v>
      </c>
      <c r="B2419" s="17">
        <v>201</v>
      </c>
      <c r="C2419" s="17">
        <v>516</v>
      </c>
      <c r="D2419" s="17" t="s">
        <v>917</v>
      </c>
      <c r="E2419" s="17">
        <v>0</v>
      </c>
      <c r="F2419" s="17" t="s">
        <v>918</v>
      </c>
      <c r="G2419" s="17">
        <f t="shared" si="102"/>
        <v>46374315362</v>
      </c>
      <c r="H2419" s="17" t="s">
        <v>919</v>
      </c>
      <c r="I2419" s="17">
        <f t="shared" si="103"/>
        <v>46374315362</v>
      </c>
    </row>
    <row r="2420" spans="1:9" x14ac:dyDescent="0.3">
      <c r="A2420" s="17" t="str">
        <f t="shared" si="101"/>
        <v>2010517</v>
      </c>
      <c r="B2420" s="17">
        <v>201</v>
      </c>
      <c r="C2420" s="17">
        <v>517</v>
      </c>
      <c r="D2420" s="17" t="s">
        <v>917</v>
      </c>
      <c r="E2420" s="17">
        <v>0</v>
      </c>
      <c r="F2420" s="17" t="s">
        <v>918</v>
      </c>
      <c r="G2420" s="17">
        <f t="shared" si="102"/>
        <v>46838058515</v>
      </c>
      <c r="H2420" s="17" t="s">
        <v>919</v>
      </c>
      <c r="I2420" s="17">
        <f t="shared" si="103"/>
        <v>46838058515</v>
      </c>
    </row>
    <row r="2421" spans="1:9" x14ac:dyDescent="0.3">
      <c r="A2421" s="17" t="str">
        <f t="shared" si="101"/>
        <v>2010518</v>
      </c>
      <c r="B2421" s="17">
        <v>201</v>
      </c>
      <c r="C2421" s="17">
        <v>518</v>
      </c>
      <c r="D2421" s="17" t="s">
        <v>917</v>
      </c>
      <c r="E2421" s="17">
        <v>0</v>
      </c>
      <c r="F2421" s="17" t="s">
        <v>918</v>
      </c>
      <c r="G2421" s="17">
        <f t="shared" si="102"/>
        <v>47306439100</v>
      </c>
      <c r="H2421" s="17" t="s">
        <v>919</v>
      </c>
      <c r="I2421" s="17">
        <f t="shared" si="103"/>
        <v>47306439100</v>
      </c>
    </row>
    <row r="2422" spans="1:9" x14ac:dyDescent="0.3">
      <c r="A2422" s="17" t="str">
        <f t="shared" si="101"/>
        <v>2010519</v>
      </c>
      <c r="B2422" s="17">
        <v>201</v>
      </c>
      <c r="C2422" s="17">
        <v>519</v>
      </c>
      <c r="D2422" s="17" t="s">
        <v>917</v>
      </c>
      <c r="E2422" s="17">
        <v>0</v>
      </c>
      <c r="F2422" s="17" t="s">
        <v>918</v>
      </c>
      <c r="G2422" s="17">
        <f t="shared" si="102"/>
        <v>47779503491</v>
      </c>
      <c r="H2422" s="17" t="s">
        <v>919</v>
      </c>
      <c r="I2422" s="17">
        <f t="shared" si="103"/>
        <v>47779503491</v>
      </c>
    </row>
    <row r="2423" spans="1:9" x14ac:dyDescent="0.3">
      <c r="A2423" s="17" t="str">
        <f t="shared" si="101"/>
        <v>2010520</v>
      </c>
      <c r="B2423" s="17">
        <v>201</v>
      </c>
      <c r="C2423" s="17">
        <v>520</v>
      </c>
      <c r="D2423" s="17" t="s">
        <v>917</v>
      </c>
      <c r="E2423" s="17">
        <v>0</v>
      </c>
      <c r="F2423" s="17" t="s">
        <v>918</v>
      </c>
      <c r="G2423" s="17">
        <f t="shared" si="102"/>
        <v>48257298525</v>
      </c>
      <c r="H2423" s="17" t="s">
        <v>919</v>
      </c>
      <c r="I2423" s="17">
        <f t="shared" si="103"/>
        <v>48257298525</v>
      </c>
    </row>
    <row r="2424" spans="1:9" x14ac:dyDescent="0.3">
      <c r="A2424" s="17" t="str">
        <f t="shared" si="101"/>
        <v>2010521</v>
      </c>
      <c r="B2424" s="17">
        <v>201</v>
      </c>
      <c r="C2424" s="17">
        <v>521</v>
      </c>
      <c r="D2424" s="17" t="s">
        <v>917</v>
      </c>
      <c r="E2424" s="17">
        <v>0</v>
      </c>
      <c r="F2424" s="17" t="s">
        <v>918</v>
      </c>
      <c r="G2424" s="17">
        <f t="shared" si="102"/>
        <v>48739871510</v>
      </c>
      <c r="H2424" s="17" t="s">
        <v>919</v>
      </c>
      <c r="I2424" s="17">
        <f t="shared" si="103"/>
        <v>48739871510</v>
      </c>
    </row>
    <row r="2425" spans="1:9" x14ac:dyDescent="0.3">
      <c r="A2425" s="17" t="str">
        <f t="shared" si="101"/>
        <v>2010522</v>
      </c>
      <c r="B2425" s="17">
        <v>201</v>
      </c>
      <c r="C2425" s="17">
        <v>522</v>
      </c>
      <c r="D2425" s="17" t="s">
        <v>917</v>
      </c>
      <c r="E2425" s="17">
        <v>0</v>
      </c>
      <c r="F2425" s="17" t="s">
        <v>918</v>
      </c>
      <c r="G2425" s="17">
        <f t="shared" si="102"/>
        <v>49227270225</v>
      </c>
      <c r="H2425" s="17" t="s">
        <v>919</v>
      </c>
      <c r="I2425" s="17">
        <f t="shared" si="103"/>
        <v>49227270225</v>
      </c>
    </row>
    <row r="2426" spans="1:9" x14ac:dyDescent="0.3">
      <c r="A2426" s="17" t="str">
        <f t="shared" si="101"/>
        <v>2010523</v>
      </c>
      <c r="B2426" s="17">
        <v>201</v>
      </c>
      <c r="C2426" s="17">
        <v>523</v>
      </c>
      <c r="D2426" s="17" t="s">
        <v>917</v>
      </c>
      <c r="E2426" s="17">
        <v>0</v>
      </c>
      <c r="F2426" s="17" t="s">
        <v>918</v>
      </c>
      <c r="G2426" s="17">
        <f t="shared" si="102"/>
        <v>49719542927</v>
      </c>
      <c r="H2426" s="17" t="s">
        <v>919</v>
      </c>
      <c r="I2426" s="17">
        <f t="shared" si="103"/>
        <v>49719542927</v>
      </c>
    </row>
    <row r="2427" spans="1:9" x14ac:dyDescent="0.3">
      <c r="A2427" s="17" t="str">
        <f t="shared" si="101"/>
        <v>2010524</v>
      </c>
      <c r="B2427" s="17">
        <v>201</v>
      </c>
      <c r="C2427" s="17">
        <v>524</v>
      </c>
      <c r="D2427" s="17" t="s">
        <v>917</v>
      </c>
      <c r="E2427" s="17">
        <v>0</v>
      </c>
      <c r="F2427" s="17" t="s">
        <v>918</v>
      </c>
      <c r="G2427" s="17">
        <f t="shared" si="102"/>
        <v>50216738356</v>
      </c>
      <c r="H2427" s="17" t="s">
        <v>919</v>
      </c>
      <c r="I2427" s="17">
        <f t="shared" si="103"/>
        <v>50216738356</v>
      </c>
    </row>
    <row r="2428" spans="1:9" x14ac:dyDescent="0.3">
      <c r="A2428" s="17" t="str">
        <f t="shared" si="101"/>
        <v>2010525</v>
      </c>
      <c r="B2428" s="17">
        <v>201</v>
      </c>
      <c r="C2428" s="17">
        <v>525</v>
      </c>
      <c r="D2428" s="17" t="s">
        <v>917</v>
      </c>
      <c r="E2428" s="17">
        <v>0</v>
      </c>
      <c r="F2428" s="17" t="s">
        <v>918</v>
      </c>
      <c r="G2428" s="17">
        <f t="shared" si="102"/>
        <v>50718905739</v>
      </c>
      <c r="H2428" s="17" t="s">
        <v>919</v>
      </c>
      <c r="I2428" s="17">
        <f t="shared" si="103"/>
        <v>50718905739</v>
      </c>
    </row>
    <row r="2429" spans="1:9" x14ac:dyDescent="0.3">
      <c r="A2429" s="17" t="str">
        <f t="shared" si="101"/>
        <v>2010526</v>
      </c>
      <c r="B2429" s="17">
        <v>201</v>
      </c>
      <c r="C2429" s="17">
        <v>526</v>
      </c>
      <c r="D2429" s="17" t="s">
        <v>917</v>
      </c>
      <c r="E2429" s="17">
        <v>0</v>
      </c>
      <c r="F2429" s="17" t="s">
        <v>918</v>
      </c>
      <c r="G2429" s="17">
        <f t="shared" si="102"/>
        <v>51226094796</v>
      </c>
      <c r="H2429" s="17" t="s">
        <v>919</v>
      </c>
      <c r="I2429" s="17">
        <f t="shared" si="103"/>
        <v>51226094796</v>
      </c>
    </row>
    <row r="2430" spans="1:9" x14ac:dyDescent="0.3">
      <c r="A2430" s="17" t="str">
        <f t="shared" si="101"/>
        <v>2010527</v>
      </c>
      <c r="B2430" s="17">
        <v>201</v>
      </c>
      <c r="C2430" s="17">
        <v>527</v>
      </c>
      <c r="D2430" s="17" t="s">
        <v>917</v>
      </c>
      <c r="E2430" s="17">
        <v>0</v>
      </c>
      <c r="F2430" s="17" t="s">
        <v>918</v>
      </c>
      <c r="G2430" s="17">
        <f t="shared" si="102"/>
        <v>51738355743</v>
      </c>
      <c r="H2430" s="17" t="s">
        <v>919</v>
      </c>
      <c r="I2430" s="17">
        <f t="shared" si="103"/>
        <v>51738355743</v>
      </c>
    </row>
    <row r="2431" spans="1:9" x14ac:dyDescent="0.3">
      <c r="A2431" s="17" t="str">
        <f t="shared" si="101"/>
        <v>2010528</v>
      </c>
      <c r="B2431" s="17">
        <v>201</v>
      </c>
      <c r="C2431" s="17">
        <v>528</v>
      </c>
      <c r="D2431" s="17" t="s">
        <v>917</v>
      </c>
      <c r="E2431" s="17">
        <v>0</v>
      </c>
      <c r="F2431" s="17" t="s">
        <v>918</v>
      </c>
      <c r="G2431" s="17">
        <f t="shared" si="102"/>
        <v>52255739300</v>
      </c>
      <c r="H2431" s="17" t="s">
        <v>919</v>
      </c>
      <c r="I2431" s="17">
        <f t="shared" si="103"/>
        <v>52255739300</v>
      </c>
    </row>
    <row r="2432" spans="1:9" x14ac:dyDescent="0.3">
      <c r="A2432" s="17" t="str">
        <f t="shared" si="101"/>
        <v>2010529</v>
      </c>
      <c r="B2432" s="17">
        <v>201</v>
      </c>
      <c r="C2432" s="17">
        <v>529</v>
      </c>
      <c r="D2432" s="17" t="s">
        <v>917</v>
      </c>
      <c r="E2432" s="17">
        <v>0</v>
      </c>
      <c r="F2432" s="17" t="s">
        <v>918</v>
      </c>
      <c r="G2432" s="17">
        <f t="shared" si="102"/>
        <v>52778296693</v>
      </c>
      <c r="H2432" s="17" t="s">
        <v>919</v>
      </c>
      <c r="I2432" s="17">
        <f t="shared" si="103"/>
        <v>52778296693</v>
      </c>
    </row>
    <row r="2433" spans="1:9" x14ac:dyDescent="0.3">
      <c r="A2433" s="17" t="str">
        <f t="shared" si="101"/>
        <v>2010530</v>
      </c>
      <c r="B2433" s="17">
        <v>201</v>
      </c>
      <c r="C2433" s="17">
        <v>530</v>
      </c>
      <c r="D2433" s="17" t="s">
        <v>917</v>
      </c>
      <c r="E2433" s="17">
        <v>0</v>
      </c>
      <c r="F2433" s="17" t="s">
        <v>918</v>
      </c>
      <c r="G2433" s="17">
        <f t="shared" si="102"/>
        <v>53306079659</v>
      </c>
      <c r="H2433" s="17" t="s">
        <v>919</v>
      </c>
      <c r="I2433" s="17">
        <f t="shared" si="103"/>
        <v>53306079659</v>
      </c>
    </row>
    <row r="2434" spans="1:9" x14ac:dyDescent="0.3">
      <c r="A2434" s="17" t="str">
        <f t="shared" si="101"/>
        <v>2010531</v>
      </c>
      <c r="B2434" s="17">
        <v>201</v>
      </c>
      <c r="C2434" s="17">
        <v>531</v>
      </c>
      <c r="D2434" s="17" t="s">
        <v>917</v>
      </c>
      <c r="E2434" s="17">
        <v>0</v>
      </c>
      <c r="F2434" s="17" t="s">
        <v>918</v>
      </c>
      <c r="G2434" s="17">
        <f t="shared" si="102"/>
        <v>53839140455</v>
      </c>
      <c r="H2434" s="17" t="s">
        <v>919</v>
      </c>
      <c r="I2434" s="17">
        <f t="shared" si="103"/>
        <v>53839140455</v>
      </c>
    </row>
    <row r="2435" spans="1:9" x14ac:dyDescent="0.3">
      <c r="A2435" s="17" t="str">
        <f t="shared" si="101"/>
        <v>2010532</v>
      </c>
      <c r="B2435" s="17">
        <v>201</v>
      </c>
      <c r="C2435" s="17">
        <v>532</v>
      </c>
      <c r="D2435" s="17" t="s">
        <v>917</v>
      </c>
      <c r="E2435" s="17">
        <v>0</v>
      </c>
      <c r="F2435" s="17" t="s">
        <v>918</v>
      </c>
      <c r="G2435" s="17">
        <f t="shared" si="102"/>
        <v>54377531859</v>
      </c>
      <c r="H2435" s="17" t="s">
        <v>919</v>
      </c>
      <c r="I2435" s="17">
        <f t="shared" si="103"/>
        <v>54377531859</v>
      </c>
    </row>
    <row r="2436" spans="1:9" x14ac:dyDescent="0.3">
      <c r="A2436" s="17" t="str">
        <f t="shared" ref="A2436:A2499" si="104">B2436&amp;TEXT(C2436,"0000")</f>
        <v>2010533</v>
      </c>
      <c r="B2436" s="17">
        <v>201</v>
      </c>
      <c r="C2436" s="17">
        <v>533</v>
      </c>
      <c r="D2436" s="17" t="s">
        <v>917</v>
      </c>
      <c r="E2436" s="17">
        <v>0</v>
      </c>
      <c r="F2436" s="17" t="s">
        <v>918</v>
      </c>
      <c r="G2436" s="17">
        <f t="shared" si="102"/>
        <v>54921307177</v>
      </c>
      <c r="H2436" s="17" t="s">
        <v>919</v>
      </c>
      <c r="I2436" s="17">
        <f t="shared" si="103"/>
        <v>54921307177</v>
      </c>
    </row>
    <row r="2437" spans="1:9" x14ac:dyDescent="0.3">
      <c r="A2437" s="17" t="str">
        <f t="shared" si="104"/>
        <v>2010534</v>
      </c>
      <c r="B2437" s="17">
        <v>201</v>
      </c>
      <c r="C2437" s="17">
        <v>534</v>
      </c>
      <c r="D2437" s="17" t="s">
        <v>917</v>
      </c>
      <c r="E2437" s="17">
        <v>0</v>
      </c>
      <c r="F2437" s="17" t="s">
        <v>918</v>
      </c>
      <c r="G2437" s="17">
        <f t="shared" si="102"/>
        <v>55470520248</v>
      </c>
      <c r="H2437" s="17" t="s">
        <v>919</v>
      </c>
      <c r="I2437" s="17">
        <f t="shared" si="103"/>
        <v>55470520248</v>
      </c>
    </row>
    <row r="2438" spans="1:9" x14ac:dyDescent="0.3">
      <c r="A2438" s="17" t="str">
        <f t="shared" si="104"/>
        <v>2010535</v>
      </c>
      <c r="B2438" s="17">
        <v>201</v>
      </c>
      <c r="C2438" s="17">
        <v>535</v>
      </c>
      <c r="D2438" s="17" t="s">
        <v>917</v>
      </c>
      <c r="E2438" s="17">
        <v>0</v>
      </c>
      <c r="F2438" s="17" t="s">
        <v>918</v>
      </c>
      <c r="G2438" s="17">
        <f t="shared" si="102"/>
        <v>56025225450</v>
      </c>
      <c r="H2438" s="17" t="s">
        <v>919</v>
      </c>
      <c r="I2438" s="17">
        <f t="shared" si="103"/>
        <v>56025225450</v>
      </c>
    </row>
    <row r="2439" spans="1:9" x14ac:dyDescent="0.3">
      <c r="A2439" s="17" t="str">
        <f t="shared" si="104"/>
        <v>2010536</v>
      </c>
      <c r="B2439" s="17">
        <v>201</v>
      </c>
      <c r="C2439" s="17">
        <v>536</v>
      </c>
      <c r="D2439" s="17" t="s">
        <v>917</v>
      </c>
      <c r="E2439" s="17">
        <v>0</v>
      </c>
      <c r="F2439" s="17" t="s">
        <v>918</v>
      </c>
      <c r="G2439" s="17">
        <f t="shared" si="102"/>
        <v>56585477704</v>
      </c>
      <c r="H2439" s="17" t="s">
        <v>919</v>
      </c>
      <c r="I2439" s="17">
        <f t="shared" si="103"/>
        <v>56585477704</v>
      </c>
    </row>
    <row r="2440" spans="1:9" x14ac:dyDescent="0.3">
      <c r="A2440" s="17" t="str">
        <f t="shared" si="104"/>
        <v>2010537</v>
      </c>
      <c r="B2440" s="17">
        <v>201</v>
      </c>
      <c r="C2440" s="17">
        <v>537</v>
      </c>
      <c r="D2440" s="17" t="s">
        <v>917</v>
      </c>
      <c r="E2440" s="17">
        <v>0</v>
      </c>
      <c r="F2440" s="17" t="s">
        <v>918</v>
      </c>
      <c r="G2440" s="17">
        <f t="shared" si="102"/>
        <v>57151332481</v>
      </c>
      <c r="H2440" s="17" t="s">
        <v>919</v>
      </c>
      <c r="I2440" s="17">
        <f t="shared" si="103"/>
        <v>57151332481</v>
      </c>
    </row>
    <row r="2441" spans="1:9" x14ac:dyDescent="0.3">
      <c r="A2441" s="17" t="str">
        <f t="shared" si="104"/>
        <v>2010538</v>
      </c>
      <c r="B2441" s="17">
        <v>201</v>
      </c>
      <c r="C2441" s="17">
        <v>538</v>
      </c>
      <c r="D2441" s="17" t="s">
        <v>917</v>
      </c>
      <c r="E2441" s="17">
        <v>0</v>
      </c>
      <c r="F2441" s="17" t="s">
        <v>918</v>
      </c>
      <c r="G2441" s="17">
        <f t="shared" si="102"/>
        <v>57722845805</v>
      </c>
      <c r="H2441" s="17" t="s">
        <v>919</v>
      </c>
      <c r="I2441" s="17">
        <f t="shared" si="103"/>
        <v>57722845805</v>
      </c>
    </row>
    <row r="2442" spans="1:9" x14ac:dyDescent="0.3">
      <c r="A2442" s="17" t="str">
        <f t="shared" si="104"/>
        <v>2010539</v>
      </c>
      <c r="B2442" s="17">
        <v>201</v>
      </c>
      <c r="C2442" s="17">
        <v>539</v>
      </c>
      <c r="D2442" s="17" t="s">
        <v>917</v>
      </c>
      <c r="E2442" s="17">
        <v>0</v>
      </c>
      <c r="F2442" s="17" t="s">
        <v>918</v>
      </c>
      <c r="G2442" s="17">
        <f t="shared" si="102"/>
        <v>58300074263</v>
      </c>
      <c r="H2442" s="17" t="s">
        <v>919</v>
      </c>
      <c r="I2442" s="17">
        <f t="shared" si="103"/>
        <v>58300074263</v>
      </c>
    </row>
    <row r="2443" spans="1:9" x14ac:dyDescent="0.3">
      <c r="A2443" s="17" t="str">
        <f t="shared" si="104"/>
        <v>2010540</v>
      </c>
      <c r="B2443" s="17">
        <v>201</v>
      </c>
      <c r="C2443" s="17">
        <v>540</v>
      </c>
      <c r="D2443" s="17" t="s">
        <v>917</v>
      </c>
      <c r="E2443" s="17">
        <v>0</v>
      </c>
      <c r="F2443" s="17" t="s">
        <v>918</v>
      </c>
      <c r="G2443" s="17">
        <f t="shared" si="102"/>
        <v>58883075005</v>
      </c>
      <c r="H2443" s="17" t="s">
        <v>919</v>
      </c>
      <c r="I2443" s="17">
        <f t="shared" si="103"/>
        <v>58883075005</v>
      </c>
    </row>
    <row r="2444" spans="1:9" x14ac:dyDescent="0.3">
      <c r="A2444" s="17" t="str">
        <f t="shared" si="104"/>
        <v>2010541</v>
      </c>
      <c r="B2444" s="17">
        <v>201</v>
      </c>
      <c r="C2444" s="17">
        <v>541</v>
      </c>
      <c r="D2444" s="17" t="s">
        <v>917</v>
      </c>
      <c r="E2444" s="17">
        <v>0</v>
      </c>
      <c r="F2444" s="17" t="s">
        <v>918</v>
      </c>
      <c r="G2444" s="17">
        <f t="shared" si="102"/>
        <v>59471905755</v>
      </c>
      <c r="H2444" s="17" t="s">
        <v>919</v>
      </c>
      <c r="I2444" s="17">
        <f t="shared" si="103"/>
        <v>59471905755</v>
      </c>
    </row>
    <row r="2445" spans="1:9" x14ac:dyDescent="0.3">
      <c r="A2445" s="17" t="str">
        <f t="shared" si="104"/>
        <v>2010542</v>
      </c>
      <c r="B2445" s="17">
        <v>201</v>
      </c>
      <c r="C2445" s="17">
        <v>542</v>
      </c>
      <c r="D2445" s="17" t="s">
        <v>917</v>
      </c>
      <c r="E2445" s="17">
        <v>0</v>
      </c>
      <c r="F2445" s="17" t="s">
        <v>918</v>
      </c>
      <c r="G2445" s="17">
        <f t="shared" si="102"/>
        <v>60066624812</v>
      </c>
      <c r="H2445" s="17" t="s">
        <v>919</v>
      </c>
      <c r="I2445" s="17">
        <f t="shared" si="103"/>
        <v>60066624812</v>
      </c>
    </row>
    <row r="2446" spans="1:9" x14ac:dyDescent="0.3">
      <c r="A2446" s="17" t="str">
        <f t="shared" si="104"/>
        <v>2010543</v>
      </c>
      <c r="B2446" s="17">
        <v>201</v>
      </c>
      <c r="C2446" s="17">
        <v>543</v>
      </c>
      <c r="D2446" s="17" t="s">
        <v>917</v>
      </c>
      <c r="E2446" s="17">
        <v>0</v>
      </c>
      <c r="F2446" s="17" t="s">
        <v>918</v>
      </c>
      <c r="G2446" s="17">
        <f t="shared" si="102"/>
        <v>60667291060</v>
      </c>
      <c r="H2446" s="17" t="s">
        <v>919</v>
      </c>
      <c r="I2446" s="17">
        <f t="shared" si="103"/>
        <v>60667291060</v>
      </c>
    </row>
    <row r="2447" spans="1:9" x14ac:dyDescent="0.3">
      <c r="A2447" s="17" t="str">
        <f t="shared" si="104"/>
        <v>2010544</v>
      </c>
      <c r="B2447" s="17">
        <v>201</v>
      </c>
      <c r="C2447" s="17">
        <v>544</v>
      </c>
      <c r="D2447" s="17" t="s">
        <v>917</v>
      </c>
      <c r="E2447" s="17">
        <v>0</v>
      </c>
      <c r="F2447" s="17" t="s">
        <v>918</v>
      </c>
      <c r="G2447" s="17">
        <f t="shared" si="102"/>
        <v>61273963970</v>
      </c>
      <c r="H2447" s="17" t="s">
        <v>919</v>
      </c>
      <c r="I2447" s="17">
        <f t="shared" si="103"/>
        <v>61273963970</v>
      </c>
    </row>
    <row r="2448" spans="1:9" x14ac:dyDescent="0.3">
      <c r="A2448" s="17" t="str">
        <f t="shared" si="104"/>
        <v>2010545</v>
      </c>
      <c r="B2448" s="17">
        <v>201</v>
      </c>
      <c r="C2448" s="17">
        <v>545</v>
      </c>
      <c r="D2448" s="17" t="s">
        <v>917</v>
      </c>
      <c r="E2448" s="17">
        <v>0</v>
      </c>
      <c r="F2448" s="17" t="s">
        <v>918</v>
      </c>
      <c r="G2448" s="17">
        <f t="shared" si="102"/>
        <v>61886703609</v>
      </c>
      <c r="H2448" s="17" t="s">
        <v>919</v>
      </c>
      <c r="I2448" s="17">
        <f t="shared" si="103"/>
        <v>61886703609</v>
      </c>
    </row>
    <row r="2449" spans="1:9" x14ac:dyDescent="0.3">
      <c r="A2449" s="17" t="str">
        <f t="shared" si="104"/>
        <v>2010546</v>
      </c>
      <c r="B2449" s="17">
        <v>201</v>
      </c>
      <c r="C2449" s="17">
        <v>546</v>
      </c>
      <c r="D2449" s="17" t="s">
        <v>917</v>
      </c>
      <c r="E2449" s="17">
        <v>0</v>
      </c>
      <c r="F2449" s="17" t="s">
        <v>918</v>
      </c>
      <c r="G2449" s="17">
        <f t="shared" si="102"/>
        <v>62505570645</v>
      </c>
      <c r="H2449" s="17" t="s">
        <v>919</v>
      </c>
      <c r="I2449" s="17">
        <f t="shared" si="103"/>
        <v>62505570645</v>
      </c>
    </row>
    <row r="2450" spans="1:9" x14ac:dyDescent="0.3">
      <c r="A2450" s="17" t="str">
        <f t="shared" si="104"/>
        <v>2010547</v>
      </c>
      <c r="B2450" s="17">
        <v>201</v>
      </c>
      <c r="C2450" s="17">
        <v>547</v>
      </c>
      <c r="D2450" s="17" t="s">
        <v>917</v>
      </c>
      <c r="E2450" s="17">
        <v>0</v>
      </c>
      <c r="F2450" s="17" t="s">
        <v>918</v>
      </c>
      <c r="G2450" s="17">
        <f t="shared" si="102"/>
        <v>63130626351</v>
      </c>
      <c r="H2450" s="17" t="s">
        <v>919</v>
      </c>
      <c r="I2450" s="17">
        <f t="shared" si="103"/>
        <v>63130626351</v>
      </c>
    </row>
    <row r="2451" spans="1:9" x14ac:dyDescent="0.3">
      <c r="A2451" s="17" t="str">
        <f t="shared" si="104"/>
        <v>2010548</v>
      </c>
      <c r="B2451" s="17">
        <v>201</v>
      </c>
      <c r="C2451" s="17">
        <v>548</v>
      </c>
      <c r="D2451" s="17" t="s">
        <v>917</v>
      </c>
      <c r="E2451" s="17">
        <v>0</v>
      </c>
      <c r="F2451" s="17" t="s">
        <v>918</v>
      </c>
      <c r="G2451" s="17">
        <f t="shared" si="102"/>
        <v>63761932614</v>
      </c>
      <c r="H2451" s="17" t="s">
        <v>919</v>
      </c>
      <c r="I2451" s="17">
        <f t="shared" si="103"/>
        <v>63761932614</v>
      </c>
    </row>
    <row r="2452" spans="1:9" x14ac:dyDescent="0.3">
      <c r="A2452" s="17" t="str">
        <f t="shared" si="104"/>
        <v>2010549</v>
      </c>
      <c r="B2452" s="17">
        <v>201</v>
      </c>
      <c r="C2452" s="17">
        <v>549</v>
      </c>
      <c r="D2452" s="17" t="s">
        <v>917</v>
      </c>
      <c r="E2452" s="17">
        <v>0</v>
      </c>
      <c r="F2452" s="17" t="s">
        <v>918</v>
      </c>
      <c r="G2452" s="17">
        <f t="shared" si="102"/>
        <v>64399551940</v>
      </c>
      <c r="H2452" s="17" t="s">
        <v>919</v>
      </c>
      <c r="I2452" s="17">
        <f t="shared" si="103"/>
        <v>64399551940</v>
      </c>
    </row>
    <row r="2453" spans="1:9" x14ac:dyDescent="0.3">
      <c r="A2453" s="17" t="str">
        <f t="shared" si="104"/>
        <v>2010550</v>
      </c>
      <c r="B2453" s="17">
        <v>201</v>
      </c>
      <c r="C2453" s="17">
        <v>550</v>
      </c>
      <c r="D2453" s="17" t="s">
        <v>917</v>
      </c>
      <c r="E2453" s="17">
        <v>0</v>
      </c>
      <c r="F2453" s="17" t="s">
        <v>918</v>
      </c>
      <c r="G2453" s="17">
        <f t="shared" si="102"/>
        <v>65043547459</v>
      </c>
      <c r="H2453" s="17" t="s">
        <v>919</v>
      </c>
      <c r="I2453" s="17">
        <f t="shared" si="103"/>
        <v>65043547459</v>
      </c>
    </row>
    <row r="2454" spans="1:9" x14ac:dyDescent="0.3">
      <c r="A2454" s="17" t="str">
        <f t="shared" si="104"/>
        <v>2010551</v>
      </c>
      <c r="B2454" s="17">
        <v>201</v>
      </c>
      <c r="C2454" s="17">
        <v>551</v>
      </c>
      <c r="D2454" s="17" t="s">
        <v>917</v>
      </c>
      <c r="E2454" s="17">
        <v>0</v>
      </c>
      <c r="F2454" s="17" t="s">
        <v>918</v>
      </c>
      <c r="G2454" s="17">
        <f t="shared" si="102"/>
        <v>65693982933</v>
      </c>
      <c r="H2454" s="17" t="s">
        <v>919</v>
      </c>
      <c r="I2454" s="17">
        <f t="shared" si="103"/>
        <v>65693982933</v>
      </c>
    </row>
    <row r="2455" spans="1:9" x14ac:dyDescent="0.3">
      <c r="A2455" s="17" t="str">
        <f t="shared" si="104"/>
        <v>2010552</v>
      </c>
      <c r="B2455" s="17">
        <v>201</v>
      </c>
      <c r="C2455" s="17">
        <v>552</v>
      </c>
      <c r="D2455" s="17" t="s">
        <v>917</v>
      </c>
      <c r="E2455" s="17">
        <v>0</v>
      </c>
      <c r="F2455" s="17" t="s">
        <v>918</v>
      </c>
      <c r="G2455" s="17">
        <f t="shared" si="102"/>
        <v>66350922762</v>
      </c>
      <c r="H2455" s="17" t="s">
        <v>919</v>
      </c>
      <c r="I2455" s="17">
        <f t="shared" si="103"/>
        <v>66350922762</v>
      </c>
    </row>
    <row r="2456" spans="1:9" x14ac:dyDescent="0.3">
      <c r="A2456" s="17" t="str">
        <f t="shared" si="104"/>
        <v>2010553</v>
      </c>
      <c r="B2456" s="17">
        <v>201</v>
      </c>
      <c r="C2456" s="17">
        <v>553</v>
      </c>
      <c r="D2456" s="17" t="s">
        <v>917</v>
      </c>
      <c r="E2456" s="17">
        <v>0</v>
      </c>
      <c r="F2456" s="17" t="s">
        <v>918</v>
      </c>
      <c r="G2456" s="17">
        <f t="shared" si="102"/>
        <v>67014431989</v>
      </c>
      <c r="H2456" s="17" t="s">
        <v>919</v>
      </c>
      <c r="I2456" s="17">
        <f t="shared" si="103"/>
        <v>67014431989</v>
      </c>
    </row>
    <row r="2457" spans="1:9" x14ac:dyDescent="0.3">
      <c r="A2457" s="17" t="str">
        <f t="shared" si="104"/>
        <v>2010554</v>
      </c>
      <c r="B2457" s="17">
        <v>201</v>
      </c>
      <c r="C2457" s="17">
        <v>554</v>
      </c>
      <c r="D2457" s="17" t="s">
        <v>917</v>
      </c>
      <c r="E2457" s="17">
        <v>0</v>
      </c>
      <c r="F2457" s="17" t="s">
        <v>918</v>
      </c>
      <c r="G2457" s="17">
        <f t="shared" si="102"/>
        <v>67684576308</v>
      </c>
      <c r="H2457" s="17" t="s">
        <v>919</v>
      </c>
      <c r="I2457" s="17">
        <f t="shared" si="103"/>
        <v>67684576308</v>
      </c>
    </row>
    <row r="2458" spans="1:9" x14ac:dyDescent="0.3">
      <c r="A2458" s="17" t="str">
        <f t="shared" si="104"/>
        <v>2010555</v>
      </c>
      <c r="B2458" s="17">
        <v>201</v>
      </c>
      <c r="C2458" s="17">
        <v>555</v>
      </c>
      <c r="D2458" s="17" t="s">
        <v>917</v>
      </c>
      <c r="E2458" s="17">
        <v>0</v>
      </c>
      <c r="F2458" s="17" t="s">
        <v>918</v>
      </c>
      <c r="G2458" s="17">
        <f t="shared" si="102"/>
        <v>68361422071</v>
      </c>
      <c r="H2458" s="17" t="s">
        <v>919</v>
      </c>
      <c r="I2458" s="17">
        <f t="shared" si="103"/>
        <v>68361422071</v>
      </c>
    </row>
    <row r="2459" spans="1:9" x14ac:dyDescent="0.3">
      <c r="A2459" s="17" t="str">
        <f t="shared" si="104"/>
        <v>2010556</v>
      </c>
      <c r="B2459" s="17">
        <v>201</v>
      </c>
      <c r="C2459" s="17">
        <v>556</v>
      </c>
      <c r="D2459" s="17" t="s">
        <v>917</v>
      </c>
      <c r="E2459" s="17">
        <v>0</v>
      </c>
      <c r="F2459" s="17" t="s">
        <v>918</v>
      </c>
      <c r="G2459" s="17">
        <f t="shared" si="102"/>
        <v>69045036291</v>
      </c>
      <c r="H2459" s="17" t="s">
        <v>919</v>
      </c>
      <c r="I2459" s="17">
        <f t="shared" si="103"/>
        <v>69045036291</v>
      </c>
    </row>
    <row r="2460" spans="1:9" x14ac:dyDescent="0.3">
      <c r="A2460" s="17" t="str">
        <f t="shared" si="104"/>
        <v>2010557</v>
      </c>
      <c r="B2460" s="17">
        <v>201</v>
      </c>
      <c r="C2460" s="17">
        <v>557</v>
      </c>
      <c r="D2460" s="17" t="s">
        <v>917</v>
      </c>
      <c r="E2460" s="17">
        <v>0</v>
      </c>
      <c r="F2460" s="17" t="s">
        <v>918</v>
      </c>
      <c r="G2460" s="17">
        <f t="shared" ref="G2460:G2523" si="105">INT(G2459*1.01)</f>
        <v>69735486653</v>
      </c>
      <c r="H2460" s="17" t="s">
        <v>919</v>
      </c>
      <c r="I2460" s="17">
        <f t="shared" si="103"/>
        <v>69735486653</v>
      </c>
    </row>
    <row r="2461" spans="1:9" x14ac:dyDescent="0.3">
      <c r="A2461" s="17" t="str">
        <f t="shared" si="104"/>
        <v>2010558</v>
      </c>
      <c r="B2461" s="17">
        <v>201</v>
      </c>
      <c r="C2461" s="17">
        <v>558</v>
      </c>
      <c r="D2461" s="17" t="s">
        <v>917</v>
      </c>
      <c r="E2461" s="17">
        <v>0</v>
      </c>
      <c r="F2461" s="17" t="s">
        <v>918</v>
      </c>
      <c r="G2461" s="17">
        <f t="shared" si="105"/>
        <v>70432841519</v>
      </c>
      <c r="H2461" s="17" t="s">
        <v>919</v>
      </c>
      <c r="I2461" s="17">
        <f t="shared" si="103"/>
        <v>70432841519</v>
      </c>
    </row>
    <row r="2462" spans="1:9" x14ac:dyDescent="0.3">
      <c r="A2462" s="17" t="str">
        <f t="shared" si="104"/>
        <v>2010559</v>
      </c>
      <c r="B2462" s="17">
        <v>201</v>
      </c>
      <c r="C2462" s="17">
        <v>559</v>
      </c>
      <c r="D2462" s="17" t="s">
        <v>917</v>
      </c>
      <c r="E2462" s="17">
        <v>0</v>
      </c>
      <c r="F2462" s="17" t="s">
        <v>918</v>
      </c>
      <c r="G2462" s="17">
        <f t="shared" si="105"/>
        <v>71137169934</v>
      </c>
      <c r="H2462" s="17" t="s">
        <v>919</v>
      </c>
      <c r="I2462" s="17">
        <f t="shared" si="103"/>
        <v>71137169934</v>
      </c>
    </row>
    <row r="2463" spans="1:9" x14ac:dyDescent="0.3">
      <c r="A2463" s="17" t="str">
        <f t="shared" si="104"/>
        <v>2010560</v>
      </c>
      <c r="B2463" s="17">
        <v>201</v>
      </c>
      <c r="C2463" s="17">
        <v>560</v>
      </c>
      <c r="D2463" s="17" t="s">
        <v>917</v>
      </c>
      <c r="E2463" s="17">
        <v>0</v>
      </c>
      <c r="F2463" s="17" t="s">
        <v>918</v>
      </c>
      <c r="G2463" s="17">
        <f t="shared" si="105"/>
        <v>71848541633</v>
      </c>
      <c r="H2463" s="17" t="s">
        <v>919</v>
      </c>
      <c r="I2463" s="17">
        <f t="shared" si="103"/>
        <v>71848541633</v>
      </c>
    </row>
    <row r="2464" spans="1:9" x14ac:dyDescent="0.3">
      <c r="A2464" s="17" t="str">
        <f t="shared" si="104"/>
        <v>2010561</v>
      </c>
      <c r="B2464" s="17">
        <v>201</v>
      </c>
      <c r="C2464" s="17">
        <v>561</v>
      </c>
      <c r="D2464" s="17" t="s">
        <v>917</v>
      </c>
      <c r="E2464" s="17">
        <v>0</v>
      </c>
      <c r="F2464" s="17" t="s">
        <v>918</v>
      </c>
      <c r="G2464" s="17">
        <f t="shared" si="105"/>
        <v>72567027049</v>
      </c>
      <c r="H2464" s="17" t="s">
        <v>919</v>
      </c>
      <c r="I2464" s="17">
        <f t="shared" si="103"/>
        <v>72567027049</v>
      </c>
    </row>
    <row r="2465" spans="1:9" x14ac:dyDescent="0.3">
      <c r="A2465" s="17" t="str">
        <f t="shared" si="104"/>
        <v>2010562</v>
      </c>
      <c r="B2465" s="17">
        <v>201</v>
      </c>
      <c r="C2465" s="17">
        <v>562</v>
      </c>
      <c r="D2465" s="17" t="s">
        <v>917</v>
      </c>
      <c r="E2465" s="17">
        <v>0</v>
      </c>
      <c r="F2465" s="17" t="s">
        <v>918</v>
      </c>
      <c r="G2465" s="17">
        <f t="shared" si="105"/>
        <v>73292697319</v>
      </c>
      <c r="H2465" s="17" t="s">
        <v>919</v>
      </c>
      <c r="I2465" s="17">
        <f t="shared" si="103"/>
        <v>73292697319</v>
      </c>
    </row>
    <row r="2466" spans="1:9" x14ac:dyDescent="0.3">
      <c r="A2466" s="17" t="str">
        <f t="shared" si="104"/>
        <v>2010563</v>
      </c>
      <c r="B2466" s="17">
        <v>201</v>
      </c>
      <c r="C2466" s="17">
        <v>563</v>
      </c>
      <c r="D2466" s="17" t="s">
        <v>917</v>
      </c>
      <c r="E2466" s="17">
        <v>0</v>
      </c>
      <c r="F2466" s="17" t="s">
        <v>918</v>
      </c>
      <c r="G2466" s="17">
        <f t="shared" si="105"/>
        <v>74025624292</v>
      </c>
      <c r="H2466" s="17" t="s">
        <v>919</v>
      </c>
      <c r="I2466" s="17">
        <f t="shared" si="103"/>
        <v>74025624292</v>
      </c>
    </row>
    <row r="2467" spans="1:9" x14ac:dyDescent="0.3">
      <c r="A2467" s="17" t="str">
        <f t="shared" si="104"/>
        <v>2010564</v>
      </c>
      <c r="B2467" s="17">
        <v>201</v>
      </c>
      <c r="C2467" s="17">
        <v>564</v>
      </c>
      <c r="D2467" s="17" t="s">
        <v>917</v>
      </c>
      <c r="E2467" s="17">
        <v>0</v>
      </c>
      <c r="F2467" s="17" t="s">
        <v>918</v>
      </c>
      <c r="G2467" s="17">
        <f t="shared" si="105"/>
        <v>74765880534</v>
      </c>
      <c r="H2467" s="17" t="s">
        <v>919</v>
      </c>
      <c r="I2467" s="17">
        <f t="shared" si="103"/>
        <v>74765880534</v>
      </c>
    </row>
    <row r="2468" spans="1:9" x14ac:dyDescent="0.3">
      <c r="A2468" s="17" t="str">
        <f t="shared" si="104"/>
        <v>2010565</v>
      </c>
      <c r="B2468" s="17">
        <v>201</v>
      </c>
      <c r="C2468" s="17">
        <v>565</v>
      </c>
      <c r="D2468" s="17" t="s">
        <v>917</v>
      </c>
      <c r="E2468" s="17">
        <v>0</v>
      </c>
      <c r="F2468" s="17" t="s">
        <v>918</v>
      </c>
      <c r="G2468" s="17">
        <f t="shared" si="105"/>
        <v>75513539339</v>
      </c>
      <c r="H2468" s="17" t="s">
        <v>919</v>
      </c>
      <c r="I2468" s="17">
        <f t="shared" si="103"/>
        <v>75513539339</v>
      </c>
    </row>
    <row r="2469" spans="1:9" x14ac:dyDescent="0.3">
      <c r="A2469" s="17" t="str">
        <f t="shared" si="104"/>
        <v>2010566</v>
      </c>
      <c r="B2469" s="17">
        <v>201</v>
      </c>
      <c r="C2469" s="17">
        <v>566</v>
      </c>
      <c r="D2469" s="17" t="s">
        <v>917</v>
      </c>
      <c r="E2469" s="17">
        <v>0</v>
      </c>
      <c r="F2469" s="17" t="s">
        <v>918</v>
      </c>
      <c r="G2469" s="17">
        <f t="shared" si="105"/>
        <v>76268674732</v>
      </c>
      <c r="H2469" s="17" t="s">
        <v>919</v>
      </c>
      <c r="I2469" s="17">
        <f t="shared" si="103"/>
        <v>76268674732</v>
      </c>
    </row>
    <row r="2470" spans="1:9" x14ac:dyDescent="0.3">
      <c r="A2470" s="17" t="str">
        <f t="shared" si="104"/>
        <v>2010567</v>
      </c>
      <c r="B2470" s="17">
        <v>201</v>
      </c>
      <c r="C2470" s="17">
        <v>567</v>
      </c>
      <c r="D2470" s="17" t="s">
        <v>917</v>
      </c>
      <c r="E2470" s="17">
        <v>0</v>
      </c>
      <c r="F2470" s="17" t="s">
        <v>918</v>
      </c>
      <c r="G2470" s="17">
        <f t="shared" si="105"/>
        <v>77031361479</v>
      </c>
      <c r="H2470" s="17" t="s">
        <v>919</v>
      </c>
      <c r="I2470" s="17">
        <f t="shared" si="103"/>
        <v>77031361479</v>
      </c>
    </row>
    <row r="2471" spans="1:9" x14ac:dyDescent="0.3">
      <c r="A2471" s="17" t="str">
        <f t="shared" si="104"/>
        <v>2010568</v>
      </c>
      <c r="B2471" s="17">
        <v>201</v>
      </c>
      <c r="C2471" s="17">
        <v>568</v>
      </c>
      <c r="D2471" s="17" t="s">
        <v>917</v>
      </c>
      <c r="E2471" s="17">
        <v>0</v>
      </c>
      <c r="F2471" s="17" t="s">
        <v>918</v>
      </c>
      <c r="G2471" s="17">
        <f t="shared" si="105"/>
        <v>77801675093</v>
      </c>
      <c r="H2471" s="17" t="s">
        <v>919</v>
      </c>
      <c r="I2471" s="17">
        <f t="shared" si="103"/>
        <v>77801675093</v>
      </c>
    </row>
    <row r="2472" spans="1:9" x14ac:dyDescent="0.3">
      <c r="A2472" s="17" t="str">
        <f t="shared" si="104"/>
        <v>2010569</v>
      </c>
      <c r="B2472" s="17">
        <v>201</v>
      </c>
      <c r="C2472" s="17">
        <v>569</v>
      </c>
      <c r="D2472" s="17" t="s">
        <v>917</v>
      </c>
      <c r="E2472" s="17">
        <v>0</v>
      </c>
      <c r="F2472" s="17" t="s">
        <v>918</v>
      </c>
      <c r="G2472" s="17">
        <f t="shared" si="105"/>
        <v>78579691843</v>
      </c>
      <c r="H2472" s="17" t="s">
        <v>919</v>
      </c>
      <c r="I2472" s="17">
        <f t="shared" si="103"/>
        <v>78579691843</v>
      </c>
    </row>
    <row r="2473" spans="1:9" x14ac:dyDescent="0.3">
      <c r="A2473" s="17" t="str">
        <f t="shared" si="104"/>
        <v>2010570</v>
      </c>
      <c r="B2473" s="17">
        <v>201</v>
      </c>
      <c r="C2473" s="17">
        <v>570</v>
      </c>
      <c r="D2473" s="17" t="s">
        <v>917</v>
      </c>
      <c r="E2473" s="17">
        <v>0</v>
      </c>
      <c r="F2473" s="17" t="s">
        <v>918</v>
      </c>
      <c r="G2473" s="17">
        <f t="shared" si="105"/>
        <v>79365488761</v>
      </c>
      <c r="H2473" s="17" t="s">
        <v>919</v>
      </c>
      <c r="I2473" s="17">
        <f t="shared" si="103"/>
        <v>79365488761</v>
      </c>
    </row>
    <row r="2474" spans="1:9" x14ac:dyDescent="0.3">
      <c r="A2474" s="17" t="str">
        <f t="shared" si="104"/>
        <v>2010571</v>
      </c>
      <c r="B2474" s="17">
        <v>201</v>
      </c>
      <c r="C2474" s="17">
        <v>571</v>
      </c>
      <c r="D2474" s="17" t="s">
        <v>917</v>
      </c>
      <c r="E2474" s="17">
        <v>0</v>
      </c>
      <c r="F2474" s="17" t="s">
        <v>918</v>
      </c>
      <c r="G2474" s="17">
        <f t="shared" si="105"/>
        <v>80159143648</v>
      </c>
      <c r="H2474" s="17" t="s">
        <v>919</v>
      </c>
      <c r="I2474" s="17">
        <f t="shared" si="103"/>
        <v>80159143648</v>
      </c>
    </row>
    <row r="2475" spans="1:9" x14ac:dyDescent="0.3">
      <c r="A2475" s="17" t="str">
        <f t="shared" si="104"/>
        <v>2010572</v>
      </c>
      <c r="B2475" s="17">
        <v>201</v>
      </c>
      <c r="C2475" s="17">
        <v>572</v>
      </c>
      <c r="D2475" s="17" t="s">
        <v>917</v>
      </c>
      <c r="E2475" s="17">
        <v>0</v>
      </c>
      <c r="F2475" s="17" t="s">
        <v>918</v>
      </c>
      <c r="G2475" s="17">
        <f t="shared" si="105"/>
        <v>80960735084</v>
      </c>
      <c r="H2475" s="17" t="s">
        <v>919</v>
      </c>
      <c r="I2475" s="17">
        <f t="shared" si="103"/>
        <v>80960735084</v>
      </c>
    </row>
    <row r="2476" spans="1:9" x14ac:dyDescent="0.3">
      <c r="A2476" s="17" t="str">
        <f t="shared" si="104"/>
        <v>2010573</v>
      </c>
      <c r="B2476" s="17">
        <v>201</v>
      </c>
      <c r="C2476" s="17">
        <v>573</v>
      </c>
      <c r="D2476" s="17" t="s">
        <v>917</v>
      </c>
      <c r="E2476" s="17">
        <v>0</v>
      </c>
      <c r="F2476" s="17" t="s">
        <v>918</v>
      </c>
      <c r="G2476" s="17">
        <f t="shared" si="105"/>
        <v>81770342434</v>
      </c>
      <c r="H2476" s="17" t="s">
        <v>919</v>
      </c>
      <c r="I2476" s="17">
        <f t="shared" si="103"/>
        <v>81770342434</v>
      </c>
    </row>
    <row r="2477" spans="1:9" x14ac:dyDescent="0.3">
      <c r="A2477" s="17" t="str">
        <f t="shared" si="104"/>
        <v>2010574</v>
      </c>
      <c r="B2477" s="17">
        <v>201</v>
      </c>
      <c r="C2477" s="17">
        <v>574</v>
      </c>
      <c r="D2477" s="17" t="s">
        <v>917</v>
      </c>
      <c r="E2477" s="17">
        <v>0</v>
      </c>
      <c r="F2477" s="17" t="s">
        <v>918</v>
      </c>
      <c r="G2477" s="17">
        <f t="shared" si="105"/>
        <v>82588045858</v>
      </c>
      <c r="H2477" s="17" t="s">
        <v>919</v>
      </c>
      <c r="I2477" s="17">
        <f t="shared" si="103"/>
        <v>82588045858</v>
      </c>
    </row>
    <row r="2478" spans="1:9" x14ac:dyDescent="0.3">
      <c r="A2478" s="17" t="str">
        <f t="shared" si="104"/>
        <v>2010575</v>
      </c>
      <c r="B2478" s="17">
        <v>201</v>
      </c>
      <c r="C2478" s="17">
        <v>575</v>
      </c>
      <c r="D2478" s="17" t="s">
        <v>917</v>
      </c>
      <c r="E2478" s="17">
        <v>0</v>
      </c>
      <c r="F2478" s="17" t="s">
        <v>918</v>
      </c>
      <c r="G2478" s="17">
        <f t="shared" si="105"/>
        <v>83413926316</v>
      </c>
      <c r="H2478" s="17" t="s">
        <v>919</v>
      </c>
      <c r="I2478" s="17">
        <f t="shared" si="103"/>
        <v>83413926316</v>
      </c>
    </row>
    <row r="2479" spans="1:9" x14ac:dyDescent="0.3">
      <c r="A2479" s="17" t="str">
        <f t="shared" si="104"/>
        <v>2010576</v>
      </c>
      <c r="B2479" s="17">
        <v>201</v>
      </c>
      <c r="C2479" s="17">
        <v>576</v>
      </c>
      <c r="D2479" s="17" t="s">
        <v>917</v>
      </c>
      <c r="E2479" s="17">
        <v>0</v>
      </c>
      <c r="F2479" s="17" t="s">
        <v>918</v>
      </c>
      <c r="G2479" s="17">
        <f t="shared" si="105"/>
        <v>84248065579</v>
      </c>
      <c r="H2479" s="17" t="s">
        <v>919</v>
      </c>
      <c r="I2479" s="17">
        <f t="shared" si="103"/>
        <v>84248065579</v>
      </c>
    </row>
    <row r="2480" spans="1:9" x14ac:dyDescent="0.3">
      <c r="A2480" s="17" t="str">
        <f t="shared" si="104"/>
        <v>2010577</v>
      </c>
      <c r="B2480" s="17">
        <v>201</v>
      </c>
      <c r="C2480" s="17">
        <v>577</v>
      </c>
      <c r="D2480" s="17" t="s">
        <v>917</v>
      </c>
      <c r="E2480" s="17">
        <v>0</v>
      </c>
      <c r="F2480" s="17" t="s">
        <v>918</v>
      </c>
      <c r="G2480" s="17">
        <f t="shared" si="105"/>
        <v>85090546234</v>
      </c>
      <c r="H2480" s="17" t="s">
        <v>919</v>
      </c>
      <c r="I2480" s="17">
        <f t="shared" si="103"/>
        <v>85090546234</v>
      </c>
    </row>
    <row r="2481" spans="1:9" x14ac:dyDescent="0.3">
      <c r="A2481" s="17" t="str">
        <f t="shared" si="104"/>
        <v>2010578</v>
      </c>
      <c r="B2481" s="17">
        <v>201</v>
      </c>
      <c r="C2481" s="17">
        <v>578</v>
      </c>
      <c r="D2481" s="17" t="s">
        <v>917</v>
      </c>
      <c r="E2481" s="17">
        <v>0</v>
      </c>
      <c r="F2481" s="17" t="s">
        <v>918</v>
      </c>
      <c r="G2481" s="17">
        <f t="shared" si="105"/>
        <v>85941451696</v>
      </c>
      <c r="H2481" s="17" t="s">
        <v>919</v>
      </c>
      <c r="I2481" s="17">
        <f t="shared" ref="I2481:I2544" si="106">G2481</f>
        <v>85941451696</v>
      </c>
    </row>
    <row r="2482" spans="1:9" x14ac:dyDescent="0.3">
      <c r="A2482" s="17" t="str">
        <f t="shared" si="104"/>
        <v>2010579</v>
      </c>
      <c r="B2482" s="17">
        <v>201</v>
      </c>
      <c r="C2482" s="17">
        <v>579</v>
      </c>
      <c r="D2482" s="17" t="s">
        <v>917</v>
      </c>
      <c r="E2482" s="17">
        <v>0</v>
      </c>
      <c r="F2482" s="17" t="s">
        <v>918</v>
      </c>
      <c r="G2482" s="17">
        <f t="shared" si="105"/>
        <v>86800866212</v>
      </c>
      <c r="H2482" s="17" t="s">
        <v>919</v>
      </c>
      <c r="I2482" s="17">
        <f t="shared" si="106"/>
        <v>86800866212</v>
      </c>
    </row>
    <row r="2483" spans="1:9" x14ac:dyDescent="0.3">
      <c r="A2483" s="17" t="str">
        <f t="shared" si="104"/>
        <v>2010580</v>
      </c>
      <c r="B2483" s="17">
        <v>201</v>
      </c>
      <c r="C2483" s="17">
        <v>580</v>
      </c>
      <c r="D2483" s="17" t="s">
        <v>917</v>
      </c>
      <c r="E2483" s="17">
        <v>0</v>
      </c>
      <c r="F2483" s="17" t="s">
        <v>918</v>
      </c>
      <c r="G2483" s="17">
        <f t="shared" si="105"/>
        <v>87668874874</v>
      </c>
      <c r="H2483" s="17" t="s">
        <v>919</v>
      </c>
      <c r="I2483" s="17">
        <f t="shared" si="106"/>
        <v>87668874874</v>
      </c>
    </row>
    <row r="2484" spans="1:9" x14ac:dyDescent="0.3">
      <c r="A2484" s="17" t="str">
        <f t="shared" si="104"/>
        <v>2010581</v>
      </c>
      <c r="B2484" s="17">
        <v>201</v>
      </c>
      <c r="C2484" s="17">
        <v>581</v>
      </c>
      <c r="D2484" s="17" t="s">
        <v>917</v>
      </c>
      <c r="E2484" s="17">
        <v>0</v>
      </c>
      <c r="F2484" s="17" t="s">
        <v>918</v>
      </c>
      <c r="G2484" s="17">
        <f t="shared" si="105"/>
        <v>88545563622</v>
      </c>
      <c r="H2484" s="17" t="s">
        <v>919</v>
      </c>
      <c r="I2484" s="17">
        <f t="shared" si="106"/>
        <v>88545563622</v>
      </c>
    </row>
    <row r="2485" spans="1:9" x14ac:dyDescent="0.3">
      <c r="A2485" s="17" t="str">
        <f t="shared" si="104"/>
        <v>2010582</v>
      </c>
      <c r="B2485" s="17">
        <v>201</v>
      </c>
      <c r="C2485" s="17">
        <v>582</v>
      </c>
      <c r="D2485" s="17" t="s">
        <v>917</v>
      </c>
      <c r="E2485" s="17">
        <v>0</v>
      </c>
      <c r="F2485" s="17" t="s">
        <v>918</v>
      </c>
      <c r="G2485" s="17">
        <f t="shared" si="105"/>
        <v>89431019258</v>
      </c>
      <c r="H2485" s="17" t="s">
        <v>919</v>
      </c>
      <c r="I2485" s="17">
        <f t="shared" si="106"/>
        <v>89431019258</v>
      </c>
    </row>
    <row r="2486" spans="1:9" x14ac:dyDescent="0.3">
      <c r="A2486" s="17" t="str">
        <f t="shared" si="104"/>
        <v>2010583</v>
      </c>
      <c r="B2486" s="17">
        <v>201</v>
      </c>
      <c r="C2486" s="17">
        <v>583</v>
      </c>
      <c r="D2486" s="17" t="s">
        <v>917</v>
      </c>
      <c r="E2486" s="17">
        <v>0</v>
      </c>
      <c r="F2486" s="17" t="s">
        <v>918</v>
      </c>
      <c r="G2486" s="17">
        <f t="shared" si="105"/>
        <v>90325329450</v>
      </c>
      <c r="H2486" s="17" t="s">
        <v>919</v>
      </c>
      <c r="I2486" s="17">
        <f t="shared" si="106"/>
        <v>90325329450</v>
      </c>
    </row>
    <row r="2487" spans="1:9" x14ac:dyDescent="0.3">
      <c r="A2487" s="17" t="str">
        <f t="shared" si="104"/>
        <v>2010584</v>
      </c>
      <c r="B2487" s="17">
        <v>201</v>
      </c>
      <c r="C2487" s="17">
        <v>584</v>
      </c>
      <c r="D2487" s="17" t="s">
        <v>917</v>
      </c>
      <c r="E2487" s="17">
        <v>0</v>
      </c>
      <c r="F2487" s="17" t="s">
        <v>918</v>
      </c>
      <c r="G2487" s="17">
        <f t="shared" si="105"/>
        <v>91228582744</v>
      </c>
      <c r="H2487" s="17" t="s">
        <v>919</v>
      </c>
      <c r="I2487" s="17">
        <f t="shared" si="106"/>
        <v>91228582744</v>
      </c>
    </row>
    <row r="2488" spans="1:9" x14ac:dyDescent="0.3">
      <c r="A2488" s="17" t="str">
        <f t="shared" si="104"/>
        <v>2010585</v>
      </c>
      <c r="B2488" s="17">
        <v>201</v>
      </c>
      <c r="C2488" s="17">
        <v>585</v>
      </c>
      <c r="D2488" s="17" t="s">
        <v>917</v>
      </c>
      <c r="E2488" s="17">
        <v>0</v>
      </c>
      <c r="F2488" s="17" t="s">
        <v>918</v>
      </c>
      <c r="G2488" s="17">
        <f t="shared" si="105"/>
        <v>92140868571</v>
      </c>
      <c r="H2488" s="17" t="s">
        <v>919</v>
      </c>
      <c r="I2488" s="17">
        <f t="shared" si="106"/>
        <v>92140868571</v>
      </c>
    </row>
    <row r="2489" spans="1:9" x14ac:dyDescent="0.3">
      <c r="A2489" s="17" t="str">
        <f t="shared" si="104"/>
        <v>2010586</v>
      </c>
      <c r="B2489" s="17">
        <v>201</v>
      </c>
      <c r="C2489" s="17">
        <v>586</v>
      </c>
      <c r="D2489" s="17" t="s">
        <v>917</v>
      </c>
      <c r="E2489" s="17">
        <v>0</v>
      </c>
      <c r="F2489" s="17" t="s">
        <v>918</v>
      </c>
      <c r="G2489" s="17">
        <f t="shared" si="105"/>
        <v>93062277256</v>
      </c>
      <c r="H2489" s="17" t="s">
        <v>919</v>
      </c>
      <c r="I2489" s="17">
        <f t="shared" si="106"/>
        <v>93062277256</v>
      </c>
    </row>
    <row r="2490" spans="1:9" x14ac:dyDescent="0.3">
      <c r="A2490" s="17" t="str">
        <f t="shared" si="104"/>
        <v>2010587</v>
      </c>
      <c r="B2490" s="17">
        <v>201</v>
      </c>
      <c r="C2490" s="17">
        <v>587</v>
      </c>
      <c r="D2490" s="17" t="s">
        <v>917</v>
      </c>
      <c r="E2490" s="17">
        <v>0</v>
      </c>
      <c r="F2490" s="17" t="s">
        <v>918</v>
      </c>
      <c r="G2490" s="17">
        <f t="shared" si="105"/>
        <v>93992900028</v>
      </c>
      <c r="H2490" s="17" t="s">
        <v>919</v>
      </c>
      <c r="I2490" s="17">
        <f t="shared" si="106"/>
        <v>93992900028</v>
      </c>
    </row>
    <row r="2491" spans="1:9" x14ac:dyDescent="0.3">
      <c r="A2491" s="17" t="str">
        <f t="shared" si="104"/>
        <v>2010588</v>
      </c>
      <c r="B2491" s="17">
        <v>201</v>
      </c>
      <c r="C2491" s="17">
        <v>588</v>
      </c>
      <c r="D2491" s="17" t="s">
        <v>917</v>
      </c>
      <c r="E2491" s="17">
        <v>0</v>
      </c>
      <c r="F2491" s="17" t="s">
        <v>918</v>
      </c>
      <c r="G2491" s="17">
        <f t="shared" si="105"/>
        <v>94932829028</v>
      </c>
      <c r="H2491" s="17" t="s">
        <v>919</v>
      </c>
      <c r="I2491" s="17">
        <f t="shared" si="106"/>
        <v>94932829028</v>
      </c>
    </row>
    <row r="2492" spans="1:9" x14ac:dyDescent="0.3">
      <c r="A2492" s="17" t="str">
        <f t="shared" si="104"/>
        <v>2010589</v>
      </c>
      <c r="B2492" s="17">
        <v>201</v>
      </c>
      <c r="C2492" s="17">
        <v>589</v>
      </c>
      <c r="D2492" s="17" t="s">
        <v>917</v>
      </c>
      <c r="E2492" s="17">
        <v>0</v>
      </c>
      <c r="F2492" s="17" t="s">
        <v>918</v>
      </c>
      <c r="G2492" s="17">
        <f t="shared" si="105"/>
        <v>95882157318</v>
      </c>
      <c r="H2492" s="17" t="s">
        <v>919</v>
      </c>
      <c r="I2492" s="17">
        <f t="shared" si="106"/>
        <v>95882157318</v>
      </c>
    </row>
    <row r="2493" spans="1:9" x14ac:dyDescent="0.3">
      <c r="A2493" s="17" t="str">
        <f t="shared" si="104"/>
        <v>2010590</v>
      </c>
      <c r="B2493" s="17">
        <v>201</v>
      </c>
      <c r="C2493" s="17">
        <v>590</v>
      </c>
      <c r="D2493" s="17" t="s">
        <v>917</v>
      </c>
      <c r="E2493" s="17">
        <v>0</v>
      </c>
      <c r="F2493" s="17" t="s">
        <v>918</v>
      </c>
      <c r="G2493" s="17">
        <f t="shared" si="105"/>
        <v>96840978891</v>
      </c>
      <c r="H2493" s="17" t="s">
        <v>919</v>
      </c>
      <c r="I2493" s="17">
        <f t="shared" si="106"/>
        <v>96840978891</v>
      </c>
    </row>
    <row r="2494" spans="1:9" x14ac:dyDescent="0.3">
      <c r="A2494" s="17" t="str">
        <f t="shared" si="104"/>
        <v>2010591</v>
      </c>
      <c r="B2494" s="17">
        <v>201</v>
      </c>
      <c r="C2494" s="17">
        <v>591</v>
      </c>
      <c r="D2494" s="17" t="s">
        <v>917</v>
      </c>
      <c r="E2494" s="17">
        <v>0</v>
      </c>
      <c r="F2494" s="17" t="s">
        <v>918</v>
      </c>
      <c r="G2494" s="17">
        <f t="shared" si="105"/>
        <v>97809388679</v>
      </c>
      <c r="H2494" s="17" t="s">
        <v>919</v>
      </c>
      <c r="I2494" s="17">
        <f t="shared" si="106"/>
        <v>97809388679</v>
      </c>
    </row>
    <row r="2495" spans="1:9" x14ac:dyDescent="0.3">
      <c r="A2495" s="17" t="str">
        <f t="shared" si="104"/>
        <v>2010592</v>
      </c>
      <c r="B2495" s="17">
        <v>201</v>
      </c>
      <c r="C2495" s="17">
        <v>592</v>
      </c>
      <c r="D2495" s="17" t="s">
        <v>917</v>
      </c>
      <c r="E2495" s="17">
        <v>0</v>
      </c>
      <c r="F2495" s="17" t="s">
        <v>918</v>
      </c>
      <c r="G2495" s="17">
        <f t="shared" si="105"/>
        <v>98787482565</v>
      </c>
      <c r="H2495" s="17" t="s">
        <v>919</v>
      </c>
      <c r="I2495" s="17">
        <f t="shared" si="106"/>
        <v>98787482565</v>
      </c>
    </row>
    <row r="2496" spans="1:9" x14ac:dyDescent="0.3">
      <c r="A2496" s="17" t="str">
        <f t="shared" si="104"/>
        <v>2010593</v>
      </c>
      <c r="B2496" s="17">
        <v>201</v>
      </c>
      <c r="C2496" s="17">
        <v>593</v>
      </c>
      <c r="D2496" s="17" t="s">
        <v>917</v>
      </c>
      <c r="E2496" s="17">
        <v>0</v>
      </c>
      <c r="F2496" s="17" t="s">
        <v>918</v>
      </c>
      <c r="G2496" s="17">
        <f t="shared" si="105"/>
        <v>99775357390</v>
      </c>
      <c r="H2496" s="17" t="s">
        <v>919</v>
      </c>
      <c r="I2496" s="17">
        <f t="shared" si="106"/>
        <v>99775357390</v>
      </c>
    </row>
    <row r="2497" spans="1:9" x14ac:dyDescent="0.3">
      <c r="A2497" s="17" t="str">
        <f t="shared" si="104"/>
        <v>2010594</v>
      </c>
      <c r="B2497" s="17">
        <v>201</v>
      </c>
      <c r="C2497" s="17">
        <v>594</v>
      </c>
      <c r="D2497" s="17" t="s">
        <v>917</v>
      </c>
      <c r="E2497" s="17">
        <v>0</v>
      </c>
      <c r="F2497" s="17" t="s">
        <v>918</v>
      </c>
      <c r="G2497" s="17">
        <f t="shared" si="105"/>
        <v>100773110963</v>
      </c>
      <c r="H2497" s="17" t="s">
        <v>919</v>
      </c>
      <c r="I2497" s="17">
        <f t="shared" si="106"/>
        <v>100773110963</v>
      </c>
    </row>
    <row r="2498" spans="1:9" x14ac:dyDescent="0.3">
      <c r="A2498" s="17" t="str">
        <f t="shared" si="104"/>
        <v>2010595</v>
      </c>
      <c r="B2498" s="17">
        <v>201</v>
      </c>
      <c r="C2498" s="17">
        <v>595</v>
      </c>
      <c r="D2498" s="17" t="s">
        <v>917</v>
      </c>
      <c r="E2498" s="17">
        <v>0</v>
      </c>
      <c r="F2498" s="17" t="s">
        <v>918</v>
      </c>
      <c r="G2498" s="17">
        <f t="shared" si="105"/>
        <v>101780842072</v>
      </c>
      <c r="H2498" s="17" t="s">
        <v>919</v>
      </c>
      <c r="I2498" s="17">
        <f t="shared" si="106"/>
        <v>101780842072</v>
      </c>
    </row>
    <row r="2499" spans="1:9" x14ac:dyDescent="0.3">
      <c r="A2499" s="17" t="str">
        <f t="shared" si="104"/>
        <v>2010596</v>
      </c>
      <c r="B2499" s="17">
        <v>201</v>
      </c>
      <c r="C2499" s="17">
        <v>596</v>
      </c>
      <c r="D2499" s="17" t="s">
        <v>917</v>
      </c>
      <c r="E2499" s="17">
        <v>0</v>
      </c>
      <c r="F2499" s="17" t="s">
        <v>918</v>
      </c>
      <c r="G2499" s="17">
        <f t="shared" si="105"/>
        <v>102798650492</v>
      </c>
      <c r="H2499" s="17" t="s">
        <v>919</v>
      </c>
      <c r="I2499" s="17">
        <f t="shared" si="106"/>
        <v>102798650492</v>
      </c>
    </row>
    <row r="2500" spans="1:9" x14ac:dyDescent="0.3">
      <c r="A2500" s="17" t="str">
        <f t="shared" ref="A2500:A2563" si="107">B2500&amp;TEXT(C2500,"0000")</f>
        <v>2010597</v>
      </c>
      <c r="B2500" s="17">
        <v>201</v>
      </c>
      <c r="C2500" s="17">
        <v>597</v>
      </c>
      <c r="D2500" s="17" t="s">
        <v>917</v>
      </c>
      <c r="E2500" s="17">
        <v>0</v>
      </c>
      <c r="F2500" s="17" t="s">
        <v>918</v>
      </c>
      <c r="G2500" s="17">
        <f t="shared" si="105"/>
        <v>103826636996</v>
      </c>
      <c r="H2500" s="17" t="s">
        <v>919</v>
      </c>
      <c r="I2500" s="17">
        <f t="shared" si="106"/>
        <v>103826636996</v>
      </c>
    </row>
    <row r="2501" spans="1:9" x14ac:dyDescent="0.3">
      <c r="A2501" s="17" t="str">
        <f t="shared" si="107"/>
        <v>2010598</v>
      </c>
      <c r="B2501" s="17">
        <v>201</v>
      </c>
      <c r="C2501" s="17">
        <v>598</v>
      </c>
      <c r="D2501" s="17" t="s">
        <v>917</v>
      </c>
      <c r="E2501" s="17">
        <v>0</v>
      </c>
      <c r="F2501" s="17" t="s">
        <v>918</v>
      </c>
      <c r="G2501" s="17">
        <f t="shared" si="105"/>
        <v>104864903365</v>
      </c>
      <c r="H2501" s="17" t="s">
        <v>919</v>
      </c>
      <c r="I2501" s="17">
        <f t="shared" si="106"/>
        <v>104864903365</v>
      </c>
    </row>
    <row r="2502" spans="1:9" x14ac:dyDescent="0.3">
      <c r="A2502" s="17" t="str">
        <f t="shared" si="107"/>
        <v>2010599</v>
      </c>
      <c r="B2502" s="17">
        <v>201</v>
      </c>
      <c r="C2502" s="17">
        <v>599</v>
      </c>
      <c r="D2502" s="17" t="s">
        <v>917</v>
      </c>
      <c r="E2502" s="17">
        <v>0</v>
      </c>
      <c r="F2502" s="17" t="s">
        <v>918</v>
      </c>
      <c r="G2502" s="17">
        <f t="shared" si="105"/>
        <v>105913552398</v>
      </c>
      <c r="H2502" s="17" t="s">
        <v>919</v>
      </c>
      <c r="I2502" s="17">
        <f t="shared" si="106"/>
        <v>105913552398</v>
      </c>
    </row>
    <row r="2503" spans="1:9" x14ac:dyDescent="0.3">
      <c r="A2503" s="17" t="str">
        <f t="shared" si="107"/>
        <v>2010600</v>
      </c>
      <c r="B2503" s="17">
        <v>201</v>
      </c>
      <c r="C2503" s="17">
        <v>600</v>
      </c>
      <c r="D2503" s="17" t="s">
        <v>917</v>
      </c>
      <c r="E2503" s="17">
        <v>0</v>
      </c>
      <c r="F2503" s="17" t="s">
        <v>918</v>
      </c>
      <c r="G2503" s="17">
        <f t="shared" si="105"/>
        <v>106972687921</v>
      </c>
      <c r="H2503" s="17" t="s">
        <v>919</v>
      </c>
      <c r="I2503" s="17">
        <f t="shared" si="106"/>
        <v>106972687921</v>
      </c>
    </row>
    <row r="2504" spans="1:9" x14ac:dyDescent="0.3">
      <c r="A2504" s="17" t="str">
        <f t="shared" si="107"/>
        <v>2010601</v>
      </c>
      <c r="B2504" s="17">
        <v>201</v>
      </c>
      <c r="C2504" s="17">
        <v>601</v>
      </c>
      <c r="D2504" s="17" t="s">
        <v>917</v>
      </c>
      <c r="E2504" s="17">
        <v>0</v>
      </c>
      <c r="F2504" s="17" t="s">
        <v>918</v>
      </c>
      <c r="G2504" s="17">
        <f t="shared" si="105"/>
        <v>108042414800</v>
      </c>
      <c r="H2504" s="17" t="s">
        <v>919</v>
      </c>
      <c r="I2504" s="17">
        <f t="shared" si="106"/>
        <v>108042414800</v>
      </c>
    </row>
    <row r="2505" spans="1:9" x14ac:dyDescent="0.3">
      <c r="A2505" s="17" t="str">
        <f t="shared" si="107"/>
        <v>2010602</v>
      </c>
      <c r="B2505" s="17">
        <v>201</v>
      </c>
      <c r="C2505" s="17">
        <v>602</v>
      </c>
      <c r="D2505" s="17" t="s">
        <v>917</v>
      </c>
      <c r="E2505" s="17">
        <v>0</v>
      </c>
      <c r="F2505" s="17" t="s">
        <v>918</v>
      </c>
      <c r="G2505" s="17">
        <f t="shared" si="105"/>
        <v>109122838948</v>
      </c>
      <c r="H2505" s="17" t="s">
        <v>919</v>
      </c>
      <c r="I2505" s="17">
        <f t="shared" si="106"/>
        <v>109122838948</v>
      </c>
    </row>
    <row r="2506" spans="1:9" x14ac:dyDescent="0.3">
      <c r="A2506" s="17" t="str">
        <f t="shared" si="107"/>
        <v>2010603</v>
      </c>
      <c r="B2506" s="17">
        <v>201</v>
      </c>
      <c r="C2506" s="17">
        <v>603</v>
      </c>
      <c r="D2506" s="17" t="s">
        <v>917</v>
      </c>
      <c r="E2506" s="17">
        <v>0</v>
      </c>
      <c r="F2506" s="17" t="s">
        <v>918</v>
      </c>
      <c r="G2506" s="17">
        <f t="shared" si="105"/>
        <v>110214067337</v>
      </c>
      <c r="H2506" s="17" t="s">
        <v>919</v>
      </c>
      <c r="I2506" s="17">
        <f t="shared" si="106"/>
        <v>110214067337</v>
      </c>
    </row>
    <row r="2507" spans="1:9" x14ac:dyDescent="0.3">
      <c r="A2507" s="17" t="str">
        <f t="shared" si="107"/>
        <v>2010604</v>
      </c>
      <c r="B2507" s="17">
        <v>201</v>
      </c>
      <c r="C2507" s="17">
        <v>604</v>
      </c>
      <c r="D2507" s="17" t="s">
        <v>917</v>
      </c>
      <c r="E2507" s="17">
        <v>0</v>
      </c>
      <c r="F2507" s="17" t="s">
        <v>918</v>
      </c>
      <c r="G2507" s="17">
        <f t="shared" si="105"/>
        <v>111316208010</v>
      </c>
      <c r="H2507" s="17" t="s">
        <v>919</v>
      </c>
      <c r="I2507" s="17">
        <f t="shared" si="106"/>
        <v>111316208010</v>
      </c>
    </row>
    <row r="2508" spans="1:9" x14ac:dyDescent="0.3">
      <c r="A2508" s="17" t="str">
        <f t="shared" si="107"/>
        <v>2010605</v>
      </c>
      <c r="B2508" s="17">
        <v>201</v>
      </c>
      <c r="C2508" s="17">
        <v>605</v>
      </c>
      <c r="D2508" s="17" t="s">
        <v>917</v>
      </c>
      <c r="E2508" s="17">
        <v>0</v>
      </c>
      <c r="F2508" s="17" t="s">
        <v>918</v>
      </c>
      <c r="G2508" s="17">
        <f t="shared" si="105"/>
        <v>112429370090</v>
      </c>
      <c r="H2508" s="17" t="s">
        <v>919</v>
      </c>
      <c r="I2508" s="17">
        <f t="shared" si="106"/>
        <v>112429370090</v>
      </c>
    </row>
    <row r="2509" spans="1:9" x14ac:dyDescent="0.3">
      <c r="A2509" s="17" t="str">
        <f t="shared" si="107"/>
        <v>2010606</v>
      </c>
      <c r="B2509" s="17">
        <v>201</v>
      </c>
      <c r="C2509" s="17">
        <v>606</v>
      </c>
      <c r="D2509" s="17" t="s">
        <v>917</v>
      </c>
      <c r="E2509" s="17">
        <v>0</v>
      </c>
      <c r="F2509" s="17" t="s">
        <v>918</v>
      </c>
      <c r="G2509" s="17">
        <f t="shared" si="105"/>
        <v>113553663790</v>
      </c>
      <c r="H2509" s="17" t="s">
        <v>919</v>
      </c>
      <c r="I2509" s="17">
        <f t="shared" si="106"/>
        <v>113553663790</v>
      </c>
    </row>
    <row r="2510" spans="1:9" x14ac:dyDescent="0.3">
      <c r="A2510" s="17" t="str">
        <f t="shared" si="107"/>
        <v>2010607</v>
      </c>
      <c r="B2510" s="17">
        <v>201</v>
      </c>
      <c r="C2510" s="17">
        <v>607</v>
      </c>
      <c r="D2510" s="17" t="s">
        <v>917</v>
      </c>
      <c r="E2510" s="17">
        <v>0</v>
      </c>
      <c r="F2510" s="17" t="s">
        <v>918</v>
      </c>
      <c r="G2510" s="17">
        <f t="shared" si="105"/>
        <v>114689200427</v>
      </c>
      <c r="H2510" s="17" t="s">
        <v>919</v>
      </c>
      <c r="I2510" s="17">
        <f t="shared" si="106"/>
        <v>114689200427</v>
      </c>
    </row>
    <row r="2511" spans="1:9" x14ac:dyDescent="0.3">
      <c r="A2511" s="17" t="str">
        <f t="shared" si="107"/>
        <v>2010608</v>
      </c>
      <c r="B2511" s="17">
        <v>201</v>
      </c>
      <c r="C2511" s="17">
        <v>608</v>
      </c>
      <c r="D2511" s="17" t="s">
        <v>917</v>
      </c>
      <c r="E2511" s="17">
        <v>0</v>
      </c>
      <c r="F2511" s="17" t="s">
        <v>918</v>
      </c>
      <c r="G2511" s="17">
        <f t="shared" si="105"/>
        <v>115836092431</v>
      </c>
      <c r="H2511" s="17" t="s">
        <v>919</v>
      </c>
      <c r="I2511" s="17">
        <f t="shared" si="106"/>
        <v>115836092431</v>
      </c>
    </row>
    <row r="2512" spans="1:9" x14ac:dyDescent="0.3">
      <c r="A2512" s="17" t="str">
        <f t="shared" si="107"/>
        <v>2010609</v>
      </c>
      <c r="B2512" s="17">
        <v>201</v>
      </c>
      <c r="C2512" s="17">
        <v>609</v>
      </c>
      <c r="D2512" s="17" t="s">
        <v>917</v>
      </c>
      <c r="E2512" s="17">
        <v>0</v>
      </c>
      <c r="F2512" s="17" t="s">
        <v>918</v>
      </c>
      <c r="G2512" s="17">
        <f t="shared" si="105"/>
        <v>116994453355</v>
      </c>
      <c r="H2512" s="17" t="s">
        <v>919</v>
      </c>
      <c r="I2512" s="17">
        <f t="shared" si="106"/>
        <v>116994453355</v>
      </c>
    </row>
    <row r="2513" spans="1:9" x14ac:dyDescent="0.3">
      <c r="A2513" s="17" t="str">
        <f t="shared" si="107"/>
        <v>2010610</v>
      </c>
      <c r="B2513" s="17">
        <v>201</v>
      </c>
      <c r="C2513" s="17">
        <v>610</v>
      </c>
      <c r="D2513" s="17" t="s">
        <v>917</v>
      </c>
      <c r="E2513" s="17">
        <v>0</v>
      </c>
      <c r="F2513" s="17" t="s">
        <v>918</v>
      </c>
      <c r="G2513" s="17">
        <f t="shared" si="105"/>
        <v>118164397888</v>
      </c>
      <c r="H2513" s="17" t="s">
        <v>919</v>
      </c>
      <c r="I2513" s="17">
        <f t="shared" si="106"/>
        <v>118164397888</v>
      </c>
    </row>
    <row r="2514" spans="1:9" x14ac:dyDescent="0.3">
      <c r="A2514" s="17" t="str">
        <f t="shared" si="107"/>
        <v>2010611</v>
      </c>
      <c r="B2514" s="17">
        <v>201</v>
      </c>
      <c r="C2514" s="17">
        <v>611</v>
      </c>
      <c r="D2514" s="17" t="s">
        <v>917</v>
      </c>
      <c r="E2514" s="17">
        <v>0</v>
      </c>
      <c r="F2514" s="17" t="s">
        <v>918</v>
      </c>
      <c r="G2514" s="17">
        <f t="shared" si="105"/>
        <v>119346041866</v>
      </c>
      <c r="H2514" s="17" t="s">
        <v>919</v>
      </c>
      <c r="I2514" s="17">
        <f t="shared" si="106"/>
        <v>119346041866</v>
      </c>
    </row>
    <row r="2515" spans="1:9" x14ac:dyDescent="0.3">
      <c r="A2515" s="17" t="str">
        <f t="shared" si="107"/>
        <v>2010612</v>
      </c>
      <c r="B2515" s="17">
        <v>201</v>
      </c>
      <c r="C2515" s="17">
        <v>612</v>
      </c>
      <c r="D2515" s="17" t="s">
        <v>917</v>
      </c>
      <c r="E2515" s="17">
        <v>0</v>
      </c>
      <c r="F2515" s="17" t="s">
        <v>918</v>
      </c>
      <c r="G2515" s="17">
        <f t="shared" si="105"/>
        <v>120539502284</v>
      </c>
      <c r="H2515" s="17" t="s">
        <v>919</v>
      </c>
      <c r="I2515" s="17">
        <f t="shared" si="106"/>
        <v>120539502284</v>
      </c>
    </row>
    <row r="2516" spans="1:9" x14ac:dyDescent="0.3">
      <c r="A2516" s="17" t="str">
        <f t="shared" si="107"/>
        <v>2010613</v>
      </c>
      <c r="B2516" s="17">
        <v>201</v>
      </c>
      <c r="C2516" s="17">
        <v>613</v>
      </c>
      <c r="D2516" s="17" t="s">
        <v>917</v>
      </c>
      <c r="E2516" s="17">
        <v>0</v>
      </c>
      <c r="F2516" s="17" t="s">
        <v>918</v>
      </c>
      <c r="G2516" s="17">
        <f t="shared" si="105"/>
        <v>121744897306</v>
      </c>
      <c r="H2516" s="17" t="s">
        <v>919</v>
      </c>
      <c r="I2516" s="17">
        <f t="shared" si="106"/>
        <v>121744897306</v>
      </c>
    </row>
    <row r="2517" spans="1:9" x14ac:dyDescent="0.3">
      <c r="A2517" s="17" t="str">
        <f t="shared" si="107"/>
        <v>2010614</v>
      </c>
      <c r="B2517" s="17">
        <v>201</v>
      </c>
      <c r="C2517" s="17">
        <v>614</v>
      </c>
      <c r="D2517" s="17" t="s">
        <v>917</v>
      </c>
      <c r="E2517" s="17">
        <v>0</v>
      </c>
      <c r="F2517" s="17" t="s">
        <v>918</v>
      </c>
      <c r="G2517" s="17">
        <f t="shared" si="105"/>
        <v>122962346279</v>
      </c>
      <c r="H2517" s="17" t="s">
        <v>919</v>
      </c>
      <c r="I2517" s="17">
        <f t="shared" si="106"/>
        <v>122962346279</v>
      </c>
    </row>
    <row r="2518" spans="1:9" x14ac:dyDescent="0.3">
      <c r="A2518" s="17" t="str">
        <f t="shared" si="107"/>
        <v>2010615</v>
      </c>
      <c r="B2518" s="17">
        <v>201</v>
      </c>
      <c r="C2518" s="17">
        <v>615</v>
      </c>
      <c r="D2518" s="17" t="s">
        <v>917</v>
      </c>
      <c r="E2518" s="17">
        <v>0</v>
      </c>
      <c r="F2518" s="17" t="s">
        <v>918</v>
      </c>
      <c r="G2518" s="17">
        <f t="shared" si="105"/>
        <v>124191969741</v>
      </c>
      <c r="H2518" s="17" t="s">
        <v>919</v>
      </c>
      <c r="I2518" s="17">
        <f t="shared" si="106"/>
        <v>124191969741</v>
      </c>
    </row>
    <row r="2519" spans="1:9" x14ac:dyDescent="0.3">
      <c r="A2519" s="17" t="str">
        <f t="shared" si="107"/>
        <v>2010616</v>
      </c>
      <c r="B2519" s="17">
        <v>201</v>
      </c>
      <c r="C2519" s="17">
        <v>616</v>
      </c>
      <c r="D2519" s="17" t="s">
        <v>917</v>
      </c>
      <c r="E2519" s="17">
        <v>0</v>
      </c>
      <c r="F2519" s="17" t="s">
        <v>918</v>
      </c>
      <c r="G2519" s="17">
        <f t="shared" si="105"/>
        <v>125433889438</v>
      </c>
      <c r="H2519" s="17" t="s">
        <v>919</v>
      </c>
      <c r="I2519" s="17">
        <f t="shared" si="106"/>
        <v>125433889438</v>
      </c>
    </row>
    <row r="2520" spans="1:9" x14ac:dyDescent="0.3">
      <c r="A2520" s="17" t="str">
        <f t="shared" si="107"/>
        <v>2010617</v>
      </c>
      <c r="B2520" s="17">
        <v>201</v>
      </c>
      <c r="C2520" s="17">
        <v>617</v>
      </c>
      <c r="D2520" s="17" t="s">
        <v>917</v>
      </c>
      <c r="E2520" s="17">
        <v>0</v>
      </c>
      <c r="F2520" s="17" t="s">
        <v>918</v>
      </c>
      <c r="G2520" s="17">
        <f t="shared" si="105"/>
        <v>126688228332</v>
      </c>
      <c r="H2520" s="17" t="s">
        <v>919</v>
      </c>
      <c r="I2520" s="17">
        <f t="shared" si="106"/>
        <v>126688228332</v>
      </c>
    </row>
    <row r="2521" spans="1:9" x14ac:dyDescent="0.3">
      <c r="A2521" s="17" t="str">
        <f t="shared" si="107"/>
        <v>2010618</v>
      </c>
      <c r="B2521" s="17">
        <v>201</v>
      </c>
      <c r="C2521" s="17">
        <v>618</v>
      </c>
      <c r="D2521" s="17" t="s">
        <v>917</v>
      </c>
      <c r="E2521" s="17">
        <v>0</v>
      </c>
      <c r="F2521" s="17" t="s">
        <v>918</v>
      </c>
      <c r="G2521" s="17">
        <f t="shared" si="105"/>
        <v>127955110615</v>
      </c>
      <c r="H2521" s="17" t="s">
        <v>919</v>
      </c>
      <c r="I2521" s="17">
        <f t="shared" si="106"/>
        <v>127955110615</v>
      </c>
    </row>
    <row r="2522" spans="1:9" x14ac:dyDescent="0.3">
      <c r="A2522" s="17" t="str">
        <f t="shared" si="107"/>
        <v>2010619</v>
      </c>
      <c r="B2522" s="17">
        <v>201</v>
      </c>
      <c r="C2522" s="17">
        <v>619</v>
      </c>
      <c r="D2522" s="17" t="s">
        <v>917</v>
      </c>
      <c r="E2522" s="17">
        <v>0</v>
      </c>
      <c r="F2522" s="17" t="s">
        <v>918</v>
      </c>
      <c r="G2522" s="17">
        <f t="shared" si="105"/>
        <v>129234661721</v>
      </c>
      <c r="H2522" s="17" t="s">
        <v>919</v>
      </c>
      <c r="I2522" s="17">
        <f t="shared" si="106"/>
        <v>129234661721</v>
      </c>
    </row>
    <row r="2523" spans="1:9" x14ac:dyDescent="0.3">
      <c r="A2523" s="17" t="str">
        <f t="shared" si="107"/>
        <v>2010620</v>
      </c>
      <c r="B2523" s="17">
        <v>201</v>
      </c>
      <c r="C2523" s="17">
        <v>620</v>
      </c>
      <c r="D2523" s="17" t="s">
        <v>917</v>
      </c>
      <c r="E2523" s="17">
        <v>0</v>
      </c>
      <c r="F2523" s="17" t="s">
        <v>918</v>
      </c>
      <c r="G2523" s="17">
        <f t="shared" si="105"/>
        <v>130527008338</v>
      </c>
      <c r="H2523" s="17" t="s">
        <v>919</v>
      </c>
      <c r="I2523" s="17">
        <f t="shared" si="106"/>
        <v>130527008338</v>
      </c>
    </row>
    <row r="2524" spans="1:9" x14ac:dyDescent="0.3">
      <c r="A2524" s="17" t="str">
        <f t="shared" si="107"/>
        <v>2010621</v>
      </c>
      <c r="B2524" s="17">
        <v>201</v>
      </c>
      <c r="C2524" s="17">
        <v>621</v>
      </c>
      <c r="D2524" s="17" t="s">
        <v>917</v>
      </c>
      <c r="E2524" s="17">
        <v>0</v>
      </c>
      <c r="F2524" s="17" t="s">
        <v>918</v>
      </c>
      <c r="G2524" s="17">
        <f t="shared" ref="G2524:G2587" si="108">INT(G2523*1.01)</f>
        <v>131832278421</v>
      </c>
      <c r="H2524" s="17" t="s">
        <v>919</v>
      </c>
      <c r="I2524" s="17">
        <f t="shared" si="106"/>
        <v>131832278421</v>
      </c>
    </row>
    <row r="2525" spans="1:9" x14ac:dyDescent="0.3">
      <c r="A2525" s="17" t="str">
        <f t="shared" si="107"/>
        <v>2010622</v>
      </c>
      <c r="B2525" s="17">
        <v>201</v>
      </c>
      <c r="C2525" s="17">
        <v>622</v>
      </c>
      <c r="D2525" s="17" t="s">
        <v>917</v>
      </c>
      <c r="E2525" s="17">
        <v>0</v>
      </c>
      <c r="F2525" s="17" t="s">
        <v>918</v>
      </c>
      <c r="G2525" s="17">
        <f t="shared" si="108"/>
        <v>133150601205</v>
      </c>
      <c r="H2525" s="17" t="s">
        <v>919</v>
      </c>
      <c r="I2525" s="17">
        <f t="shared" si="106"/>
        <v>133150601205</v>
      </c>
    </row>
    <row r="2526" spans="1:9" x14ac:dyDescent="0.3">
      <c r="A2526" s="17" t="str">
        <f t="shared" si="107"/>
        <v>2010623</v>
      </c>
      <c r="B2526" s="17">
        <v>201</v>
      </c>
      <c r="C2526" s="17">
        <v>623</v>
      </c>
      <c r="D2526" s="17" t="s">
        <v>917</v>
      </c>
      <c r="E2526" s="17">
        <v>0</v>
      </c>
      <c r="F2526" s="17" t="s">
        <v>918</v>
      </c>
      <c r="G2526" s="17">
        <f t="shared" si="108"/>
        <v>134482107217</v>
      </c>
      <c r="H2526" s="17" t="s">
        <v>919</v>
      </c>
      <c r="I2526" s="17">
        <f t="shared" si="106"/>
        <v>134482107217</v>
      </c>
    </row>
    <row r="2527" spans="1:9" x14ac:dyDescent="0.3">
      <c r="A2527" s="17" t="str">
        <f t="shared" si="107"/>
        <v>2010624</v>
      </c>
      <c r="B2527" s="17">
        <v>201</v>
      </c>
      <c r="C2527" s="17">
        <v>624</v>
      </c>
      <c r="D2527" s="17" t="s">
        <v>917</v>
      </c>
      <c r="E2527" s="17">
        <v>0</v>
      </c>
      <c r="F2527" s="17" t="s">
        <v>918</v>
      </c>
      <c r="G2527" s="17">
        <f t="shared" si="108"/>
        <v>135826928289</v>
      </c>
      <c r="H2527" s="17" t="s">
        <v>919</v>
      </c>
      <c r="I2527" s="17">
        <f t="shared" si="106"/>
        <v>135826928289</v>
      </c>
    </row>
    <row r="2528" spans="1:9" x14ac:dyDescent="0.3">
      <c r="A2528" s="17" t="str">
        <f t="shared" si="107"/>
        <v>2010625</v>
      </c>
      <c r="B2528" s="17">
        <v>201</v>
      </c>
      <c r="C2528" s="17">
        <v>625</v>
      </c>
      <c r="D2528" s="17" t="s">
        <v>917</v>
      </c>
      <c r="E2528" s="17">
        <v>0</v>
      </c>
      <c r="F2528" s="17" t="s">
        <v>918</v>
      </c>
      <c r="G2528" s="17">
        <f t="shared" si="108"/>
        <v>137185197571</v>
      </c>
      <c r="H2528" s="17" t="s">
        <v>919</v>
      </c>
      <c r="I2528" s="17">
        <f t="shared" si="106"/>
        <v>137185197571</v>
      </c>
    </row>
    <row r="2529" spans="1:9" x14ac:dyDescent="0.3">
      <c r="A2529" s="17" t="str">
        <f t="shared" si="107"/>
        <v>2010626</v>
      </c>
      <c r="B2529" s="17">
        <v>201</v>
      </c>
      <c r="C2529" s="17">
        <v>626</v>
      </c>
      <c r="D2529" s="17" t="s">
        <v>917</v>
      </c>
      <c r="E2529" s="17">
        <v>0</v>
      </c>
      <c r="F2529" s="17" t="s">
        <v>918</v>
      </c>
      <c r="G2529" s="17">
        <f t="shared" si="108"/>
        <v>138557049546</v>
      </c>
      <c r="H2529" s="17" t="s">
        <v>919</v>
      </c>
      <c r="I2529" s="17">
        <f t="shared" si="106"/>
        <v>138557049546</v>
      </c>
    </row>
    <row r="2530" spans="1:9" x14ac:dyDescent="0.3">
      <c r="A2530" s="17" t="str">
        <f t="shared" si="107"/>
        <v>2010627</v>
      </c>
      <c r="B2530" s="17">
        <v>201</v>
      </c>
      <c r="C2530" s="17">
        <v>627</v>
      </c>
      <c r="D2530" s="17" t="s">
        <v>917</v>
      </c>
      <c r="E2530" s="17">
        <v>0</v>
      </c>
      <c r="F2530" s="17" t="s">
        <v>918</v>
      </c>
      <c r="G2530" s="17">
        <f t="shared" si="108"/>
        <v>139942620041</v>
      </c>
      <c r="H2530" s="17" t="s">
        <v>919</v>
      </c>
      <c r="I2530" s="17">
        <f t="shared" si="106"/>
        <v>139942620041</v>
      </c>
    </row>
    <row r="2531" spans="1:9" x14ac:dyDescent="0.3">
      <c r="A2531" s="17" t="str">
        <f t="shared" si="107"/>
        <v>2010628</v>
      </c>
      <c r="B2531" s="17">
        <v>201</v>
      </c>
      <c r="C2531" s="17">
        <v>628</v>
      </c>
      <c r="D2531" s="17" t="s">
        <v>917</v>
      </c>
      <c r="E2531" s="17">
        <v>0</v>
      </c>
      <c r="F2531" s="17" t="s">
        <v>918</v>
      </c>
      <c r="G2531" s="17">
        <f t="shared" si="108"/>
        <v>141342046241</v>
      </c>
      <c r="H2531" s="17" t="s">
        <v>919</v>
      </c>
      <c r="I2531" s="17">
        <f t="shared" si="106"/>
        <v>141342046241</v>
      </c>
    </row>
    <row r="2532" spans="1:9" x14ac:dyDescent="0.3">
      <c r="A2532" s="17" t="str">
        <f t="shared" si="107"/>
        <v>2010629</v>
      </c>
      <c r="B2532" s="17">
        <v>201</v>
      </c>
      <c r="C2532" s="17">
        <v>629</v>
      </c>
      <c r="D2532" s="17" t="s">
        <v>917</v>
      </c>
      <c r="E2532" s="17">
        <v>0</v>
      </c>
      <c r="F2532" s="17" t="s">
        <v>918</v>
      </c>
      <c r="G2532" s="17">
        <f t="shared" si="108"/>
        <v>142755466703</v>
      </c>
      <c r="H2532" s="17" t="s">
        <v>919</v>
      </c>
      <c r="I2532" s="17">
        <f t="shared" si="106"/>
        <v>142755466703</v>
      </c>
    </row>
    <row r="2533" spans="1:9" x14ac:dyDescent="0.3">
      <c r="A2533" s="17" t="str">
        <f t="shared" si="107"/>
        <v>2010630</v>
      </c>
      <c r="B2533" s="17">
        <v>201</v>
      </c>
      <c r="C2533" s="17">
        <v>630</v>
      </c>
      <c r="D2533" s="17" t="s">
        <v>917</v>
      </c>
      <c r="E2533" s="17">
        <v>0</v>
      </c>
      <c r="F2533" s="17" t="s">
        <v>918</v>
      </c>
      <c r="G2533" s="17">
        <f t="shared" si="108"/>
        <v>144183021370</v>
      </c>
      <c r="H2533" s="17" t="s">
        <v>919</v>
      </c>
      <c r="I2533" s="17">
        <f t="shared" si="106"/>
        <v>144183021370</v>
      </c>
    </row>
    <row r="2534" spans="1:9" x14ac:dyDescent="0.3">
      <c r="A2534" s="17" t="str">
        <f t="shared" si="107"/>
        <v>2010631</v>
      </c>
      <c r="B2534" s="17">
        <v>201</v>
      </c>
      <c r="C2534" s="17">
        <v>631</v>
      </c>
      <c r="D2534" s="17" t="s">
        <v>917</v>
      </c>
      <c r="E2534" s="17">
        <v>0</v>
      </c>
      <c r="F2534" s="17" t="s">
        <v>918</v>
      </c>
      <c r="G2534" s="17">
        <f t="shared" si="108"/>
        <v>145624851583</v>
      </c>
      <c r="H2534" s="17" t="s">
        <v>919</v>
      </c>
      <c r="I2534" s="17">
        <f t="shared" si="106"/>
        <v>145624851583</v>
      </c>
    </row>
    <row r="2535" spans="1:9" x14ac:dyDescent="0.3">
      <c r="A2535" s="17" t="str">
        <f t="shared" si="107"/>
        <v>2010632</v>
      </c>
      <c r="B2535" s="17">
        <v>201</v>
      </c>
      <c r="C2535" s="17">
        <v>632</v>
      </c>
      <c r="D2535" s="17" t="s">
        <v>917</v>
      </c>
      <c r="E2535" s="17">
        <v>0</v>
      </c>
      <c r="F2535" s="17" t="s">
        <v>918</v>
      </c>
      <c r="G2535" s="17">
        <f t="shared" si="108"/>
        <v>147081100098</v>
      </c>
      <c r="H2535" s="17" t="s">
        <v>919</v>
      </c>
      <c r="I2535" s="17">
        <f t="shared" si="106"/>
        <v>147081100098</v>
      </c>
    </row>
    <row r="2536" spans="1:9" x14ac:dyDescent="0.3">
      <c r="A2536" s="17" t="str">
        <f t="shared" si="107"/>
        <v>2010633</v>
      </c>
      <c r="B2536" s="17">
        <v>201</v>
      </c>
      <c r="C2536" s="17">
        <v>633</v>
      </c>
      <c r="D2536" s="17" t="s">
        <v>917</v>
      </c>
      <c r="E2536" s="17">
        <v>0</v>
      </c>
      <c r="F2536" s="17" t="s">
        <v>918</v>
      </c>
      <c r="G2536" s="17">
        <f t="shared" si="108"/>
        <v>148551911098</v>
      </c>
      <c r="H2536" s="17" t="s">
        <v>919</v>
      </c>
      <c r="I2536" s="17">
        <f t="shared" si="106"/>
        <v>148551911098</v>
      </c>
    </row>
    <row r="2537" spans="1:9" x14ac:dyDescent="0.3">
      <c r="A2537" s="17" t="str">
        <f t="shared" si="107"/>
        <v>2010634</v>
      </c>
      <c r="B2537" s="17">
        <v>201</v>
      </c>
      <c r="C2537" s="17">
        <v>634</v>
      </c>
      <c r="D2537" s="17" t="s">
        <v>917</v>
      </c>
      <c r="E2537" s="17">
        <v>0</v>
      </c>
      <c r="F2537" s="17" t="s">
        <v>918</v>
      </c>
      <c r="G2537" s="17">
        <f t="shared" si="108"/>
        <v>150037430208</v>
      </c>
      <c r="H2537" s="17" t="s">
        <v>919</v>
      </c>
      <c r="I2537" s="17">
        <f t="shared" si="106"/>
        <v>150037430208</v>
      </c>
    </row>
    <row r="2538" spans="1:9" x14ac:dyDescent="0.3">
      <c r="A2538" s="17" t="str">
        <f t="shared" si="107"/>
        <v>2010635</v>
      </c>
      <c r="B2538" s="17">
        <v>201</v>
      </c>
      <c r="C2538" s="17">
        <v>635</v>
      </c>
      <c r="D2538" s="17" t="s">
        <v>917</v>
      </c>
      <c r="E2538" s="17">
        <v>0</v>
      </c>
      <c r="F2538" s="17" t="s">
        <v>918</v>
      </c>
      <c r="G2538" s="17">
        <f t="shared" si="108"/>
        <v>151537804510</v>
      </c>
      <c r="H2538" s="17" t="s">
        <v>919</v>
      </c>
      <c r="I2538" s="17">
        <f t="shared" si="106"/>
        <v>151537804510</v>
      </c>
    </row>
    <row r="2539" spans="1:9" x14ac:dyDescent="0.3">
      <c r="A2539" s="17" t="str">
        <f t="shared" si="107"/>
        <v>2010636</v>
      </c>
      <c r="B2539" s="17">
        <v>201</v>
      </c>
      <c r="C2539" s="17">
        <v>636</v>
      </c>
      <c r="D2539" s="17" t="s">
        <v>917</v>
      </c>
      <c r="E2539" s="17">
        <v>0</v>
      </c>
      <c r="F2539" s="17" t="s">
        <v>918</v>
      </c>
      <c r="G2539" s="17">
        <f t="shared" si="108"/>
        <v>153053182555</v>
      </c>
      <c r="H2539" s="17" t="s">
        <v>919</v>
      </c>
      <c r="I2539" s="17">
        <f t="shared" si="106"/>
        <v>153053182555</v>
      </c>
    </row>
    <row r="2540" spans="1:9" x14ac:dyDescent="0.3">
      <c r="A2540" s="17" t="str">
        <f t="shared" si="107"/>
        <v>2010637</v>
      </c>
      <c r="B2540" s="17">
        <v>201</v>
      </c>
      <c r="C2540" s="17">
        <v>637</v>
      </c>
      <c r="D2540" s="17" t="s">
        <v>917</v>
      </c>
      <c r="E2540" s="17">
        <v>0</v>
      </c>
      <c r="F2540" s="17" t="s">
        <v>918</v>
      </c>
      <c r="G2540" s="17">
        <f t="shared" si="108"/>
        <v>154583714380</v>
      </c>
      <c r="H2540" s="17" t="s">
        <v>919</v>
      </c>
      <c r="I2540" s="17">
        <f t="shared" si="106"/>
        <v>154583714380</v>
      </c>
    </row>
    <row r="2541" spans="1:9" x14ac:dyDescent="0.3">
      <c r="A2541" s="17" t="str">
        <f t="shared" si="107"/>
        <v>2010638</v>
      </c>
      <c r="B2541" s="17">
        <v>201</v>
      </c>
      <c r="C2541" s="17">
        <v>638</v>
      </c>
      <c r="D2541" s="17" t="s">
        <v>917</v>
      </c>
      <c r="E2541" s="17">
        <v>0</v>
      </c>
      <c r="F2541" s="17" t="s">
        <v>918</v>
      </c>
      <c r="G2541" s="17">
        <f t="shared" si="108"/>
        <v>156129551523</v>
      </c>
      <c r="H2541" s="17" t="s">
        <v>919</v>
      </c>
      <c r="I2541" s="17">
        <f t="shared" si="106"/>
        <v>156129551523</v>
      </c>
    </row>
    <row r="2542" spans="1:9" x14ac:dyDescent="0.3">
      <c r="A2542" s="17" t="str">
        <f t="shared" si="107"/>
        <v>2010639</v>
      </c>
      <c r="B2542" s="17">
        <v>201</v>
      </c>
      <c r="C2542" s="17">
        <v>639</v>
      </c>
      <c r="D2542" s="17" t="s">
        <v>917</v>
      </c>
      <c r="E2542" s="17">
        <v>0</v>
      </c>
      <c r="F2542" s="17" t="s">
        <v>918</v>
      </c>
      <c r="G2542" s="17">
        <f t="shared" si="108"/>
        <v>157690847038</v>
      </c>
      <c r="H2542" s="17" t="s">
        <v>919</v>
      </c>
      <c r="I2542" s="17">
        <f t="shared" si="106"/>
        <v>157690847038</v>
      </c>
    </row>
    <row r="2543" spans="1:9" x14ac:dyDescent="0.3">
      <c r="A2543" s="17" t="str">
        <f t="shared" si="107"/>
        <v>2010640</v>
      </c>
      <c r="B2543" s="17">
        <v>201</v>
      </c>
      <c r="C2543" s="17">
        <v>640</v>
      </c>
      <c r="D2543" s="17" t="s">
        <v>917</v>
      </c>
      <c r="E2543" s="17">
        <v>0</v>
      </c>
      <c r="F2543" s="17" t="s">
        <v>918</v>
      </c>
      <c r="G2543" s="17">
        <f t="shared" si="108"/>
        <v>159267755508</v>
      </c>
      <c r="H2543" s="17" t="s">
        <v>919</v>
      </c>
      <c r="I2543" s="17">
        <f t="shared" si="106"/>
        <v>159267755508</v>
      </c>
    </row>
    <row r="2544" spans="1:9" x14ac:dyDescent="0.3">
      <c r="A2544" s="17" t="str">
        <f t="shared" si="107"/>
        <v>2010641</v>
      </c>
      <c r="B2544" s="17">
        <v>201</v>
      </c>
      <c r="C2544" s="17">
        <v>641</v>
      </c>
      <c r="D2544" s="17" t="s">
        <v>917</v>
      </c>
      <c r="E2544" s="17">
        <v>0</v>
      </c>
      <c r="F2544" s="17" t="s">
        <v>918</v>
      </c>
      <c r="G2544" s="17">
        <f t="shared" si="108"/>
        <v>160860433063</v>
      </c>
      <c r="H2544" s="17" t="s">
        <v>919</v>
      </c>
      <c r="I2544" s="17">
        <f t="shared" si="106"/>
        <v>160860433063</v>
      </c>
    </row>
    <row r="2545" spans="1:9" x14ac:dyDescent="0.3">
      <c r="A2545" s="17" t="str">
        <f t="shared" si="107"/>
        <v>2010642</v>
      </c>
      <c r="B2545" s="17">
        <v>201</v>
      </c>
      <c r="C2545" s="17">
        <v>642</v>
      </c>
      <c r="D2545" s="17" t="s">
        <v>917</v>
      </c>
      <c r="E2545" s="17">
        <v>0</v>
      </c>
      <c r="F2545" s="17" t="s">
        <v>918</v>
      </c>
      <c r="G2545" s="17">
        <f t="shared" si="108"/>
        <v>162469037393</v>
      </c>
      <c r="H2545" s="17" t="s">
        <v>919</v>
      </c>
      <c r="I2545" s="17">
        <f t="shared" ref="I2545:I2608" si="109">G2545</f>
        <v>162469037393</v>
      </c>
    </row>
    <row r="2546" spans="1:9" x14ac:dyDescent="0.3">
      <c r="A2546" s="17" t="str">
        <f t="shared" si="107"/>
        <v>2010643</v>
      </c>
      <c r="B2546" s="17">
        <v>201</v>
      </c>
      <c r="C2546" s="17">
        <v>643</v>
      </c>
      <c r="D2546" s="17" t="s">
        <v>917</v>
      </c>
      <c r="E2546" s="17">
        <v>0</v>
      </c>
      <c r="F2546" s="17" t="s">
        <v>918</v>
      </c>
      <c r="G2546" s="17">
        <f t="shared" si="108"/>
        <v>164093727766</v>
      </c>
      <c r="H2546" s="17" t="s">
        <v>919</v>
      </c>
      <c r="I2546" s="17">
        <f t="shared" si="109"/>
        <v>164093727766</v>
      </c>
    </row>
    <row r="2547" spans="1:9" x14ac:dyDescent="0.3">
      <c r="A2547" s="17" t="str">
        <f t="shared" si="107"/>
        <v>2010644</v>
      </c>
      <c r="B2547" s="17">
        <v>201</v>
      </c>
      <c r="C2547" s="17">
        <v>644</v>
      </c>
      <c r="D2547" s="17" t="s">
        <v>917</v>
      </c>
      <c r="E2547" s="17">
        <v>0</v>
      </c>
      <c r="F2547" s="17" t="s">
        <v>918</v>
      </c>
      <c r="G2547" s="17">
        <f t="shared" si="108"/>
        <v>165734665043</v>
      </c>
      <c r="H2547" s="17" t="s">
        <v>919</v>
      </c>
      <c r="I2547" s="17">
        <f t="shared" si="109"/>
        <v>165734665043</v>
      </c>
    </row>
    <row r="2548" spans="1:9" x14ac:dyDescent="0.3">
      <c r="A2548" s="17" t="str">
        <f t="shared" si="107"/>
        <v>2010645</v>
      </c>
      <c r="B2548" s="17">
        <v>201</v>
      </c>
      <c r="C2548" s="17">
        <v>645</v>
      </c>
      <c r="D2548" s="17" t="s">
        <v>917</v>
      </c>
      <c r="E2548" s="17">
        <v>0</v>
      </c>
      <c r="F2548" s="17" t="s">
        <v>918</v>
      </c>
      <c r="G2548" s="17">
        <f t="shared" si="108"/>
        <v>167392011693</v>
      </c>
      <c r="H2548" s="17" t="s">
        <v>919</v>
      </c>
      <c r="I2548" s="17">
        <f t="shared" si="109"/>
        <v>167392011693</v>
      </c>
    </row>
    <row r="2549" spans="1:9" x14ac:dyDescent="0.3">
      <c r="A2549" s="17" t="str">
        <f t="shared" si="107"/>
        <v>2010646</v>
      </c>
      <c r="B2549" s="17">
        <v>201</v>
      </c>
      <c r="C2549" s="17">
        <v>646</v>
      </c>
      <c r="D2549" s="17" t="s">
        <v>917</v>
      </c>
      <c r="E2549" s="17">
        <v>0</v>
      </c>
      <c r="F2549" s="17" t="s">
        <v>918</v>
      </c>
      <c r="G2549" s="17">
        <f t="shared" si="108"/>
        <v>169065931809</v>
      </c>
      <c r="H2549" s="17" t="s">
        <v>919</v>
      </c>
      <c r="I2549" s="17">
        <f t="shared" si="109"/>
        <v>169065931809</v>
      </c>
    </row>
    <row r="2550" spans="1:9" x14ac:dyDescent="0.3">
      <c r="A2550" s="17" t="str">
        <f t="shared" si="107"/>
        <v>2010647</v>
      </c>
      <c r="B2550" s="17">
        <v>201</v>
      </c>
      <c r="C2550" s="17">
        <v>647</v>
      </c>
      <c r="D2550" s="17" t="s">
        <v>917</v>
      </c>
      <c r="E2550" s="17">
        <v>0</v>
      </c>
      <c r="F2550" s="17" t="s">
        <v>918</v>
      </c>
      <c r="G2550" s="17">
        <f t="shared" si="108"/>
        <v>170756591127</v>
      </c>
      <c r="H2550" s="17" t="s">
        <v>919</v>
      </c>
      <c r="I2550" s="17">
        <f t="shared" si="109"/>
        <v>170756591127</v>
      </c>
    </row>
    <row r="2551" spans="1:9" x14ac:dyDescent="0.3">
      <c r="A2551" s="17" t="str">
        <f t="shared" si="107"/>
        <v>2010648</v>
      </c>
      <c r="B2551" s="17">
        <v>201</v>
      </c>
      <c r="C2551" s="17">
        <v>648</v>
      </c>
      <c r="D2551" s="17" t="s">
        <v>917</v>
      </c>
      <c r="E2551" s="17">
        <v>0</v>
      </c>
      <c r="F2551" s="17" t="s">
        <v>918</v>
      </c>
      <c r="G2551" s="17">
        <f t="shared" si="108"/>
        <v>172464157038</v>
      </c>
      <c r="H2551" s="17" t="s">
        <v>919</v>
      </c>
      <c r="I2551" s="17">
        <f t="shared" si="109"/>
        <v>172464157038</v>
      </c>
    </row>
    <row r="2552" spans="1:9" x14ac:dyDescent="0.3">
      <c r="A2552" s="17" t="str">
        <f t="shared" si="107"/>
        <v>2010649</v>
      </c>
      <c r="B2552" s="17">
        <v>201</v>
      </c>
      <c r="C2552" s="17">
        <v>649</v>
      </c>
      <c r="D2552" s="17" t="s">
        <v>917</v>
      </c>
      <c r="E2552" s="17">
        <v>0</v>
      </c>
      <c r="F2552" s="17" t="s">
        <v>918</v>
      </c>
      <c r="G2552" s="17">
        <f t="shared" si="108"/>
        <v>174188798608</v>
      </c>
      <c r="H2552" s="17" t="s">
        <v>919</v>
      </c>
      <c r="I2552" s="17">
        <f t="shared" si="109"/>
        <v>174188798608</v>
      </c>
    </row>
    <row r="2553" spans="1:9" x14ac:dyDescent="0.3">
      <c r="A2553" s="17" t="str">
        <f t="shared" si="107"/>
        <v>2010650</v>
      </c>
      <c r="B2553" s="17">
        <v>201</v>
      </c>
      <c r="C2553" s="17">
        <v>650</v>
      </c>
      <c r="D2553" s="17" t="s">
        <v>917</v>
      </c>
      <c r="E2553" s="17">
        <v>0</v>
      </c>
      <c r="F2553" s="17" t="s">
        <v>918</v>
      </c>
      <c r="G2553" s="17">
        <f t="shared" si="108"/>
        <v>175930686594</v>
      </c>
      <c r="H2553" s="17" t="s">
        <v>919</v>
      </c>
      <c r="I2553" s="17">
        <f t="shared" si="109"/>
        <v>175930686594</v>
      </c>
    </row>
    <row r="2554" spans="1:9" x14ac:dyDescent="0.3">
      <c r="A2554" s="17" t="str">
        <f t="shared" si="107"/>
        <v>2010651</v>
      </c>
      <c r="B2554" s="17">
        <v>201</v>
      </c>
      <c r="C2554" s="17">
        <v>651</v>
      </c>
      <c r="D2554" s="17" t="s">
        <v>917</v>
      </c>
      <c r="E2554" s="17">
        <v>0</v>
      </c>
      <c r="F2554" s="17" t="s">
        <v>918</v>
      </c>
      <c r="G2554" s="17">
        <f t="shared" si="108"/>
        <v>177689993459</v>
      </c>
      <c r="H2554" s="17" t="s">
        <v>919</v>
      </c>
      <c r="I2554" s="17">
        <f t="shared" si="109"/>
        <v>177689993459</v>
      </c>
    </row>
    <row r="2555" spans="1:9" x14ac:dyDescent="0.3">
      <c r="A2555" s="17" t="str">
        <f t="shared" si="107"/>
        <v>2010652</v>
      </c>
      <c r="B2555" s="17">
        <v>201</v>
      </c>
      <c r="C2555" s="17">
        <v>652</v>
      </c>
      <c r="D2555" s="17" t="s">
        <v>917</v>
      </c>
      <c r="E2555" s="17">
        <v>0</v>
      </c>
      <c r="F2555" s="17" t="s">
        <v>918</v>
      </c>
      <c r="G2555" s="17">
        <f t="shared" si="108"/>
        <v>179466893393</v>
      </c>
      <c r="H2555" s="17" t="s">
        <v>919</v>
      </c>
      <c r="I2555" s="17">
        <f t="shared" si="109"/>
        <v>179466893393</v>
      </c>
    </row>
    <row r="2556" spans="1:9" x14ac:dyDescent="0.3">
      <c r="A2556" s="17" t="str">
        <f t="shared" si="107"/>
        <v>2010653</v>
      </c>
      <c r="B2556" s="17">
        <v>201</v>
      </c>
      <c r="C2556" s="17">
        <v>653</v>
      </c>
      <c r="D2556" s="17" t="s">
        <v>917</v>
      </c>
      <c r="E2556" s="17">
        <v>0</v>
      </c>
      <c r="F2556" s="17" t="s">
        <v>918</v>
      </c>
      <c r="G2556" s="17">
        <f t="shared" si="108"/>
        <v>181261562326</v>
      </c>
      <c r="H2556" s="17" t="s">
        <v>919</v>
      </c>
      <c r="I2556" s="17">
        <f t="shared" si="109"/>
        <v>181261562326</v>
      </c>
    </row>
    <row r="2557" spans="1:9" x14ac:dyDescent="0.3">
      <c r="A2557" s="17" t="str">
        <f t="shared" si="107"/>
        <v>2010654</v>
      </c>
      <c r="B2557" s="17">
        <v>201</v>
      </c>
      <c r="C2557" s="17">
        <v>654</v>
      </c>
      <c r="D2557" s="17" t="s">
        <v>917</v>
      </c>
      <c r="E2557" s="17">
        <v>0</v>
      </c>
      <c r="F2557" s="17" t="s">
        <v>918</v>
      </c>
      <c r="G2557" s="17">
        <f t="shared" si="108"/>
        <v>183074177949</v>
      </c>
      <c r="H2557" s="17" t="s">
        <v>919</v>
      </c>
      <c r="I2557" s="17">
        <f t="shared" si="109"/>
        <v>183074177949</v>
      </c>
    </row>
    <row r="2558" spans="1:9" x14ac:dyDescent="0.3">
      <c r="A2558" s="17" t="str">
        <f t="shared" si="107"/>
        <v>2010655</v>
      </c>
      <c r="B2558" s="17">
        <v>201</v>
      </c>
      <c r="C2558" s="17">
        <v>655</v>
      </c>
      <c r="D2558" s="17" t="s">
        <v>917</v>
      </c>
      <c r="E2558" s="17">
        <v>0</v>
      </c>
      <c r="F2558" s="17" t="s">
        <v>918</v>
      </c>
      <c r="G2558" s="17">
        <f t="shared" si="108"/>
        <v>184904919728</v>
      </c>
      <c r="H2558" s="17" t="s">
        <v>919</v>
      </c>
      <c r="I2558" s="17">
        <f t="shared" si="109"/>
        <v>184904919728</v>
      </c>
    </row>
    <row r="2559" spans="1:9" x14ac:dyDescent="0.3">
      <c r="A2559" s="17" t="str">
        <f t="shared" si="107"/>
        <v>2010656</v>
      </c>
      <c r="B2559" s="17">
        <v>201</v>
      </c>
      <c r="C2559" s="17">
        <v>656</v>
      </c>
      <c r="D2559" s="17" t="s">
        <v>917</v>
      </c>
      <c r="E2559" s="17">
        <v>0</v>
      </c>
      <c r="F2559" s="17" t="s">
        <v>918</v>
      </c>
      <c r="G2559" s="17">
        <f t="shared" si="108"/>
        <v>186753968925</v>
      </c>
      <c r="H2559" s="17" t="s">
        <v>919</v>
      </c>
      <c r="I2559" s="17">
        <f t="shared" si="109"/>
        <v>186753968925</v>
      </c>
    </row>
    <row r="2560" spans="1:9" x14ac:dyDescent="0.3">
      <c r="A2560" s="17" t="str">
        <f t="shared" si="107"/>
        <v>2010657</v>
      </c>
      <c r="B2560" s="17">
        <v>201</v>
      </c>
      <c r="C2560" s="17">
        <v>657</v>
      </c>
      <c r="D2560" s="17" t="s">
        <v>917</v>
      </c>
      <c r="E2560" s="17">
        <v>0</v>
      </c>
      <c r="F2560" s="17" t="s">
        <v>918</v>
      </c>
      <c r="G2560" s="17">
        <f t="shared" si="108"/>
        <v>188621508614</v>
      </c>
      <c r="H2560" s="17" t="s">
        <v>919</v>
      </c>
      <c r="I2560" s="17">
        <f t="shared" si="109"/>
        <v>188621508614</v>
      </c>
    </row>
    <row r="2561" spans="1:9" x14ac:dyDescent="0.3">
      <c r="A2561" s="17" t="str">
        <f t="shared" si="107"/>
        <v>2010658</v>
      </c>
      <c r="B2561" s="17">
        <v>201</v>
      </c>
      <c r="C2561" s="17">
        <v>658</v>
      </c>
      <c r="D2561" s="17" t="s">
        <v>917</v>
      </c>
      <c r="E2561" s="17">
        <v>0</v>
      </c>
      <c r="F2561" s="17" t="s">
        <v>918</v>
      </c>
      <c r="G2561" s="17">
        <f t="shared" si="108"/>
        <v>190507723700</v>
      </c>
      <c r="H2561" s="17" t="s">
        <v>919</v>
      </c>
      <c r="I2561" s="17">
        <f t="shared" si="109"/>
        <v>190507723700</v>
      </c>
    </row>
    <row r="2562" spans="1:9" x14ac:dyDescent="0.3">
      <c r="A2562" s="17" t="str">
        <f t="shared" si="107"/>
        <v>2010659</v>
      </c>
      <c r="B2562" s="17">
        <v>201</v>
      </c>
      <c r="C2562" s="17">
        <v>659</v>
      </c>
      <c r="D2562" s="17" t="s">
        <v>917</v>
      </c>
      <c r="E2562" s="17">
        <v>0</v>
      </c>
      <c r="F2562" s="17" t="s">
        <v>918</v>
      </c>
      <c r="G2562" s="17">
        <f t="shared" si="108"/>
        <v>192412800937</v>
      </c>
      <c r="H2562" s="17" t="s">
        <v>919</v>
      </c>
      <c r="I2562" s="17">
        <f t="shared" si="109"/>
        <v>192412800937</v>
      </c>
    </row>
    <row r="2563" spans="1:9" x14ac:dyDescent="0.3">
      <c r="A2563" s="17" t="str">
        <f t="shared" si="107"/>
        <v>2010660</v>
      </c>
      <c r="B2563" s="17">
        <v>201</v>
      </c>
      <c r="C2563" s="17">
        <v>660</v>
      </c>
      <c r="D2563" s="17" t="s">
        <v>917</v>
      </c>
      <c r="E2563" s="17">
        <v>0</v>
      </c>
      <c r="F2563" s="17" t="s">
        <v>918</v>
      </c>
      <c r="G2563" s="17">
        <f t="shared" si="108"/>
        <v>194336928946</v>
      </c>
      <c r="H2563" s="17" t="s">
        <v>919</v>
      </c>
      <c r="I2563" s="17">
        <f t="shared" si="109"/>
        <v>194336928946</v>
      </c>
    </row>
    <row r="2564" spans="1:9" x14ac:dyDescent="0.3">
      <c r="A2564" s="17" t="str">
        <f t="shared" ref="A2564:A2627" si="110">B2564&amp;TEXT(C2564,"0000")</f>
        <v>2010661</v>
      </c>
      <c r="B2564" s="17">
        <v>201</v>
      </c>
      <c r="C2564" s="17">
        <v>661</v>
      </c>
      <c r="D2564" s="17" t="s">
        <v>917</v>
      </c>
      <c r="E2564" s="17">
        <v>0</v>
      </c>
      <c r="F2564" s="17" t="s">
        <v>918</v>
      </c>
      <c r="G2564" s="17">
        <f t="shared" si="108"/>
        <v>196280298235</v>
      </c>
      <c r="H2564" s="17" t="s">
        <v>919</v>
      </c>
      <c r="I2564" s="17">
        <f t="shared" si="109"/>
        <v>196280298235</v>
      </c>
    </row>
    <row r="2565" spans="1:9" x14ac:dyDescent="0.3">
      <c r="A2565" s="17" t="str">
        <f t="shared" si="110"/>
        <v>2010662</v>
      </c>
      <c r="B2565" s="17">
        <v>201</v>
      </c>
      <c r="C2565" s="17">
        <v>662</v>
      </c>
      <c r="D2565" s="17" t="s">
        <v>917</v>
      </c>
      <c r="E2565" s="17">
        <v>0</v>
      </c>
      <c r="F2565" s="17" t="s">
        <v>918</v>
      </c>
      <c r="G2565" s="17">
        <f t="shared" si="108"/>
        <v>198243101217</v>
      </c>
      <c r="H2565" s="17" t="s">
        <v>919</v>
      </c>
      <c r="I2565" s="17">
        <f t="shared" si="109"/>
        <v>198243101217</v>
      </c>
    </row>
    <row r="2566" spans="1:9" x14ac:dyDescent="0.3">
      <c r="A2566" s="17" t="str">
        <f t="shared" si="110"/>
        <v>2010663</v>
      </c>
      <c r="B2566" s="17">
        <v>201</v>
      </c>
      <c r="C2566" s="17">
        <v>663</v>
      </c>
      <c r="D2566" s="17" t="s">
        <v>917</v>
      </c>
      <c r="E2566" s="17">
        <v>0</v>
      </c>
      <c r="F2566" s="17" t="s">
        <v>918</v>
      </c>
      <c r="G2566" s="17">
        <f t="shared" si="108"/>
        <v>200225532229</v>
      </c>
      <c r="H2566" s="17" t="s">
        <v>919</v>
      </c>
      <c r="I2566" s="17">
        <f t="shared" si="109"/>
        <v>200225532229</v>
      </c>
    </row>
    <row r="2567" spans="1:9" x14ac:dyDescent="0.3">
      <c r="A2567" s="17" t="str">
        <f t="shared" si="110"/>
        <v>2010664</v>
      </c>
      <c r="B2567" s="17">
        <v>201</v>
      </c>
      <c r="C2567" s="17">
        <v>664</v>
      </c>
      <c r="D2567" s="17" t="s">
        <v>917</v>
      </c>
      <c r="E2567" s="17">
        <v>0</v>
      </c>
      <c r="F2567" s="17" t="s">
        <v>918</v>
      </c>
      <c r="G2567" s="17">
        <f t="shared" si="108"/>
        <v>202227787551</v>
      </c>
      <c r="H2567" s="17" t="s">
        <v>919</v>
      </c>
      <c r="I2567" s="17">
        <f t="shared" si="109"/>
        <v>202227787551</v>
      </c>
    </row>
    <row r="2568" spans="1:9" x14ac:dyDescent="0.3">
      <c r="A2568" s="17" t="str">
        <f t="shared" si="110"/>
        <v>2010665</v>
      </c>
      <c r="B2568" s="17">
        <v>201</v>
      </c>
      <c r="C2568" s="17">
        <v>665</v>
      </c>
      <c r="D2568" s="17" t="s">
        <v>917</v>
      </c>
      <c r="E2568" s="17">
        <v>0</v>
      </c>
      <c r="F2568" s="17" t="s">
        <v>918</v>
      </c>
      <c r="G2568" s="17">
        <f t="shared" si="108"/>
        <v>204250065426</v>
      </c>
      <c r="H2568" s="17" t="s">
        <v>919</v>
      </c>
      <c r="I2568" s="17">
        <f t="shared" si="109"/>
        <v>204250065426</v>
      </c>
    </row>
    <row r="2569" spans="1:9" x14ac:dyDescent="0.3">
      <c r="A2569" s="17" t="str">
        <f t="shared" si="110"/>
        <v>2010666</v>
      </c>
      <c r="B2569" s="17">
        <v>201</v>
      </c>
      <c r="C2569" s="17">
        <v>666</v>
      </c>
      <c r="D2569" s="17" t="s">
        <v>917</v>
      </c>
      <c r="E2569" s="17">
        <v>0</v>
      </c>
      <c r="F2569" s="17" t="s">
        <v>918</v>
      </c>
      <c r="G2569" s="17">
        <f t="shared" si="108"/>
        <v>206292566080</v>
      </c>
      <c r="H2569" s="17" t="s">
        <v>919</v>
      </c>
      <c r="I2569" s="17">
        <f t="shared" si="109"/>
        <v>206292566080</v>
      </c>
    </row>
    <row r="2570" spans="1:9" x14ac:dyDescent="0.3">
      <c r="A2570" s="17" t="str">
        <f t="shared" si="110"/>
        <v>2010667</v>
      </c>
      <c r="B2570" s="17">
        <v>201</v>
      </c>
      <c r="C2570" s="17">
        <v>667</v>
      </c>
      <c r="D2570" s="17" t="s">
        <v>917</v>
      </c>
      <c r="E2570" s="17">
        <v>0</v>
      </c>
      <c r="F2570" s="17" t="s">
        <v>918</v>
      </c>
      <c r="G2570" s="17">
        <f t="shared" si="108"/>
        <v>208355491740</v>
      </c>
      <c r="H2570" s="17" t="s">
        <v>919</v>
      </c>
      <c r="I2570" s="17">
        <f t="shared" si="109"/>
        <v>208355491740</v>
      </c>
    </row>
    <row r="2571" spans="1:9" x14ac:dyDescent="0.3">
      <c r="A2571" s="17" t="str">
        <f t="shared" si="110"/>
        <v>2010668</v>
      </c>
      <c r="B2571" s="17">
        <v>201</v>
      </c>
      <c r="C2571" s="17">
        <v>668</v>
      </c>
      <c r="D2571" s="17" t="s">
        <v>917</v>
      </c>
      <c r="E2571" s="17">
        <v>0</v>
      </c>
      <c r="F2571" s="17" t="s">
        <v>918</v>
      </c>
      <c r="G2571" s="17">
        <f t="shared" si="108"/>
        <v>210439046657</v>
      </c>
      <c r="H2571" s="17" t="s">
        <v>919</v>
      </c>
      <c r="I2571" s="17">
        <f t="shared" si="109"/>
        <v>210439046657</v>
      </c>
    </row>
    <row r="2572" spans="1:9" x14ac:dyDescent="0.3">
      <c r="A2572" s="17" t="str">
        <f t="shared" si="110"/>
        <v>2010669</v>
      </c>
      <c r="B2572" s="17">
        <v>201</v>
      </c>
      <c r="C2572" s="17">
        <v>669</v>
      </c>
      <c r="D2572" s="17" t="s">
        <v>917</v>
      </c>
      <c r="E2572" s="17">
        <v>0</v>
      </c>
      <c r="F2572" s="17" t="s">
        <v>918</v>
      </c>
      <c r="G2572" s="17">
        <f t="shared" si="108"/>
        <v>212543437123</v>
      </c>
      <c r="H2572" s="17" t="s">
        <v>919</v>
      </c>
      <c r="I2572" s="17">
        <f t="shared" si="109"/>
        <v>212543437123</v>
      </c>
    </row>
    <row r="2573" spans="1:9" x14ac:dyDescent="0.3">
      <c r="A2573" s="17" t="str">
        <f t="shared" si="110"/>
        <v>2010670</v>
      </c>
      <c r="B2573" s="17">
        <v>201</v>
      </c>
      <c r="C2573" s="17">
        <v>670</v>
      </c>
      <c r="D2573" s="17" t="s">
        <v>917</v>
      </c>
      <c r="E2573" s="17">
        <v>0</v>
      </c>
      <c r="F2573" s="17" t="s">
        <v>918</v>
      </c>
      <c r="G2573" s="17">
        <f t="shared" si="108"/>
        <v>214668871494</v>
      </c>
      <c r="H2573" s="17" t="s">
        <v>919</v>
      </c>
      <c r="I2573" s="17">
        <f t="shared" si="109"/>
        <v>214668871494</v>
      </c>
    </row>
    <row r="2574" spans="1:9" x14ac:dyDescent="0.3">
      <c r="A2574" s="17" t="str">
        <f t="shared" si="110"/>
        <v>2010671</v>
      </c>
      <c r="B2574" s="17">
        <v>201</v>
      </c>
      <c r="C2574" s="17">
        <v>671</v>
      </c>
      <c r="D2574" s="17" t="s">
        <v>917</v>
      </c>
      <c r="E2574" s="17">
        <v>0</v>
      </c>
      <c r="F2574" s="17" t="s">
        <v>918</v>
      </c>
      <c r="G2574" s="17">
        <f t="shared" si="108"/>
        <v>216815560208</v>
      </c>
      <c r="H2574" s="17" t="s">
        <v>919</v>
      </c>
      <c r="I2574" s="17">
        <f t="shared" si="109"/>
        <v>216815560208</v>
      </c>
    </row>
    <row r="2575" spans="1:9" x14ac:dyDescent="0.3">
      <c r="A2575" s="17" t="str">
        <f t="shared" si="110"/>
        <v>2010672</v>
      </c>
      <c r="B2575" s="17">
        <v>201</v>
      </c>
      <c r="C2575" s="17">
        <v>672</v>
      </c>
      <c r="D2575" s="17" t="s">
        <v>917</v>
      </c>
      <c r="E2575" s="17">
        <v>0</v>
      </c>
      <c r="F2575" s="17" t="s">
        <v>918</v>
      </c>
      <c r="G2575" s="17">
        <f t="shared" si="108"/>
        <v>218983715810</v>
      </c>
      <c r="H2575" s="17" t="s">
        <v>919</v>
      </c>
      <c r="I2575" s="17">
        <f t="shared" si="109"/>
        <v>218983715810</v>
      </c>
    </row>
    <row r="2576" spans="1:9" x14ac:dyDescent="0.3">
      <c r="A2576" s="17" t="str">
        <f t="shared" si="110"/>
        <v>2010673</v>
      </c>
      <c r="B2576" s="17">
        <v>201</v>
      </c>
      <c r="C2576" s="17">
        <v>673</v>
      </c>
      <c r="D2576" s="17" t="s">
        <v>917</v>
      </c>
      <c r="E2576" s="17">
        <v>0</v>
      </c>
      <c r="F2576" s="17" t="s">
        <v>918</v>
      </c>
      <c r="G2576" s="17">
        <f t="shared" si="108"/>
        <v>221173552968</v>
      </c>
      <c r="H2576" s="17" t="s">
        <v>919</v>
      </c>
      <c r="I2576" s="17">
        <f t="shared" si="109"/>
        <v>221173552968</v>
      </c>
    </row>
    <row r="2577" spans="1:9" x14ac:dyDescent="0.3">
      <c r="A2577" s="17" t="str">
        <f t="shared" si="110"/>
        <v>2010674</v>
      </c>
      <c r="B2577" s="17">
        <v>201</v>
      </c>
      <c r="C2577" s="17">
        <v>674</v>
      </c>
      <c r="D2577" s="17" t="s">
        <v>917</v>
      </c>
      <c r="E2577" s="17">
        <v>0</v>
      </c>
      <c r="F2577" s="17" t="s">
        <v>918</v>
      </c>
      <c r="G2577" s="17">
        <f t="shared" si="108"/>
        <v>223385288497</v>
      </c>
      <c r="H2577" s="17" t="s">
        <v>919</v>
      </c>
      <c r="I2577" s="17">
        <f t="shared" si="109"/>
        <v>223385288497</v>
      </c>
    </row>
    <row r="2578" spans="1:9" x14ac:dyDescent="0.3">
      <c r="A2578" s="17" t="str">
        <f t="shared" si="110"/>
        <v>2010675</v>
      </c>
      <c r="B2578" s="17">
        <v>201</v>
      </c>
      <c r="C2578" s="17">
        <v>675</v>
      </c>
      <c r="D2578" s="17" t="s">
        <v>917</v>
      </c>
      <c r="E2578" s="17">
        <v>0</v>
      </c>
      <c r="F2578" s="17" t="s">
        <v>918</v>
      </c>
      <c r="G2578" s="17">
        <f t="shared" si="108"/>
        <v>225619141381</v>
      </c>
      <c r="H2578" s="17" t="s">
        <v>919</v>
      </c>
      <c r="I2578" s="17">
        <f t="shared" si="109"/>
        <v>225619141381</v>
      </c>
    </row>
    <row r="2579" spans="1:9" x14ac:dyDescent="0.3">
      <c r="A2579" s="17" t="str">
        <f t="shared" si="110"/>
        <v>2010676</v>
      </c>
      <c r="B2579" s="17">
        <v>201</v>
      </c>
      <c r="C2579" s="17">
        <v>676</v>
      </c>
      <c r="D2579" s="17" t="s">
        <v>917</v>
      </c>
      <c r="E2579" s="17">
        <v>0</v>
      </c>
      <c r="F2579" s="17" t="s">
        <v>918</v>
      </c>
      <c r="G2579" s="17">
        <f t="shared" si="108"/>
        <v>227875332794</v>
      </c>
      <c r="H2579" s="17" t="s">
        <v>919</v>
      </c>
      <c r="I2579" s="17">
        <f t="shared" si="109"/>
        <v>227875332794</v>
      </c>
    </row>
    <row r="2580" spans="1:9" x14ac:dyDescent="0.3">
      <c r="A2580" s="17" t="str">
        <f t="shared" si="110"/>
        <v>2010677</v>
      </c>
      <c r="B2580" s="17">
        <v>201</v>
      </c>
      <c r="C2580" s="17">
        <v>677</v>
      </c>
      <c r="D2580" s="17" t="s">
        <v>917</v>
      </c>
      <c r="E2580" s="17">
        <v>0</v>
      </c>
      <c r="F2580" s="17" t="s">
        <v>918</v>
      </c>
      <c r="G2580" s="17">
        <f t="shared" si="108"/>
        <v>230154086121</v>
      </c>
      <c r="H2580" s="17" t="s">
        <v>919</v>
      </c>
      <c r="I2580" s="17">
        <f t="shared" si="109"/>
        <v>230154086121</v>
      </c>
    </row>
    <row r="2581" spans="1:9" x14ac:dyDescent="0.3">
      <c r="A2581" s="17" t="str">
        <f t="shared" si="110"/>
        <v>2010678</v>
      </c>
      <c r="B2581" s="17">
        <v>201</v>
      </c>
      <c r="C2581" s="17">
        <v>678</v>
      </c>
      <c r="D2581" s="17" t="s">
        <v>917</v>
      </c>
      <c r="E2581" s="17">
        <v>0</v>
      </c>
      <c r="F2581" s="17" t="s">
        <v>918</v>
      </c>
      <c r="G2581" s="17">
        <f t="shared" si="108"/>
        <v>232455626982</v>
      </c>
      <c r="H2581" s="17" t="s">
        <v>919</v>
      </c>
      <c r="I2581" s="17">
        <f t="shared" si="109"/>
        <v>232455626982</v>
      </c>
    </row>
    <row r="2582" spans="1:9" x14ac:dyDescent="0.3">
      <c r="A2582" s="17" t="str">
        <f t="shared" si="110"/>
        <v>2010679</v>
      </c>
      <c r="B2582" s="17">
        <v>201</v>
      </c>
      <c r="C2582" s="17">
        <v>679</v>
      </c>
      <c r="D2582" s="17" t="s">
        <v>917</v>
      </c>
      <c r="E2582" s="17">
        <v>0</v>
      </c>
      <c r="F2582" s="17" t="s">
        <v>918</v>
      </c>
      <c r="G2582" s="17">
        <f t="shared" si="108"/>
        <v>234780183251</v>
      </c>
      <c r="H2582" s="17" t="s">
        <v>919</v>
      </c>
      <c r="I2582" s="17">
        <f t="shared" si="109"/>
        <v>234780183251</v>
      </c>
    </row>
    <row r="2583" spans="1:9" x14ac:dyDescent="0.3">
      <c r="A2583" s="17" t="str">
        <f t="shared" si="110"/>
        <v>2010680</v>
      </c>
      <c r="B2583" s="17">
        <v>201</v>
      </c>
      <c r="C2583" s="17">
        <v>680</v>
      </c>
      <c r="D2583" s="17" t="s">
        <v>917</v>
      </c>
      <c r="E2583" s="17">
        <v>0</v>
      </c>
      <c r="F2583" s="17" t="s">
        <v>918</v>
      </c>
      <c r="G2583" s="17">
        <f t="shared" si="108"/>
        <v>237127985083</v>
      </c>
      <c r="H2583" s="17" t="s">
        <v>919</v>
      </c>
      <c r="I2583" s="17">
        <f t="shared" si="109"/>
        <v>237127985083</v>
      </c>
    </row>
    <row r="2584" spans="1:9" x14ac:dyDescent="0.3">
      <c r="A2584" s="17" t="str">
        <f t="shared" si="110"/>
        <v>2010681</v>
      </c>
      <c r="B2584" s="17">
        <v>201</v>
      </c>
      <c r="C2584" s="17">
        <v>681</v>
      </c>
      <c r="D2584" s="17" t="s">
        <v>917</v>
      </c>
      <c r="E2584" s="17">
        <v>0</v>
      </c>
      <c r="F2584" s="17" t="s">
        <v>918</v>
      </c>
      <c r="G2584" s="17">
        <f t="shared" si="108"/>
        <v>239499264933</v>
      </c>
      <c r="H2584" s="17" t="s">
        <v>919</v>
      </c>
      <c r="I2584" s="17">
        <f t="shared" si="109"/>
        <v>239499264933</v>
      </c>
    </row>
    <row r="2585" spans="1:9" x14ac:dyDescent="0.3">
      <c r="A2585" s="17" t="str">
        <f t="shared" si="110"/>
        <v>2010682</v>
      </c>
      <c r="B2585" s="17">
        <v>201</v>
      </c>
      <c r="C2585" s="17">
        <v>682</v>
      </c>
      <c r="D2585" s="17" t="s">
        <v>917</v>
      </c>
      <c r="E2585" s="17">
        <v>0</v>
      </c>
      <c r="F2585" s="17" t="s">
        <v>918</v>
      </c>
      <c r="G2585" s="17">
        <f t="shared" si="108"/>
        <v>241894257582</v>
      </c>
      <c r="H2585" s="17" t="s">
        <v>919</v>
      </c>
      <c r="I2585" s="17">
        <f t="shared" si="109"/>
        <v>241894257582</v>
      </c>
    </row>
    <row r="2586" spans="1:9" x14ac:dyDescent="0.3">
      <c r="A2586" s="17" t="str">
        <f t="shared" si="110"/>
        <v>2010683</v>
      </c>
      <c r="B2586" s="17">
        <v>201</v>
      </c>
      <c r="C2586" s="17">
        <v>683</v>
      </c>
      <c r="D2586" s="17" t="s">
        <v>917</v>
      </c>
      <c r="E2586" s="17">
        <v>0</v>
      </c>
      <c r="F2586" s="17" t="s">
        <v>918</v>
      </c>
      <c r="G2586" s="17">
        <f t="shared" si="108"/>
        <v>244313200157</v>
      </c>
      <c r="H2586" s="17" t="s">
        <v>919</v>
      </c>
      <c r="I2586" s="17">
        <f t="shared" si="109"/>
        <v>244313200157</v>
      </c>
    </row>
    <row r="2587" spans="1:9" x14ac:dyDescent="0.3">
      <c r="A2587" s="17" t="str">
        <f t="shared" si="110"/>
        <v>2010684</v>
      </c>
      <c r="B2587" s="17">
        <v>201</v>
      </c>
      <c r="C2587" s="17">
        <v>684</v>
      </c>
      <c r="D2587" s="17" t="s">
        <v>917</v>
      </c>
      <c r="E2587" s="17">
        <v>0</v>
      </c>
      <c r="F2587" s="17" t="s">
        <v>918</v>
      </c>
      <c r="G2587" s="17">
        <f t="shared" si="108"/>
        <v>246756332158</v>
      </c>
      <c r="H2587" s="17" t="s">
        <v>919</v>
      </c>
      <c r="I2587" s="17">
        <f t="shared" si="109"/>
        <v>246756332158</v>
      </c>
    </row>
    <row r="2588" spans="1:9" x14ac:dyDescent="0.3">
      <c r="A2588" s="17" t="str">
        <f t="shared" si="110"/>
        <v>2010685</v>
      </c>
      <c r="B2588" s="17">
        <v>201</v>
      </c>
      <c r="C2588" s="17">
        <v>685</v>
      </c>
      <c r="D2588" s="17" t="s">
        <v>917</v>
      </c>
      <c r="E2588" s="17">
        <v>0</v>
      </c>
      <c r="F2588" s="17" t="s">
        <v>918</v>
      </c>
      <c r="G2588" s="17">
        <f t="shared" ref="G2588:G2651" si="111">INT(G2587*1.01)</f>
        <v>249223895479</v>
      </c>
      <c r="H2588" s="17" t="s">
        <v>919</v>
      </c>
      <c r="I2588" s="17">
        <f t="shared" si="109"/>
        <v>249223895479</v>
      </c>
    </row>
    <row r="2589" spans="1:9" x14ac:dyDescent="0.3">
      <c r="A2589" s="17" t="str">
        <f t="shared" si="110"/>
        <v>2010686</v>
      </c>
      <c r="B2589" s="17">
        <v>201</v>
      </c>
      <c r="C2589" s="17">
        <v>686</v>
      </c>
      <c r="D2589" s="17" t="s">
        <v>917</v>
      </c>
      <c r="E2589" s="17">
        <v>0</v>
      </c>
      <c r="F2589" s="17" t="s">
        <v>918</v>
      </c>
      <c r="G2589" s="17">
        <f t="shared" si="111"/>
        <v>251716134433</v>
      </c>
      <c r="H2589" s="17" t="s">
        <v>919</v>
      </c>
      <c r="I2589" s="17">
        <f t="shared" si="109"/>
        <v>251716134433</v>
      </c>
    </row>
    <row r="2590" spans="1:9" x14ac:dyDescent="0.3">
      <c r="A2590" s="17" t="str">
        <f t="shared" si="110"/>
        <v>2010687</v>
      </c>
      <c r="B2590" s="17">
        <v>201</v>
      </c>
      <c r="C2590" s="17">
        <v>687</v>
      </c>
      <c r="D2590" s="17" t="s">
        <v>917</v>
      </c>
      <c r="E2590" s="17">
        <v>0</v>
      </c>
      <c r="F2590" s="17" t="s">
        <v>918</v>
      </c>
      <c r="G2590" s="17">
        <f t="shared" si="111"/>
        <v>254233295777</v>
      </c>
      <c r="H2590" s="17" t="s">
        <v>919</v>
      </c>
      <c r="I2590" s="17">
        <f t="shared" si="109"/>
        <v>254233295777</v>
      </c>
    </row>
    <row r="2591" spans="1:9" x14ac:dyDescent="0.3">
      <c r="A2591" s="17" t="str">
        <f t="shared" si="110"/>
        <v>2010688</v>
      </c>
      <c r="B2591" s="17">
        <v>201</v>
      </c>
      <c r="C2591" s="17">
        <v>688</v>
      </c>
      <c r="D2591" s="17" t="s">
        <v>917</v>
      </c>
      <c r="E2591" s="17">
        <v>0</v>
      </c>
      <c r="F2591" s="17" t="s">
        <v>918</v>
      </c>
      <c r="G2591" s="17">
        <f t="shared" si="111"/>
        <v>256775628734</v>
      </c>
      <c r="H2591" s="17" t="s">
        <v>919</v>
      </c>
      <c r="I2591" s="17">
        <f t="shared" si="109"/>
        <v>256775628734</v>
      </c>
    </row>
    <row r="2592" spans="1:9" x14ac:dyDescent="0.3">
      <c r="A2592" s="17" t="str">
        <f t="shared" si="110"/>
        <v>2010689</v>
      </c>
      <c r="B2592" s="17">
        <v>201</v>
      </c>
      <c r="C2592" s="17">
        <v>689</v>
      </c>
      <c r="D2592" s="17" t="s">
        <v>917</v>
      </c>
      <c r="E2592" s="17">
        <v>0</v>
      </c>
      <c r="F2592" s="17" t="s">
        <v>918</v>
      </c>
      <c r="G2592" s="17">
        <f t="shared" si="111"/>
        <v>259343385021</v>
      </c>
      <c r="H2592" s="17" t="s">
        <v>919</v>
      </c>
      <c r="I2592" s="17">
        <f t="shared" si="109"/>
        <v>259343385021</v>
      </c>
    </row>
    <row r="2593" spans="1:9" x14ac:dyDescent="0.3">
      <c r="A2593" s="17" t="str">
        <f t="shared" si="110"/>
        <v>2010690</v>
      </c>
      <c r="B2593" s="17">
        <v>201</v>
      </c>
      <c r="C2593" s="17">
        <v>690</v>
      </c>
      <c r="D2593" s="17" t="s">
        <v>917</v>
      </c>
      <c r="E2593" s="17">
        <v>0</v>
      </c>
      <c r="F2593" s="17" t="s">
        <v>918</v>
      </c>
      <c r="G2593" s="17">
        <f t="shared" si="111"/>
        <v>261936818871</v>
      </c>
      <c r="H2593" s="17" t="s">
        <v>919</v>
      </c>
      <c r="I2593" s="17">
        <f t="shared" si="109"/>
        <v>261936818871</v>
      </c>
    </row>
    <row r="2594" spans="1:9" x14ac:dyDescent="0.3">
      <c r="A2594" s="17" t="str">
        <f t="shared" si="110"/>
        <v>2010691</v>
      </c>
      <c r="B2594" s="17">
        <v>201</v>
      </c>
      <c r="C2594" s="17">
        <v>691</v>
      </c>
      <c r="D2594" s="17" t="s">
        <v>917</v>
      </c>
      <c r="E2594" s="17">
        <v>0</v>
      </c>
      <c r="F2594" s="17" t="s">
        <v>918</v>
      </c>
      <c r="G2594" s="17">
        <f t="shared" si="111"/>
        <v>264556187059</v>
      </c>
      <c r="H2594" s="17" t="s">
        <v>919</v>
      </c>
      <c r="I2594" s="17">
        <f t="shared" si="109"/>
        <v>264556187059</v>
      </c>
    </row>
    <row r="2595" spans="1:9" x14ac:dyDescent="0.3">
      <c r="A2595" s="17" t="str">
        <f t="shared" si="110"/>
        <v>2010692</v>
      </c>
      <c r="B2595" s="17">
        <v>201</v>
      </c>
      <c r="C2595" s="17">
        <v>692</v>
      </c>
      <c r="D2595" s="17" t="s">
        <v>917</v>
      </c>
      <c r="E2595" s="17">
        <v>0</v>
      </c>
      <c r="F2595" s="17" t="s">
        <v>918</v>
      </c>
      <c r="G2595" s="17">
        <f t="shared" si="111"/>
        <v>267201748929</v>
      </c>
      <c r="H2595" s="17" t="s">
        <v>919</v>
      </c>
      <c r="I2595" s="17">
        <f t="shared" si="109"/>
        <v>267201748929</v>
      </c>
    </row>
    <row r="2596" spans="1:9" x14ac:dyDescent="0.3">
      <c r="A2596" s="17" t="str">
        <f t="shared" si="110"/>
        <v>2010693</v>
      </c>
      <c r="B2596" s="17">
        <v>201</v>
      </c>
      <c r="C2596" s="17">
        <v>693</v>
      </c>
      <c r="D2596" s="17" t="s">
        <v>917</v>
      </c>
      <c r="E2596" s="17">
        <v>0</v>
      </c>
      <c r="F2596" s="17" t="s">
        <v>918</v>
      </c>
      <c r="G2596" s="17">
        <f t="shared" si="111"/>
        <v>269873766418</v>
      </c>
      <c r="H2596" s="17" t="s">
        <v>919</v>
      </c>
      <c r="I2596" s="17">
        <f t="shared" si="109"/>
        <v>269873766418</v>
      </c>
    </row>
    <row r="2597" spans="1:9" x14ac:dyDescent="0.3">
      <c r="A2597" s="17" t="str">
        <f t="shared" si="110"/>
        <v>2010694</v>
      </c>
      <c r="B2597" s="17">
        <v>201</v>
      </c>
      <c r="C2597" s="17">
        <v>694</v>
      </c>
      <c r="D2597" s="17" t="s">
        <v>917</v>
      </c>
      <c r="E2597" s="17">
        <v>0</v>
      </c>
      <c r="F2597" s="17" t="s">
        <v>918</v>
      </c>
      <c r="G2597" s="17">
        <f t="shared" si="111"/>
        <v>272572504082</v>
      </c>
      <c r="H2597" s="17" t="s">
        <v>919</v>
      </c>
      <c r="I2597" s="17">
        <f t="shared" si="109"/>
        <v>272572504082</v>
      </c>
    </row>
    <row r="2598" spans="1:9" x14ac:dyDescent="0.3">
      <c r="A2598" s="17" t="str">
        <f t="shared" si="110"/>
        <v>2010695</v>
      </c>
      <c r="B2598" s="17">
        <v>201</v>
      </c>
      <c r="C2598" s="17">
        <v>695</v>
      </c>
      <c r="D2598" s="17" t="s">
        <v>917</v>
      </c>
      <c r="E2598" s="17">
        <v>0</v>
      </c>
      <c r="F2598" s="17" t="s">
        <v>918</v>
      </c>
      <c r="G2598" s="17">
        <f t="shared" si="111"/>
        <v>275298229122</v>
      </c>
      <c r="H2598" s="17" t="s">
        <v>919</v>
      </c>
      <c r="I2598" s="17">
        <f t="shared" si="109"/>
        <v>275298229122</v>
      </c>
    </row>
    <row r="2599" spans="1:9" x14ac:dyDescent="0.3">
      <c r="A2599" s="17" t="str">
        <f t="shared" si="110"/>
        <v>2010696</v>
      </c>
      <c r="B2599" s="17">
        <v>201</v>
      </c>
      <c r="C2599" s="17">
        <v>696</v>
      </c>
      <c r="D2599" s="17" t="s">
        <v>917</v>
      </c>
      <c r="E2599" s="17">
        <v>0</v>
      </c>
      <c r="F2599" s="17" t="s">
        <v>918</v>
      </c>
      <c r="G2599" s="17">
        <f t="shared" si="111"/>
        <v>278051211413</v>
      </c>
      <c r="H2599" s="17" t="s">
        <v>919</v>
      </c>
      <c r="I2599" s="17">
        <f t="shared" si="109"/>
        <v>278051211413</v>
      </c>
    </row>
    <row r="2600" spans="1:9" x14ac:dyDescent="0.3">
      <c r="A2600" s="17" t="str">
        <f t="shared" si="110"/>
        <v>2010697</v>
      </c>
      <c r="B2600" s="17">
        <v>201</v>
      </c>
      <c r="C2600" s="17">
        <v>697</v>
      </c>
      <c r="D2600" s="17" t="s">
        <v>917</v>
      </c>
      <c r="E2600" s="17">
        <v>0</v>
      </c>
      <c r="F2600" s="17" t="s">
        <v>918</v>
      </c>
      <c r="G2600" s="17">
        <f t="shared" si="111"/>
        <v>280831723527</v>
      </c>
      <c r="H2600" s="17" t="s">
        <v>919</v>
      </c>
      <c r="I2600" s="17">
        <f t="shared" si="109"/>
        <v>280831723527</v>
      </c>
    </row>
    <row r="2601" spans="1:9" x14ac:dyDescent="0.3">
      <c r="A2601" s="17" t="str">
        <f t="shared" si="110"/>
        <v>2010698</v>
      </c>
      <c r="B2601" s="17">
        <v>201</v>
      </c>
      <c r="C2601" s="17">
        <v>698</v>
      </c>
      <c r="D2601" s="17" t="s">
        <v>917</v>
      </c>
      <c r="E2601" s="17">
        <v>0</v>
      </c>
      <c r="F2601" s="17" t="s">
        <v>918</v>
      </c>
      <c r="G2601" s="17">
        <f t="shared" si="111"/>
        <v>283640040762</v>
      </c>
      <c r="H2601" s="17" t="s">
        <v>919</v>
      </c>
      <c r="I2601" s="17">
        <f t="shared" si="109"/>
        <v>283640040762</v>
      </c>
    </row>
    <row r="2602" spans="1:9" x14ac:dyDescent="0.3">
      <c r="A2602" s="17" t="str">
        <f t="shared" si="110"/>
        <v>2010699</v>
      </c>
      <c r="B2602" s="17">
        <v>201</v>
      </c>
      <c r="C2602" s="17">
        <v>699</v>
      </c>
      <c r="D2602" s="17" t="s">
        <v>917</v>
      </c>
      <c r="E2602" s="17">
        <v>0</v>
      </c>
      <c r="F2602" s="17" t="s">
        <v>918</v>
      </c>
      <c r="G2602" s="17">
        <f t="shared" si="111"/>
        <v>286476441169</v>
      </c>
      <c r="H2602" s="17" t="s">
        <v>919</v>
      </c>
      <c r="I2602" s="17">
        <f t="shared" si="109"/>
        <v>286476441169</v>
      </c>
    </row>
    <row r="2603" spans="1:9" x14ac:dyDescent="0.3">
      <c r="A2603" s="17" t="str">
        <f t="shared" si="110"/>
        <v>2010700</v>
      </c>
      <c r="B2603" s="17">
        <v>201</v>
      </c>
      <c r="C2603" s="17">
        <v>700</v>
      </c>
      <c r="D2603" s="17" t="s">
        <v>917</v>
      </c>
      <c r="E2603" s="17">
        <v>0</v>
      </c>
      <c r="F2603" s="17" t="s">
        <v>918</v>
      </c>
      <c r="G2603" s="17">
        <f t="shared" si="111"/>
        <v>289341205580</v>
      </c>
      <c r="H2603" s="17" t="s">
        <v>919</v>
      </c>
      <c r="I2603" s="17">
        <f t="shared" si="109"/>
        <v>289341205580</v>
      </c>
    </row>
    <row r="2604" spans="1:9" x14ac:dyDescent="0.3">
      <c r="A2604" s="17" t="str">
        <f t="shared" si="110"/>
        <v>2010701</v>
      </c>
      <c r="B2604" s="17">
        <v>201</v>
      </c>
      <c r="C2604" s="17">
        <v>701</v>
      </c>
      <c r="D2604" s="17" t="s">
        <v>917</v>
      </c>
      <c r="E2604" s="17">
        <v>0</v>
      </c>
      <c r="F2604" s="17" t="s">
        <v>918</v>
      </c>
      <c r="G2604" s="17">
        <f t="shared" si="111"/>
        <v>292234617635</v>
      </c>
      <c r="H2604" s="17" t="s">
        <v>919</v>
      </c>
      <c r="I2604" s="17">
        <f t="shared" si="109"/>
        <v>292234617635</v>
      </c>
    </row>
    <row r="2605" spans="1:9" x14ac:dyDescent="0.3">
      <c r="A2605" s="17" t="str">
        <f t="shared" si="110"/>
        <v>2010702</v>
      </c>
      <c r="B2605" s="17">
        <v>201</v>
      </c>
      <c r="C2605" s="17">
        <v>702</v>
      </c>
      <c r="D2605" s="17" t="s">
        <v>917</v>
      </c>
      <c r="E2605" s="17">
        <v>0</v>
      </c>
      <c r="F2605" s="17" t="s">
        <v>918</v>
      </c>
      <c r="G2605" s="17">
        <f t="shared" si="111"/>
        <v>295156963811</v>
      </c>
      <c r="H2605" s="17" t="s">
        <v>919</v>
      </c>
      <c r="I2605" s="17">
        <f t="shared" si="109"/>
        <v>295156963811</v>
      </c>
    </row>
    <row r="2606" spans="1:9" x14ac:dyDescent="0.3">
      <c r="A2606" s="17" t="str">
        <f t="shared" si="110"/>
        <v>2010703</v>
      </c>
      <c r="B2606" s="17">
        <v>201</v>
      </c>
      <c r="C2606" s="17">
        <v>703</v>
      </c>
      <c r="D2606" s="17" t="s">
        <v>917</v>
      </c>
      <c r="E2606" s="17">
        <v>0</v>
      </c>
      <c r="F2606" s="17" t="s">
        <v>918</v>
      </c>
      <c r="G2606" s="17">
        <f t="shared" si="111"/>
        <v>298108533449</v>
      </c>
      <c r="H2606" s="17" t="s">
        <v>919</v>
      </c>
      <c r="I2606" s="17">
        <f t="shared" si="109"/>
        <v>298108533449</v>
      </c>
    </row>
    <row r="2607" spans="1:9" x14ac:dyDescent="0.3">
      <c r="A2607" s="17" t="str">
        <f t="shared" si="110"/>
        <v>2010704</v>
      </c>
      <c r="B2607" s="17">
        <v>201</v>
      </c>
      <c r="C2607" s="17">
        <v>704</v>
      </c>
      <c r="D2607" s="17" t="s">
        <v>917</v>
      </c>
      <c r="E2607" s="17">
        <v>0</v>
      </c>
      <c r="F2607" s="17" t="s">
        <v>918</v>
      </c>
      <c r="G2607" s="17">
        <f t="shared" si="111"/>
        <v>301089618783</v>
      </c>
      <c r="H2607" s="17" t="s">
        <v>919</v>
      </c>
      <c r="I2607" s="17">
        <f t="shared" si="109"/>
        <v>301089618783</v>
      </c>
    </row>
    <row r="2608" spans="1:9" x14ac:dyDescent="0.3">
      <c r="A2608" s="17" t="str">
        <f t="shared" si="110"/>
        <v>2010705</v>
      </c>
      <c r="B2608" s="17">
        <v>201</v>
      </c>
      <c r="C2608" s="17">
        <v>705</v>
      </c>
      <c r="D2608" s="17" t="s">
        <v>917</v>
      </c>
      <c r="E2608" s="17">
        <v>0</v>
      </c>
      <c r="F2608" s="17" t="s">
        <v>918</v>
      </c>
      <c r="G2608" s="17">
        <f t="shared" si="111"/>
        <v>304100514970</v>
      </c>
      <c r="H2608" s="17" t="s">
        <v>919</v>
      </c>
      <c r="I2608" s="17">
        <f t="shared" si="109"/>
        <v>304100514970</v>
      </c>
    </row>
    <row r="2609" spans="1:9" x14ac:dyDescent="0.3">
      <c r="A2609" s="17" t="str">
        <f t="shared" si="110"/>
        <v>2010706</v>
      </c>
      <c r="B2609" s="17">
        <v>201</v>
      </c>
      <c r="C2609" s="17">
        <v>706</v>
      </c>
      <c r="D2609" s="17" t="s">
        <v>917</v>
      </c>
      <c r="E2609" s="17">
        <v>0</v>
      </c>
      <c r="F2609" s="17" t="s">
        <v>918</v>
      </c>
      <c r="G2609" s="17">
        <f t="shared" si="111"/>
        <v>307141520119</v>
      </c>
      <c r="H2609" s="17" t="s">
        <v>919</v>
      </c>
      <c r="I2609" s="17">
        <f t="shared" ref="I2609:I2672" si="112">G2609</f>
        <v>307141520119</v>
      </c>
    </row>
    <row r="2610" spans="1:9" x14ac:dyDescent="0.3">
      <c r="A2610" s="17" t="str">
        <f t="shared" si="110"/>
        <v>2010707</v>
      </c>
      <c r="B2610" s="17">
        <v>201</v>
      </c>
      <c r="C2610" s="17">
        <v>707</v>
      </c>
      <c r="D2610" s="17" t="s">
        <v>917</v>
      </c>
      <c r="E2610" s="17">
        <v>0</v>
      </c>
      <c r="F2610" s="17" t="s">
        <v>918</v>
      </c>
      <c r="G2610" s="17">
        <f t="shared" si="111"/>
        <v>310212935320</v>
      </c>
      <c r="H2610" s="17" t="s">
        <v>919</v>
      </c>
      <c r="I2610" s="17">
        <f t="shared" si="112"/>
        <v>310212935320</v>
      </c>
    </row>
    <row r="2611" spans="1:9" x14ac:dyDescent="0.3">
      <c r="A2611" s="17" t="str">
        <f t="shared" si="110"/>
        <v>2010708</v>
      </c>
      <c r="B2611" s="17">
        <v>201</v>
      </c>
      <c r="C2611" s="17">
        <v>708</v>
      </c>
      <c r="D2611" s="17" t="s">
        <v>917</v>
      </c>
      <c r="E2611" s="17">
        <v>0</v>
      </c>
      <c r="F2611" s="17" t="s">
        <v>918</v>
      </c>
      <c r="G2611" s="17">
        <f t="shared" si="111"/>
        <v>313315064673</v>
      </c>
      <c r="H2611" s="17" t="s">
        <v>919</v>
      </c>
      <c r="I2611" s="17">
        <f t="shared" si="112"/>
        <v>313315064673</v>
      </c>
    </row>
    <row r="2612" spans="1:9" x14ac:dyDescent="0.3">
      <c r="A2612" s="17" t="str">
        <f t="shared" si="110"/>
        <v>2010709</v>
      </c>
      <c r="B2612" s="17">
        <v>201</v>
      </c>
      <c r="C2612" s="17">
        <v>709</v>
      </c>
      <c r="D2612" s="17" t="s">
        <v>917</v>
      </c>
      <c r="E2612" s="17">
        <v>0</v>
      </c>
      <c r="F2612" s="17" t="s">
        <v>918</v>
      </c>
      <c r="G2612" s="17">
        <f t="shared" si="111"/>
        <v>316448215319</v>
      </c>
      <c r="H2612" s="17" t="s">
        <v>919</v>
      </c>
      <c r="I2612" s="17">
        <f t="shared" si="112"/>
        <v>316448215319</v>
      </c>
    </row>
    <row r="2613" spans="1:9" x14ac:dyDescent="0.3">
      <c r="A2613" s="17" t="str">
        <f t="shared" si="110"/>
        <v>2010710</v>
      </c>
      <c r="B2613" s="17">
        <v>201</v>
      </c>
      <c r="C2613" s="17">
        <v>710</v>
      </c>
      <c r="D2613" s="17" t="s">
        <v>917</v>
      </c>
      <c r="E2613" s="17">
        <v>0</v>
      </c>
      <c r="F2613" s="17" t="s">
        <v>918</v>
      </c>
      <c r="G2613" s="17">
        <f t="shared" si="111"/>
        <v>319612697472</v>
      </c>
      <c r="H2613" s="17" t="s">
        <v>919</v>
      </c>
      <c r="I2613" s="17">
        <f t="shared" si="112"/>
        <v>319612697472</v>
      </c>
    </row>
    <row r="2614" spans="1:9" x14ac:dyDescent="0.3">
      <c r="A2614" s="17" t="str">
        <f t="shared" si="110"/>
        <v>2010711</v>
      </c>
      <c r="B2614" s="17">
        <v>201</v>
      </c>
      <c r="C2614" s="17">
        <v>711</v>
      </c>
      <c r="D2614" s="17" t="s">
        <v>917</v>
      </c>
      <c r="E2614" s="17">
        <v>0</v>
      </c>
      <c r="F2614" s="17" t="s">
        <v>918</v>
      </c>
      <c r="G2614" s="17">
        <f t="shared" si="111"/>
        <v>322808824446</v>
      </c>
      <c r="H2614" s="17" t="s">
        <v>919</v>
      </c>
      <c r="I2614" s="17">
        <f t="shared" si="112"/>
        <v>322808824446</v>
      </c>
    </row>
    <row r="2615" spans="1:9" x14ac:dyDescent="0.3">
      <c r="A2615" s="17" t="str">
        <f t="shared" si="110"/>
        <v>2010712</v>
      </c>
      <c r="B2615" s="17">
        <v>201</v>
      </c>
      <c r="C2615" s="17">
        <v>712</v>
      </c>
      <c r="D2615" s="17" t="s">
        <v>917</v>
      </c>
      <c r="E2615" s="17">
        <v>0</v>
      </c>
      <c r="F2615" s="17" t="s">
        <v>918</v>
      </c>
      <c r="G2615" s="17">
        <f t="shared" si="111"/>
        <v>326036912690</v>
      </c>
      <c r="H2615" s="17" t="s">
        <v>919</v>
      </c>
      <c r="I2615" s="17">
        <f t="shared" si="112"/>
        <v>326036912690</v>
      </c>
    </row>
    <row r="2616" spans="1:9" x14ac:dyDescent="0.3">
      <c r="A2616" s="17" t="str">
        <f t="shared" si="110"/>
        <v>2010713</v>
      </c>
      <c r="B2616" s="17">
        <v>201</v>
      </c>
      <c r="C2616" s="17">
        <v>713</v>
      </c>
      <c r="D2616" s="17" t="s">
        <v>917</v>
      </c>
      <c r="E2616" s="17">
        <v>0</v>
      </c>
      <c r="F2616" s="17" t="s">
        <v>918</v>
      </c>
      <c r="G2616" s="17">
        <f t="shared" si="111"/>
        <v>329297281816</v>
      </c>
      <c r="H2616" s="17" t="s">
        <v>919</v>
      </c>
      <c r="I2616" s="17">
        <f t="shared" si="112"/>
        <v>329297281816</v>
      </c>
    </row>
    <row r="2617" spans="1:9" x14ac:dyDescent="0.3">
      <c r="A2617" s="17" t="str">
        <f t="shared" si="110"/>
        <v>2010714</v>
      </c>
      <c r="B2617" s="17">
        <v>201</v>
      </c>
      <c r="C2617" s="17">
        <v>714</v>
      </c>
      <c r="D2617" s="17" t="s">
        <v>917</v>
      </c>
      <c r="E2617" s="17">
        <v>0</v>
      </c>
      <c r="F2617" s="17" t="s">
        <v>918</v>
      </c>
      <c r="G2617" s="17">
        <f t="shared" si="111"/>
        <v>332590254634</v>
      </c>
      <c r="H2617" s="17" t="s">
        <v>919</v>
      </c>
      <c r="I2617" s="17">
        <f t="shared" si="112"/>
        <v>332590254634</v>
      </c>
    </row>
    <row r="2618" spans="1:9" x14ac:dyDescent="0.3">
      <c r="A2618" s="17" t="str">
        <f t="shared" si="110"/>
        <v>2010715</v>
      </c>
      <c r="B2618" s="17">
        <v>201</v>
      </c>
      <c r="C2618" s="17">
        <v>715</v>
      </c>
      <c r="D2618" s="17" t="s">
        <v>917</v>
      </c>
      <c r="E2618" s="17">
        <v>0</v>
      </c>
      <c r="F2618" s="17" t="s">
        <v>918</v>
      </c>
      <c r="G2618" s="17">
        <f t="shared" si="111"/>
        <v>335916157180</v>
      </c>
      <c r="H2618" s="17" t="s">
        <v>919</v>
      </c>
      <c r="I2618" s="17">
        <f t="shared" si="112"/>
        <v>335916157180</v>
      </c>
    </row>
    <row r="2619" spans="1:9" x14ac:dyDescent="0.3">
      <c r="A2619" s="17" t="str">
        <f t="shared" si="110"/>
        <v>2010716</v>
      </c>
      <c r="B2619" s="17">
        <v>201</v>
      </c>
      <c r="C2619" s="17">
        <v>716</v>
      </c>
      <c r="D2619" s="17" t="s">
        <v>917</v>
      </c>
      <c r="E2619" s="17">
        <v>0</v>
      </c>
      <c r="F2619" s="17" t="s">
        <v>918</v>
      </c>
      <c r="G2619" s="17">
        <f t="shared" si="111"/>
        <v>339275318751</v>
      </c>
      <c r="H2619" s="17" t="s">
        <v>919</v>
      </c>
      <c r="I2619" s="17">
        <f t="shared" si="112"/>
        <v>339275318751</v>
      </c>
    </row>
    <row r="2620" spans="1:9" x14ac:dyDescent="0.3">
      <c r="A2620" s="17" t="str">
        <f t="shared" si="110"/>
        <v>2010717</v>
      </c>
      <c r="B2620" s="17">
        <v>201</v>
      </c>
      <c r="C2620" s="17">
        <v>717</v>
      </c>
      <c r="D2620" s="17" t="s">
        <v>917</v>
      </c>
      <c r="E2620" s="17">
        <v>0</v>
      </c>
      <c r="F2620" s="17" t="s">
        <v>918</v>
      </c>
      <c r="G2620" s="17">
        <f t="shared" si="111"/>
        <v>342668071938</v>
      </c>
      <c r="H2620" s="17" t="s">
        <v>919</v>
      </c>
      <c r="I2620" s="17">
        <f t="shared" si="112"/>
        <v>342668071938</v>
      </c>
    </row>
    <row r="2621" spans="1:9" x14ac:dyDescent="0.3">
      <c r="A2621" s="17" t="str">
        <f t="shared" si="110"/>
        <v>2010718</v>
      </c>
      <c r="B2621" s="17">
        <v>201</v>
      </c>
      <c r="C2621" s="17">
        <v>718</v>
      </c>
      <c r="D2621" s="17" t="s">
        <v>917</v>
      </c>
      <c r="E2621" s="17">
        <v>0</v>
      </c>
      <c r="F2621" s="17" t="s">
        <v>918</v>
      </c>
      <c r="G2621" s="17">
        <f t="shared" si="111"/>
        <v>346094752657</v>
      </c>
      <c r="H2621" s="17" t="s">
        <v>919</v>
      </c>
      <c r="I2621" s="17">
        <f t="shared" si="112"/>
        <v>346094752657</v>
      </c>
    </row>
    <row r="2622" spans="1:9" x14ac:dyDescent="0.3">
      <c r="A2622" s="17" t="str">
        <f t="shared" si="110"/>
        <v>2010719</v>
      </c>
      <c r="B2622" s="17">
        <v>201</v>
      </c>
      <c r="C2622" s="17">
        <v>719</v>
      </c>
      <c r="D2622" s="17" t="s">
        <v>917</v>
      </c>
      <c r="E2622" s="17">
        <v>0</v>
      </c>
      <c r="F2622" s="17" t="s">
        <v>918</v>
      </c>
      <c r="G2622" s="17">
        <f t="shared" si="111"/>
        <v>349555700183</v>
      </c>
      <c r="H2622" s="17" t="s">
        <v>919</v>
      </c>
      <c r="I2622" s="17">
        <f t="shared" si="112"/>
        <v>349555700183</v>
      </c>
    </row>
    <row r="2623" spans="1:9" x14ac:dyDescent="0.3">
      <c r="A2623" s="17" t="str">
        <f t="shared" si="110"/>
        <v>2010720</v>
      </c>
      <c r="B2623" s="17">
        <v>201</v>
      </c>
      <c r="C2623" s="17">
        <v>720</v>
      </c>
      <c r="D2623" s="17" t="s">
        <v>917</v>
      </c>
      <c r="E2623" s="17">
        <v>0</v>
      </c>
      <c r="F2623" s="17" t="s">
        <v>918</v>
      </c>
      <c r="G2623" s="17">
        <f t="shared" si="111"/>
        <v>353051257184</v>
      </c>
      <c r="H2623" s="17" t="s">
        <v>919</v>
      </c>
      <c r="I2623" s="17">
        <f t="shared" si="112"/>
        <v>353051257184</v>
      </c>
    </row>
    <row r="2624" spans="1:9" x14ac:dyDescent="0.3">
      <c r="A2624" s="17" t="str">
        <f t="shared" si="110"/>
        <v>2010721</v>
      </c>
      <c r="B2624" s="17">
        <v>201</v>
      </c>
      <c r="C2624" s="17">
        <v>721</v>
      </c>
      <c r="D2624" s="17" t="s">
        <v>917</v>
      </c>
      <c r="E2624" s="17">
        <v>0</v>
      </c>
      <c r="F2624" s="17" t="s">
        <v>918</v>
      </c>
      <c r="G2624" s="17">
        <f t="shared" si="111"/>
        <v>356581769755</v>
      </c>
      <c r="H2624" s="17" t="s">
        <v>919</v>
      </c>
      <c r="I2624" s="17">
        <f t="shared" si="112"/>
        <v>356581769755</v>
      </c>
    </row>
    <row r="2625" spans="1:9" x14ac:dyDescent="0.3">
      <c r="A2625" s="17" t="str">
        <f t="shared" si="110"/>
        <v>2010722</v>
      </c>
      <c r="B2625" s="17">
        <v>201</v>
      </c>
      <c r="C2625" s="17">
        <v>722</v>
      </c>
      <c r="D2625" s="17" t="s">
        <v>917</v>
      </c>
      <c r="E2625" s="17">
        <v>0</v>
      </c>
      <c r="F2625" s="17" t="s">
        <v>918</v>
      </c>
      <c r="G2625" s="17">
        <f t="shared" si="111"/>
        <v>360147587452</v>
      </c>
      <c r="H2625" s="17" t="s">
        <v>919</v>
      </c>
      <c r="I2625" s="17">
        <f t="shared" si="112"/>
        <v>360147587452</v>
      </c>
    </row>
    <row r="2626" spans="1:9" x14ac:dyDescent="0.3">
      <c r="A2626" s="17" t="str">
        <f t="shared" si="110"/>
        <v>2010723</v>
      </c>
      <c r="B2626" s="17">
        <v>201</v>
      </c>
      <c r="C2626" s="17">
        <v>723</v>
      </c>
      <c r="D2626" s="17" t="s">
        <v>917</v>
      </c>
      <c r="E2626" s="17">
        <v>0</v>
      </c>
      <c r="F2626" s="17" t="s">
        <v>918</v>
      </c>
      <c r="G2626" s="17">
        <f t="shared" si="111"/>
        <v>363749063326</v>
      </c>
      <c r="H2626" s="17" t="s">
        <v>919</v>
      </c>
      <c r="I2626" s="17">
        <f t="shared" si="112"/>
        <v>363749063326</v>
      </c>
    </row>
    <row r="2627" spans="1:9" x14ac:dyDescent="0.3">
      <c r="A2627" s="17" t="str">
        <f t="shared" si="110"/>
        <v>2010724</v>
      </c>
      <c r="B2627" s="17">
        <v>201</v>
      </c>
      <c r="C2627" s="17">
        <v>724</v>
      </c>
      <c r="D2627" s="17" t="s">
        <v>917</v>
      </c>
      <c r="E2627" s="17">
        <v>0</v>
      </c>
      <c r="F2627" s="17" t="s">
        <v>918</v>
      </c>
      <c r="G2627" s="17">
        <f t="shared" si="111"/>
        <v>367386553959</v>
      </c>
      <c r="H2627" s="17" t="s">
        <v>919</v>
      </c>
      <c r="I2627" s="17">
        <f t="shared" si="112"/>
        <v>367386553959</v>
      </c>
    </row>
    <row r="2628" spans="1:9" x14ac:dyDescent="0.3">
      <c r="A2628" s="17" t="str">
        <f t="shared" ref="A2628:A2691" si="113">B2628&amp;TEXT(C2628,"0000")</f>
        <v>2010725</v>
      </c>
      <c r="B2628" s="17">
        <v>201</v>
      </c>
      <c r="C2628" s="17">
        <v>725</v>
      </c>
      <c r="D2628" s="17" t="s">
        <v>917</v>
      </c>
      <c r="E2628" s="17">
        <v>0</v>
      </c>
      <c r="F2628" s="17" t="s">
        <v>918</v>
      </c>
      <c r="G2628" s="17">
        <f t="shared" si="111"/>
        <v>371060419498</v>
      </c>
      <c r="H2628" s="17" t="s">
        <v>919</v>
      </c>
      <c r="I2628" s="17">
        <f t="shared" si="112"/>
        <v>371060419498</v>
      </c>
    </row>
    <row r="2629" spans="1:9" x14ac:dyDescent="0.3">
      <c r="A2629" s="17" t="str">
        <f t="shared" si="113"/>
        <v>2010726</v>
      </c>
      <c r="B2629" s="17">
        <v>201</v>
      </c>
      <c r="C2629" s="17">
        <v>726</v>
      </c>
      <c r="D2629" s="17" t="s">
        <v>917</v>
      </c>
      <c r="E2629" s="17">
        <v>0</v>
      </c>
      <c r="F2629" s="17" t="s">
        <v>918</v>
      </c>
      <c r="G2629" s="17">
        <f t="shared" si="111"/>
        <v>374771023692</v>
      </c>
      <c r="H2629" s="17" t="s">
        <v>919</v>
      </c>
      <c r="I2629" s="17">
        <f t="shared" si="112"/>
        <v>374771023692</v>
      </c>
    </row>
    <row r="2630" spans="1:9" x14ac:dyDescent="0.3">
      <c r="A2630" s="17" t="str">
        <f t="shared" si="113"/>
        <v>2010727</v>
      </c>
      <c r="B2630" s="17">
        <v>201</v>
      </c>
      <c r="C2630" s="17">
        <v>727</v>
      </c>
      <c r="D2630" s="17" t="s">
        <v>917</v>
      </c>
      <c r="E2630" s="17">
        <v>0</v>
      </c>
      <c r="F2630" s="17" t="s">
        <v>918</v>
      </c>
      <c r="G2630" s="17">
        <f t="shared" si="111"/>
        <v>378518733928</v>
      </c>
      <c r="H2630" s="17" t="s">
        <v>919</v>
      </c>
      <c r="I2630" s="17">
        <f t="shared" si="112"/>
        <v>378518733928</v>
      </c>
    </row>
    <row r="2631" spans="1:9" x14ac:dyDescent="0.3">
      <c r="A2631" s="17" t="str">
        <f t="shared" si="113"/>
        <v>2010728</v>
      </c>
      <c r="B2631" s="17">
        <v>201</v>
      </c>
      <c r="C2631" s="17">
        <v>728</v>
      </c>
      <c r="D2631" s="17" t="s">
        <v>917</v>
      </c>
      <c r="E2631" s="17">
        <v>0</v>
      </c>
      <c r="F2631" s="17" t="s">
        <v>918</v>
      </c>
      <c r="G2631" s="17">
        <f t="shared" si="111"/>
        <v>382303921267</v>
      </c>
      <c r="H2631" s="17" t="s">
        <v>919</v>
      </c>
      <c r="I2631" s="17">
        <f t="shared" si="112"/>
        <v>382303921267</v>
      </c>
    </row>
    <row r="2632" spans="1:9" x14ac:dyDescent="0.3">
      <c r="A2632" s="17" t="str">
        <f t="shared" si="113"/>
        <v>2010729</v>
      </c>
      <c r="B2632" s="17">
        <v>201</v>
      </c>
      <c r="C2632" s="17">
        <v>729</v>
      </c>
      <c r="D2632" s="17" t="s">
        <v>917</v>
      </c>
      <c r="E2632" s="17">
        <v>0</v>
      </c>
      <c r="F2632" s="17" t="s">
        <v>918</v>
      </c>
      <c r="G2632" s="17">
        <f t="shared" si="111"/>
        <v>386126960479</v>
      </c>
      <c r="H2632" s="17" t="s">
        <v>919</v>
      </c>
      <c r="I2632" s="17">
        <f t="shared" si="112"/>
        <v>386126960479</v>
      </c>
    </row>
    <row r="2633" spans="1:9" x14ac:dyDescent="0.3">
      <c r="A2633" s="17" t="str">
        <f t="shared" si="113"/>
        <v>2010730</v>
      </c>
      <c r="B2633" s="17">
        <v>201</v>
      </c>
      <c r="C2633" s="17">
        <v>730</v>
      </c>
      <c r="D2633" s="17" t="s">
        <v>917</v>
      </c>
      <c r="E2633" s="17">
        <v>0</v>
      </c>
      <c r="F2633" s="17" t="s">
        <v>918</v>
      </c>
      <c r="G2633" s="17">
        <f t="shared" si="111"/>
        <v>389988230083</v>
      </c>
      <c r="H2633" s="17" t="s">
        <v>919</v>
      </c>
      <c r="I2633" s="17">
        <f t="shared" si="112"/>
        <v>389988230083</v>
      </c>
    </row>
    <row r="2634" spans="1:9" x14ac:dyDescent="0.3">
      <c r="A2634" s="17" t="str">
        <f t="shared" si="113"/>
        <v>2010731</v>
      </c>
      <c r="B2634" s="17">
        <v>201</v>
      </c>
      <c r="C2634" s="17">
        <v>731</v>
      </c>
      <c r="D2634" s="17" t="s">
        <v>917</v>
      </c>
      <c r="E2634" s="17">
        <v>0</v>
      </c>
      <c r="F2634" s="17" t="s">
        <v>918</v>
      </c>
      <c r="G2634" s="17">
        <f t="shared" si="111"/>
        <v>393888112383</v>
      </c>
      <c r="H2634" s="17" t="s">
        <v>919</v>
      </c>
      <c r="I2634" s="17">
        <f t="shared" si="112"/>
        <v>393888112383</v>
      </c>
    </row>
    <row r="2635" spans="1:9" x14ac:dyDescent="0.3">
      <c r="A2635" s="17" t="str">
        <f t="shared" si="113"/>
        <v>2010732</v>
      </c>
      <c r="B2635" s="17">
        <v>201</v>
      </c>
      <c r="C2635" s="17">
        <v>732</v>
      </c>
      <c r="D2635" s="17" t="s">
        <v>917</v>
      </c>
      <c r="E2635" s="17">
        <v>0</v>
      </c>
      <c r="F2635" s="17" t="s">
        <v>918</v>
      </c>
      <c r="G2635" s="17">
        <f t="shared" si="111"/>
        <v>397826993506</v>
      </c>
      <c r="H2635" s="17" t="s">
        <v>919</v>
      </c>
      <c r="I2635" s="17">
        <f t="shared" si="112"/>
        <v>397826993506</v>
      </c>
    </row>
    <row r="2636" spans="1:9" x14ac:dyDescent="0.3">
      <c r="A2636" s="17" t="str">
        <f t="shared" si="113"/>
        <v>2010733</v>
      </c>
      <c r="B2636" s="17">
        <v>201</v>
      </c>
      <c r="C2636" s="17">
        <v>733</v>
      </c>
      <c r="D2636" s="17" t="s">
        <v>917</v>
      </c>
      <c r="E2636" s="17">
        <v>0</v>
      </c>
      <c r="F2636" s="17" t="s">
        <v>918</v>
      </c>
      <c r="G2636" s="17">
        <f t="shared" si="111"/>
        <v>401805263441</v>
      </c>
      <c r="H2636" s="17" t="s">
        <v>919</v>
      </c>
      <c r="I2636" s="17">
        <f t="shared" si="112"/>
        <v>401805263441</v>
      </c>
    </row>
    <row r="2637" spans="1:9" x14ac:dyDescent="0.3">
      <c r="A2637" s="17" t="str">
        <f t="shared" si="113"/>
        <v>2010734</v>
      </c>
      <c r="B2637" s="17">
        <v>201</v>
      </c>
      <c r="C2637" s="17">
        <v>734</v>
      </c>
      <c r="D2637" s="17" t="s">
        <v>917</v>
      </c>
      <c r="E2637" s="17">
        <v>0</v>
      </c>
      <c r="F2637" s="17" t="s">
        <v>918</v>
      </c>
      <c r="G2637" s="17">
        <f t="shared" si="111"/>
        <v>405823316075</v>
      </c>
      <c r="H2637" s="17" t="s">
        <v>919</v>
      </c>
      <c r="I2637" s="17">
        <f t="shared" si="112"/>
        <v>405823316075</v>
      </c>
    </row>
    <row r="2638" spans="1:9" x14ac:dyDescent="0.3">
      <c r="A2638" s="17" t="str">
        <f t="shared" si="113"/>
        <v>2010735</v>
      </c>
      <c r="B2638" s="17">
        <v>201</v>
      </c>
      <c r="C2638" s="17">
        <v>735</v>
      </c>
      <c r="D2638" s="17" t="s">
        <v>917</v>
      </c>
      <c r="E2638" s="17">
        <v>0</v>
      </c>
      <c r="F2638" s="17" t="s">
        <v>918</v>
      </c>
      <c r="G2638" s="17">
        <f t="shared" si="111"/>
        <v>409881549235</v>
      </c>
      <c r="H2638" s="17" t="s">
        <v>919</v>
      </c>
      <c r="I2638" s="17">
        <f t="shared" si="112"/>
        <v>409881549235</v>
      </c>
    </row>
    <row r="2639" spans="1:9" x14ac:dyDescent="0.3">
      <c r="A2639" s="17" t="str">
        <f t="shared" si="113"/>
        <v>2010736</v>
      </c>
      <c r="B2639" s="17">
        <v>201</v>
      </c>
      <c r="C2639" s="17">
        <v>736</v>
      </c>
      <c r="D2639" s="17" t="s">
        <v>917</v>
      </c>
      <c r="E2639" s="17">
        <v>0</v>
      </c>
      <c r="F2639" s="17" t="s">
        <v>918</v>
      </c>
      <c r="G2639" s="17">
        <f t="shared" si="111"/>
        <v>413980364727</v>
      </c>
      <c r="H2639" s="17" t="s">
        <v>919</v>
      </c>
      <c r="I2639" s="17">
        <f t="shared" si="112"/>
        <v>413980364727</v>
      </c>
    </row>
    <row r="2640" spans="1:9" x14ac:dyDescent="0.3">
      <c r="A2640" s="17" t="str">
        <f t="shared" si="113"/>
        <v>2010737</v>
      </c>
      <c r="B2640" s="17">
        <v>201</v>
      </c>
      <c r="C2640" s="17">
        <v>737</v>
      </c>
      <c r="D2640" s="17" t="s">
        <v>917</v>
      </c>
      <c r="E2640" s="17">
        <v>0</v>
      </c>
      <c r="F2640" s="17" t="s">
        <v>918</v>
      </c>
      <c r="G2640" s="17">
        <f t="shared" si="111"/>
        <v>418120168374</v>
      </c>
      <c r="H2640" s="17" t="s">
        <v>919</v>
      </c>
      <c r="I2640" s="17">
        <f t="shared" si="112"/>
        <v>418120168374</v>
      </c>
    </row>
    <row r="2641" spans="1:9" x14ac:dyDescent="0.3">
      <c r="A2641" s="17" t="str">
        <f t="shared" si="113"/>
        <v>2010738</v>
      </c>
      <c r="B2641" s="17">
        <v>201</v>
      </c>
      <c r="C2641" s="17">
        <v>738</v>
      </c>
      <c r="D2641" s="17" t="s">
        <v>917</v>
      </c>
      <c r="E2641" s="17">
        <v>0</v>
      </c>
      <c r="F2641" s="17" t="s">
        <v>918</v>
      </c>
      <c r="G2641" s="17">
        <f t="shared" si="111"/>
        <v>422301370057</v>
      </c>
      <c r="H2641" s="17" t="s">
        <v>919</v>
      </c>
      <c r="I2641" s="17">
        <f t="shared" si="112"/>
        <v>422301370057</v>
      </c>
    </row>
    <row r="2642" spans="1:9" x14ac:dyDescent="0.3">
      <c r="A2642" s="17" t="str">
        <f t="shared" si="113"/>
        <v>2010739</v>
      </c>
      <c r="B2642" s="17">
        <v>201</v>
      </c>
      <c r="C2642" s="17">
        <v>739</v>
      </c>
      <c r="D2642" s="17" t="s">
        <v>917</v>
      </c>
      <c r="E2642" s="17">
        <v>0</v>
      </c>
      <c r="F2642" s="17" t="s">
        <v>918</v>
      </c>
      <c r="G2642" s="17">
        <f t="shared" si="111"/>
        <v>426524383757</v>
      </c>
      <c r="H2642" s="17" t="s">
        <v>919</v>
      </c>
      <c r="I2642" s="17">
        <f t="shared" si="112"/>
        <v>426524383757</v>
      </c>
    </row>
    <row r="2643" spans="1:9" x14ac:dyDescent="0.3">
      <c r="A2643" s="17" t="str">
        <f t="shared" si="113"/>
        <v>2010740</v>
      </c>
      <c r="B2643" s="17">
        <v>201</v>
      </c>
      <c r="C2643" s="17">
        <v>740</v>
      </c>
      <c r="D2643" s="17" t="s">
        <v>917</v>
      </c>
      <c r="E2643" s="17">
        <v>0</v>
      </c>
      <c r="F2643" s="17" t="s">
        <v>918</v>
      </c>
      <c r="G2643" s="17">
        <f t="shared" si="111"/>
        <v>430789627594</v>
      </c>
      <c r="H2643" s="17" t="s">
        <v>919</v>
      </c>
      <c r="I2643" s="17">
        <f t="shared" si="112"/>
        <v>430789627594</v>
      </c>
    </row>
    <row r="2644" spans="1:9" x14ac:dyDescent="0.3">
      <c r="A2644" s="17" t="str">
        <f t="shared" si="113"/>
        <v>2010741</v>
      </c>
      <c r="B2644" s="17">
        <v>201</v>
      </c>
      <c r="C2644" s="17">
        <v>741</v>
      </c>
      <c r="D2644" s="17" t="s">
        <v>917</v>
      </c>
      <c r="E2644" s="17">
        <v>0</v>
      </c>
      <c r="F2644" s="17" t="s">
        <v>918</v>
      </c>
      <c r="G2644" s="17">
        <f t="shared" si="111"/>
        <v>435097523869</v>
      </c>
      <c r="H2644" s="17" t="s">
        <v>919</v>
      </c>
      <c r="I2644" s="17">
        <f t="shared" si="112"/>
        <v>435097523869</v>
      </c>
    </row>
    <row r="2645" spans="1:9" x14ac:dyDescent="0.3">
      <c r="A2645" s="17" t="str">
        <f t="shared" si="113"/>
        <v>2010742</v>
      </c>
      <c r="B2645" s="17">
        <v>201</v>
      </c>
      <c r="C2645" s="17">
        <v>742</v>
      </c>
      <c r="D2645" s="17" t="s">
        <v>917</v>
      </c>
      <c r="E2645" s="17">
        <v>0</v>
      </c>
      <c r="F2645" s="17" t="s">
        <v>918</v>
      </c>
      <c r="G2645" s="17">
        <f t="shared" si="111"/>
        <v>439448499107</v>
      </c>
      <c r="H2645" s="17" t="s">
        <v>919</v>
      </c>
      <c r="I2645" s="17">
        <f t="shared" si="112"/>
        <v>439448499107</v>
      </c>
    </row>
    <row r="2646" spans="1:9" x14ac:dyDescent="0.3">
      <c r="A2646" s="17" t="str">
        <f t="shared" si="113"/>
        <v>2010743</v>
      </c>
      <c r="B2646" s="17">
        <v>201</v>
      </c>
      <c r="C2646" s="17">
        <v>743</v>
      </c>
      <c r="D2646" s="17" t="s">
        <v>917</v>
      </c>
      <c r="E2646" s="17">
        <v>0</v>
      </c>
      <c r="F2646" s="17" t="s">
        <v>918</v>
      </c>
      <c r="G2646" s="17">
        <f t="shared" si="111"/>
        <v>443842984098</v>
      </c>
      <c r="H2646" s="17" t="s">
        <v>919</v>
      </c>
      <c r="I2646" s="17">
        <f t="shared" si="112"/>
        <v>443842984098</v>
      </c>
    </row>
    <row r="2647" spans="1:9" x14ac:dyDescent="0.3">
      <c r="A2647" s="17" t="str">
        <f t="shared" si="113"/>
        <v>2010744</v>
      </c>
      <c r="B2647" s="17">
        <v>201</v>
      </c>
      <c r="C2647" s="17">
        <v>744</v>
      </c>
      <c r="D2647" s="17" t="s">
        <v>917</v>
      </c>
      <c r="E2647" s="17">
        <v>0</v>
      </c>
      <c r="F2647" s="17" t="s">
        <v>918</v>
      </c>
      <c r="G2647" s="17">
        <f t="shared" si="111"/>
        <v>448281413938</v>
      </c>
      <c r="H2647" s="17" t="s">
        <v>919</v>
      </c>
      <c r="I2647" s="17">
        <f t="shared" si="112"/>
        <v>448281413938</v>
      </c>
    </row>
    <row r="2648" spans="1:9" x14ac:dyDescent="0.3">
      <c r="A2648" s="17" t="str">
        <f t="shared" si="113"/>
        <v>2010745</v>
      </c>
      <c r="B2648" s="17">
        <v>201</v>
      </c>
      <c r="C2648" s="17">
        <v>745</v>
      </c>
      <c r="D2648" s="17" t="s">
        <v>917</v>
      </c>
      <c r="E2648" s="17">
        <v>0</v>
      </c>
      <c r="F2648" s="17" t="s">
        <v>918</v>
      </c>
      <c r="G2648" s="17">
        <f t="shared" si="111"/>
        <v>452764228077</v>
      </c>
      <c r="H2648" s="17" t="s">
        <v>919</v>
      </c>
      <c r="I2648" s="17">
        <f t="shared" si="112"/>
        <v>452764228077</v>
      </c>
    </row>
    <row r="2649" spans="1:9" x14ac:dyDescent="0.3">
      <c r="A2649" s="17" t="str">
        <f t="shared" si="113"/>
        <v>2010746</v>
      </c>
      <c r="B2649" s="17">
        <v>201</v>
      </c>
      <c r="C2649" s="17">
        <v>746</v>
      </c>
      <c r="D2649" s="17" t="s">
        <v>917</v>
      </c>
      <c r="E2649" s="17">
        <v>0</v>
      </c>
      <c r="F2649" s="17" t="s">
        <v>918</v>
      </c>
      <c r="G2649" s="17">
        <f t="shared" si="111"/>
        <v>457291870357</v>
      </c>
      <c r="H2649" s="17" t="s">
        <v>919</v>
      </c>
      <c r="I2649" s="17">
        <f t="shared" si="112"/>
        <v>457291870357</v>
      </c>
    </row>
    <row r="2650" spans="1:9" x14ac:dyDescent="0.3">
      <c r="A2650" s="17" t="str">
        <f t="shared" si="113"/>
        <v>2010747</v>
      </c>
      <c r="B2650" s="17">
        <v>201</v>
      </c>
      <c r="C2650" s="17">
        <v>747</v>
      </c>
      <c r="D2650" s="17" t="s">
        <v>917</v>
      </c>
      <c r="E2650" s="17">
        <v>0</v>
      </c>
      <c r="F2650" s="17" t="s">
        <v>918</v>
      </c>
      <c r="G2650" s="17">
        <f t="shared" si="111"/>
        <v>461864789060</v>
      </c>
      <c r="H2650" s="17" t="s">
        <v>919</v>
      </c>
      <c r="I2650" s="17">
        <f t="shared" si="112"/>
        <v>461864789060</v>
      </c>
    </row>
    <row r="2651" spans="1:9" x14ac:dyDescent="0.3">
      <c r="A2651" s="17" t="str">
        <f t="shared" si="113"/>
        <v>2010748</v>
      </c>
      <c r="B2651" s="17">
        <v>201</v>
      </c>
      <c r="C2651" s="17">
        <v>748</v>
      </c>
      <c r="D2651" s="17" t="s">
        <v>917</v>
      </c>
      <c r="E2651" s="17">
        <v>0</v>
      </c>
      <c r="F2651" s="17" t="s">
        <v>918</v>
      </c>
      <c r="G2651" s="17">
        <f t="shared" si="111"/>
        <v>466483436950</v>
      </c>
      <c r="H2651" s="17" t="s">
        <v>919</v>
      </c>
      <c r="I2651" s="17">
        <f t="shared" si="112"/>
        <v>466483436950</v>
      </c>
    </row>
    <row r="2652" spans="1:9" x14ac:dyDescent="0.3">
      <c r="A2652" s="17" t="str">
        <f t="shared" si="113"/>
        <v>2010749</v>
      </c>
      <c r="B2652" s="17">
        <v>201</v>
      </c>
      <c r="C2652" s="17">
        <v>749</v>
      </c>
      <c r="D2652" s="17" t="s">
        <v>917</v>
      </c>
      <c r="E2652" s="17">
        <v>0</v>
      </c>
      <c r="F2652" s="17" t="s">
        <v>918</v>
      </c>
      <c r="G2652" s="17">
        <f t="shared" ref="G2652:G2715" si="114">INT(G2651*1.01)</f>
        <v>471148271319</v>
      </c>
      <c r="H2652" s="17" t="s">
        <v>919</v>
      </c>
      <c r="I2652" s="17">
        <f t="shared" si="112"/>
        <v>471148271319</v>
      </c>
    </row>
    <row r="2653" spans="1:9" x14ac:dyDescent="0.3">
      <c r="A2653" s="17" t="str">
        <f t="shared" si="113"/>
        <v>2010750</v>
      </c>
      <c r="B2653" s="17">
        <v>201</v>
      </c>
      <c r="C2653" s="17">
        <v>750</v>
      </c>
      <c r="D2653" s="17" t="s">
        <v>917</v>
      </c>
      <c r="E2653" s="17">
        <v>0</v>
      </c>
      <c r="F2653" s="17" t="s">
        <v>918</v>
      </c>
      <c r="G2653" s="17">
        <f t="shared" si="114"/>
        <v>475859754032</v>
      </c>
      <c r="H2653" s="17" t="s">
        <v>919</v>
      </c>
      <c r="I2653" s="17">
        <f t="shared" si="112"/>
        <v>475859754032</v>
      </c>
    </row>
    <row r="2654" spans="1:9" x14ac:dyDescent="0.3">
      <c r="A2654" s="17" t="str">
        <f t="shared" si="113"/>
        <v>2010751</v>
      </c>
      <c r="B2654" s="17">
        <v>201</v>
      </c>
      <c r="C2654" s="17">
        <v>751</v>
      </c>
      <c r="D2654" s="17" t="s">
        <v>917</v>
      </c>
      <c r="E2654" s="17">
        <v>0</v>
      </c>
      <c r="F2654" s="17" t="s">
        <v>918</v>
      </c>
      <c r="G2654" s="17">
        <f t="shared" si="114"/>
        <v>480618351572</v>
      </c>
      <c r="H2654" s="17" t="s">
        <v>919</v>
      </c>
      <c r="I2654" s="17">
        <f t="shared" si="112"/>
        <v>480618351572</v>
      </c>
    </row>
    <row r="2655" spans="1:9" x14ac:dyDescent="0.3">
      <c r="A2655" s="17" t="str">
        <f t="shared" si="113"/>
        <v>2010752</v>
      </c>
      <c r="B2655" s="17">
        <v>201</v>
      </c>
      <c r="C2655" s="17">
        <v>752</v>
      </c>
      <c r="D2655" s="17" t="s">
        <v>917</v>
      </c>
      <c r="E2655" s="17">
        <v>0</v>
      </c>
      <c r="F2655" s="17" t="s">
        <v>918</v>
      </c>
      <c r="G2655" s="17">
        <f t="shared" si="114"/>
        <v>485424535087</v>
      </c>
      <c r="H2655" s="17" t="s">
        <v>919</v>
      </c>
      <c r="I2655" s="17">
        <f t="shared" si="112"/>
        <v>485424535087</v>
      </c>
    </row>
    <row r="2656" spans="1:9" x14ac:dyDescent="0.3">
      <c r="A2656" s="17" t="str">
        <f t="shared" si="113"/>
        <v>2010753</v>
      </c>
      <c r="B2656" s="17">
        <v>201</v>
      </c>
      <c r="C2656" s="17">
        <v>753</v>
      </c>
      <c r="D2656" s="17" t="s">
        <v>917</v>
      </c>
      <c r="E2656" s="17">
        <v>0</v>
      </c>
      <c r="F2656" s="17" t="s">
        <v>918</v>
      </c>
      <c r="G2656" s="17">
        <f t="shared" si="114"/>
        <v>490278780437</v>
      </c>
      <c r="H2656" s="17" t="s">
        <v>919</v>
      </c>
      <c r="I2656" s="17">
        <f t="shared" si="112"/>
        <v>490278780437</v>
      </c>
    </row>
    <row r="2657" spans="1:9" x14ac:dyDescent="0.3">
      <c r="A2657" s="17" t="str">
        <f t="shared" si="113"/>
        <v>2010754</v>
      </c>
      <c r="B2657" s="17">
        <v>201</v>
      </c>
      <c r="C2657" s="17">
        <v>754</v>
      </c>
      <c r="D2657" s="17" t="s">
        <v>917</v>
      </c>
      <c r="E2657" s="17">
        <v>0</v>
      </c>
      <c r="F2657" s="17" t="s">
        <v>918</v>
      </c>
      <c r="G2657" s="17">
        <f t="shared" si="114"/>
        <v>495181568241</v>
      </c>
      <c r="H2657" s="17" t="s">
        <v>919</v>
      </c>
      <c r="I2657" s="17">
        <f t="shared" si="112"/>
        <v>495181568241</v>
      </c>
    </row>
    <row r="2658" spans="1:9" x14ac:dyDescent="0.3">
      <c r="A2658" s="17" t="str">
        <f t="shared" si="113"/>
        <v>2010755</v>
      </c>
      <c r="B2658" s="17">
        <v>201</v>
      </c>
      <c r="C2658" s="17">
        <v>755</v>
      </c>
      <c r="D2658" s="17" t="s">
        <v>917</v>
      </c>
      <c r="E2658" s="17">
        <v>0</v>
      </c>
      <c r="F2658" s="17" t="s">
        <v>918</v>
      </c>
      <c r="G2658" s="17">
        <f t="shared" si="114"/>
        <v>500133383923</v>
      </c>
      <c r="H2658" s="17" t="s">
        <v>919</v>
      </c>
      <c r="I2658" s="17">
        <f t="shared" si="112"/>
        <v>500133383923</v>
      </c>
    </row>
    <row r="2659" spans="1:9" x14ac:dyDescent="0.3">
      <c r="A2659" s="17" t="str">
        <f t="shared" si="113"/>
        <v>2010756</v>
      </c>
      <c r="B2659" s="17">
        <v>201</v>
      </c>
      <c r="C2659" s="17">
        <v>756</v>
      </c>
      <c r="D2659" s="17" t="s">
        <v>917</v>
      </c>
      <c r="E2659" s="17">
        <v>0</v>
      </c>
      <c r="F2659" s="17" t="s">
        <v>918</v>
      </c>
      <c r="G2659" s="17">
        <f t="shared" si="114"/>
        <v>505134717762</v>
      </c>
      <c r="H2659" s="17" t="s">
        <v>919</v>
      </c>
      <c r="I2659" s="17">
        <f t="shared" si="112"/>
        <v>505134717762</v>
      </c>
    </row>
    <row r="2660" spans="1:9" x14ac:dyDescent="0.3">
      <c r="A2660" s="17" t="str">
        <f t="shared" si="113"/>
        <v>2010757</v>
      </c>
      <c r="B2660" s="17">
        <v>201</v>
      </c>
      <c r="C2660" s="17">
        <v>757</v>
      </c>
      <c r="D2660" s="17" t="s">
        <v>917</v>
      </c>
      <c r="E2660" s="17">
        <v>0</v>
      </c>
      <c r="F2660" s="17" t="s">
        <v>918</v>
      </c>
      <c r="G2660" s="17">
        <f t="shared" si="114"/>
        <v>510186064939</v>
      </c>
      <c r="H2660" s="17" t="s">
        <v>919</v>
      </c>
      <c r="I2660" s="17">
        <f t="shared" si="112"/>
        <v>510186064939</v>
      </c>
    </row>
    <row r="2661" spans="1:9" x14ac:dyDescent="0.3">
      <c r="A2661" s="17" t="str">
        <f t="shared" si="113"/>
        <v>2010758</v>
      </c>
      <c r="B2661" s="17">
        <v>201</v>
      </c>
      <c r="C2661" s="17">
        <v>758</v>
      </c>
      <c r="D2661" s="17" t="s">
        <v>917</v>
      </c>
      <c r="E2661" s="17">
        <v>0</v>
      </c>
      <c r="F2661" s="17" t="s">
        <v>918</v>
      </c>
      <c r="G2661" s="17">
        <f t="shared" si="114"/>
        <v>515287925588</v>
      </c>
      <c r="H2661" s="17" t="s">
        <v>919</v>
      </c>
      <c r="I2661" s="17">
        <f t="shared" si="112"/>
        <v>515287925588</v>
      </c>
    </row>
    <row r="2662" spans="1:9" x14ac:dyDescent="0.3">
      <c r="A2662" s="17" t="str">
        <f t="shared" si="113"/>
        <v>2010759</v>
      </c>
      <c r="B2662" s="17">
        <v>201</v>
      </c>
      <c r="C2662" s="17">
        <v>759</v>
      </c>
      <c r="D2662" s="17" t="s">
        <v>917</v>
      </c>
      <c r="E2662" s="17">
        <v>0</v>
      </c>
      <c r="F2662" s="17" t="s">
        <v>918</v>
      </c>
      <c r="G2662" s="17">
        <f t="shared" si="114"/>
        <v>520440804843</v>
      </c>
      <c r="H2662" s="17" t="s">
        <v>919</v>
      </c>
      <c r="I2662" s="17">
        <f t="shared" si="112"/>
        <v>520440804843</v>
      </c>
    </row>
    <row r="2663" spans="1:9" x14ac:dyDescent="0.3">
      <c r="A2663" s="17" t="str">
        <f t="shared" si="113"/>
        <v>2010760</v>
      </c>
      <c r="B2663" s="17">
        <v>201</v>
      </c>
      <c r="C2663" s="17">
        <v>760</v>
      </c>
      <c r="D2663" s="17" t="s">
        <v>917</v>
      </c>
      <c r="E2663" s="17">
        <v>0</v>
      </c>
      <c r="F2663" s="17" t="s">
        <v>918</v>
      </c>
      <c r="G2663" s="17">
        <f t="shared" si="114"/>
        <v>525645212891</v>
      </c>
      <c r="H2663" s="17" t="s">
        <v>919</v>
      </c>
      <c r="I2663" s="17">
        <f t="shared" si="112"/>
        <v>525645212891</v>
      </c>
    </row>
    <row r="2664" spans="1:9" x14ac:dyDescent="0.3">
      <c r="A2664" s="17" t="str">
        <f t="shared" si="113"/>
        <v>2010761</v>
      </c>
      <c r="B2664" s="17">
        <v>201</v>
      </c>
      <c r="C2664" s="17">
        <v>761</v>
      </c>
      <c r="D2664" s="17" t="s">
        <v>917</v>
      </c>
      <c r="E2664" s="17">
        <v>0</v>
      </c>
      <c r="F2664" s="17" t="s">
        <v>918</v>
      </c>
      <c r="G2664" s="17">
        <f t="shared" si="114"/>
        <v>530901665019</v>
      </c>
      <c r="H2664" s="17" t="s">
        <v>919</v>
      </c>
      <c r="I2664" s="17">
        <f t="shared" si="112"/>
        <v>530901665019</v>
      </c>
    </row>
    <row r="2665" spans="1:9" x14ac:dyDescent="0.3">
      <c r="A2665" s="17" t="str">
        <f t="shared" si="113"/>
        <v>2010762</v>
      </c>
      <c r="B2665" s="17">
        <v>201</v>
      </c>
      <c r="C2665" s="17">
        <v>762</v>
      </c>
      <c r="D2665" s="17" t="s">
        <v>917</v>
      </c>
      <c r="E2665" s="17">
        <v>0</v>
      </c>
      <c r="F2665" s="17" t="s">
        <v>918</v>
      </c>
      <c r="G2665" s="17">
        <f t="shared" si="114"/>
        <v>536210681669</v>
      </c>
      <c r="H2665" s="17" t="s">
        <v>919</v>
      </c>
      <c r="I2665" s="17">
        <f t="shared" si="112"/>
        <v>536210681669</v>
      </c>
    </row>
    <row r="2666" spans="1:9" x14ac:dyDescent="0.3">
      <c r="A2666" s="17" t="str">
        <f t="shared" si="113"/>
        <v>2010763</v>
      </c>
      <c r="B2666" s="17">
        <v>201</v>
      </c>
      <c r="C2666" s="17">
        <v>763</v>
      </c>
      <c r="D2666" s="17" t="s">
        <v>917</v>
      </c>
      <c r="E2666" s="17">
        <v>0</v>
      </c>
      <c r="F2666" s="17" t="s">
        <v>918</v>
      </c>
      <c r="G2666" s="17">
        <f t="shared" si="114"/>
        <v>541572788485</v>
      </c>
      <c r="H2666" s="17" t="s">
        <v>919</v>
      </c>
      <c r="I2666" s="17">
        <f t="shared" si="112"/>
        <v>541572788485</v>
      </c>
    </row>
    <row r="2667" spans="1:9" x14ac:dyDescent="0.3">
      <c r="A2667" s="17" t="str">
        <f t="shared" si="113"/>
        <v>2010764</v>
      </c>
      <c r="B2667" s="17">
        <v>201</v>
      </c>
      <c r="C2667" s="17">
        <v>764</v>
      </c>
      <c r="D2667" s="17" t="s">
        <v>917</v>
      </c>
      <c r="E2667" s="17">
        <v>0</v>
      </c>
      <c r="F2667" s="17" t="s">
        <v>918</v>
      </c>
      <c r="G2667" s="17">
        <f t="shared" si="114"/>
        <v>546988516369</v>
      </c>
      <c r="H2667" s="17" t="s">
        <v>919</v>
      </c>
      <c r="I2667" s="17">
        <f t="shared" si="112"/>
        <v>546988516369</v>
      </c>
    </row>
    <row r="2668" spans="1:9" x14ac:dyDescent="0.3">
      <c r="A2668" s="17" t="str">
        <f t="shared" si="113"/>
        <v>2010765</v>
      </c>
      <c r="B2668" s="17">
        <v>201</v>
      </c>
      <c r="C2668" s="17">
        <v>765</v>
      </c>
      <c r="D2668" s="17" t="s">
        <v>917</v>
      </c>
      <c r="E2668" s="17">
        <v>0</v>
      </c>
      <c r="F2668" s="17" t="s">
        <v>918</v>
      </c>
      <c r="G2668" s="17">
        <f t="shared" si="114"/>
        <v>552458401532</v>
      </c>
      <c r="H2668" s="17" t="s">
        <v>919</v>
      </c>
      <c r="I2668" s="17">
        <f t="shared" si="112"/>
        <v>552458401532</v>
      </c>
    </row>
    <row r="2669" spans="1:9" x14ac:dyDescent="0.3">
      <c r="A2669" s="17" t="str">
        <f t="shared" si="113"/>
        <v>2010766</v>
      </c>
      <c r="B2669" s="17">
        <v>201</v>
      </c>
      <c r="C2669" s="17">
        <v>766</v>
      </c>
      <c r="D2669" s="17" t="s">
        <v>917</v>
      </c>
      <c r="E2669" s="17">
        <v>0</v>
      </c>
      <c r="F2669" s="17" t="s">
        <v>918</v>
      </c>
      <c r="G2669" s="17">
        <f t="shared" si="114"/>
        <v>557982985547</v>
      </c>
      <c r="H2669" s="17" t="s">
        <v>919</v>
      </c>
      <c r="I2669" s="17">
        <f t="shared" si="112"/>
        <v>557982985547</v>
      </c>
    </row>
    <row r="2670" spans="1:9" x14ac:dyDescent="0.3">
      <c r="A2670" s="17" t="str">
        <f t="shared" si="113"/>
        <v>2010767</v>
      </c>
      <c r="B2670" s="17">
        <v>201</v>
      </c>
      <c r="C2670" s="17">
        <v>767</v>
      </c>
      <c r="D2670" s="17" t="s">
        <v>917</v>
      </c>
      <c r="E2670" s="17">
        <v>0</v>
      </c>
      <c r="F2670" s="17" t="s">
        <v>918</v>
      </c>
      <c r="G2670" s="17">
        <f t="shared" si="114"/>
        <v>563562815402</v>
      </c>
      <c r="H2670" s="17" t="s">
        <v>919</v>
      </c>
      <c r="I2670" s="17">
        <f t="shared" si="112"/>
        <v>563562815402</v>
      </c>
    </row>
    <row r="2671" spans="1:9" x14ac:dyDescent="0.3">
      <c r="A2671" s="17" t="str">
        <f t="shared" si="113"/>
        <v>2010768</v>
      </c>
      <c r="B2671" s="17">
        <v>201</v>
      </c>
      <c r="C2671" s="17">
        <v>768</v>
      </c>
      <c r="D2671" s="17" t="s">
        <v>917</v>
      </c>
      <c r="E2671" s="17">
        <v>0</v>
      </c>
      <c r="F2671" s="17" t="s">
        <v>918</v>
      </c>
      <c r="G2671" s="17">
        <f t="shared" si="114"/>
        <v>569198443556</v>
      </c>
      <c r="H2671" s="17" t="s">
        <v>919</v>
      </c>
      <c r="I2671" s="17">
        <f t="shared" si="112"/>
        <v>569198443556</v>
      </c>
    </row>
    <row r="2672" spans="1:9" x14ac:dyDescent="0.3">
      <c r="A2672" s="17" t="str">
        <f t="shared" si="113"/>
        <v>2010769</v>
      </c>
      <c r="B2672" s="17">
        <v>201</v>
      </c>
      <c r="C2672" s="17">
        <v>769</v>
      </c>
      <c r="D2672" s="17" t="s">
        <v>917</v>
      </c>
      <c r="E2672" s="17">
        <v>0</v>
      </c>
      <c r="F2672" s="17" t="s">
        <v>918</v>
      </c>
      <c r="G2672" s="17">
        <f t="shared" si="114"/>
        <v>574890427991</v>
      </c>
      <c r="H2672" s="17" t="s">
        <v>919</v>
      </c>
      <c r="I2672" s="17">
        <f t="shared" si="112"/>
        <v>574890427991</v>
      </c>
    </row>
    <row r="2673" spans="1:9" x14ac:dyDescent="0.3">
      <c r="A2673" s="17" t="str">
        <f t="shared" si="113"/>
        <v>2010770</v>
      </c>
      <c r="B2673" s="17">
        <v>201</v>
      </c>
      <c r="C2673" s="17">
        <v>770</v>
      </c>
      <c r="D2673" s="17" t="s">
        <v>917</v>
      </c>
      <c r="E2673" s="17">
        <v>0</v>
      </c>
      <c r="F2673" s="17" t="s">
        <v>918</v>
      </c>
      <c r="G2673" s="17">
        <f t="shared" si="114"/>
        <v>580639332270</v>
      </c>
      <c r="H2673" s="17" t="s">
        <v>919</v>
      </c>
      <c r="I2673" s="17">
        <f t="shared" ref="I2673:I2736" si="115">G2673</f>
        <v>580639332270</v>
      </c>
    </row>
    <row r="2674" spans="1:9" x14ac:dyDescent="0.3">
      <c r="A2674" s="17" t="str">
        <f t="shared" si="113"/>
        <v>2010771</v>
      </c>
      <c r="B2674" s="17">
        <v>201</v>
      </c>
      <c r="C2674" s="17">
        <v>771</v>
      </c>
      <c r="D2674" s="17" t="s">
        <v>917</v>
      </c>
      <c r="E2674" s="17">
        <v>0</v>
      </c>
      <c r="F2674" s="17" t="s">
        <v>918</v>
      </c>
      <c r="G2674" s="17">
        <f t="shared" si="114"/>
        <v>586445725592</v>
      </c>
      <c r="H2674" s="17" t="s">
        <v>919</v>
      </c>
      <c r="I2674" s="17">
        <f t="shared" si="115"/>
        <v>586445725592</v>
      </c>
    </row>
    <row r="2675" spans="1:9" x14ac:dyDescent="0.3">
      <c r="A2675" s="17" t="str">
        <f t="shared" si="113"/>
        <v>2010772</v>
      </c>
      <c r="B2675" s="17">
        <v>201</v>
      </c>
      <c r="C2675" s="17">
        <v>772</v>
      </c>
      <c r="D2675" s="17" t="s">
        <v>917</v>
      </c>
      <c r="E2675" s="17">
        <v>0</v>
      </c>
      <c r="F2675" s="17" t="s">
        <v>918</v>
      </c>
      <c r="G2675" s="17">
        <f t="shared" si="114"/>
        <v>592310182847</v>
      </c>
      <c r="H2675" s="17" t="s">
        <v>919</v>
      </c>
      <c r="I2675" s="17">
        <f t="shared" si="115"/>
        <v>592310182847</v>
      </c>
    </row>
    <row r="2676" spans="1:9" x14ac:dyDescent="0.3">
      <c r="A2676" s="17" t="str">
        <f t="shared" si="113"/>
        <v>2010773</v>
      </c>
      <c r="B2676" s="17">
        <v>201</v>
      </c>
      <c r="C2676" s="17">
        <v>773</v>
      </c>
      <c r="D2676" s="17" t="s">
        <v>917</v>
      </c>
      <c r="E2676" s="17">
        <v>0</v>
      </c>
      <c r="F2676" s="17" t="s">
        <v>918</v>
      </c>
      <c r="G2676" s="17">
        <f t="shared" si="114"/>
        <v>598233284675</v>
      </c>
      <c r="H2676" s="17" t="s">
        <v>919</v>
      </c>
      <c r="I2676" s="17">
        <f t="shared" si="115"/>
        <v>598233284675</v>
      </c>
    </row>
    <row r="2677" spans="1:9" x14ac:dyDescent="0.3">
      <c r="A2677" s="17" t="str">
        <f t="shared" si="113"/>
        <v>2010774</v>
      </c>
      <c r="B2677" s="17">
        <v>201</v>
      </c>
      <c r="C2677" s="17">
        <v>774</v>
      </c>
      <c r="D2677" s="17" t="s">
        <v>917</v>
      </c>
      <c r="E2677" s="17">
        <v>0</v>
      </c>
      <c r="F2677" s="17" t="s">
        <v>918</v>
      </c>
      <c r="G2677" s="17">
        <f t="shared" si="114"/>
        <v>604215617521</v>
      </c>
      <c r="H2677" s="17" t="s">
        <v>919</v>
      </c>
      <c r="I2677" s="17">
        <f t="shared" si="115"/>
        <v>604215617521</v>
      </c>
    </row>
    <row r="2678" spans="1:9" x14ac:dyDescent="0.3">
      <c r="A2678" s="17" t="str">
        <f t="shared" si="113"/>
        <v>2010775</v>
      </c>
      <c r="B2678" s="17">
        <v>201</v>
      </c>
      <c r="C2678" s="17">
        <v>775</v>
      </c>
      <c r="D2678" s="17" t="s">
        <v>917</v>
      </c>
      <c r="E2678" s="17">
        <v>0</v>
      </c>
      <c r="F2678" s="17" t="s">
        <v>918</v>
      </c>
      <c r="G2678" s="17">
        <f t="shared" si="114"/>
        <v>610257773696</v>
      </c>
      <c r="H2678" s="17" t="s">
        <v>919</v>
      </c>
      <c r="I2678" s="17">
        <f t="shared" si="115"/>
        <v>610257773696</v>
      </c>
    </row>
    <row r="2679" spans="1:9" x14ac:dyDescent="0.3">
      <c r="A2679" s="17" t="str">
        <f t="shared" si="113"/>
        <v>2010776</v>
      </c>
      <c r="B2679" s="17">
        <v>201</v>
      </c>
      <c r="C2679" s="17">
        <v>776</v>
      </c>
      <c r="D2679" s="17" t="s">
        <v>917</v>
      </c>
      <c r="E2679" s="17">
        <v>0</v>
      </c>
      <c r="F2679" s="17" t="s">
        <v>918</v>
      </c>
      <c r="G2679" s="17">
        <f t="shared" si="114"/>
        <v>616360351432</v>
      </c>
      <c r="H2679" s="17" t="s">
        <v>919</v>
      </c>
      <c r="I2679" s="17">
        <f t="shared" si="115"/>
        <v>616360351432</v>
      </c>
    </row>
    <row r="2680" spans="1:9" x14ac:dyDescent="0.3">
      <c r="A2680" s="17" t="str">
        <f t="shared" si="113"/>
        <v>2010777</v>
      </c>
      <c r="B2680" s="17">
        <v>201</v>
      </c>
      <c r="C2680" s="17">
        <v>777</v>
      </c>
      <c r="D2680" s="17" t="s">
        <v>917</v>
      </c>
      <c r="E2680" s="17">
        <v>0</v>
      </c>
      <c r="F2680" s="17" t="s">
        <v>918</v>
      </c>
      <c r="G2680" s="17">
        <f t="shared" si="114"/>
        <v>622523954946</v>
      </c>
      <c r="H2680" s="17" t="s">
        <v>919</v>
      </c>
      <c r="I2680" s="17">
        <f t="shared" si="115"/>
        <v>622523954946</v>
      </c>
    </row>
    <row r="2681" spans="1:9" x14ac:dyDescent="0.3">
      <c r="A2681" s="17" t="str">
        <f t="shared" si="113"/>
        <v>2010778</v>
      </c>
      <c r="B2681" s="17">
        <v>201</v>
      </c>
      <c r="C2681" s="17">
        <v>778</v>
      </c>
      <c r="D2681" s="17" t="s">
        <v>917</v>
      </c>
      <c r="E2681" s="17">
        <v>0</v>
      </c>
      <c r="F2681" s="17" t="s">
        <v>918</v>
      </c>
      <c r="G2681" s="17">
        <f t="shared" si="114"/>
        <v>628749194495</v>
      </c>
      <c r="H2681" s="17" t="s">
        <v>919</v>
      </c>
      <c r="I2681" s="17">
        <f t="shared" si="115"/>
        <v>628749194495</v>
      </c>
    </row>
    <row r="2682" spans="1:9" x14ac:dyDescent="0.3">
      <c r="A2682" s="17" t="str">
        <f t="shared" si="113"/>
        <v>2010779</v>
      </c>
      <c r="B2682" s="17">
        <v>201</v>
      </c>
      <c r="C2682" s="17">
        <v>779</v>
      </c>
      <c r="D2682" s="17" t="s">
        <v>917</v>
      </c>
      <c r="E2682" s="17">
        <v>0</v>
      </c>
      <c r="F2682" s="17" t="s">
        <v>918</v>
      </c>
      <c r="G2682" s="17">
        <f t="shared" si="114"/>
        <v>635036686439</v>
      </c>
      <c r="H2682" s="17" t="s">
        <v>919</v>
      </c>
      <c r="I2682" s="17">
        <f t="shared" si="115"/>
        <v>635036686439</v>
      </c>
    </row>
    <row r="2683" spans="1:9" x14ac:dyDescent="0.3">
      <c r="A2683" s="17" t="str">
        <f t="shared" si="113"/>
        <v>2010780</v>
      </c>
      <c r="B2683" s="17">
        <v>201</v>
      </c>
      <c r="C2683" s="17">
        <v>780</v>
      </c>
      <c r="D2683" s="17" t="s">
        <v>917</v>
      </c>
      <c r="E2683" s="17">
        <v>0</v>
      </c>
      <c r="F2683" s="17" t="s">
        <v>918</v>
      </c>
      <c r="G2683" s="17">
        <f t="shared" si="114"/>
        <v>641387053303</v>
      </c>
      <c r="H2683" s="17" t="s">
        <v>919</v>
      </c>
      <c r="I2683" s="17">
        <f t="shared" si="115"/>
        <v>641387053303</v>
      </c>
    </row>
    <row r="2684" spans="1:9" x14ac:dyDescent="0.3">
      <c r="A2684" s="17" t="str">
        <f t="shared" si="113"/>
        <v>2010781</v>
      </c>
      <c r="B2684" s="17">
        <v>201</v>
      </c>
      <c r="C2684" s="17">
        <v>781</v>
      </c>
      <c r="D2684" s="17" t="s">
        <v>917</v>
      </c>
      <c r="E2684" s="17">
        <v>0</v>
      </c>
      <c r="F2684" s="17" t="s">
        <v>918</v>
      </c>
      <c r="G2684" s="17">
        <f t="shared" si="114"/>
        <v>647800923836</v>
      </c>
      <c r="H2684" s="17" t="s">
        <v>919</v>
      </c>
      <c r="I2684" s="17">
        <f t="shared" si="115"/>
        <v>647800923836</v>
      </c>
    </row>
    <row r="2685" spans="1:9" x14ac:dyDescent="0.3">
      <c r="A2685" s="17" t="str">
        <f t="shared" si="113"/>
        <v>2010782</v>
      </c>
      <c r="B2685" s="17">
        <v>201</v>
      </c>
      <c r="C2685" s="17">
        <v>782</v>
      </c>
      <c r="D2685" s="17" t="s">
        <v>917</v>
      </c>
      <c r="E2685" s="17">
        <v>0</v>
      </c>
      <c r="F2685" s="17" t="s">
        <v>918</v>
      </c>
      <c r="G2685" s="17">
        <f t="shared" si="114"/>
        <v>654278933074</v>
      </c>
      <c r="H2685" s="17" t="s">
        <v>919</v>
      </c>
      <c r="I2685" s="17">
        <f t="shared" si="115"/>
        <v>654278933074</v>
      </c>
    </row>
    <row r="2686" spans="1:9" x14ac:dyDescent="0.3">
      <c r="A2686" s="17" t="str">
        <f t="shared" si="113"/>
        <v>2010783</v>
      </c>
      <c r="B2686" s="17">
        <v>201</v>
      </c>
      <c r="C2686" s="17">
        <v>783</v>
      </c>
      <c r="D2686" s="17" t="s">
        <v>917</v>
      </c>
      <c r="E2686" s="17">
        <v>0</v>
      </c>
      <c r="F2686" s="17" t="s">
        <v>918</v>
      </c>
      <c r="G2686" s="17">
        <f t="shared" si="114"/>
        <v>660821722404</v>
      </c>
      <c r="H2686" s="17" t="s">
        <v>919</v>
      </c>
      <c r="I2686" s="17">
        <f t="shared" si="115"/>
        <v>660821722404</v>
      </c>
    </row>
    <row r="2687" spans="1:9" x14ac:dyDescent="0.3">
      <c r="A2687" s="17" t="str">
        <f t="shared" si="113"/>
        <v>2010784</v>
      </c>
      <c r="B2687" s="17">
        <v>201</v>
      </c>
      <c r="C2687" s="17">
        <v>784</v>
      </c>
      <c r="D2687" s="17" t="s">
        <v>917</v>
      </c>
      <c r="E2687" s="17">
        <v>0</v>
      </c>
      <c r="F2687" s="17" t="s">
        <v>918</v>
      </c>
      <c r="G2687" s="17">
        <f t="shared" si="114"/>
        <v>667429939628</v>
      </c>
      <c r="H2687" s="17" t="s">
        <v>919</v>
      </c>
      <c r="I2687" s="17">
        <f t="shared" si="115"/>
        <v>667429939628</v>
      </c>
    </row>
    <row r="2688" spans="1:9" x14ac:dyDescent="0.3">
      <c r="A2688" s="17" t="str">
        <f t="shared" si="113"/>
        <v>2010785</v>
      </c>
      <c r="B2688" s="17">
        <v>201</v>
      </c>
      <c r="C2688" s="17">
        <v>785</v>
      </c>
      <c r="D2688" s="17" t="s">
        <v>917</v>
      </c>
      <c r="E2688" s="17">
        <v>0</v>
      </c>
      <c r="F2688" s="17" t="s">
        <v>918</v>
      </c>
      <c r="G2688" s="17">
        <f t="shared" si="114"/>
        <v>674104239024</v>
      </c>
      <c r="H2688" s="17" t="s">
        <v>919</v>
      </c>
      <c r="I2688" s="17">
        <f t="shared" si="115"/>
        <v>674104239024</v>
      </c>
    </row>
    <row r="2689" spans="1:9" x14ac:dyDescent="0.3">
      <c r="A2689" s="17" t="str">
        <f t="shared" si="113"/>
        <v>2010786</v>
      </c>
      <c r="B2689" s="17">
        <v>201</v>
      </c>
      <c r="C2689" s="17">
        <v>786</v>
      </c>
      <c r="D2689" s="17" t="s">
        <v>917</v>
      </c>
      <c r="E2689" s="17">
        <v>0</v>
      </c>
      <c r="F2689" s="17" t="s">
        <v>918</v>
      </c>
      <c r="G2689" s="17">
        <f t="shared" si="114"/>
        <v>680845281414</v>
      </c>
      <c r="H2689" s="17" t="s">
        <v>919</v>
      </c>
      <c r="I2689" s="17">
        <f t="shared" si="115"/>
        <v>680845281414</v>
      </c>
    </row>
    <row r="2690" spans="1:9" x14ac:dyDescent="0.3">
      <c r="A2690" s="17" t="str">
        <f t="shared" si="113"/>
        <v>2010787</v>
      </c>
      <c r="B2690" s="17">
        <v>201</v>
      </c>
      <c r="C2690" s="17">
        <v>787</v>
      </c>
      <c r="D2690" s="17" t="s">
        <v>917</v>
      </c>
      <c r="E2690" s="17">
        <v>0</v>
      </c>
      <c r="F2690" s="17" t="s">
        <v>918</v>
      </c>
      <c r="G2690" s="17">
        <f t="shared" si="114"/>
        <v>687653734228</v>
      </c>
      <c r="H2690" s="17" t="s">
        <v>919</v>
      </c>
      <c r="I2690" s="17">
        <f t="shared" si="115"/>
        <v>687653734228</v>
      </c>
    </row>
    <row r="2691" spans="1:9" x14ac:dyDescent="0.3">
      <c r="A2691" s="17" t="str">
        <f t="shared" si="113"/>
        <v>2010788</v>
      </c>
      <c r="B2691" s="17">
        <v>201</v>
      </c>
      <c r="C2691" s="17">
        <v>788</v>
      </c>
      <c r="D2691" s="17" t="s">
        <v>917</v>
      </c>
      <c r="E2691" s="17">
        <v>0</v>
      </c>
      <c r="F2691" s="17" t="s">
        <v>918</v>
      </c>
      <c r="G2691" s="17">
        <f t="shared" si="114"/>
        <v>694530271570</v>
      </c>
      <c r="H2691" s="17" t="s">
        <v>919</v>
      </c>
      <c r="I2691" s="17">
        <f t="shared" si="115"/>
        <v>694530271570</v>
      </c>
    </row>
    <row r="2692" spans="1:9" x14ac:dyDescent="0.3">
      <c r="A2692" s="17" t="str">
        <f t="shared" ref="A2692:A2755" si="116">B2692&amp;TEXT(C2692,"0000")</f>
        <v>2010789</v>
      </c>
      <c r="B2692" s="17">
        <v>201</v>
      </c>
      <c r="C2692" s="17">
        <v>789</v>
      </c>
      <c r="D2692" s="17" t="s">
        <v>917</v>
      </c>
      <c r="E2692" s="17">
        <v>0</v>
      </c>
      <c r="F2692" s="17" t="s">
        <v>918</v>
      </c>
      <c r="G2692" s="17">
        <f t="shared" si="114"/>
        <v>701475574285</v>
      </c>
      <c r="H2692" s="17" t="s">
        <v>919</v>
      </c>
      <c r="I2692" s="17">
        <f t="shared" si="115"/>
        <v>701475574285</v>
      </c>
    </row>
    <row r="2693" spans="1:9" x14ac:dyDescent="0.3">
      <c r="A2693" s="17" t="str">
        <f t="shared" si="116"/>
        <v>2010790</v>
      </c>
      <c r="B2693" s="17">
        <v>201</v>
      </c>
      <c r="C2693" s="17">
        <v>790</v>
      </c>
      <c r="D2693" s="17" t="s">
        <v>917</v>
      </c>
      <c r="E2693" s="17">
        <v>0</v>
      </c>
      <c r="F2693" s="17" t="s">
        <v>918</v>
      </c>
      <c r="G2693" s="17">
        <f t="shared" si="114"/>
        <v>708490330027</v>
      </c>
      <c r="H2693" s="17" t="s">
        <v>919</v>
      </c>
      <c r="I2693" s="17">
        <f t="shared" si="115"/>
        <v>708490330027</v>
      </c>
    </row>
    <row r="2694" spans="1:9" x14ac:dyDescent="0.3">
      <c r="A2694" s="17" t="str">
        <f t="shared" si="116"/>
        <v>2010791</v>
      </c>
      <c r="B2694" s="17">
        <v>201</v>
      </c>
      <c r="C2694" s="17">
        <v>791</v>
      </c>
      <c r="D2694" s="17" t="s">
        <v>917</v>
      </c>
      <c r="E2694" s="17">
        <v>0</v>
      </c>
      <c r="F2694" s="17" t="s">
        <v>918</v>
      </c>
      <c r="G2694" s="17">
        <f t="shared" si="114"/>
        <v>715575233327</v>
      </c>
      <c r="H2694" s="17" t="s">
        <v>919</v>
      </c>
      <c r="I2694" s="17">
        <f t="shared" si="115"/>
        <v>715575233327</v>
      </c>
    </row>
    <row r="2695" spans="1:9" x14ac:dyDescent="0.3">
      <c r="A2695" s="17" t="str">
        <f t="shared" si="116"/>
        <v>2010792</v>
      </c>
      <c r="B2695" s="17">
        <v>201</v>
      </c>
      <c r="C2695" s="17">
        <v>792</v>
      </c>
      <c r="D2695" s="17" t="s">
        <v>917</v>
      </c>
      <c r="E2695" s="17">
        <v>0</v>
      </c>
      <c r="F2695" s="17" t="s">
        <v>918</v>
      </c>
      <c r="G2695" s="17">
        <f t="shared" si="114"/>
        <v>722730985660</v>
      </c>
      <c r="H2695" s="17" t="s">
        <v>919</v>
      </c>
      <c r="I2695" s="17">
        <f t="shared" si="115"/>
        <v>722730985660</v>
      </c>
    </row>
    <row r="2696" spans="1:9" x14ac:dyDescent="0.3">
      <c r="A2696" s="17" t="str">
        <f t="shared" si="116"/>
        <v>2010793</v>
      </c>
      <c r="B2696" s="17">
        <v>201</v>
      </c>
      <c r="C2696" s="17">
        <v>793</v>
      </c>
      <c r="D2696" s="17" t="s">
        <v>917</v>
      </c>
      <c r="E2696" s="17">
        <v>0</v>
      </c>
      <c r="F2696" s="17" t="s">
        <v>918</v>
      </c>
      <c r="G2696" s="17">
        <f t="shared" si="114"/>
        <v>729958295516</v>
      </c>
      <c r="H2696" s="17" t="s">
        <v>919</v>
      </c>
      <c r="I2696" s="17">
        <f t="shared" si="115"/>
        <v>729958295516</v>
      </c>
    </row>
    <row r="2697" spans="1:9" x14ac:dyDescent="0.3">
      <c r="A2697" s="17" t="str">
        <f t="shared" si="116"/>
        <v>2010794</v>
      </c>
      <c r="B2697" s="17">
        <v>201</v>
      </c>
      <c r="C2697" s="17">
        <v>794</v>
      </c>
      <c r="D2697" s="17" t="s">
        <v>917</v>
      </c>
      <c r="E2697" s="17">
        <v>0</v>
      </c>
      <c r="F2697" s="17" t="s">
        <v>918</v>
      </c>
      <c r="G2697" s="17">
        <f t="shared" si="114"/>
        <v>737257878471</v>
      </c>
      <c r="H2697" s="17" t="s">
        <v>919</v>
      </c>
      <c r="I2697" s="17">
        <f t="shared" si="115"/>
        <v>737257878471</v>
      </c>
    </row>
    <row r="2698" spans="1:9" x14ac:dyDescent="0.3">
      <c r="A2698" s="17" t="str">
        <f t="shared" si="116"/>
        <v>2010795</v>
      </c>
      <c r="B2698" s="17">
        <v>201</v>
      </c>
      <c r="C2698" s="17">
        <v>795</v>
      </c>
      <c r="D2698" s="17" t="s">
        <v>917</v>
      </c>
      <c r="E2698" s="17">
        <v>0</v>
      </c>
      <c r="F2698" s="17" t="s">
        <v>918</v>
      </c>
      <c r="G2698" s="17">
        <f t="shared" si="114"/>
        <v>744630457255</v>
      </c>
      <c r="H2698" s="17" t="s">
        <v>919</v>
      </c>
      <c r="I2698" s="17">
        <f t="shared" si="115"/>
        <v>744630457255</v>
      </c>
    </row>
    <row r="2699" spans="1:9" x14ac:dyDescent="0.3">
      <c r="A2699" s="17" t="str">
        <f t="shared" si="116"/>
        <v>2010796</v>
      </c>
      <c r="B2699" s="17">
        <v>201</v>
      </c>
      <c r="C2699" s="17">
        <v>796</v>
      </c>
      <c r="D2699" s="17" t="s">
        <v>917</v>
      </c>
      <c r="E2699" s="17">
        <v>0</v>
      </c>
      <c r="F2699" s="17" t="s">
        <v>918</v>
      </c>
      <c r="G2699" s="17">
        <f t="shared" si="114"/>
        <v>752076761827</v>
      </c>
      <c r="H2699" s="17" t="s">
        <v>919</v>
      </c>
      <c r="I2699" s="17">
        <f t="shared" si="115"/>
        <v>752076761827</v>
      </c>
    </row>
    <row r="2700" spans="1:9" x14ac:dyDescent="0.3">
      <c r="A2700" s="17" t="str">
        <f t="shared" si="116"/>
        <v>2010797</v>
      </c>
      <c r="B2700" s="17">
        <v>201</v>
      </c>
      <c r="C2700" s="17">
        <v>797</v>
      </c>
      <c r="D2700" s="17" t="s">
        <v>917</v>
      </c>
      <c r="E2700" s="17">
        <v>0</v>
      </c>
      <c r="F2700" s="17" t="s">
        <v>918</v>
      </c>
      <c r="G2700" s="17">
        <f t="shared" si="114"/>
        <v>759597529445</v>
      </c>
      <c r="H2700" s="17" t="s">
        <v>919</v>
      </c>
      <c r="I2700" s="17">
        <f t="shared" si="115"/>
        <v>759597529445</v>
      </c>
    </row>
    <row r="2701" spans="1:9" x14ac:dyDescent="0.3">
      <c r="A2701" s="17" t="str">
        <f t="shared" si="116"/>
        <v>2010798</v>
      </c>
      <c r="B2701" s="17">
        <v>201</v>
      </c>
      <c r="C2701" s="17">
        <v>798</v>
      </c>
      <c r="D2701" s="17" t="s">
        <v>917</v>
      </c>
      <c r="E2701" s="17">
        <v>0</v>
      </c>
      <c r="F2701" s="17" t="s">
        <v>918</v>
      </c>
      <c r="G2701" s="17">
        <f t="shared" si="114"/>
        <v>767193504739</v>
      </c>
      <c r="H2701" s="17" t="s">
        <v>919</v>
      </c>
      <c r="I2701" s="17">
        <f t="shared" si="115"/>
        <v>767193504739</v>
      </c>
    </row>
    <row r="2702" spans="1:9" x14ac:dyDescent="0.3">
      <c r="A2702" s="17" t="str">
        <f t="shared" si="116"/>
        <v>2010799</v>
      </c>
      <c r="B2702" s="17">
        <v>201</v>
      </c>
      <c r="C2702" s="17">
        <v>799</v>
      </c>
      <c r="D2702" s="17" t="s">
        <v>917</v>
      </c>
      <c r="E2702" s="17">
        <v>0</v>
      </c>
      <c r="F2702" s="17" t="s">
        <v>918</v>
      </c>
      <c r="G2702" s="17">
        <f t="shared" si="114"/>
        <v>774865439786</v>
      </c>
      <c r="H2702" s="17" t="s">
        <v>919</v>
      </c>
      <c r="I2702" s="17">
        <f t="shared" si="115"/>
        <v>774865439786</v>
      </c>
    </row>
    <row r="2703" spans="1:9" x14ac:dyDescent="0.3">
      <c r="A2703" s="17" t="str">
        <f t="shared" si="116"/>
        <v>2010800</v>
      </c>
      <c r="B2703" s="17">
        <v>201</v>
      </c>
      <c r="C2703" s="17">
        <v>800</v>
      </c>
      <c r="D2703" s="17" t="s">
        <v>917</v>
      </c>
      <c r="E2703" s="17">
        <v>0</v>
      </c>
      <c r="F2703" s="17" t="s">
        <v>918</v>
      </c>
      <c r="G2703" s="17">
        <f t="shared" si="114"/>
        <v>782614094183</v>
      </c>
      <c r="H2703" s="17" t="s">
        <v>919</v>
      </c>
      <c r="I2703" s="17">
        <f t="shared" si="115"/>
        <v>782614094183</v>
      </c>
    </row>
    <row r="2704" spans="1:9" x14ac:dyDescent="0.3">
      <c r="A2704" s="17" t="str">
        <f t="shared" si="116"/>
        <v>2010801</v>
      </c>
      <c r="B2704" s="17">
        <v>201</v>
      </c>
      <c r="C2704" s="17">
        <v>801</v>
      </c>
      <c r="D2704" s="17" t="s">
        <v>917</v>
      </c>
      <c r="E2704" s="17">
        <v>0</v>
      </c>
      <c r="F2704" s="17" t="s">
        <v>918</v>
      </c>
      <c r="G2704" s="17">
        <f t="shared" si="114"/>
        <v>790440235124</v>
      </c>
      <c r="H2704" s="17" t="s">
        <v>919</v>
      </c>
      <c r="I2704" s="17">
        <f t="shared" si="115"/>
        <v>790440235124</v>
      </c>
    </row>
    <row r="2705" spans="1:9" x14ac:dyDescent="0.3">
      <c r="A2705" s="17" t="str">
        <f t="shared" si="116"/>
        <v>2010802</v>
      </c>
      <c r="B2705" s="17">
        <v>201</v>
      </c>
      <c r="C2705" s="17">
        <v>802</v>
      </c>
      <c r="D2705" s="17" t="s">
        <v>917</v>
      </c>
      <c r="E2705" s="17">
        <v>0</v>
      </c>
      <c r="F2705" s="17" t="s">
        <v>918</v>
      </c>
      <c r="G2705" s="17">
        <f t="shared" si="114"/>
        <v>798344637475</v>
      </c>
      <c r="H2705" s="17" t="s">
        <v>919</v>
      </c>
      <c r="I2705" s="17">
        <f t="shared" si="115"/>
        <v>798344637475</v>
      </c>
    </row>
    <row r="2706" spans="1:9" x14ac:dyDescent="0.3">
      <c r="A2706" s="17" t="str">
        <f t="shared" si="116"/>
        <v>2010803</v>
      </c>
      <c r="B2706" s="17">
        <v>201</v>
      </c>
      <c r="C2706" s="17">
        <v>803</v>
      </c>
      <c r="D2706" s="17" t="s">
        <v>917</v>
      </c>
      <c r="E2706" s="17">
        <v>0</v>
      </c>
      <c r="F2706" s="17" t="s">
        <v>918</v>
      </c>
      <c r="G2706" s="17">
        <f t="shared" si="114"/>
        <v>806328083849</v>
      </c>
      <c r="H2706" s="17" t="s">
        <v>919</v>
      </c>
      <c r="I2706" s="17">
        <f t="shared" si="115"/>
        <v>806328083849</v>
      </c>
    </row>
    <row r="2707" spans="1:9" x14ac:dyDescent="0.3">
      <c r="A2707" s="17" t="str">
        <f t="shared" si="116"/>
        <v>2010804</v>
      </c>
      <c r="B2707" s="17">
        <v>201</v>
      </c>
      <c r="C2707" s="17">
        <v>804</v>
      </c>
      <c r="D2707" s="17" t="s">
        <v>917</v>
      </c>
      <c r="E2707" s="17">
        <v>0</v>
      </c>
      <c r="F2707" s="17" t="s">
        <v>918</v>
      </c>
      <c r="G2707" s="17">
        <f t="shared" si="114"/>
        <v>814391364687</v>
      </c>
      <c r="H2707" s="17" t="s">
        <v>919</v>
      </c>
      <c r="I2707" s="17">
        <f t="shared" si="115"/>
        <v>814391364687</v>
      </c>
    </row>
    <row r="2708" spans="1:9" x14ac:dyDescent="0.3">
      <c r="A2708" s="17" t="str">
        <f t="shared" si="116"/>
        <v>2010805</v>
      </c>
      <c r="B2708" s="17">
        <v>201</v>
      </c>
      <c r="C2708" s="17">
        <v>805</v>
      </c>
      <c r="D2708" s="17" t="s">
        <v>917</v>
      </c>
      <c r="E2708" s="17">
        <v>0</v>
      </c>
      <c r="F2708" s="17" t="s">
        <v>918</v>
      </c>
      <c r="G2708" s="17">
        <f t="shared" si="114"/>
        <v>822535278333</v>
      </c>
      <c r="H2708" s="17" t="s">
        <v>919</v>
      </c>
      <c r="I2708" s="17">
        <f t="shared" si="115"/>
        <v>822535278333</v>
      </c>
    </row>
    <row r="2709" spans="1:9" x14ac:dyDescent="0.3">
      <c r="A2709" s="17" t="str">
        <f t="shared" si="116"/>
        <v>2010806</v>
      </c>
      <c r="B2709" s="17">
        <v>201</v>
      </c>
      <c r="C2709" s="17">
        <v>806</v>
      </c>
      <c r="D2709" s="17" t="s">
        <v>917</v>
      </c>
      <c r="E2709" s="17">
        <v>0</v>
      </c>
      <c r="F2709" s="17" t="s">
        <v>918</v>
      </c>
      <c r="G2709" s="17">
        <f t="shared" si="114"/>
        <v>830760631116</v>
      </c>
      <c r="H2709" s="17" t="s">
        <v>919</v>
      </c>
      <c r="I2709" s="17">
        <f t="shared" si="115"/>
        <v>830760631116</v>
      </c>
    </row>
    <row r="2710" spans="1:9" x14ac:dyDescent="0.3">
      <c r="A2710" s="17" t="str">
        <f t="shared" si="116"/>
        <v>2010807</v>
      </c>
      <c r="B2710" s="17">
        <v>201</v>
      </c>
      <c r="C2710" s="17">
        <v>807</v>
      </c>
      <c r="D2710" s="17" t="s">
        <v>917</v>
      </c>
      <c r="E2710" s="17">
        <v>0</v>
      </c>
      <c r="F2710" s="17" t="s">
        <v>918</v>
      </c>
      <c r="G2710" s="17">
        <f t="shared" si="114"/>
        <v>839068237427</v>
      </c>
      <c r="H2710" s="17" t="s">
        <v>919</v>
      </c>
      <c r="I2710" s="17">
        <f t="shared" si="115"/>
        <v>839068237427</v>
      </c>
    </row>
    <row r="2711" spans="1:9" x14ac:dyDescent="0.3">
      <c r="A2711" s="17" t="str">
        <f t="shared" si="116"/>
        <v>2010808</v>
      </c>
      <c r="B2711" s="17">
        <v>201</v>
      </c>
      <c r="C2711" s="17">
        <v>808</v>
      </c>
      <c r="D2711" s="17" t="s">
        <v>917</v>
      </c>
      <c r="E2711" s="17">
        <v>0</v>
      </c>
      <c r="F2711" s="17" t="s">
        <v>918</v>
      </c>
      <c r="G2711" s="17">
        <f t="shared" si="114"/>
        <v>847458919801</v>
      </c>
      <c r="H2711" s="17" t="s">
        <v>919</v>
      </c>
      <c r="I2711" s="17">
        <f t="shared" si="115"/>
        <v>847458919801</v>
      </c>
    </row>
    <row r="2712" spans="1:9" x14ac:dyDescent="0.3">
      <c r="A2712" s="17" t="str">
        <f t="shared" si="116"/>
        <v>2010809</v>
      </c>
      <c r="B2712" s="17">
        <v>201</v>
      </c>
      <c r="C2712" s="17">
        <v>809</v>
      </c>
      <c r="D2712" s="17" t="s">
        <v>917</v>
      </c>
      <c r="E2712" s="17">
        <v>0</v>
      </c>
      <c r="F2712" s="17" t="s">
        <v>918</v>
      </c>
      <c r="G2712" s="17">
        <f t="shared" si="114"/>
        <v>855933508999</v>
      </c>
      <c r="H2712" s="17" t="s">
        <v>919</v>
      </c>
      <c r="I2712" s="17">
        <f t="shared" si="115"/>
        <v>855933508999</v>
      </c>
    </row>
    <row r="2713" spans="1:9" x14ac:dyDescent="0.3">
      <c r="A2713" s="17" t="str">
        <f t="shared" si="116"/>
        <v>2010810</v>
      </c>
      <c r="B2713" s="17">
        <v>201</v>
      </c>
      <c r="C2713" s="17">
        <v>810</v>
      </c>
      <c r="D2713" s="17" t="s">
        <v>917</v>
      </c>
      <c r="E2713" s="17">
        <v>0</v>
      </c>
      <c r="F2713" s="17" t="s">
        <v>918</v>
      </c>
      <c r="G2713" s="17">
        <f t="shared" si="114"/>
        <v>864492844088</v>
      </c>
      <c r="H2713" s="17" t="s">
        <v>919</v>
      </c>
      <c r="I2713" s="17">
        <f t="shared" si="115"/>
        <v>864492844088</v>
      </c>
    </row>
    <row r="2714" spans="1:9" x14ac:dyDescent="0.3">
      <c r="A2714" s="17" t="str">
        <f t="shared" si="116"/>
        <v>2010811</v>
      </c>
      <c r="B2714" s="17">
        <v>201</v>
      </c>
      <c r="C2714" s="17">
        <v>811</v>
      </c>
      <c r="D2714" s="17" t="s">
        <v>917</v>
      </c>
      <c r="E2714" s="17">
        <v>0</v>
      </c>
      <c r="F2714" s="17" t="s">
        <v>918</v>
      </c>
      <c r="G2714" s="17">
        <f t="shared" si="114"/>
        <v>873137772528</v>
      </c>
      <c r="H2714" s="17" t="s">
        <v>919</v>
      </c>
      <c r="I2714" s="17">
        <f t="shared" si="115"/>
        <v>873137772528</v>
      </c>
    </row>
    <row r="2715" spans="1:9" x14ac:dyDescent="0.3">
      <c r="A2715" s="17" t="str">
        <f t="shared" si="116"/>
        <v>2010812</v>
      </c>
      <c r="B2715" s="17">
        <v>201</v>
      </c>
      <c r="C2715" s="17">
        <v>812</v>
      </c>
      <c r="D2715" s="17" t="s">
        <v>917</v>
      </c>
      <c r="E2715" s="17">
        <v>0</v>
      </c>
      <c r="F2715" s="17" t="s">
        <v>918</v>
      </c>
      <c r="G2715" s="17">
        <f t="shared" si="114"/>
        <v>881869150253</v>
      </c>
      <c r="H2715" s="17" t="s">
        <v>919</v>
      </c>
      <c r="I2715" s="17">
        <f t="shared" si="115"/>
        <v>881869150253</v>
      </c>
    </row>
    <row r="2716" spans="1:9" x14ac:dyDescent="0.3">
      <c r="A2716" s="17" t="str">
        <f t="shared" si="116"/>
        <v>2010813</v>
      </c>
      <c r="B2716" s="17">
        <v>201</v>
      </c>
      <c r="C2716" s="17">
        <v>813</v>
      </c>
      <c r="D2716" s="17" t="s">
        <v>917</v>
      </c>
      <c r="E2716" s="17">
        <v>0</v>
      </c>
      <c r="F2716" s="17" t="s">
        <v>918</v>
      </c>
      <c r="G2716" s="17">
        <f t="shared" ref="G2716:G2779" si="117">INT(G2715*1.01)</f>
        <v>890687841755</v>
      </c>
      <c r="H2716" s="17" t="s">
        <v>919</v>
      </c>
      <c r="I2716" s="17">
        <f t="shared" si="115"/>
        <v>890687841755</v>
      </c>
    </row>
    <row r="2717" spans="1:9" x14ac:dyDescent="0.3">
      <c r="A2717" s="17" t="str">
        <f t="shared" si="116"/>
        <v>2010814</v>
      </c>
      <c r="B2717" s="17">
        <v>201</v>
      </c>
      <c r="C2717" s="17">
        <v>814</v>
      </c>
      <c r="D2717" s="17" t="s">
        <v>917</v>
      </c>
      <c r="E2717" s="17">
        <v>0</v>
      </c>
      <c r="F2717" s="17" t="s">
        <v>918</v>
      </c>
      <c r="G2717" s="17">
        <f t="shared" si="117"/>
        <v>899594720172</v>
      </c>
      <c r="H2717" s="17" t="s">
        <v>919</v>
      </c>
      <c r="I2717" s="17">
        <f t="shared" si="115"/>
        <v>899594720172</v>
      </c>
    </row>
    <row r="2718" spans="1:9" x14ac:dyDescent="0.3">
      <c r="A2718" s="17" t="str">
        <f t="shared" si="116"/>
        <v>2010815</v>
      </c>
      <c r="B2718" s="17">
        <v>201</v>
      </c>
      <c r="C2718" s="17">
        <v>815</v>
      </c>
      <c r="D2718" s="17" t="s">
        <v>917</v>
      </c>
      <c r="E2718" s="17">
        <v>0</v>
      </c>
      <c r="F2718" s="17" t="s">
        <v>918</v>
      </c>
      <c r="G2718" s="17">
        <f t="shared" si="117"/>
        <v>908590667373</v>
      </c>
      <c r="H2718" s="17" t="s">
        <v>919</v>
      </c>
      <c r="I2718" s="17">
        <f t="shared" si="115"/>
        <v>908590667373</v>
      </c>
    </row>
    <row r="2719" spans="1:9" x14ac:dyDescent="0.3">
      <c r="A2719" s="17" t="str">
        <f t="shared" si="116"/>
        <v>2010816</v>
      </c>
      <c r="B2719" s="17">
        <v>201</v>
      </c>
      <c r="C2719" s="17">
        <v>816</v>
      </c>
      <c r="D2719" s="17" t="s">
        <v>917</v>
      </c>
      <c r="E2719" s="17">
        <v>0</v>
      </c>
      <c r="F2719" s="17" t="s">
        <v>918</v>
      </c>
      <c r="G2719" s="17">
        <f t="shared" si="117"/>
        <v>917676574046</v>
      </c>
      <c r="H2719" s="17" t="s">
        <v>919</v>
      </c>
      <c r="I2719" s="17">
        <f t="shared" si="115"/>
        <v>917676574046</v>
      </c>
    </row>
    <row r="2720" spans="1:9" x14ac:dyDescent="0.3">
      <c r="A2720" s="17" t="str">
        <f t="shared" si="116"/>
        <v>2010817</v>
      </c>
      <c r="B2720" s="17">
        <v>201</v>
      </c>
      <c r="C2720" s="17">
        <v>817</v>
      </c>
      <c r="D2720" s="17" t="s">
        <v>917</v>
      </c>
      <c r="E2720" s="17">
        <v>0</v>
      </c>
      <c r="F2720" s="17" t="s">
        <v>918</v>
      </c>
      <c r="G2720" s="17">
        <f t="shared" si="117"/>
        <v>926853339786</v>
      </c>
      <c r="H2720" s="17" t="s">
        <v>919</v>
      </c>
      <c r="I2720" s="17">
        <f t="shared" si="115"/>
        <v>926853339786</v>
      </c>
    </row>
    <row r="2721" spans="1:9" x14ac:dyDescent="0.3">
      <c r="A2721" s="17" t="str">
        <f t="shared" si="116"/>
        <v>2010818</v>
      </c>
      <c r="B2721" s="17">
        <v>201</v>
      </c>
      <c r="C2721" s="17">
        <v>818</v>
      </c>
      <c r="D2721" s="17" t="s">
        <v>917</v>
      </c>
      <c r="E2721" s="17">
        <v>0</v>
      </c>
      <c r="F2721" s="17" t="s">
        <v>918</v>
      </c>
      <c r="G2721" s="17">
        <f t="shared" si="117"/>
        <v>936121873183</v>
      </c>
      <c r="H2721" s="17" t="s">
        <v>919</v>
      </c>
      <c r="I2721" s="17">
        <f t="shared" si="115"/>
        <v>936121873183</v>
      </c>
    </row>
    <row r="2722" spans="1:9" x14ac:dyDescent="0.3">
      <c r="A2722" s="17" t="str">
        <f t="shared" si="116"/>
        <v>2010819</v>
      </c>
      <c r="B2722" s="17">
        <v>201</v>
      </c>
      <c r="C2722" s="17">
        <v>819</v>
      </c>
      <c r="D2722" s="17" t="s">
        <v>917</v>
      </c>
      <c r="E2722" s="17">
        <v>0</v>
      </c>
      <c r="F2722" s="17" t="s">
        <v>918</v>
      </c>
      <c r="G2722" s="17">
        <f t="shared" si="117"/>
        <v>945483091914</v>
      </c>
      <c r="H2722" s="17" t="s">
        <v>919</v>
      </c>
      <c r="I2722" s="17">
        <f t="shared" si="115"/>
        <v>945483091914</v>
      </c>
    </row>
    <row r="2723" spans="1:9" x14ac:dyDescent="0.3">
      <c r="A2723" s="17" t="str">
        <f t="shared" si="116"/>
        <v>2010820</v>
      </c>
      <c r="B2723" s="17">
        <v>201</v>
      </c>
      <c r="C2723" s="17">
        <v>820</v>
      </c>
      <c r="D2723" s="17" t="s">
        <v>917</v>
      </c>
      <c r="E2723" s="17">
        <v>0</v>
      </c>
      <c r="F2723" s="17" t="s">
        <v>918</v>
      </c>
      <c r="G2723" s="17">
        <f t="shared" si="117"/>
        <v>954937922833</v>
      </c>
      <c r="H2723" s="17" t="s">
        <v>919</v>
      </c>
      <c r="I2723" s="17">
        <f t="shared" si="115"/>
        <v>954937922833</v>
      </c>
    </row>
    <row r="2724" spans="1:9" x14ac:dyDescent="0.3">
      <c r="A2724" s="17" t="str">
        <f t="shared" si="116"/>
        <v>2010821</v>
      </c>
      <c r="B2724" s="17">
        <v>201</v>
      </c>
      <c r="C2724" s="17">
        <v>821</v>
      </c>
      <c r="D2724" s="17" t="s">
        <v>917</v>
      </c>
      <c r="E2724" s="17">
        <v>0</v>
      </c>
      <c r="F2724" s="17" t="s">
        <v>918</v>
      </c>
      <c r="G2724" s="17">
        <f t="shared" si="117"/>
        <v>964487302061</v>
      </c>
      <c r="H2724" s="17" t="s">
        <v>919</v>
      </c>
      <c r="I2724" s="17">
        <f t="shared" si="115"/>
        <v>964487302061</v>
      </c>
    </row>
    <row r="2725" spans="1:9" x14ac:dyDescent="0.3">
      <c r="A2725" s="17" t="str">
        <f t="shared" si="116"/>
        <v>2010822</v>
      </c>
      <c r="B2725" s="17">
        <v>201</v>
      </c>
      <c r="C2725" s="17">
        <v>822</v>
      </c>
      <c r="D2725" s="17" t="s">
        <v>917</v>
      </c>
      <c r="E2725" s="17">
        <v>0</v>
      </c>
      <c r="F2725" s="17" t="s">
        <v>918</v>
      </c>
      <c r="G2725" s="17">
        <f t="shared" si="117"/>
        <v>974132175081</v>
      </c>
      <c r="H2725" s="17" t="s">
        <v>919</v>
      </c>
      <c r="I2725" s="17">
        <f t="shared" si="115"/>
        <v>974132175081</v>
      </c>
    </row>
    <row r="2726" spans="1:9" x14ac:dyDescent="0.3">
      <c r="A2726" s="17" t="str">
        <f t="shared" si="116"/>
        <v>2010823</v>
      </c>
      <c r="B2726" s="17">
        <v>201</v>
      </c>
      <c r="C2726" s="17">
        <v>823</v>
      </c>
      <c r="D2726" s="17" t="s">
        <v>917</v>
      </c>
      <c r="E2726" s="17">
        <v>0</v>
      </c>
      <c r="F2726" s="17" t="s">
        <v>918</v>
      </c>
      <c r="G2726" s="17">
        <f t="shared" si="117"/>
        <v>983873496831</v>
      </c>
      <c r="H2726" s="17" t="s">
        <v>919</v>
      </c>
      <c r="I2726" s="17">
        <f t="shared" si="115"/>
        <v>983873496831</v>
      </c>
    </row>
    <row r="2727" spans="1:9" x14ac:dyDescent="0.3">
      <c r="A2727" s="17" t="str">
        <f t="shared" si="116"/>
        <v>2010824</v>
      </c>
      <c r="B2727" s="17">
        <v>201</v>
      </c>
      <c r="C2727" s="17">
        <v>824</v>
      </c>
      <c r="D2727" s="17" t="s">
        <v>917</v>
      </c>
      <c r="E2727" s="17">
        <v>0</v>
      </c>
      <c r="F2727" s="17" t="s">
        <v>918</v>
      </c>
      <c r="G2727" s="17">
        <f t="shared" si="117"/>
        <v>993712231799</v>
      </c>
      <c r="H2727" s="17" t="s">
        <v>919</v>
      </c>
      <c r="I2727" s="17">
        <f t="shared" si="115"/>
        <v>993712231799</v>
      </c>
    </row>
    <row r="2728" spans="1:9" x14ac:dyDescent="0.3">
      <c r="A2728" s="17" t="str">
        <f t="shared" si="116"/>
        <v>2010825</v>
      </c>
      <c r="B2728" s="17">
        <v>201</v>
      </c>
      <c r="C2728" s="17">
        <v>825</v>
      </c>
      <c r="D2728" s="17" t="s">
        <v>917</v>
      </c>
      <c r="E2728" s="17">
        <v>0</v>
      </c>
      <c r="F2728" s="17" t="s">
        <v>918</v>
      </c>
      <c r="G2728" s="17">
        <f t="shared" si="117"/>
        <v>1003649354116</v>
      </c>
      <c r="H2728" s="17" t="s">
        <v>919</v>
      </c>
      <c r="I2728" s="17">
        <f t="shared" si="115"/>
        <v>1003649354116</v>
      </c>
    </row>
    <row r="2729" spans="1:9" x14ac:dyDescent="0.3">
      <c r="A2729" s="17" t="str">
        <f t="shared" si="116"/>
        <v>2010826</v>
      </c>
      <c r="B2729" s="17">
        <v>201</v>
      </c>
      <c r="C2729" s="17">
        <v>826</v>
      </c>
      <c r="D2729" s="17" t="s">
        <v>917</v>
      </c>
      <c r="E2729" s="17">
        <v>0</v>
      </c>
      <c r="F2729" s="17" t="s">
        <v>918</v>
      </c>
      <c r="G2729" s="17">
        <f t="shared" si="117"/>
        <v>1013685847657</v>
      </c>
      <c r="H2729" s="17" t="s">
        <v>919</v>
      </c>
      <c r="I2729" s="17">
        <f t="shared" si="115"/>
        <v>1013685847657</v>
      </c>
    </row>
    <row r="2730" spans="1:9" x14ac:dyDescent="0.3">
      <c r="A2730" s="17" t="str">
        <f t="shared" si="116"/>
        <v>2010827</v>
      </c>
      <c r="B2730" s="17">
        <v>201</v>
      </c>
      <c r="C2730" s="17">
        <v>827</v>
      </c>
      <c r="D2730" s="17" t="s">
        <v>917</v>
      </c>
      <c r="E2730" s="17">
        <v>0</v>
      </c>
      <c r="F2730" s="17" t="s">
        <v>918</v>
      </c>
      <c r="G2730" s="17">
        <f t="shared" si="117"/>
        <v>1023822706133</v>
      </c>
      <c r="H2730" s="17" t="s">
        <v>919</v>
      </c>
      <c r="I2730" s="17">
        <f t="shared" si="115"/>
        <v>1023822706133</v>
      </c>
    </row>
    <row r="2731" spans="1:9" x14ac:dyDescent="0.3">
      <c r="A2731" s="17" t="str">
        <f t="shared" si="116"/>
        <v>2010828</v>
      </c>
      <c r="B2731" s="17">
        <v>201</v>
      </c>
      <c r="C2731" s="17">
        <v>828</v>
      </c>
      <c r="D2731" s="17" t="s">
        <v>917</v>
      </c>
      <c r="E2731" s="17">
        <v>0</v>
      </c>
      <c r="F2731" s="17" t="s">
        <v>918</v>
      </c>
      <c r="G2731" s="17">
        <f t="shared" si="117"/>
        <v>1034060933194</v>
      </c>
      <c r="H2731" s="17" t="s">
        <v>919</v>
      </c>
      <c r="I2731" s="17">
        <f t="shared" si="115"/>
        <v>1034060933194</v>
      </c>
    </row>
    <row r="2732" spans="1:9" x14ac:dyDescent="0.3">
      <c r="A2732" s="17" t="str">
        <f t="shared" si="116"/>
        <v>2010829</v>
      </c>
      <c r="B2732" s="17">
        <v>201</v>
      </c>
      <c r="C2732" s="17">
        <v>829</v>
      </c>
      <c r="D2732" s="17" t="s">
        <v>917</v>
      </c>
      <c r="E2732" s="17">
        <v>0</v>
      </c>
      <c r="F2732" s="17" t="s">
        <v>918</v>
      </c>
      <c r="G2732" s="17">
        <f t="shared" si="117"/>
        <v>1044401542525</v>
      </c>
      <c r="H2732" s="17" t="s">
        <v>919</v>
      </c>
      <c r="I2732" s="17">
        <f t="shared" si="115"/>
        <v>1044401542525</v>
      </c>
    </row>
    <row r="2733" spans="1:9" x14ac:dyDescent="0.3">
      <c r="A2733" s="17" t="str">
        <f t="shared" si="116"/>
        <v>2010830</v>
      </c>
      <c r="B2733" s="17">
        <v>201</v>
      </c>
      <c r="C2733" s="17">
        <v>830</v>
      </c>
      <c r="D2733" s="17" t="s">
        <v>917</v>
      </c>
      <c r="E2733" s="17">
        <v>0</v>
      </c>
      <c r="F2733" s="17" t="s">
        <v>918</v>
      </c>
      <c r="G2733" s="17">
        <f t="shared" si="117"/>
        <v>1054845557950</v>
      </c>
      <c r="H2733" s="17" t="s">
        <v>919</v>
      </c>
      <c r="I2733" s="17">
        <f t="shared" si="115"/>
        <v>1054845557950</v>
      </c>
    </row>
    <row r="2734" spans="1:9" x14ac:dyDescent="0.3">
      <c r="A2734" s="17" t="str">
        <f t="shared" si="116"/>
        <v>2010831</v>
      </c>
      <c r="B2734" s="17">
        <v>201</v>
      </c>
      <c r="C2734" s="17">
        <v>831</v>
      </c>
      <c r="D2734" s="17" t="s">
        <v>917</v>
      </c>
      <c r="E2734" s="17">
        <v>0</v>
      </c>
      <c r="F2734" s="17" t="s">
        <v>918</v>
      </c>
      <c r="G2734" s="17">
        <f t="shared" si="117"/>
        <v>1065394013529</v>
      </c>
      <c r="H2734" s="17" t="s">
        <v>919</v>
      </c>
      <c r="I2734" s="17">
        <f t="shared" si="115"/>
        <v>1065394013529</v>
      </c>
    </row>
    <row r="2735" spans="1:9" x14ac:dyDescent="0.3">
      <c r="A2735" s="17" t="str">
        <f t="shared" si="116"/>
        <v>2010832</v>
      </c>
      <c r="B2735" s="17">
        <v>201</v>
      </c>
      <c r="C2735" s="17">
        <v>832</v>
      </c>
      <c r="D2735" s="17" t="s">
        <v>917</v>
      </c>
      <c r="E2735" s="17">
        <v>0</v>
      </c>
      <c r="F2735" s="17" t="s">
        <v>918</v>
      </c>
      <c r="G2735" s="17">
        <f t="shared" si="117"/>
        <v>1076047953664</v>
      </c>
      <c r="H2735" s="17" t="s">
        <v>919</v>
      </c>
      <c r="I2735" s="17">
        <f t="shared" si="115"/>
        <v>1076047953664</v>
      </c>
    </row>
    <row r="2736" spans="1:9" x14ac:dyDescent="0.3">
      <c r="A2736" s="17" t="str">
        <f t="shared" si="116"/>
        <v>2010833</v>
      </c>
      <c r="B2736" s="17">
        <v>201</v>
      </c>
      <c r="C2736" s="17">
        <v>833</v>
      </c>
      <c r="D2736" s="17" t="s">
        <v>917</v>
      </c>
      <c r="E2736" s="17">
        <v>0</v>
      </c>
      <c r="F2736" s="17" t="s">
        <v>918</v>
      </c>
      <c r="G2736" s="17">
        <f t="shared" si="117"/>
        <v>1086808433200</v>
      </c>
      <c r="H2736" s="17" t="s">
        <v>919</v>
      </c>
      <c r="I2736" s="17">
        <f t="shared" si="115"/>
        <v>1086808433200</v>
      </c>
    </row>
    <row r="2737" spans="1:9" x14ac:dyDescent="0.3">
      <c r="A2737" s="17" t="str">
        <f t="shared" si="116"/>
        <v>2010834</v>
      </c>
      <c r="B2737" s="17">
        <v>201</v>
      </c>
      <c r="C2737" s="17">
        <v>834</v>
      </c>
      <c r="D2737" s="17" t="s">
        <v>917</v>
      </c>
      <c r="E2737" s="17">
        <v>0</v>
      </c>
      <c r="F2737" s="17" t="s">
        <v>918</v>
      </c>
      <c r="G2737" s="17">
        <f t="shared" si="117"/>
        <v>1097676517532</v>
      </c>
      <c r="H2737" s="17" t="s">
        <v>919</v>
      </c>
      <c r="I2737" s="17">
        <f t="shared" ref="I2737:I2800" si="118">G2737</f>
        <v>1097676517532</v>
      </c>
    </row>
    <row r="2738" spans="1:9" x14ac:dyDescent="0.3">
      <c r="A2738" s="17" t="str">
        <f t="shared" si="116"/>
        <v>2010835</v>
      </c>
      <c r="B2738" s="17">
        <v>201</v>
      </c>
      <c r="C2738" s="17">
        <v>835</v>
      </c>
      <c r="D2738" s="17" t="s">
        <v>917</v>
      </c>
      <c r="E2738" s="17">
        <v>0</v>
      </c>
      <c r="F2738" s="17" t="s">
        <v>918</v>
      </c>
      <c r="G2738" s="17">
        <f t="shared" si="117"/>
        <v>1108653282707</v>
      </c>
      <c r="H2738" s="17" t="s">
        <v>919</v>
      </c>
      <c r="I2738" s="17">
        <f t="shared" si="118"/>
        <v>1108653282707</v>
      </c>
    </row>
    <row r="2739" spans="1:9" x14ac:dyDescent="0.3">
      <c r="A2739" s="17" t="str">
        <f t="shared" si="116"/>
        <v>2010836</v>
      </c>
      <c r="B2739" s="17">
        <v>201</v>
      </c>
      <c r="C2739" s="17">
        <v>836</v>
      </c>
      <c r="D2739" s="17" t="s">
        <v>917</v>
      </c>
      <c r="E2739" s="17">
        <v>0</v>
      </c>
      <c r="F2739" s="17" t="s">
        <v>918</v>
      </c>
      <c r="G2739" s="17">
        <f t="shared" si="117"/>
        <v>1119739815534</v>
      </c>
      <c r="H2739" s="17" t="s">
        <v>919</v>
      </c>
      <c r="I2739" s="17">
        <f t="shared" si="118"/>
        <v>1119739815534</v>
      </c>
    </row>
    <row r="2740" spans="1:9" x14ac:dyDescent="0.3">
      <c r="A2740" s="17" t="str">
        <f t="shared" si="116"/>
        <v>2010837</v>
      </c>
      <c r="B2740" s="17">
        <v>201</v>
      </c>
      <c r="C2740" s="17">
        <v>837</v>
      </c>
      <c r="D2740" s="17" t="s">
        <v>917</v>
      </c>
      <c r="E2740" s="17">
        <v>0</v>
      </c>
      <c r="F2740" s="17" t="s">
        <v>918</v>
      </c>
      <c r="G2740" s="17">
        <f t="shared" si="117"/>
        <v>1130937213689</v>
      </c>
      <c r="H2740" s="17" t="s">
        <v>919</v>
      </c>
      <c r="I2740" s="17">
        <f t="shared" si="118"/>
        <v>1130937213689</v>
      </c>
    </row>
    <row r="2741" spans="1:9" x14ac:dyDescent="0.3">
      <c r="A2741" s="17" t="str">
        <f t="shared" si="116"/>
        <v>2010838</v>
      </c>
      <c r="B2741" s="17">
        <v>201</v>
      </c>
      <c r="C2741" s="17">
        <v>838</v>
      </c>
      <c r="D2741" s="17" t="s">
        <v>917</v>
      </c>
      <c r="E2741" s="17">
        <v>0</v>
      </c>
      <c r="F2741" s="17" t="s">
        <v>918</v>
      </c>
      <c r="G2741" s="17">
        <f t="shared" si="117"/>
        <v>1142246585825</v>
      </c>
      <c r="H2741" s="17" t="s">
        <v>919</v>
      </c>
      <c r="I2741" s="17">
        <f t="shared" si="118"/>
        <v>1142246585825</v>
      </c>
    </row>
    <row r="2742" spans="1:9" x14ac:dyDescent="0.3">
      <c r="A2742" s="17" t="str">
        <f t="shared" si="116"/>
        <v>2010839</v>
      </c>
      <c r="B2742" s="17">
        <v>201</v>
      </c>
      <c r="C2742" s="17">
        <v>839</v>
      </c>
      <c r="D2742" s="17" t="s">
        <v>917</v>
      </c>
      <c r="E2742" s="17">
        <v>0</v>
      </c>
      <c r="F2742" s="17" t="s">
        <v>918</v>
      </c>
      <c r="G2742" s="17">
        <f t="shared" si="117"/>
        <v>1153669051683</v>
      </c>
      <c r="H2742" s="17" t="s">
        <v>919</v>
      </c>
      <c r="I2742" s="17">
        <f t="shared" si="118"/>
        <v>1153669051683</v>
      </c>
    </row>
    <row r="2743" spans="1:9" x14ac:dyDescent="0.3">
      <c r="A2743" s="17" t="str">
        <f t="shared" si="116"/>
        <v>2010840</v>
      </c>
      <c r="B2743" s="17">
        <v>201</v>
      </c>
      <c r="C2743" s="17">
        <v>840</v>
      </c>
      <c r="D2743" s="17" t="s">
        <v>917</v>
      </c>
      <c r="E2743" s="17">
        <v>0</v>
      </c>
      <c r="F2743" s="17" t="s">
        <v>918</v>
      </c>
      <c r="G2743" s="17">
        <f t="shared" si="117"/>
        <v>1165205742199</v>
      </c>
      <c r="H2743" s="17" t="s">
        <v>919</v>
      </c>
      <c r="I2743" s="17">
        <f t="shared" si="118"/>
        <v>1165205742199</v>
      </c>
    </row>
    <row r="2744" spans="1:9" x14ac:dyDescent="0.3">
      <c r="A2744" s="17" t="str">
        <f t="shared" si="116"/>
        <v>2010841</v>
      </c>
      <c r="B2744" s="17">
        <v>201</v>
      </c>
      <c r="C2744" s="17">
        <v>841</v>
      </c>
      <c r="D2744" s="17" t="s">
        <v>917</v>
      </c>
      <c r="E2744" s="17">
        <v>0</v>
      </c>
      <c r="F2744" s="17" t="s">
        <v>918</v>
      </c>
      <c r="G2744" s="17">
        <f t="shared" si="117"/>
        <v>1176857799620</v>
      </c>
      <c r="H2744" s="17" t="s">
        <v>919</v>
      </c>
      <c r="I2744" s="17">
        <f t="shared" si="118"/>
        <v>1176857799620</v>
      </c>
    </row>
    <row r="2745" spans="1:9" x14ac:dyDescent="0.3">
      <c r="A2745" s="17" t="str">
        <f t="shared" si="116"/>
        <v>2010842</v>
      </c>
      <c r="B2745" s="17">
        <v>201</v>
      </c>
      <c r="C2745" s="17">
        <v>842</v>
      </c>
      <c r="D2745" s="17" t="s">
        <v>917</v>
      </c>
      <c r="E2745" s="17">
        <v>0</v>
      </c>
      <c r="F2745" s="17" t="s">
        <v>918</v>
      </c>
      <c r="G2745" s="17">
        <f t="shared" si="117"/>
        <v>1188626377616</v>
      </c>
      <c r="H2745" s="17" t="s">
        <v>919</v>
      </c>
      <c r="I2745" s="17">
        <f t="shared" si="118"/>
        <v>1188626377616</v>
      </c>
    </row>
    <row r="2746" spans="1:9" x14ac:dyDescent="0.3">
      <c r="A2746" s="17" t="str">
        <f t="shared" si="116"/>
        <v>2010843</v>
      </c>
      <c r="B2746" s="17">
        <v>201</v>
      </c>
      <c r="C2746" s="17">
        <v>843</v>
      </c>
      <c r="D2746" s="17" t="s">
        <v>917</v>
      </c>
      <c r="E2746" s="17">
        <v>0</v>
      </c>
      <c r="F2746" s="17" t="s">
        <v>918</v>
      </c>
      <c r="G2746" s="17">
        <f t="shared" si="117"/>
        <v>1200512641392</v>
      </c>
      <c r="H2746" s="17" t="s">
        <v>919</v>
      </c>
      <c r="I2746" s="17">
        <f t="shared" si="118"/>
        <v>1200512641392</v>
      </c>
    </row>
    <row r="2747" spans="1:9" x14ac:dyDescent="0.3">
      <c r="A2747" s="17" t="str">
        <f t="shared" si="116"/>
        <v>2010844</v>
      </c>
      <c r="B2747" s="17">
        <v>201</v>
      </c>
      <c r="C2747" s="17">
        <v>844</v>
      </c>
      <c r="D2747" s="17" t="s">
        <v>917</v>
      </c>
      <c r="E2747" s="17">
        <v>0</v>
      </c>
      <c r="F2747" s="17" t="s">
        <v>918</v>
      </c>
      <c r="G2747" s="17">
        <f t="shared" si="117"/>
        <v>1212517767805</v>
      </c>
      <c r="H2747" s="17" t="s">
        <v>919</v>
      </c>
      <c r="I2747" s="17">
        <f t="shared" si="118"/>
        <v>1212517767805</v>
      </c>
    </row>
    <row r="2748" spans="1:9" x14ac:dyDescent="0.3">
      <c r="A2748" s="17" t="str">
        <f t="shared" si="116"/>
        <v>2010845</v>
      </c>
      <c r="B2748" s="17">
        <v>201</v>
      </c>
      <c r="C2748" s="17">
        <v>845</v>
      </c>
      <c r="D2748" s="17" t="s">
        <v>917</v>
      </c>
      <c r="E2748" s="17">
        <v>0</v>
      </c>
      <c r="F2748" s="17" t="s">
        <v>918</v>
      </c>
      <c r="G2748" s="17">
        <f t="shared" si="117"/>
        <v>1224642945483</v>
      </c>
      <c r="H2748" s="17" t="s">
        <v>919</v>
      </c>
      <c r="I2748" s="17">
        <f t="shared" si="118"/>
        <v>1224642945483</v>
      </c>
    </row>
    <row r="2749" spans="1:9" x14ac:dyDescent="0.3">
      <c r="A2749" s="17" t="str">
        <f t="shared" si="116"/>
        <v>2010846</v>
      </c>
      <c r="B2749" s="17">
        <v>201</v>
      </c>
      <c r="C2749" s="17">
        <v>846</v>
      </c>
      <c r="D2749" s="17" t="s">
        <v>917</v>
      </c>
      <c r="E2749" s="17">
        <v>0</v>
      </c>
      <c r="F2749" s="17" t="s">
        <v>918</v>
      </c>
      <c r="G2749" s="17">
        <f t="shared" si="117"/>
        <v>1236889374937</v>
      </c>
      <c r="H2749" s="17" t="s">
        <v>919</v>
      </c>
      <c r="I2749" s="17">
        <f t="shared" si="118"/>
        <v>1236889374937</v>
      </c>
    </row>
    <row r="2750" spans="1:9" x14ac:dyDescent="0.3">
      <c r="A2750" s="17" t="str">
        <f t="shared" si="116"/>
        <v>2010847</v>
      </c>
      <c r="B2750" s="17">
        <v>201</v>
      </c>
      <c r="C2750" s="17">
        <v>847</v>
      </c>
      <c r="D2750" s="17" t="s">
        <v>917</v>
      </c>
      <c r="E2750" s="17">
        <v>0</v>
      </c>
      <c r="F2750" s="17" t="s">
        <v>918</v>
      </c>
      <c r="G2750" s="17">
        <f t="shared" si="117"/>
        <v>1249258268686</v>
      </c>
      <c r="H2750" s="17" t="s">
        <v>919</v>
      </c>
      <c r="I2750" s="17">
        <f t="shared" si="118"/>
        <v>1249258268686</v>
      </c>
    </row>
    <row r="2751" spans="1:9" x14ac:dyDescent="0.3">
      <c r="A2751" s="17" t="str">
        <f t="shared" si="116"/>
        <v>2010848</v>
      </c>
      <c r="B2751" s="17">
        <v>201</v>
      </c>
      <c r="C2751" s="17">
        <v>848</v>
      </c>
      <c r="D2751" s="17" t="s">
        <v>917</v>
      </c>
      <c r="E2751" s="17">
        <v>0</v>
      </c>
      <c r="F2751" s="17" t="s">
        <v>918</v>
      </c>
      <c r="G2751" s="17">
        <f t="shared" si="117"/>
        <v>1261750851372</v>
      </c>
      <c r="H2751" s="17" t="s">
        <v>919</v>
      </c>
      <c r="I2751" s="17">
        <f t="shared" si="118"/>
        <v>1261750851372</v>
      </c>
    </row>
    <row r="2752" spans="1:9" x14ac:dyDescent="0.3">
      <c r="A2752" s="17" t="str">
        <f t="shared" si="116"/>
        <v>2010849</v>
      </c>
      <c r="B2752" s="17">
        <v>201</v>
      </c>
      <c r="C2752" s="17">
        <v>849</v>
      </c>
      <c r="D2752" s="17" t="s">
        <v>917</v>
      </c>
      <c r="E2752" s="17">
        <v>0</v>
      </c>
      <c r="F2752" s="17" t="s">
        <v>918</v>
      </c>
      <c r="G2752" s="17">
        <f t="shared" si="117"/>
        <v>1274368359885</v>
      </c>
      <c r="H2752" s="17" t="s">
        <v>919</v>
      </c>
      <c r="I2752" s="17">
        <f t="shared" si="118"/>
        <v>1274368359885</v>
      </c>
    </row>
    <row r="2753" spans="1:9" x14ac:dyDescent="0.3">
      <c r="A2753" s="17" t="str">
        <f t="shared" si="116"/>
        <v>2010850</v>
      </c>
      <c r="B2753" s="17">
        <v>201</v>
      </c>
      <c r="C2753" s="17">
        <v>850</v>
      </c>
      <c r="D2753" s="17" t="s">
        <v>917</v>
      </c>
      <c r="E2753" s="17">
        <v>0</v>
      </c>
      <c r="F2753" s="17" t="s">
        <v>918</v>
      </c>
      <c r="G2753" s="17">
        <f t="shared" si="117"/>
        <v>1287112043483</v>
      </c>
      <c r="H2753" s="17" t="s">
        <v>919</v>
      </c>
      <c r="I2753" s="17">
        <f t="shared" si="118"/>
        <v>1287112043483</v>
      </c>
    </row>
    <row r="2754" spans="1:9" x14ac:dyDescent="0.3">
      <c r="A2754" s="17" t="str">
        <f t="shared" si="116"/>
        <v>2010851</v>
      </c>
      <c r="B2754" s="17">
        <v>201</v>
      </c>
      <c r="C2754" s="17">
        <v>851</v>
      </c>
      <c r="D2754" s="17" t="s">
        <v>917</v>
      </c>
      <c r="E2754" s="17">
        <v>0</v>
      </c>
      <c r="F2754" s="17" t="s">
        <v>918</v>
      </c>
      <c r="G2754" s="17">
        <f t="shared" si="117"/>
        <v>1299983163917</v>
      </c>
      <c r="H2754" s="17" t="s">
        <v>919</v>
      </c>
      <c r="I2754" s="17">
        <f t="shared" si="118"/>
        <v>1299983163917</v>
      </c>
    </row>
    <row r="2755" spans="1:9" x14ac:dyDescent="0.3">
      <c r="A2755" s="17" t="str">
        <f t="shared" si="116"/>
        <v>2010852</v>
      </c>
      <c r="B2755" s="17">
        <v>201</v>
      </c>
      <c r="C2755" s="17">
        <v>852</v>
      </c>
      <c r="D2755" s="17" t="s">
        <v>917</v>
      </c>
      <c r="E2755" s="17">
        <v>0</v>
      </c>
      <c r="F2755" s="17" t="s">
        <v>918</v>
      </c>
      <c r="G2755" s="17">
        <f t="shared" si="117"/>
        <v>1312982995556</v>
      </c>
      <c r="H2755" s="17" t="s">
        <v>919</v>
      </c>
      <c r="I2755" s="17">
        <f t="shared" si="118"/>
        <v>1312982995556</v>
      </c>
    </row>
    <row r="2756" spans="1:9" x14ac:dyDescent="0.3">
      <c r="A2756" s="17" t="str">
        <f t="shared" ref="A2756:A2819" si="119">B2756&amp;TEXT(C2756,"0000")</f>
        <v>2010853</v>
      </c>
      <c r="B2756" s="17">
        <v>201</v>
      </c>
      <c r="C2756" s="17">
        <v>853</v>
      </c>
      <c r="D2756" s="17" t="s">
        <v>917</v>
      </c>
      <c r="E2756" s="17">
        <v>0</v>
      </c>
      <c r="F2756" s="17" t="s">
        <v>918</v>
      </c>
      <c r="G2756" s="17">
        <f t="shared" si="117"/>
        <v>1326112825511</v>
      </c>
      <c r="H2756" s="17" t="s">
        <v>919</v>
      </c>
      <c r="I2756" s="17">
        <f t="shared" si="118"/>
        <v>1326112825511</v>
      </c>
    </row>
    <row r="2757" spans="1:9" x14ac:dyDescent="0.3">
      <c r="A2757" s="17" t="str">
        <f t="shared" si="119"/>
        <v>2010854</v>
      </c>
      <c r="B2757" s="17">
        <v>201</v>
      </c>
      <c r="C2757" s="17">
        <v>854</v>
      </c>
      <c r="D2757" s="17" t="s">
        <v>917</v>
      </c>
      <c r="E2757" s="17">
        <v>0</v>
      </c>
      <c r="F2757" s="17" t="s">
        <v>918</v>
      </c>
      <c r="G2757" s="17">
        <f t="shared" si="117"/>
        <v>1339373953766</v>
      </c>
      <c r="H2757" s="17" t="s">
        <v>919</v>
      </c>
      <c r="I2757" s="17">
        <f t="shared" si="118"/>
        <v>1339373953766</v>
      </c>
    </row>
    <row r="2758" spans="1:9" x14ac:dyDescent="0.3">
      <c r="A2758" s="17" t="str">
        <f t="shared" si="119"/>
        <v>2010855</v>
      </c>
      <c r="B2758" s="17">
        <v>201</v>
      </c>
      <c r="C2758" s="17">
        <v>855</v>
      </c>
      <c r="D2758" s="17" t="s">
        <v>917</v>
      </c>
      <c r="E2758" s="17">
        <v>0</v>
      </c>
      <c r="F2758" s="17" t="s">
        <v>918</v>
      </c>
      <c r="G2758" s="17">
        <f t="shared" si="117"/>
        <v>1352767693303</v>
      </c>
      <c r="H2758" s="17" t="s">
        <v>919</v>
      </c>
      <c r="I2758" s="17">
        <f t="shared" si="118"/>
        <v>1352767693303</v>
      </c>
    </row>
    <row r="2759" spans="1:9" x14ac:dyDescent="0.3">
      <c r="A2759" s="17" t="str">
        <f t="shared" si="119"/>
        <v>2010856</v>
      </c>
      <c r="B2759" s="17">
        <v>201</v>
      </c>
      <c r="C2759" s="17">
        <v>856</v>
      </c>
      <c r="D2759" s="17" t="s">
        <v>917</v>
      </c>
      <c r="E2759" s="17">
        <v>0</v>
      </c>
      <c r="F2759" s="17" t="s">
        <v>918</v>
      </c>
      <c r="G2759" s="17">
        <f t="shared" si="117"/>
        <v>1366295370236</v>
      </c>
      <c r="H2759" s="17" t="s">
        <v>919</v>
      </c>
      <c r="I2759" s="17">
        <f t="shared" si="118"/>
        <v>1366295370236</v>
      </c>
    </row>
    <row r="2760" spans="1:9" x14ac:dyDescent="0.3">
      <c r="A2760" s="17" t="str">
        <f t="shared" si="119"/>
        <v>2010857</v>
      </c>
      <c r="B2760" s="17">
        <v>201</v>
      </c>
      <c r="C2760" s="17">
        <v>857</v>
      </c>
      <c r="D2760" s="17" t="s">
        <v>917</v>
      </c>
      <c r="E2760" s="17">
        <v>0</v>
      </c>
      <c r="F2760" s="17" t="s">
        <v>918</v>
      </c>
      <c r="G2760" s="17">
        <f t="shared" si="117"/>
        <v>1379958323938</v>
      </c>
      <c r="H2760" s="17" t="s">
        <v>919</v>
      </c>
      <c r="I2760" s="17">
        <f t="shared" si="118"/>
        <v>1379958323938</v>
      </c>
    </row>
    <row r="2761" spans="1:9" x14ac:dyDescent="0.3">
      <c r="A2761" s="17" t="str">
        <f t="shared" si="119"/>
        <v>2010858</v>
      </c>
      <c r="B2761" s="17">
        <v>201</v>
      </c>
      <c r="C2761" s="17">
        <v>858</v>
      </c>
      <c r="D2761" s="17" t="s">
        <v>917</v>
      </c>
      <c r="E2761" s="17">
        <v>0</v>
      </c>
      <c r="F2761" s="17" t="s">
        <v>918</v>
      </c>
      <c r="G2761" s="17">
        <f t="shared" si="117"/>
        <v>1393757907177</v>
      </c>
      <c r="H2761" s="17" t="s">
        <v>919</v>
      </c>
      <c r="I2761" s="17">
        <f t="shared" si="118"/>
        <v>1393757907177</v>
      </c>
    </row>
    <row r="2762" spans="1:9" x14ac:dyDescent="0.3">
      <c r="A2762" s="17" t="str">
        <f t="shared" si="119"/>
        <v>2010859</v>
      </c>
      <c r="B2762" s="17">
        <v>201</v>
      </c>
      <c r="C2762" s="17">
        <v>859</v>
      </c>
      <c r="D2762" s="17" t="s">
        <v>917</v>
      </c>
      <c r="E2762" s="17">
        <v>0</v>
      </c>
      <c r="F2762" s="17" t="s">
        <v>918</v>
      </c>
      <c r="G2762" s="17">
        <f t="shared" si="117"/>
        <v>1407695486248</v>
      </c>
      <c r="H2762" s="17" t="s">
        <v>919</v>
      </c>
      <c r="I2762" s="17">
        <f t="shared" si="118"/>
        <v>1407695486248</v>
      </c>
    </row>
    <row r="2763" spans="1:9" x14ac:dyDescent="0.3">
      <c r="A2763" s="17" t="str">
        <f t="shared" si="119"/>
        <v>2010860</v>
      </c>
      <c r="B2763" s="17">
        <v>201</v>
      </c>
      <c r="C2763" s="17">
        <v>860</v>
      </c>
      <c r="D2763" s="17" t="s">
        <v>917</v>
      </c>
      <c r="E2763" s="17">
        <v>0</v>
      </c>
      <c r="F2763" s="17" t="s">
        <v>918</v>
      </c>
      <c r="G2763" s="17">
        <f t="shared" si="117"/>
        <v>1421772441110</v>
      </c>
      <c r="H2763" s="17" t="s">
        <v>919</v>
      </c>
      <c r="I2763" s="17">
        <f t="shared" si="118"/>
        <v>1421772441110</v>
      </c>
    </row>
    <row r="2764" spans="1:9" x14ac:dyDescent="0.3">
      <c r="A2764" s="17" t="str">
        <f t="shared" si="119"/>
        <v>2010861</v>
      </c>
      <c r="B2764" s="17">
        <v>201</v>
      </c>
      <c r="C2764" s="17">
        <v>861</v>
      </c>
      <c r="D2764" s="17" t="s">
        <v>917</v>
      </c>
      <c r="E2764" s="17">
        <v>0</v>
      </c>
      <c r="F2764" s="17" t="s">
        <v>918</v>
      </c>
      <c r="G2764" s="17">
        <f t="shared" si="117"/>
        <v>1435990165521</v>
      </c>
      <c r="H2764" s="17" t="s">
        <v>919</v>
      </c>
      <c r="I2764" s="17">
        <f t="shared" si="118"/>
        <v>1435990165521</v>
      </c>
    </row>
    <row r="2765" spans="1:9" x14ac:dyDescent="0.3">
      <c r="A2765" s="17" t="str">
        <f t="shared" si="119"/>
        <v>2010862</v>
      </c>
      <c r="B2765" s="17">
        <v>201</v>
      </c>
      <c r="C2765" s="17">
        <v>862</v>
      </c>
      <c r="D2765" s="17" t="s">
        <v>917</v>
      </c>
      <c r="E2765" s="17">
        <v>0</v>
      </c>
      <c r="F2765" s="17" t="s">
        <v>918</v>
      </c>
      <c r="G2765" s="17">
        <f t="shared" si="117"/>
        <v>1450350067176</v>
      </c>
      <c r="H2765" s="17" t="s">
        <v>919</v>
      </c>
      <c r="I2765" s="17">
        <f t="shared" si="118"/>
        <v>1450350067176</v>
      </c>
    </row>
    <row r="2766" spans="1:9" x14ac:dyDescent="0.3">
      <c r="A2766" s="17" t="str">
        <f t="shared" si="119"/>
        <v>2010863</v>
      </c>
      <c r="B2766" s="17">
        <v>201</v>
      </c>
      <c r="C2766" s="17">
        <v>863</v>
      </c>
      <c r="D2766" s="17" t="s">
        <v>917</v>
      </c>
      <c r="E2766" s="17">
        <v>0</v>
      </c>
      <c r="F2766" s="17" t="s">
        <v>918</v>
      </c>
      <c r="G2766" s="17">
        <f t="shared" si="117"/>
        <v>1464853567847</v>
      </c>
      <c r="H2766" s="17" t="s">
        <v>919</v>
      </c>
      <c r="I2766" s="17">
        <f t="shared" si="118"/>
        <v>1464853567847</v>
      </c>
    </row>
    <row r="2767" spans="1:9" x14ac:dyDescent="0.3">
      <c r="A2767" s="17" t="str">
        <f t="shared" si="119"/>
        <v>2010864</v>
      </c>
      <c r="B2767" s="17">
        <v>201</v>
      </c>
      <c r="C2767" s="17">
        <v>864</v>
      </c>
      <c r="D2767" s="17" t="s">
        <v>917</v>
      </c>
      <c r="E2767" s="17">
        <v>0</v>
      </c>
      <c r="F2767" s="17" t="s">
        <v>918</v>
      </c>
      <c r="G2767" s="17">
        <f t="shared" si="117"/>
        <v>1479502103525</v>
      </c>
      <c r="H2767" s="17" t="s">
        <v>919</v>
      </c>
      <c r="I2767" s="17">
        <f t="shared" si="118"/>
        <v>1479502103525</v>
      </c>
    </row>
    <row r="2768" spans="1:9" x14ac:dyDescent="0.3">
      <c r="A2768" s="17" t="str">
        <f t="shared" si="119"/>
        <v>2010865</v>
      </c>
      <c r="B2768" s="17">
        <v>201</v>
      </c>
      <c r="C2768" s="17">
        <v>865</v>
      </c>
      <c r="D2768" s="17" t="s">
        <v>917</v>
      </c>
      <c r="E2768" s="17">
        <v>0</v>
      </c>
      <c r="F2768" s="17" t="s">
        <v>918</v>
      </c>
      <c r="G2768" s="17">
        <f t="shared" si="117"/>
        <v>1494297124560</v>
      </c>
      <c r="H2768" s="17" t="s">
        <v>919</v>
      </c>
      <c r="I2768" s="17">
        <f t="shared" si="118"/>
        <v>1494297124560</v>
      </c>
    </row>
    <row r="2769" spans="1:9" x14ac:dyDescent="0.3">
      <c r="A2769" s="17" t="str">
        <f t="shared" si="119"/>
        <v>2010866</v>
      </c>
      <c r="B2769" s="17">
        <v>201</v>
      </c>
      <c r="C2769" s="17">
        <v>866</v>
      </c>
      <c r="D2769" s="17" t="s">
        <v>917</v>
      </c>
      <c r="E2769" s="17">
        <v>0</v>
      </c>
      <c r="F2769" s="17" t="s">
        <v>918</v>
      </c>
      <c r="G2769" s="17">
        <f t="shared" si="117"/>
        <v>1509240095805</v>
      </c>
      <c r="H2769" s="17" t="s">
        <v>919</v>
      </c>
      <c r="I2769" s="17">
        <f t="shared" si="118"/>
        <v>1509240095805</v>
      </c>
    </row>
    <row r="2770" spans="1:9" x14ac:dyDescent="0.3">
      <c r="A2770" s="17" t="str">
        <f t="shared" si="119"/>
        <v>2010867</v>
      </c>
      <c r="B2770" s="17">
        <v>201</v>
      </c>
      <c r="C2770" s="17">
        <v>867</v>
      </c>
      <c r="D2770" s="17" t="s">
        <v>917</v>
      </c>
      <c r="E2770" s="17">
        <v>0</v>
      </c>
      <c r="F2770" s="17" t="s">
        <v>918</v>
      </c>
      <c r="G2770" s="17">
        <f t="shared" si="117"/>
        <v>1524332496763</v>
      </c>
      <c r="H2770" s="17" t="s">
        <v>919</v>
      </c>
      <c r="I2770" s="17">
        <f t="shared" si="118"/>
        <v>1524332496763</v>
      </c>
    </row>
    <row r="2771" spans="1:9" x14ac:dyDescent="0.3">
      <c r="A2771" s="17" t="str">
        <f t="shared" si="119"/>
        <v>2010868</v>
      </c>
      <c r="B2771" s="17">
        <v>201</v>
      </c>
      <c r="C2771" s="17">
        <v>868</v>
      </c>
      <c r="D2771" s="17" t="s">
        <v>917</v>
      </c>
      <c r="E2771" s="17">
        <v>0</v>
      </c>
      <c r="F2771" s="17" t="s">
        <v>918</v>
      </c>
      <c r="G2771" s="17">
        <f t="shared" si="117"/>
        <v>1539575821730</v>
      </c>
      <c r="H2771" s="17" t="s">
        <v>919</v>
      </c>
      <c r="I2771" s="17">
        <f t="shared" si="118"/>
        <v>1539575821730</v>
      </c>
    </row>
    <row r="2772" spans="1:9" x14ac:dyDescent="0.3">
      <c r="A2772" s="17" t="str">
        <f t="shared" si="119"/>
        <v>2010869</v>
      </c>
      <c r="B2772" s="17">
        <v>201</v>
      </c>
      <c r="C2772" s="17">
        <v>869</v>
      </c>
      <c r="D2772" s="17" t="s">
        <v>917</v>
      </c>
      <c r="E2772" s="17">
        <v>0</v>
      </c>
      <c r="F2772" s="17" t="s">
        <v>918</v>
      </c>
      <c r="G2772" s="17">
        <f t="shared" si="117"/>
        <v>1554971579947</v>
      </c>
      <c r="H2772" s="17" t="s">
        <v>919</v>
      </c>
      <c r="I2772" s="17">
        <f t="shared" si="118"/>
        <v>1554971579947</v>
      </c>
    </row>
    <row r="2773" spans="1:9" x14ac:dyDescent="0.3">
      <c r="A2773" s="17" t="str">
        <f t="shared" si="119"/>
        <v>2010870</v>
      </c>
      <c r="B2773" s="17">
        <v>201</v>
      </c>
      <c r="C2773" s="17">
        <v>870</v>
      </c>
      <c r="D2773" s="17" t="s">
        <v>917</v>
      </c>
      <c r="E2773" s="17">
        <v>0</v>
      </c>
      <c r="F2773" s="17" t="s">
        <v>918</v>
      </c>
      <c r="G2773" s="17">
        <f t="shared" si="117"/>
        <v>1570521295746</v>
      </c>
      <c r="H2773" s="17" t="s">
        <v>919</v>
      </c>
      <c r="I2773" s="17">
        <f t="shared" si="118"/>
        <v>1570521295746</v>
      </c>
    </row>
    <row r="2774" spans="1:9" x14ac:dyDescent="0.3">
      <c r="A2774" s="17" t="str">
        <f t="shared" si="119"/>
        <v>2010871</v>
      </c>
      <c r="B2774" s="17">
        <v>201</v>
      </c>
      <c r="C2774" s="17">
        <v>871</v>
      </c>
      <c r="D2774" s="17" t="s">
        <v>917</v>
      </c>
      <c r="E2774" s="17">
        <v>0</v>
      </c>
      <c r="F2774" s="17" t="s">
        <v>918</v>
      </c>
      <c r="G2774" s="17">
        <f t="shared" si="117"/>
        <v>1586226508703</v>
      </c>
      <c r="H2774" s="17" t="s">
        <v>919</v>
      </c>
      <c r="I2774" s="17">
        <f t="shared" si="118"/>
        <v>1586226508703</v>
      </c>
    </row>
    <row r="2775" spans="1:9" x14ac:dyDescent="0.3">
      <c r="A2775" s="17" t="str">
        <f t="shared" si="119"/>
        <v>2010872</v>
      </c>
      <c r="B2775" s="17">
        <v>201</v>
      </c>
      <c r="C2775" s="17">
        <v>872</v>
      </c>
      <c r="D2775" s="17" t="s">
        <v>917</v>
      </c>
      <c r="E2775" s="17">
        <v>0</v>
      </c>
      <c r="F2775" s="17" t="s">
        <v>918</v>
      </c>
      <c r="G2775" s="17">
        <f t="shared" si="117"/>
        <v>1602088773790</v>
      </c>
      <c r="H2775" s="17" t="s">
        <v>919</v>
      </c>
      <c r="I2775" s="17">
        <f t="shared" si="118"/>
        <v>1602088773790</v>
      </c>
    </row>
    <row r="2776" spans="1:9" x14ac:dyDescent="0.3">
      <c r="A2776" s="17" t="str">
        <f t="shared" si="119"/>
        <v>2010873</v>
      </c>
      <c r="B2776" s="17">
        <v>201</v>
      </c>
      <c r="C2776" s="17">
        <v>873</v>
      </c>
      <c r="D2776" s="17" t="s">
        <v>917</v>
      </c>
      <c r="E2776" s="17">
        <v>0</v>
      </c>
      <c r="F2776" s="17" t="s">
        <v>918</v>
      </c>
      <c r="G2776" s="17">
        <f t="shared" si="117"/>
        <v>1618109661527</v>
      </c>
      <c r="H2776" s="17" t="s">
        <v>919</v>
      </c>
      <c r="I2776" s="17">
        <f t="shared" si="118"/>
        <v>1618109661527</v>
      </c>
    </row>
    <row r="2777" spans="1:9" x14ac:dyDescent="0.3">
      <c r="A2777" s="17" t="str">
        <f t="shared" si="119"/>
        <v>2010874</v>
      </c>
      <c r="B2777" s="17">
        <v>201</v>
      </c>
      <c r="C2777" s="17">
        <v>874</v>
      </c>
      <c r="D2777" s="17" t="s">
        <v>917</v>
      </c>
      <c r="E2777" s="17">
        <v>0</v>
      </c>
      <c r="F2777" s="17" t="s">
        <v>918</v>
      </c>
      <c r="G2777" s="17">
        <f t="shared" si="117"/>
        <v>1634290758142</v>
      </c>
      <c r="H2777" s="17" t="s">
        <v>919</v>
      </c>
      <c r="I2777" s="17">
        <f t="shared" si="118"/>
        <v>1634290758142</v>
      </c>
    </row>
    <row r="2778" spans="1:9" x14ac:dyDescent="0.3">
      <c r="A2778" s="17" t="str">
        <f t="shared" si="119"/>
        <v>2010875</v>
      </c>
      <c r="B2778" s="17">
        <v>201</v>
      </c>
      <c r="C2778" s="17">
        <v>875</v>
      </c>
      <c r="D2778" s="17" t="s">
        <v>917</v>
      </c>
      <c r="E2778" s="17">
        <v>0</v>
      </c>
      <c r="F2778" s="17" t="s">
        <v>918</v>
      </c>
      <c r="G2778" s="17">
        <f t="shared" si="117"/>
        <v>1650633665723</v>
      </c>
      <c r="H2778" s="17" t="s">
        <v>919</v>
      </c>
      <c r="I2778" s="17">
        <f t="shared" si="118"/>
        <v>1650633665723</v>
      </c>
    </row>
    <row r="2779" spans="1:9" x14ac:dyDescent="0.3">
      <c r="A2779" s="17" t="str">
        <f t="shared" si="119"/>
        <v>2010876</v>
      </c>
      <c r="B2779" s="17">
        <v>201</v>
      </c>
      <c r="C2779" s="17">
        <v>876</v>
      </c>
      <c r="D2779" s="17" t="s">
        <v>917</v>
      </c>
      <c r="E2779" s="17">
        <v>0</v>
      </c>
      <c r="F2779" s="17" t="s">
        <v>918</v>
      </c>
      <c r="G2779" s="17">
        <f t="shared" si="117"/>
        <v>1667140002380</v>
      </c>
      <c r="H2779" s="17" t="s">
        <v>919</v>
      </c>
      <c r="I2779" s="17">
        <f t="shared" si="118"/>
        <v>1667140002380</v>
      </c>
    </row>
    <row r="2780" spans="1:9" x14ac:dyDescent="0.3">
      <c r="A2780" s="17" t="str">
        <f t="shared" si="119"/>
        <v>2010877</v>
      </c>
      <c r="B2780" s="17">
        <v>201</v>
      </c>
      <c r="C2780" s="17">
        <v>877</v>
      </c>
      <c r="D2780" s="17" t="s">
        <v>917</v>
      </c>
      <c r="E2780" s="17">
        <v>0</v>
      </c>
      <c r="F2780" s="17" t="s">
        <v>918</v>
      </c>
      <c r="G2780" s="17">
        <f t="shared" ref="G2780:G2843" si="120">INT(G2779*1.01)</f>
        <v>1683811402403</v>
      </c>
      <c r="H2780" s="17" t="s">
        <v>919</v>
      </c>
      <c r="I2780" s="17">
        <f t="shared" si="118"/>
        <v>1683811402403</v>
      </c>
    </row>
    <row r="2781" spans="1:9" x14ac:dyDescent="0.3">
      <c r="A2781" s="17" t="str">
        <f t="shared" si="119"/>
        <v>2010878</v>
      </c>
      <c r="B2781" s="17">
        <v>201</v>
      </c>
      <c r="C2781" s="17">
        <v>878</v>
      </c>
      <c r="D2781" s="17" t="s">
        <v>917</v>
      </c>
      <c r="E2781" s="17">
        <v>0</v>
      </c>
      <c r="F2781" s="17" t="s">
        <v>918</v>
      </c>
      <c r="G2781" s="17">
        <f t="shared" si="120"/>
        <v>1700649516427</v>
      </c>
      <c r="H2781" s="17" t="s">
        <v>919</v>
      </c>
      <c r="I2781" s="17">
        <f t="shared" si="118"/>
        <v>1700649516427</v>
      </c>
    </row>
    <row r="2782" spans="1:9" x14ac:dyDescent="0.3">
      <c r="A2782" s="17" t="str">
        <f t="shared" si="119"/>
        <v>2010879</v>
      </c>
      <c r="B2782" s="17">
        <v>201</v>
      </c>
      <c r="C2782" s="17">
        <v>879</v>
      </c>
      <c r="D2782" s="17" t="s">
        <v>917</v>
      </c>
      <c r="E2782" s="17">
        <v>0</v>
      </c>
      <c r="F2782" s="17" t="s">
        <v>918</v>
      </c>
      <c r="G2782" s="17">
        <f t="shared" si="120"/>
        <v>1717656011591</v>
      </c>
      <c r="H2782" s="17" t="s">
        <v>919</v>
      </c>
      <c r="I2782" s="17">
        <f t="shared" si="118"/>
        <v>1717656011591</v>
      </c>
    </row>
    <row r="2783" spans="1:9" x14ac:dyDescent="0.3">
      <c r="A2783" s="17" t="str">
        <f t="shared" si="119"/>
        <v>2010880</v>
      </c>
      <c r="B2783" s="17">
        <v>201</v>
      </c>
      <c r="C2783" s="17">
        <v>880</v>
      </c>
      <c r="D2783" s="17" t="s">
        <v>917</v>
      </c>
      <c r="E2783" s="17">
        <v>0</v>
      </c>
      <c r="F2783" s="17" t="s">
        <v>918</v>
      </c>
      <c r="G2783" s="17">
        <f t="shared" si="120"/>
        <v>1734832571706</v>
      </c>
      <c r="H2783" s="17" t="s">
        <v>919</v>
      </c>
      <c r="I2783" s="17">
        <f t="shared" si="118"/>
        <v>1734832571706</v>
      </c>
    </row>
    <row r="2784" spans="1:9" x14ac:dyDescent="0.3">
      <c r="A2784" s="17" t="str">
        <f t="shared" si="119"/>
        <v>2010881</v>
      </c>
      <c r="B2784" s="17">
        <v>201</v>
      </c>
      <c r="C2784" s="17">
        <v>881</v>
      </c>
      <c r="D2784" s="17" t="s">
        <v>917</v>
      </c>
      <c r="E2784" s="17">
        <v>0</v>
      </c>
      <c r="F2784" s="17" t="s">
        <v>918</v>
      </c>
      <c r="G2784" s="17">
        <f t="shared" si="120"/>
        <v>1752180897423</v>
      </c>
      <c r="H2784" s="17" t="s">
        <v>919</v>
      </c>
      <c r="I2784" s="17">
        <f t="shared" si="118"/>
        <v>1752180897423</v>
      </c>
    </row>
    <row r="2785" spans="1:9" x14ac:dyDescent="0.3">
      <c r="A2785" s="17" t="str">
        <f t="shared" si="119"/>
        <v>2010882</v>
      </c>
      <c r="B2785" s="17">
        <v>201</v>
      </c>
      <c r="C2785" s="17">
        <v>882</v>
      </c>
      <c r="D2785" s="17" t="s">
        <v>917</v>
      </c>
      <c r="E2785" s="17">
        <v>0</v>
      </c>
      <c r="F2785" s="17" t="s">
        <v>918</v>
      </c>
      <c r="G2785" s="17">
        <f t="shared" si="120"/>
        <v>1769702706397</v>
      </c>
      <c r="H2785" s="17" t="s">
        <v>919</v>
      </c>
      <c r="I2785" s="17">
        <f t="shared" si="118"/>
        <v>1769702706397</v>
      </c>
    </row>
    <row r="2786" spans="1:9" x14ac:dyDescent="0.3">
      <c r="A2786" s="17" t="str">
        <f t="shared" si="119"/>
        <v>2010883</v>
      </c>
      <c r="B2786" s="17">
        <v>201</v>
      </c>
      <c r="C2786" s="17">
        <v>883</v>
      </c>
      <c r="D2786" s="17" t="s">
        <v>917</v>
      </c>
      <c r="E2786" s="17">
        <v>0</v>
      </c>
      <c r="F2786" s="17" t="s">
        <v>918</v>
      </c>
      <c r="G2786" s="17">
        <f t="shared" si="120"/>
        <v>1787399733460</v>
      </c>
      <c r="H2786" s="17" t="s">
        <v>919</v>
      </c>
      <c r="I2786" s="17">
        <f t="shared" si="118"/>
        <v>1787399733460</v>
      </c>
    </row>
    <row r="2787" spans="1:9" x14ac:dyDescent="0.3">
      <c r="A2787" s="17" t="str">
        <f t="shared" si="119"/>
        <v>2010884</v>
      </c>
      <c r="B2787" s="17">
        <v>201</v>
      </c>
      <c r="C2787" s="17">
        <v>884</v>
      </c>
      <c r="D2787" s="17" t="s">
        <v>917</v>
      </c>
      <c r="E2787" s="17">
        <v>0</v>
      </c>
      <c r="F2787" s="17" t="s">
        <v>918</v>
      </c>
      <c r="G2787" s="17">
        <f t="shared" si="120"/>
        <v>1805273730794</v>
      </c>
      <c r="H2787" s="17" t="s">
        <v>919</v>
      </c>
      <c r="I2787" s="17">
        <f t="shared" si="118"/>
        <v>1805273730794</v>
      </c>
    </row>
    <row r="2788" spans="1:9" x14ac:dyDescent="0.3">
      <c r="A2788" s="17" t="str">
        <f t="shared" si="119"/>
        <v>2010885</v>
      </c>
      <c r="B2788" s="17">
        <v>201</v>
      </c>
      <c r="C2788" s="17">
        <v>885</v>
      </c>
      <c r="D2788" s="17" t="s">
        <v>917</v>
      </c>
      <c r="E2788" s="17">
        <v>0</v>
      </c>
      <c r="F2788" s="17" t="s">
        <v>918</v>
      </c>
      <c r="G2788" s="17">
        <f t="shared" si="120"/>
        <v>1823326468101</v>
      </c>
      <c r="H2788" s="17" t="s">
        <v>919</v>
      </c>
      <c r="I2788" s="17">
        <f t="shared" si="118"/>
        <v>1823326468101</v>
      </c>
    </row>
    <row r="2789" spans="1:9" x14ac:dyDescent="0.3">
      <c r="A2789" s="17" t="str">
        <f t="shared" si="119"/>
        <v>2010886</v>
      </c>
      <c r="B2789" s="17">
        <v>201</v>
      </c>
      <c r="C2789" s="17">
        <v>886</v>
      </c>
      <c r="D2789" s="17" t="s">
        <v>917</v>
      </c>
      <c r="E2789" s="17">
        <v>0</v>
      </c>
      <c r="F2789" s="17" t="s">
        <v>918</v>
      </c>
      <c r="G2789" s="17">
        <f t="shared" si="120"/>
        <v>1841559732782</v>
      </c>
      <c r="H2789" s="17" t="s">
        <v>919</v>
      </c>
      <c r="I2789" s="17">
        <f t="shared" si="118"/>
        <v>1841559732782</v>
      </c>
    </row>
    <row r="2790" spans="1:9" x14ac:dyDescent="0.3">
      <c r="A2790" s="17" t="str">
        <f t="shared" si="119"/>
        <v>2010887</v>
      </c>
      <c r="B2790" s="17">
        <v>201</v>
      </c>
      <c r="C2790" s="17">
        <v>887</v>
      </c>
      <c r="D2790" s="17" t="s">
        <v>917</v>
      </c>
      <c r="E2790" s="17">
        <v>0</v>
      </c>
      <c r="F2790" s="17" t="s">
        <v>918</v>
      </c>
      <c r="G2790" s="17">
        <f t="shared" si="120"/>
        <v>1859975330109</v>
      </c>
      <c r="H2790" s="17" t="s">
        <v>919</v>
      </c>
      <c r="I2790" s="17">
        <f t="shared" si="118"/>
        <v>1859975330109</v>
      </c>
    </row>
    <row r="2791" spans="1:9" x14ac:dyDescent="0.3">
      <c r="A2791" s="17" t="str">
        <f t="shared" si="119"/>
        <v>2010888</v>
      </c>
      <c r="B2791" s="17">
        <v>201</v>
      </c>
      <c r="C2791" s="17">
        <v>888</v>
      </c>
      <c r="D2791" s="17" t="s">
        <v>917</v>
      </c>
      <c r="E2791" s="17">
        <v>0</v>
      </c>
      <c r="F2791" s="17" t="s">
        <v>918</v>
      </c>
      <c r="G2791" s="17">
        <f t="shared" si="120"/>
        <v>1878575083410</v>
      </c>
      <c r="H2791" s="17" t="s">
        <v>919</v>
      </c>
      <c r="I2791" s="17">
        <f t="shared" si="118"/>
        <v>1878575083410</v>
      </c>
    </row>
    <row r="2792" spans="1:9" x14ac:dyDescent="0.3">
      <c r="A2792" s="17" t="str">
        <f t="shared" si="119"/>
        <v>2010889</v>
      </c>
      <c r="B2792" s="17">
        <v>201</v>
      </c>
      <c r="C2792" s="17">
        <v>889</v>
      </c>
      <c r="D2792" s="17" t="s">
        <v>917</v>
      </c>
      <c r="E2792" s="17">
        <v>0</v>
      </c>
      <c r="F2792" s="17" t="s">
        <v>918</v>
      </c>
      <c r="G2792" s="17">
        <f t="shared" si="120"/>
        <v>1897360834244</v>
      </c>
      <c r="H2792" s="17" t="s">
        <v>919</v>
      </c>
      <c r="I2792" s="17">
        <f t="shared" si="118"/>
        <v>1897360834244</v>
      </c>
    </row>
    <row r="2793" spans="1:9" x14ac:dyDescent="0.3">
      <c r="A2793" s="17" t="str">
        <f t="shared" si="119"/>
        <v>2010890</v>
      </c>
      <c r="B2793" s="17">
        <v>201</v>
      </c>
      <c r="C2793" s="17">
        <v>890</v>
      </c>
      <c r="D2793" s="17" t="s">
        <v>917</v>
      </c>
      <c r="E2793" s="17">
        <v>0</v>
      </c>
      <c r="F2793" s="17" t="s">
        <v>918</v>
      </c>
      <c r="G2793" s="17">
        <f t="shared" si="120"/>
        <v>1916334442586</v>
      </c>
      <c r="H2793" s="17" t="s">
        <v>919</v>
      </c>
      <c r="I2793" s="17">
        <f t="shared" si="118"/>
        <v>1916334442586</v>
      </c>
    </row>
    <row r="2794" spans="1:9" x14ac:dyDescent="0.3">
      <c r="A2794" s="17" t="str">
        <f t="shared" si="119"/>
        <v>2010891</v>
      </c>
      <c r="B2794" s="17">
        <v>201</v>
      </c>
      <c r="C2794" s="17">
        <v>891</v>
      </c>
      <c r="D2794" s="17" t="s">
        <v>917</v>
      </c>
      <c r="E2794" s="17">
        <v>0</v>
      </c>
      <c r="F2794" s="17" t="s">
        <v>918</v>
      </c>
      <c r="G2794" s="17">
        <f t="shared" si="120"/>
        <v>1935497787011</v>
      </c>
      <c r="H2794" s="17" t="s">
        <v>919</v>
      </c>
      <c r="I2794" s="17">
        <f t="shared" si="118"/>
        <v>1935497787011</v>
      </c>
    </row>
    <row r="2795" spans="1:9" x14ac:dyDescent="0.3">
      <c r="A2795" s="17" t="str">
        <f t="shared" si="119"/>
        <v>2010892</v>
      </c>
      <c r="B2795" s="17">
        <v>201</v>
      </c>
      <c r="C2795" s="17">
        <v>892</v>
      </c>
      <c r="D2795" s="17" t="s">
        <v>917</v>
      </c>
      <c r="E2795" s="17">
        <v>0</v>
      </c>
      <c r="F2795" s="17" t="s">
        <v>918</v>
      </c>
      <c r="G2795" s="17">
        <f t="shared" si="120"/>
        <v>1954852764881</v>
      </c>
      <c r="H2795" s="17" t="s">
        <v>919</v>
      </c>
      <c r="I2795" s="17">
        <f t="shared" si="118"/>
        <v>1954852764881</v>
      </c>
    </row>
    <row r="2796" spans="1:9" x14ac:dyDescent="0.3">
      <c r="A2796" s="17" t="str">
        <f t="shared" si="119"/>
        <v>2010893</v>
      </c>
      <c r="B2796" s="17">
        <v>201</v>
      </c>
      <c r="C2796" s="17">
        <v>893</v>
      </c>
      <c r="D2796" s="17" t="s">
        <v>917</v>
      </c>
      <c r="E2796" s="17">
        <v>0</v>
      </c>
      <c r="F2796" s="17" t="s">
        <v>918</v>
      </c>
      <c r="G2796" s="17">
        <f t="shared" si="120"/>
        <v>1974401292529</v>
      </c>
      <c r="H2796" s="17" t="s">
        <v>919</v>
      </c>
      <c r="I2796" s="17">
        <f t="shared" si="118"/>
        <v>1974401292529</v>
      </c>
    </row>
    <row r="2797" spans="1:9" x14ac:dyDescent="0.3">
      <c r="A2797" s="17" t="str">
        <f t="shared" si="119"/>
        <v>2010894</v>
      </c>
      <c r="B2797" s="17">
        <v>201</v>
      </c>
      <c r="C2797" s="17">
        <v>894</v>
      </c>
      <c r="D2797" s="17" t="s">
        <v>917</v>
      </c>
      <c r="E2797" s="17">
        <v>0</v>
      </c>
      <c r="F2797" s="17" t="s">
        <v>918</v>
      </c>
      <c r="G2797" s="17">
        <f t="shared" si="120"/>
        <v>1994145305454</v>
      </c>
      <c r="H2797" s="17" t="s">
        <v>919</v>
      </c>
      <c r="I2797" s="17">
        <f t="shared" si="118"/>
        <v>1994145305454</v>
      </c>
    </row>
    <row r="2798" spans="1:9" x14ac:dyDescent="0.3">
      <c r="A2798" s="17" t="str">
        <f t="shared" si="119"/>
        <v>2010895</v>
      </c>
      <c r="B2798" s="17">
        <v>201</v>
      </c>
      <c r="C2798" s="17">
        <v>895</v>
      </c>
      <c r="D2798" s="17" t="s">
        <v>917</v>
      </c>
      <c r="E2798" s="17">
        <v>0</v>
      </c>
      <c r="F2798" s="17" t="s">
        <v>918</v>
      </c>
      <c r="G2798" s="17">
        <f t="shared" si="120"/>
        <v>2014086758508</v>
      </c>
      <c r="H2798" s="17" t="s">
        <v>919</v>
      </c>
      <c r="I2798" s="17">
        <f t="shared" si="118"/>
        <v>2014086758508</v>
      </c>
    </row>
    <row r="2799" spans="1:9" x14ac:dyDescent="0.3">
      <c r="A2799" s="17" t="str">
        <f t="shared" si="119"/>
        <v>2010896</v>
      </c>
      <c r="B2799" s="17">
        <v>201</v>
      </c>
      <c r="C2799" s="17">
        <v>896</v>
      </c>
      <c r="D2799" s="17" t="s">
        <v>917</v>
      </c>
      <c r="E2799" s="17">
        <v>0</v>
      </c>
      <c r="F2799" s="17" t="s">
        <v>918</v>
      </c>
      <c r="G2799" s="17">
        <f t="shared" si="120"/>
        <v>2034227626093</v>
      </c>
      <c r="H2799" s="17" t="s">
        <v>919</v>
      </c>
      <c r="I2799" s="17">
        <f t="shared" si="118"/>
        <v>2034227626093</v>
      </c>
    </row>
    <row r="2800" spans="1:9" x14ac:dyDescent="0.3">
      <c r="A2800" s="17" t="str">
        <f t="shared" si="119"/>
        <v>2010897</v>
      </c>
      <c r="B2800" s="17">
        <v>201</v>
      </c>
      <c r="C2800" s="17">
        <v>897</v>
      </c>
      <c r="D2800" s="17" t="s">
        <v>917</v>
      </c>
      <c r="E2800" s="17">
        <v>0</v>
      </c>
      <c r="F2800" s="17" t="s">
        <v>918</v>
      </c>
      <c r="G2800" s="17">
        <f t="shared" si="120"/>
        <v>2054569902353</v>
      </c>
      <c r="H2800" s="17" t="s">
        <v>919</v>
      </c>
      <c r="I2800" s="17">
        <f t="shared" si="118"/>
        <v>2054569902353</v>
      </c>
    </row>
    <row r="2801" spans="1:9" x14ac:dyDescent="0.3">
      <c r="A2801" s="17" t="str">
        <f t="shared" si="119"/>
        <v>2010898</v>
      </c>
      <c r="B2801" s="17">
        <v>201</v>
      </c>
      <c r="C2801" s="17">
        <v>898</v>
      </c>
      <c r="D2801" s="17" t="s">
        <v>917</v>
      </c>
      <c r="E2801" s="17">
        <v>0</v>
      </c>
      <c r="F2801" s="17" t="s">
        <v>918</v>
      </c>
      <c r="G2801" s="17">
        <f t="shared" si="120"/>
        <v>2075115601376</v>
      </c>
      <c r="H2801" s="17" t="s">
        <v>919</v>
      </c>
      <c r="I2801" s="17">
        <f t="shared" ref="I2801:I2864" si="121">G2801</f>
        <v>2075115601376</v>
      </c>
    </row>
    <row r="2802" spans="1:9" x14ac:dyDescent="0.3">
      <c r="A2802" s="17" t="str">
        <f t="shared" si="119"/>
        <v>2010899</v>
      </c>
      <c r="B2802" s="17">
        <v>201</v>
      </c>
      <c r="C2802" s="17">
        <v>899</v>
      </c>
      <c r="D2802" s="17" t="s">
        <v>917</v>
      </c>
      <c r="E2802" s="17">
        <v>0</v>
      </c>
      <c r="F2802" s="17" t="s">
        <v>918</v>
      </c>
      <c r="G2802" s="17">
        <f t="shared" si="120"/>
        <v>2095866757389</v>
      </c>
      <c r="H2802" s="17" t="s">
        <v>919</v>
      </c>
      <c r="I2802" s="17">
        <f t="shared" si="121"/>
        <v>2095866757389</v>
      </c>
    </row>
    <row r="2803" spans="1:9" x14ac:dyDescent="0.3">
      <c r="A2803" s="17" t="str">
        <f t="shared" si="119"/>
        <v>2010900</v>
      </c>
      <c r="B2803" s="17">
        <v>201</v>
      </c>
      <c r="C2803" s="17">
        <v>900</v>
      </c>
      <c r="D2803" s="17" t="s">
        <v>917</v>
      </c>
      <c r="E2803" s="17">
        <v>0</v>
      </c>
      <c r="F2803" s="17" t="s">
        <v>918</v>
      </c>
      <c r="G2803" s="17">
        <f t="shared" si="120"/>
        <v>2116825424962</v>
      </c>
      <c r="H2803" s="17" t="s">
        <v>919</v>
      </c>
      <c r="I2803" s="17">
        <f t="shared" si="121"/>
        <v>2116825424962</v>
      </c>
    </row>
    <row r="2804" spans="1:9" x14ac:dyDescent="0.3">
      <c r="A2804" s="17" t="str">
        <f t="shared" si="119"/>
        <v>2010901</v>
      </c>
      <c r="B2804" s="17">
        <v>201</v>
      </c>
      <c r="C2804" s="17">
        <v>901</v>
      </c>
      <c r="D2804" s="17" t="s">
        <v>917</v>
      </c>
      <c r="E2804" s="17">
        <v>0</v>
      </c>
      <c r="F2804" s="17" t="s">
        <v>918</v>
      </c>
      <c r="G2804" s="17">
        <f t="shared" si="120"/>
        <v>2137993679211</v>
      </c>
      <c r="H2804" s="17" t="s">
        <v>919</v>
      </c>
      <c r="I2804" s="17">
        <f t="shared" si="121"/>
        <v>2137993679211</v>
      </c>
    </row>
    <row r="2805" spans="1:9" x14ac:dyDescent="0.3">
      <c r="A2805" s="17" t="str">
        <f t="shared" si="119"/>
        <v>2010902</v>
      </c>
      <c r="B2805" s="17">
        <v>201</v>
      </c>
      <c r="C2805" s="17">
        <v>902</v>
      </c>
      <c r="D2805" s="17" t="s">
        <v>917</v>
      </c>
      <c r="E2805" s="17">
        <v>0</v>
      </c>
      <c r="F2805" s="17" t="s">
        <v>918</v>
      </c>
      <c r="G2805" s="17">
        <f t="shared" si="120"/>
        <v>2159373616003</v>
      </c>
      <c r="H2805" s="17" t="s">
        <v>919</v>
      </c>
      <c r="I2805" s="17">
        <f t="shared" si="121"/>
        <v>2159373616003</v>
      </c>
    </row>
    <row r="2806" spans="1:9" x14ac:dyDescent="0.3">
      <c r="A2806" s="17" t="str">
        <f t="shared" si="119"/>
        <v>2010903</v>
      </c>
      <c r="B2806" s="17">
        <v>201</v>
      </c>
      <c r="C2806" s="17">
        <v>903</v>
      </c>
      <c r="D2806" s="17" t="s">
        <v>917</v>
      </c>
      <c r="E2806" s="17">
        <v>0</v>
      </c>
      <c r="F2806" s="17" t="s">
        <v>918</v>
      </c>
      <c r="G2806" s="17">
        <f t="shared" si="120"/>
        <v>2180967352163</v>
      </c>
      <c r="H2806" s="17" t="s">
        <v>919</v>
      </c>
      <c r="I2806" s="17">
        <f t="shared" si="121"/>
        <v>2180967352163</v>
      </c>
    </row>
    <row r="2807" spans="1:9" x14ac:dyDescent="0.3">
      <c r="A2807" s="17" t="str">
        <f t="shared" si="119"/>
        <v>2010904</v>
      </c>
      <c r="B2807" s="17">
        <v>201</v>
      </c>
      <c r="C2807" s="17">
        <v>904</v>
      </c>
      <c r="D2807" s="17" t="s">
        <v>917</v>
      </c>
      <c r="E2807" s="17">
        <v>0</v>
      </c>
      <c r="F2807" s="17" t="s">
        <v>918</v>
      </c>
      <c r="G2807" s="17">
        <f t="shared" si="120"/>
        <v>2202777025684</v>
      </c>
      <c r="H2807" s="17" t="s">
        <v>919</v>
      </c>
      <c r="I2807" s="17">
        <f t="shared" si="121"/>
        <v>2202777025684</v>
      </c>
    </row>
    <row r="2808" spans="1:9" x14ac:dyDescent="0.3">
      <c r="A2808" s="17" t="str">
        <f t="shared" si="119"/>
        <v>2010905</v>
      </c>
      <c r="B2808" s="17">
        <v>201</v>
      </c>
      <c r="C2808" s="17">
        <v>905</v>
      </c>
      <c r="D2808" s="17" t="s">
        <v>917</v>
      </c>
      <c r="E2808" s="17">
        <v>0</v>
      </c>
      <c r="F2808" s="17" t="s">
        <v>918</v>
      </c>
      <c r="G2808" s="17">
        <f t="shared" si="120"/>
        <v>2224804795940</v>
      </c>
      <c r="H2808" s="17" t="s">
        <v>919</v>
      </c>
      <c r="I2808" s="17">
        <f t="shared" si="121"/>
        <v>2224804795940</v>
      </c>
    </row>
    <row r="2809" spans="1:9" x14ac:dyDescent="0.3">
      <c r="A2809" s="17" t="str">
        <f t="shared" si="119"/>
        <v>2010906</v>
      </c>
      <c r="B2809" s="17">
        <v>201</v>
      </c>
      <c r="C2809" s="17">
        <v>906</v>
      </c>
      <c r="D2809" s="17" t="s">
        <v>917</v>
      </c>
      <c r="E2809" s="17">
        <v>0</v>
      </c>
      <c r="F2809" s="17" t="s">
        <v>918</v>
      </c>
      <c r="G2809" s="17">
        <f t="shared" si="120"/>
        <v>2247052843899</v>
      </c>
      <c r="H2809" s="17" t="s">
        <v>919</v>
      </c>
      <c r="I2809" s="17">
        <f t="shared" si="121"/>
        <v>2247052843899</v>
      </c>
    </row>
    <row r="2810" spans="1:9" x14ac:dyDescent="0.3">
      <c r="A2810" s="17" t="str">
        <f t="shared" si="119"/>
        <v>2010907</v>
      </c>
      <c r="B2810" s="17">
        <v>201</v>
      </c>
      <c r="C2810" s="17">
        <v>907</v>
      </c>
      <c r="D2810" s="17" t="s">
        <v>917</v>
      </c>
      <c r="E2810" s="17">
        <v>0</v>
      </c>
      <c r="F2810" s="17" t="s">
        <v>918</v>
      </c>
      <c r="G2810" s="17">
        <f t="shared" si="120"/>
        <v>2269523372337</v>
      </c>
      <c r="H2810" s="17" t="s">
        <v>919</v>
      </c>
      <c r="I2810" s="17">
        <f t="shared" si="121"/>
        <v>2269523372337</v>
      </c>
    </row>
    <row r="2811" spans="1:9" x14ac:dyDescent="0.3">
      <c r="A2811" s="17" t="str">
        <f t="shared" si="119"/>
        <v>2010908</v>
      </c>
      <c r="B2811" s="17">
        <v>201</v>
      </c>
      <c r="C2811" s="17">
        <v>908</v>
      </c>
      <c r="D2811" s="17" t="s">
        <v>917</v>
      </c>
      <c r="E2811" s="17">
        <v>0</v>
      </c>
      <c r="F2811" s="17" t="s">
        <v>918</v>
      </c>
      <c r="G2811" s="17">
        <f t="shared" si="120"/>
        <v>2292218606060</v>
      </c>
      <c r="H2811" s="17" t="s">
        <v>919</v>
      </c>
      <c r="I2811" s="17">
        <f t="shared" si="121"/>
        <v>2292218606060</v>
      </c>
    </row>
    <row r="2812" spans="1:9" x14ac:dyDescent="0.3">
      <c r="A2812" s="17" t="str">
        <f t="shared" si="119"/>
        <v>2010909</v>
      </c>
      <c r="B2812" s="17">
        <v>201</v>
      </c>
      <c r="C2812" s="17">
        <v>909</v>
      </c>
      <c r="D2812" s="17" t="s">
        <v>917</v>
      </c>
      <c r="E2812" s="17">
        <v>0</v>
      </c>
      <c r="F2812" s="17" t="s">
        <v>918</v>
      </c>
      <c r="G2812" s="17">
        <f t="shared" si="120"/>
        <v>2315140792120</v>
      </c>
      <c r="H2812" s="17" t="s">
        <v>919</v>
      </c>
      <c r="I2812" s="17">
        <f t="shared" si="121"/>
        <v>2315140792120</v>
      </c>
    </row>
    <row r="2813" spans="1:9" x14ac:dyDescent="0.3">
      <c r="A2813" s="17" t="str">
        <f t="shared" si="119"/>
        <v>2010910</v>
      </c>
      <c r="B2813" s="17">
        <v>201</v>
      </c>
      <c r="C2813" s="17">
        <v>910</v>
      </c>
      <c r="D2813" s="17" t="s">
        <v>917</v>
      </c>
      <c r="E2813" s="17">
        <v>0</v>
      </c>
      <c r="F2813" s="17" t="s">
        <v>918</v>
      </c>
      <c r="G2813" s="17">
        <f t="shared" si="120"/>
        <v>2338292200041</v>
      </c>
      <c r="H2813" s="17" t="s">
        <v>919</v>
      </c>
      <c r="I2813" s="17">
        <f t="shared" si="121"/>
        <v>2338292200041</v>
      </c>
    </row>
    <row r="2814" spans="1:9" x14ac:dyDescent="0.3">
      <c r="A2814" s="17" t="str">
        <f t="shared" si="119"/>
        <v>2010911</v>
      </c>
      <c r="B2814" s="17">
        <v>201</v>
      </c>
      <c r="C2814" s="17">
        <v>911</v>
      </c>
      <c r="D2814" s="17" t="s">
        <v>917</v>
      </c>
      <c r="E2814" s="17">
        <v>0</v>
      </c>
      <c r="F2814" s="17" t="s">
        <v>918</v>
      </c>
      <c r="G2814" s="17">
        <f t="shared" si="120"/>
        <v>2361675122041</v>
      </c>
      <c r="H2814" s="17" t="s">
        <v>919</v>
      </c>
      <c r="I2814" s="17">
        <f t="shared" si="121"/>
        <v>2361675122041</v>
      </c>
    </row>
    <row r="2815" spans="1:9" x14ac:dyDescent="0.3">
      <c r="A2815" s="17" t="str">
        <f t="shared" si="119"/>
        <v>2010912</v>
      </c>
      <c r="B2815" s="17">
        <v>201</v>
      </c>
      <c r="C2815" s="17">
        <v>912</v>
      </c>
      <c r="D2815" s="17" t="s">
        <v>917</v>
      </c>
      <c r="E2815" s="17">
        <v>0</v>
      </c>
      <c r="F2815" s="17" t="s">
        <v>918</v>
      </c>
      <c r="G2815" s="17">
        <f t="shared" si="120"/>
        <v>2385291873261</v>
      </c>
      <c r="H2815" s="17" t="s">
        <v>919</v>
      </c>
      <c r="I2815" s="17">
        <f t="shared" si="121"/>
        <v>2385291873261</v>
      </c>
    </row>
    <row r="2816" spans="1:9" x14ac:dyDescent="0.3">
      <c r="A2816" s="17" t="str">
        <f t="shared" si="119"/>
        <v>2010913</v>
      </c>
      <c r="B2816" s="17">
        <v>201</v>
      </c>
      <c r="C2816" s="17">
        <v>913</v>
      </c>
      <c r="D2816" s="17" t="s">
        <v>917</v>
      </c>
      <c r="E2816" s="17">
        <v>0</v>
      </c>
      <c r="F2816" s="17" t="s">
        <v>918</v>
      </c>
      <c r="G2816" s="17">
        <f t="shared" si="120"/>
        <v>2409144791993</v>
      </c>
      <c r="H2816" s="17" t="s">
        <v>919</v>
      </c>
      <c r="I2816" s="17">
        <f t="shared" si="121"/>
        <v>2409144791993</v>
      </c>
    </row>
    <row r="2817" spans="1:9" x14ac:dyDescent="0.3">
      <c r="A2817" s="17" t="str">
        <f t="shared" si="119"/>
        <v>2010914</v>
      </c>
      <c r="B2817" s="17">
        <v>201</v>
      </c>
      <c r="C2817" s="17">
        <v>914</v>
      </c>
      <c r="D2817" s="17" t="s">
        <v>917</v>
      </c>
      <c r="E2817" s="17">
        <v>0</v>
      </c>
      <c r="F2817" s="17" t="s">
        <v>918</v>
      </c>
      <c r="G2817" s="17">
        <f t="shared" si="120"/>
        <v>2433236239912</v>
      </c>
      <c r="H2817" s="17" t="s">
        <v>919</v>
      </c>
      <c r="I2817" s="17">
        <f t="shared" si="121"/>
        <v>2433236239912</v>
      </c>
    </row>
    <row r="2818" spans="1:9" x14ac:dyDescent="0.3">
      <c r="A2818" s="17" t="str">
        <f t="shared" si="119"/>
        <v>2010915</v>
      </c>
      <c r="B2818" s="17">
        <v>201</v>
      </c>
      <c r="C2818" s="17">
        <v>915</v>
      </c>
      <c r="D2818" s="17" t="s">
        <v>917</v>
      </c>
      <c r="E2818" s="17">
        <v>0</v>
      </c>
      <c r="F2818" s="17" t="s">
        <v>918</v>
      </c>
      <c r="G2818" s="17">
        <f t="shared" si="120"/>
        <v>2457568602311</v>
      </c>
      <c r="H2818" s="17" t="s">
        <v>919</v>
      </c>
      <c r="I2818" s="17">
        <f t="shared" si="121"/>
        <v>2457568602311</v>
      </c>
    </row>
    <row r="2819" spans="1:9" x14ac:dyDescent="0.3">
      <c r="A2819" s="17" t="str">
        <f t="shared" si="119"/>
        <v>2010916</v>
      </c>
      <c r="B2819" s="17">
        <v>201</v>
      </c>
      <c r="C2819" s="17">
        <v>916</v>
      </c>
      <c r="D2819" s="17" t="s">
        <v>917</v>
      </c>
      <c r="E2819" s="17">
        <v>0</v>
      </c>
      <c r="F2819" s="17" t="s">
        <v>918</v>
      </c>
      <c r="G2819" s="17">
        <f t="shared" si="120"/>
        <v>2482144288334</v>
      </c>
      <c r="H2819" s="17" t="s">
        <v>919</v>
      </c>
      <c r="I2819" s="17">
        <f t="shared" si="121"/>
        <v>2482144288334</v>
      </c>
    </row>
    <row r="2820" spans="1:9" x14ac:dyDescent="0.3">
      <c r="A2820" s="17" t="str">
        <f t="shared" ref="A2820:A2883" si="122">B2820&amp;TEXT(C2820,"0000")</f>
        <v>2010917</v>
      </c>
      <c r="B2820" s="17">
        <v>201</v>
      </c>
      <c r="C2820" s="17">
        <v>917</v>
      </c>
      <c r="D2820" s="17" t="s">
        <v>917</v>
      </c>
      <c r="E2820" s="17">
        <v>0</v>
      </c>
      <c r="F2820" s="17" t="s">
        <v>918</v>
      </c>
      <c r="G2820" s="17">
        <f t="shared" si="120"/>
        <v>2506965731217</v>
      </c>
      <c r="H2820" s="17" t="s">
        <v>919</v>
      </c>
      <c r="I2820" s="17">
        <f t="shared" si="121"/>
        <v>2506965731217</v>
      </c>
    </row>
    <row r="2821" spans="1:9" x14ac:dyDescent="0.3">
      <c r="A2821" s="17" t="str">
        <f t="shared" si="122"/>
        <v>2010918</v>
      </c>
      <c r="B2821" s="17">
        <v>201</v>
      </c>
      <c r="C2821" s="17">
        <v>918</v>
      </c>
      <c r="D2821" s="17" t="s">
        <v>917</v>
      </c>
      <c r="E2821" s="17">
        <v>0</v>
      </c>
      <c r="F2821" s="17" t="s">
        <v>918</v>
      </c>
      <c r="G2821" s="17">
        <f t="shared" si="120"/>
        <v>2532035388529</v>
      </c>
      <c r="H2821" s="17" t="s">
        <v>919</v>
      </c>
      <c r="I2821" s="17">
        <f t="shared" si="121"/>
        <v>2532035388529</v>
      </c>
    </row>
    <row r="2822" spans="1:9" x14ac:dyDescent="0.3">
      <c r="A2822" s="17" t="str">
        <f t="shared" si="122"/>
        <v>2010919</v>
      </c>
      <c r="B2822" s="17">
        <v>201</v>
      </c>
      <c r="C2822" s="17">
        <v>919</v>
      </c>
      <c r="D2822" s="17" t="s">
        <v>917</v>
      </c>
      <c r="E2822" s="17">
        <v>0</v>
      </c>
      <c r="F2822" s="17" t="s">
        <v>918</v>
      </c>
      <c r="G2822" s="17">
        <f t="shared" si="120"/>
        <v>2557355742414</v>
      </c>
      <c r="H2822" s="17" t="s">
        <v>919</v>
      </c>
      <c r="I2822" s="17">
        <f t="shared" si="121"/>
        <v>2557355742414</v>
      </c>
    </row>
    <row r="2823" spans="1:9" x14ac:dyDescent="0.3">
      <c r="A2823" s="17" t="str">
        <f t="shared" si="122"/>
        <v>2010920</v>
      </c>
      <c r="B2823" s="17">
        <v>201</v>
      </c>
      <c r="C2823" s="17">
        <v>920</v>
      </c>
      <c r="D2823" s="17" t="s">
        <v>917</v>
      </c>
      <c r="E2823" s="17">
        <v>0</v>
      </c>
      <c r="F2823" s="17" t="s">
        <v>918</v>
      </c>
      <c r="G2823" s="17">
        <f t="shared" si="120"/>
        <v>2582929299838</v>
      </c>
      <c r="H2823" s="17" t="s">
        <v>919</v>
      </c>
      <c r="I2823" s="17">
        <f t="shared" si="121"/>
        <v>2582929299838</v>
      </c>
    </row>
    <row r="2824" spans="1:9" x14ac:dyDescent="0.3">
      <c r="A2824" s="17" t="str">
        <f t="shared" si="122"/>
        <v>2010921</v>
      </c>
      <c r="B2824" s="17">
        <v>201</v>
      </c>
      <c r="C2824" s="17">
        <v>921</v>
      </c>
      <c r="D2824" s="17" t="s">
        <v>917</v>
      </c>
      <c r="E2824" s="17">
        <v>0</v>
      </c>
      <c r="F2824" s="17" t="s">
        <v>918</v>
      </c>
      <c r="G2824" s="17">
        <f t="shared" si="120"/>
        <v>2608758592836</v>
      </c>
      <c r="H2824" s="17" t="s">
        <v>919</v>
      </c>
      <c r="I2824" s="17">
        <f t="shared" si="121"/>
        <v>2608758592836</v>
      </c>
    </row>
    <row r="2825" spans="1:9" x14ac:dyDescent="0.3">
      <c r="A2825" s="17" t="str">
        <f t="shared" si="122"/>
        <v>2010922</v>
      </c>
      <c r="B2825" s="17">
        <v>201</v>
      </c>
      <c r="C2825" s="17">
        <v>922</v>
      </c>
      <c r="D2825" s="17" t="s">
        <v>917</v>
      </c>
      <c r="E2825" s="17">
        <v>0</v>
      </c>
      <c r="F2825" s="17" t="s">
        <v>918</v>
      </c>
      <c r="G2825" s="17">
        <f t="shared" si="120"/>
        <v>2634846178764</v>
      </c>
      <c r="H2825" s="17" t="s">
        <v>919</v>
      </c>
      <c r="I2825" s="17">
        <f t="shared" si="121"/>
        <v>2634846178764</v>
      </c>
    </row>
    <row r="2826" spans="1:9" x14ac:dyDescent="0.3">
      <c r="A2826" s="17" t="str">
        <f t="shared" si="122"/>
        <v>2010923</v>
      </c>
      <c r="B2826" s="17">
        <v>201</v>
      </c>
      <c r="C2826" s="17">
        <v>923</v>
      </c>
      <c r="D2826" s="17" t="s">
        <v>917</v>
      </c>
      <c r="E2826" s="17">
        <v>0</v>
      </c>
      <c r="F2826" s="17" t="s">
        <v>918</v>
      </c>
      <c r="G2826" s="17">
        <f t="shared" si="120"/>
        <v>2661194640551</v>
      </c>
      <c r="H2826" s="17" t="s">
        <v>919</v>
      </c>
      <c r="I2826" s="17">
        <f t="shared" si="121"/>
        <v>2661194640551</v>
      </c>
    </row>
    <row r="2827" spans="1:9" x14ac:dyDescent="0.3">
      <c r="A2827" s="17" t="str">
        <f t="shared" si="122"/>
        <v>2010924</v>
      </c>
      <c r="B2827" s="17">
        <v>201</v>
      </c>
      <c r="C2827" s="17">
        <v>924</v>
      </c>
      <c r="D2827" s="17" t="s">
        <v>917</v>
      </c>
      <c r="E2827" s="17">
        <v>0</v>
      </c>
      <c r="F2827" s="17" t="s">
        <v>918</v>
      </c>
      <c r="G2827" s="17">
        <f t="shared" si="120"/>
        <v>2687806586956</v>
      </c>
      <c r="H2827" s="17" t="s">
        <v>919</v>
      </c>
      <c r="I2827" s="17">
        <f t="shared" si="121"/>
        <v>2687806586956</v>
      </c>
    </row>
    <row r="2828" spans="1:9" x14ac:dyDescent="0.3">
      <c r="A2828" s="17" t="str">
        <f t="shared" si="122"/>
        <v>2010925</v>
      </c>
      <c r="B2828" s="17">
        <v>201</v>
      </c>
      <c r="C2828" s="17">
        <v>925</v>
      </c>
      <c r="D2828" s="17" t="s">
        <v>917</v>
      </c>
      <c r="E2828" s="17">
        <v>0</v>
      </c>
      <c r="F2828" s="17" t="s">
        <v>918</v>
      </c>
      <c r="G2828" s="17">
        <f t="shared" si="120"/>
        <v>2714684652825</v>
      </c>
      <c r="H2828" s="17" t="s">
        <v>919</v>
      </c>
      <c r="I2828" s="17">
        <f t="shared" si="121"/>
        <v>2714684652825</v>
      </c>
    </row>
    <row r="2829" spans="1:9" x14ac:dyDescent="0.3">
      <c r="A2829" s="17" t="str">
        <f t="shared" si="122"/>
        <v>2010926</v>
      </c>
      <c r="B2829" s="17">
        <v>201</v>
      </c>
      <c r="C2829" s="17">
        <v>926</v>
      </c>
      <c r="D2829" s="17" t="s">
        <v>917</v>
      </c>
      <c r="E2829" s="17">
        <v>0</v>
      </c>
      <c r="F2829" s="17" t="s">
        <v>918</v>
      </c>
      <c r="G2829" s="17">
        <f t="shared" si="120"/>
        <v>2741831499353</v>
      </c>
      <c r="H2829" s="17" t="s">
        <v>919</v>
      </c>
      <c r="I2829" s="17">
        <f t="shared" si="121"/>
        <v>2741831499353</v>
      </c>
    </row>
    <row r="2830" spans="1:9" x14ac:dyDescent="0.3">
      <c r="A2830" s="17" t="str">
        <f t="shared" si="122"/>
        <v>2010927</v>
      </c>
      <c r="B2830" s="17">
        <v>201</v>
      </c>
      <c r="C2830" s="17">
        <v>927</v>
      </c>
      <c r="D2830" s="17" t="s">
        <v>917</v>
      </c>
      <c r="E2830" s="17">
        <v>0</v>
      </c>
      <c r="F2830" s="17" t="s">
        <v>918</v>
      </c>
      <c r="G2830" s="17">
        <f t="shared" si="120"/>
        <v>2769249814346</v>
      </c>
      <c r="H2830" s="17" t="s">
        <v>919</v>
      </c>
      <c r="I2830" s="17">
        <f t="shared" si="121"/>
        <v>2769249814346</v>
      </c>
    </row>
    <row r="2831" spans="1:9" x14ac:dyDescent="0.3">
      <c r="A2831" s="17" t="str">
        <f t="shared" si="122"/>
        <v>2010928</v>
      </c>
      <c r="B2831" s="17">
        <v>201</v>
      </c>
      <c r="C2831" s="17">
        <v>928</v>
      </c>
      <c r="D2831" s="17" t="s">
        <v>917</v>
      </c>
      <c r="E2831" s="17">
        <v>0</v>
      </c>
      <c r="F2831" s="17" t="s">
        <v>918</v>
      </c>
      <c r="G2831" s="17">
        <f t="shared" si="120"/>
        <v>2796942312489</v>
      </c>
      <c r="H2831" s="17" t="s">
        <v>919</v>
      </c>
      <c r="I2831" s="17">
        <f t="shared" si="121"/>
        <v>2796942312489</v>
      </c>
    </row>
    <row r="2832" spans="1:9" x14ac:dyDescent="0.3">
      <c r="A2832" s="17" t="str">
        <f t="shared" si="122"/>
        <v>2010929</v>
      </c>
      <c r="B2832" s="17">
        <v>201</v>
      </c>
      <c r="C2832" s="17">
        <v>929</v>
      </c>
      <c r="D2832" s="17" t="s">
        <v>917</v>
      </c>
      <c r="E2832" s="17">
        <v>0</v>
      </c>
      <c r="F2832" s="17" t="s">
        <v>918</v>
      </c>
      <c r="G2832" s="17">
        <f t="shared" si="120"/>
        <v>2824911735613</v>
      </c>
      <c r="H2832" s="17" t="s">
        <v>919</v>
      </c>
      <c r="I2832" s="17">
        <f t="shared" si="121"/>
        <v>2824911735613</v>
      </c>
    </row>
    <row r="2833" spans="1:9" x14ac:dyDescent="0.3">
      <c r="A2833" s="17" t="str">
        <f t="shared" si="122"/>
        <v>2010930</v>
      </c>
      <c r="B2833" s="17">
        <v>201</v>
      </c>
      <c r="C2833" s="17">
        <v>930</v>
      </c>
      <c r="D2833" s="17" t="s">
        <v>917</v>
      </c>
      <c r="E2833" s="17">
        <v>0</v>
      </c>
      <c r="F2833" s="17" t="s">
        <v>918</v>
      </c>
      <c r="G2833" s="17">
        <f t="shared" si="120"/>
        <v>2853160852969</v>
      </c>
      <c r="H2833" s="17" t="s">
        <v>919</v>
      </c>
      <c r="I2833" s="17">
        <f t="shared" si="121"/>
        <v>2853160852969</v>
      </c>
    </row>
    <row r="2834" spans="1:9" x14ac:dyDescent="0.3">
      <c r="A2834" s="17" t="str">
        <f t="shared" si="122"/>
        <v>2010931</v>
      </c>
      <c r="B2834" s="17">
        <v>201</v>
      </c>
      <c r="C2834" s="17">
        <v>931</v>
      </c>
      <c r="D2834" s="17" t="s">
        <v>917</v>
      </c>
      <c r="E2834" s="17">
        <v>0</v>
      </c>
      <c r="F2834" s="17" t="s">
        <v>918</v>
      </c>
      <c r="G2834" s="17">
        <f t="shared" si="120"/>
        <v>2881692461498</v>
      </c>
      <c r="H2834" s="17" t="s">
        <v>919</v>
      </c>
      <c r="I2834" s="17">
        <f t="shared" si="121"/>
        <v>2881692461498</v>
      </c>
    </row>
    <row r="2835" spans="1:9" x14ac:dyDescent="0.3">
      <c r="A2835" s="17" t="str">
        <f t="shared" si="122"/>
        <v>2010932</v>
      </c>
      <c r="B2835" s="17">
        <v>201</v>
      </c>
      <c r="C2835" s="17">
        <v>932</v>
      </c>
      <c r="D2835" s="17" t="s">
        <v>917</v>
      </c>
      <c r="E2835" s="17">
        <v>0</v>
      </c>
      <c r="F2835" s="17" t="s">
        <v>918</v>
      </c>
      <c r="G2835" s="17">
        <f t="shared" si="120"/>
        <v>2910509386112</v>
      </c>
      <c r="H2835" s="17" t="s">
        <v>919</v>
      </c>
      <c r="I2835" s="17">
        <f t="shared" si="121"/>
        <v>2910509386112</v>
      </c>
    </row>
    <row r="2836" spans="1:9" x14ac:dyDescent="0.3">
      <c r="A2836" s="17" t="str">
        <f t="shared" si="122"/>
        <v>2010933</v>
      </c>
      <c r="B2836" s="17">
        <v>201</v>
      </c>
      <c r="C2836" s="17">
        <v>933</v>
      </c>
      <c r="D2836" s="17" t="s">
        <v>917</v>
      </c>
      <c r="E2836" s="17">
        <v>0</v>
      </c>
      <c r="F2836" s="17" t="s">
        <v>918</v>
      </c>
      <c r="G2836" s="17">
        <f t="shared" si="120"/>
        <v>2939614479973</v>
      </c>
      <c r="H2836" s="17" t="s">
        <v>919</v>
      </c>
      <c r="I2836" s="17">
        <f t="shared" si="121"/>
        <v>2939614479973</v>
      </c>
    </row>
    <row r="2837" spans="1:9" x14ac:dyDescent="0.3">
      <c r="A2837" s="17" t="str">
        <f t="shared" si="122"/>
        <v>2010934</v>
      </c>
      <c r="B2837" s="17">
        <v>201</v>
      </c>
      <c r="C2837" s="17">
        <v>934</v>
      </c>
      <c r="D2837" s="17" t="s">
        <v>917</v>
      </c>
      <c r="E2837" s="17">
        <v>0</v>
      </c>
      <c r="F2837" s="17" t="s">
        <v>918</v>
      </c>
      <c r="G2837" s="17">
        <f t="shared" si="120"/>
        <v>2969010624772</v>
      </c>
      <c r="H2837" s="17" t="s">
        <v>919</v>
      </c>
      <c r="I2837" s="17">
        <f t="shared" si="121"/>
        <v>2969010624772</v>
      </c>
    </row>
    <row r="2838" spans="1:9" x14ac:dyDescent="0.3">
      <c r="A2838" s="17" t="str">
        <f t="shared" si="122"/>
        <v>2010935</v>
      </c>
      <c r="B2838" s="17">
        <v>201</v>
      </c>
      <c r="C2838" s="17">
        <v>935</v>
      </c>
      <c r="D2838" s="17" t="s">
        <v>917</v>
      </c>
      <c r="E2838" s="17">
        <v>0</v>
      </c>
      <c r="F2838" s="17" t="s">
        <v>918</v>
      </c>
      <c r="G2838" s="17">
        <f t="shared" si="120"/>
        <v>2998700731019</v>
      </c>
      <c r="H2838" s="17" t="s">
        <v>919</v>
      </c>
      <c r="I2838" s="17">
        <f t="shared" si="121"/>
        <v>2998700731019</v>
      </c>
    </row>
    <row r="2839" spans="1:9" x14ac:dyDescent="0.3">
      <c r="A2839" s="17" t="str">
        <f t="shared" si="122"/>
        <v>2010936</v>
      </c>
      <c r="B2839" s="17">
        <v>201</v>
      </c>
      <c r="C2839" s="17">
        <v>936</v>
      </c>
      <c r="D2839" s="17" t="s">
        <v>917</v>
      </c>
      <c r="E2839" s="17">
        <v>0</v>
      </c>
      <c r="F2839" s="17" t="s">
        <v>918</v>
      </c>
      <c r="G2839" s="17">
        <f t="shared" si="120"/>
        <v>3028687738329</v>
      </c>
      <c r="H2839" s="17" t="s">
        <v>919</v>
      </c>
      <c r="I2839" s="17">
        <f t="shared" si="121"/>
        <v>3028687738329</v>
      </c>
    </row>
    <row r="2840" spans="1:9" x14ac:dyDescent="0.3">
      <c r="A2840" s="17" t="str">
        <f t="shared" si="122"/>
        <v>2010937</v>
      </c>
      <c r="B2840" s="17">
        <v>201</v>
      </c>
      <c r="C2840" s="17">
        <v>937</v>
      </c>
      <c r="D2840" s="17" t="s">
        <v>917</v>
      </c>
      <c r="E2840" s="17">
        <v>0</v>
      </c>
      <c r="F2840" s="17" t="s">
        <v>918</v>
      </c>
      <c r="G2840" s="17">
        <f t="shared" si="120"/>
        <v>3058974615712</v>
      </c>
      <c r="H2840" s="17" t="s">
        <v>919</v>
      </c>
      <c r="I2840" s="17">
        <f t="shared" si="121"/>
        <v>3058974615712</v>
      </c>
    </row>
    <row r="2841" spans="1:9" x14ac:dyDescent="0.3">
      <c r="A2841" s="17" t="str">
        <f t="shared" si="122"/>
        <v>2010938</v>
      </c>
      <c r="B2841" s="17">
        <v>201</v>
      </c>
      <c r="C2841" s="17">
        <v>938</v>
      </c>
      <c r="D2841" s="17" t="s">
        <v>917</v>
      </c>
      <c r="E2841" s="17">
        <v>0</v>
      </c>
      <c r="F2841" s="17" t="s">
        <v>918</v>
      </c>
      <c r="G2841" s="17">
        <f t="shared" si="120"/>
        <v>3089564361869</v>
      </c>
      <c r="H2841" s="17" t="s">
        <v>919</v>
      </c>
      <c r="I2841" s="17">
        <f t="shared" si="121"/>
        <v>3089564361869</v>
      </c>
    </row>
    <row r="2842" spans="1:9" x14ac:dyDescent="0.3">
      <c r="A2842" s="17" t="str">
        <f t="shared" si="122"/>
        <v>2010939</v>
      </c>
      <c r="B2842" s="17">
        <v>201</v>
      </c>
      <c r="C2842" s="17">
        <v>939</v>
      </c>
      <c r="D2842" s="17" t="s">
        <v>917</v>
      </c>
      <c r="E2842" s="17">
        <v>0</v>
      </c>
      <c r="F2842" s="17" t="s">
        <v>918</v>
      </c>
      <c r="G2842" s="17">
        <f t="shared" si="120"/>
        <v>3120460005487</v>
      </c>
      <c r="H2842" s="17" t="s">
        <v>919</v>
      </c>
      <c r="I2842" s="17">
        <f t="shared" si="121"/>
        <v>3120460005487</v>
      </c>
    </row>
    <row r="2843" spans="1:9" x14ac:dyDescent="0.3">
      <c r="A2843" s="17" t="str">
        <f t="shared" si="122"/>
        <v>2010940</v>
      </c>
      <c r="B2843" s="17">
        <v>201</v>
      </c>
      <c r="C2843" s="17">
        <v>940</v>
      </c>
      <c r="D2843" s="17" t="s">
        <v>917</v>
      </c>
      <c r="E2843" s="17">
        <v>0</v>
      </c>
      <c r="F2843" s="17" t="s">
        <v>918</v>
      </c>
      <c r="G2843" s="17">
        <f t="shared" si="120"/>
        <v>3151664605541</v>
      </c>
      <c r="H2843" s="17" t="s">
        <v>919</v>
      </c>
      <c r="I2843" s="17">
        <f t="shared" si="121"/>
        <v>3151664605541</v>
      </c>
    </row>
    <row r="2844" spans="1:9" x14ac:dyDescent="0.3">
      <c r="A2844" s="17" t="str">
        <f t="shared" si="122"/>
        <v>2010941</v>
      </c>
      <c r="B2844" s="17">
        <v>201</v>
      </c>
      <c r="C2844" s="17">
        <v>941</v>
      </c>
      <c r="D2844" s="17" t="s">
        <v>917</v>
      </c>
      <c r="E2844" s="17">
        <v>0</v>
      </c>
      <c r="F2844" s="17" t="s">
        <v>918</v>
      </c>
      <c r="G2844" s="17">
        <f t="shared" ref="G2844:G2903" si="123">INT(G2843*1.01)</f>
        <v>3183181251596</v>
      </c>
      <c r="H2844" s="17" t="s">
        <v>919</v>
      </c>
      <c r="I2844" s="17">
        <f t="shared" si="121"/>
        <v>3183181251596</v>
      </c>
    </row>
    <row r="2845" spans="1:9" x14ac:dyDescent="0.3">
      <c r="A2845" s="17" t="str">
        <f t="shared" si="122"/>
        <v>2010942</v>
      </c>
      <c r="B2845" s="17">
        <v>201</v>
      </c>
      <c r="C2845" s="17">
        <v>942</v>
      </c>
      <c r="D2845" s="17" t="s">
        <v>917</v>
      </c>
      <c r="E2845" s="17">
        <v>0</v>
      </c>
      <c r="F2845" s="17" t="s">
        <v>918</v>
      </c>
      <c r="G2845" s="17">
        <f t="shared" si="123"/>
        <v>3215013064111</v>
      </c>
      <c r="H2845" s="17" t="s">
        <v>919</v>
      </c>
      <c r="I2845" s="17">
        <f t="shared" si="121"/>
        <v>3215013064111</v>
      </c>
    </row>
    <row r="2846" spans="1:9" x14ac:dyDescent="0.3">
      <c r="A2846" s="17" t="str">
        <f t="shared" si="122"/>
        <v>2010943</v>
      </c>
      <c r="B2846" s="17">
        <v>201</v>
      </c>
      <c r="C2846" s="17">
        <v>943</v>
      </c>
      <c r="D2846" s="17" t="s">
        <v>917</v>
      </c>
      <c r="E2846" s="17">
        <v>0</v>
      </c>
      <c r="F2846" s="17" t="s">
        <v>918</v>
      </c>
      <c r="G2846" s="17">
        <f t="shared" si="123"/>
        <v>3247163194752</v>
      </c>
      <c r="H2846" s="17" t="s">
        <v>919</v>
      </c>
      <c r="I2846" s="17">
        <f t="shared" si="121"/>
        <v>3247163194752</v>
      </c>
    </row>
    <row r="2847" spans="1:9" x14ac:dyDescent="0.3">
      <c r="A2847" s="17" t="str">
        <f t="shared" si="122"/>
        <v>2010944</v>
      </c>
      <c r="B2847" s="17">
        <v>201</v>
      </c>
      <c r="C2847" s="17">
        <v>944</v>
      </c>
      <c r="D2847" s="17" t="s">
        <v>917</v>
      </c>
      <c r="E2847" s="17">
        <v>0</v>
      </c>
      <c r="F2847" s="17" t="s">
        <v>918</v>
      </c>
      <c r="G2847" s="17">
        <f t="shared" si="123"/>
        <v>3279634826699</v>
      </c>
      <c r="H2847" s="17" t="s">
        <v>919</v>
      </c>
      <c r="I2847" s="17">
        <f t="shared" si="121"/>
        <v>3279634826699</v>
      </c>
    </row>
    <row r="2848" spans="1:9" x14ac:dyDescent="0.3">
      <c r="A2848" s="17" t="str">
        <f t="shared" si="122"/>
        <v>2010945</v>
      </c>
      <c r="B2848" s="17">
        <v>201</v>
      </c>
      <c r="C2848" s="17">
        <v>945</v>
      </c>
      <c r="D2848" s="17" t="s">
        <v>917</v>
      </c>
      <c r="E2848" s="17">
        <v>0</v>
      </c>
      <c r="F2848" s="17" t="s">
        <v>918</v>
      </c>
      <c r="G2848" s="17">
        <f t="shared" si="123"/>
        <v>3312431174965</v>
      </c>
      <c r="H2848" s="17" t="s">
        <v>919</v>
      </c>
      <c r="I2848" s="17">
        <f t="shared" si="121"/>
        <v>3312431174965</v>
      </c>
    </row>
    <row r="2849" spans="1:9" x14ac:dyDescent="0.3">
      <c r="A2849" s="17" t="str">
        <f t="shared" si="122"/>
        <v>2010946</v>
      </c>
      <c r="B2849" s="17">
        <v>201</v>
      </c>
      <c r="C2849" s="17">
        <v>946</v>
      </c>
      <c r="D2849" s="17" t="s">
        <v>917</v>
      </c>
      <c r="E2849" s="17">
        <v>0</v>
      </c>
      <c r="F2849" s="17" t="s">
        <v>918</v>
      </c>
      <c r="G2849" s="17">
        <f t="shared" si="123"/>
        <v>3345555486714</v>
      </c>
      <c r="H2849" s="17" t="s">
        <v>919</v>
      </c>
      <c r="I2849" s="17">
        <f t="shared" si="121"/>
        <v>3345555486714</v>
      </c>
    </row>
    <row r="2850" spans="1:9" x14ac:dyDescent="0.3">
      <c r="A2850" s="17" t="str">
        <f t="shared" si="122"/>
        <v>2010947</v>
      </c>
      <c r="B2850" s="17">
        <v>201</v>
      </c>
      <c r="C2850" s="17">
        <v>947</v>
      </c>
      <c r="D2850" s="17" t="s">
        <v>917</v>
      </c>
      <c r="E2850" s="17">
        <v>0</v>
      </c>
      <c r="F2850" s="17" t="s">
        <v>918</v>
      </c>
      <c r="G2850" s="17">
        <f t="shared" si="123"/>
        <v>3379011041581</v>
      </c>
      <c r="H2850" s="17" t="s">
        <v>919</v>
      </c>
      <c r="I2850" s="17">
        <f t="shared" si="121"/>
        <v>3379011041581</v>
      </c>
    </row>
    <row r="2851" spans="1:9" x14ac:dyDescent="0.3">
      <c r="A2851" s="17" t="str">
        <f t="shared" si="122"/>
        <v>2010948</v>
      </c>
      <c r="B2851" s="17">
        <v>201</v>
      </c>
      <c r="C2851" s="17">
        <v>948</v>
      </c>
      <c r="D2851" s="17" t="s">
        <v>917</v>
      </c>
      <c r="E2851" s="17">
        <v>0</v>
      </c>
      <c r="F2851" s="17" t="s">
        <v>918</v>
      </c>
      <c r="G2851" s="17">
        <f t="shared" si="123"/>
        <v>3412801151996</v>
      </c>
      <c r="H2851" s="17" t="s">
        <v>919</v>
      </c>
      <c r="I2851" s="17">
        <f t="shared" si="121"/>
        <v>3412801151996</v>
      </c>
    </row>
    <row r="2852" spans="1:9" x14ac:dyDescent="0.3">
      <c r="A2852" s="17" t="str">
        <f t="shared" si="122"/>
        <v>2010949</v>
      </c>
      <c r="B2852" s="17">
        <v>201</v>
      </c>
      <c r="C2852" s="17">
        <v>949</v>
      </c>
      <c r="D2852" s="17" t="s">
        <v>917</v>
      </c>
      <c r="E2852" s="17">
        <v>0</v>
      </c>
      <c r="F2852" s="17" t="s">
        <v>918</v>
      </c>
      <c r="G2852" s="17">
        <f t="shared" si="123"/>
        <v>3446929163515</v>
      </c>
      <c r="H2852" s="17" t="s">
        <v>919</v>
      </c>
      <c r="I2852" s="17">
        <f t="shared" si="121"/>
        <v>3446929163515</v>
      </c>
    </row>
    <row r="2853" spans="1:9" x14ac:dyDescent="0.3">
      <c r="A2853" s="17" t="str">
        <f t="shared" si="122"/>
        <v>2010950</v>
      </c>
      <c r="B2853" s="17">
        <v>201</v>
      </c>
      <c r="C2853" s="17">
        <v>950</v>
      </c>
      <c r="D2853" s="17" t="s">
        <v>917</v>
      </c>
      <c r="E2853" s="17">
        <v>0</v>
      </c>
      <c r="F2853" s="17" t="s">
        <v>918</v>
      </c>
      <c r="G2853" s="17">
        <f t="shared" si="123"/>
        <v>3481398455150</v>
      </c>
      <c r="H2853" s="17" t="s">
        <v>919</v>
      </c>
      <c r="I2853" s="17">
        <f t="shared" si="121"/>
        <v>3481398455150</v>
      </c>
    </row>
    <row r="2854" spans="1:9" x14ac:dyDescent="0.3">
      <c r="A2854" s="17" t="str">
        <f t="shared" si="122"/>
        <v>2010951</v>
      </c>
      <c r="B2854" s="17">
        <v>201</v>
      </c>
      <c r="C2854" s="17">
        <v>951</v>
      </c>
      <c r="D2854" s="17" t="s">
        <v>917</v>
      </c>
      <c r="E2854" s="17">
        <v>0</v>
      </c>
      <c r="F2854" s="17" t="s">
        <v>918</v>
      </c>
      <c r="G2854" s="17">
        <f t="shared" si="123"/>
        <v>3516212439701</v>
      </c>
      <c r="H2854" s="17" t="s">
        <v>919</v>
      </c>
      <c r="I2854" s="17">
        <f t="shared" si="121"/>
        <v>3516212439701</v>
      </c>
    </row>
    <row r="2855" spans="1:9" x14ac:dyDescent="0.3">
      <c r="A2855" s="17" t="str">
        <f t="shared" si="122"/>
        <v>2010952</v>
      </c>
      <c r="B2855" s="17">
        <v>201</v>
      </c>
      <c r="C2855" s="17">
        <v>952</v>
      </c>
      <c r="D2855" s="17" t="s">
        <v>917</v>
      </c>
      <c r="E2855" s="17">
        <v>0</v>
      </c>
      <c r="F2855" s="17" t="s">
        <v>918</v>
      </c>
      <c r="G2855" s="17">
        <f t="shared" si="123"/>
        <v>3551374564098</v>
      </c>
      <c r="H2855" s="17" t="s">
        <v>919</v>
      </c>
      <c r="I2855" s="17">
        <f t="shared" si="121"/>
        <v>3551374564098</v>
      </c>
    </row>
    <row r="2856" spans="1:9" x14ac:dyDescent="0.3">
      <c r="A2856" s="17" t="str">
        <f t="shared" si="122"/>
        <v>2010953</v>
      </c>
      <c r="B2856" s="17">
        <v>201</v>
      </c>
      <c r="C2856" s="17">
        <v>953</v>
      </c>
      <c r="D2856" s="17" t="s">
        <v>917</v>
      </c>
      <c r="E2856" s="17">
        <v>0</v>
      </c>
      <c r="F2856" s="17" t="s">
        <v>918</v>
      </c>
      <c r="G2856" s="17">
        <f t="shared" si="123"/>
        <v>3586888309738</v>
      </c>
      <c r="H2856" s="17" t="s">
        <v>919</v>
      </c>
      <c r="I2856" s="17">
        <f t="shared" si="121"/>
        <v>3586888309738</v>
      </c>
    </row>
    <row r="2857" spans="1:9" x14ac:dyDescent="0.3">
      <c r="A2857" s="17" t="str">
        <f t="shared" si="122"/>
        <v>2010954</v>
      </c>
      <c r="B2857" s="17">
        <v>201</v>
      </c>
      <c r="C2857" s="17">
        <v>954</v>
      </c>
      <c r="D2857" s="17" t="s">
        <v>917</v>
      </c>
      <c r="E2857" s="17">
        <v>0</v>
      </c>
      <c r="F2857" s="17" t="s">
        <v>918</v>
      </c>
      <c r="G2857" s="17">
        <f t="shared" si="123"/>
        <v>3622757192835</v>
      </c>
      <c r="H2857" s="17" t="s">
        <v>919</v>
      </c>
      <c r="I2857" s="17">
        <f t="shared" si="121"/>
        <v>3622757192835</v>
      </c>
    </row>
    <row r="2858" spans="1:9" x14ac:dyDescent="0.3">
      <c r="A2858" s="17" t="str">
        <f t="shared" si="122"/>
        <v>2010955</v>
      </c>
      <c r="B2858" s="17">
        <v>201</v>
      </c>
      <c r="C2858" s="17">
        <v>955</v>
      </c>
      <c r="D2858" s="17" t="s">
        <v>917</v>
      </c>
      <c r="E2858" s="17">
        <v>0</v>
      </c>
      <c r="F2858" s="17" t="s">
        <v>918</v>
      </c>
      <c r="G2858" s="17">
        <f t="shared" si="123"/>
        <v>3658984764763</v>
      </c>
      <c r="H2858" s="17" t="s">
        <v>919</v>
      </c>
      <c r="I2858" s="17">
        <f t="shared" si="121"/>
        <v>3658984764763</v>
      </c>
    </row>
    <row r="2859" spans="1:9" x14ac:dyDescent="0.3">
      <c r="A2859" s="17" t="str">
        <f t="shared" si="122"/>
        <v>2010956</v>
      </c>
      <c r="B2859" s="17">
        <v>201</v>
      </c>
      <c r="C2859" s="17">
        <v>956</v>
      </c>
      <c r="D2859" s="17" t="s">
        <v>917</v>
      </c>
      <c r="E2859" s="17">
        <v>0</v>
      </c>
      <c r="F2859" s="17" t="s">
        <v>918</v>
      </c>
      <c r="G2859" s="17">
        <f t="shared" si="123"/>
        <v>3695574612410</v>
      </c>
      <c r="H2859" s="17" t="s">
        <v>919</v>
      </c>
      <c r="I2859" s="17">
        <f t="shared" si="121"/>
        <v>3695574612410</v>
      </c>
    </row>
    <row r="2860" spans="1:9" x14ac:dyDescent="0.3">
      <c r="A2860" s="17" t="str">
        <f t="shared" si="122"/>
        <v>2010957</v>
      </c>
      <c r="B2860" s="17">
        <v>201</v>
      </c>
      <c r="C2860" s="17">
        <v>957</v>
      </c>
      <c r="D2860" s="17" t="s">
        <v>917</v>
      </c>
      <c r="E2860" s="17">
        <v>0</v>
      </c>
      <c r="F2860" s="17" t="s">
        <v>918</v>
      </c>
      <c r="G2860" s="17">
        <f t="shared" si="123"/>
        <v>3732530358534</v>
      </c>
      <c r="H2860" s="17" t="s">
        <v>919</v>
      </c>
      <c r="I2860" s="17">
        <f t="shared" si="121"/>
        <v>3732530358534</v>
      </c>
    </row>
    <row r="2861" spans="1:9" x14ac:dyDescent="0.3">
      <c r="A2861" s="17" t="str">
        <f t="shared" si="122"/>
        <v>2010958</v>
      </c>
      <c r="B2861" s="17">
        <v>201</v>
      </c>
      <c r="C2861" s="17">
        <v>958</v>
      </c>
      <c r="D2861" s="17" t="s">
        <v>917</v>
      </c>
      <c r="E2861" s="17">
        <v>0</v>
      </c>
      <c r="F2861" s="17" t="s">
        <v>918</v>
      </c>
      <c r="G2861" s="17">
        <f t="shared" si="123"/>
        <v>3769855662119</v>
      </c>
      <c r="H2861" s="17" t="s">
        <v>919</v>
      </c>
      <c r="I2861" s="17">
        <f t="shared" si="121"/>
        <v>3769855662119</v>
      </c>
    </row>
    <row r="2862" spans="1:9" x14ac:dyDescent="0.3">
      <c r="A2862" s="17" t="str">
        <f t="shared" si="122"/>
        <v>2010959</v>
      </c>
      <c r="B2862" s="17">
        <v>201</v>
      </c>
      <c r="C2862" s="17">
        <v>959</v>
      </c>
      <c r="D2862" s="17" t="s">
        <v>917</v>
      </c>
      <c r="E2862" s="17">
        <v>0</v>
      </c>
      <c r="F2862" s="17" t="s">
        <v>918</v>
      </c>
      <c r="G2862" s="17">
        <f t="shared" si="123"/>
        <v>3807554218740</v>
      </c>
      <c r="H2862" s="17" t="s">
        <v>919</v>
      </c>
      <c r="I2862" s="17">
        <f t="shared" si="121"/>
        <v>3807554218740</v>
      </c>
    </row>
    <row r="2863" spans="1:9" x14ac:dyDescent="0.3">
      <c r="A2863" s="17" t="str">
        <f t="shared" si="122"/>
        <v>2010960</v>
      </c>
      <c r="B2863" s="17">
        <v>201</v>
      </c>
      <c r="C2863" s="17">
        <v>960</v>
      </c>
      <c r="D2863" s="17" t="s">
        <v>917</v>
      </c>
      <c r="E2863" s="17">
        <v>0</v>
      </c>
      <c r="F2863" s="17" t="s">
        <v>918</v>
      </c>
      <c r="G2863" s="17">
        <f t="shared" si="123"/>
        <v>3845629760927</v>
      </c>
      <c r="H2863" s="17" t="s">
        <v>919</v>
      </c>
      <c r="I2863" s="17">
        <f t="shared" si="121"/>
        <v>3845629760927</v>
      </c>
    </row>
    <row r="2864" spans="1:9" x14ac:dyDescent="0.3">
      <c r="A2864" s="17" t="str">
        <f t="shared" si="122"/>
        <v>2010961</v>
      </c>
      <c r="B2864" s="17">
        <v>201</v>
      </c>
      <c r="C2864" s="17">
        <v>961</v>
      </c>
      <c r="D2864" s="17" t="s">
        <v>917</v>
      </c>
      <c r="E2864" s="17">
        <v>0</v>
      </c>
      <c r="F2864" s="17" t="s">
        <v>918</v>
      </c>
      <c r="G2864" s="17">
        <f t="shared" si="123"/>
        <v>3884086058536</v>
      </c>
      <c r="H2864" s="17" t="s">
        <v>919</v>
      </c>
      <c r="I2864" s="17">
        <f t="shared" si="121"/>
        <v>3884086058536</v>
      </c>
    </row>
    <row r="2865" spans="1:9" x14ac:dyDescent="0.3">
      <c r="A2865" s="17" t="str">
        <f t="shared" si="122"/>
        <v>2010962</v>
      </c>
      <c r="B2865" s="17">
        <v>201</v>
      </c>
      <c r="C2865" s="17">
        <v>962</v>
      </c>
      <c r="D2865" s="17" t="s">
        <v>917</v>
      </c>
      <c r="E2865" s="17">
        <v>0</v>
      </c>
      <c r="F2865" s="17" t="s">
        <v>918</v>
      </c>
      <c r="G2865" s="17">
        <f t="shared" si="123"/>
        <v>3922926919121</v>
      </c>
      <c r="H2865" s="17" t="s">
        <v>919</v>
      </c>
      <c r="I2865" s="17">
        <f t="shared" ref="I2865:I2903" si="124">G2865</f>
        <v>3922926919121</v>
      </c>
    </row>
    <row r="2866" spans="1:9" x14ac:dyDescent="0.3">
      <c r="A2866" s="17" t="str">
        <f t="shared" si="122"/>
        <v>2010963</v>
      </c>
      <c r="B2866" s="17">
        <v>201</v>
      </c>
      <c r="C2866" s="17">
        <v>963</v>
      </c>
      <c r="D2866" s="17" t="s">
        <v>917</v>
      </c>
      <c r="E2866" s="17">
        <v>0</v>
      </c>
      <c r="F2866" s="17" t="s">
        <v>918</v>
      </c>
      <c r="G2866" s="17">
        <f t="shared" si="123"/>
        <v>3962156188312</v>
      </c>
      <c r="H2866" s="17" t="s">
        <v>919</v>
      </c>
      <c r="I2866" s="17">
        <f t="shared" si="124"/>
        <v>3962156188312</v>
      </c>
    </row>
    <row r="2867" spans="1:9" x14ac:dyDescent="0.3">
      <c r="A2867" s="17" t="str">
        <f t="shared" si="122"/>
        <v>2010964</v>
      </c>
      <c r="B2867" s="17">
        <v>201</v>
      </c>
      <c r="C2867" s="17">
        <v>964</v>
      </c>
      <c r="D2867" s="17" t="s">
        <v>917</v>
      </c>
      <c r="E2867" s="17">
        <v>0</v>
      </c>
      <c r="F2867" s="17" t="s">
        <v>918</v>
      </c>
      <c r="G2867" s="17">
        <f t="shared" si="123"/>
        <v>4001777750195</v>
      </c>
      <c r="H2867" s="17" t="s">
        <v>919</v>
      </c>
      <c r="I2867" s="17">
        <f t="shared" si="124"/>
        <v>4001777750195</v>
      </c>
    </row>
    <row r="2868" spans="1:9" x14ac:dyDescent="0.3">
      <c r="A2868" s="17" t="str">
        <f t="shared" si="122"/>
        <v>2010965</v>
      </c>
      <c r="B2868" s="17">
        <v>201</v>
      </c>
      <c r="C2868" s="17">
        <v>965</v>
      </c>
      <c r="D2868" s="17" t="s">
        <v>917</v>
      </c>
      <c r="E2868" s="17">
        <v>0</v>
      </c>
      <c r="F2868" s="17" t="s">
        <v>918</v>
      </c>
      <c r="G2868" s="17">
        <f t="shared" si="123"/>
        <v>4041795527696</v>
      </c>
      <c r="H2868" s="17" t="s">
        <v>919</v>
      </c>
      <c r="I2868" s="17">
        <f t="shared" si="124"/>
        <v>4041795527696</v>
      </c>
    </row>
    <row r="2869" spans="1:9" x14ac:dyDescent="0.3">
      <c r="A2869" s="17" t="str">
        <f t="shared" si="122"/>
        <v>2010966</v>
      </c>
      <c r="B2869" s="17">
        <v>201</v>
      </c>
      <c r="C2869" s="17">
        <v>966</v>
      </c>
      <c r="D2869" s="17" t="s">
        <v>917</v>
      </c>
      <c r="E2869" s="17">
        <v>0</v>
      </c>
      <c r="F2869" s="17" t="s">
        <v>918</v>
      </c>
      <c r="G2869" s="17">
        <f t="shared" si="123"/>
        <v>4082213482972</v>
      </c>
      <c r="H2869" s="17" t="s">
        <v>919</v>
      </c>
      <c r="I2869" s="17">
        <f t="shared" si="124"/>
        <v>4082213482972</v>
      </c>
    </row>
    <row r="2870" spans="1:9" x14ac:dyDescent="0.3">
      <c r="A2870" s="17" t="str">
        <f t="shared" si="122"/>
        <v>2010967</v>
      </c>
      <c r="B2870" s="17">
        <v>201</v>
      </c>
      <c r="C2870" s="17">
        <v>967</v>
      </c>
      <c r="D2870" s="17" t="s">
        <v>917</v>
      </c>
      <c r="E2870" s="17">
        <v>0</v>
      </c>
      <c r="F2870" s="17" t="s">
        <v>918</v>
      </c>
      <c r="G2870" s="17">
        <f t="shared" si="123"/>
        <v>4123035617801</v>
      </c>
      <c r="H2870" s="17" t="s">
        <v>919</v>
      </c>
      <c r="I2870" s="17">
        <f t="shared" si="124"/>
        <v>4123035617801</v>
      </c>
    </row>
    <row r="2871" spans="1:9" x14ac:dyDescent="0.3">
      <c r="A2871" s="17" t="str">
        <f t="shared" si="122"/>
        <v>2010968</v>
      </c>
      <c r="B2871" s="17">
        <v>201</v>
      </c>
      <c r="C2871" s="17">
        <v>968</v>
      </c>
      <c r="D2871" s="17" t="s">
        <v>917</v>
      </c>
      <c r="E2871" s="17">
        <v>0</v>
      </c>
      <c r="F2871" s="17" t="s">
        <v>918</v>
      </c>
      <c r="G2871" s="17">
        <f t="shared" si="123"/>
        <v>4164265973979</v>
      </c>
      <c r="H2871" s="17" t="s">
        <v>919</v>
      </c>
      <c r="I2871" s="17">
        <f t="shared" si="124"/>
        <v>4164265973979</v>
      </c>
    </row>
    <row r="2872" spans="1:9" x14ac:dyDescent="0.3">
      <c r="A2872" s="17" t="str">
        <f t="shared" si="122"/>
        <v>2010969</v>
      </c>
      <c r="B2872" s="17">
        <v>201</v>
      </c>
      <c r="C2872" s="17">
        <v>969</v>
      </c>
      <c r="D2872" s="17" t="s">
        <v>917</v>
      </c>
      <c r="E2872" s="17">
        <v>0</v>
      </c>
      <c r="F2872" s="17" t="s">
        <v>918</v>
      </c>
      <c r="G2872" s="17">
        <f t="shared" si="123"/>
        <v>4205908633718</v>
      </c>
      <c r="H2872" s="17" t="s">
        <v>919</v>
      </c>
      <c r="I2872" s="17">
        <f t="shared" si="124"/>
        <v>4205908633718</v>
      </c>
    </row>
    <row r="2873" spans="1:9" x14ac:dyDescent="0.3">
      <c r="A2873" s="17" t="str">
        <f t="shared" si="122"/>
        <v>2010970</v>
      </c>
      <c r="B2873" s="17">
        <v>201</v>
      </c>
      <c r="C2873" s="17">
        <v>970</v>
      </c>
      <c r="D2873" s="17" t="s">
        <v>917</v>
      </c>
      <c r="E2873" s="17">
        <v>0</v>
      </c>
      <c r="F2873" s="17" t="s">
        <v>918</v>
      </c>
      <c r="G2873" s="17">
        <f t="shared" si="123"/>
        <v>4247967720055</v>
      </c>
      <c r="H2873" s="17" t="s">
        <v>919</v>
      </c>
      <c r="I2873" s="17">
        <f t="shared" si="124"/>
        <v>4247967720055</v>
      </c>
    </row>
    <row r="2874" spans="1:9" x14ac:dyDescent="0.3">
      <c r="A2874" s="17" t="str">
        <f t="shared" si="122"/>
        <v>2010971</v>
      </c>
      <c r="B2874" s="17">
        <v>201</v>
      </c>
      <c r="C2874" s="17">
        <v>971</v>
      </c>
      <c r="D2874" s="17" t="s">
        <v>917</v>
      </c>
      <c r="E2874" s="17">
        <v>0</v>
      </c>
      <c r="F2874" s="17" t="s">
        <v>918</v>
      </c>
      <c r="G2874" s="17">
        <f t="shared" si="123"/>
        <v>4290447397255</v>
      </c>
      <c r="H2874" s="17" t="s">
        <v>919</v>
      </c>
      <c r="I2874" s="17">
        <f t="shared" si="124"/>
        <v>4290447397255</v>
      </c>
    </row>
    <row r="2875" spans="1:9" x14ac:dyDescent="0.3">
      <c r="A2875" s="17" t="str">
        <f t="shared" si="122"/>
        <v>2010972</v>
      </c>
      <c r="B2875" s="17">
        <v>201</v>
      </c>
      <c r="C2875" s="17">
        <v>972</v>
      </c>
      <c r="D2875" s="17" t="s">
        <v>917</v>
      </c>
      <c r="E2875" s="17">
        <v>0</v>
      </c>
      <c r="F2875" s="17" t="s">
        <v>918</v>
      </c>
      <c r="G2875" s="17">
        <f t="shared" si="123"/>
        <v>4333351871227</v>
      </c>
      <c r="H2875" s="17" t="s">
        <v>919</v>
      </c>
      <c r="I2875" s="17">
        <f t="shared" si="124"/>
        <v>4333351871227</v>
      </c>
    </row>
    <row r="2876" spans="1:9" x14ac:dyDescent="0.3">
      <c r="A2876" s="17" t="str">
        <f t="shared" si="122"/>
        <v>2010973</v>
      </c>
      <c r="B2876" s="17">
        <v>201</v>
      </c>
      <c r="C2876" s="17">
        <v>973</v>
      </c>
      <c r="D2876" s="17" t="s">
        <v>917</v>
      </c>
      <c r="E2876" s="17">
        <v>0</v>
      </c>
      <c r="F2876" s="17" t="s">
        <v>918</v>
      </c>
      <c r="G2876" s="17">
        <f t="shared" si="123"/>
        <v>4376685389939</v>
      </c>
      <c r="H2876" s="17" t="s">
        <v>919</v>
      </c>
      <c r="I2876" s="17">
        <f t="shared" si="124"/>
        <v>4376685389939</v>
      </c>
    </row>
    <row r="2877" spans="1:9" x14ac:dyDescent="0.3">
      <c r="A2877" s="17" t="str">
        <f t="shared" si="122"/>
        <v>2010974</v>
      </c>
      <c r="B2877" s="17">
        <v>201</v>
      </c>
      <c r="C2877" s="17">
        <v>974</v>
      </c>
      <c r="D2877" s="17" t="s">
        <v>917</v>
      </c>
      <c r="E2877" s="17">
        <v>0</v>
      </c>
      <c r="F2877" s="17" t="s">
        <v>918</v>
      </c>
      <c r="G2877" s="17">
        <f t="shared" si="123"/>
        <v>4420452243838</v>
      </c>
      <c r="H2877" s="17" t="s">
        <v>919</v>
      </c>
      <c r="I2877" s="17">
        <f t="shared" si="124"/>
        <v>4420452243838</v>
      </c>
    </row>
    <row r="2878" spans="1:9" x14ac:dyDescent="0.3">
      <c r="A2878" s="17" t="str">
        <f t="shared" si="122"/>
        <v>2010975</v>
      </c>
      <c r="B2878" s="17">
        <v>201</v>
      </c>
      <c r="C2878" s="17">
        <v>975</v>
      </c>
      <c r="D2878" s="17" t="s">
        <v>917</v>
      </c>
      <c r="E2878" s="17">
        <v>0</v>
      </c>
      <c r="F2878" s="17" t="s">
        <v>918</v>
      </c>
      <c r="G2878" s="17">
        <f t="shared" si="123"/>
        <v>4464656766276</v>
      </c>
      <c r="H2878" s="17" t="s">
        <v>919</v>
      </c>
      <c r="I2878" s="17">
        <f t="shared" si="124"/>
        <v>4464656766276</v>
      </c>
    </row>
    <row r="2879" spans="1:9" x14ac:dyDescent="0.3">
      <c r="A2879" s="17" t="str">
        <f t="shared" si="122"/>
        <v>2010976</v>
      </c>
      <c r="B2879" s="17">
        <v>201</v>
      </c>
      <c r="C2879" s="17">
        <v>976</v>
      </c>
      <c r="D2879" s="17" t="s">
        <v>917</v>
      </c>
      <c r="E2879" s="17">
        <v>0</v>
      </c>
      <c r="F2879" s="17" t="s">
        <v>918</v>
      </c>
      <c r="G2879" s="17">
        <f t="shared" si="123"/>
        <v>4509303333938</v>
      </c>
      <c r="H2879" s="17" t="s">
        <v>919</v>
      </c>
      <c r="I2879" s="17">
        <f t="shared" si="124"/>
        <v>4509303333938</v>
      </c>
    </row>
    <row r="2880" spans="1:9" x14ac:dyDescent="0.3">
      <c r="A2880" s="17" t="str">
        <f t="shared" si="122"/>
        <v>2010977</v>
      </c>
      <c r="B2880" s="17">
        <v>201</v>
      </c>
      <c r="C2880" s="17">
        <v>977</v>
      </c>
      <c r="D2880" s="17" t="s">
        <v>917</v>
      </c>
      <c r="E2880" s="17">
        <v>0</v>
      </c>
      <c r="F2880" s="17" t="s">
        <v>918</v>
      </c>
      <c r="G2880" s="17">
        <f t="shared" si="123"/>
        <v>4554396367277</v>
      </c>
      <c r="H2880" s="17" t="s">
        <v>919</v>
      </c>
      <c r="I2880" s="17">
        <f t="shared" si="124"/>
        <v>4554396367277</v>
      </c>
    </row>
    <row r="2881" spans="1:9" x14ac:dyDescent="0.3">
      <c r="A2881" s="17" t="str">
        <f t="shared" si="122"/>
        <v>2010978</v>
      </c>
      <c r="B2881" s="17">
        <v>201</v>
      </c>
      <c r="C2881" s="17">
        <v>978</v>
      </c>
      <c r="D2881" s="17" t="s">
        <v>917</v>
      </c>
      <c r="E2881" s="17">
        <v>0</v>
      </c>
      <c r="F2881" s="17" t="s">
        <v>918</v>
      </c>
      <c r="G2881" s="17">
        <f t="shared" si="123"/>
        <v>4599940330949</v>
      </c>
      <c r="H2881" s="17" t="s">
        <v>919</v>
      </c>
      <c r="I2881" s="17">
        <f t="shared" si="124"/>
        <v>4599940330949</v>
      </c>
    </row>
    <row r="2882" spans="1:9" x14ac:dyDescent="0.3">
      <c r="A2882" s="17" t="str">
        <f t="shared" si="122"/>
        <v>2010979</v>
      </c>
      <c r="B2882" s="17">
        <v>201</v>
      </c>
      <c r="C2882" s="17">
        <v>979</v>
      </c>
      <c r="D2882" s="17" t="s">
        <v>917</v>
      </c>
      <c r="E2882" s="17">
        <v>0</v>
      </c>
      <c r="F2882" s="17" t="s">
        <v>918</v>
      </c>
      <c r="G2882" s="17">
        <f t="shared" si="123"/>
        <v>4645939734258</v>
      </c>
      <c r="H2882" s="17" t="s">
        <v>919</v>
      </c>
      <c r="I2882" s="17">
        <f t="shared" si="124"/>
        <v>4645939734258</v>
      </c>
    </row>
    <row r="2883" spans="1:9" x14ac:dyDescent="0.3">
      <c r="A2883" s="17" t="str">
        <f t="shared" si="122"/>
        <v>2010980</v>
      </c>
      <c r="B2883" s="17">
        <v>201</v>
      </c>
      <c r="C2883" s="17">
        <v>980</v>
      </c>
      <c r="D2883" s="17" t="s">
        <v>917</v>
      </c>
      <c r="E2883" s="17">
        <v>0</v>
      </c>
      <c r="F2883" s="17" t="s">
        <v>918</v>
      </c>
      <c r="G2883" s="17">
        <f t="shared" si="123"/>
        <v>4692399131600</v>
      </c>
      <c r="H2883" s="17" t="s">
        <v>919</v>
      </c>
      <c r="I2883" s="17">
        <f t="shared" si="124"/>
        <v>4692399131600</v>
      </c>
    </row>
    <row r="2884" spans="1:9" x14ac:dyDescent="0.3">
      <c r="A2884" s="17" t="str">
        <f t="shared" ref="A2884:A2903" si="125">B2884&amp;TEXT(C2884,"0000")</f>
        <v>2010981</v>
      </c>
      <c r="B2884" s="17">
        <v>201</v>
      </c>
      <c r="C2884" s="17">
        <v>981</v>
      </c>
      <c r="D2884" s="17" t="s">
        <v>917</v>
      </c>
      <c r="E2884" s="17">
        <v>0</v>
      </c>
      <c r="F2884" s="17" t="s">
        <v>918</v>
      </c>
      <c r="G2884" s="17">
        <f t="shared" si="123"/>
        <v>4739323122916</v>
      </c>
      <c r="H2884" s="17" t="s">
        <v>919</v>
      </c>
      <c r="I2884" s="17">
        <f t="shared" si="124"/>
        <v>4739323122916</v>
      </c>
    </row>
    <row r="2885" spans="1:9" x14ac:dyDescent="0.3">
      <c r="A2885" s="17" t="str">
        <f t="shared" si="125"/>
        <v>2010982</v>
      </c>
      <c r="B2885" s="17">
        <v>201</v>
      </c>
      <c r="C2885" s="17">
        <v>982</v>
      </c>
      <c r="D2885" s="17" t="s">
        <v>917</v>
      </c>
      <c r="E2885" s="17">
        <v>0</v>
      </c>
      <c r="F2885" s="17" t="s">
        <v>918</v>
      </c>
      <c r="G2885" s="17">
        <f t="shared" si="123"/>
        <v>4786716354145</v>
      </c>
      <c r="H2885" s="17" t="s">
        <v>919</v>
      </c>
      <c r="I2885" s="17">
        <f t="shared" si="124"/>
        <v>4786716354145</v>
      </c>
    </row>
    <row r="2886" spans="1:9" x14ac:dyDescent="0.3">
      <c r="A2886" s="17" t="str">
        <f t="shared" si="125"/>
        <v>2010983</v>
      </c>
      <c r="B2886" s="17">
        <v>201</v>
      </c>
      <c r="C2886" s="17">
        <v>983</v>
      </c>
      <c r="D2886" s="17" t="s">
        <v>917</v>
      </c>
      <c r="E2886" s="17">
        <v>0</v>
      </c>
      <c r="F2886" s="17" t="s">
        <v>918</v>
      </c>
      <c r="G2886" s="17">
        <f t="shared" si="123"/>
        <v>4834583517686</v>
      </c>
      <c r="H2886" s="17" t="s">
        <v>919</v>
      </c>
      <c r="I2886" s="17">
        <f t="shared" si="124"/>
        <v>4834583517686</v>
      </c>
    </row>
    <row r="2887" spans="1:9" x14ac:dyDescent="0.3">
      <c r="A2887" s="17" t="str">
        <f t="shared" si="125"/>
        <v>2010984</v>
      </c>
      <c r="B2887" s="17">
        <v>201</v>
      </c>
      <c r="C2887" s="17">
        <v>984</v>
      </c>
      <c r="D2887" s="17" t="s">
        <v>917</v>
      </c>
      <c r="E2887" s="17">
        <v>0</v>
      </c>
      <c r="F2887" s="17" t="s">
        <v>918</v>
      </c>
      <c r="G2887" s="17">
        <f t="shared" si="123"/>
        <v>4882929352862</v>
      </c>
      <c r="H2887" s="17" t="s">
        <v>919</v>
      </c>
      <c r="I2887" s="17">
        <f t="shared" si="124"/>
        <v>4882929352862</v>
      </c>
    </row>
    <row r="2888" spans="1:9" x14ac:dyDescent="0.3">
      <c r="A2888" s="17" t="str">
        <f t="shared" si="125"/>
        <v>2010985</v>
      </c>
      <c r="B2888" s="17">
        <v>201</v>
      </c>
      <c r="C2888" s="17">
        <v>985</v>
      </c>
      <c r="D2888" s="17" t="s">
        <v>917</v>
      </c>
      <c r="E2888" s="17">
        <v>0</v>
      </c>
      <c r="F2888" s="17" t="s">
        <v>918</v>
      </c>
      <c r="G2888" s="17">
        <f t="shared" si="123"/>
        <v>4931758646390</v>
      </c>
      <c r="H2888" s="17" t="s">
        <v>919</v>
      </c>
      <c r="I2888" s="17">
        <f t="shared" si="124"/>
        <v>4931758646390</v>
      </c>
    </row>
    <row r="2889" spans="1:9" x14ac:dyDescent="0.3">
      <c r="A2889" s="17" t="str">
        <f t="shared" si="125"/>
        <v>2010986</v>
      </c>
      <c r="B2889" s="17">
        <v>201</v>
      </c>
      <c r="C2889" s="17">
        <v>986</v>
      </c>
      <c r="D2889" s="17" t="s">
        <v>917</v>
      </c>
      <c r="E2889" s="17">
        <v>0</v>
      </c>
      <c r="F2889" s="17" t="s">
        <v>918</v>
      </c>
      <c r="G2889" s="17">
        <f t="shared" si="123"/>
        <v>4981076232853</v>
      </c>
      <c r="H2889" s="17" t="s">
        <v>919</v>
      </c>
      <c r="I2889" s="17">
        <f t="shared" si="124"/>
        <v>4981076232853</v>
      </c>
    </row>
    <row r="2890" spans="1:9" x14ac:dyDescent="0.3">
      <c r="A2890" s="17" t="str">
        <f t="shared" si="125"/>
        <v>2010987</v>
      </c>
      <c r="B2890" s="17">
        <v>201</v>
      </c>
      <c r="C2890" s="17">
        <v>987</v>
      </c>
      <c r="D2890" s="17" t="s">
        <v>917</v>
      </c>
      <c r="E2890" s="17">
        <v>0</v>
      </c>
      <c r="F2890" s="17" t="s">
        <v>918</v>
      </c>
      <c r="G2890" s="17">
        <f t="shared" si="123"/>
        <v>5030886995181</v>
      </c>
      <c r="H2890" s="17" t="s">
        <v>919</v>
      </c>
      <c r="I2890" s="17">
        <f t="shared" si="124"/>
        <v>5030886995181</v>
      </c>
    </row>
    <row r="2891" spans="1:9" x14ac:dyDescent="0.3">
      <c r="A2891" s="17" t="str">
        <f t="shared" si="125"/>
        <v>2010988</v>
      </c>
      <c r="B2891" s="17">
        <v>201</v>
      </c>
      <c r="C2891" s="17">
        <v>988</v>
      </c>
      <c r="D2891" s="17" t="s">
        <v>917</v>
      </c>
      <c r="E2891" s="17">
        <v>0</v>
      </c>
      <c r="F2891" s="17" t="s">
        <v>918</v>
      </c>
      <c r="G2891" s="17">
        <f t="shared" si="123"/>
        <v>5081195865132</v>
      </c>
      <c r="H2891" s="17" t="s">
        <v>919</v>
      </c>
      <c r="I2891" s="17">
        <f t="shared" si="124"/>
        <v>5081195865132</v>
      </c>
    </row>
    <row r="2892" spans="1:9" x14ac:dyDescent="0.3">
      <c r="A2892" s="17" t="str">
        <f t="shared" si="125"/>
        <v>2010989</v>
      </c>
      <c r="B2892" s="17">
        <v>201</v>
      </c>
      <c r="C2892" s="17">
        <v>989</v>
      </c>
      <c r="D2892" s="17" t="s">
        <v>917</v>
      </c>
      <c r="E2892" s="17">
        <v>0</v>
      </c>
      <c r="F2892" s="17" t="s">
        <v>918</v>
      </c>
      <c r="G2892" s="17">
        <f t="shared" si="123"/>
        <v>5132007823783</v>
      </c>
      <c r="H2892" s="17" t="s">
        <v>919</v>
      </c>
      <c r="I2892" s="17">
        <f t="shared" si="124"/>
        <v>5132007823783</v>
      </c>
    </row>
    <row r="2893" spans="1:9" x14ac:dyDescent="0.3">
      <c r="A2893" s="17" t="str">
        <f t="shared" si="125"/>
        <v>2010990</v>
      </c>
      <c r="B2893" s="17">
        <v>201</v>
      </c>
      <c r="C2893" s="17">
        <v>990</v>
      </c>
      <c r="D2893" s="17" t="s">
        <v>917</v>
      </c>
      <c r="E2893" s="17">
        <v>0</v>
      </c>
      <c r="F2893" s="17" t="s">
        <v>918</v>
      </c>
      <c r="G2893" s="17">
        <f t="shared" si="123"/>
        <v>5183327902020</v>
      </c>
      <c r="H2893" s="17" t="s">
        <v>919</v>
      </c>
      <c r="I2893" s="17">
        <f t="shared" si="124"/>
        <v>5183327902020</v>
      </c>
    </row>
    <row r="2894" spans="1:9" x14ac:dyDescent="0.3">
      <c r="A2894" s="17" t="str">
        <f t="shared" si="125"/>
        <v>2010991</v>
      </c>
      <c r="B2894" s="17">
        <v>201</v>
      </c>
      <c r="C2894" s="17">
        <v>991</v>
      </c>
      <c r="D2894" s="17" t="s">
        <v>917</v>
      </c>
      <c r="E2894" s="17">
        <v>0</v>
      </c>
      <c r="F2894" s="17" t="s">
        <v>918</v>
      </c>
      <c r="G2894" s="17">
        <f t="shared" si="123"/>
        <v>5235161181040</v>
      </c>
      <c r="H2894" s="17" t="s">
        <v>919</v>
      </c>
      <c r="I2894" s="17">
        <f t="shared" si="124"/>
        <v>5235161181040</v>
      </c>
    </row>
    <row r="2895" spans="1:9" x14ac:dyDescent="0.3">
      <c r="A2895" s="17" t="str">
        <f t="shared" si="125"/>
        <v>2010992</v>
      </c>
      <c r="B2895" s="17">
        <v>201</v>
      </c>
      <c r="C2895" s="17">
        <v>992</v>
      </c>
      <c r="D2895" s="17" t="s">
        <v>917</v>
      </c>
      <c r="E2895" s="17">
        <v>0</v>
      </c>
      <c r="F2895" s="17" t="s">
        <v>918</v>
      </c>
      <c r="G2895" s="17">
        <f t="shared" si="123"/>
        <v>5287512792850</v>
      </c>
      <c r="H2895" s="17" t="s">
        <v>919</v>
      </c>
      <c r="I2895" s="17">
        <f t="shared" si="124"/>
        <v>5287512792850</v>
      </c>
    </row>
    <row r="2896" spans="1:9" x14ac:dyDescent="0.3">
      <c r="A2896" s="17" t="str">
        <f t="shared" si="125"/>
        <v>2010993</v>
      </c>
      <c r="B2896" s="17">
        <v>201</v>
      </c>
      <c r="C2896" s="17">
        <v>993</v>
      </c>
      <c r="D2896" s="17" t="s">
        <v>917</v>
      </c>
      <c r="E2896" s="17">
        <v>0</v>
      </c>
      <c r="F2896" s="17" t="s">
        <v>918</v>
      </c>
      <c r="G2896" s="17">
        <f t="shared" si="123"/>
        <v>5340387920778</v>
      </c>
      <c r="H2896" s="17" t="s">
        <v>919</v>
      </c>
      <c r="I2896" s="17">
        <f t="shared" si="124"/>
        <v>5340387920778</v>
      </c>
    </row>
    <row r="2897" spans="1:9" x14ac:dyDescent="0.3">
      <c r="A2897" s="17" t="str">
        <f t="shared" si="125"/>
        <v>2010994</v>
      </c>
      <c r="B2897" s="17">
        <v>201</v>
      </c>
      <c r="C2897" s="17">
        <v>994</v>
      </c>
      <c r="D2897" s="17" t="s">
        <v>917</v>
      </c>
      <c r="E2897" s="17">
        <v>0</v>
      </c>
      <c r="F2897" s="17" t="s">
        <v>918</v>
      </c>
      <c r="G2897" s="17">
        <f t="shared" si="123"/>
        <v>5393791799985</v>
      </c>
      <c r="H2897" s="17" t="s">
        <v>919</v>
      </c>
      <c r="I2897" s="17">
        <f t="shared" si="124"/>
        <v>5393791799985</v>
      </c>
    </row>
    <row r="2898" spans="1:9" x14ac:dyDescent="0.3">
      <c r="A2898" s="17" t="str">
        <f t="shared" si="125"/>
        <v>2010995</v>
      </c>
      <c r="B2898" s="17">
        <v>201</v>
      </c>
      <c r="C2898" s="17">
        <v>995</v>
      </c>
      <c r="D2898" s="17" t="s">
        <v>917</v>
      </c>
      <c r="E2898" s="17">
        <v>0</v>
      </c>
      <c r="F2898" s="17" t="s">
        <v>918</v>
      </c>
      <c r="G2898" s="17">
        <f t="shared" si="123"/>
        <v>5447729717984</v>
      </c>
      <c r="H2898" s="17" t="s">
        <v>919</v>
      </c>
      <c r="I2898" s="17">
        <f t="shared" si="124"/>
        <v>5447729717984</v>
      </c>
    </row>
    <row r="2899" spans="1:9" x14ac:dyDescent="0.3">
      <c r="A2899" s="17" t="str">
        <f t="shared" si="125"/>
        <v>2010996</v>
      </c>
      <c r="B2899" s="17">
        <v>201</v>
      </c>
      <c r="C2899" s="17">
        <v>996</v>
      </c>
      <c r="D2899" s="17" t="s">
        <v>917</v>
      </c>
      <c r="E2899" s="17">
        <v>0</v>
      </c>
      <c r="F2899" s="17" t="s">
        <v>918</v>
      </c>
      <c r="G2899" s="17">
        <f t="shared" si="123"/>
        <v>5502207015163</v>
      </c>
      <c r="H2899" s="17" t="s">
        <v>919</v>
      </c>
      <c r="I2899" s="17">
        <f t="shared" si="124"/>
        <v>5502207015163</v>
      </c>
    </row>
    <row r="2900" spans="1:9" x14ac:dyDescent="0.3">
      <c r="A2900" s="17" t="str">
        <f t="shared" si="125"/>
        <v>2010997</v>
      </c>
      <c r="B2900" s="17">
        <v>201</v>
      </c>
      <c r="C2900" s="17">
        <v>997</v>
      </c>
      <c r="D2900" s="17" t="s">
        <v>917</v>
      </c>
      <c r="E2900" s="17">
        <v>0</v>
      </c>
      <c r="F2900" s="17" t="s">
        <v>918</v>
      </c>
      <c r="G2900" s="17">
        <f t="shared" si="123"/>
        <v>5557229085314</v>
      </c>
      <c r="H2900" s="17" t="s">
        <v>919</v>
      </c>
      <c r="I2900" s="17">
        <f t="shared" si="124"/>
        <v>5557229085314</v>
      </c>
    </row>
    <row r="2901" spans="1:9" x14ac:dyDescent="0.3">
      <c r="A2901" s="17" t="str">
        <f t="shared" si="125"/>
        <v>2010998</v>
      </c>
      <c r="B2901" s="17">
        <v>201</v>
      </c>
      <c r="C2901" s="17">
        <v>998</v>
      </c>
      <c r="D2901" s="17" t="s">
        <v>917</v>
      </c>
      <c r="E2901" s="17">
        <v>0</v>
      </c>
      <c r="F2901" s="17" t="s">
        <v>918</v>
      </c>
      <c r="G2901" s="17">
        <f t="shared" si="123"/>
        <v>5612801376167</v>
      </c>
      <c r="H2901" s="17" t="s">
        <v>919</v>
      </c>
      <c r="I2901" s="17">
        <f t="shared" si="124"/>
        <v>5612801376167</v>
      </c>
    </row>
    <row r="2902" spans="1:9" x14ac:dyDescent="0.3">
      <c r="A2902" s="17" t="str">
        <f t="shared" si="125"/>
        <v>2010999</v>
      </c>
      <c r="B2902" s="17">
        <v>201</v>
      </c>
      <c r="C2902" s="17">
        <v>999</v>
      </c>
      <c r="D2902" s="17" t="s">
        <v>917</v>
      </c>
      <c r="E2902" s="17">
        <v>0</v>
      </c>
      <c r="F2902" s="17" t="s">
        <v>918</v>
      </c>
      <c r="G2902" s="17">
        <f t="shared" si="123"/>
        <v>5668929389928</v>
      </c>
      <c r="H2902" s="17" t="s">
        <v>919</v>
      </c>
      <c r="I2902" s="17">
        <f t="shared" si="124"/>
        <v>5668929389928</v>
      </c>
    </row>
    <row r="2903" spans="1:9" x14ac:dyDescent="0.3">
      <c r="A2903" s="17" t="str">
        <f t="shared" si="125"/>
        <v>2011000</v>
      </c>
      <c r="B2903" s="17">
        <v>201</v>
      </c>
      <c r="C2903" s="17">
        <v>1000</v>
      </c>
      <c r="D2903" s="17" t="s">
        <v>917</v>
      </c>
      <c r="E2903" s="17">
        <v>0</v>
      </c>
      <c r="F2903" s="17" t="s">
        <v>918</v>
      </c>
      <c r="G2903" s="17">
        <f t="shared" si="123"/>
        <v>5725618683827</v>
      </c>
      <c r="H2903" s="17" t="s">
        <v>919</v>
      </c>
      <c r="I2903" s="17">
        <f t="shared" si="124"/>
        <v>5725618683827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03"/>
  <sheetViews>
    <sheetView zoomScaleNormal="100" workbookViewId="0">
      <pane ySplit="3" topLeftCell="A4" activePane="bottomLeft" state="frozen"/>
      <selection pane="bottomLeft" activeCell="C5" sqref="C5"/>
    </sheetView>
  </sheetViews>
  <sheetFormatPr defaultRowHeight="16.5" x14ac:dyDescent="0.3"/>
  <cols>
    <col min="1" max="2" width="9" style="17" customWidth="1"/>
    <col min="3" max="3" width="18" style="66" bestFit="1" customWidth="1"/>
    <col min="4" max="4" width="8.625" style="66" bestFit="1" customWidth="1"/>
    <col min="5" max="5" width="11.25" style="17" bestFit="1" customWidth="1"/>
  </cols>
  <sheetData>
    <row r="1" spans="1:5" x14ac:dyDescent="0.3">
      <c r="A1" s="21" t="s">
        <v>0</v>
      </c>
      <c r="B1" s="21" t="s">
        <v>916</v>
      </c>
      <c r="C1" s="21" t="s">
        <v>920</v>
      </c>
      <c r="D1" s="21" t="s">
        <v>921</v>
      </c>
      <c r="E1" s="21" t="s">
        <v>922</v>
      </c>
    </row>
    <row r="4" spans="1:5" x14ac:dyDescent="0.3">
      <c r="A4" s="17">
        <v>1</v>
      </c>
      <c r="B4" s="17">
        <v>1</v>
      </c>
      <c r="C4" s="17" t="s">
        <v>923</v>
      </c>
      <c r="D4" s="17">
        <v>3</v>
      </c>
      <c r="E4" s="17">
        <v>919</v>
      </c>
    </row>
    <row r="5" spans="1:5" x14ac:dyDescent="0.3">
      <c r="A5" s="17">
        <v>2</v>
      </c>
      <c r="B5" s="17">
        <v>2</v>
      </c>
      <c r="C5" s="17" t="s">
        <v>923</v>
      </c>
      <c r="D5" s="17">
        <v>3</v>
      </c>
      <c r="E5" s="17">
        <v>995</v>
      </c>
    </row>
    <row r="6" spans="1:5" x14ac:dyDescent="0.3">
      <c r="A6" s="17">
        <v>3</v>
      </c>
      <c r="B6" s="17">
        <v>3</v>
      </c>
      <c r="C6" s="17" t="s">
        <v>923</v>
      </c>
      <c r="D6" s="17">
        <v>3</v>
      </c>
      <c r="E6" s="17">
        <v>1080</v>
      </c>
    </row>
    <row r="7" spans="1:5" x14ac:dyDescent="0.3">
      <c r="A7" s="17">
        <v>4</v>
      </c>
      <c r="B7" s="17">
        <v>4</v>
      </c>
      <c r="C7" s="17" t="s">
        <v>923</v>
      </c>
      <c r="D7" s="17">
        <v>3</v>
      </c>
      <c r="E7" s="17">
        <v>1172</v>
      </c>
    </row>
    <row r="8" spans="1:5" x14ac:dyDescent="0.3">
      <c r="A8" s="17">
        <v>5</v>
      </c>
      <c r="B8" s="17">
        <v>5</v>
      </c>
      <c r="C8" s="17" t="s">
        <v>923</v>
      </c>
      <c r="D8" s="17">
        <v>3</v>
      </c>
      <c r="E8" s="17">
        <v>1274</v>
      </c>
    </row>
    <row r="9" spans="1:5" x14ac:dyDescent="0.3">
      <c r="A9" s="17">
        <v>6</v>
      </c>
      <c r="B9" s="17">
        <v>6</v>
      </c>
      <c r="C9" s="17" t="s">
        <v>923</v>
      </c>
      <c r="D9" s="17">
        <v>3</v>
      </c>
      <c r="E9" s="17">
        <v>1385</v>
      </c>
    </row>
    <row r="10" spans="1:5" x14ac:dyDescent="0.3">
      <c r="A10" s="17">
        <v>7</v>
      </c>
      <c r="B10" s="17">
        <v>7</v>
      </c>
      <c r="C10" s="17" t="s">
        <v>923</v>
      </c>
      <c r="D10" s="17">
        <v>3</v>
      </c>
      <c r="E10" s="17">
        <v>1506</v>
      </c>
    </row>
    <row r="11" spans="1:5" x14ac:dyDescent="0.3">
      <c r="A11" s="17">
        <v>8</v>
      </c>
      <c r="B11" s="17">
        <v>8</v>
      </c>
      <c r="C11" s="17" t="s">
        <v>923</v>
      </c>
      <c r="D11" s="17">
        <v>3</v>
      </c>
      <c r="E11" s="17">
        <v>1637</v>
      </c>
    </row>
    <row r="12" spans="1:5" x14ac:dyDescent="0.3">
      <c r="A12" s="17">
        <v>9</v>
      </c>
      <c r="B12" s="17">
        <v>9</v>
      </c>
      <c r="C12" s="17" t="s">
        <v>923</v>
      </c>
      <c r="D12" s="17">
        <v>3</v>
      </c>
      <c r="E12" s="17">
        <v>1780</v>
      </c>
    </row>
    <row r="13" spans="1:5" x14ac:dyDescent="0.3">
      <c r="A13" s="17">
        <v>10</v>
      </c>
      <c r="B13" s="17">
        <v>10</v>
      </c>
      <c r="C13" s="17" t="s">
        <v>923</v>
      </c>
      <c r="D13" s="17">
        <v>3</v>
      </c>
      <c r="E13" s="17">
        <v>1935</v>
      </c>
    </row>
    <row r="14" spans="1:5" x14ac:dyDescent="0.3">
      <c r="A14" s="17">
        <v>11</v>
      </c>
      <c r="B14" s="17">
        <v>11</v>
      </c>
      <c r="C14" s="17" t="s">
        <v>923</v>
      </c>
      <c r="D14" s="17">
        <v>3</v>
      </c>
      <c r="E14" s="17">
        <v>2103</v>
      </c>
    </row>
    <row r="15" spans="1:5" x14ac:dyDescent="0.3">
      <c r="A15" s="17">
        <v>12</v>
      </c>
      <c r="B15" s="17">
        <v>12</v>
      </c>
      <c r="C15" s="17" t="s">
        <v>923</v>
      </c>
      <c r="D15" s="17">
        <v>3</v>
      </c>
      <c r="E15" s="17">
        <v>2284</v>
      </c>
    </row>
    <row r="16" spans="1:5" x14ac:dyDescent="0.3">
      <c r="A16" s="17">
        <v>13</v>
      </c>
      <c r="B16" s="17">
        <v>13</v>
      </c>
      <c r="C16" s="17" t="s">
        <v>923</v>
      </c>
      <c r="D16" s="17">
        <v>3</v>
      </c>
      <c r="E16" s="17">
        <v>2481</v>
      </c>
    </row>
    <row r="17" spans="1:5" x14ac:dyDescent="0.3">
      <c r="A17" s="17">
        <v>14</v>
      </c>
      <c r="B17" s="17">
        <v>14</v>
      </c>
      <c r="C17" s="17" t="s">
        <v>923</v>
      </c>
      <c r="D17" s="17">
        <v>3</v>
      </c>
      <c r="E17" s="17">
        <v>2693</v>
      </c>
    </row>
    <row r="18" spans="1:5" x14ac:dyDescent="0.3">
      <c r="A18" s="17">
        <v>15</v>
      </c>
      <c r="B18" s="17">
        <v>15</v>
      </c>
      <c r="C18" s="17" t="s">
        <v>923</v>
      </c>
      <c r="D18" s="17">
        <v>3</v>
      </c>
      <c r="E18" s="17">
        <v>2921</v>
      </c>
    </row>
    <row r="19" spans="1:5" x14ac:dyDescent="0.3">
      <c r="A19" s="17">
        <v>16</v>
      </c>
      <c r="B19" s="17">
        <v>16</v>
      </c>
      <c r="C19" s="17" t="s">
        <v>923</v>
      </c>
      <c r="D19" s="17">
        <v>3</v>
      </c>
      <c r="E19" s="17">
        <v>3168</v>
      </c>
    </row>
    <row r="20" spans="1:5" x14ac:dyDescent="0.3">
      <c r="A20" s="17">
        <v>17</v>
      </c>
      <c r="B20" s="17">
        <v>17</v>
      </c>
      <c r="C20" s="17" t="s">
        <v>923</v>
      </c>
      <c r="D20" s="17">
        <v>3</v>
      </c>
      <c r="E20" s="17">
        <v>3434</v>
      </c>
    </row>
    <row r="21" spans="1:5" x14ac:dyDescent="0.3">
      <c r="A21" s="17">
        <v>18</v>
      </c>
      <c r="B21" s="17">
        <v>18</v>
      </c>
      <c r="C21" s="17" t="s">
        <v>923</v>
      </c>
      <c r="D21" s="17">
        <v>3</v>
      </c>
      <c r="E21" s="17">
        <v>3721</v>
      </c>
    </row>
    <row r="22" spans="1:5" x14ac:dyDescent="0.3">
      <c r="A22" s="17">
        <v>19</v>
      </c>
      <c r="B22" s="17">
        <v>19</v>
      </c>
      <c r="C22" s="17" t="s">
        <v>923</v>
      </c>
      <c r="D22" s="17">
        <v>3</v>
      </c>
      <c r="E22" s="17">
        <v>4029</v>
      </c>
    </row>
    <row r="23" spans="1:5" x14ac:dyDescent="0.3">
      <c r="A23" s="17">
        <v>20</v>
      </c>
      <c r="B23" s="17">
        <v>20</v>
      </c>
      <c r="C23" s="17" t="s">
        <v>923</v>
      </c>
      <c r="D23" s="17">
        <v>3</v>
      </c>
      <c r="E23" s="17">
        <v>4362</v>
      </c>
    </row>
    <row r="24" spans="1:5" x14ac:dyDescent="0.3">
      <c r="A24" s="17">
        <v>21</v>
      </c>
      <c r="B24" s="17">
        <v>21</v>
      </c>
      <c r="C24" s="17" t="s">
        <v>923</v>
      </c>
      <c r="D24" s="17">
        <v>3</v>
      </c>
      <c r="E24" s="17">
        <v>4720</v>
      </c>
    </row>
    <row r="25" spans="1:5" x14ac:dyDescent="0.3">
      <c r="A25" s="17">
        <v>22</v>
      </c>
      <c r="B25" s="17">
        <v>22</v>
      </c>
      <c r="C25" s="17" t="s">
        <v>923</v>
      </c>
      <c r="D25" s="17">
        <v>3</v>
      </c>
      <c r="E25" s="17">
        <v>5105</v>
      </c>
    </row>
    <row r="26" spans="1:5" x14ac:dyDescent="0.3">
      <c r="A26" s="17">
        <v>23</v>
      </c>
      <c r="B26" s="17">
        <v>23</v>
      </c>
      <c r="C26" s="17" t="s">
        <v>923</v>
      </c>
      <c r="D26" s="17">
        <v>3</v>
      </c>
      <c r="E26" s="17">
        <v>5520</v>
      </c>
    </row>
    <row r="27" spans="1:5" x14ac:dyDescent="0.3">
      <c r="A27" s="17">
        <v>24</v>
      </c>
      <c r="B27" s="17">
        <v>24</v>
      </c>
      <c r="C27" s="17" t="s">
        <v>923</v>
      </c>
      <c r="D27" s="17">
        <v>3</v>
      </c>
      <c r="E27" s="17">
        <v>5966</v>
      </c>
    </row>
    <row r="28" spans="1:5" x14ac:dyDescent="0.3">
      <c r="A28" s="17">
        <v>25</v>
      </c>
      <c r="B28" s="17">
        <v>25</v>
      </c>
      <c r="C28" s="17" t="s">
        <v>923</v>
      </c>
      <c r="D28" s="17">
        <v>3</v>
      </c>
      <c r="E28" s="17">
        <v>6446</v>
      </c>
    </row>
    <row r="29" spans="1:5" x14ac:dyDescent="0.3">
      <c r="A29" s="17">
        <v>26</v>
      </c>
      <c r="B29" s="17">
        <v>26</v>
      </c>
      <c r="C29" s="17" t="s">
        <v>923</v>
      </c>
      <c r="D29" s="17">
        <v>3</v>
      </c>
      <c r="E29" s="17">
        <v>6963</v>
      </c>
    </row>
    <row r="30" spans="1:5" x14ac:dyDescent="0.3">
      <c r="A30" s="17">
        <v>27</v>
      </c>
      <c r="B30" s="17">
        <v>27</v>
      </c>
      <c r="C30" s="17" t="s">
        <v>923</v>
      </c>
      <c r="D30" s="17">
        <v>3</v>
      </c>
      <c r="E30" s="17">
        <v>7519</v>
      </c>
    </row>
    <row r="31" spans="1:5" x14ac:dyDescent="0.3">
      <c r="A31" s="17">
        <v>28</v>
      </c>
      <c r="B31" s="17">
        <v>28</v>
      </c>
      <c r="C31" s="17" t="s">
        <v>923</v>
      </c>
      <c r="D31" s="17">
        <v>3</v>
      </c>
      <c r="E31" s="17">
        <v>8117</v>
      </c>
    </row>
    <row r="32" spans="1:5" x14ac:dyDescent="0.3">
      <c r="A32" s="17">
        <v>29</v>
      </c>
      <c r="B32" s="17">
        <v>29</v>
      </c>
      <c r="C32" s="17" t="s">
        <v>923</v>
      </c>
      <c r="D32" s="17">
        <v>3</v>
      </c>
      <c r="E32" s="17">
        <v>8761</v>
      </c>
    </row>
    <row r="33" spans="1:5" x14ac:dyDescent="0.3">
      <c r="A33" s="17">
        <v>30</v>
      </c>
      <c r="B33" s="17">
        <v>30</v>
      </c>
      <c r="C33" s="17" t="s">
        <v>923</v>
      </c>
      <c r="D33" s="32">
        <v>3</v>
      </c>
      <c r="E33" s="17">
        <v>9453</v>
      </c>
    </row>
    <row r="34" spans="1:5" x14ac:dyDescent="0.3">
      <c r="A34" s="17">
        <v>31</v>
      </c>
      <c r="B34" s="17">
        <v>31</v>
      </c>
      <c r="C34" s="17" t="s">
        <v>923</v>
      </c>
      <c r="D34" s="17">
        <v>3</v>
      </c>
      <c r="E34" s="17">
        <v>10199</v>
      </c>
    </row>
    <row r="35" spans="1:5" x14ac:dyDescent="0.3">
      <c r="A35" s="17">
        <v>32</v>
      </c>
      <c r="B35" s="17">
        <v>32</v>
      </c>
      <c r="C35" s="17" t="s">
        <v>923</v>
      </c>
      <c r="D35" s="17">
        <v>3</v>
      </c>
      <c r="E35" s="17">
        <v>11001</v>
      </c>
    </row>
    <row r="36" spans="1:5" x14ac:dyDescent="0.3">
      <c r="A36" s="17">
        <v>33</v>
      </c>
      <c r="B36" s="17">
        <v>33</v>
      </c>
      <c r="C36" s="17" t="s">
        <v>923</v>
      </c>
      <c r="D36" s="17">
        <v>3</v>
      </c>
      <c r="E36" s="17">
        <v>11864</v>
      </c>
    </row>
    <row r="37" spans="1:5" x14ac:dyDescent="0.3">
      <c r="A37" s="17">
        <v>34</v>
      </c>
      <c r="B37" s="17">
        <v>34</v>
      </c>
      <c r="C37" s="17" t="s">
        <v>923</v>
      </c>
      <c r="D37" s="17">
        <v>3</v>
      </c>
      <c r="E37" s="17">
        <v>12793</v>
      </c>
    </row>
    <row r="38" spans="1:5" x14ac:dyDescent="0.3">
      <c r="A38" s="17">
        <v>35</v>
      </c>
      <c r="B38" s="17">
        <v>35</v>
      </c>
      <c r="C38" s="17" t="s">
        <v>923</v>
      </c>
      <c r="D38" s="17">
        <v>3</v>
      </c>
      <c r="E38" s="17">
        <v>13793</v>
      </c>
    </row>
    <row r="39" spans="1:5" x14ac:dyDescent="0.3">
      <c r="A39" s="17">
        <v>36</v>
      </c>
      <c r="B39" s="17">
        <v>36</v>
      </c>
      <c r="C39" s="17" t="s">
        <v>923</v>
      </c>
      <c r="D39" s="17">
        <v>3</v>
      </c>
      <c r="E39" s="17">
        <v>14869</v>
      </c>
    </row>
    <row r="40" spans="1:5" x14ac:dyDescent="0.3">
      <c r="A40" s="17">
        <v>37</v>
      </c>
      <c r="B40" s="17">
        <v>37</v>
      </c>
      <c r="C40" s="17" t="s">
        <v>923</v>
      </c>
      <c r="D40" s="17">
        <v>3</v>
      </c>
      <c r="E40" s="17">
        <v>16028</v>
      </c>
    </row>
    <row r="41" spans="1:5" x14ac:dyDescent="0.3">
      <c r="A41" s="17">
        <v>38</v>
      </c>
      <c r="B41" s="17">
        <v>38</v>
      </c>
      <c r="C41" s="17" t="s">
        <v>923</v>
      </c>
      <c r="D41" s="17">
        <v>3</v>
      </c>
      <c r="E41" s="17">
        <v>17275</v>
      </c>
    </row>
    <row r="42" spans="1:5" x14ac:dyDescent="0.3">
      <c r="A42" s="17">
        <v>39</v>
      </c>
      <c r="B42" s="17">
        <v>39</v>
      </c>
      <c r="C42" s="17" t="s">
        <v>923</v>
      </c>
      <c r="D42" s="17">
        <v>3</v>
      </c>
      <c r="E42" s="17">
        <v>18619</v>
      </c>
    </row>
    <row r="43" spans="1:5" x14ac:dyDescent="0.3">
      <c r="A43" s="17">
        <v>40</v>
      </c>
      <c r="B43" s="17">
        <v>40</v>
      </c>
      <c r="C43" s="17" t="s">
        <v>923</v>
      </c>
      <c r="D43" s="17">
        <v>3</v>
      </c>
      <c r="E43" s="17">
        <v>20066</v>
      </c>
    </row>
    <row r="44" spans="1:5" x14ac:dyDescent="0.3">
      <c r="A44" s="17">
        <v>41</v>
      </c>
      <c r="B44" s="17">
        <v>41</v>
      </c>
      <c r="C44" s="17" t="s">
        <v>923</v>
      </c>
      <c r="D44" s="17">
        <v>3</v>
      </c>
      <c r="E44" s="17">
        <v>21624</v>
      </c>
    </row>
    <row r="45" spans="1:5" x14ac:dyDescent="0.3">
      <c r="A45" s="17">
        <v>42</v>
      </c>
      <c r="B45" s="17">
        <v>42</v>
      </c>
      <c r="C45" s="17" t="s">
        <v>923</v>
      </c>
      <c r="D45" s="17">
        <v>3</v>
      </c>
      <c r="E45" s="17">
        <v>23303</v>
      </c>
    </row>
    <row r="46" spans="1:5" x14ac:dyDescent="0.3">
      <c r="A46" s="17">
        <v>43</v>
      </c>
      <c r="B46" s="17">
        <v>43</v>
      </c>
      <c r="C46" s="17" t="s">
        <v>923</v>
      </c>
      <c r="D46" s="17">
        <v>3</v>
      </c>
      <c r="E46" s="17">
        <v>25111</v>
      </c>
    </row>
    <row r="47" spans="1:5" x14ac:dyDescent="0.3">
      <c r="A47" s="17">
        <v>44</v>
      </c>
      <c r="B47" s="17">
        <v>44</v>
      </c>
      <c r="C47" s="17" t="s">
        <v>923</v>
      </c>
      <c r="D47" s="17">
        <v>3</v>
      </c>
      <c r="E47" s="17">
        <v>27059</v>
      </c>
    </row>
    <row r="48" spans="1:5" x14ac:dyDescent="0.3">
      <c r="A48" s="17">
        <v>45</v>
      </c>
      <c r="B48" s="17">
        <v>45</v>
      </c>
      <c r="C48" s="17" t="s">
        <v>923</v>
      </c>
      <c r="D48" s="17">
        <v>3</v>
      </c>
      <c r="E48" s="17">
        <v>29157</v>
      </c>
    </row>
    <row r="49" spans="1:5" x14ac:dyDescent="0.3">
      <c r="A49" s="17">
        <v>46</v>
      </c>
      <c r="B49" s="17">
        <v>46</v>
      </c>
      <c r="C49" s="17" t="s">
        <v>923</v>
      </c>
      <c r="D49" s="17">
        <v>3</v>
      </c>
      <c r="E49" s="17">
        <v>31419</v>
      </c>
    </row>
    <row r="50" spans="1:5" x14ac:dyDescent="0.3">
      <c r="A50" s="17">
        <v>47</v>
      </c>
      <c r="B50" s="17">
        <v>47</v>
      </c>
      <c r="C50" s="17" t="s">
        <v>923</v>
      </c>
      <c r="D50" s="17">
        <v>3</v>
      </c>
      <c r="E50" s="17">
        <v>33856</v>
      </c>
    </row>
    <row r="51" spans="1:5" x14ac:dyDescent="0.3">
      <c r="A51" s="17">
        <v>48</v>
      </c>
      <c r="B51" s="17">
        <v>48</v>
      </c>
      <c r="C51" s="17" t="s">
        <v>923</v>
      </c>
      <c r="D51" s="17">
        <v>3</v>
      </c>
      <c r="E51" s="17">
        <v>36483</v>
      </c>
    </row>
    <row r="52" spans="1:5" x14ac:dyDescent="0.3">
      <c r="A52" s="17">
        <v>49</v>
      </c>
      <c r="B52" s="17">
        <v>49</v>
      </c>
      <c r="C52" s="17" t="s">
        <v>923</v>
      </c>
      <c r="D52" s="17">
        <v>3</v>
      </c>
      <c r="E52" s="17">
        <v>39314</v>
      </c>
    </row>
    <row r="53" spans="1:5" x14ac:dyDescent="0.3">
      <c r="A53" s="17">
        <v>50</v>
      </c>
      <c r="B53" s="17">
        <v>50</v>
      </c>
      <c r="C53" s="17" t="s">
        <v>923</v>
      </c>
      <c r="D53" s="17">
        <v>3</v>
      </c>
      <c r="E53" s="17">
        <v>42366</v>
      </c>
    </row>
    <row r="54" spans="1:5" x14ac:dyDescent="0.3">
      <c r="A54" s="17">
        <v>51</v>
      </c>
      <c r="B54" s="17">
        <v>51</v>
      </c>
      <c r="C54" s="17" t="s">
        <v>923</v>
      </c>
      <c r="D54" s="17">
        <v>3</v>
      </c>
      <c r="E54" s="17">
        <v>45657</v>
      </c>
    </row>
    <row r="55" spans="1:5" x14ac:dyDescent="0.3">
      <c r="A55" s="17">
        <v>52</v>
      </c>
      <c r="B55" s="17">
        <v>52</v>
      </c>
      <c r="C55" s="17" t="s">
        <v>923</v>
      </c>
      <c r="D55" s="17">
        <v>3</v>
      </c>
      <c r="E55" s="17">
        <v>49204</v>
      </c>
    </row>
    <row r="56" spans="1:5" x14ac:dyDescent="0.3">
      <c r="A56" s="17">
        <v>53</v>
      </c>
      <c r="B56" s="17">
        <v>53</v>
      </c>
      <c r="C56" s="17" t="s">
        <v>923</v>
      </c>
      <c r="D56" s="17">
        <v>3</v>
      </c>
      <c r="E56" s="17">
        <v>53029</v>
      </c>
    </row>
    <row r="57" spans="1:5" x14ac:dyDescent="0.3">
      <c r="A57" s="17">
        <v>54</v>
      </c>
      <c r="B57" s="17">
        <v>54</v>
      </c>
      <c r="C57" s="17" t="s">
        <v>923</v>
      </c>
      <c r="D57" s="17">
        <v>3</v>
      </c>
      <c r="E57" s="17">
        <v>57154</v>
      </c>
    </row>
    <row r="58" spans="1:5" x14ac:dyDescent="0.3">
      <c r="A58" s="17">
        <v>55</v>
      </c>
      <c r="B58" s="17">
        <v>55</v>
      </c>
      <c r="C58" s="17" t="s">
        <v>923</v>
      </c>
      <c r="D58" s="17">
        <v>3</v>
      </c>
      <c r="E58" s="17">
        <v>61602</v>
      </c>
    </row>
    <row r="59" spans="1:5" x14ac:dyDescent="0.3">
      <c r="A59" s="17">
        <v>56</v>
      </c>
      <c r="B59" s="17">
        <v>56</v>
      </c>
      <c r="C59" s="17" t="s">
        <v>923</v>
      </c>
      <c r="D59" s="17">
        <v>3</v>
      </c>
      <c r="E59" s="17">
        <v>66399</v>
      </c>
    </row>
    <row r="60" spans="1:5" x14ac:dyDescent="0.3">
      <c r="A60" s="17">
        <v>57</v>
      </c>
      <c r="B60" s="17">
        <v>57</v>
      </c>
      <c r="C60" s="17" t="s">
        <v>923</v>
      </c>
      <c r="D60" s="17">
        <v>3</v>
      </c>
      <c r="E60" s="17">
        <v>71573</v>
      </c>
    </row>
    <row r="61" spans="1:5" x14ac:dyDescent="0.3">
      <c r="A61" s="17">
        <v>58</v>
      </c>
      <c r="B61" s="17">
        <v>58</v>
      </c>
      <c r="C61" s="17" t="s">
        <v>923</v>
      </c>
      <c r="D61" s="17">
        <v>3</v>
      </c>
      <c r="E61" s="17">
        <v>77154</v>
      </c>
    </row>
    <row r="62" spans="1:5" x14ac:dyDescent="0.3">
      <c r="A62" s="17">
        <v>59</v>
      </c>
      <c r="B62" s="17">
        <v>59</v>
      </c>
      <c r="C62" s="17" t="s">
        <v>923</v>
      </c>
      <c r="D62" s="17">
        <v>3</v>
      </c>
      <c r="E62" s="17">
        <v>83174</v>
      </c>
    </row>
    <row r="63" spans="1:5" x14ac:dyDescent="0.3">
      <c r="A63" s="17">
        <v>60</v>
      </c>
      <c r="B63" s="17">
        <v>60</v>
      </c>
      <c r="C63" s="17" t="s">
        <v>923</v>
      </c>
      <c r="D63" s="17">
        <v>3</v>
      </c>
      <c r="E63" s="17">
        <v>89669</v>
      </c>
    </row>
    <row r="64" spans="1:5" x14ac:dyDescent="0.3">
      <c r="A64" s="17">
        <v>61</v>
      </c>
      <c r="B64" s="17">
        <v>61</v>
      </c>
      <c r="C64" s="17" t="s">
        <v>923</v>
      </c>
      <c r="D64" s="17">
        <v>3</v>
      </c>
      <c r="E64" s="17">
        <v>96675</v>
      </c>
    </row>
    <row r="65" spans="1:5" x14ac:dyDescent="0.3">
      <c r="A65" s="17">
        <v>62</v>
      </c>
      <c r="B65" s="17">
        <v>62</v>
      </c>
      <c r="C65" s="17" t="s">
        <v>923</v>
      </c>
      <c r="D65" s="17">
        <v>3</v>
      </c>
      <c r="E65" s="17">
        <v>104234</v>
      </c>
    </row>
    <row r="66" spans="1:5" x14ac:dyDescent="0.3">
      <c r="A66" s="17">
        <v>63</v>
      </c>
      <c r="B66" s="17">
        <v>63</v>
      </c>
      <c r="C66" s="17" t="s">
        <v>923</v>
      </c>
      <c r="D66" s="17">
        <v>3</v>
      </c>
      <c r="E66" s="17">
        <v>112391</v>
      </c>
    </row>
    <row r="67" spans="1:5" x14ac:dyDescent="0.3">
      <c r="A67" s="17">
        <v>64</v>
      </c>
      <c r="B67" s="17">
        <v>64</v>
      </c>
      <c r="C67" s="17" t="s">
        <v>923</v>
      </c>
      <c r="D67" s="17">
        <v>3</v>
      </c>
      <c r="E67" s="17">
        <v>121191</v>
      </c>
    </row>
    <row r="68" spans="1:5" x14ac:dyDescent="0.3">
      <c r="A68" s="17">
        <v>65</v>
      </c>
      <c r="B68" s="17">
        <v>65</v>
      </c>
      <c r="C68" s="17" t="s">
        <v>923</v>
      </c>
      <c r="D68" s="17">
        <v>3</v>
      </c>
      <c r="E68" s="17">
        <v>130688</v>
      </c>
    </row>
    <row r="69" spans="1:5" x14ac:dyDescent="0.3">
      <c r="A69" s="17">
        <v>66</v>
      </c>
      <c r="B69" s="17">
        <v>66</v>
      </c>
      <c r="C69" s="17" t="s">
        <v>923</v>
      </c>
      <c r="D69" s="17">
        <v>3</v>
      </c>
      <c r="E69" s="17">
        <v>140936</v>
      </c>
    </row>
    <row r="70" spans="1:5" x14ac:dyDescent="0.3">
      <c r="A70" s="17">
        <v>67</v>
      </c>
      <c r="B70" s="17">
        <v>67</v>
      </c>
      <c r="C70" s="17" t="s">
        <v>923</v>
      </c>
      <c r="D70" s="17">
        <v>3</v>
      </c>
      <c r="E70" s="17">
        <v>151995</v>
      </c>
    </row>
    <row r="71" spans="1:5" x14ac:dyDescent="0.3">
      <c r="A71" s="17">
        <v>68</v>
      </c>
      <c r="B71" s="17">
        <v>68</v>
      </c>
      <c r="C71" s="17" t="s">
        <v>923</v>
      </c>
      <c r="D71" s="17">
        <v>3</v>
      </c>
      <c r="E71" s="17">
        <v>163931</v>
      </c>
    </row>
    <row r="72" spans="1:5" x14ac:dyDescent="0.3">
      <c r="A72" s="17">
        <v>69</v>
      </c>
      <c r="B72" s="17">
        <v>69</v>
      </c>
      <c r="C72" s="17" t="s">
        <v>923</v>
      </c>
      <c r="D72" s="17">
        <v>3</v>
      </c>
      <c r="E72" s="17">
        <v>176812</v>
      </c>
    </row>
    <row r="73" spans="1:5" x14ac:dyDescent="0.3">
      <c r="A73" s="17">
        <v>70</v>
      </c>
      <c r="B73" s="17">
        <v>70</v>
      </c>
      <c r="C73" s="17" t="s">
        <v>923</v>
      </c>
      <c r="D73" s="17">
        <v>3</v>
      </c>
      <c r="E73" s="17">
        <v>190715</v>
      </c>
    </row>
    <row r="74" spans="1:5" x14ac:dyDescent="0.3">
      <c r="A74" s="17">
        <v>71</v>
      </c>
      <c r="B74" s="17">
        <v>71</v>
      </c>
      <c r="C74" s="17" t="s">
        <v>923</v>
      </c>
      <c r="D74" s="17">
        <v>3</v>
      </c>
      <c r="E74" s="17">
        <v>205722</v>
      </c>
    </row>
    <row r="75" spans="1:5" x14ac:dyDescent="0.3">
      <c r="A75" s="17">
        <v>72</v>
      </c>
      <c r="B75" s="17">
        <v>72</v>
      </c>
      <c r="C75" s="17" t="s">
        <v>923</v>
      </c>
      <c r="D75" s="17">
        <v>3</v>
      </c>
      <c r="E75" s="17">
        <v>221919</v>
      </c>
    </row>
    <row r="76" spans="1:5" x14ac:dyDescent="0.3">
      <c r="A76" s="17">
        <v>73</v>
      </c>
      <c r="B76" s="17">
        <v>73</v>
      </c>
      <c r="C76" s="17" t="s">
        <v>923</v>
      </c>
      <c r="D76" s="17">
        <v>3</v>
      </c>
      <c r="E76" s="17">
        <v>239403</v>
      </c>
    </row>
    <row r="77" spans="1:5" x14ac:dyDescent="0.3">
      <c r="A77" s="17">
        <v>74</v>
      </c>
      <c r="B77" s="17">
        <v>74</v>
      </c>
      <c r="C77" s="17" t="s">
        <v>923</v>
      </c>
      <c r="D77" s="17">
        <v>3</v>
      </c>
      <c r="E77" s="17">
        <v>258276</v>
      </c>
    </row>
    <row r="78" spans="1:5" x14ac:dyDescent="0.3">
      <c r="A78" s="17">
        <v>75</v>
      </c>
      <c r="B78" s="17">
        <v>75</v>
      </c>
      <c r="C78" s="17" t="s">
        <v>923</v>
      </c>
      <c r="D78" s="17">
        <v>3</v>
      </c>
      <c r="E78" s="17">
        <v>278649</v>
      </c>
    </row>
    <row r="79" spans="1:5" x14ac:dyDescent="0.3">
      <c r="A79" s="17">
        <v>76</v>
      </c>
      <c r="B79" s="17">
        <v>76</v>
      </c>
      <c r="C79" s="17" t="s">
        <v>923</v>
      </c>
      <c r="D79" s="17">
        <v>3</v>
      </c>
      <c r="E79" s="17">
        <v>300642</v>
      </c>
    </row>
    <row r="80" spans="1:5" x14ac:dyDescent="0.3">
      <c r="A80" s="17">
        <v>77</v>
      </c>
      <c r="B80" s="17">
        <v>77</v>
      </c>
      <c r="C80" s="17" t="s">
        <v>923</v>
      </c>
      <c r="D80" s="17">
        <v>3</v>
      </c>
      <c r="E80" s="17">
        <v>324384</v>
      </c>
    </row>
    <row r="81" spans="1:5" x14ac:dyDescent="0.3">
      <c r="A81" s="17">
        <v>78</v>
      </c>
      <c r="B81" s="17">
        <v>78</v>
      </c>
      <c r="C81" s="17" t="s">
        <v>923</v>
      </c>
      <c r="D81" s="17">
        <v>3</v>
      </c>
      <c r="E81" s="17">
        <v>350015</v>
      </c>
    </row>
    <row r="82" spans="1:5" x14ac:dyDescent="0.3">
      <c r="A82" s="17">
        <v>79</v>
      </c>
      <c r="B82" s="17">
        <v>79</v>
      </c>
      <c r="C82" s="17" t="s">
        <v>923</v>
      </c>
      <c r="D82" s="17">
        <v>3</v>
      </c>
      <c r="E82" s="17">
        <v>377687</v>
      </c>
    </row>
    <row r="83" spans="1:5" x14ac:dyDescent="0.3">
      <c r="A83" s="17">
        <v>80</v>
      </c>
      <c r="B83" s="17">
        <v>80</v>
      </c>
      <c r="C83" s="17" t="s">
        <v>923</v>
      </c>
      <c r="D83" s="17">
        <v>3</v>
      </c>
      <c r="E83" s="17">
        <v>407562</v>
      </c>
    </row>
    <row r="84" spans="1:5" x14ac:dyDescent="0.3">
      <c r="A84" s="17">
        <v>81</v>
      </c>
      <c r="B84" s="17">
        <v>81</v>
      </c>
      <c r="C84" s="17" t="s">
        <v>923</v>
      </c>
      <c r="D84" s="17">
        <v>3</v>
      </c>
      <c r="E84" s="17">
        <v>439816</v>
      </c>
    </row>
    <row r="85" spans="1:5" x14ac:dyDescent="0.3">
      <c r="A85" s="17">
        <v>82</v>
      </c>
      <c r="B85" s="17">
        <v>82</v>
      </c>
      <c r="C85" s="17" t="s">
        <v>923</v>
      </c>
      <c r="D85" s="17">
        <v>3</v>
      </c>
      <c r="E85" s="17">
        <v>474639</v>
      </c>
    </row>
    <row r="86" spans="1:5" x14ac:dyDescent="0.3">
      <c r="A86" s="17">
        <v>83</v>
      </c>
      <c r="B86" s="17">
        <v>83</v>
      </c>
      <c r="C86" s="17" t="s">
        <v>923</v>
      </c>
      <c r="D86" s="17">
        <v>3</v>
      </c>
      <c r="E86" s="17">
        <v>512237</v>
      </c>
    </row>
    <row r="87" spans="1:5" x14ac:dyDescent="0.3">
      <c r="A87" s="17">
        <v>84</v>
      </c>
      <c r="B87" s="17">
        <v>84</v>
      </c>
      <c r="C87" s="17" t="s">
        <v>923</v>
      </c>
      <c r="D87" s="17">
        <v>3</v>
      </c>
      <c r="E87" s="17">
        <v>552832</v>
      </c>
    </row>
    <row r="88" spans="1:5" x14ac:dyDescent="0.3">
      <c r="A88" s="17">
        <v>85</v>
      </c>
      <c r="B88" s="17">
        <v>85</v>
      </c>
      <c r="C88" s="17" t="s">
        <v>923</v>
      </c>
      <c r="D88" s="17">
        <v>3</v>
      </c>
      <c r="E88" s="17">
        <v>596663</v>
      </c>
    </row>
    <row r="89" spans="1:5" x14ac:dyDescent="0.3">
      <c r="A89" s="17">
        <v>86</v>
      </c>
      <c r="B89" s="17">
        <v>86</v>
      </c>
      <c r="C89" s="17" t="s">
        <v>923</v>
      </c>
      <c r="D89" s="17">
        <v>3</v>
      </c>
      <c r="E89" s="17">
        <v>643989</v>
      </c>
    </row>
    <row r="90" spans="1:5" x14ac:dyDescent="0.3">
      <c r="A90" s="17">
        <v>87</v>
      </c>
      <c r="B90" s="17">
        <v>87</v>
      </c>
      <c r="C90" s="17" t="s">
        <v>923</v>
      </c>
      <c r="D90" s="17">
        <v>3</v>
      </c>
      <c r="E90" s="17">
        <v>695090</v>
      </c>
    </row>
    <row r="91" spans="1:5" x14ac:dyDescent="0.3">
      <c r="A91" s="17">
        <v>88</v>
      </c>
      <c r="B91" s="17">
        <v>88</v>
      </c>
      <c r="C91" s="17" t="s">
        <v>923</v>
      </c>
      <c r="D91" s="17">
        <v>3</v>
      </c>
      <c r="E91" s="17">
        <v>750266</v>
      </c>
    </row>
    <row r="92" spans="1:5" x14ac:dyDescent="0.3">
      <c r="A92" s="17">
        <v>89</v>
      </c>
      <c r="B92" s="17">
        <v>89</v>
      </c>
      <c r="C92" s="17" t="s">
        <v>923</v>
      </c>
      <c r="D92" s="17">
        <v>3</v>
      </c>
      <c r="E92" s="17">
        <v>809845</v>
      </c>
    </row>
    <row r="93" spans="1:5" x14ac:dyDescent="0.3">
      <c r="A93" s="17">
        <v>90</v>
      </c>
      <c r="B93" s="17">
        <v>90</v>
      </c>
      <c r="C93" s="17" t="s">
        <v>923</v>
      </c>
      <c r="D93" s="17">
        <v>3</v>
      </c>
      <c r="E93" s="17">
        <v>874178</v>
      </c>
    </row>
    <row r="94" spans="1:5" x14ac:dyDescent="0.3">
      <c r="A94" s="17">
        <v>91</v>
      </c>
      <c r="B94" s="17">
        <v>91</v>
      </c>
      <c r="C94" s="17" t="s">
        <v>923</v>
      </c>
      <c r="D94" s="17">
        <v>3</v>
      </c>
      <c r="E94" s="17">
        <v>943645</v>
      </c>
    </row>
    <row r="95" spans="1:5" x14ac:dyDescent="0.3">
      <c r="A95" s="17">
        <v>92</v>
      </c>
      <c r="B95" s="17">
        <v>92</v>
      </c>
      <c r="C95" s="17" t="s">
        <v>923</v>
      </c>
      <c r="D95" s="17">
        <v>3</v>
      </c>
      <c r="E95" s="17">
        <v>1018657</v>
      </c>
    </row>
    <row r="96" spans="1:5" x14ac:dyDescent="0.3">
      <c r="A96" s="17">
        <v>93</v>
      </c>
      <c r="B96" s="17">
        <v>93</v>
      </c>
      <c r="C96" s="17" t="s">
        <v>923</v>
      </c>
      <c r="D96" s="17">
        <v>3</v>
      </c>
      <c r="E96" s="17">
        <v>1099658</v>
      </c>
    </row>
    <row r="97" spans="1:5" x14ac:dyDescent="0.3">
      <c r="A97" s="17">
        <v>94</v>
      </c>
      <c r="B97" s="17">
        <v>94</v>
      </c>
      <c r="C97" s="17" t="s">
        <v>923</v>
      </c>
      <c r="D97" s="17">
        <v>3</v>
      </c>
      <c r="E97" s="17">
        <v>1187125</v>
      </c>
    </row>
    <row r="98" spans="1:5" x14ac:dyDescent="0.3">
      <c r="A98" s="17">
        <v>95</v>
      </c>
      <c r="B98" s="17">
        <v>95</v>
      </c>
      <c r="C98" s="17" t="s">
        <v>923</v>
      </c>
      <c r="D98" s="17">
        <v>3</v>
      </c>
      <c r="E98" s="17">
        <v>1281577</v>
      </c>
    </row>
    <row r="99" spans="1:5" x14ac:dyDescent="0.3">
      <c r="A99" s="17">
        <v>96</v>
      </c>
      <c r="B99" s="17">
        <v>96</v>
      </c>
      <c r="C99" s="17" t="s">
        <v>923</v>
      </c>
      <c r="D99" s="17">
        <v>3</v>
      </c>
      <c r="E99" s="17">
        <v>1383573</v>
      </c>
    </row>
    <row r="100" spans="1:5" x14ac:dyDescent="0.3">
      <c r="A100" s="17">
        <v>97</v>
      </c>
      <c r="B100" s="17">
        <v>97</v>
      </c>
      <c r="C100" s="17" t="s">
        <v>923</v>
      </c>
      <c r="D100" s="17">
        <v>3</v>
      </c>
      <c r="E100" s="17">
        <v>1493714</v>
      </c>
    </row>
    <row r="101" spans="1:5" x14ac:dyDescent="0.3">
      <c r="A101" s="17">
        <v>98</v>
      </c>
      <c r="B101" s="17">
        <v>98</v>
      </c>
      <c r="C101" s="17" t="s">
        <v>923</v>
      </c>
      <c r="D101" s="17">
        <v>3</v>
      </c>
      <c r="E101" s="17">
        <v>1612654</v>
      </c>
    </row>
    <row r="102" spans="1:5" x14ac:dyDescent="0.3">
      <c r="A102" s="17">
        <v>99</v>
      </c>
      <c r="B102" s="17">
        <v>99</v>
      </c>
      <c r="C102" s="17" t="s">
        <v>923</v>
      </c>
      <c r="D102" s="17">
        <v>3</v>
      </c>
      <c r="E102" s="17">
        <v>1741095</v>
      </c>
    </row>
    <row r="103" spans="1:5" x14ac:dyDescent="0.3">
      <c r="A103" s="17">
        <v>100</v>
      </c>
      <c r="B103" s="17">
        <v>100</v>
      </c>
      <c r="C103" s="17" t="s">
        <v>923</v>
      </c>
      <c r="D103" s="17">
        <v>3</v>
      </c>
      <c r="E103" s="17">
        <v>1879797</v>
      </c>
    </row>
    <row r="104" spans="1:5" x14ac:dyDescent="0.3">
      <c r="A104" s="17">
        <v>101</v>
      </c>
      <c r="B104" s="17">
        <v>101</v>
      </c>
      <c r="C104" s="17" t="s">
        <v>923</v>
      </c>
      <c r="D104" s="17">
        <v>3</v>
      </c>
      <c r="E104" s="17">
        <v>2029582</v>
      </c>
    </row>
    <row r="105" spans="1:5" x14ac:dyDescent="0.3">
      <c r="A105" s="17">
        <v>102</v>
      </c>
      <c r="B105" s="17">
        <v>102</v>
      </c>
      <c r="C105" s="17" t="s">
        <v>923</v>
      </c>
      <c r="D105" s="17">
        <v>3</v>
      </c>
      <c r="E105" s="17">
        <v>2191335</v>
      </c>
    </row>
    <row r="106" spans="1:5" x14ac:dyDescent="0.3">
      <c r="A106" s="17">
        <v>103</v>
      </c>
      <c r="B106" s="17">
        <v>103</v>
      </c>
      <c r="C106" s="17" t="s">
        <v>923</v>
      </c>
      <c r="D106" s="17">
        <v>3</v>
      </c>
      <c r="E106" s="17">
        <v>2366015</v>
      </c>
    </row>
    <row r="107" spans="1:5" x14ac:dyDescent="0.3">
      <c r="A107" s="17">
        <v>104</v>
      </c>
      <c r="B107" s="17">
        <v>104</v>
      </c>
      <c r="C107" s="17" t="s">
        <v>923</v>
      </c>
      <c r="D107" s="17">
        <v>3</v>
      </c>
      <c r="E107" s="17">
        <v>2554654</v>
      </c>
    </row>
    <row r="108" spans="1:5" x14ac:dyDescent="0.3">
      <c r="A108" s="17">
        <v>105</v>
      </c>
      <c r="B108" s="17">
        <v>105</v>
      </c>
      <c r="C108" s="17" t="s">
        <v>923</v>
      </c>
      <c r="D108" s="17">
        <v>3</v>
      </c>
      <c r="E108" s="17">
        <v>2758370</v>
      </c>
    </row>
    <row r="109" spans="1:5" x14ac:dyDescent="0.3">
      <c r="A109" s="17">
        <v>106</v>
      </c>
      <c r="B109" s="17">
        <v>106</v>
      </c>
      <c r="C109" s="17" t="s">
        <v>923</v>
      </c>
      <c r="D109" s="17">
        <v>3</v>
      </c>
      <c r="E109" s="17">
        <v>2978369</v>
      </c>
    </row>
    <row r="110" spans="1:5" x14ac:dyDescent="0.3">
      <c r="A110" s="17">
        <v>107</v>
      </c>
      <c r="B110" s="17">
        <v>107</v>
      </c>
      <c r="C110" s="17" t="s">
        <v>923</v>
      </c>
      <c r="D110" s="17">
        <v>3</v>
      </c>
      <c r="E110" s="17">
        <v>3215953</v>
      </c>
    </row>
    <row r="111" spans="1:5" x14ac:dyDescent="0.3">
      <c r="A111" s="17">
        <v>108</v>
      </c>
      <c r="B111" s="17">
        <v>108</v>
      </c>
      <c r="C111" s="17" t="s">
        <v>923</v>
      </c>
      <c r="D111" s="17">
        <v>3</v>
      </c>
      <c r="E111" s="17">
        <v>3472528</v>
      </c>
    </row>
    <row r="112" spans="1:5" x14ac:dyDescent="0.3">
      <c r="A112" s="17">
        <v>109</v>
      </c>
      <c r="B112" s="17">
        <v>109</v>
      </c>
      <c r="C112" s="17" t="s">
        <v>923</v>
      </c>
      <c r="D112" s="17">
        <v>3</v>
      </c>
      <c r="E112" s="17">
        <v>3749614</v>
      </c>
    </row>
    <row r="113" spans="1:5" x14ac:dyDescent="0.3">
      <c r="A113" s="17">
        <v>110</v>
      </c>
      <c r="B113" s="17">
        <v>110</v>
      </c>
      <c r="C113" s="17" t="s">
        <v>923</v>
      </c>
      <c r="D113" s="17">
        <v>3</v>
      </c>
      <c r="E113" s="17">
        <v>4048852</v>
      </c>
    </row>
    <row r="114" spans="1:5" x14ac:dyDescent="0.3">
      <c r="A114" s="17">
        <v>111</v>
      </c>
      <c r="B114" s="17">
        <v>111</v>
      </c>
      <c r="C114" s="17" t="s">
        <v>923</v>
      </c>
      <c r="D114" s="17">
        <v>3</v>
      </c>
      <c r="E114" s="17">
        <v>4372013</v>
      </c>
    </row>
    <row r="115" spans="1:5" x14ac:dyDescent="0.3">
      <c r="A115" s="17">
        <v>112</v>
      </c>
      <c r="B115" s="17">
        <v>112</v>
      </c>
      <c r="C115" s="17" t="s">
        <v>923</v>
      </c>
      <c r="D115" s="17">
        <v>3</v>
      </c>
      <c r="E115" s="17">
        <v>4721011</v>
      </c>
    </row>
    <row r="116" spans="1:5" x14ac:dyDescent="0.3">
      <c r="A116" s="17">
        <v>113</v>
      </c>
      <c r="B116" s="17">
        <v>113</v>
      </c>
      <c r="C116" s="17" t="s">
        <v>923</v>
      </c>
      <c r="D116" s="17">
        <v>3</v>
      </c>
      <c r="E116" s="17">
        <v>5097913</v>
      </c>
    </row>
    <row r="117" spans="1:5" x14ac:dyDescent="0.3">
      <c r="A117" s="17">
        <v>114</v>
      </c>
      <c r="B117" s="17">
        <v>114</v>
      </c>
      <c r="C117" s="17" t="s">
        <v>923</v>
      </c>
      <c r="D117" s="17">
        <v>3</v>
      </c>
      <c r="E117" s="17">
        <v>5504952</v>
      </c>
    </row>
    <row r="118" spans="1:5" x14ac:dyDescent="0.3">
      <c r="A118" s="17">
        <v>115</v>
      </c>
      <c r="B118" s="17">
        <v>115</v>
      </c>
      <c r="C118" s="17" t="s">
        <v>923</v>
      </c>
      <c r="D118" s="17">
        <v>3</v>
      </c>
      <c r="E118" s="17">
        <v>5944538</v>
      </c>
    </row>
    <row r="119" spans="1:5" x14ac:dyDescent="0.3">
      <c r="A119" s="17">
        <v>116</v>
      </c>
      <c r="B119" s="17">
        <v>116</v>
      </c>
      <c r="C119" s="17" t="s">
        <v>923</v>
      </c>
      <c r="D119" s="17">
        <v>3</v>
      </c>
      <c r="E119" s="17">
        <v>6419274</v>
      </c>
    </row>
    <row r="120" spans="1:5" x14ac:dyDescent="0.3">
      <c r="A120" s="17">
        <v>117</v>
      </c>
      <c r="B120" s="17">
        <v>117</v>
      </c>
      <c r="C120" s="17" t="s">
        <v>923</v>
      </c>
      <c r="D120" s="17">
        <v>3</v>
      </c>
      <c r="E120" s="17">
        <v>6931972</v>
      </c>
    </row>
    <row r="121" spans="1:5" x14ac:dyDescent="0.3">
      <c r="A121" s="17">
        <v>118</v>
      </c>
      <c r="B121" s="17">
        <v>118</v>
      </c>
      <c r="C121" s="17" t="s">
        <v>923</v>
      </c>
      <c r="D121" s="17">
        <v>3</v>
      </c>
      <c r="E121" s="17">
        <v>7485670</v>
      </c>
    </row>
    <row r="122" spans="1:5" x14ac:dyDescent="0.3">
      <c r="A122" s="17">
        <v>119</v>
      </c>
      <c r="B122" s="17">
        <v>119</v>
      </c>
      <c r="C122" s="17" t="s">
        <v>923</v>
      </c>
      <c r="D122" s="17">
        <v>3</v>
      </c>
      <c r="E122" s="17">
        <v>8083646</v>
      </c>
    </row>
    <row r="123" spans="1:5" x14ac:dyDescent="0.3">
      <c r="A123" s="17">
        <v>120</v>
      </c>
      <c r="B123" s="17">
        <v>120</v>
      </c>
      <c r="C123" s="17" t="s">
        <v>923</v>
      </c>
      <c r="D123" s="17">
        <v>3</v>
      </c>
      <c r="E123" s="17">
        <v>8729444</v>
      </c>
    </row>
    <row r="124" spans="1:5" x14ac:dyDescent="0.3">
      <c r="A124" s="17">
        <v>121</v>
      </c>
      <c r="B124" s="17">
        <v>121</v>
      </c>
      <c r="C124" s="17" t="s">
        <v>923</v>
      </c>
      <c r="D124" s="17">
        <v>3</v>
      </c>
      <c r="E124" s="17">
        <v>9426889</v>
      </c>
    </row>
    <row r="125" spans="1:5" x14ac:dyDescent="0.3">
      <c r="A125" s="17">
        <v>122</v>
      </c>
      <c r="B125" s="17">
        <v>122</v>
      </c>
      <c r="C125" s="17" t="s">
        <v>923</v>
      </c>
      <c r="D125" s="17">
        <v>3</v>
      </c>
      <c r="E125" s="17">
        <v>10180111</v>
      </c>
    </row>
    <row r="126" spans="1:5" x14ac:dyDescent="0.3">
      <c r="A126" s="17">
        <v>123</v>
      </c>
      <c r="B126" s="17">
        <v>123</v>
      </c>
      <c r="C126" s="17" t="s">
        <v>923</v>
      </c>
      <c r="D126" s="17">
        <v>3</v>
      </c>
      <c r="E126" s="17">
        <v>10993575</v>
      </c>
    </row>
    <row r="127" spans="1:5" x14ac:dyDescent="0.3">
      <c r="A127" s="17">
        <v>124</v>
      </c>
      <c r="B127" s="17">
        <v>124</v>
      </c>
      <c r="C127" s="17" t="s">
        <v>923</v>
      </c>
      <c r="D127" s="17">
        <v>3</v>
      </c>
      <c r="E127" s="17">
        <v>11872097</v>
      </c>
    </row>
    <row r="128" spans="1:5" x14ac:dyDescent="0.3">
      <c r="A128" s="17">
        <v>125</v>
      </c>
      <c r="B128" s="17">
        <v>125</v>
      </c>
      <c r="C128" s="17" t="s">
        <v>923</v>
      </c>
      <c r="D128" s="17">
        <v>3</v>
      </c>
      <c r="E128" s="17">
        <v>12820884</v>
      </c>
    </row>
    <row r="129" spans="1:5" x14ac:dyDescent="0.3">
      <c r="A129" s="17">
        <v>126</v>
      </c>
      <c r="B129" s="17">
        <v>126</v>
      </c>
      <c r="C129" s="17" t="s">
        <v>923</v>
      </c>
      <c r="D129" s="17">
        <v>3</v>
      </c>
      <c r="E129" s="17">
        <v>13845556</v>
      </c>
    </row>
    <row r="130" spans="1:5" x14ac:dyDescent="0.3">
      <c r="A130" s="17">
        <v>127</v>
      </c>
      <c r="B130" s="17">
        <v>127</v>
      </c>
      <c r="C130" s="17" t="s">
        <v>923</v>
      </c>
      <c r="D130" s="17">
        <v>3</v>
      </c>
      <c r="E130" s="17">
        <v>14952183</v>
      </c>
    </row>
    <row r="131" spans="1:5" x14ac:dyDescent="0.3">
      <c r="A131" s="17">
        <v>128</v>
      </c>
      <c r="B131" s="17">
        <v>128</v>
      </c>
      <c r="C131" s="17" t="s">
        <v>923</v>
      </c>
      <c r="D131" s="17">
        <v>3</v>
      </c>
      <c r="E131" s="17">
        <v>16147322</v>
      </c>
    </row>
    <row r="132" spans="1:5" x14ac:dyDescent="0.3">
      <c r="A132" s="17">
        <v>129</v>
      </c>
      <c r="B132" s="17">
        <v>129</v>
      </c>
      <c r="C132" s="17" t="s">
        <v>923</v>
      </c>
      <c r="D132" s="17">
        <v>3</v>
      </c>
      <c r="E132" s="17">
        <v>17438054</v>
      </c>
    </row>
    <row r="133" spans="1:5" x14ac:dyDescent="0.3">
      <c r="A133" s="17">
        <v>130</v>
      </c>
      <c r="B133" s="17">
        <v>130</v>
      </c>
      <c r="C133" s="17" t="s">
        <v>923</v>
      </c>
      <c r="D133" s="17">
        <v>3</v>
      </c>
      <c r="E133" s="17">
        <v>18832026</v>
      </c>
    </row>
    <row r="134" spans="1:5" x14ac:dyDescent="0.3">
      <c r="A134" s="17">
        <v>131</v>
      </c>
      <c r="B134" s="17">
        <v>131</v>
      </c>
      <c r="C134" s="17" t="s">
        <v>923</v>
      </c>
      <c r="D134" s="17">
        <v>3</v>
      </c>
      <c r="E134" s="17">
        <v>20337497</v>
      </c>
    </row>
    <row r="135" spans="1:5" x14ac:dyDescent="0.3">
      <c r="A135" s="17">
        <v>132</v>
      </c>
      <c r="B135" s="17">
        <v>132</v>
      </c>
      <c r="C135" s="17" t="s">
        <v>923</v>
      </c>
      <c r="D135" s="17">
        <v>3</v>
      </c>
      <c r="E135" s="17">
        <v>21963387</v>
      </c>
    </row>
    <row r="136" spans="1:5" x14ac:dyDescent="0.3">
      <c r="A136" s="17">
        <v>133</v>
      </c>
      <c r="B136" s="17">
        <v>133</v>
      </c>
      <c r="C136" s="17" t="s">
        <v>923</v>
      </c>
      <c r="D136" s="17">
        <v>3</v>
      </c>
      <c r="E136" s="17">
        <v>23719329</v>
      </c>
    </row>
    <row r="137" spans="1:5" x14ac:dyDescent="0.3">
      <c r="A137" s="17">
        <v>134</v>
      </c>
      <c r="B137" s="17">
        <v>134</v>
      </c>
      <c r="C137" s="17" t="s">
        <v>923</v>
      </c>
      <c r="D137" s="17">
        <v>3</v>
      </c>
      <c r="E137" s="17">
        <v>25615728</v>
      </c>
    </row>
    <row r="138" spans="1:5" x14ac:dyDescent="0.3">
      <c r="A138" s="17">
        <v>135</v>
      </c>
      <c r="B138" s="17">
        <v>135</v>
      </c>
      <c r="C138" s="17" t="s">
        <v>923</v>
      </c>
      <c r="D138" s="17">
        <v>3</v>
      </c>
      <c r="E138" s="17">
        <v>27663818</v>
      </c>
    </row>
    <row r="139" spans="1:5" x14ac:dyDescent="0.3">
      <c r="A139" s="17">
        <v>136</v>
      </c>
      <c r="B139" s="17">
        <v>136</v>
      </c>
      <c r="C139" s="17" t="s">
        <v>923</v>
      </c>
      <c r="D139" s="17">
        <v>3</v>
      </c>
      <c r="E139" s="17">
        <v>29875737</v>
      </c>
    </row>
    <row r="140" spans="1:5" x14ac:dyDescent="0.3">
      <c r="A140" s="17">
        <v>137</v>
      </c>
      <c r="B140" s="17">
        <v>137</v>
      </c>
      <c r="C140" s="17" t="s">
        <v>923</v>
      </c>
      <c r="D140" s="17">
        <v>3</v>
      </c>
      <c r="E140" s="17">
        <v>32264589</v>
      </c>
    </row>
    <row r="141" spans="1:5" x14ac:dyDescent="0.3">
      <c r="A141" s="17">
        <v>138</v>
      </c>
      <c r="B141" s="17">
        <v>138</v>
      </c>
      <c r="C141" s="17" t="s">
        <v>923</v>
      </c>
      <c r="D141" s="17">
        <v>3</v>
      </c>
      <c r="E141" s="17">
        <v>34844530</v>
      </c>
    </row>
    <row r="142" spans="1:5" x14ac:dyDescent="0.3">
      <c r="A142" s="17">
        <v>139</v>
      </c>
      <c r="B142" s="17">
        <v>139</v>
      </c>
      <c r="C142" s="17" t="s">
        <v>923</v>
      </c>
      <c r="D142" s="17">
        <v>3</v>
      </c>
      <c r="E142" s="17">
        <v>37630846</v>
      </c>
    </row>
    <row r="143" spans="1:5" x14ac:dyDescent="0.3">
      <c r="A143" s="17">
        <v>140</v>
      </c>
      <c r="B143" s="17">
        <v>140</v>
      </c>
      <c r="C143" s="17" t="s">
        <v>923</v>
      </c>
      <c r="D143" s="17">
        <v>3</v>
      </c>
      <c r="E143" s="17">
        <v>40640047</v>
      </c>
    </row>
    <row r="144" spans="1:5" x14ac:dyDescent="0.3">
      <c r="A144" s="17">
        <v>141</v>
      </c>
      <c r="B144" s="17">
        <v>141</v>
      </c>
      <c r="C144" s="17" t="s">
        <v>923</v>
      </c>
      <c r="D144" s="17">
        <v>3</v>
      </c>
      <c r="E144" s="17">
        <v>43889963</v>
      </c>
    </row>
    <row r="145" spans="1:5" x14ac:dyDescent="0.3">
      <c r="A145" s="17">
        <v>142</v>
      </c>
      <c r="B145" s="17">
        <v>142</v>
      </c>
      <c r="C145" s="17" t="s">
        <v>923</v>
      </c>
      <c r="D145" s="17">
        <v>3</v>
      </c>
      <c r="E145" s="17">
        <v>47399853</v>
      </c>
    </row>
    <row r="146" spans="1:5" x14ac:dyDescent="0.3">
      <c r="A146" s="17">
        <v>143</v>
      </c>
      <c r="B146" s="17">
        <v>143</v>
      </c>
      <c r="C146" s="17" t="s">
        <v>923</v>
      </c>
      <c r="D146" s="17">
        <v>3</v>
      </c>
      <c r="E146" s="17">
        <v>51190513</v>
      </c>
    </row>
    <row r="147" spans="1:5" x14ac:dyDescent="0.3">
      <c r="A147" s="17">
        <v>144</v>
      </c>
      <c r="B147" s="17">
        <v>144</v>
      </c>
      <c r="C147" s="17" t="s">
        <v>923</v>
      </c>
      <c r="D147" s="17">
        <v>3</v>
      </c>
      <c r="E147" s="17">
        <v>55284405</v>
      </c>
    </row>
    <row r="148" spans="1:5" x14ac:dyDescent="0.3">
      <c r="A148" s="17">
        <v>145</v>
      </c>
      <c r="B148" s="17">
        <v>145</v>
      </c>
      <c r="C148" s="17" t="s">
        <v>923</v>
      </c>
      <c r="D148" s="17">
        <v>3</v>
      </c>
      <c r="E148" s="17">
        <v>59705788</v>
      </c>
    </row>
    <row r="149" spans="1:5" x14ac:dyDescent="0.3">
      <c r="A149" s="17">
        <v>146</v>
      </c>
      <c r="B149" s="17">
        <v>146</v>
      </c>
      <c r="C149" s="17" t="s">
        <v>923</v>
      </c>
      <c r="D149" s="17">
        <v>3</v>
      </c>
      <c r="E149" s="17">
        <v>64480860</v>
      </c>
    </row>
    <row r="150" spans="1:5" x14ac:dyDescent="0.3">
      <c r="A150" s="17">
        <v>147</v>
      </c>
      <c r="B150" s="17">
        <v>147</v>
      </c>
      <c r="C150" s="17" t="s">
        <v>923</v>
      </c>
      <c r="D150" s="17">
        <v>3</v>
      </c>
      <c r="E150" s="17">
        <v>69637916</v>
      </c>
    </row>
    <row r="151" spans="1:5" x14ac:dyDescent="0.3">
      <c r="A151" s="17">
        <v>148</v>
      </c>
      <c r="B151" s="17">
        <v>148</v>
      </c>
      <c r="C151" s="17" t="s">
        <v>923</v>
      </c>
      <c r="D151" s="17">
        <v>3</v>
      </c>
      <c r="E151" s="17">
        <v>75207516</v>
      </c>
    </row>
    <row r="152" spans="1:5" x14ac:dyDescent="0.3">
      <c r="A152" s="17">
        <v>149</v>
      </c>
      <c r="B152" s="17">
        <v>149</v>
      </c>
      <c r="C152" s="17" t="s">
        <v>923</v>
      </c>
      <c r="D152" s="17">
        <v>3</v>
      </c>
      <c r="E152" s="17">
        <v>81222662</v>
      </c>
    </row>
    <row r="153" spans="1:5" x14ac:dyDescent="0.3">
      <c r="A153" s="17">
        <v>150</v>
      </c>
      <c r="B153" s="17">
        <v>150</v>
      </c>
      <c r="C153" s="17" t="s">
        <v>923</v>
      </c>
      <c r="D153" s="17">
        <v>3</v>
      </c>
      <c r="E153" s="17">
        <v>87718998</v>
      </c>
    </row>
    <row r="154" spans="1:5" x14ac:dyDescent="0.3">
      <c r="A154" s="17">
        <v>151</v>
      </c>
      <c r="B154" s="17">
        <v>151</v>
      </c>
      <c r="C154" s="17" t="s">
        <v>923</v>
      </c>
      <c r="D154" s="17">
        <v>3</v>
      </c>
      <c r="E154" s="17">
        <v>94735018</v>
      </c>
    </row>
    <row r="155" spans="1:5" x14ac:dyDescent="0.3">
      <c r="A155" s="17">
        <v>152</v>
      </c>
      <c r="B155" s="17">
        <v>152</v>
      </c>
      <c r="C155" s="17" t="s">
        <v>923</v>
      </c>
      <c r="D155" s="17">
        <v>3</v>
      </c>
      <c r="E155" s="17">
        <v>102312299</v>
      </c>
    </row>
    <row r="156" spans="1:5" x14ac:dyDescent="0.3">
      <c r="A156" s="17">
        <v>153</v>
      </c>
      <c r="B156" s="17">
        <v>153</v>
      </c>
      <c r="C156" s="17" t="s">
        <v>923</v>
      </c>
      <c r="D156" s="17">
        <v>3</v>
      </c>
      <c r="E156" s="17">
        <v>110495739</v>
      </c>
    </row>
    <row r="157" spans="1:5" x14ac:dyDescent="0.3">
      <c r="A157" s="17">
        <v>154</v>
      </c>
      <c r="B157" s="17">
        <v>154</v>
      </c>
      <c r="C157" s="17" t="s">
        <v>923</v>
      </c>
      <c r="D157" s="17">
        <v>3</v>
      </c>
      <c r="E157" s="17">
        <v>119333833</v>
      </c>
    </row>
    <row r="158" spans="1:5" x14ac:dyDescent="0.3">
      <c r="A158" s="17">
        <v>155</v>
      </c>
      <c r="B158" s="17">
        <v>155</v>
      </c>
      <c r="C158" s="17" t="s">
        <v>923</v>
      </c>
      <c r="D158" s="17">
        <v>3</v>
      </c>
      <c r="E158" s="17">
        <v>128878951</v>
      </c>
    </row>
    <row r="159" spans="1:5" x14ac:dyDescent="0.3">
      <c r="A159" s="17">
        <v>156</v>
      </c>
      <c r="B159" s="17">
        <v>156</v>
      </c>
      <c r="C159" s="17" t="s">
        <v>923</v>
      </c>
      <c r="D159" s="17">
        <v>3</v>
      </c>
      <c r="E159" s="17">
        <v>139187656</v>
      </c>
    </row>
    <row r="160" spans="1:5" x14ac:dyDescent="0.3">
      <c r="A160" s="17">
        <v>157</v>
      </c>
      <c r="B160" s="17">
        <v>157</v>
      </c>
      <c r="C160" s="17" t="s">
        <v>923</v>
      </c>
      <c r="D160" s="17">
        <v>3</v>
      </c>
      <c r="E160" s="17">
        <v>150321035</v>
      </c>
    </row>
    <row r="161" spans="1:5" x14ac:dyDescent="0.3">
      <c r="A161" s="17">
        <v>158</v>
      </c>
      <c r="B161" s="17">
        <v>158</v>
      </c>
      <c r="C161" s="17" t="s">
        <v>923</v>
      </c>
      <c r="D161" s="17">
        <v>3</v>
      </c>
      <c r="E161" s="17">
        <v>162345061</v>
      </c>
    </row>
    <row r="162" spans="1:5" x14ac:dyDescent="0.3">
      <c r="A162" s="17">
        <v>159</v>
      </c>
      <c r="B162" s="17">
        <v>159</v>
      </c>
      <c r="C162" s="17" t="s">
        <v>923</v>
      </c>
      <c r="D162" s="17">
        <v>3</v>
      </c>
      <c r="E162" s="17">
        <v>175330985</v>
      </c>
    </row>
    <row r="163" spans="1:5" x14ac:dyDescent="0.3">
      <c r="A163" s="17">
        <v>160</v>
      </c>
      <c r="B163" s="17">
        <v>160</v>
      </c>
      <c r="C163" s="17" t="s">
        <v>923</v>
      </c>
      <c r="D163" s="17">
        <v>3</v>
      </c>
      <c r="E163" s="17">
        <v>189355761</v>
      </c>
    </row>
    <row r="164" spans="1:5" x14ac:dyDescent="0.3">
      <c r="A164" s="17">
        <v>161</v>
      </c>
      <c r="B164" s="17">
        <v>161</v>
      </c>
      <c r="C164" s="17" t="s">
        <v>923</v>
      </c>
      <c r="D164" s="17">
        <v>3</v>
      </c>
      <c r="E164" s="17">
        <v>204502495</v>
      </c>
    </row>
    <row r="165" spans="1:5" x14ac:dyDescent="0.3">
      <c r="A165" s="17">
        <v>162</v>
      </c>
      <c r="B165" s="17">
        <v>162</v>
      </c>
      <c r="C165" s="17" t="s">
        <v>923</v>
      </c>
      <c r="D165" s="17">
        <v>3</v>
      </c>
      <c r="E165" s="17">
        <v>220860943</v>
      </c>
    </row>
    <row r="166" spans="1:5" x14ac:dyDescent="0.3">
      <c r="A166" s="17">
        <v>163</v>
      </c>
      <c r="B166" s="17">
        <v>163</v>
      </c>
      <c r="C166" s="17" t="s">
        <v>923</v>
      </c>
      <c r="D166" s="17">
        <v>3</v>
      </c>
      <c r="E166" s="17">
        <v>238528044</v>
      </c>
    </row>
    <row r="167" spans="1:5" x14ac:dyDescent="0.3">
      <c r="A167" s="17">
        <v>164</v>
      </c>
      <c r="B167" s="17">
        <v>164</v>
      </c>
      <c r="C167" s="17" t="s">
        <v>923</v>
      </c>
      <c r="D167" s="17">
        <v>3</v>
      </c>
      <c r="E167" s="17">
        <v>257608489</v>
      </c>
    </row>
    <row r="168" spans="1:5" x14ac:dyDescent="0.3">
      <c r="A168" s="17">
        <v>165</v>
      </c>
      <c r="B168" s="17">
        <v>165</v>
      </c>
      <c r="C168" s="17" t="s">
        <v>923</v>
      </c>
      <c r="D168" s="17">
        <v>3</v>
      </c>
      <c r="E168" s="17">
        <v>278215346</v>
      </c>
    </row>
    <row r="169" spans="1:5" x14ac:dyDescent="0.3">
      <c r="A169" s="17">
        <v>166</v>
      </c>
      <c r="B169" s="17">
        <v>166</v>
      </c>
      <c r="C169" s="17" t="s">
        <v>923</v>
      </c>
      <c r="D169" s="17">
        <v>3</v>
      </c>
      <c r="E169" s="17">
        <v>300470727</v>
      </c>
    </row>
    <row r="170" spans="1:5" x14ac:dyDescent="0.3">
      <c r="A170" s="17">
        <v>167</v>
      </c>
      <c r="B170" s="17">
        <v>167</v>
      </c>
      <c r="C170" s="17" t="s">
        <v>923</v>
      </c>
      <c r="D170" s="17">
        <v>3</v>
      </c>
      <c r="E170" s="17">
        <v>324506513</v>
      </c>
    </row>
    <row r="171" spans="1:5" x14ac:dyDescent="0.3">
      <c r="A171" s="17">
        <v>168</v>
      </c>
      <c r="B171" s="17">
        <v>168</v>
      </c>
      <c r="C171" s="17" t="s">
        <v>923</v>
      </c>
      <c r="D171" s="17">
        <v>3</v>
      </c>
      <c r="E171" s="17">
        <v>350465138</v>
      </c>
    </row>
    <row r="172" spans="1:5" x14ac:dyDescent="0.3">
      <c r="A172" s="17">
        <v>169</v>
      </c>
      <c r="B172" s="17">
        <v>169</v>
      </c>
      <c r="C172" s="17" t="s">
        <v>923</v>
      </c>
      <c r="D172" s="17">
        <v>3</v>
      </c>
      <c r="E172" s="17">
        <v>378500428</v>
      </c>
    </row>
    <row r="173" spans="1:5" x14ac:dyDescent="0.3">
      <c r="A173" s="17">
        <v>170</v>
      </c>
      <c r="B173" s="17">
        <v>170</v>
      </c>
      <c r="C173" s="17" t="s">
        <v>923</v>
      </c>
      <c r="D173" s="17">
        <v>3</v>
      </c>
      <c r="E173" s="17">
        <v>408778517</v>
      </c>
    </row>
    <row r="174" spans="1:5" x14ac:dyDescent="0.3">
      <c r="A174" s="17">
        <v>171</v>
      </c>
      <c r="B174" s="17">
        <v>171</v>
      </c>
      <c r="C174" s="17" t="s">
        <v>923</v>
      </c>
      <c r="D174" s="17">
        <v>3</v>
      </c>
      <c r="E174" s="17">
        <v>441478827</v>
      </c>
    </row>
    <row r="175" spans="1:5" x14ac:dyDescent="0.3">
      <c r="A175" s="17">
        <v>172</v>
      </c>
      <c r="B175" s="17">
        <v>172</v>
      </c>
      <c r="C175" s="17" t="s">
        <v>923</v>
      </c>
      <c r="D175" s="17">
        <v>3</v>
      </c>
      <c r="E175" s="17">
        <v>476795137</v>
      </c>
    </row>
    <row r="176" spans="1:5" x14ac:dyDescent="0.3">
      <c r="A176" s="17">
        <v>173</v>
      </c>
      <c r="B176" s="17">
        <v>173</v>
      </c>
      <c r="C176" s="17" t="s">
        <v>923</v>
      </c>
      <c r="D176" s="17">
        <v>3</v>
      </c>
      <c r="E176" s="17">
        <v>514936726</v>
      </c>
    </row>
    <row r="177" spans="1:5" x14ac:dyDescent="0.3">
      <c r="A177" s="17">
        <v>174</v>
      </c>
      <c r="B177" s="17">
        <v>174</v>
      </c>
      <c r="C177" s="17" t="s">
        <v>923</v>
      </c>
      <c r="D177" s="17">
        <v>3</v>
      </c>
      <c r="E177" s="17">
        <v>556129617</v>
      </c>
    </row>
    <row r="178" spans="1:5" x14ac:dyDescent="0.3">
      <c r="A178" s="17">
        <v>175</v>
      </c>
      <c r="B178" s="17">
        <v>175</v>
      </c>
      <c r="C178" s="17" t="s">
        <v>923</v>
      </c>
      <c r="D178" s="17">
        <v>3</v>
      </c>
      <c r="E178" s="17">
        <v>600617913</v>
      </c>
    </row>
    <row r="179" spans="1:5" x14ac:dyDescent="0.3">
      <c r="A179" s="17">
        <v>176</v>
      </c>
      <c r="B179" s="17">
        <v>176</v>
      </c>
      <c r="C179" s="17" t="s">
        <v>923</v>
      </c>
      <c r="D179" s="17">
        <v>3</v>
      </c>
      <c r="E179" s="17">
        <v>648665247</v>
      </c>
    </row>
    <row r="180" spans="1:5" x14ac:dyDescent="0.3">
      <c r="A180" s="17">
        <v>177</v>
      </c>
      <c r="B180" s="17">
        <v>177</v>
      </c>
      <c r="C180" s="17" t="s">
        <v>923</v>
      </c>
      <c r="D180" s="17">
        <v>3</v>
      </c>
      <c r="E180" s="17">
        <v>700556342</v>
      </c>
    </row>
    <row r="181" spans="1:5" x14ac:dyDescent="0.3">
      <c r="A181" s="17">
        <v>178</v>
      </c>
      <c r="B181" s="17">
        <v>178</v>
      </c>
      <c r="C181" s="17" t="s">
        <v>923</v>
      </c>
      <c r="D181" s="17">
        <v>3</v>
      </c>
      <c r="E181" s="17">
        <v>756598698</v>
      </c>
    </row>
    <row r="182" spans="1:5" x14ac:dyDescent="0.3">
      <c r="A182" s="17">
        <v>179</v>
      </c>
      <c r="B182" s="17">
        <v>179</v>
      </c>
      <c r="C182" s="17" t="s">
        <v>923</v>
      </c>
      <c r="D182" s="17">
        <v>3</v>
      </c>
      <c r="E182" s="17">
        <v>817124416</v>
      </c>
    </row>
    <row r="183" spans="1:5" x14ac:dyDescent="0.3">
      <c r="A183" s="17">
        <v>180</v>
      </c>
      <c r="B183" s="17">
        <v>180</v>
      </c>
      <c r="C183" s="17" t="s">
        <v>923</v>
      </c>
      <c r="D183" s="17">
        <v>3</v>
      </c>
      <c r="E183" s="17">
        <v>882492165</v>
      </c>
    </row>
    <row r="184" spans="1:5" x14ac:dyDescent="0.3">
      <c r="A184" s="17">
        <v>181</v>
      </c>
      <c r="B184" s="17">
        <v>181</v>
      </c>
      <c r="C184" s="17" t="s">
        <v>923</v>
      </c>
      <c r="D184" s="17">
        <v>3</v>
      </c>
      <c r="E184" s="17">
        <v>953089308</v>
      </c>
    </row>
    <row r="185" spans="1:5" x14ac:dyDescent="0.3">
      <c r="A185" s="17">
        <v>182</v>
      </c>
      <c r="B185" s="17">
        <v>182</v>
      </c>
      <c r="C185" s="17" t="s">
        <v>923</v>
      </c>
      <c r="D185" s="17">
        <v>3</v>
      </c>
      <c r="E185" s="17">
        <v>1029334194</v>
      </c>
    </row>
    <row r="186" spans="1:5" x14ac:dyDescent="0.3">
      <c r="A186" s="17">
        <v>183</v>
      </c>
      <c r="B186" s="17">
        <v>183</v>
      </c>
      <c r="C186" s="17" t="s">
        <v>923</v>
      </c>
      <c r="D186" s="17">
        <v>3</v>
      </c>
      <c r="E186" s="17">
        <v>1111678645</v>
      </c>
    </row>
    <row r="187" spans="1:5" x14ac:dyDescent="0.3">
      <c r="A187" s="17">
        <v>184</v>
      </c>
      <c r="B187" s="17">
        <v>184</v>
      </c>
      <c r="C187" s="17" t="s">
        <v>923</v>
      </c>
      <c r="D187" s="17">
        <v>3</v>
      </c>
      <c r="E187" s="17">
        <v>1200610624</v>
      </c>
    </row>
    <row r="188" spans="1:5" x14ac:dyDescent="0.3">
      <c r="A188" s="17">
        <v>185</v>
      </c>
      <c r="B188" s="17">
        <v>185</v>
      </c>
      <c r="C188" s="17" t="s">
        <v>923</v>
      </c>
      <c r="D188" s="17">
        <v>3</v>
      </c>
      <c r="E188" s="17">
        <v>1296657135</v>
      </c>
    </row>
    <row r="189" spans="1:5" x14ac:dyDescent="0.3">
      <c r="A189" s="17">
        <v>186</v>
      </c>
      <c r="B189" s="17">
        <v>186</v>
      </c>
      <c r="C189" s="17" t="s">
        <v>923</v>
      </c>
      <c r="D189" s="17">
        <v>3</v>
      </c>
      <c r="E189" s="17">
        <v>1400387339</v>
      </c>
    </row>
    <row r="190" spans="1:5" x14ac:dyDescent="0.3">
      <c r="A190" s="17">
        <v>187</v>
      </c>
      <c r="B190" s="17">
        <v>187</v>
      </c>
      <c r="C190" s="17" t="s">
        <v>923</v>
      </c>
      <c r="D190" s="17">
        <v>3</v>
      </c>
      <c r="E190" s="17">
        <v>1512415931</v>
      </c>
    </row>
    <row r="191" spans="1:5" x14ac:dyDescent="0.3">
      <c r="A191" s="17">
        <v>188</v>
      </c>
      <c r="B191" s="17">
        <v>188</v>
      </c>
      <c r="C191" s="17" t="s">
        <v>923</v>
      </c>
      <c r="D191" s="17">
        <v>3</v>
      </c>
      <c r="E191" s="17">
        <v>1633406783</v>
      </c>
    </row>
    <row r="192" spans="1:5" x14ac:dyDescent="0.3">
      <c r="A192" s="17">
        <v>189</v>
      </c>
      <c r="B192" s="17">
        <v>189</v>
      </c>
      <c r="C192" s="17" t="s">
        <v>923</v>
      </c>
      <c r="D192" s="17">
        <v>3</v>
      </c>
      <c r="E192" s="17">
        <v>1764076875</v>
      </c>
    </row>
    <row r="193" spans="1:5" x14ac:dyDescent="0.3">
      <c r="A193" s="17">
        <v>190</v>
      </c>
      <c r="B193" s="17">
        <v>190</v>
      </c>
      <c r="C193" s="17" t="s">
        <v>923</v>
      </c>
      <c r="D193" s="17">
        <v>3</v>
      </c>
      <c r="E193" s="17">
        <v>1905200546</v>
      </c>
    </row>
    <row r="194" spans="1:5" x14ac:dyDescent="0.3">
      <c r="A194" s="17">
        <v>191</v>
      </c>
      <c r="B194" s="17">
        <v>191</v>
      </c>
      <c r="C194" s="17" t="s">
        <v>923</v>
      </c>
      <c r="D194" s="17">
        <v>3</v>
      </c>
      <c r="E194" s="17">
        <v>2057614083</v>
      </c>
    </row>
    <row r="195" spans="1:5" x14ac:dyDescent="0.3">
      <c r="A195" s="17">
        <v>192</v>
      </c>
      <c r="B195" s="17">
        <v>192</v>
      </c>
      <c r="C195" s="17" t="s">
        <v>923</v>
      </c>
      <c r="D195" s="17">
        <v>3</v>
      </c>
      <c r="E195" s="17">
        <v>2222220674</v>
      </c>
    </row>
    <row r="196" spans="1:5" x14ac:dyDescent="0.3">
      <c r="A196" s="17">
        <v>193</v>
      </c>
      <c r="B196" s="17">
        <v>193</v>
      </c>
      <c r="C196" s="17" t="s">
        <v>923</v>
      </c>
      <c r="D196" s="17">
        <v>3</v>
      </c>
      <c r="E196" s="17">
        <v>2399995764</v>
      </c>
    </row>
    <row r="197" spans="1:5" x14ac:dyDescent="0.3">
      <c r="A197" s="17">
        <v>194</v>
      </c>
      <c r="B197" s="17">
        <v>194</v>
      </c>
      <c r="C197" s="17" t="s">
        <v>923</v>
      </c>
      <c r="D197" s="17">
        <v>3</v>
      </c>
      <c r="E197" s="17">
        <v>2591992832</v>
      </c>
    </row>
    <row r="198" spans="1:5" x14ac:dyDescent="0.3">
      <c r="A198" s="17">
        <v>195</v>
      </c>
      <c r="B198" s="17">
        <v>195</v>
      </c>
      <c r="C198" s="17" t="s">
        <v>923</v>
      </c>
      <c r="D198" s="17">
        <v>3</v>
      </c>
      <c r="E198" s="17">
        <v>2799349637</v>
      </c>
    </row>
    <row r="199" spans="1:5" x14ac:dyDescent="0.3">
      <c r="A199" s="17">
        <v>196</v>
      </c>
      <c r="B199" s="17">
        <v>196</v>
      </c>
      <c r="C199" s="17" t="s">
        <v>923</v>
      </c>
      <c r="D199" s="17">
        <v>3</v>
      </c>
      <c r="E199" s="17">
        <v>3023294957</v>
      </c>
    </row>
    <row r="200" spans="1:5" x14ac:dyDescent="0.3">
      <c r="A200" s="17">
        <v>197</v>
      </c>
      <c r="B200" s="17">
        <v>197</v>
      </c>
      <c r="C200" s="17" t="s">
        <v>923</v>
      </c>
      <c r="D200" s="17">
        <v>3</v>
      </c>
      <c r="E200" s="17">
        <v>3265155873</v>
      </c>
    </row>
    <row r="201" spans="1:5" x14ac:dyDescent="0.3">
      <c r="A201" s="17">
        <v>198</v>
      </c>
      <c r="B201" s="17">
        <v>198</v>
      </c>
      <c r="C201" s="17" t="s">
        <v>923</v>
      </c>
      <c r="D201" s="17">
        <v>3</v>
      </c>
      <c r="E201" s="17">
        <v>3526365633</v>
      </c>
    </row>
    <row r="202" spans="1:5" x14ac:dyDescent="0.3">
      <c r="A202" s="17">
        <v>199</v>
      </c>
      <c r="B202" s="17">
        <v>199</v>
      </c>
      <c r="C202" s="17" t="s">
        <v>923</v>
      </c>
      <c r="D202" s="17">
        <v>3</v>
      </c>
      <c r="E202" s="17">
        <v>3808472145</v>
      </c>
    </row>
    <row r="203" spans="1:5" x14ac:dyDescent="0.3">
      <c r="A203" s="17">
        <v>200</v>
      </c>
      <c r="B203" s="17">
        <v>200</v>
      </c>
      <c r="C203" s="17" t="s">
        <v>923</v>
      </c>
      <c r="D203" s="17">
        <v>3</v>
      </c>
      <c r="E203" s="17">
        <v>4113147147</v>
      </c>
    </row>
    <row r="204" spans="1:5" x14ac:dyDescent="0.3">
      <c r="A204" s="17">
        <v>201</v>
      </c>
      <c r="B204" s="17">
        <v>201</v>
      </c>
      <c r="C204" s="17" t="s">
        <v>923</v>
      </c>
      <c r="D204" s="17">
        <v>3</v>
      </c>
      <c r="E204" s="17">
        <v>4442196120</v>
      </c>
    </row>
    <row r="205" spans="1:5" x14ac:dyDescent="0.3">
      <c r="A205" s="17">
        <v>202</v>
      </c>
      <c r="B205" s="17">
        <v>202</v>
      </c>
      <c r="C205" s="17" t="s">
        <v>923</v>
      </c>
      <c r="D205" s="17">
        <v>3</v>
      </c>
      <c r="E205" s="17">
        <v>4797568980</v>
      </c>
    </row>
    <row r="206" spans="1:5" x14ac:dyDescent="0.3">
      <c r="A206" s="17">
        <v>203</v>
      </c>
      <c r="B206" s="17">
        <v>203</v>
      </c>
      <c r="C206" s="17" t="s">
        <v>923</v>
      </c>
      <c r="D206" s="17">
        <v>3</v>
      </c>
      <c r="E206" s="17">
        <v>5181371640</v>
      </c>
    </row>
    <row r="207" spans="1:5" x14ac:dyDescent="0.3">
      <c r="A207" s="17">
        <v>204</v>
      </c>
      <c r="B207" s="17">
        <v>204</v>
      </c>
      <c r="C207" s="17" t="s">
        <v>923</v>
      </c>
      <c r="D207" s="17">
        <v>3</v>
      </c>
      <c r="E207" s="17">
        <v>5595878481</v>
      </c>
    </row>
    <row r="208" spans="1:5" x14ac:dyDescent="0.3">
      <c r="A208" s="17">
        <v>205</v>
      </c>
      <c r="B208" s="17">
        <v>205</v>
      </c>
      <c r="C208" s="17" t="s">
        <v>923</v>
      </c>
      <c r="D208" s="17">
        <v>3</v>
      </c>
      <c r="E208" s="17">
        <v>6043545839</v>
      </c>
    </row>
    <row r="209" spans="1:5" x14ac:dyDescent="0.3">
      <c r="A209" s="17">
        <v>206</v>
      </c>
      <c r="B209" s="17">
        <v>206</v>
      </c>
      <c r="C209" s="17" t="s">
        <v>923</v>
      </c>
      <c r="D209" s="17">
        <v>3</v>
      </c>
      <c r="E209" s="17">
        <v>6527026555</v>
      </c>
    </row>
    <row r="210" spans="1:5" x14ac:dyDescent="0.3">
      <c r="A210" s="17">
        <v>207</v>
      </c>
      <c r="B210" s="17">
        <v>207</v>
      </c>
      <c r="C210" s="17" t="s">
        <v>923</v>
      </c>
      <c r="D210" s="17">
        <v>3</v>
      </c>
      <c r="E210" s="17">
        <v>7049185698</v>
      </c>
    </row>
    <row r="211" spans="1:5" x14ac:dyDescent="0.3">
      <c r="A211" s="17">
        <v>208</v>
      </c>
      <c r="B211" s="17">
        <v>208</v>
      </c>
      <c r="C211" s="17" t="s">
        <v>923</v>
      </c>
      <c r="D211" s="17">
        <v>3</v>
      </c>
      <c r="E211" s="17">
        <v>7613117541</v>
      </c>
    </row>
    <row r="212" spans="1:5" x14ac:dyDescent="0.3">
      <c r="A212" s="17">
        <v>209</v>
      </c>
      <c r="B212" s="17">
        <v>209</v>
      </c>
      <c r="C212" s="17" t="s">
        <v>923</v>
      </c>
      <c r="D212" s="17">
        <v>3</v>
      </c>
      <c r="E212" s="17">
        <v>8222163900</v>
      </c>
    </row>
    <row r="213" spans="1:5" x14ac:dyDescent="0.3">
      <c r="A213" s="17">
        <v>210</v>
      </c>
      <c r="B213" s="17">
        <v>210</v>
      </c>
      <c r="C213" s="17" t="s">
        <v>923</v>
      </c>
      <c r="D213" s="17">
        <v>3</v>
      </c>
      <c r="E213" s="17">
        <v>8879933936</v>
      </c>
    </row>
    <row r="214" spans="1:5" x14ac:dyDescent="0.3">
      <c r="A214" s="17">
        <v>211</v>
      </c>
      <c r="B214" s="17">
        <v>211</v>
      </c>
      <c r="C214" s="17" t="s">
        <v>923</v>
      </c>
      <c r="D214" s="17">
        <v>3</v>
      </c>
      <c r="E214" s="17">
        <v>9590325544</v>
      </c>
    </row>
    <row r="215" spans="1:5" x14ac:dyDescent="0.3">
      <c r="A215" s="17">
        <v>212</v>
      </c>
      <c r="B215" s="17">
        <v>212</v>
      </c>
      <c r="C215" s="17" t="s">
        <v>923</v>
      </c>
      <c r="D215" s="17">
        <v>3</v>
      </c>
      <c r="E215" s="17">
        <v>10357548449</v>
      </c>
    </row>
    <row r="216" spans="1:5" x14ac:dyDescent="0.3">
      <c r="A216" s="17">
        <v>213</v>
      </c>
      <c r="B216" s="17">
        <v>213</v>
      </c>
      <c r="C216" s="17" t="s">
        <v>923</v>
      </c>
      <c r="D216" s="17">
        <v>3</v>
      </c>
      <c r="E216" s="17">
        <v>11186149155</v>
      </c>
    </row>
    <row r="217" spans="1:5" x14ac:dyDescent="0.3">
      <c r="A217" s="17">
        <v>214</v>
      </c>
      <c r="B217" s="17">
        <v>214</v>
      </c>
      <c r="C217" s="17" t="s">
        <v>923</v>
      </c>
      <c r="D217" s="17">
        <v>3</v>
      </c>
      <c r="E217" s="17">
        <v>12081037885</v>
      </c>
    </row>
    <row r="218" spans="1:5" x14ac:dyDescent="0.3">
      <c r="A218" s="17">
        <v>215</v>
      </c>
      <c r="B218" s="17">
        <v>215</v>
      </c>
      <c r="C218" s="17" t="s">
        <v>923</v>
      </c>
      <c r="D218" s="17">
        <v>3</v>
      </c>
      <c r="E218" s="17">
        <v>13047517681</v>
      </c>
    </row>
    <row r="219" spans="1:5" x14ac:dyDescent="0.3">
      <c r="A219" s="17">
        <v>216</v>
      </c>
      <c r="B219" s="17">
        <v>216</v>
      </c>
      <c r="C219" s="17" t="s">
        <v>923</v>
      </c>
      <c r="D219" s="17">
        <v>3</v>
      </c>
      <c r="E219" s="17">
        <v>14091315828</v>
      </c>
    </row>
    <row r="220" spans="1:5" x14ac:dyDescent="0.3">
      <c r="A220" s="17">
        <v>217</v>
      </c>
      <c r="B220" s="17">
        <v>217</v>
      </c>
      <c r="C220" s="17" t="s">
        <v>923</v>
      </c>
      <c r="D220" s="17">
        <v>3</v>
      </c>
      <c r="E220" s="17">
        <v>15218617795</v>
      </c>
    </row>
    <row r="221" spans="1:5" x14ac:dyDescent="0.3">
      <c r="A221" s="17">
        <v>218</v>
      </c>
      <c r="B221" s="17">
        <v>218</v>
      </c>
      <c r="C221" s="17" t="s">
        <v>923</v>
      </c>
      <c r="D221" s="17">
        <v>3</v>
      </c>
      <c r="E221" s="17">
        <v>16436103886</v>
      </c>
    </row>
    <row r="222" spans="1:5" x14ac:dyDescent="0.3">
      <c r="A222" s="17">
        <v>219</v>
      </c>
      <c r="B222" s="17">
        <v>219</v>
      </c>
      <c r="C222" s="17" t="s">
        <v>923</v>
      </c>
      <c r="D222" s="17">
        <v>3</v>
      </c>
      <c r="E222" s="17">
        <v>17750988832</v>
      </c>
    </row>
    <row r="223" spans="1:5" x14ac:dyDescent="0.3">
      <c r="A223" s="17">
        <v>220</v>
      </c>
      <c r="B223" s="17">
        <v>220</v>
      </c>
      <c r="C223" s="17" t="s">
        <v>923</v>
      </c>
      <c r="D223" s="17">
        <v>3</v>
      </c>
      <c r="E223" s="17">
        <v>19171064541</v>
      </c>
    </row>
    <row r="224" spans="1:5" x14ac:dyDescent="0.3">
      <c r="A224" s="17">
        <v>221</v>
      </c>
      <c r="B224" s="17">
        <v>221</v>
      </c>
      <c r="C224" s="17" t="s">
        <v>923</v>
      </c>
      <c r="D224" s="17">
        <v>3</v>
      </c>
      <c r="E224" s="17">
        <v>20704746273</v>
      </c>
    </row>
    <row r="225" spans="1:5" x14ac:dyDescent="0.3">
      <c r="A225" s="17">
        <v>222</v>
      </c>
      <c r="B225" s="17">
        <v>222</v>
      </c>
      <c r="C225" s="17" t="s">
        <v>923</v>
      </c>
      <c r="D225" s="17">
        <v>3</v>
      </c>
      <c r="E225" s="17">
        <v>22361122511</v>
      </c>
    </row>
    <row r="226" spans="1:5" x14ac:dyDescent="0.3">
      <c r="A226" s="17">
        <v>223</v>
      </c>
      <c r="B226" s="17">
        <v>223</v>
      </c>
      <c r="C226" s="17" t="s">
        <v>923</v>
      </c>
      <c r="D226" s="17">
        <v>3</v>
      </c>
      <c r="E226" s="17">
        <v>24150008814</v>
      </c>
    </row>
    <row r="227" spans="1:5" x14ac:dyDescent="0.3">
      <c r="A227" s="17">
        <v>224</v>
      </c>
      <c r="B227" s="17">
        <v>224</v>
      </c>
      <c r="C227" s="17" t="s">
        <v>923</v>
      </c>
      <c r="D227" s="17">
        <v>3</v>
      </c>
      <c r="E227" s="17">
        <v>26082005988</v>
      </c>
    </row>
    <row r="228" spans="1:5" x14ac:dyDescent="0.3">
      <c r="A228" s="17">
        <v>225</v>
      </c>
      <c r="B228" s="17">
        <v>225</v>
      </c>
      <c r="C228" s="17" t="s">
        <v>923</v>
      </c>
      <c r="D228" s="17">
        <v>3</v>
      </c>
      <c r="E228" s="17">
        <v>28168562902</v>
      </c>
    </row>
    <row r="229" spans="1:5" x14ac:dyDescent="0.3">
      <c r="A229" s="17">
        <v>226</v>
      </c>
      <c r="B229" s="17">
        <v>226</v>
      </c>
      <c r="C229" s="17" t="s">
        <v>923</v>
      </c>
      <c r="D229" s="17">
        <v>3</v>
      </c>
      <c r="E229" s="17">
        <v>30422044335</v>
      </c>
    </row>
    <row r="230" spans="1:5" x14ac:dyDescent="0.3">
      <c r="A230" s="17">
        <v>227</v>
      </c>
      <c r="B230" s="17">
        <v>227</v>
      </c>
      <c r="C230" s="17" t="s">
        <v>923</v>
      </c>
      <c r="D230" s="17">
        <v>3</v>
      </c>
      <c r="E230" s="17">
        <v>32855804249</v>
      </c>
    </row>
    <row r="231" spans="1:5" x14ac:dyDescent="0.3">
      <c r="A231" s="17">
        <v>228</v>
      </c>
      <c r="B231" s="17">
        <v>228</v>
      </c>
      <c r="C231" s="17" t="s">
        <v>923</v>
      </c>
      <c r="D231" s="17">
        <v>3</v>
      </c>
      <c r="E231" s="17">
        <v>35484264921</v>
      </c>
    </row>
    <row r="232" spans="1:5" x14ac:dyDescent="0.3">
      <c r="A232" s="17">
        <v>229</v>
      </c>
      <c r="B232" s="17">
        <v>229</v>
      </c>
      <c r="C232" s="17" t="s">
        <v>923</v>
      </c>
      <c r="D232" s="17">
        <v>3</v>
      </c>
      <c r="E232" s="17">
        <v>38323002413</v>
      </c>
    </row>
    <row r="233" spans="1:5" x14ac:dyDescent="0.3">
      <c r="A233" s="17">
        <v>230</v>
      </c>
      <c r="B233" s="17">
        <v>230</v>
      </c>
      <c r="C233" s="17" t="s">
        <v>923</v>
      </c>
      <c r="D233" s="17">
        <v>3</v>
      </c>
      <c r="E233" s="17">
        <v>41388838870</v>
      </c>
    </row>
    <row r="234" spans="1:5" x14ac:dyDescent="0.3">
      <c r="A234" s="17">
        <v>231</v>
      </c>
      <c r="B234" s="17">
        <v>231</v>
      </c>
      <c r="C234" s="17" t="s">
        <v>923</v>
      </c>
      <c r="D234" s="17">
        <v>3</v>
      </c>
      <c r="E234" s="17">
        <v>44699942209</v>
      </c>
    </row>
    <row r="235" spans="1:5" x14ac:dyDescent="0.3">
      <c r="A235" s="17">
        <v>232</v>
      </c>
      <c r="B235" s="17">
        <v>232</v>
      </c>
      <c r="C235" s="17" t="s">
        <v>923</v>
      </c>
      <c r="D235" s="17">
        <v>3</v>
      </c>
      <c r="E235" s="17">
        <v>48275933779</v>
      </c>
    </row>
    <row r="236" spans="1:5" x14ac:dyDescent="0.3">
      <c r="A236" s="17">
        <v>233</v>
      </c>
      <c r="B236" s="17">
        <v>233</v>
      </c>
      <c r="C236" s="17" t="s">
        <v>923</v>
      </c>
      <c r="D236" s="17">
        <v>3</v>
      </c>
      <c r="E236" s="17">
        <v>52138004641</v>
      </c>
    </row>
    <row r="237" spans="1:5" x14ac:dyDescent="0.3">
      <c r="A237" s="17">
        <v>234</v>
      </c>
      <c r="B237" s="17">
        <v>234</v>
      </c>
      <c r="C237" s="17" t="s">
        <v>923</v>
      </c>
      <c r="D237" s="17">
        <v>3</v>
      </c>
      <c r="E237" s="17">
        <v>56309041136</v>
      </c>
    </row>
    <row r="238" spans="1:5" x14ac:dyDescent="0.3">
      <c r="A238" s="17">
        <v>235</v>
      </c>
      <c r="B238" s="17">
        <v>235</v>
      </c>
      <c r="C238" s="17" t="s">
        <v>923</v>
      </c>
      <c r="D238" s="17">
        <v>3</v>
      </c>
      <c r="E238" s="17">
        <v>60813760515</v>
      </c>
    </row>
    <row r="239" spans="1:5" x14ac:dyDescent="0.3">
      <c r="A239" s="17">
        <v>236</v>
      </c>
      <c r="B239" s="17">
        <v>236</v>
      </c>
      <c r="C239" s="17" t="s">
        <v>923</v>
      </c>
      <c r="D239" s="17">
        <v>3</v>
      </c>
      <c r="E239" s="17">
        <v>65678857409</v>
      </c>
    </row>
    <row r="240" spans="1:5" x14ac:dyDescent="0.3">
      <c r="A240" s="17">
        <v>237</v>
      </c>
      <c r="B240" s="17">
        <v>237</v>
      </c>
      <c r="C240" s="17" t="s">
        <v>923</v>
      </c>
      <c r="D240" s="17">
        <v>3</v>
      </c>
      <c r="E240" s="17">
        <v>70933162020</v>
      </c>
    </row>
    <row r="241" spans="1:5" x14ac:dyDescent="0.3">
      <c r="A241" s="17">
        <v>238</v>
      </c>
      <c r="B241" s="17">
        <v>238</v>
      </c>
      <c r="C241" s="17" t="s">
        <v>923</v>
      </c>
      <c r="D241" s="17">
        <v>3</v>
      </c>
      <c r="E241" s="17">
        <v>76607810963</v>
      </c>
    </row>
    <row r="242" spans="1:5" x14ac:dyDescent="0.3">
      <c r="A242" s="17">
        <v>239</v>
      </c>
      <c r="B242" s="17">
        <v>239</v>
      </c>
      <c r="C242" s="17" t="s">
        <v>923</v>
      </c>
      <c r="D242" s="17">
        <v>3</v>
      </c>
      <c r="E242" s="17">
        <v>82736431785</v>
      </c>
    </row>
    <row r="243" spans="1:5" x14ac:dyDescent="0.3">
      <c r="A243" s="17">
        <v>240</v>
      </c>
      <c r="B243" s="17">
        <v>240</v>
      </c>
      <c r="C243" s="17" t="s">
        <v>923</v>
      </c>
      <c r="D243" s="17">
        <v>3</v>
      </c>
      <c r="E243" s="17">
        <v>89355342237</v>
      </c>
    </row>
    <row r="244" spans="1:5" x14ac:dyDescent="0.3">
      <c r="A244" s="17">
        <v>241</v>
      </c>
      <c r="B244" s="17">
        <v>241</v>
      </c>
      <c r="C244" s="17" t="s">
        <v>923</v>
      </c>
      <c r="D244" s="17">
        <v>3</v>
      </c>
      <c r="E244" s="17">
        <v>96503765489</v>
      </c>
    </row>
    <row r="245" spans="1:5" x14ac:dyDescent="0.3">
      <c r="A245" s="17">
        <v>242</v>
      </c>
      <c r="B245" s="17">
        <v>242</v>
      </c>
      <c r="C245" s="17" t="s">
        <v>923</v>
      </c>
      <c r="D245" s="17">
        <v>3</v>
      </c>
      <c r="E245" s="17">
        <v>104224062565</v>
      </c>
    </row>
    <row r="246" spans="1:5" x14ac:dyDescent="0.3">
      <c r="A246" s="17">
        <v>243</v>
      </c>
      <c r="B246" s="17">
        <v>243</v>
      </c>
      <c r="C246" s="17" t="s">
        <v>923</v>
      </c>
      <c r="D246" s="17">
        <v>3</v>
      </c>
      <c r="E246" s="17">
        <v>112561983370</v>
      </c>
    </row>
    <row r="247" spans="1:5" x14ac:dyDescent="0.3">
      <c r="A247" s="17">
        <v>244</v>
      </c>
      <c r="B247" s="17">
        <v>244</v>
      </c>
      <c r="C247" s="17" t="s">
        <v>923</v>
      </c>
      <c r="D247" s="17">
        <v>3</v>
      </c>
      <c r="E247" s="17">
        <v>121566937803</v>
      </c>
    </row>
    <row r="248" spans="1:5" x14ac:dyDescent="0.3">
      <c r="A248" s="17">
        <v>245</v>
      </c>
      <c r="B248" s="17">
        <v>245</v>
      </c>
      <c r="C248" s="17" t="s">
        <v>923</v>
      </c>
      <c r="D248" s="17">
        <v>3</v>
      </c>
      <c r="E248" s="17">
        <v>131292288553</v>
      </c>
    </row>
    <row r="249" spans="1:5" x14ac:dyDescent="0.3">
      <c r="A249" s="17">
        <v>246</v>
      </c>
      <c r="B249" s="17">
        <v>246</v>
      </c>
      <c r="C249" s="17" t="s">
        <v>923</v>
      </c>
      <c r="D249" s="17">
        <v>3</v>
      </c>
      <c r="E249" s="17">
        <v>141795667326</v>
      </c>
    </row>
    <row r="250" spans="1:5" x14ac:dyDescent="0.3">
      <c r="A250" s="17">
        <v>247</v>
      </c>
      <c r="B250" s="17">
        <v>247</v>
      </c>
      <c r="C250" s="17" t="s">
        <v>923</v>
      </c>
      <c r="D250" s="17">
        <v>3</v>
      </c>
      <c r="E250" s="17">
        <v>153139316364</v>
      </c>
    </row>
    <row r="251" spans="1:5" x14ac:dyDescent="0.3">
      <c r="A251" s="17">
        <v>248</v>
      </c>
      <c r="B251" s="17">
        <v>248</v>
      </c>
      <c r="C251" s="17" t="s">
        <v>923</v>
      </c>
      <c r="D251" s="17">
        <v>3</v>
      </c>
      <c r="E251" s="17">
        <v>165390457287</v>
      </c>
    </row>
    <row r="252" spans="1:5" x14ac:dyDescent="0.3">
      <c r="A252" s="17">
        <v>249</v>
      </c>
      <c r="B252" s="17">
        <v>249</v>
      </c>
      <c r="C252" s="17" t="s">
        <v>923</v>
      </c>
      <c r="D252" s="17">
        <v>3</v>
      </c>
      <c r="E252" s="17">
        <v>178621689447</v>
      </c>
    </row>
    <row r="253" spans="1:5" x14ac:dyDescent="0.3">
      <c r="A253" s="17">
        <v>250</v>
      </c>
      <c r="B253" s="17">
        <v>250</v>
      </c>
      <c r="C253" s="17" t="s">
        <v>923</v>
      </c>
      <c r="D253" s="17">
        <v>3</v>
      </c>
      <c r="E253" s="17">
        <v>192911420142</v>
      </c>
    </row>
    <row r="254" spans="1:5" x14ac:dyDescent="0.3">
      <c r="A254" s="17">
        <v>251</v>
      </c>
      <c r="B254" s="17">
        <v>251</v>
      </c>
      <c r="C254" s="17" t="s">
        <v>923</v>
      </c>
      <c r="D254" s="17">
        <v>3</v>
      </c>
      <c r="E254" s="17">
        <v>208344329254</v>
      </c>
    </row>
    <row r="255" spans="1:5" x14ac:dyDescent="0.3">
      <c r="A255" s="17">
        <v>252</v>
      </c>
      <c r="B255" s="17">
        <v>252</v>
      </c>
      <c r="C255" s="17" t="s">
        <v>923</v>
      </c>
      <c r="D255" s="17">
        <v>3</v>
      </c>
      <c r="E255" s="17">
        <v>225011871057</v>
      </c>
    </row>
    <row r="256" spans="1:5" x14ac:dyDescent="0.3">
      <c r="A256" s="17">
        <v>253</v>
      </c>
      <c r="B256" s="17">
        <v>253</v>
      </c>
      <c r="C256" s="17" t="s">
        <v>923</v>
      </c>
      <c r="D256" s="17">
        <v>3</v>
      </c>
      <c r="E256" s="17">
        <v>243012816167</v>
      </c>
    </row>
    <row r="257" spans="1:5" x14ac:dyDescent="0.3">
      <c r="A257" s="17">
        <v>254</v>
      </c>
      <c r="B257" s="17">
        <v>254</v>
      </c>
      <c r="C257" s="17" t="s">
        <v>923</v>
      </c>
      <c r="D257" s="17">
        <v>3</v>
      </c>
      <c r="E257" s="17">
        <v>262453836846</v>
      </c>
    </row>
    <row r="258" spans="1:5" x14ac:dyDescent="0.3">
      <c r="A258" s="17">
        <v>255</v>
      </c>
      <c r="B258" s="17">
        <v>255</v>
      </c>
      <c r="C258" s="17" t="s">
        <v>923</v>
      </c>
      <c r="D258" s="17">
        <v>3</v>
      </c>
      <c r="E258" s="17">
        <v>283450139142</v>
      </c>
    </row>
    <row r="259" spans="1:5" x14ac:dyDescent="0.3">
      <c r="A259" s="17">
        <v>256</v>
      </c>
      <c r="B259" s="17">
        <v>256</v>
      </c>
      <c r="C259" s="17" t="s">
        <v>923</v>
      </c>
      <c r="D259" s="17">
        <v>3</v>
      </c>
      <c r="E259" s="17">
        <v>306126145582</v>
      </c>
    </row>
    <row r="260" spans="1:5" x14ac:dyDescent="0.3">
      <c r="A260" s="17">
        <v>257</v>
      </c>
      <c r="B260" s="17">
        <v>257</v>
      </c>
      <c r="C260" s="17" t="s">
        <v>923</v>
      </c>
      <c r="D260" s="17">
        <v>3</v>
      </c>
      <c r="E260" s="17">
        <v>330616232499</v>
      </c>
    </row>
    <row r="261" spans="1:5" x14ac:dyDescent="0.3">
      <c r="A261" s="17">
        <v>258</v>
      </c>
      <c r="B261" s="17">
        <v>258</v>
      </c>
      <c r="C261" s="17" t="s">
        <v>923</v>
      </c>
      <c r="D261" s="17">
        <v>3</v>
      </c>
      <c r="E261" s="17">
        <v>357065526330</v>
      </c>
    </row>
    <row r="262" spans="1:5" x14ac:dyDescent="0.3">
      <c r="A262" s="17">
        <v>259</v>
      </c>
      <c r="B262" s="17">
        <v>259</v>
      </c>
      <c r="C262" s="17" t="s">
        <v>923</v>
      </c>
      <c r="D262" s="17">
        <v>3</v>
      </c>
      <c r="E262" s="17">
        <v>385630763628</v>
      </c>
    </row>
    <row r="263" spans="1:5" x14ac:dyDescent="0.3">
      <c r="A263" s="17">
        <v>260</v>
      </c>
      <c r="B263" s="17">
        <v>260</v>
      </c>
      <c r="C263" s="17" t="s">
        <v>923</v>
      </c>
      <c r="D263" s="17">
        <v>3</v>
      </c>
      <c r="E263" s="17">
        <v>416481219871</v>
      </c>
    </row>
    <row r="264" spans="1:5" x14ac:dyDescent="0.3">
      <c r="A264" s="17">
        <v>261</v>
      </c>
      <c r="B264" s="17">
        <v>261</v>
      </c>
      <c r="C264" s="17" t="s">
        <v>923</v>
      </c>
      <c r="D264" s="17">
        <v>3</v>
      </c>
      <c r="E264" s="17">
        <v>449799712573</v>
      </c>
    </row>
    <row r="265" spans="1:5" x14ac:dyDescent="0.3">
      <c r="A265" s="17">
        <v>262</v>
      </c>
      <c r="B265" s="17">
        <v>262</v>
      </c>
      <c r="C265" s="17" t="s">
        <v>923</v>
      </c>
      <c r="D265" s="17">
        <v>3</v>
      </c>
      <c r="E265" s="17">
        <v>485783684652</v>
      </c>
    </row>
    <row r="266" spans="1:5" x14ac:dyDescent="0.3">
      <c r="A266" s="17">
        <v>263</v>
      </c>
      <c r="B266" s="17">
        <v>263</v>
      </c>
      <c r="C266" s="17" t="s">
        <v>923</v>
      </c>
      <c r="D266" s="17">
        <v>3</v>
      </c>
      <c r="E266" s="17">
        <v>524646374458</v>
      </c>
    </row>
    <row r="267" spans="1:5" x14ac:dyDescent="0.3">
      <c r="A267" s="17">
        <v>264</v>
      </c>
      <c r="B267" s="17">
        <v>264</v>
      </c>
      <c r="C267" s="17" t="s">
        <v>923</v>
      </c>
      <c r="D267" s="17">
        <v>3</v>
      </c>
      <c r="E267" s="17">
        <v>566618079408</v>
      </c>
    </row>
    <row r="268" spans="1:5" x14ac:dyDescent="0.3">
      <c r="A268" s="17">
        <v>265</v>
      </c>
      <c r="B268" s="17">
        <v>265</v>
      </c>
      <c r="C268" s="17" t="s">
        <v>923</v>
      </c>
      <c r="D268" s="17">
        <v>3</v>
      </c>
      <c r="E268" s="17">
        <v>611947520714</v>
      </c>
    </row>
    <row r="269" spans="1:5" x14ac:dyDescent="0.3">
      <c r="A269" s="17">
        <v>266</v>
      </c>
      <c r="B269" s="17">
        <v>266</v>
      </c>
      <c r="C269" s="17" t="s">
        <v>923</v>
      </c>
      <c r="D269" s="17">
        <v>3</v>
      </c>
      <c r="E269" s="17">
        <v>660903317284</v>
      </c>
    </row>
    <row r="270" spans="1:5" x14ac:dyDescent="0.3">
      <c r="A270" s="17">
        <v>267</v>
      </c>
      <c r="B270" s="17">
        <v>267</v>
      </c>
      <c r="C270" s="17" t="s">
        <v>923</v>
      </c>
      <c r="D270" s="17">
        <v>3</v>
      </c>
      <c r="E270" s="17">
        <v>713775577540</v>
      </c>
    </row>
    <row r="271" spans="1:5" x14ac:dyDescent="0.3">
      <c r="A271" s="17">
        <v>268</v>
      </c>
      <c r="B271" s="17">
        <v>268</v>
      </c>
      <c r="C271" s="17" t="s">
        <v>923</v>
      </c>
      <c r="D271" s="17">
        <v>3</v>
      </c>
      <c r="E271" s="17">
        <v>770877618575</v>
      </c>
    </row>
    <row r="272" spans="1:5" x14ac:dyDescent="0.3">
      <c r="A272" s="17">
        <v>269</v>
      </c>
      <c r="B272" s="17">
        <v>269</v>
      </c>
      <c r="C272" s="17" t="s">
        <v>923</v>
      </c>
      <c r="D272" s="17">
        <v>3</v>
      </c>
      <c r="E272" s="17">
        <v>832547822852</v>
      </c>
    </row>
    <row r="273" spans="1:5" x14ac:dyDescent="0.3">
      <c r="A273" s="17">
        <v>270</v>
      </c>
      <c r="B273" s="17">
        <v>270</v>
      </c>
      <c r="C273" s="17" t="s">
        <v>923</v>
      </c>
      <c r="D273" s="17">
        <v>3</v>
      </c>
      <c r="E273" s="17">
        <v>899151643430</v>
      </c>
    </row>
    <row r="274" spans="1:5" x14ac:dyDescent="0.3">
      <c r="A274" s="17">
        <v>271</v>
      </c>
      <c r="B274" s="17">
        <v>271</v>
      </c>
      <c r="C274" s="17" t="s">
        <v>923</v>
      </c>
      <c r="D274" s="17">
        <v>3</v>
      </c>
      <c r="E274" s="17">
        <v>971083769613</v>
      </c>
    </row>
    <row r="275" spans="1:5" x14ac:dyDescent="0.3">
      <c r="A275" s="17">
        <v>272</v>
      </c>
      <c r="B275" s="17">
        <v>272</v>
      </c>
      <c r="C275" s="17" t="s">
        <v>923</v>
      </c>
      <c r="D275" s="17">
        <v>3</v>
      </c>
      <c r="E275" s="17">
        <v>1048770465850</v>
      </c>
    </row>
    <row r="276" spans="1:5" x14ac:dyDescent="0.3">
      <c r="A276" s="17">
        <v>273</v>
      </c>
      <c r="B276" s="17">
        <v>273</v>
      </c>
      <c r="C276" s="17" t="s">
        <v>923</v>
      </c>
      <c r="D276" s="17">
        <v>3</v>
      </c>
      <c r="E276" s="17">
        <v>1132672097744</v>
      </c>
    </row>
    <row r="277" spans="1:5" x14ac:dyDescent="0.3">
      <c r="A277" s="17">
        <v>274</v>
      </c>
      <c r="B277" s="17">
        <v>274</v>
      </c>
      <c r="C277" s="17" t="s">
        <v>923</v>
      </c>
      <c r="D277" s="17">
        <v>3</v>
      </c>
      <c r="E277" s="17">
        <v>1223285860149</v>
      </c>
    </row>
    <row r="278" spans="1:5" x14ac:dyDescent="0.3">
      <c r="A278" s="17">
        <v>275</v>
      </c>
      <c r="B278" s="17">
        <v>275</v>
      </c>
      <c r="C278" s="17" t="s">
        <v>923</v>
      </c>
      <c r="D278" s="17">
        <v>3</v>
      </c>
      <c r="E278" s="17">
        <v>1321148723503</v>
      </c>
    </row>
    <row r="279" spans="1:5" x14ac:dyDescent="0.3">
      <c r="A279" s="17">
        <v>276</v>
      </c>
      <c r="B279" s="17">
        <v>276</v>
      </c>
      <c r="C279" s="17" t="s">
        <v>923</v>
      </c>
      <c r="D279" s="17">
        <v>3</v>
      </c>
      <c r="E279" s="17">
        <v>1426840615885</v>
      </c>
    </row>
    <row r="280" spans="1:5" x14ac:dyDescent="0.3">
      <c r="A280" s="17">
        <v>277</v>
      </c>
      <c r="B280" s="17">
        <v>277</v>
      </c>
      <c r="C280" s="17" t="s">
        <v>923</v>
      </c>
      <c r="D280" s="17">
        <v>3</v>
      </c>
      <c r="E280" s="17">
        <v>1540987859614</v>
      </c>
    </row>
    <row r="281" spans="1:5" x14ac:dyDescent="0.3">
      <c r="A281" s="17">
        <v>278</v>
      </c>
      <c r="B281" s="17">
        <v>278</v>
      </c>
      <c r="C281" s="17" t="s">
        <v>923</v>
      </c>
      <c r="D281" s="17">
        <v>3</v>
      </c>
      <c r="E281" s="17">
        <v>1664266882800</v>
      </c>
    </row>
    <row r="282" spans="1:5" x14ac:dyDescent="0.3">
      <c r="A282" s="17">
        <v>279</v>
      </c>
      <c r="B282" s="17">
        <v>279</v>
      </c>
      <c r="C282" s="17" t="s">
        <v>923</v>
      </c>
      <c r="D282" s="17">
        <v>3</v>
      </c>
      <c r="E282" s="17">
        <v>1797408227799</v>
      </c>
    </row>
    <row r="283" spans="1:5" x14ac:dyDescent="0.3">
      <c r="A283" s="17">
        <v>280</v>
      </c>
      <c r="B283" s="17">
        <v>280</v>
      </c>
      <c r="C283" s="17" t="s">
        <v>923</v>
      </c>
      <c r="D283" s="17">
        <v>3</v>
      </c>
      <c r="E283" s="17">
        <v>1941200880354</v>
      </c>
    </row>
    <row r="284" spans="1:5" x14ac:dyDescent="0.3">
      <c r="A284" s="17">
        <v>281</v>
      </c>
      <c r="B284" s="17">
        <v>281</v>
      </c>
      <c r="C284" s="17" t="s">
        <v>923</v>
      </c>
      <c r="D284" s="17">
        <v>3</v>
      </c>
      <c r="E284" s="17">
        <v>2096496945072</v>
      </c>
    </row>
    <row r="285" spans="1:5" x14ac:dyDescent="0.3">
      <c r="A285" s="17">
        <v>282</v>
      </c>
      <c r="B285" s="17">
        <v>282</v>
      </c>
      <c r="C285" s="17" t="s">
        <v>923</v>
      </c>
      <c r="D285" s="17">
        <v>3</v>
      </c>
      <c r="E285" s="17">
        <v>2264216694923</v>
      </c>
    </row>
    <row r="286" spans="1:5" x14ac:dyDescent="0.3">
      <c r="A286" s="17">
        <v>283</v>
      </c>
      <c r="B286" s="17">
        <v>283</v>
      </c>
      <c r="C286" s="17" t="s">
        <v>923</v>
      </c>
      <c r="D286" s="17">
        <v>3</v>
      </c>
      <c r="E286" s="17">
        <v>2445354024720</v>
      </c>
    </row>
    <row r="287" spans="1:5" x14ac:dyDescent="0.3">
      <c r="A287" s="17">
        <v>284</v>
      </c>
      <c r="B287" s="17">
        <v>284</v>
      </c>
      <c r="C287" s="17" t="s">
        <v>923</v>
      </c>
      <c r="D287" s="17">
        <v>3</v>
      </c>
      <c r="E287" s="17">
        <v>2640982340858</v>
      </c>
    </row>
    <row r="288" spans="1:5" x14ac:dyDescent="0.3">
      <c r="A288" s="17">
        <v>285</v>
      </c>
      <c r="B288" s="17">
        <v>285</v>
      </c>
      <c r="C288" s="17" t="s">
        <v>923</v>
      </c>
      <c r="D288" s="17">
        <v>3</v>
      </c>
      <c r="E288" s="17">
        <v>2852260922243</v>
      </c>
    </row>
    <row r="289" spans="1:5" x14ac:dyDescent="0.3">
      <c r="A289" s="17">
        <v>286</v>
      </c>
      <c r="B289" s="17">
        <v>286</v>
      </c>
      <c r="C289" s="17" t="s">
        <v>923</v>
      </c>
      <c r="D289" s="17">
        <v>3</v>
      </c>
      <c r="E289" s="17">
        <v>3080441790095</v>
      </c>
    </row>
    <row r="290" spans="1:5" x14ac:dyDescent="0.3">
      <c r="A290" s="17">
        <v>287</v>
      </c>
      <c r="B290" s="17">
        <v>287</v>
      </c>
      <c r="C290" s="17" t="s">
        <v>923</v>
      </c>
      <c r="D290" s="17">
        <v>3</v>
      </c>
      <c r="E290" s="17">
        <v>3326877127332</v>
      </c>
    </row>
    <row r="291" spans="1:5" x14ac:dyDescent="0.3">
      <c r="A291" s="17">
        <v>288</v>
      </c>
      <c r="B291" s="17">
        <v>288</v>
      </c>
      <c r="C291" s="17" t="s">
        <v>923</v>
      </c>
      <c r="D291" s="17">
        <v>3</v>
      </c>
      <c r="E291" s="17">
        <v>3593027291504</v>
      </c>
    </row>
    <row r="292" spans="1:5" x14ac:dyDescent="0.3">
      <c r="A292" s="17">
        <v>289</v>
      </c>
      <c r="B292" s="17">
        <v>289</v>
      </c>
      <c r="C292" s="17" t="s">
        <v>923</v>
      </c>
      <c r="D292" s="17">
        <v>3</v>
      </c>
      <c r="E292" s="17">
        <v>3880469468766</v>
      </c>
    </row>
    <row r="293" spans="1:5" x14ac:dyDescent="0.3">
      <c r="A293" s="17">
        <v>290</v>
      </c>
      <c r="B293" s="17">
        <v>290</v>
      </c>
      <c r="C293" s="17" t="s">
        <v>923</v>
      </c>
      <c r="D293" s="17">
        <v>3</v>
      </c>
      <c r="E293" s="17">
        <v>4190907020165</v>
      </c>
    </row>
    <row r="294" spans="1:5" x14ac:dyDescent="0.3">
      <c r="A294" s="17">
        <v>291</v>
      </c>
      <c r="B294" s="17">
        <v>291</v>
      </c>
      <c r="C294" s="17" t="s">
        <v>923</v>
      </c>
      <c r="D294" s="17">
        <v>3</v>
      </c>
      <c r="E294" s="17">
        <v>4526179575631</v>
      </c>
    </row>
    <row r="295" spans="1:5" x14ac:dyDescent="0.3">
      <c r="A295" s="17">
        <v>292</v>
      </c>
      <c r="B295" s="17">
        <v>292</v>
      </c>
      <c r="C295" s="17" t="s">
        <v>923</v>
      </c>
      <c r="D295" s="17">
        <v>3</v>
      </c>
      <c r="E295" s="17">
        <v>4888273935490</v>
      </c>
    </row>
    <row r="296" spans="1:5" x14ac:dyDescent="0.3">
      <c r="A296" s="17">
        <v>293</v>
      </c>
      <c r="B296" s="17">
        <v>293</v>
      </c>
      <c r="C296" s="17" t="s">
        <v>923</v>
      </c>
      <c r="D296" s="17">
        <v>3</v>
      </c>
      <c r="E296" s="17">
        <v>5279335844093</v>
      </c>
    </row>
    <row r="297" spans="1:5" x14ac:dyDescent="0.3">
      <c r="A297" s="17">
        <v>294</v>
      </c>
      <c r="B297" s="17">
        <v>294</v>
      </c>
      <c r="C297" s="17" t="s">
        <v>923</v>
      </c>
      <c r="D297" s="17">
        <v>3</v>
      </c>
      <c r="E297" s="17">
        <v>5701682705340</v>
      </c>
    </row>
    <row r="298" spans="1:5" x14ac:dyDescent="0.3">
      <c r="A298" s="17">
        <v>295</v>
      </c>
      <c r="B298" s="17">
        <v>295</v>
      </c>
      <c r="C298" s="17" t="s">
        <v>923</v>
      </c>
      <c r="D298" s="17">
        <v>3</v>
      </c>
      <c r="E298" s="17">
        <v>6157817315441</v>
      </c>
    </row>
    <row r="299" spans="1:5" x14ac:dyDescent="0.3">
      <c r="A299" s="17">
        <v>296</v>
      </c>
      <c r="B299" s="17">
        <v>296</v>
      </c>
      <c r="C299" s="17" t="s">
        <v>923</v>
      </c>
      <c r="D299" s="17">
        <v>3</v>
      </c>
      <c r="E299" s="17">
        <v>6650442694305</v>
      </c>
    </row>
    <row r="300" spans="1:5" x14ac:dyDescent="0.3">
      <c r="A300" s="17">
        <v>297</v>
      </c>
      <c r="B300" s="17">
        <v>297</v>
      </c>
      <c r="C300" s="17" t="s">
        <v>923</v>
      </c>
      <c r="D300" s="17">
        <v>3</v>
      </c>
      <c r="E300" s="17">
        <v>7182478103434</v>
      </c>
    </row>
    <row r="301" spans="1:5" x14ac:dyDescent="0.3">
      <c r="A301" s="17">
        <v>298</v>
      </c>
      <c r="B301" s="17">
        <v>298</v>
      </c>
      <c r="C301" s="17" t="s">
        <v>923</v>
      </c>
      <c r="D301" s="17">
        <v>3</v>
      </c>
      <c r="E301" s="17">
        <v>7757076345246</v>
      </c>
    </row>
    <row r="302" spans="1:5" x14ac:dyDescent="0.3">
      <c r="A302" s="17">
        <v>299</v>
      </c>
      <c r="B302" s="17">
        <v>299</v>
      </c>
      <c r="C302" s="17" t="s">
        <v>923</v>
      </c>
      <c r="D302" s="17">
        <v>3</v>
      </c>
      <c r="E302" s="17">
        <v>8377642446359</v>
      </c>
    </row>
    <row r="303" spans="1:5" x14ac:dyDescent="0.3">
      <c r="A303" s="17">
        <v>300</v>
      </c>
      <c r="B303" s="17">
        <v>300</v>
      </c>
      <c r="C303" s="17" t="s">
        <v>923</v>
      </c>
      <c r="D303" s="17">
        <v>3</v>
      </c>
      <c r="E303" s="17">
        <v>9047853835514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343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J13" sqref="J13"/>
    </sheetView>
  </sheetViews>
  <sheetFormatPr defaultRowHeight="16.5" x14ac:dyDescent="0.3"/>
  <cols>
    <col min="1" max="1" width="10.25" style="17" bestFit="1" customWidth="1"/>
    <col min="2" max="2" width="9" style="17" customWidth="1"/>
    <col min="3" max="3" width="12.75" style="17" bestFit="1" customWidth="1"/>
    <col min="4" max="4" width="24.25" style="17" bestFit="1" customWidth="1"/>
    <col min="5" max="5" width="14.625" style="17" bestFit="1" customWidth="1"/>
    <col min="6" max="6" width="12.5" style="17" bestFit="1" customWidth="1"/>
    <col min="7" max="7" width="15.25" style="17" bestFit="1" customWidth="1"/>
    <col min="8" max="8" width="9.75" style="17" bestFit="1" customWidth="1"/>
    <col min="9" max="9" width="10.5" style="17" bestFit="1" customWidth="1"/>
    <col min="10" max="10" width="13.375" style="17" bestFit="1" customWidth="1"/>
    <col min="11" max="11" width="11.25" style="17" bestFit="1" customWidth="1"/>
    <col min="12" max="17" width="9" style="17" customWidth="1"/>
  </cols>
  <sheetData>
    <row r="1" spans="1:18" x14ac:dyDescent="0.3">
      <c r="A1" s="17" t="s">
        <v>0</v>
      </c>
      <c r="B1" s="17" t="s">
        <v>924</v>
      </c>
      <c r="C1" s="17" t="s">
        <v>1</v>
      </c>
      <c r="D1" s="17" t="s">
        <v>4</v>
      </c>
      <c r="E1" s="17" t="s">
        <v>920</v>
      </c>
      <c r="F1" s="17" t="s">
        <v>921</v>
      </c>
      <c r="G1" s="17" t="s">
        <v>922</v>
      </c>
      <c r="H1" s="17" t="s">
        <v>925</v>
      </c>
      <c r="I1" s="17" t="s">
        <v>926</v>
      </c>
      <c r="J1" s="17" t="s">
        <v>927</v>
      </c>
      <c r="K1" s="17" t="s">
        <v>928</v>
      </c>
      <c r="L1" s="17" t="s">
        <v>929</v>
      </c>
      <c r="M1" s="17" t="s">
        <v>930</v>
      </c>
      <c r="N1" s="17" t="s">
        <v>929</v>
      </c>
      <c r="O1" s="17" t="s">
        <v>930</v>
      </c>
      <c r="P1" s="17" t="s">
        <v>929</v>
      </c>
      <c r="Q1" s="17" t="s">
        <v>930</v>
      </c>
      <c r="R1" s="17" t="s">
        <v>931</v>
      </c>
    </row>
    <row r="2" spans="1:18" x14ac:dyDescent="0.3">
      <c r="J2" s="17" t="s">
        <v>932</v>
      </c>
    </row>
    <row r="4" spans="1:18" x14ac:dyDescent="0.3">
      <c r="A4" s="17">
        <f t="shared" ref="A4:A67" si="0">B4*100+H4</f>
        <v>1000035401</v>
      </c>
      <c r="B4" s="17">
        <v>10000354</v>
      </c>
      <c r="C4" s="17" t="str">
        <f>_xlfn.XLOOKUP(B4,'Detail&lt;Child&gt;'!A:A,'Detail&lt;Child&gt;'!B:B)</f>
        <v>드미테르</v>
      </c>
      <c r="D4" s="17" t="str">
        <f t="shared" ref="D4:D67" si="1">"character_gradeup_"&amp;$B4&amp;"_"&amp;$H4</f>
        <v>character_gradeup_10000354_1</v>
      </c>
      <c r="E4" s="17" t="s">
        <v>923</v>
      </c>
      <c r="F4" s="17">
        <f t="shared" ref="F4:F67" si="2">INT(3003&amp;RIGHT(B4,4))</f>
        <v>30030354</v>
      </c>
      <c r="G4" s="17">
        <f>VLOOKUP($R4, '#등급업 재료 개수'!$A$2:$K$5, MATCH(GradeUp!H4, '#등급업 재료 개수'!$A$2:$K$2, 0), FALSE)</f>
        <v>1</v>
      </c>
      <c r="H4" s="17">
        <v>1</v>
      </c>
      <c r="I4" s="17">
        <v>10</v>
      </c>
      <c r="J4" s="17">
        <v>0</v>
      </c>
      <c r="K4" s="17">
        <v>0</v>
      </c>
      <c r="L4" s="17" t="s">
        <v>917</v>
      </c>
      <c r="M4" s="17">
        <v>0</v>
      </c>
      <c r="N4" s="17" t="s">
        <v>918</v>
      </c>
      <c r="O4" s="17">
        <v>0</v>
      </c>
      <c r="P4" s="17" t="s">
        <v>919</v>
      </c>
      <c r="Q4" s="17">
        <v>0</v>
      </c>
      <c r="R4">
        <f>_xlfn.XLOOKUP($B4, 'Detail&lt;Child&gt;'!$A:$A, 'Detail&lt;Child&gt;'!$L:$L)</f>
        <v>2</v>
      </c>
    </row>
    <row r="5" spans="1:18" x14ac:dyDescent="0.3">
      <c r="A5" s="17">
        <f t="shared" si="0"/>
        <v>1000035402</v>
      </c>
      <c r="B5" s="17">
        <v>10000354</v>
      </c>
      <c r="C5" s="17" t="str">
        <f>_xlfn.XLOOKUP(B5,'Detail&lt;Child&gt;'!A:A,'Detail&lt;Child&gt;'!B:B)</f>
        <v>드미테르</v>
      </c>
      <c r="D5" s="17" t="str">
        <f t="shared" si="1"/>
        <v>character_gradeup_10000354_2</v>
      </c>
      <c r="E5" s="17" t="s">
        <v>923</v>
      </c>
      <c r="F5" s="17">
        <f t="shared" si="2"/>
        <v>30030354</v>
      </c>
      <c r="G5" s="17">
        <f>VLOOKUP($R5, '#등급업 재료 개수'!$A$2:$K$5, MATCH(GradeUp!H5, '#등급업 재료 개수'!$A$2:$K$2, 0), FALSE)</f>
        <v>2</v>
      </c>
      <c r="H5" s="17">
        <v>2</v>
      </c>
      <c r="I5" s="17">
        <v>20</v>
      </c>
      <c r="J5" s="17" t="s">
        <v>30</v>
      </c>
      <c r="K5" s="17">
        <f>_xlfn.IFNA(VLOOKUP($B5, 'Detail&lt;Child&gt;'!$A:$AT, MATCH(J5, 'Detail&lt;Child&gt;'!$3:$3,0 ), FALSE)+INT($H5/12), 0)</f>
        <v>22035401</v>
      </c>
      <c r="L5" s="17" t="s">
        <v>917</v>
      </c>
      <c r="M5" s="17">
        <v>10000</v>
      </c>
      <c r="N5" s="17" t="s">
        <v>918</v>
      </c>
      <c r="O5" s="17">
        <v>10000</v>
      </c>
      <c r="P5" s="17" t="s">
        <v>919</v>
      </c>
      <c r="Q5" s="17">
        <v>10000</v>
      </c>
      <c r="R5">
        <f>_xlfn.XLOOKUP($B5, 'Detail&lt;Child&gt;'!$A:$A, 'Detail&lt;Child&gt;'!$L:$L)</f>
        <v>2</v>
      </c>
    </row>
    <row r="6" spans="1:18" x14ac:dyDescent="0.3">
      <c r="A6" s="17">
        <f t="shared" si="0"/>
        <v>1000035403</v>
      </c>
      <c r="B6" s="17">
        <v>10000354</v>
      </c>
      <c r="C6" s="17" t="str">
        <f>_xlfn.XLOOKUP(B6,'Detail&lt;Child&gt;'!A:A,'Detail&lt;Child&gt;'!B:B)</f>
        <v>드미테르</v>
      </c>
      <c r="D6" s="17" t="str">
        <f t="shared" si="1"/>
        <v>character_gradeup_10000354_3</v>
      </c>
      <c r="E6" s="17" t="s">
        <v>923</v>
      </c>
      <c r="F6" s="17">
        <f t="shared" si="2"/>
        <v>30030354</v>
      </c>
      <c r="G6" s="17">
        <f>VLOOKUP($R6, '#등급업 재료 개수'!$A$2:$K$5, MATCH(GradeUp!H6, '#등급업 재료 개수'!$A$2:$K$2, 0), FALSE)</f>
        <v>4</v>
      </c>
      <c r="H6" s="17">
        <v>3</v>
      </c>
      <c r="I6" s="17">
        <v>30</v>
      </c>
      <c r="J6" s="17">
        <v>0</v>
      </c>
      <c r="K6" s="17">
        <v>0</v>
      </c>
      <c r="L6" s="17" t="s">
        <v>917</v>
      </c>
      <c r="M6" s="17">
        <f t="shared" ref="M6:M13" si="3">M5+10000</f>
        <v>20000</v>
      </c>
      <c r="N6" s="17" t="s">
        <v>918</v>
      </c>
      <c r="O6" s="17">
        <f t="shared" ref="O6:O13" si="4">O5+10000</f>
        <v>20000</v>
      </c>
      <c r="P6" s="17" t="s">
        <v>919</v>
      </c>
      <c r="Q6" s="17">
        <f t="shared" ref="Q6:Q13" si="5">Q5+10000</f>
        <v>20000</v>
      </c>
      <c r="R6">
        <f>_xlfn.XLOOKUP($B6, 'Detail&lt;Child&gt;'!$A:$A, 'Detail&lt;Child&gt;'!$L:$L)</f>
        <v>2</v>
      </c>
    </row>
    <row r="7" spans="1:18" x14ac:dyDescent="0.3">
      <c r="A7" s="17">
        <f t="shared" si="0"/>
        <v>1000035404</v>
      </c>
      <c r="B7" s="17">
        <v>10000354</v>
      </c>
      <c r="C7" s="17" t="str">
        <f>_xlfn.XLOOKUP(B7,'Detail&lt;Child&gt;'!A:A,'Detail&lt;Child&gt;'!B:B)</f>
        <v>드미테르</v>
      </c>
      <c r="D7" s="17" t="str">
        <f t="shared" si="1"/>
        <v>character_gradeup_10000354_4</v>
      </c>
      <c r="E7" s="17" t="s">
        <v>923</v>
      </c>
      <c r="F7" s="17">
        <f t="shared" si="2"/>
        <v>30030354</v>
      </c>
      <c r="G7" s="17">
        <f>VLOOKUP($R7, '#등급업 재료 개수'!$A$2:$K$5, MATCH(GradeUp!H7, '#등급업 재료 개수'!$A$2:$K$2, 0), FALSE)</f>
        <v>8</v>
      </c>
      <c r="H7" s="17">
        <v>4</v>
      </c>
      <c r="I7" s="17">
        <v>40</v>
      </c>
      <c r="J7" s="17" t="s">
        <v>32</v>
      </c>
      <c r="K7" s="17">
        <f>_xlfn.IFNA(VLOOKUP($B7, 'Detail&lt;Child&gt;'!$A:$AT, MATCH(J7, 'Detail&lt;Child&gt;'!$3:$3,0 ), FALSE)+INT($H7/12), 0)</f>
        <v>42035401</v>
      </c>
      <c r="L7" s="17" t="s">
        <v>917</v>
      </c>
      <c r="M7" s="17">
        <f t="shared" si="3"/>
        <v>30000</v>
      </c>
      <c r="N7" s="17" t="s">
        <v>918</v>
      </c>
      <c r="O7" s="17">
        <f t="shared" si="4"/>
        <v>30000</v>
      </c>
      <c r="P7" s="17" t="s">
        <v>919</v>
      </c>
      <c r="Q7" s="17">
        <f t="shared" si="5"/>
        <v>30000</v>
      </c>
      <c r="R7">
        <f>_xlfn.XLOOKUP($B7, 'Detail&lt;Child&gt;'!$A:$A, 'Detail&lt;Child&gt;'!$L:$L)</f>
        <v>2</v>
      </c>
    </row>
    <row r="8" spans="1:18" x14ac:dyDescent="0.3">
      <c r="A8" s="17">
        <f t="shared" si="0"/>
        <v>1000035405</v>
      </c>
      <c r="B8" s="17">
        <v>10000354</v>
      </c>
      <c r="C8" s="17" t="str">
        <f>_xlfn.XLOOKUP(B8,'Detail&lt;Child&gt;'!A:A,'Detail&lt;Child&gt;'!B:B)</f>
        <v>드미테르</v>
      </c>
      <c r="D8" s="17" t="str">
        <f t="shared" si="1"/>
        <v>character_gradeup_10000354_5</v>
      </c>
      <c r="E8" s="17" t="s">
        <v>923</v>
      </c>
      <c r="F8" s="17">
        <f t="shared" si="2"/>
        <v>30030354</v>
      </c>
      <c r="G8" s="17">
        <f>VLOOKUP($R8, '#등급업 재료 개수'!$A$2:$K$5, MATCH(GradeUp!H8, '#등급업 재료 개수'!$A$2:$K$2, 0), FALSE)</f>
        <v>12</v>
      </c>
      <c r="H8" s="17">
        <v>5</v>
      </c>
      <c r="I8" s="17">
        <v>50</v>
      </c>
      <c r="J8" s="17" t="s">
        <v>30</v>
      </c>
      <c r="K8" s="17">
        <f>_xlfn.IFNA(VLOOKUP($B8, 'Detail&lt;Child&gt;'!$A:$AT, MATCH(J8, 'Detail&lt;Child&gt;'!$3:$3,0 ), FALSE)+INT($H8/12), 0)+1</f>
        <v>22035402</v>
      </c>
      <c r="L8" s="17" t="s">
        <v>917</v>
      </c>
      <c r="M8" s="17">
        <f t="shared" si="3"/>
        <v>40000</v>
      </c>
      <c r="N8" s="17" t="s">
        <v>918</v>
      </c>
      <c r="O8" s="17">
        <f t="shared" si="4"/>
        <v>40000</v>
      </c>
      <c r="P8" s="17" t="s">
        <v>919</v>
      </c>
      <c r="Q8" s="17">
        <f t="shared" si="5"/>
        <v>40000</v>
      </c>
      <c r="R8">
        <f>_xlfn.XLOOKUP($B8, 'Detail&lt;Child&gt;'!$A:$A, 'Detail&lt;Child&gt;'!$L:$L)</f>
        <v>2</v>
      </c>
    </row>
    <row r="9" spans="1:18" x14ac:dyDescent="0.3">
      <c r="A9" s="17">
        <f t="shared" si="0"/>
        <v>1000035406</v>
      </c>
      <c r="B9" s="17">
        <v>10000354</v>
      </c>
      <c r="C9" s="17" t="str">
        <f>_xlfn.XLOOKUP(B9,'Detail&lt;Child&gt;'!A:A,'Detail&lt;Child&gt;'!B:B)</f>
        <v>드미테르</v>
      </c>
      <c r="D9" s="17" t="str">
        <f t="shared" si="1"/>
        <v>character_gradeup_10000354_6</v>
      </c>
      <c r="E9" s="17" t="s">
        <v>923</v>
      </c>
      <c r="F9" s="17">
        <f t="shared" si="2"/>
        <v>30030354</v>
      </c>
      <c r="G9" s="17">
        <f>VLOOKUP($R9, '#등급업 재료 개수'!$A$2:$K$5, MATCH(GradeUp!H9, '#등급업 재료 개수'!$A$2:$K$2, 0), FALSE)</f>
        <v>16</v>
      </c>
      <c r="H9" s="17">
        <v>6</v>
      </c>
      <c r="I9" s="17">
        <v>60</v>
      </c>
      <c r="J9" s="17">
        <v>0</v>
      </c>
      <c r="K9" s="17">
        <v>0</v>
      </c>
      <c r="L9" s="17" t="s">
        <v>917</v>
      </c>
      <c r="M9" s="17">
        <f t="shared" si="3"/>
        <v>50000</v>
      </c>
      <c r="N9" s="17" t="s">
        <v>918</v>
      </c>
      <c r="O9" s="17">
        <f t="shared" si="4"/>
        <v>50000</v>
      </c>
      <c r="P9" s="17" t="s">
        <v>919</v>
      </c>
      <c r="Q9" s="17">
        <f t="shared" si="5"/>
        <v>50000</v>
      </c>
      <c r="R9">
        <f>_xlfn.XLOOKUP($B9, 'Detail&lt;Child&gt;'!$A:$A, 'Detail&lt;Child&gt;'!$L:$L)</f>
        <v>2</v>
      </c>
    </row>
    <row r="10" spans="1:18" x14ac:dyDescent="0.3">
      <c r="A10" s="17">
        <f t="shared" si="0"/>
        <v>1000035407</v>
      </c>
      <c r="B10" s="17">
        <v>10000354</v>
      </c>
      <c r="C10" s="17" t="str">
        <f>_xlfn.XLOOKUP(B10,'Detail&lt;Child&gt;'!A:A,'Detail&lt;Child&gt;'!B:B)</f>
        <v>드미테르</v>
      </c>
      <c r="D10" s="17" t="str">
        <f t="shared" si="1"/>
        <v>character_gradeup_10000354_7</v>
      </c>
      <c r="E10" s="17" t="s">
        <v>923</v>
      </c>
      <c r="F10" s="17">
        <f t="shared" si="2"/>
        <v>30030354</v>
      </c>
      <c r="G10" s="17">
        <f>VLOOKUP($R10, '#등급업 재료 개수'!$A$2:$K$5, MATCH(GradeUp!H10, '#등급업 재료 개수'!$A$2:$K$2, 0), FALSE)</f>
        <v>20</v>
      </c>
      <c r="H10" s="17">
        <v>7</v>
      </c>
      <c r="I10" s="17">
        <v>70</v>
      </c>
      <c r="J10" s="17" t="s">
        <v>32</v>
      </c>
      <c r="K10" s="17">
        <f>_xlfn.IFNA(VLOOKUP($B10, 'Detail&lt;Child&gt;'!$A:$AT, MATCH(J10, 'Detail&lt;Child&gt;'!$3:$3,0 ), FALSE)+INT($H10/12), 0)+1</f>
        <v>42035402</v>
      </c>
      <c r="L10" s="17" t="s">
        <v>917</v>
      </c>
      <c r="M10" s="17">
        <f t="shared" si="3"/>
        <v>60000</v>
      </c>
      <c r="N10" s="17" t="s">
        <v>918</v>
      </c>
      <c r="O10" s="17">
        <f t="shared" si="4"/>
        <v>60000</v>
      </c>
      <c r="P10" s="17" t="s">
        <v>919</v>
      </c>
      <c r="Q10" s="17">
        <f t="shared" si="5"/>
        <v>60000</v>
      </c>
      <c r="R10">
        <f>_xlfn.XLOOKUP($B10, 'Detail&lt;Child&gt;'!$A:$A, 'Detail&lt;Child&gt;'!$L:$L)</f>
        <v>2</v>
      </c>
    </row>
    <row r="11" spans="1:18" x14ac:dyDescent="0.3">
      <c r="A11" s="17">
        <f t="shared" si="0"/>
        <v>1000035408</v>
      </c>
      <c r="B11" s="17">
        <v>10000354</v>
      </c>
      <c r="C11" s="17" t="str">
        <f>_xlfn.XLOOKUP(B11,'Detail&lt;Child&gt;'!A:A,'Detail&lt;Child&gt;'!B:B)</f>
        <v>드미테르</v>
      </c>
      <c r="D11" s="17" t="str">
        <f t="shared" si="1"/>
        <v>character_gradeup_10000354_8</v>
      </c>
      <c r="E11" s="17" t="s">
        <v>923</v>
      </c>
      <c r="F11" s="17">
        <f t="shared" si="2"/>
        <v>30030354</v>
      </c>
      <c r="G11" s="17">
        <f>VLOOKUP($R11, '#등급업 재료 개수'!$A$2:$K$5, MATCH(GradeUp!H11, '#등급업 재료 개수'!$A$2:$K$2, 0), FALSE)</f>
        <v>24</v>
      </c>
      <c r="H11" s="17">
        <v>8</v>
      </c>
      <c r="I11" s="17">
        <v>80</v>
      </c>
      <c r="J11" s="17">
        <v>0</v>
      </c>
      <c r="K11" s="17">
        <v>0</v>
      </c>
      <c r="L11" s="17" t="s">
        <v>917</v>
      </c>
      <c r="M11" s="17">
        <f t="shared" si="3"/>
        <v>70000</v>
      </c>
      <c r="N11" s="17" t="s">
        <v>918</v>
      </c>
      <c r="O11" s="17">
        <f t="shared" si="4"/>
        <v>70000</v>
      </c>
      <c r="P11" s="17" t="s">
        <v>919</v>
      </c>
      <c r="Q11" s="17">
        <f t="shared" si="5"/>
        <v>70000</v>
      </c>
      <c r="R11">
        <f>_xlfn.XLOOKUP($B11, 'Detail&lt;Child&gt;'!$A:$A, 'Detail&lt;Child&gt;'!$L:$L)</f>
        <v>2</v>
      </c>
    </row>
    <row r="12" spans="1:18" x14ac:dyDescent="0.3">
      <c r="A12" s="17">
        <f t="shared" si="0"/>
        <v>1000035409</v>
      </c>
      <c r="B12" s="17">
        <v>10000354</v>
      </c>
      <c r="C12" s="17" t="str">
        <f>_xlfn.XLOOKUP(B12,'Detail&lt;Child&gt;'!A:A,'Detail&lt;Child&gt;'!B:B)</f>
        <v>드미테르</v>
      </c>
      <c r="D12" s="17" t="str">
        <f t="shared" si="1"/>
        <v>character_gradeup_10000354_9</v>
      </c>
      <c r="E12" s="17" t="s">
        <v>923</v>
      </c>
      <c r="F12" s="17">
        <f t="shared" si="2"/>
        <v>30030354</v>
      </c>
      <c r="G12" s="17">
        <f>VLOOKUP($R12, '#등급업 재료 개수'!$A$2:$K$5, MATCH(GradeUp!H12, '#등급업 재료 개수'!$A$2:$K$2, 0), FALSE)</f>
        <v>28</v>
      </c>
      <c r="H12" s="17">
        <v>9</v>
      </c>
      <c r="I12" s="17">
        <v>90</v>
      </c>
      <c r="J12" s="17" t="s">
        <v>31</v>
      </c>
      <c r="K12" s="17">
        <f>_xlfn.IFNA(VLOOKUP($B12, 'Detail&lt;Child&gt;'!$A:$AT, MATCH(J12, 'Detail&lt;Child&gt;'!$3:$3,0 ), FALSE)+INT($H12/12), 0)+1</f>
        <v>32035402</v>
      </c>
      <c r="L12" s="17" t="s">
        <v>917</v>
      </c>
      <c r="M12" s="17">
        <f t="shared" si="3"/>
        <v>80000</v>
      </c>
      <c r="N12" s="17" t="s">
        <v>918</v>
      </c>
      <c r="O12" s="17">
        <f t="shared" si="4"/>
        <v>80000</v>
      </c>
      <c r="P12" s="17" t="s">
        <v>919</v>
      </c>
      <c r="Q12" s="17">
        <f t="shared" si="5"/>
        <v>80000</v>
      </c>
      <c r="R12">
        <f>_xlfn.XLOOKUP($B12, 'Detail&lt;Child&gt;'!$A:$A, 'Detail&lt;Child&gt;'!$L:$L)</f>
        <v>2</v>
      </c>
    </row>
    <row r="13" spans="1:18" x14ac:dyDescent="0.3">
      <c r="A13" s="17">
        <f t="shared" si="0"/>
        <v>1000035410</v>
      </c>
      <c r="B13" s="17">
        <v>10000354</v>
      </c>
      <c r="C13" s="17" t="str">
        <f>_xlfn.XLOOKUP(B13,'Detail&lt;Child&gt;'!A:A,'Detail&lt;Child&gt;'!B:B)</f>
        <v>드미테르</v>
      </c>
      <c r="D13" s="17" t="str">
        <f t="shared" si="1"/>
        <v>character_gradeup_10000354_10</v>
      </c>
      <c r="E13" s="17" t="s">
        <v>923</v>
      </c>
      <c r="F13" s="17">
        <f t="shared" si="2"/>
        <v>30030354</v>
      </c>
      <c r="G13" s="17">
        <f>VLOOKUP($R13, '#등급업 재료 개수'!$A$2:$K$5, MATCH(GradeUp!H13, '#등급업 재료 개수'!$A$2:$K$2, 0), FALSE)</f>
        <v>999</v>
      </c>
      <c r="H13" s="17">
        <v>10</v>
      </c>
      <c r="I13" s="17">
        <v>100</v>
      </c>
      <c r="J13" s="17">
        <v>0</v>
      </c>
      <c r="K13" s="17">
        <v>0</v>
      </c>
      <c r="L13" s="17" t="s">
        <v>917</v>
      </c>
      <c r="M13" s="17">
        <f t="shared" si="3"/>
        <v>90000</v>
      </c>
      <c r="N13" s="17" t="s">
        <v>918</v>
      </c>
      <c r="O13" s="17">
        <f t="shared" si="4"/>
        <v>90000</v>
      </c>
      <c r="P13" s="17" t="s">
        <v>919</v>
      </c>
      <c r="Q13" s="17">
        <f t="shared" si="5"/>
        <v>90000</v>
      </c>
      <c r="R13">
        <f>_xlfn.XLOOKUP($B13, 'Detail&lt;Child&gt;'!$A:$A, 'Detail&lt;Child&gt;'!$L:$L)</f>
        <v>2</v>
      </c>
    </row>
    <row r="14" spans="1:18" x14ac:dyDescent="0.3">
      <c r="A14" s="17">
        <f t="shared" si="0"/>
        <v>1000029601</v>
      </c>
      <c r="B14" s="17">
        <v>10000296</v>
      </c>
      <c r="C14" s="17" t="str">
        <f>_xlfn.XLOOKUP(B14,'Detail&lt;Child&gt;'!A:A,'Detail&lt;Child&gt;'!B:B)</f>
        <v>힐드</v>
      </c>
      <c r="D14" s="17" t="str">
        <f t="shared" si="1"/>
        <v>character_gradeup_10000296_1</v>
      </c>
      <c r="E14" s="17" t="s">
        <v>923</v>
      </c>
      <c r="F14" s="17">
        <f t="shared" si="2"/>
        <v>30030296</v>
      </c>
      <c r="G14" s="17">
        <f>VLOOKUP($R14, '#등급업 재료 개수'!$A$2:$K$5, MATCH(GradeUp!H14, '#등급업 재료 개수'!$A$2:$K$2, 0), FALSE)</f>
        <v>1</v>
      </c>
      <c r="H14" s="17">
        <v>1</v>
      </c>
      <c r="I14" s="17">
        <v>10</v>
      </c>
      <c r="J14" s="17">
        <v>0</v>
      </c>
      <c r="K14" s="17">
        <v>0</v>
      </c>
      <c r="L14" s="17" t="s">
        <v>917</v>
      </c>
      <c r="M14" s="17">
        <v>0</v>
      </c>
      <c r="N14" s="17" t="s">
        <v>918</v>
      </c>
      <c r="O14" s="17">
        <v>0</v>
      </c>
      <c r="P14" s="17" t="s">
        <v>919</v>
      </c>
      <c r="Q14" s="17">
        <v>0</v>
      </c>
      <c r="R14">
        <f>_xlfn.XLOOKUP($B14, 'Detail&lt;Child&gt;'!$A:$A, 'Detail&lt;Child&gt;'!$L:$L)</f>
        <v>2</v>
      </c>
    </row>
    <row r="15" spans="1:18" x14ac:dyDescent="0.3">
      <c r="A15" s="17">
        <f t="shared" si="0"/>
        <v>1000029602</v>
      </c>
      <c r="B15" s="17">
        <v>10000296</v>
      </c>
      <c r="C15" s="17" t="str">
        <f>_xlfn.XLOOKUP(B15,'Detail&lt;Child&gt;'!A:A,'Detail&lt;Child&gt;'!B:B)</f>
        <v>힐드</v>
      </c>
      <c r="D15" s="17" t="str">
        <f t="shared" si="1"/>
        <v>character_gradeup_10000296_2</v>
      </c>
      <c r="E15" s="17" t="s">
        <v>923</v>
      </c>
      <c r="F15" s="17">
        <f t="shared" si="2"/>
        <v>30030296</v>
      </c>
      <c r="G15" s="17">
        <f>VLOOKUP($R15, '#등급업 재료 개수'!$A$2:$K$5, MATCH(GradeUp!H15, '#등급업 재료 개수'!$A$2:$K$2, 0), FALSE)</f>
        <v>2</v>
      </c>
      <c r="H15" s="17">
        <v>2</v>
      </c>
      <c r="I15" s="17">
        <v>20</v>
      </c>
      <c r="J15" s="17" t="s">
        <v>30</v>
      </c>
      <c r="K15" s="17">
        <f>_xlfn.IFNA(VLOOKUP($B15, 'Detail&lt;Child&gt;'!$A:$AT, MATCH(J15, 'Detail&lt;Child&gt;'!$3:$3,0 ), FALSE)+INT($H15/12), 0)</f>
        <v>22029601</v>
      </c>
      <c r="L15" s="17" t="s">
        <v>917</v>
      </c>
      <c r="M15" s="17">
        <v>0</v>
      </c>
      <c r="N15" s="17" t="s">
        <v>918</v>
      </c>
      <c r="O15" s="17">
        <v>0</v>
      </c>
      <c r="P15" s="17" t="s">
        <v>919</v>
      </c>
      <c r="Q15" s="17">
        <v>0</v>
      </c>
      <c r="R15">
        <f>_xlfn.XLOOKUP($B15, 'Detail&lt;Child&gt;'!$A:$A, 'Detail&lt;Child&gt;'!$L:$L)</f>
        <v>2</v>
      </c>
    </row>
    <row r="16" spans="1:18" x14ac:dyDescent="0.3">
      <c r="A16" s="17">
        <f t="shared" si="0"/>
        <v>1000029603</v>
      </c>
      <c r="B16" s="17">
        <v>10000296</v>
      </c>
      <c r="C16" s="17" t="str">
        <f>_xlfn.XLOOKUP(B16,'Detail&lt;Child&gt;'!A:A,'Detail&lt;Child&gt;'!B:B)</f>
        <v>힐드</v>
      </c>
      <c r="D16" s="17" t="str">
        <f t="shared" si="1"/>
        <v>character_gradeup_10000296_3</v>
      </c>
      <c r="E16" s="17" t="s">
        <v>923</v>
      </c>
      <c r="F16" s="17">
        <f t="shared" si="2"/>
        <v>30030296</v>
      </c>
      <c r="G16" s="17">
        <f>VLOOKUP($R16, '#등급업 재료 개수'!$A$2:$K$5, MATCH(GradeUp!H16, '#등급업 재료 개수'!$A$2:$K$2, 0), FALSE)</f>
        <v>4</v>
      </c>
      <c r="H16" s="17">
        <v>3</v>
      </c>
      <c r="I16" s="17">
        <v>30</v>
      </c>
      <c r="J16" s="17">
        <v>0</v>
      </c>
      <c r="K16" s="17">
        <v>0</v>
      </c>
      <c r="L16" s="17" t="s">
        <v>917</v>
      </c>
      <c r="M16" s="17">
        <v>0</v>
      </c>
      <c r="N16" s="17" t="s">
        <v>918</v>
      </c>
      <c r="O16" s="17">
        <v>0</v>
      </c>
      <c r="P16" s="17" t="s">
        <v>919</v>
      </c>
      <c r="Q16" s="17">
        <v>0</v>
      </c>
      <c r="R16">
        <f>_xlfn.XLOOKUP($B16, 'Detail&lt;Child&gt;'!$A:$A, 'Detail&lt;Child&gt;'!$L:$L)</f>
        <v>2</v>
      </c>
    </row>
    <row r="17" spans="1:18" x14ac:dyDescent="0.3">
      <c r="A17" s="17">
        <f t="shared" si="0"/>
        <v>1000029604</v>
      </c>
      <c r="B17" s="17">
        <v>10000296</v>
      </c>
      <c r="C17" s="17" t="str">
        <f>_xlfn.XLOOKUP(B17,'Detail&lt;Child&gt;'!A:A,'Detail&lt;Child&gt;'!B:B)</f>
        <v>힐드</v>
      </c>
      <c r="D17" s="17" t="str">
        <f t="shared" si="1"/>
        <v>character_gradeup_10000296_4</v>
      </c>
      <c r="E17" s="17" t="s">
        <v>923</v>
      </c>
      <c r="F17" s="17">
        <f t="shared" si="2"/>
        <v>30030296</v>
      </c>
      <c r="G17" s="17">
        <f>VLOOKUP($R17, '#등급업 재료 개수'!$A$2:$K$5, MATCH(GradeUp!H17, '#등급업 재료 개수'!$A$2:$K$2, 0), FALSE)</f>
        <v>8</v>
      </c>
      <c r="H17" s="17">
        <v>4</v>
      </c>
      <c r="I17" s="17">
        <v>40</v>
      </c>
      <c r="J17" s="17" t="s">
        <v>32</v>
      </c>
      <c r="K17" s="17">
        <f>_xlfn.IFNA(VLOOKUP($B17, 'Detail&lt;Child&gt;'!$A:$AT, MATCH(J17, 'Detail&lt;Child&gt;'!$3:$3,0 ), FALSE)+INT($H17/12), 0)</f>
        <v>42029601</v>
      </c>
      <c r="L17" s="17" t="s">
        <v>917</v>
      </c>
      <c r="M17" s="17">
        <v>10000</v>
      </c>
      <c r="N17" s="17" t="s">
        <v>918</v>
      </c>
      <c r="O17" s="17">
        <v>10000</v>
      </c>
      <c r="P17" s="17" t="s">
        <v>919</v>
      </c>
      <c r="Q17" s="17">
        <v>10000</v>
      </c>
      <c r="R17">
        <f>_xlfn.XLOOKUP($B17, 'Detail&lt;Child&gt;'!$A:$A, 'Detail&lt;Child&gt;'!$L:$L)</f>
        <v>2</v>
      </c>
    </row>
    <row r="18" spans="1:18" x14ac:dyDescent="0.3">
      <c r="A18" s="17">
        <f t="shared" si="0"/>
        <v>1000029605</v>
      </c>
      <c r="B18" s="17">
        <v>10000296</v>
      </c>
      <c r="C18" s="17" t="str">
        <f>_xlfn.XLOOKUP(B18,'Detail&lt;Child&gt;'!A:A,'Detail&lt;Child&gt;'!B:B)</f>
        <v>힐드</v>
      </c>
      <c r="D18" s="17" t="str">
        <f t="shared" si="1"/>
        <v>character_gradeup_10000296_5</v>
      </c>
      <c r="E18" s="17" t="s">
        <v>923</v>
      </c>
      <c r="F18" s="17">
        <f t="shared" si="2"/>
        <v>30030296</v>
      </c>
      <c r="G18" s="17">
        <f>VLOOKUP($R18, '#등급업 재료 개수'!$A$2:$K$5, MATCH(GradeUp!H18, '#등급업 재료 개수'!$A$2:$K$2, 0), FALSE)</f>
        <v>12</v>
      </c>
      <c r="H18" s="17">
        <v>5</v>
      </c>
      <c r="I18" s="17">
        <v>50</v>
      </c>
      <c r="J18" s="17" t="s">
        <v>30</v>
      </c>
      <c r="K18" s="17">
        <f>_xlfn.IFNA(VLOOKUP($B18, 'Detail&lt;Child&gt;'!$A:$AT, MATCH(J18, 'Detail&lt;Child&gt;'!$3:$3,0 ), FALSE)+INT($H18/12), 0)+1</f>
        <v>22029602</v>
      </c>
      <c r="L18" s="17" t="s">
        <v>917</v>
      </c>
      <c r="M18" s="17">
        <f t="shared" ref="M18:M23" si="6">M17+10000</f>
        <v>20000</v>
      </c>
      <c r="N18" s="17" t="s">
        <v>918</v>
      </c>
      <c r="O18" s="17">
        <f t="shared" ref="O18:O23" si="7">O17+10000</f>
        <v>20000</v>
      </c>
      <c r="P18" s="17" t="s">
        <v>919</v>
      </c>
      <c r="Q18" s="17">
        <f t="shared" ref="Q18:Q23" si="8">Q17+10000</f>
        <v>20000</v>
      </c>
      <c r="R18">
        <f>_xlfn.XLOOKUP($B18, 'Detail&lt;Child&gt;'!$A:$A, 'Detail&lt;Child&gt;'!$L:$L)</f>
        <v>2</v>
      </c>
    </row>
    <row r="19" spans="1:18" x14ac:dyDescent="0.3">
      <c r="A19" s="17">
        <f t="shared" si="0"/>
        <v>1000029606</v>
      </c>
      <c r="B19" s="17">
        <v>10000296</v>
      </c>
      <c r="C19" s="17" t="str">
        <f>_xlfn.XLOOKUP(B19,'Detail&lt;Child&gt;'!A:A,'Detail&lt;Child&gt;'!B:B)</f>
        <v>힐드</v>
      </c>
      <c r="D19" s="17" t="str">
        <f t="shared" si="1"/>
        <v>character_gradeup_10000296_6</v>
      </c>
      <c r="E19" s="17" t="s">
        <v>923</v>
      </c>
      <c r="F19" s="17">
        <f t="shared" si="2"/>
        <v>30030296</v>
      </c>
      <c r="G19" s="17">
        <f>VLOOKUP($R19, '#등급업 재료 개수'!$A$2:$K$5, MATCH(GradeUp!H19, '#등급업 재료 개수'!$A$2:$K$2, 0), FALSE)</f>
        <v>16</v>
      </c>
      <c r="H19" s="17">
        <v>6</v>
      </c>
      <c r="I19" s="17">
        <v>60</v>
      </c>
      <c r="J19" s="17">
        <v>0</v>
      </c>
      <c r="K19" s="17">
        <v>0</v>
      </c>
      <c r="L19" s="17" t="s">
        <v>917</v>
      </c>
      <c r="M19" s="17">
        <f t="shared" si="6"/>
        <v>30000</v>
      </c>
      <c r="N19" s="17" t="s">
        <v>918</v>
      </c>
      <c r="O19" s="17">
        <f t="shared" si="7"/>
        <v>30000</v>
      </c>
      <c r="P19" s="17" t="s">
        <v>919</v>
      </c>
      <c r="Q19" s="17">
        <f t="shared" si="8"/>
        <v>30000</v>
      </c>
      <c r="R19">
        <f>_xlfn.XLOOKUP($B19, 'Detail&lt;Child&gt;'!$A:$A, 'Detail&lt;Child&gt;'!$L:$L)</f>
        <v>2</v>
      </c>
    </row>
    <row r="20" spans="1:18" x14ac:dyDescent="0.3">
      <c r="A20" s="17">
        <f t="shared" si="0"/>
        <v>1000029607</v>
      </c>
      <c r="B20" s="17">
        <v>10000296</v>
      </c>
      <c r="C20" s="17" t="str">
        <f>_xlfn.XLOOKUP(B20,'Detail&lt;Child&gt;'!A:A,'Detail&lt;Child&gt;'!B:B)</f>
        <v>힐드</v>
      </c>
      <c r="D20" s="17" t="str">
        <f t="shared" si="1"/>
        <v>character_gradeup_10000296_7</v>
      </c>
      <c r="E20" s="17" t="s">
        <v>923</v>
      </c>
      <c r="F20" s="17">
        <f t="shared" si="2"/>
        <v>30030296</v>
      </c>
      <c r="G20" s="17">
        <f>VLOOKUP($R20, '#등급업 재료 개수'!$A$2:$K$5, MATCH(GradeUp!H20, '#등급업 재료 개수'!$A$2:$K$2, 0), FALSE)</f>
        <v>20</v>
      </c>
      <c r="H20" s="17">
        <v>7</v>
      </c>
      <c r="I20" s="17">
        <v>70</v>
      </c>
      <c r="J20" s="17" t="s">
        <v>32</v>
      </c>
      <c r="K20" s="17">
        <f>_xlfn.IFNA(VLOOKUP($B20, 'Detail&lt;Child&gt;'!$A:$AT, MATCH(J20, 'Detail&lt;Child&gt;'!$3:$3,0 ), FALSE)+INT($H20/12), 0)+1</f>
        <v>42029602</v>
      </c>
      <c r="L20" s="17" t="s">
        <v>917</v>
      </c>
      <c r="M20" s="17">
        <f t="shared" si="6"/>
        <v>40000</v>
      </c>
      <c r="N20" s="17" t="s">
        <v>918</v>
      </c>
      <c r="O20" s="17">
        <f t="shared" si="7"/>
        <v>40000</v>
      </c>
      <c r="P20" s="17" t="s">
        <v>919</v>
      </c>
      <c r="Q20" s="17">
        <f t="shared" si="8"/>
        <v>40000</v>
      </c>
      <c r="R20">
        <f>_xlfn.XLOOKUP($B20, 'Detail&lt;Child&gt;'!$A:$A, 'Detail&lt;Child&gt;'!$L:$L)</f>
        <v>2</v>
      </c>
    </row>
    <row r="21" spans="1:18" x14ac:dyDescent="0.3">
      <c r="A21" s="17">
        <f t="shared" si="0"/>
        <v>1000029608</v>
      </c>
      <c r="B21" s="17">
        <v>10000296</v>
      </c>
      <c r="C21" s="17" t="str">
        <f>_xlfn.XLOOKUP(B21,'Detail&lt;Child&gt;'!A:A,'Detail&lt;Child&gt;'!B:B)</f>
        <v>힐드</v>
      </c>
      <c r="D21" s="17" t="str">
        <f t="shared" si="1"/>
        <v>character_gradeup_10000296_8</v>
      </c>
      <c r="E21" s="17" t="s">
        <v>923</v>
      </c>
      <c r="F21" s="17">
        <f t="shared" si="2"/>
        <v>30030296</v>
      </c>
      <c r="G21" s="17">
        <f>VLOOKUP($R21, '#등급업 재료 개수'!$A$2:$K$5, MATCH(GradeUp!H21, '#등급업 재료 개수'!$A$2:$K$2, 0), FALSE)</f>
        <v>24</v>
      </c>
      <c r="H21" s="17">
        <v>8</v>
      </c>
      <c r="I21" s="17">
        <v>80</v>
      </c>
      <c r="J21" s="17">
        <v>0</v>
      </c>
      <c r="K21" s="17">
        <v>0</v>
      </c>
      <c r="L21" s="17" t="s">
        <v>917</v>
      </c>
      <c r="M21" s="17">
        <f t="shared" si="6"/>
        <v>50000</v>
      </c>
      <c r="N21" s="17" t="s">
        <v>918</v>
      </c>
      <c r="O21" s="17">
        <f t="shared" si="7"/>
        <v>50000</v>
      </c>
      <c r="P21" s="17" t="s">
        <v>919</v>
      </c>
      <c r="Q21" s="17">
        <f t="shared" si="8"/>
        <v>50000</v>
      </c>
      <c r="R21">
        <f>_xlfn.XLOOKUP($B21, 'Detail&lt;Child&gt;'!$A:$A, 'Detail&lt;Child&gt;'!$L:$L)</f>
        <v>2</v>
      </c>
    </row>
    <row r="22" spans="1:18" x14ac:dyDescent="0.3">
      <c r="A22" s="17">
        <f t="shared" si="0"/>
        <v>1000029609</v>
      </c>
      <c r="B22" s="17">
        <v>10000296</v>
      </c>
      <c r="C22" s="17" t="str">
        <f>_xlfn.XLOOKUP(B22,'Detail&lt;Child&gt;'!A:A,'Detail&lt;Child&gt;'!B:B)</f>
        <v>힐드</v>
      </c>
      <c r="D22" s="17" t="str">
        <f t="shared" si="1"/>
        <v>character_gradeup_10000296_9</v>
      </c>
      <c r="E22" s="17" t="s">
        <v>923</v>
      </c>
      <c r="F22" s="17">
        <f t="shared" si="2"/>
        <v>30030296</v>
      </c>
      <c r="G22" s="17">
        <f>VLOOKUP($R22, '#등급업 재료 개수'!$A$2:$K$5, MATCH(GradeUp!H22, '#등급업 재료 개수'!$A$2:$K$2, 0), FALSE)</f>
        <v>28</v>
      </c>
      <c r="H22" s="17">
        <v>9</v>
      </c>
      <c r="I22" s="17">
        <v>90</v>
      </c>
      <c r="J22" s="17" t="s">
        <v>31</v>
      </c>
      <c r="K22" s="17">
        <f>_xlfn.IFNA(VLOOKUP($B22, 'Detail&lt;Child&gt;'!$A:$AT, MATCH(J22, 'Detail&lt;Child&gt;'!$3:$3,0 ), FALSE)+INT($H22/12), 0)+1</f>
        <v>32029602</v>
      </c>
      <c r="L22" s="17" t="s">
        <v>917</v>
      </c>
      <c r="M22" s="17">
        <f t="shared" si="6"/>
        <v>60000</v>
      </c>
      <c r="N22" s="17" t="s">
        <v>918</v>
      </c>
      <c r="O22" s="17">
        <f t="shared" si="7"/>
        <v>60000</v>
      </c>
      <c r="P22" s="17" t="s">
        <v>919</v>
      </c>
      <c r="Q22" s="17">
        <f t="shared" si="8"/>
        <v>60000</v>
      </c>
      <c r="R22">
        <f>_xlfn.XLOOKUP($B22, 'Detail&lt;Child&gt;'!$A:$A, 'Detail&lt;Child&gt;'!$L:$L)</f>
        <v>2</v>
      </c>
    </row>
    <row r="23" spans="1:18" x14ac:dyDescent="0.3">
      <c r="A23" s="17">
        <f t="shared" si="0"/>
        <v>1000029610</v>
      </c>
      <c r="B23" s="17">
        <v>10000296</v>
      </c>
      <c r="C23" s="17" t="str">
        <f>_xlfn.XLOOKUP(B23,'Detail&lt;Child&gt;'!A:A,'Detail&lt;Child&gt;'!B:B)</f>
        <v>힐드</v>
      </c>
      <c r="D23" s="17" t="str">
        <f t="shared" si="1"/>
        <v>character_gradeup_10000296_10</v>
      </c>
      <c r="E23" s="17" t="s">
        <v>923</v>
      </c>
      <c r="F23" s="17">
        <f t="shared" si="2"/>
        <v>30030296</v>
      </c>
      <c r="G23" s="17">
        <f>VLOOKUP($R23, '#등급업 재료 개수'!$A$2:$K$5, MATCH(GradeUp!H23, '#등급업 재료 개수'!$A$2:$K$2, 0), FALSE)</f>
        <v>999</v>
      </c>
      <c r="H23" s="17">
        <v>10</v>
      </c>
      <c r="I23" s="17">
        <v>100</v>
      </c>
      <c r="J23" s="17">
        <v>0</v>
      </c>
      <c r="K23" s="17">
        <v>0</v>
      </c>
      <c r="L23" s="17" t="s">
        <v>917</v>
      </c>
      <c r="M23" s="17">
        <f t="shared" si="6"/>
        <v>70000</v>
      </c>
      <c r="N23" s="17" t="s">
        <v>918</v>
      </c>
      <c r="O23" s="17">
        <f t="shared" si="7"/>
        <v>70000</v>
      </c>
      <c r="P23" s="17" t="s">
        <v>919</v>
      </c>
      <c r="Q23" s="17">
        <f t="shared" si="8"/>
        <v>70000</v>
      </c>
      <c r="R23">
        <f>_xlfn.XLOOKUP($B23, 'Detail&lt;Child&gt;'!$A:$A, 'Detail&lt;Child&gt;'!$L:$L)</f>
        <v>2</v>
      </c>
    </row>
    <row r="24" spans="1:18" x14ac:dyDescent="0.3">
      <c r="A24" s="17">
        <f t="shared" si="0"/>
        <v>1000000301</v>
      </c>
      <c r="B24" s="17">
        <v>10000003</v>
      </c>
      <c r="C24" s="17" t="str">
        <f>_xlfn.XLOOKUP(B24,'Detail&lt;Child&gt;'!A:A,'Detail&lt;Child&gt;'!B:B)</f>
        <v>다비</v>
      </c>
      <c r="D24" s="17" t="str">
        <f t="shared" si="1"/>
        <v>character_gradeup_10000003_1</v>
      </c>
      <c r="E24" s="17" t="s">
        <v>923</v>
      </c>
      <c r="F24" s="17">
        <f t="shared" si="2"/>
        <v>30030003</v>
      </c>
      <c r="G24" s="17">
        <f>VLOOKUP($R24, '#등급업 재료 개수'!$A$2:$K$5, MATCH(GradeUp!H24, '#등급업 재료 개수'!$A$2:$K$2, 0), FALSE)</f>
        <v>1</v>
      </c>
      <c r="H24" s="17">
        <v>1</v>
      </c>
      <c r="I24" s="17">
        <v>10</v>
      </c>
      <c r="J24" s="17">
        <v>0</v>
      </c>
      <c r="K24" s="17">
        <v>0</v>
      </c>
      <c r="L24" s="17" t="s">
        <v>917</v>
      </c>
      <c r="M24" s="17">
        <v>0</v>
      </c>
      <c r="N24" s="17" t="s">
        <v>918</v>
      </c>
      <c r="O24" s="17">
        <v>0</v>
      </c>
      <c r="P24" s="17" t="s">
        <v>919</v>
      </c>
      <c r="Q24" s="17">
        <v>0</v>
      </c>
      <c r="R24">
        <f>_xlfn.XLOOKUP($B24, 'Detail&lt;Child&gt;'!$A:$A, 'Detail&lt;Child&gt;'!$L:$L)</f>
        <v>2</v>
      </c>
    </row>
    <row r="25" spans="1:18" x14ac:dyDescent="0.3">
      <c r="A25" s="17">
        <f t="shared" si="0"/>
        <v>1000000302</v>
      </c>
      <c r="B25" s="17">
        <v>10000003</v>
      </c>
      <c r="C25" s="17" t="str">
        <f>_xlfn.XLOOKUP(B25,'Detail&lt;Child&gt;'!A:A,'Detail&lt;Child&gt;'!B:B)</f>
        <v>다비</v>
      </c>
      <c r="D25" s="17" t="str">
        <f t="shared" si="1"/>
        <v>character_gradeup_10000003_2</v>
      </c>
      <c r="E25" s="17" t="s">
        <v>923</v>
      </c>
      <c r="F25" s="17">
        <f t="shared" si="2"/>
        <v>30030003</v>
      </c>
      <c r="G25" s="17">
        <f>VLOOKUP($R25, '#등급업 재료 개수'!$A$2:$K$5, MATCH(GradeUp!H25, '#등급업 재료 개수'!$A$2:$K$2, 0), FALSE)</f>
        <v>2</v>
      </c>
      <c r="H25" s="17">
        <v>2</v>
      </c>
      <c r="I25" s="17">
        <v>20</v>
      </c>
      <c r="J25" s="17" t="s">
        <v>30</v>
      </c>
      <c r="K25" s="17">
        <f>_xlfn.IFNA(VLOOKUP($B25, 'Detail&lt;Child&gt;'!$A:$AT, MATCH(J25, 'Detail&lt;Child&gt;'!$3:$3,0 ), FALSE)+INT($H25/12), 0)</f>
        <v>22000301</v>
      </c>
      <c r="L25" s="17" t="s">
        <v>917</v>
      </c>
      <c r="M25" s="17">
        <v>10000</v>
      </c>
      <c r="N25" s="17" t="s">
        <v>918</v>
      </c>
      <c r="O25" s="17">
        <v>10000</v>
      </c>
      <c r="P25" s="17" t="s">
        <v>919</v>
      </c>
      <c r="Q25" s="17">
        <v>10000</v>
      </c>
      <c r="R25">
        <f>_xlfn.XLOOKUP($B25, 'Detail&lt;Child&gt;'!$A:$A, 'Detail&lt;Child&gt;'!$L:$L)</f>
        <v>2</v>
      </c>
    </row>
    <row r="26" spans="1:18" x14ac:dyDescent="0.3">
      <c r="A26" s="17">
        <f t="shared" si="0"/>
        <v>1000000303</v>
      </c>
      <c r="B26" s="17">
        <v>10000003</v>
      </c>
      <c r="C26" s="17" t="str">
        <f>_xlfn.XLOOKUP(B26,'Detail&lt;Child&gt;'!A:A,'Detail&lt;Child&gt;'!B:B)</f>
        <v>다비</v>
      </c>
      <c r="D26" s="17" t="str">
        <f t="shared" si="1"/>
        <v>character_gradeup_10000003_3</v>
      </c>
      <c r="E26" s="17" t="s">
        <v>923</v>
      </c>
      <c r="F26" s="17">
        <f t="shared" si="2"/>
        <v>30030003</v>
      </c>
      <c r="G26" s="17">
        <f>VLOOKUP($R26, '#등급업 재료 개수'!$A$2:$K$5, MATCH(GradeUp!H26, '#등급업 재료 개수'!$A$2:$K$2, 0), FALSE)</f>
        <v>4</v>
      </c>
      <c r="H26" s="17">
        <v>3</v>
      </c>
      <c r="I26" s="17">
        <v>30</v>
      </c>
      <c r="J26" s="17">
        <v>0</v>
      </c>
      <c r="K26" s="17">
        <v>0</v>
      </c>
      <c r="L26" s="17" t="s">
        <v>917</v>
      </c>
      <c r="M26" s="17">
        <f t="shared" ref="M26:M33" si="9">M25+10000</f>
        <v>20000</v>
      </c>
      <c r="N26" s="17" t="s">
        <v>918</v>
      </c>
      <c r="O26" s="17">
        <f t="shared" ref="O26:O33" si="10">O25+10000</f>
        <v>20000</v>
      </c>
      <c r="P26" s="17" t="s">
        <v>919</v>
      </c>
      <c r="Q26" s="17">
        <f t="shared" ref="Q26:Q33" si="11">Q25+10000</f>
        <v>20000</v>
      </c>
      <c r="R26">
        <f>_xlfn.XLOOKUP($B26, 'Detail&lt;Child&gt;'!$A:$A, 'Detail&lt;Child&gt;'!$L:$L)</f>
        <v>2</v>
      </c>
    </row>
    <row r="27" spans="1:18" x14ac:dyDescent="0.3">
      <c r="A27" s="17">
        <f t="shared" si="0"/>
        <v>1000000304</v>
      </c>
      <c r="B27" s="17">
        <v>10000003</v>
      </c>
      <c r="C27" s="17" t="str">
        <f>_xlfn.XLOOKUP(B27,'Detail&lt;Child&gt;'!A:A,'Detail&lt;Child&gt;'!B:B)</f>
        <v>다비</v>
      </c>
      <c r="D27" s="17" t="str">
        <f t="shared" si="1"/>
        <v>character_gradeup_10000003_4</v>
      </c>
      <c r="E27" s="17" t="s">
        <v>923</v>
      </c>
      <c r="F27" s="17">
        <f t="shared" si="2"/>
        <v>30030003</v>
      </c>
      <c r="G27" s="17">
        <f>VLOOKUP($R27, '#등급업 재료 개수'!$A$2:$K$5, MATCH(GradeUp!H27, '#등급업 재료 개수'!$A$2:$K$2, 0), FALSE)</f>
        <v>8</v>
      </c>
      <c r="H27" s="17">
        <v>4</v>
      </c>
      <c r="I27" s="17">
        <v>40</v>
      </c>
      <c r="J27" s="17" t="s">
        <v>32</v>
      </c>
      <c r="K27" s="17">
        <f>_xlfn.IFNA(VLOOKUP($B27, 'Detail&lt;Child&gt;'!$A:$AT, MATCH(J27, 'Detail&lt;Child&gt;'!$3:$3,0 ), FALSE)+INT($H27/12), 0)</f>
        <v>42000301</v>
      </c>
      <c r="L27" s="17" t="s">
        <v>917</v>
      </c>
      <c r="M27" s="17">
        <f t="shared" si="9"/>
        <v>30000</v>
      </c>
      <c r="N27" s="17" t="s">
        <v>918</v>
      </c>
      <c r="O27" s="17">
        <f t="shared" si="10"/>
        <v>30000</v>
      </c>
      <c r="P27" s="17" t="s">
        <v>919</v>
      </c>
      <c r="Q27" s="17">
        <f t="shared" si="11"/>
        <v>30000</v>
      </c>
      <c r="R27">
        <f>_xlfn.XLOOKUP($B27, 'Detail&lt;Child&gt;'!$A:$A, 'Detail&lt;Child&gt;'!$L:$L)</f>
        <v>2</v>
      </c>
    </row>
    <row r="28" spans="1:18" x14ac:dyDescent="0.3">
      <c r="A28" s="17">
        <f t="shared" si="0"/>
        <v>1000000305</v>
      </c>
      <c r="B28" s="17">
        <v>10000003</v>
      </c>
      <c r="C28" s="17" t="str">
        <f>_xlfn.XLOOKUP(B28,'Detail&lt;Child&gt;'!A:A,'Detail&lt;Child&gt;'!B:B)</f>
        <v>다비</v>
      </c>
      <c r="D28" s="17" t="str">
        <f t="shared" si="1"/>
        <v>character_gradeup_10000003_5</v>
      </c>
      <c r="E28" s="17" t="s">
        <v>923</v>
      </c>
      <c r="F28" s="17">
        <f t="shared" si="2"/>
        <v>30030003</v>
      </c>
      <c r="G28" s="17">
        <f>VLOOKUP($R28, '#등급업 재료 개수'!$A$2:$K$5, MATCH(GradeUp!H28, '#등급업 재료 개수'!$A$2:$K$2, 0), FALSE)</f>
        <v>12</v>
      </c>
      <c r="H28" s="17">
        <v>5</v>
      </c>
      <c r="I28" s="17">
        <v>50</v>
      </c>
      <c r="J28" s="17" t="s">
        <v>30</v>
      </c>
      <c r="K28" s="17">
        <f>_xlfn.IFNA(VLOOKUP($B28, 'Detail&lt;Child&gt;'!$A:$AT, MATCH(J28, 'Detail&lt;Child&gt;'!$3:$3,0 ), FALSE)+INT($H28/12), 0)+1</f>
        <v>22000302</v>
      </c>
      <c r="L28" s="17" t="s">
        <v>917</v>
      </c>
      <c r="M28" s="17">
        <f t="shared" si="9"/>
        <v>40000</v>
      </c>
      <c r="N28" s="17" t="s">
        <v>918</v>
      </c>
      <c r="O28" s="17">
        <f t="shared" si="10"/>
        <v>40000</v>
      </c>
      <c r="P28" s="17" t="s">
        <v>919</v>
      </c>
      <c r="Q28" s="17">
        <f t="shared" si="11"/>
        <v>40000</v>
      </c>
      <c r="R28">
        <f>_xlfn.XLOOKUP($B28, 'Detail&lt;Child&gt;'!$A:$A, 'Detail&lt;Child&gt;'!$L:$L)</f>
        <v>2</v>
      </c>
    </row>
    <row r="29" spans="1:18" x14ac:dyDescent="0.3">
      <c r="A29" s="17">
        <f t="shared" si="0"/>
        <v>1000000306</v>
      </c>
      <c r="B29" s="17">
        <v>10000003</v>
      </c>
      <c r="C29" s="17" t="str">
        <f>_xlfn.XLOOKUP(B29,'Detail&lt;Child&gt;'!A:A,'Detail&lt;Child&gt;'!B:B)</f>
        <v>다비</v>
      </c>
      <c r="D29" s="17" t="str">
        <f t="shared" si="1"/>
        <v>character_gradeup_10000003_6</v>
      </c>
      <c r="E29" s="17" t="s">
        <v>923</v>
      </c>
      <c r="F29" s="17">
        <f t="shared" si="2"/>
        <v>30030003</v>
      </c>
      <c r="G29" s="17">
        <f>VLOOKUP($R29, '#등급업 재료 개수'!$A$2:$K$5, MATCH(GradeUp!H29, '#등급업 재료 개수'!$A$2:$K$2, 0), FALSE)</f>
        <v>16</v>
      </c>
      <c r="H29" s="17">
        <v>6</v>
      </c>
      <c r="I29" s="17">
        <v>60</v>
      </c>
      <c r="J29" s="17">
        <v>0</v>
      </c>
      <c r="K29" s="17">
        <v>0</v>
      </c>
      <c r="L29" s="17" t="s">
        <v>917</v>
      </c>
      <c r="M29" s="17">
        <f t="shared" si="9"/>
        <v>50000</v>
      </c>
      <c r="N29" s="17" t="s">
        <v>918</v>
      </c>
      <c r="O29" s="17">
        <f t="shared" si="10"/>
        <v>50000</v>
      </c>
      <c r="P29" s="17" t="s">
        <v>919</v>
      </c>
      <c r="Q29" s="17">
        <f t="shared" si="11"/>
        <v>50000</v>
      </c>
      <c r="R29">
        <f>_xlfn.XLOOKUP($B29, 'Detail&lt;Child&gt;'!$A:$A, 'Detail&lt;Child&gt;'!$L:$L)</f>
        <v>2</v>
      </c>
    </row>
    <row r="30" spans="1:18" x14ac:dyDescent="0.3">
      <c r="A30" s="17">
        <f t="shared" si="0"/>
        <v>1000000307</v>
      </c>
      <c r="B30" s="17">
        <v>10000003</v>
      </c>
      <c r="C30" s="17" t="str">
        <f>_xlfn.XLOOKUP(B30,'Detail&lt;Child&gt;'!A:A,'Detail&lt;Child&gt;'!B:B)</f>
        <v>다비</v>
      </c>
      <c r="D30" s="17" t="str">
        <f t="shared" si="1"/>
        <v>character_gradeup_10000003_7</v>
      </c>
      <c r="E30" s="17" t="s">
        <v>923</v>
      </c>
      <c r="F30" s="17">
        <f t="shared" si="2"/>
        <v>30030003</v>
      </c>
      <c r="G30" s="17">
        <f>VLOOKUP($R30, '#등급업 재료 개수'!$A$2:$K$5, MATCH(GradeUp!H30, '#등급업 재료 개수'!$A$2:$K$2, 0), FALSE)</f>
        <v>20</v>
      </c>
      <c r="H30" s="17">
        <v>7</v>
      </c>
      <c r="I30" s="17">
        <v>70</v>
      </c>
      <c r="J30" s="17" t="s">
        <v>32</v>
      </c>
      <c r="K30" s="17">
        <f>_xlfn.IFNA(VLOOKUP($B30, 'Detail&lt;Child&gt;'!$A:$AT, MATCH(J30, 'Detail&lt;Child&gt;'!$3:$3,0 ), FALSE)+INT($H30/12), 0)+1</f>
        <v>42000302</v>
      </c>
      <c r="L30" s="17" t="s">
        <v>917</v>
      </c>
      <c r="M30" s="17">
        <f t="shared" si="9"/>
        <v>60000</v>
      </c>
      <c r="N30" s="17" t="s">
        <v>918</v>
      </c>
      <c r="O30" s="17">
        <f t="shared" si="10"/>
        <v>60000</v>
      </c>
      <c r="P30" s="17" t="s">
        <v>919</v>
      </c>
      <c r="Q30" s="17">
        <f t="shared" si="11"/>
        <v>60000</v>
      </c>
      <c r="R30">
        <f>_xlfn.XLOOKUP($B30, 'Detail&lt;Child&gt;'!$A:$A, 'Detail&lt;Child&gt;'!$L:$L)</f>
        <v>2</v>
      </c>
    </row>
    <row r="31" spans="1:18" x14ac:dyDescent="0.3">
      <c r="A31" s="17">
        <f t="shared" si="0"/>
        <v>1000000308</v>
      </c>
      <c r="B31" s="17">
        <v>10000003</v>
      </c>
      <c r="C31" s="17" t="str">
        <f>_xlfn.XLOOKUP(B31,'Detail&lt;Child&gt;'!A:A,'Detail&lt;Child&gt;'!B:B)</f>
        <v>다비</v>
      </c>
      <c r="D31" s="17" t="str">
        <f t="shared" si="1"/>
        <v>character_gradeup_10000003_8</v>
      </c>
      <c r="E31" s="17" t="s">
        <v>923</v>
      </c>
      <c r="F31" s="17">
        <f t="shared" si="2"/>
        <v>30030003</v>
      </c>
      <c r="G31" s="17">
        <f>VLOOKUP($R31, '#등급업 재료 개수'!$A$2:$K$5, MATCH(GradeUp!H31, '#등급업 재료 개수'!$A$2:$K$2, 0), FALSE)</f>
        <v>24</v>
      </c>
      <c r="H31" s="17">
        <v>8</v>
      </c>
      <c r="I31" s="17">
        <v>80</v>
      </c>
      <c r="J31" s="17">
        <v>0</v>
      </c>
      <c r="K31" s="17">
        <v>0</v>
      </c>
      <c r="L31" s="17" t="s">
        <v>917</v>
      </c>
      <c r="M31" s="17">
        <f t="shared" si="9"/>
        <v>70000</v>
      </c>
      <c r="N31" s="17" t="s">
        <v>918</v>
      </c>
      <c r="O31" s="17">
        <f t="shared" si="10"/>
        <v>70000</v>
      </c>
      <c r="P31" s="17" t="s">
        <v>919</v>
      </c>
      <c r="Q31" s="17">
        <f t="shared" si="11"/>
        <v>70000</v>
      </c>
      <c r="R31">
        <f>_xlfn.XLOOKUP($B31, 'Detail&lt;Child&gt;'!$A:$A, 'Detail&lt;Child&gt;'!$L:$L)</f>
        <v>2</v>
      </c>
    </row>
    <row r="32" spans="1:18" x14ac:dyDescent="0.3">
      <c r="A32" s="17">
        <f t="shared" si="0"/>
        <v>1000000309</v>
      </c>
      <c r="B32" s="17">
        <v>10000003</v>
      </c>
      <c r="C32" s="17" t="str">
        <f>_xlfn.XLOOKUP(B32,'Detail&lt;Child&gt;'!A:A,'Detail&lt;Child&gt;'!B:B)</f>
        <v>다비</v>
      </c>
      <c r="D32" s="17" t="str">
        <f t="shared" si="1"/>
        <v>character_gradeup_10000003_9</v>
      </c>
      <c r="E32" s="17" t="s">
        <v>923</v>
      </c>
      <c r="F32" s="17">
        <f t="shared" si="2"/>
        <v>30030003</v>
      </c>
      <c r="G32" s="17">
        <f>VLOOKUP($R32, '#등급업 재료 개수'!$A$2:$K$5, MATCH(GradeUp!H32, '#등급업 재료 개수'!$A$2:$K$2, 0), FALSE)</f>
        <v>28</v>
      </c>
      <c r="H32" s="17">
        <v>9</v>
      </c>
      <c r="I32" s="17">
        <v>90</v>
      </c>
      <c r="J32" s="17" t="s">
        <v>31</v>
      </c>
      <c r="K32" s="17">
        <f>_xlfn.IFNA(VLOOKUP($B32, 'Detail&lt;Child&gt;'!$A:$AT, MATCH(J32, 'Detail&lt;Child&gt;'!$3:$3,0 ), FALSE)+INT($H32/12), 0)+1</f>
        <v>32000302</v>
      </c>
      <c r="L32" s="17" t="s">
        <v>917</v>
      </c>
      <c r="M32" s="17">
        <f t="shared" si="9"/>
        <v>80000</v>
      </c>
      <c r="N32" s="17" t="s">
        <v>918</v>
      </c>
      <c r="O32" s="17">
        <f t="shared" si="10"/>
        <v>80000</v>
      </c>
      <c r="P32" s="17" t="s">
        <v>919</v>
      </c>
      <c r="Q32" s="17">
        <f t="shared" si="11"/>
        <v>80000</v>
      </c>
      <c r="R32">
        <f>_xlfn.XLOOKUP($B32, 'Detail&lt;Child&gt;'!$A:$A, 'Detail&lt;Child&gt;'!$L:$L)</f>
        <v>2</v>
      </c>
    </row>
    <row r="33" spans="1:18" x14ac:dyDescent="0.3">
      <c r="A33" s="17">
        <f t="shared" si="0"/>
        <v>1000000310</v>
      </c>
      <c r="B33" s="17">
        <v>10000003</v>
      </c>
      <c r="C33" s="17" t="str">
        <f>_xlfn.XLOOKUP(B33,'Detail&lt;Child&gt;'!A:A,'Detail&lt;Child&gt;'!B:B)</f>
        <v>다비</v>
      </c>
      <c r="D33" s="17" t="str">
        <f t="shared" si="1"/>
        <v>character_gradeup_10000003_10</v>
      </c>
      <c r="E33" s="17" t="s">
        <v>923</v>
      </c>
      <c r="F33" s="17">
        <f t="shared" si="2"/>
        <v>30030003</v>
      </c>
      <c r="G33" s="17">
        <f>VLOOKUP($R33, '#등급업 재료 개수'!$A$2:$K$5, MATCH(GradeUp!H33, '#등급업 재료 개수'!$A$2:$K$2, 0), FALSE)</f>
        <v>999</v>
      </c>
      <c r="H33" s="17">
        <v>10</v>
      </c>
      <c r="I33" s="17">
        <v>100</v>
      </c>
      <c r="J33" s="17">
        <v>0</v>
      </c>
      <c r="K33" s="17">
        <v>0</v>
      </c>
      <c r="L33" s="17" t="s">
        <v>917</v>
      </c>
      <c r="M33" s="17">
        <f t="shared" si="9"/>
        <v>90000</v>
      </c>
      <c r="N33" s="17" t="s">
        <v>918</v>
      </c>
      <c r="O33" s="17">
        <f t="shared" si="10"/>
        <v>90000</v>
      </c>
      <c r="P33" s="17" t="s">
        <v>919</v>
      </c>
      <c r="Q33" s="17">
        <f t="shared" si="11"/>
        <v>90000</v>
      </c>
      <c r="R33">
        <f>_xlfn.XLOOKUP($B33, 'Detail&lt;Child&gt;'!$A:$A, 'Detail&lt;Child&gt;'!$L:$L)</f>
        <v>2</v>
      </c>
    </row>
    <row r="34" spans="1:18" x14ac:dyDescent="0.3">
      <c r="A34" s="17">
        <f t="shared" si="0"/>
        <v>1000046401</v>
      </c>
      <c r="B34" s="17">
        <v>10000464</v>
      </c>
      <c r="C34" s="17" t="str">
        <f>_xlfn.XLOOKUP(B34,'Detail&lt;Child&gt;'!A:A,'Detail&lt;Child&gt;'!B:B)</f>
        <v>아라한</v>
      </c>
      <c r="D34" s="17" t="str">
        <f t="shared" si="1"/>
        <v>character_gradeup_10000464_1</v>
      </c>
      <c r="E34" s="17" t="s">
        <v>923</v>
      </c>
      <c r="F34" s="17">
        <f t="shared" si="2"/>
        <v>30030464</v>
      </c>
      <c r="G34" s="17">
        <f>VLOOKUP($R34, '#등급업 재료 개수'!$A$2:$K$5, MATCH(GradeUp!H34, '#등급업 재료 개수'!$A$2:$K$2, 0), FALSE)</f>
        <v>1</v>
      </c>
      <c r="H34" s="17">
        <v>1</v>
      </c>
      <c r="I34" s="17">
        <v>10</v>
      </c>
      <c r="J34" s="17">
        <v>0</v>
      </c>
      <c r="K34" s="17">
        <v>0</v>
      </c>
      <c r="L34" s="17" t="s">
        <v>917</v>
      </c>
      <c r="M34" s="17">
        <v>0</v>
      </c>
      <c r="N34" s="17" t="s">
        <v>918</v>
      </c>
      <c r="O34" s="17">
        <v>0</v>
      </c>
      <c r="P34" s="17" t="s">
        <v>919</v>
      </c>
      <c r="Q34" s="17">
        <v>0</v>
      </c>
      <c r="R34">
        <f>_xlfn.XLOOKUP($B34, 'Detail&lt;Child&gt;'!$A:$A, 'Detail&lt;Child&gt;'!$L:$L)</f>
        <v>3</v>
      </c>
    </row>
    <row r="35" spans="1:18" x14ac:dyDescent="0.3">
      <c r="A35" s="17">
        <f t="shared" si="0"/>
        <v>1000046402</v>
      </c>
      <c r="B35" s="17">
        <v>10000464</v>
      </c>
      <c r="C35" s="17" t="str">
        <f>_xlfn.XLOOKUP(B35,'Detail&lt;Child&gt;'!A:A,'Detail&lt;Child&gt;'!B:B)</f>
        <v>아라한</v>
      </c>
      <c r="D35" s="17" t="str">
        <f t="shared" si="1"/>
        <v>character_gradeup_10000464_2</v>
      </c>
      <c r="E35" s="17" t="s">
        <v>923</v>
      </c>
      <c r="F35" s="17">
        <f t="shared" si="2"/>
        <v>30030464</v>
      </c>
      <c r="G35" s="17">
        <f>VLOOKUP($R35, '#등급업 재료 개수'!$A$2:$K$5, MATCH(GradeUp!H35, '#등급업 재료 개수'!$A$2:$K$2, 0), FALSE)</f>
        <v>1</v>
      </c>
      <c r="H35" s="17">
        <v>2</v>
      </c>
      <c r="I35" s="17">
        <v>20</v>
      </c>
      <c r="J35" s="17" t="s">
        <v>30</v>
      </c>
      <c r="K35" s="17">
        <f>_xlfn.IFNA(VLOOKUP($B35, 'Detail&lt;Child&gt;'!$A:$AT, MATCH(J35, 'Detail&lt;Child&gt;'!$3:$3,0 ), FALSE)+INT($H35/12), 0)</f>
        <v>23046401</v>
      </c>
      <c r="L35" s="17" t="s">
        <v>917</v>
      </c>
      <c r="M35" s="17">
        <v>0</v>
      </c>
      <c r="N35" s="17" t="s">
        <v>918</v>
      </c>
      <c r="O35" s="17">
        <v>0</v>
      </c>
      <c r="P35" s="17" t="s">
        <v>919</v>
      </c>
      <c r="Q35" s="17">
        <v>0</v>
      </c>
      <c r="R35">
        <f>_xlfn.XLOOKUP($B35, 'Detail&lt;Child&gt;'!$A:$A, 'Detail&lt;Child&gt;'!$L:$L)</f>
        <v>3</v>
      </c>
    </row>
    <row r="36" spans="1:18" x14ac:dyDescent="0.3">
      <c r="A36" s="17">
        <f t="shared" si="0"/>
        <v>1000046403</v>
      </c>
      <c r="B36" s="17">
        <v>10000464</v>
      </c>
      <c r="C36" s="17" t="str">
        <f>_xlfn.XLOOKUP(B36,'Detail&lt;Child&gt;'!A:A,'Detail&lt;Child&gt;'!B:B)</f>
        <v>아라한</v>
      </c>
      <c r="D36" s="17" t="str">
        <f t="shared" si="1"/>
        <v>character_gradeup_10000464_3</v>
      </c>
      <c r="E36" s="17" t="s">
        <v>923</v>
      </c>
      <c r="F36" s="17">
        <f t="shared" si="2"/>
        <v>30030464</v>
      </c>
      <c r="G36" s="17">
        <f>VLOOKUP($R36, '#등급업 재료 개수'!$A$2:$K$5, MATCH(GradeUp!H36, '#등급업 재료 개수'!$A$2:$K$2, 0), FALSE)</f>
        <v>1</v>
      </c>
      <c r="H36" s="17">
        <v>3</v>
      </c>
      <c r="I36" s="17">
        <v>30</v>
      </c>
      <c r="J36" s="17">
        <v>0</v>
      </c>
      <c r="K36" s="17">
        <v>0</v>
      </c>
      <c r="L36" s="17" t="s">
        <v>917</v>
      </c>
      <c r="M36" s="17">
        <v>0</v>
      </c>
      <c r="N36" s="17" t="s">
        <v>918</v>
      </c>
      <c r="O36" s="17">
        <v>0</v>
      </c>
      <c r="P36" s="17" t="s">
        <v>919</v>
      </c>
      <c r="Q36" s="17">
        <v>0</v>
      </c>
      <c r="R36">
        <f>_xlfn.XLOOKUP($B36, 'Detail&lt;Child&gt;'!$A:$A, 'Detail&lt;Child&gt;'!$L:$L)</f>
        <v>3</v>
      </c>
    </row>
    <row r="37" spans="1:18" x14ac:dyDescent="0.3">
      <c r="A37" s="17">
        <f t="shared" si="0"/>
        <v>1000046404</v>
      </c>
      <c r="B37" s="17">
        <v>10000464</v>
      </c>
      <c r="C37" s="17" t="str">
        <f>_xlfn.XLOOKUP(B37,'Detail&lt;Child&gt;'!A:A,'Detail&lt;Child&gt;'!B:B)</f>
        <v>아라한</v>
      </c>
      <c r="D37" s="17" t="str">
        <f t="shared" si="1"/>
        <v>character_gradeup_10000464_4</v>
      </c>
      <c r="E37" s="17" t="s">
        <v>923</v>
      </c>
      <c r="F37" s="17">
        <f t="shared" si="2"/>
        <v>30030464</v>
      </c>
      <c r="G37" s="17">
        <f>VLOOKUP($R37, '#등급업 재료 개수'!$A$2:$K$5, MATCH(GradeUp!H37, '#등급업 재료 개수'!$A$2:$K$2, 0), FALSE)</f>
        <v>2</v>
      </c>
      <c r="H37" s="17">
        <v>4</v>
      </c>
      <c r="I37" s="17">
        <v>40</v>
      </c>
      <c r="J37" s="17" t="s">
        <v>32</v>
      </c>
      <c r="K37" s="17">
        <f>_xlfn.IFNA(VLOOKUP($B37, 'Detail&lt;Child&gt;'!$A:$AT, MATCH(J37, 'Detail&lt;Child&gt;'!$3:$3,0 ), FALSE)+INT($H37/12), 0)</f>
        <v>43046401</v>
      </c>
      <c r="L37" s="17" t="s">
        <v>917</v>
      </c>
      <c r="M37" s="17">
        <v>10000</v>
      </c>
      <c r="N37" s="17" t="s">
        <v>918</v>
      </c>
      <c r="O37" s="17">
        <v>10000</v>
      </c>
      <c r="P37" s="17" t="s">
        <v>919</v>
      </c>
      <c r="Q37" s="17">
        <v>10000</v>
      </c>
      <c r="R37">
        <f>_xlfn.XLOOKUP($B37, 'Detail&lt;Child&gt;'!$A:$A, 'Detail&lt;Child&gt;'!$L:$L)</f>
        <v>3</v>
      </c>
    </row>
    <row r="38" spans="1:18" x14ac:dyDescent="0.3">
      <c r="A38" s="17">
        <f t="shared" si="0"/>
        <v>1000046405</v>
      </c>
      <c r="B38" s="17">
        <v>10000464</v>
      </c>
      <c r="C38" s="17" t="str">
        <f>_xlfn.XLOOKUP(B38,'Detail&lt;Child&gt;'!A:A,'Detail&lt;Child&gt;'!B:B)</f>
        <v>아라한</v>
      </c>
      <c r="D38" s="17" t="str">
        <f t="shared" si="1"/>
        <v>character_gradeup_10000464_5</v>
      </c>
      <c r="E38" s="17" t="s">
        <v>923</v>
      </c>
      <c r="F38" s="17">
        <f t="shared" si="2"/>
        <v>30030464</v>
      </c>
      <c r="G38" s="17">
        <f>VLOOKUP($R38, '#등급업 재료 개수'!$A$2:$K$5, MATCH(GradeUp!H38, '#등급업 재료 개수'!$A$2:$K$2, 0), FALSE)</f>
        <v>4</v>
      </c>
      <c r="H38" s="17">
        <v>5</v>
      </c>
      <c r="I38" s="17">
        <v>50</v>
      </c>
      <c r="J38" s="17" t="s">
        <v>30</v>
      </c>
      <c r="K38" s="17">
        <f>_xlfn.IFNA(VLOOKUP($B38, 'Detail&lt;Child&gt;'!$A:$AT, MATCH(J38, 'Detail&lt;Child&gt;'!$3:$3,0 ), FALSE)+INT($H38/12), 0)+1</f>
        <v>23046402</v>
      </c>
      <c r="L38" s="17" t="s">
        <v>917</v>
      </c>
      <c r="M38" s="17">
        <f t="shared" ref="M38:M43" si="12">M37+10000</f>
        <v>20000</v>
      </c>
      <c r="N38" s="17" t="s">
        <v>918</v>
      </c>
      <c r="O38" s="17">
        <f t="shared" ref="O38:O43" si="13">O37+10000</f>
        <v>20000</v>
      </c>
      <c r="P38" s="17" t="s">
        <v>919</v>
      </c>
      <c r="Q38" s="17">
        <f t="shared" ref="Q38:Q43" si="14">Q37+10000</f>
        <v>20000</v>
      </c>
      <c r="R38">
        <f>_xlfn.XLOOKUP($B38, 'Detail&lt;Child&gt;'!$A:$A, 'Detail&lt;Child&gt;'!$L:$L)</f>
        <v>3</v>
      </c>
    </row>
    <row r="39" spans="1:18" x14ac:dyDescent="0.3">
      <c r="A39" s="17">
        <f t="shared" si="0"/>
        <v>1000046406</v>
      </c>
      <c r="B39" s="17">
        <v>10000464</v>
      </c>
      <c r="C39" s="17" t="str">
        <f>_xlfn.XLOOKUP(B39,'Detail&lt;Child&gt;'!A:A,'Detail&lt;Child&gt;'!B:B)</f>
        <v>아라한</v>
      </c>
      <c r="D39" s="17" t="str">
        <f t="shared" si="1"/>
        <v>character_gradeup_10000464_6</v>
      </c>
      <c r="E39" s="17" t="s">
        <v>923</v>
      </c>
      <c r="F39" s="17">
        <f t="shared" si="2"/>
        <v>30030464</v>
      </c>
      <c r="G39" s="17">
        <f>VLOOKUP($R39, '#등급업 재료 개수'!$A$2:$K$5, MATCH(GradeUp!H39, '#등급업 재료 개수'!$A$2:$K$2, 0), FALSE)</f>
        <v>6</v>
      </c>
      <c r="H39" s="17">
        <v>6</v>
      </c>
      <c r="I39" s="17">
        <v>60</v>
      </c>
      <c r="J39" s="17">
        <v>0</v>
      </c>
      <c r="K39" s="17">
        <v>0</v>
      </c>
      <c r="L39" s="17" t="s">
        <v>917</v>
      </c>
      <c r="M39" s="17">
        <f t="shared" si="12"/>
        <v>30000</v>
      </c>
      <c r="N39" s="17" t="s">
        <v>918</v>
      </c>
      <c r="O39" s="17">
        <f t="shared" si="13"/>
        <v>30000</v>
      </c>
      <c r="P39" s="17" t="s">
        <v>919</v>
      </c>
      <c r="Q39" s="17">
        <f t="shared" si="14"/>
        <v>30000</v>
      </c>
      <c r="R39">
        <f>_xlfn.XLOOKUP($B39, 'Detail&lt;Child&gt;'!$A:$A, 'Detail&lt;Child&gt;'!$L:$L)</f>
        <v>3</v>
      </c>
    </row>
    <row r="40" spans="1:18" x14ac:dyDescent="0.3">
      <c r="A40" s="17">
        <f t="shared" si="0"/>
        <v>1000046407</v>
      </c>
      <c r="B40" s="17">
        <v>10000464</v>
      </c>
      <c r="C40" s="17" t="str">
        <f>_xlfn.XLOOKUP(B40,'Detail&lt;Child&gt;'!A:A,'Detail&lt;Child&gt;'!B:B)</f>
        <v>아라한</v>
      </c>
      <c r="D40" s="17" t="str">
        <f t="shared" si="1"/>
        <v>character_gradeup_10000464_7</v>
      </c>
      <c r="E40" s="17" t="s">
        <v>923</v>
      </c>
      <c r="F40" s="17">
        <f t="shared" si="2"/>
        <v>30030464</v>
      </c>
      <c r="G40" s="17">
        <f>VLOOKUP($R40, '#등급업 재료 개수'!$A$2:$K$5, MATCH(GradeUp!H40, '#등급업 재료 개수'!$A$2:$K$2, 0), FALSE)</f>
        <v>8</v>
      </c>
      <c r="H40" s="17">
        <v>7</v>
      </c>
      <c r="I40" s="17">
        <v>70</v>
      </c>
      <c r="J40" s="17" t="s">
        <v>32</v>
      </c>
      <c r="K40" s="17">
        <f>_xlfn.IFNA(VLOOKUP($B40, 'Detail&lt;Child&gt;'!$A:$AT, MATCH(J40, 'Detail&lt;Child&gt;'!$3:$3,0 ), FALSE)+INT($H40/12), 0)+1</f>
        <v>43046402</v>
      </c>
      <c r="L40" s="17" t="s">
        <v>917</v>
      </c>
      <c r="M40" s="17">
        <f t="shared" si="12"/>
        <v>40000</v>
      </c>
      <c r="N40" s="17" t="s">
        <v>918</v>
      </c>
      <c r="O40" s="17">
        <f t="shared" si="13"/>
        <v>40000</v>
      </c>
      <c r="P40" s="17" t="s">
        <v>919</v>
      </c>
      <c r="Q40" s="17">
        <f t="shared" si="14"/>
        <v>40000</v>
      </c>
      <c r="R40">
        <f>_xlfn.XLOOKUP($B40, 'Detail&lt;Child&gt;'!$A:$A, 'Detail&lt;Child&gt;'!$L:$L)</f>
        <v>3</v>
      </c>
    </row>
    <row r="41" spans="1:18" x14ac:dyDescent="0.3">
      <c r="A41" s="17">
        <f t="shared" si="0"/>
        <v>1000046408</v>
      </c>
      <c r="B41" s="17">
        <v>10000464</v>
      </c>
      <c r="C41" s="17" t="str">
        <f>_xlfn.XLOOKUP(B41,'Detail&lt;Child&gt;'!A:A,'Detail&lt;Child&gt;'!B:B)</f>
        <v>아라한</v>
      </c>
      <c r="D41" s="17" t="str">
        <f t="shared" si="1"/>
        <v>character_gradeup_10000464_8</v>
      </c>
      <c r="E41" s="17" t="s">
        <v>923</v>
      </c>
      <c r="F41" s="17">
        <f t="shared" si="2"/>
        <v>30030464</v>
      </c>
      <c r="G41" s="17">
        <f>VLOOKUP($R41, '#등급업 재료 개수'!$A$2:$K$5, MATCH(GradeUp!H41, '#등급업 재료 개수'!$A$2:$K$2, 0), FALSE)</f>
        <v>10</v>
      </c>
      <c r="H41" s="17">
        <v>8</v>
      </c>
      <c r="I41" s="17">
        <v>80</v>
      </c>
      <c r="J41" s="17">
        <v>0</v>
      </c>
      <c r="K41" s="17">
        <v>0</v>
      </c>
      <c r="L41" s="17" t="s">
        <v>917</v>
      </c>
      <c r="M41" s="17">
        <f t="shared" si="12"/>
        <v>50000</v>
      </c>
      <c r="N41" s="17" t="s">
        <v>918</v>
      </c>
      <c r="O41" s="17">
        <f t="shared" si="13"/>
        <v>50000</v>
      </c>
      <c r="P41" s="17" t="s">
        <v>919</v>
      </c>
      <c r="Q41" s="17">
        <f t="shared" si="14"/>
        <v>50000</v>
      </c>
      <c r="R41">
        <f>_xlfn.XLOOKUP($B41, 'Detail&lt;Child&gt;'!$A:$A, 'Detail&lt;Child&gt;'!$L:$L)</f>
        <v>3</v>
      </c>
    </row>
    <row r="42" spans="1:18" x14ac:dyDescent="0.3">
      <c r="A42" s="17">
        <f t="shared" si="0"/>
        <v>1000046409</v>
      </c>
      <c r="B42" s="17">
        <v>10000464</v>
      </c>
      <c r="C42" s="17" t="str">
        <f>_xlfn.XLOOKUP(B42,'Detail&lt;Child&gt;'!A:A,'Detail&lt;Child&gt;'!B:B)</f>
        <v>아라한</v>
      </c>
      <c r="D42" s="17" t="str">
        <f t="shared" si="1"/>
        <v>character_gradeup_10000464_9</v>
      </c>
      <c r="E42" s="17" t="s">
        <v>923</v>
      </c>
      <c r="F42" s="17">
        <f t="shared" si="2"/>
        <v>30030464</v>
      </c>
      <c r="G42" s="17">
        <f>VLOOKUP($R42, '#등급업 재료 개수'!$A$2:$K$5, MATCH(GradeUp!H42, '#등급업 재료 개수'!$A$2:$K$2, 0), FALSE)</f>
        <v>12</v>
      </c>
      <c r="H42" s="17">
        <v>9</v>
      </c>
      <c r="I42" s="17">
        <v>90</v>
      </c>
      <c r="J42" s="17" t="s">
        <v>31</v>
      </c>
      <c r="K42" s="17">
        <f>_xlfn.IFNA(VLOOKUP($B42, 'Detail&lt;Child&gt;'!$A:$AT, MATCH(J42, 'Detail&lt;Child&gt;'!$3:$3,0 ), FALSE)+INT($H42/12), 0)+1</f>
        <v>33046402</v>
      </c>
      <c r="L42" s="17" t="s">
        <v>917</v>
      </c>
      <c r="M42" s="17">
        <f t="shared" si="12"/>
        <v>60000</v>
      </c>
      <c r="N42" s="17" t="s">
        <v>918</v>
      </c>
      <c r="O42" s="17">
        <f t="shared" si="13"/>
        <v>60000</v>
      </c>
      <c r="P42" s="17" t="s">
        <v>919</v>
      </c>
      <c r="Q42" s="17">
        <f t="shared" si="14"/>
        <v>60000</v>
      </c>
      <c r="R42">
        <f>_xlfn.XLOOKUP($B42, 'Detail&lt;Child&gt;'!$A:$A, 'Detail&lt;Child&gt;'!$L:$L)</f>
        <v>3</v>
      </c>
    </row>
    <row r="43" spans="1:18" x14ac:dyDescent="0.3">
      <c r="A43" s="17">
        <f t="shared" si="0"/>
        <v>1000046410</v>
      </c>
      <c r="B43" s="17">
        <v>10000464</v>
      </c>
      <c r="C43" s="17" t="str">
        <f>_xlfn.XLOOKUP(B43,'Detail&lt;Child&gt;'!A:A,'Detail&lt;Child&gt;'!B:B)</f>
        <v>아라한</v>
      </c>
      <c r="D43" s="17" t="str">
        <f t="shared" si="1"/>
        <v>character_gradeup_10000464_10</v>
      </c>
      <c r="E43" s="17" t="s">
        <v>923</v>
      </c>
      <c r="F43" s="17">
        <f t="shared" si="2"/>
        <v>30030464</v>
      </c>
      <c r="G43" s="17">
        <f>VLOOKUP($R43, '#등급업 재료 개수'!$A$2:$K$5, MATCH(GradeUp!H43, '#등급업 재료 개수'!$A$2:$K$2, 0), FALSE)</f>
        <v>999</v>
      </c>
      <c r="H43" s="17">
        <v>10</v>
      </c>
      <c r="I43" s="17">
        <v>100</v>
      </c>
      <c r="J43" s="17">
        <v>0</v>
      </c>
      <c r="K43" s="17">
        <v>0</v>
      </c>
      <c r="L43" s="17" t="s">
        <v>917</v>
      </c>
      <c r="M43" s="17">
        <f t="shared" si="12"/>
        <v>70000</v>
      </c>
      <c r="N43" s="17" t="s">
        <v>918</v>
      </c>
      <c r="O43" s="17">
        <f t="shared" si="13"/>
        <v>70000</v>
      </c>
      <c r="P43" s="17" t="s">
        <v>919</v>
      </c>
      <c r="Q43" s="17">
        <f t="shared" si="14"/>
        <v>70000</v>
      </c>
      <c r="R43">
        <f>_xlfn.XLOOKUP($B43, 'Detail&lt;Child&gt;'!$A:$A, 'Detail&lt;Child&gt;'!$L:$L)</f>
        <v>3</v>
      </c>
    </row>
    <row r="44" spans="1:18" x14ac:dyDescent="0.3">
      <c r="A44" s="17">
        <f t="shared" si="0"/>
        <v>1000035301</v>
      </c>
      <c r="B44" s="17">
        <v>10000353</v>
      </c>
      <c r="C44" s="17" t="str">
        <f>_xlfn.XLOOKUP(B44,'Detail&lt;Child&gt;'!A:A,'Detail&lt;Child&gt;'!B:B)</f>
        <v>샤를</v>
      </c>
      <c r="D44" s="17" t="str">
        <f t="shared" si="1"/>
        <v>character_gradeup_10000353_1</v>
      </c>
      <c r="E44" s="17" t="s">
        <v>923</v>
      </c>
      <c r="F44" s="17">
        <f t="shared" si="2"/>
        <v>30030353</v>
      </c>
      <c r="G44" s="17">
        <f>VLOOKUP($R44, '#등급업 재료 개수'!$A$2:$K$5, MATCH(GradeUp!H44, '#등급업 재료 개수'!$A$2:$K$2, 0), FALSE)</f>
        <v>3</v>
      </c>
      <c r="H44" s="17">
        <v>1</v>
      </c>
      <c r="I44" s="17">
        <v>10</v>
      </c>
      <c r="J44" s="17">
        <v>0</v>
      </c>
      <c r="K44" s="17">
        <v>0</v>
      </c>
      <c r="L44" s="17" t="s">
        <v>917</v>
      </c>
      <c r="M44" s="17">
        <v>0</v>
      </c>
      <c r="N44" s="17" t="s">
        <v>918</v>
      </c>
      <c r="O44" s="17">
        <v>0</v>
      </c>
      <c r="P44" s="17" t="s">
        <v>919</v>
      </c>
      <c r="Q44" s="17">
        <v>0</v>
      </c>
      <c r="R44">
        <f>_xlfn.XLOOKUP($B44, 'Detail&lt;Child&gt;'!$A:$A, 'Detail&lt;Child&gt;'!$L:$L)</f>
        <v>1</v>
      </c>
    </row>
    <row r="45" spans="1:18" x14ac:dyDescent="0.3">
      <c r="A45" s="17">
        <f t="shared" si="0"/>
        <v>1000035302</v>
      </c>
      <c r="B45" s="17">
        <v>10000353</v>
      </c>
      <c r="C45" s="17" t="str">
        <f>_xlfn.XLOOKUP(B45,'Detail&lt;Child&gt;'!A:A,'Detail&lt;Child&gt;'!B:B)</f>
        <v>샤를</v>
      </c>
      <c r="D45" s="17" t="str">
        <f t="shared" si="1"/>
        <v>character_gradeup_10000353_2</v>
      </c>
      <c r="E45" s="17" t="s">
        <v>923</v>
      </c>
      <c r="F45" s="17">
        <f t="shared" si="2"/>
        <v>30030353</v>
      </c>
      <c r="G45" s="17">
        <f>VLOOKUP($R45, '#등급업 재료 개수'!$A$2:$K$5, MATCH(GradeUp!H45, '#등급업 재료 개수'!$A$2:$K$2, 0), FALSE)</f>
        <v>6</v>
      </c>
      <c r="H45" s="17">
        <v>2</v>
      </c>
      <c r="I45" s="17">
        <v>20</v>
      </c>
      <c r="J45" s="17" t="s">
        <v>30</v>
      </c>
      <c r="K45" s="17">
        <f>_xlfn.IFNA(VLOOKUP($B45, 'Detail&lt;Child&gt;'!$A:$AT, MATCH(J45, 'Detail&lt;Child&gt;'!$3:$3,0 ), FALSE)+INT($H45/12), 0)</f>
        <v>21035301</v>
      </c>
      <c r="L45" s="17" t="s">
        <v>917</v>
      </c>
      <c r="M45" s="17">
        <v>0</v>
      </c>
      <c r="N45" s="17" t="s">
        <v>918</v>
      </c>
      <c r="O45" s="17">
        <v>0</v>
      </c>
      <c r="P45" s="17" t="s">
        <v>919</v>
      </c>
      <c r="Q45" s="17">
        <v>0</v>
      </c>
      <c r="R45">
        <f>_xlfn.XLOOKUP($B45, 'Detail&lt;Child&gt;'!$A:$A, 'Detail&lt;Child&gt;'!$L:$L)</f>
        <v>1</v>
      </c>
    </row>
    <row r="46" spans="1:18" x14ac:dyDescent="0.3">
      <c r="A46" s="17">
        <f t="shared" si="0"/>
        <v>1000035303</v>
      </c>
      <c r="B46" s="17">
        <v>10000353</v>
      </c>
      <c r="C46" s="17" t="str">
        <f>_xlfn.XLOOKUP(B46,'Detail&lt;Child&gt;'!A:A,'Detail&lt;Child&gt;'!B:B)</f>
        <v>샤를</v>
      </c>
      <c r="D46" s="17" t="str">
        <f t="shared" si="1"/>
        <v>character_gradeup_10000353_3</v>
      </c>
      <c r="E46" s="17" t="s">
        <v>923</v>
      </c>
      <c r="F46" s="17">
        <f t="shared" si="2"/>
        <v>30030353</v>
      </c>
      <c r="G46" s="17">
        <f>VLOOKUP($R46, '#등급업 재료 개수'!$A$2:$K$5, MATCH(GradeUp!H46, '#등급업 재료 개수'!$A$2:$K$2, 0), FALSE)</f>
        <v>12</v>
      </c>
      <c r="H46" s="17">
        <v>3</v>
      </c>
      <c r="I46" s="17">
        <v>30</v>
      </c>
      <c r="J46" s="17">
        <v>0</v>
      </c>
      <c r="K46" s="17">
        <v>0</v>
      </c>
      <c r="L46" s="17" t="s">
        <v>917</v>
      </c>
      <c r="M46" s="17">
        <v>10000</v>
      </c>
      <c r="N46" s="17" t="s">
        <v>918</v>
      </c>
      <c r="O46" s="17">
        <v>10000</v>
      </c>
      <c r="P46" s="17" t="s">
        <v>919</v>
      </c>
      <c r="Q46" s="17">
        <v>10000</v>
      </c>
      <c r="R46">
        <f>_xlfn.XLOOKUP($B46, 'Detail&lt;Child&gt;'!$A:$A, 'Detail&lt;Child&gt;'!$L:$L)</f>
        <v>1</v>
      </c>
    </row>
    <row r="47" spans="1:18" x14ac:dyDescent="0.3">
      <c r="A47" s="17">
        <f t="shared" si="0"/>
        <v>1000035304</v>
      </c>
      <c r="B47" s="17">
        <v>10000353</v>
      </c>
      <c r="C47" s="17" t="str">
        <f>_xlfn.XLOOKUP(B47,'Detail&lt;Child&gt;'!A:A,'Detail&lt;Child&gt;'!B:B)</f>
        <v>샤를</v>
      </c>
      <c r="D47" s="17" t="str">
        <f t="shared" si="1"/>
        <v>character_gradeup_10000353_4</v>
      </c>
      <c r="E47" s="17" t="s">
        <v>923</v>
      </c>
      <c r="F47" s="17">
        <f t="shared" si="2"/>
        <v>30030353</v>
      </c>
      <c r="G47" s="17">
        <f>VLOOKUP($R47, '#등급업 재료 개수'!$A$2:$K$5, MATCH(GradeUp!H47, '#등급업 재료 개수'!$A$2:$K$2, 0), FALSE)</f>
        <v>24</v>
      </c>
      <c r="H47" s="17">
        <v>4</v>
      </c>
      <c r="I47" s="17">
        <v>40</v>
      </c>
      <c r="J47" s="17" t="s">
        <v>32</v>
      </c>
      <c r="K47" s="17">
        <f>_xlfn.IFNA(VLOOKUP($B47, 'Detail&lt;Child&gt;'!$A:$AT, MATCH(J47, 'Detail&lt;Child&gt;'!$3:$3,0 ), FALSE)+INT($H47/12), 0)</f>
        <v>41035301</v>
      </c>
      <c r="L47" s="17" t="s">
        <v>917</v>
      </c>
      <c r="M47" s="17">
        <f t="shared" ref="M47:M53" si="15">M46+10000</f>
        <v>20000</v>
      </c>
      <c r="N47" s="17" t="s">
        <v>918</v>
      </c>
      <c r="O47" s="17">
        <f t="shared" ref="O47:O53" si="16">O46+10000</f>
        <v>20000</v>
      </c>
      <c r="P47" s="17" t="s">
        <v>919</v>
      </c>
      <c r="Q47" s="17">
        <f t="shared" ref="Q47:Q53" si="17">Q46+10000</f>
        <v>20000</v>
      </c>
      <c r="R47">
        <f>_xlfn.XLOOKUP($B47, 'Detail&lt;Child&gt;'!$A:$A, 'Detail&lt;Child&gt;'!$L:$L)</f>
        <v>1</v>
      </c>
    </row>
    <row r="48" spans="1:18" x14ac:dyDescent="0.3">
      <c r="A48" s="17">
        <f t="shared" si="0"/>
        <v>1000035305</v>
      </c>
      <c r="B48" s="17">
        <v>10000353</v>
      </c>
      <c r="C48" s="17" t="str">
        <f>_xlfn.XLOOKUP(B48,'Detail&lt;Child&gt;'!A:A,'Detail&lt;Child&gt;'!B:B)</f>
        <v>샤를</v>
      </c>
      <c r="D48" s="17" t="str">
        <f t="shared" si="1"/>
        <v>character_gradeup_10000353_5</v>
      </c>
      <c r="E48" s="17" t="s">
        <v>923</v>
      </c>
      <c r="F48" s="17">
        <f t="shared" si="2"/>
        <v>30030353</v>
      </c>
      <c r="G48" s="17">
        <f>VLOOKUP($R48, '#등급업 재료 개수'!$A$2:$K$5, MATCH(GradeUp!H48, '#등급업 재료 개수'!$A$2:$K$2, 0), FALSE)</f>
        <v>36</v>
      </c>
      <c r="H48" s="17">
        <v>5</v>
      </c>
      <c r="I48" s="17">
        <v>50</v>
      </c>
      <c r="J48" s="17" t="s">
        <v>30</v>
      </c>
      <c r="K48" s="17">
        <f>_xlfn.IFNA(VLOOKUP($B48, 'Detail&lt;Child&gt;'!$A:$AT, MATCH(J48, 'Detail&lt;Child&gt;'!$3:$3,0 ), FALSE)+INT($H48/12), 0)+1</f>
        <v>21035302</v>
      </c>
      <c r="L48" s="17" t="s">
        <v>917</v>
      </c>
      <c r="M48" s="17">
        <f t="shared" si="15"/>
        <v>30000</v>
      </c>
      <c r="N48" s="17" t="s">
        <v>918</v>
      </c>
      <c r="O48" s="17">
        <f t="shared" si="16"/>
        <v>30000</v>
      </c>
      <c r="P48" s="17" t="s">
        <v>919</v>
      </c>
      <c r="Q48" s="17">
        <f t="shared" si="17"/>
        <v>30000</v>
      </c>
      <c r="R48">
        <f>_xlfn.XLOOKUP($B48, 'Detail&lt;Child&gt;'!$A:$A, 'Detail&lt;Child&gt;'!$L:$L)</f>
        <v>1</v>
      </c>
    </row>
    <row r="49" spans="1:18" x14ac:dyDescent="0.3">
      <c r="A49" s="17">
        <f t="shared" si="0"/>
        <v>1000035306</v>
      </c>
      <c r="B49" s="17">
        <v>10000353</v>
      </c>
      <c r="C49" s="17" t="str">
        <f>_xlfn.XLOOKUP(B49,'Detail&lt;Child&gt;'!A:A,'Detail&lt;Child&gt;'!B:B)</f>
        <v>샤를</v>
      </c>
      <c r="D49" s="17" t="str">
        <f t="shared" si="1"/>
        <v>character_gradeup_10000353_6</v>
      </c>
      <c r="E49" s="17" t="s">
        <v>923</v>
      </c>
      <c r="F49" s="17">
        <f t="shared" si="2"/>
        <v>30030353</v>
      </c>
      <c r="G49" s="17">
        <f>VLOOKUP($R49, '#등급업 재료 개수'!$A$2:$K$5, MATCH(GradeUp!H49, '#등급업 재료 개수'!$A$2:$K$2, 0), FALSE)</f>
        <v>48</v>
      </c>
      <c r="H49" s="17">
        <v>6</v>
      </c>
      <c r="I49" s="17">
        <v>60</v>
      </c>
      <c r="J49" s="17">
        <v>0</v>
      </c>
      <c r="K49" s="17">
        <v>0</v>
      </c>
      <c r="L49" s="17" t="s">
        <v>917</v>
      </c>
      <c r="M49" s="17">
        <f t="shared" si="15"/>
        <v>40000</v>
      </c>
      <c r="N49" s="17" t="s">
        <v>918</v>
      </c>
      <c r="O49" s="17">
        <f t="shared" si="16"/>
        <v>40000</v>
      </c>
      <c r="P49" s="17" t="s">
        <v>919</v>
      </c>
      <c r="Q49" s="17">
        <f t="shared" si="17"/>
        <v>40000</v>
      </c>
      <c r="R49">
        <f>_xlfn.XLOOKUP($B49, 'Detail&lt;Child&gt;'!$A:$A, 'Detail&lt;Child&gt;'!$L:$L)</f>
        <v>1</v>
      </c>
    </row>
    <row r="50" spans="1:18" x14ac:dyDescent="0.3">
      <c r="A50" s="17">
        <f t="shared" si="0"/>
        <v>1000035307</v>
      </c>
      <c r="B50" s="17">
        <v>10000353</v>
      </c>
      <c r="C50" s="17" t="str">
        <f>_xlfn.XLOOKUP(B50,'Detail&lt;Child&gt;'!A:A,'Detail&lt;Child&gt;'!B:B)</f>
        <v>샤를</v>
      </c>
      <c r="D50" s="17" t="str">
        <f t="shared" si="1"/>
        <v>character_gradeup_10000353_7</v>
      </c>
      <c r="E50" s="17" t="s">
        <v>923</v>
      </c>
      <c r="F50" s="17">
        <f t="shared" si="2"/>
        <v>30030353</v>
      </c>
      <c r="G50" s="17">
        <f>VLOOKUP($R50, '#등급업 재료 개수'!$A$2:$K$5, MATCH(GradeUp!H50, '#등급업 재료 개수'!$A$2:$K$2, 0), FALSE)</f>
        <v>60</v>
      </c>
      <c r="H50" s="17">
        <v>7</v>
      </c>
      <c r="I50" s="17">
        <v>70</v>
      </c>
      <c r="J50" s="17" t="s">
        <v>32</v>
      </c>
      <c r="K50" s="17">
        <f>_xlfn.IFNA(VLOOKUP($B50, 'Detail&lt;Child&gt;'!$A:$AT, MATCH(J50, 'Detail&lt;Child&gt;'!$3:$3,0 ), FALSE)+INT($H50/12), 0)+1</f>
        <v>41035302</v>
      </c>
      <c r="L50" s="17" t="s">
        <v>917</v>
      </c>
      <c r="M50" s="17">
        <f t="shared" si="15"/>
        <v>50000</v>
      </c>
      <c r="N50" s="17" t="s">
        <v>918</v>
      </c>
      <c r="O50" s="17">
        <f t="shared" si="16"/>
        <v>50000</v>
      </c>
      <c r="P50" s="17" t="s">
        <v>919</v>
      </c>
      <c r="Q50" s="17">
        <f t="shared" si="17"/>
        <v>50000</v>
      </c>
      <c r="R50">
        <f>_xlfn.XLOOKUP($B50, 'Detail&lt;Child&gt;'!$A:$A, 'Detail&lt;Child&gt;'!$L:$L)</f>
        <v>1</v>
      </c>
    </row>
    <row r="51" spans="1:18" x14ac:dyDescent="0.3">
      <c r="A51" s="17">
        <f t="shared" si="0"/>
        <v>1000035308</v>
      </c>
      <c r="B51" s="17">
        <v>10000353</v>
      </c>
      <c r="C51" s="17" t="str">
        <f>_xlfn.XLOOKUP(B51,'Detail&lt;Child&gt;'!A:A,'Detail&lt;Child&gt;'!B:B)</f>
        <v>샤를</v>
      </c>
      <c r="D51" s="17" t="str">
        <f t="shared" si="1"/>
        <v>character_gradeup_10000353_8</v>
      </c>
      <c r="E51" s="17" t="s">
        <v>923</v>
      </c>
      <c r="F51" s="17">
        <f t="shared" si="2"/>
        <v>30030353</v>
      </c>
      <c r="G51" s="17">
        <f>VLOOKUP($R51, '#등급업 재료 개수'!$A$2:$K$5, MATCH(GradeUp!H51, '#등급업 재료 개수'!$A$2:$K$2, 0), FALSE)</f>
        <v>72</v>
      </c>
      <c r="H51" s="17">
        <v>8</v>
      </c>
      <c r="I51" s="17">
        <v>80</v>
      </c>
      <c r="J51" s="17">
        <v>0</v>
      </c>
      <c r="K51" s="17">
        <v>0</v>
      </c>
      <c r="L51" s="17" t="s">
        <v>917</v>
      </c>
      <c r="M51" s="17">
        <f t="shared" si="15"/>
        <v>60000</v>
      </c>
      <c r="N51" s="17" t="s">
        <v>918</v>
      </c>
      <c r="O51" s="17">
        <f t="shared" si="16"/>
        <v>60000</v>
      </c>
      <c r="P51" s="17" t="s">
        <v>919</v>
      </c>
      <c r="Q51" s="17">
        <f t="shared" si="17"/>
        <v>60000</v>
      </c>
      <c r="R51">
        <f>_xlfn.XLOOKUP($B51, 'Detail&lt;Child&gt;'!$A:$A, 'Detail&lt;Child&gt;'!$L:$L)</f>
        <v>1</v>
      </c>
    </row>
    <row r="52" spans="1:18" x14ac:dyDescent="0.3">
      <c r="A52" s="17">
        <f t="shared" si="0"/>
        <v>1000035309</v>
      </c>
      <c r="B52" s="17">
        <v>10000353</v>
      </c>
      <c r="C52" s="17" t="str">
        <f>_xlfn.XLOOKUP(B52,'Detail&lt;Child&gt;'!A:A,'Detail&lt;Child&gt;'!B:B)</f>
        <v>샤를</v>
      </c>
      <c r="D52" s="17" t="str">
        <f t="shared" si="1"/>
        <v>character_gradeup_10000353_9</v>
      </c>
      <c r="E52" s="17" t="s">
        <v>923</v>
      </c>
      <c r="F52" s="17">
        <f t="shared" si="2"/>
        <v>30030353</v>
      </c>
      <c r="G52" s="17">
        <f>VLOOKUP($R52, '#등급업 재료 개수'!$A$2:$K$5, MATCH(GradeUp!H52, '#등급업 재료 개수'!$A$2:$K$2, 0), FALSE)</f>
        <v>84</v>
      </c>
      <c r="H52" s="17">
        <v>9</v>
      </c>
      <c r="I52" s="17">
        <v>90</v>
      </c>
      <c r="J52" s="17" t="s">
        <v>31</v>
      </c>
      <c r="K52" s="17">
        <f>_xlfn.IFNA(VLOOKUP($B52, 'Detail&lt;Child&gt;'!$A:$AT, MATCH(J52, 'Detail&lt;Child&gt;'!$3:$3,0 ), FALSE)+INT($H52/12), 0)+1</f>
        <v>31035302</v>
      </c>
      <c r="L52" s="17" t="s">
        <v>917</v>
      </c>
      <c r="M52" s="17">
        <f t="shared" si="15"/>
        <v>70000</v>
      </c>
      <c r="N52" s="17" t="s">
        <v>918</v>
      </c>
      <c r="O52" s="17">
        <f t="shared" si="16"/>
        <v>70000</v>
      </c>
      <c r="P52" s="17" t="s">
        <v>919</v>
      </c>
      <c r="Q52" s="17">
        <f t="shared" si="17"/>
        <v>70000</v>
      </c>
      <c r="R52">
        <f>_xlfn.XLOOKUP($B52, 'Detail&lt;Child&gt;'!$A:$A, 'Detail&lt;Child&gt;'!$L:$L)</f>
        <v>1</v>
      </c>
    </row>
    <row r="53" spans="1:18" x14ac:dyDescent="0.3">
      <c r="A53" s="17">
        <f t="shared" si="0"/>
        <v>1000035310</v>
      </c>
      <c r="B53" s="17">
        <v>10000353</v>
      </c>
      <c r="C53" s="17" t="str">
        <f>_xlfn.XLOOKUP(B53,'Detail&lt;Child&gt;'!A:A,'Detail&lt;Child&gt;'!B:B)</f>
        <v>샤를</v>
      </c>
      <c r="D53" s="17" t="str">
        <f t="shared" si="1"/>
        <v>character_gradeup_10000353_10</v>
      </c>
      <c r="E53" s="17" t="s">
        <v>923</v>
      </c>
      <c r="F53" s="17">
        <f t="shared" si="2"/>
        <v>30030353</v>
      </c>
      <c r="G53" s="17">
        <f>VLOOKUP($R53, '#등급업 재료 개수'!$A$2:$K$5, MATCH(GradeUp!H53, '#등급업 재료 개수'!$A$2:$K$2, 0), FALSE)</f>
        <v>999</v>
      </c>
      <c r="H53" s="17">
        <v>10</v>
      </c>
      <c r="I53" s="17">
        <v>100</v>
      </c>
      <c r="J53" s="17">
        <v>0</v>
      </c>
      <c r="K53" s="17">
        <v>0</v>
      </c>
      <c r="L53" s="17" t="s">
        <v>917</v>
      </c>
      <c r="M53" s="17">
        <f t="shared" si="15"/>
        <v>80000</v>
      </c>
      <c r="N53" s="17" t="s">
        <v>918</v>
      </c>
      <c r="O53" s="17">
        <f t="shared" si="16"/>
        <v>80000</v>
      </c>
      <c r="P53" s="17" t="s">
        <v>919</v>
      </c>
      <c r="Q53" s="17">
        <f t="shared" si="17"/>
        <v>80000</v>
      </c>
      <c r="R53">
        <f>_xlfn.XLOOKUP($B53, 'Detail&lt;Child&gt;'!$A:$A, 'Detail&lt;Child&gt;'!$L:$L)</f>
        <v>1</v>
      </c>
    </row>
    <row r="54" spans="1:18" x14ac:dyDescent="0.3">
      <c r="A54" s="17">
        <f t="shared" si="0"/>
        <v>1000022901</v>
      </c>
      <c r="B54" s="17">
        <v>10000229</v>
      </c>
      <c r="C54" s="17" t="str">
        <f>_xlfn.XLOOKUP(B54,'Detail&lt;Child&gt;'!A:A,'Detail&lt;Child&gt;'!B:B)</f>
        <v>브라우니</v>
      </c>
      <c r="D54" s="17" t="str">
        <f t="shared" si="1"/>
        <v>character_gradeup_10000229_1</v>
      </c>
      <c r="E54" s="17" t="s">
        <v>923</v>
      </c>
      <c r="F54" s="17">
        <f t="shared" si="2"/>
        <v>30030229</v>
      </c>
      <c r="G54" s="17">
        <f>VLOOKUP($R54, '#등급업 재료 개수'!$A$2:$K$5, MATCH(GradeUp!H54, '#등급업 재료 개수'!$A$2:$K$2, 0), FALSE)</f>
        <v>1</v>
      </c>
      <c r="H54" s="17">
        <v>1</v>
      </c>
      <c r="I54" s="17">
        <v>10</v>
      </c>
      <c r="J54" s="17">
        <v>0</v>
      </c>
      <c r="K54" s="17">
        <v>0</v>
      </c>
      <c r="L54" s="17" t="s">
        <v>917</v>
      </c>
      <c r="M54" s="17">
        <v>0</v>
      </c>
      <c r="N54" s="17" t="s">
        <v>918</v>
      </c>
      <c r="O54" s="17">
        <v>0</v>
      </c>
      <c r="P54" s="17" t="s">
        <v>919</v>
      </c>
      <c r="Q54" s="17">
        <v>0</v>
      </c>
      <c r="R54">
        <f>_xlfn.XLOOKUP($B54, 'Detail&lt;Child&gt;'!$A:$A, 'Detail&lt;Child&gt;'!$L:$L)</f>
        <v>3</v>
      </c>
    </row>
    <row r="55" spans="1:18" x14ac:dyDescent="0.3">
      <c r="A55" s="17">
        <f t="shared" si="0"/>
        <v>1000022902</v>
      </c>
      <c r="B55" s="17">
        <v>10000229</v>
      </c>
      <c r="C55" s="17" t="str">
        <f>_xlfn.XLOOKUP(B55,'Detail&lt;Child&gt;'!A:A,'Detail&lt;Child&gt;'!B:B)</f>
        <v>브라우니</v>
      </c>
      <c r="D55" s="17" t="str">
        <f t="shared" si="1"/>
        <v>character_gradeup_10000229_2</v>
      </c>
      <c r="E55" s="17" t="s">
        <v>923</v>
      </c>
      <c r="F55" s="17">
        <f t="shared" si="2"/>
        <v>30030229</v>
      </c>
      <c r="G55" s="17">
        <f>VLOOKUP($R55, '#등급업 재료 개수'!$A$2:$K$5, MATCH(GradeUp!H55, '#등급업 재료 개수'!$A$2:$K$2, 0), FALSE)</f>
        <v>1</v>
      </c>
      <c r="H55" s="17">
        <v>2</v>
      </c>
      <c r="I55" s="17">
        <v>20</v>
      </c>
      <c r="J55" s="17" t="s">
        <v>30</v>
      </c>
      <c r="K55" s="17">
        <f>_xlfn.IFNA(VLOOKUP($B55, 'Detail&lt;Child&gt;'!$A:$AT, MATCH(J55, 'Detail&lt;Child&gt;'!$3:$3,0 ), FALSE)+INT($H55/12), 0)</f>
        <v>23022901</v>
      </c>
      <c r="L55" s="17" t="s">
        <v>917</v>
      </c>
      <c r="M55" s="17">
        <v>0</v>
      </c>
      <c r="N55" s="17" t="s">
        <v>918</v>
      </c>
      <c r="O55" s="17">
        <v>0</v>
      </c>
      <c r="P55" s="17" t="s">
        <v>919</v>
      </c>
      <c r="Q55" s="17">
        <v>0</v>
      </c>
      <c r="R55">
        <f>_xlfn.XLOOKUP($B55, 'Detail&lt;Child&gt;'!$A:$A, 'Detail&lt;Child&gt;'!$L:$L)</f>
        <v>3</v>
      </c>
    </row>
    <row r="56" spans="1:18" x14ac:dyDescent="0.3">
      <c r="A56" s="17">
        <f t="shared" si="0"/>
        <v>1000022903</v>
      </c>
      <c r="B56" s="17">
        <v>10000229</v>
      </c>
      <c r="C56" s="17" t="str">
        <f>_xlfn.XLOOKUP(B56,'Detail&lt;Child&gt;'!A:A,'Detail&lt;Child&gt;'!B:B)</f>
        <v>브라우니</v>
      </c>
      <c r="D56" s="17" t="str">
        <f t="shared" si="1"/>
        <v>character_gradeup_10000229_3</v>
      </c>
      <c r="E56" s="17" t="s">
        <v>923</v>
      </c>
      <c r="F56" s="17">
        <f t="shared" si="2"/>
        <v>30030229</v>
      </c>
      <c r="G56" s="17">
        <f>VLOOKUP($R56, '#등급업 재료 개수'!$A$2:$K$5, MATCH(GradeUp!H56, '#등급업 재료 개수'!$A$2:$K$2, 0), FALSE)</f>
        <v>1</v>
      </c>
      <c r="H56" s="17">
        <v>3</v>
      </c>
      <c r="I56" s="17">
        <v>30</v>
      </c>
      <c r="J56" s="17">
        <v>0</v>
      </c>
      <c r="K56" s="17">
        <v>0</v>
      </c>
      <c r="L56" s="17" t="s">
        <v>917</v>
      </c>
      <c r="M56" s="17">
        <v>10000</v>
      </c>
      <c r="N56" s="17" t="s">
        <v>918</v>
      </c>
      <c r="O56" s="17">
        <v>10000</v>
      </c>
      <c r="P56" s="17" t="s">
        <v>919</v>
      </c>
      <c r="Q56" s="17">
        <v>10000</v>
      </c>
      <c r="R56">
        <f>_xlfn.XLOOKUP($B56, 'Detail&lt;Child&gt;'!$A:$A, 'Detail&lt;Child&gt;'!$L:$L)</f>
        <v>3</v>
      </c>
    </row>
    <row r="57" spans="1:18" x14ac:dyDescent="0.3">
      <c r="A57" s="17">
        <f t="shared" si="0"/>
        <v>1000022904</v>
      </c>
      <c r="B57" s="17">
        <v>10000229</v>
      </c>
      <c r="C57" s="17" t="str">
        <f>_xlfn.XLOOKUP(B57,'Detail&lt;Child&gt;'!A:A,'Detail&lt;Child&gt;'!B:B)</f>
        <v>브라우니</v>
      </c>
      <c r="D57" s="17" t="str">
        <f t="shared" si="1"/>
        <v>character_gradeup_10000229_4</v>
      </c>
      <c r="E57" s="17" t="s">
        <v>923</v>
      </c>
      <c r="F57" s="17">
        <f t="shared" si="2"/>
        <v>30030229</v>
      </c>
      <c r="G57" s="17">
        <f>VLOOKUP($R57, '#등급업 재료 개수'!$A$2:$K$5, MATCH(GradeUp!H57, '#등급업 재료 개수'!$A$2:$K$2, 0), FALSE)</f>
        <v>2</v>
      </c>
      <c r="H57" s="17">
        <v>4</v>
      </c>
      <c r="I57" s="17">
        <v>40</v>
      </c>
      <c r="J57" s="17" t="s">
        <v>32</v>
      </c>
      <c r="K57" s="17">
        <f>_xlfn.IFNA(VLOOKUP($B57, 'Detail&lt;Child&gt;'!$A:$AT, MATCH(J57, 'Detail&lt;Child&gt;'!$3:$3,0 ), FALSE)+INT($H57/12), 0)</f>
        <v>43022901</v>
      </c>
      <c r="L57" s="17" t="s">
        <v>917</v>
      </c>
      <c r="M57" s="17">
        <f t="shared" ref="M57:M63" si="18">M56+10000</f>
        <v>20000</v>
      </c>
      <c r="N57" s="17" t="s">
        <v>918</v>
      </c>
      <c r="O57" s="17">
        <f t="shared" ref="O57:O63" si="19">O56+10000</f>
        <v>20000</v>
      </c>
      <c r="P57" s="17" t="s">
        <v>919</v>
      </c>
      <c r="Q57" s="17">
        <f t="shared" ref="Q57:Q63" si="20">Q56+10000</f>
        <v>20000</v>
      </c>
      <c r="R57">
        <f>_xlfn.XLOOKUP($B57, 'Detail&lt;Child&gt;'!$A:$A, 'Detail&lt;Child&gt;'!$L:$L)</f>
        <v>3</v>
      </c>
    </row>
    <row r="58" spans="1:18" x14ac:dyDescent="0.3">
      <c r="A58" s="17">
        <f t="shared" si="0"/>
        <v>1000022905</v>
      </c>
      <c r="B58" s="17">
        <v>10000229</v>
      </c>
      <c r="C58" s="17" t="str">
        <f>_xlfn.XLOOKUP(B58,'Detail&lt;Child&gt;'!A:A,'Detail&lt;Child&gt;'!B:B)</f>
        <v>브라우니</v>
      </c>
      <c r="D58" s="17" t="str">
        <f t="shared" si="1"/>
        <v>character_gradeup_10000229_5</v>
      </c>
      <c r="E58" s="17" t="s">
        <v>923</v>
      </c>
      <c r="F58" s="17">
        <f t="shared" si="2"/>
        <v>30030229</v>
      </c>
      <c r="G58" s="17">
        <f>VLOOKUP($R58, '#등급업 재료 개수'!$A$2:$K$5, MATCH(GradeUp!H58, '#등급업 재료 개수'!$A$2:$K$2, 0), FALSE)</f>
        <v>4</v>
      </c>
      <c r="H58" s="17">
        <v>5</v>
      </c>
      <c r="I58" s="17">
        <v>50</v>
      </c>
      <c r="J58" s="17" t="s">
        <v>30</v>
      </c>
      <c r="K58" s="17">
        <f>_xlfn.IFNA(VLOOKUP($B58, 'Detail&lt;Child&gt;'!$A:$AT, MATCH(J58, 'Detail&lt;Child&gt;'!$3:$3,0 ), FALSE)+INT($H58/12), 0)+1</f>
        <v>23022902</v>
      </c>
      <c r="L58" s="17" t="s">
        <v>917</v>
      </c>
      <c r="M58" s="17">
        <f t="shared" si="18"/>
        <v>30000</v>
      </c>
      <c r="N58" s="17" t="s">
        <v>918</v>
      </c>
      <c r="O58" s="17">
        <f t="shared" si="19"/>
        <v>30000</v>
      </c>
      <c r="P58" s="17" t="s">
        <v>919</v>
      </c>
      <c r="Q58" s="17">
        <f t="shared" si="20"/>
        <v>30000</v>
      </c>
      <c r="R58">
        <f>_xlfn.XLOOKUP($B58, 'Detail&lt;Child&gt;'!$A:$A, 'Detail&lt;Child&gt;'!$L:$L)</f>
        <v>3</v>
      </c>
    </row>
    <row r="59" spans="1:18" x14ac:dyDescent="0.3">
      <c r="A59" s="17">
        <f t="shared" si="0"/>
        <v>1000022906</v>
      </c>
      <c r="B59" s="17">
        <v>10000229</v>
      </c>
      <c r="C59" s="17" t="str">
        <f>_xlfn.XLOOKUP(B59,'Detail&lt;Child&gt;'!A:A,'Detail&lt;Child&gt;'!B:B)</f>
        <v>브라우니</v>
      </c>
      <c r="D59" s="17" t="str">
        <f t="shared" si="1"/>
        <v>character_gradeup_10000229_6</v>
      </c>
      <c r="E59" s="17" t="s">
        <v>923</v>
      </c>
      <c r="F59" s="17">
        <f t="shared" si="2"/>
        <v>30030229</v>
      </c>
      <c r="G59" s="17">
        <f>VLOOKUP($R59, '#등급업 재료 개수'!$A$2:$K$5, MATCH(GradeUp!H59, '#등급업 재료 개수'!$A$2:$K$2, 0), FALSE)</f>
        <v>6</v>
      </c>
      <c r="H59" s="17">
        <v>6</v>
      </c>
      <c r="I59" s="17">
        <v>60</v>
      </c>
      <c r="J59" s="17">
        <v>0</v>
      </c>
      <c r="K59" s="17">
        <v>0</v>
      </c>
      <c r="L59" s="17" t="s">
        <v>917</v>
      </c>
      <c r="M59" s="17">
        <f t="shared" si="18"/>
        <v>40000</v>
      </c>
      <c r="N59" s="17" t="s">
        <v>918</v>
      </c>
      <c r="O59" s="17">
        <f t="shared" si="19"/>
        <v>40000</v>
      </c>
      <c r="P59" s="17" t="s">
        <v>919</v>
      </c>
      <c r="Q59" s="17">
        <f t="shared" si="20"/>
        <v>40000</v>
      </c>
      <c r="R59">
        <f>_xlfn.XLOOKUP($B59, 'Detail&lt;Child&gt;'!$A:$A, 'Detail&lt;Child&gt;'!$L:$L)</f>
        <v>3</v>
      </c>
    </row>
    <row r="60" spans="1:18" x14ac:dyDescent="0.3">
      <c r="A60" s="17">
        <f t="shared" si="0"/>
        <v>1000022907</v>
      </c>
      <c r="B60" s="17">
        <v>10000229</v>
      </c>
      <c r="C60" s="17" t="str">
        <f>_xlfn.XLOOKUP(B60,'Detail&lt;Child&gt;'!A:A,'Detail&lt;Child&gt;'!B:B)</f>
        <v>브라우니</v>
      </c>
      <c r="D60" s="17" t="str">
        <f t="shared" si="1"/>
        <v>character_gradeup_10000229_7</v>
      </c>
      <c r="E60" s="17" t="s">
        <v>923</v>
      </c>
      <c r="F60" s="17">
        <f t="shared" si="2"/>
        <v>30030229</v>
      </c>
      <c r="G60" s="17">
        <f>VLOOKUP($R60, '#등급업 재료 개수'!$A$2:$K$5, MATCH(GradeUp!H60, '#등급업 재료 개수'!$A$2:$K$2, 0), FALSE)</f>
        <v>8</v>
      </c>
      <c r="H60" s="17">
        <v>7</v>
      </c>
      <c r="I60" s="17">
        <v>70</v>
      </c>
      <c r="J60" s="17" t="s">
        <v>32</v>
      </c>
      <c r="K60" s="17">
        <f>_xlfn.IFNA(VLOOKUP($B60, 'Detail&lt;Child&gt;'!$A:$AT, MATCH(J60, 'Detail&lt;Child&gt;'!$3:$3,0 ), FALSE)+INT($H60/12), 0)+1</f>
        <v>43022902</v>
      </c>
      <c r="L60" s="17" t="s">
        <v>917</v>
      </c>
      <c r="M60" s="17">
        <f t="shared" si="18"/>
        <v>50000</v>
      </c>
      <c r="N60" s="17" t="s">
        <v>918</v>
      </c>
      <c r="O60" s="17">
        <f t="shared" si="19"/>
        <v>50000</v>
      </c>
      <c r="P60" s="17" t="s">
        <v>919</v>
      </c>
      <c r="Q60" s="17">
        <f t="shared" si="20"/>
        <v>50000</v>
      </c>
      <c r="R60">
        <f>_xlfn.XLOOKUP($B60, 'Detail&lt;Child&gt;'!$A:$A, 'Detail&lt;Child&gt;'!$L:$L)</f>
        <v>3</v>
      </c>
    </row>
    <row r="61" spans="1:18" x14ac:dyDescent="0.3">
      <c r="A61" s="17">
        <f t="shared" si="0"/>
        <v>1000022908</v>
      </c>
      <c r="B61" s="17">
        <v>10000229</v>
      </c>
      <c r="C61" s="17" t="str">
        <f>_xlfn.XLOOKUP(B61,'Detail&lt;Child&gt;'!A:A,'Detail&lt;Child&gt;'!B:B)</f>
        <v>브라우니</v>
      </c>
      <c r="D61" s="17" t="str">
        <f t="shared" si="1"/>
        <v>character_gradeup_10000229_8</v>
      </c>
      <c r="E61" s="17" t="s">
        <v>923</v>
      </c>
      <c r="F61" s="17">
        <f t="shared" si="2"/>
        <v>30030229</v>
      </c>
      <c r="G61" s="17">
        <f>VLOOKUP($R61, '#등급업 재료 개수'!$A$2:$K$5, MATCH(GradeUp!H61, '#등급업 재료 개수'!$A$2:$K$2, 0), FALSE)</f>
        <v>10</v>
      </c>
      <c r="H61" s="17">
        <v>8</v>
      </c>
      <c r="I61" s="17">
        <v>80</v>
      </c>
      <c r="J61" s="17">
        <v>0</v>
      </c>
      <c r="K61" s="17">
        <v>0</v>
      </c>
      <c r="L61" s="17" t="s">
        <v>917</v>
      </c>
      <c r="M61" s="17">
        <f t="shared" si="18"/>
        <v>60000</v>
      </c>
      <c r="N61" s="17" t="s">
        <v>918</v>
      </c>
      <c r="O61" s="17">
        <f t="shared" si="19"/>
        <v>60000</v>
      </c>
      <c r="P61" s="17" t="s">
        <v>919</v>
      </c>
      <c r="Q61" s="17">
        <f t="shared" si="20"/>
        <v>60000</v>
      </c>
      <c r="R61">
        <f>_xlfn.XLOOKUP($B61, 'Detail&lt;Child&gt;'!$A:$A, 'Detail&lt;Child&gt;'!$L:$L)</f>
        <v>3</v>
      </c>
    </row>
    <row r="62" spans="1:18" x14ac:dyDescent="0.3">
      <c r="A62" s="17">
        <f t="shared" si="0"/>
        <v>1000022909</v>
      </c>
      <c r="B62" s="17">
        <v>10000229</v>
      </c>
      <c r="C62" s="17" t="str">
        <f>_xlfn.XLOOKUP(B62,'Detail&lt;Child&gt;'!A:A,'Detail&lt;Child&gt;'!B:B)</f>
        <v>브라우니</v>
      </c>
      <c r="D62" s="17" t="str">
        <f t="shared" si="1"/>
        <v>character_gradeup_10000229_9</v>
      </c>
      <c r="E62" s="17" t="s">
        <v>923</v>
      </c>
      <c r="F62" s="17">
        <f t="shared" si="2"/>
        <v>30030229</v>
      </c>
      <c r="G62" s="17">
        <f>VLOOKUP($R62, '#등급업 재료 개수'!$A$2:$K$5, MATCH(GradeUp!H62, '#등급업 재료 개수'!$A$2:$K$2, 0), FALSE)</f>
        <v>12</v>
      </c>
      <c r="H62" s="17">
        <v>9</v>
      </c>
      <c r="I62" s="17">
        <v>90</v>
      </c>
      <c r="J62" s="17" t="s">
        <v>31</v>
      </c>
      <c r="K62" s="17">
        <f>_xlfn.IFNA(VLOOKUP($B62, 'Detail&lt;Child&gt;'!$A:$AT, MATCH(J62, 'Detail&lt;Child&gt;'!$3:$3,0 ), FALSE)+INT($H62/12), 0)+1</f>
        <v>33022902</v>
      </c>
      <c r="L62" s="17" t="s">
        <v>917</v>
      </c>
      <c r="M62" s="17">
        <f t="shared" si="18"/>
        <v>70000</v>
      </c>
      <c r="N62" s="17" t="s">
        <v>918</v>
      </c>
      <c r="O62" s="17">
        <f t="shared" si="19"/>
        <v>70000</v>
      </c>
      <c r="P62" s="17" t="s">
        <v>919</v>
      </c>
      <c r="Q62" s="17">
        <f t="shared" si="20"/>
        <v>70000</v>
      </c>
      <c r="R62">
        <f>_xlfn.XLOOKUP($B62, 'Detail&lt;Child&gt;'!$A:$A, 'Detail&lt;Child&gt;'!$L:$L)</f>
        <v>3</v>
      </c>
    </row>
    <row r="63" spans="1:18" x14ac:dyDescent="0.3">
      <c r="A63" s="17">
        <f t="shared" si="0"/>
        <v>1000022910</v>
      </c>
      <c r="B63" s="17">
        <v>10000229</v>
      </c>
      <c r="C63" s="17" t="str">
        <f>_xlfn.XLOOKUP(B63,'Detail&lt;Child&gt;'!A:A,'Detail&lt;Child&gt;'!B:B)</f>
        <v>브라우니</v>
      </c>
      <c r="D63" s="17" t="str">
        <f t="shared" si="1"/>
        <v>character_gradeup_10000229_10</v>
      </c>
      <c r="E63" s="17" t="s">
        <v>923</v>
      </c>
      <c r="F63" s="17">
        <f t="shared" si="2"/>
        <v>30030229</v>
      </c>
      <c r="G63" s="17">
        <f>VLOOKUP($R63, '#등급업 재료 개수'!$A$2:$K$5, MATCH(GradeUp!H63, '#등급업 재료 개수'!$A$2:$K$2, 0), FALSE)</f>
        <v>999</v>
      </c>
      <c r="H63" s="17">
        <v>10</v>
      </c>
      <c r="I63" s="17">
        <v>100</v>
      </c>
      <c r="J63" s="17">
        <v>0</v>
      </c>
      <c r="K63" s="17">
        <v>0</v>
      </c>
      <c r="L63" s="17" t="s">
        <v>917</v>
      </c>
      <c r="M63" s="17">
        <f t="shared" si="18"/>
        <v>80000</v>
      </c>
      <c r="N63" s="17" t="s">
        <v>918</v>
      </c>
      <c r="O63" s="17">
        <f t="shared" si="19"/>
        <v>80000</v>
      </c>
      <c r="P63" s="17" t="s">
        <v>919</v>
      </c>
      <c r="Q63" s="17">
        <f t="shared" si="20"/>
        <v>80000</v>
      </c>
      <c r="R63">
        <f>_xlfn.XLOOKUP($B63, 'Detail&lt;Child&gt;'!$A:$A, 'Detail&lt;Child&gt;'!$L:$L)</f>
        <v>3</v>
      </c>
    </row>
    <row r="64" spans="1:18" x14ac:dyDescent="0.3">
      <c r="A64" s="17">
        <f t="shared" si="0"/>
        <v>1000018001</v>
      </c>
      <c r="B64" s="17">
        <v>10000180</v>
      </c>
      <c r="C64" s="17" t="str">
        <f>_xlfn.XLOOKUP(B64,'Detail&lt;Child&gt;'!A:A,'Detail&lt;Child&gt;'!B:B)</f>
        <v>맘몬</v>
      </c>
      <c r="D64" s="17" t="str">
        <f t="shared" si="1"/>
        <v>character_gradeup_10000180_1</v>
      </c>
      <c r="E64" s="17" t="s">
        <v>923</v>
      </c>
      <c r="F64" s="17">
        <f t="shared" si="2"/>
        <v>30030180</v>
      </c>
      <c r="G64" s="17">
        <f>VLOOKUP($R64, '#등급업 재료 개수'!$A$2:$K$5, MATCH(GradeUp!H64, '#등급업 재료 개수'!$A$2:$K$2, 0), FALSE)</f>
        <v>1</v>
      </c>
      <c r="H64" s="17">
        <v>1</v>
      </c>
      <c r="I64" s="17">
        <v>10</v>
      </c>
      <c r="J64" s="17">
        <v>0</v>
      </c>
      <c r="K64" s="17">
        <v>0</v>
      </c>
      <c r="L64" s="17" t="s">
        <v>917</v>
      </c>
      <c r="M64" s="17">
        <v>0</v>
      </c>
      <c r="N64" s="17" t="s">
        <v>918</v>
      </c>
      <c r="O64" s="17">
        <v>0</v>
      </c>
      <c r="P64" s="17" t="s">
        <v>919</v>
      </c>
      <c r="Q64" s="17">
        <v>0</v>
      </c>
      <c r="R64">
        <f>_xlfn.XLOOKUP($B64, 'Detail&lt;Child&gt;'!$A:$A, 'Detail&lt;Child&gt;'!$L:$L)</f>
        <v>2</v>
      </c>
    </row>
    <row r="65" spans="1:18" x14ac:dyDescent="0.3">
      <c r="A65" s="17">
        <f t="shared" si="0"/>
        <v>1000018002</v>
      </c>
      <c r="B65" s="17">
        <v>10000180</v>
      </c>
      <c r="C65" s="17" t="str">
        <f>_xlfn.XLOOKUP(B65,'Detail&lt;Child&gt;'!A:A,'Detail&lt;Child&gt;'!B:B)</f>
        <v>맘몬</v>
      </c>
      <c r="D65" s="17" t="str">
        <f t="shared" si="1"/>
        <v>character_gradeup_10000180_2</v>
      </c>
      <c r="E65" s="17" t="s">
        <v>923</v>
      </c>
      <c r="F65" s="17">
        <f t="shared" si="2"/>
        <v>30030180</v>
      </c>
      <c r="G65" s="17">
        <f>VLOOKUP($R65, '#등급업 재료 개수'!$A$2:$K$5, MATCH(GradeUp!H65, '#등급업 재료 개수'!$A$2:$K$2, 0), FALSE)</f>
        <v>2</v>
      </c>
      <c r="H65" s="17">
        <v>2</v>
      </c>
      <c r="I65" s="17">
        <v>20</v>
      </c>
      <c r="J65" s="17" t="s">
        <v>30</v>
      </c>
      <c r="K65" s="17">
        <f>_xlfn.IFNA(VLOOKUP($B65, 'Detail&lt;Child&gt;'!$A:$AT, MATCH(J65, 'Detail&lt;Child&gt;'!$3:$3,0 ), FALSE)+INT($H65/12), 0)</f>
        <v>22018001</v>
      </c>
      <c r="L65" s="17" t="s">
        <v>917</v>
      </c>
      <c r="M65" s="17">
        <v>10000</v>
      </c>
      <c r="N65" s="17" t="s">
        <v>918</v>
      </c>
      <c r="O65" s="17">
        <v>10000</v>
      </c>
      <c r="P65" s="17" t="s">
        <v>919</v>
      </c>
      <c r="Q65" s="17">
        <v>10000</v>
      </c>
      <c r="R65">
        <f>_xlfn.XLOOKUP($B65, 'Detail&lt;Child&gt;'!$A:$A, 'Detail&lt;Child&gt;'!$L:$L)</f>
        <v>2</v>
      </c>
    </row>
    <row r="66" spans="1:18" x14ac:dyDescent="0.3">
      <c r="A66" s="17">
        <f t="shared" si="0"/>
        <v>1000018003</v>
      </c>
      <c r="B66" s="17">
        <v>10000180</v>
      </c>
      <c r="C66" s="17" t="str">
        <f>_xlfn.XLOOKUP(B66,'Detail&lt;Child&gt;'!A:A,'Detail&lt;Child&gt;'!B:B)</f>
        <v>맘몬</v>
      </c>
      <c r="D66" s="17" t="str">
        <f t="shared" si="1"/>
        <v>character_gradeup_10000180_3</v>
      </c>
      <c r="E66" s="17" t="s">
        <v>923</v>
      </c>
      <c r="F66" s="17">
        <f t="shared" si="2"/>
        <v>30030180</v>
      </c>
      <c r="G66" s="17">
        <f>VLOOKUP($R66, '#등급업 재료 개수'!$A$2:$K$5, MATCH(GradeUp!H66, '#등급업 재료 개수'!$A$2:$K$2, 0), FALSE)</f>
        <v>4</v>
      </c>
      <c r="H66" s="17">
        <v>3</v>
      </c>
      <c r="I66" s="17">
        <v>30</v>
      </c>
      <c r="J66" s="17">
        <v>0</v>
      </c>
      <c r="K66" s="17">
        <v>0</v>
      </c>
      <c r="L66" s="17" t="s">
        <v>917</v>
      </c>
      <c r="M66" s="17">
        <f t="shared" ref="M66:M73" si="21">M65+10000</f>
        <v>20000</v>
      </c>
      <c r="N66" s="17" t="s">
        <v>918</v>
      </c>
      <c r="O66" s="17">
        <f t="shared" ref="O66:O73" si="22">O65+10000</f>
        <v>20000</v>
      </c>
      <c r="P66" s="17" t="s">
        <v>919</v>
      </c>
      <c r="Q66" s="17">
        <f t="shared" ref="Q66:Q73" si="23">Q65+10000</f>
        <v>20000</v>
      </c>
      <c r="R66">
        <f>_xlfn.XLOOKUP($B66, 'Detail&lt;Child&gt;'!$A:$A, 'Detail&lt;Child&gt;'!$L:$L)</f>
        <v>2</v>
      </c>
    </row>
    <row r="67" spans="1:18" x14ac:dyDescent="0.3">
      <c r="A67" s="17">
        <f t="shared" si="0"/>
        <v>1000018004</v>
      </c>
      <c r="B67" s="17">
        <v>10000180</v>
      </c>
      <c r="C67" s="17" t="str">
        <f>_xlfn.XLOOKUP(B67,'Detail&lt;Child&gt;'!A:A,'Detail&lt;Child&gt;'!B:B)</f>
        <v>맘몬</v>
      </c>
      <c r="D67" s="17" t="str">
        <f t="shared" si="1"/>
        <v>character_gradeup_10000180_4</v>
      </c>
      <c r="E67" s="17" t="s">
        <v>923</v>
      </c>
      <c r="F67" s="17">
        <f t="shared" si="2"/>
        <v>30030180</v>
      </c>
      <c r="G67" s="17">
        <f>VLOOKUP($R67, '#등급업 재료 개수'!$A$2:$K$5, MATCH(GradeUp!H67, '#등급업 재료 개수'!$A$2:$K$2, 0), FALSE)</f>
        <v>8</v>
      </c>
      <c r="H67" s="17">
        <v>4</v>
      </c>
      <c r="I67" s="17">
        <v>40</v>
      </c>
      <c r="J67" s="17" t="s">
        <v>32</v>
      </c>
      <c r="K67" s="17">
        <f>_xlfn.IFNA(VLOOKUP($B67, 'Detail&lt;Child&gt;'!$A:$AT, MATCH(J67, 'Detail&lt;Child&gt;'!$3:$3,0 ), FALSE)+INT($H67/12), 0)</f>
        <v>42018001</v>
      </c>
      <c r="L67" s="17" t="s">
        <v>917</v>
      </c>
      <c r="M67" s="17">
        <f t="shared" si="21"/>
        <v>30000</v>
      </c>
      <c r="N67" s="17" t="s">
        <v>918</v>
      </c>
      <c r="O67" s="17">
        <f t="shared" si="22"/>
        <v>30000</v>
      </c>
      <c r="P67" s="17" t="s">
        <v>919</v>
      </c>
      <c r="Q67" s="17">
        <f t="shared" si="23"/>
        <v>30000</v>
      </c>
      <c r="R67">
        <f>_xlfn.XLOOKUP($B67, 'Detail&lt;Child&gt;'!$A:$A, 'Detail&lt;Child&gt;'!$L:$L)</f>
        <v>2</v>
      </c>
    </row>
    <row r="68" spans="1:18" x14ac:dyDescent="0.3">
      <c r="A68" s="17">
        <f t="shared" ref="A68:A131" si="24">B68*100+H68</f>
        <v>1000018005</v>
      </c>
      <c r="B68" s="17">
        <v>10000180</v>
      </c>
      <c r="C68" s="17" t="str">
        <f>_xlfn.XLOOKUP(B68,'Detail&lt;Child&gt;'!A:A,'Detail&lt;Child&gt;'!B:B)</f>
        <v>맘몬</v>
      </c>
      <c r="D68" s="17" t="str">
        <f t="shared" ref="D68:D131" si="25">"character_gradeup_"&amp;$B68&amp;"_"&amp;$H68</f>
        <v>character_gradeup_10000180_5</v>
      </c>
      <c r="E68" s="17" t="s">
        <v>923</v>
      </c>
      <c r="F68" s="17">
        <f t="shared" ref="F68:F131" si="26">INT(3003&amp;RIGHT(B68,4))</f>
        <v>30030180</v>
      </c>
      <c r="G68" s="17">
        <f>VLOOKUP($R68, '#등급업 재료 개수'!$A$2:$K$5, MATCH(GradeUp!H68, '#등급업 재료 개수'!$A$2:$K$2, 0), FALSE)</f>
        <v>12</v>
      </c>
      <c r="H68" s="17">
        <v>5</v>
      </c>
      <c r="I68" s="17">
        <v>50</v>
      </c>
      <c r="J68" s="17" t="s">
        <v>30</v>
      </c>
      <c r="K68" s="17">
        <f>_xlfn.IFNA(VLOOKUP($B68, 'Detail&lt;Child&gt;'!$A:$AT, MATCH(J68, 'Detail&lt;Child&gt;'!$3:$3,0 ), FALSE)+INT($H68/12), 0)+1</f>
        <v>22018002</v>
      </c>
      <c r="L68" s="17" t="s">
        <v>917</v>
      </c>
      <c r="M68" s="17">
        <f t="shared" si="21"/>
        <v>40000</v>
      </c>
      <c r="N68" s="17" t="s">
        <v>918</v>
      </c>
      <c r="O68" s="17">
        <f t="shared" si="22"/>
        <v>40000</v>
      </c>
      <c r="P68" s="17" t="s">
        <v>919</v>
      </c>
      <c r="Q68" s="17">
        <f t="shared" si="23"/>
        <v>40000</v>
      </c>
      <c r="R68">
        <f>_xlfn.XLOOKUP($B68, 'Detail&lt;Child&gt;'!$A:$A, 'Detail&lt;Child&gt;'!$L:$L)</f>
        <v>2</v>
      </c>
    </row>
    <row r="69" spans="1:18" x14ac:dyDescent="0.3">
      <c r="A69" s="17">
        <f t="shared" si="24"/>
        <v>1000018006</v>
      </c>
      <c r="B69" s="17">
        <v>10000180</v>
      </c>
      <c r="C69" s="17" t="str">
        <f>_xlfn.XLOOKUP(B69,'Detail&lt;Child&gt;'!A:A,'Detail&lt;Child&gt;'!B:B)</f>
        <v>맘몬</v>
      </c>
      <c r="D69" s="17" t="str">
        <f t="shared" si="25"/>
        <v>character_gradeup_10000180_6</v>
      </c>
      <c r="E69" s="17" t="s">
        <v>923</v>
      </c>
      <c r="F69" s="17">
        <f t="shared" si="26"/>
        <v>30030180</v>
      </c>
      <c r="G69" s="17">
        <f>VLOOKUP($R69, '#등급업 재료 개수'!$A$2:$K$5, MATCH(GradeUp!H69, '#등급업 재료 개수'!$A$2:$K$2, 0), FALSE)</f>
        <v>16</v>
      </c>
      <c r="H69" s="17">
        <v>6</v>
      </c>
      <c r="I69" s="17">
        <v>60</v>
      </c>
      <c r="J69" s="17">
        <v>0</v>
      </c>
      <c r="K69" s="17">
        <v>0</v>
      </c>
      <c r="L69" s="17" t="s">
        <v>917</v>
      </c>
      <c r="M69" s="17">
        <f t="shared" si="21"/>
        <v>50000</v>
      </c>
      <c r="N69" s="17" t="s">
        <v>918</v>
      </c>
      <c r="O69" s="17">
        <f t="shared" si="22"/>
        <v>50000</v>
      </c>
      <c r="P69" s="17" t="s">
        <v>919</v>
      </c>
      <c r="Q69" s="17">
        <f t="shared" si="23"/>
        <v>50000</v>
      </c>
      <c r="R69">
        <f>_xlfn.XLOOKUP($B69, 'Detail&lt;Child&gt;'!$A:$A, 'Detail&lt;Child&gt;'!$L:$L)</f>
        <v>2</v>
      </c>
    </row>
    <row r="70" spans="1:18" x14ac:dyDescent="0.3">
      <c r="A70" s="17">
        <f t="shared" si="24"/>
        <v>1000018007</v>
      </c>
      <c r="B70" s="17">
        <v>10000180</v>
      </c>
      <c r="C70" s="17" t="str">
        <f>_xlfn.XLOOKUP(B70,'Detail&lt;Child&gt;'!A:A,'Detail&lt;Child&gt;'!B:B)</f>
        <v>맘몬</v>
      </c>
      <c r="D70" s="17" t="str">
        <f t="shared" si="25"/>
        <v>character_gradeup_10000180_7</v>
      </c>
      <c r="E70" s="17" t="s">
        <v>923</v>
      </c>
      <c r="F70" s="17">
        <f t="shared" si="26"/>
        <v>30030180</v>
      </c>
      <c r="G70" s="17">
        <f>VLOOKUP($R70, '#등급업 재료 개수'!$A$2:$K$5, MATCH(GradeUp!H70, '#등급업 재료 개수'!$A$2:$K$2, 0), FALSE)</f>
        <v>20</v>
      </c>
      <c r="H70" s="17">
        <v>7</v>
      </c>
      <c r="I70" s="17">
        <v>70</v>
      </c>
      <c r="J70" s="17" t="s">
        <v>32</v>
      </c>
      <c r="K70" s="17">
        <f>_xlfn.IFNA(VLOOKUP($B70, 'Detail&lt;Child&gt;'!$A:$AT, MATCH(J70, 'Detail&lt;Child&gt;'!$3:$3,0 ), FALSE)+INT($H70/12), 0)+1</f>
        <v>42018002</v>
      </c>
      <c r="L70" s="17" t="s">
        <v>917</v>
      </c>
      <c r="M70" s="17">
        <f t="shared" si="21"/>
        <v>60000</v>
      </c>
      <c r="N70" s="17" t="s">
        <v>918</v>
      </c>
      <c r="O70" s="17">
        <f t="shared" si="22"/>
        <v>60000</v>
      </c>
      <c r="P70" s="17" t="s">
        <v>919</v>
      </c>
      <c r="Q70" s="17">
        <f t="shared" si="23"/>
        <v>60000</v>
      </c>
      <c r="R70">
        <f>_xlfn.XLOOKUP($B70, 'Detail&lt;Child&gt;'!$A:$A, 'Detail&lt;Child&gt;'!$L:$L)</f>
        <v>2</v>
      </c>
    </row>
    <row r="71" spans="1:18" x14ac:dyDescent="0.3">
      <c r="A71" s="17">
        <f t="shared" si="24"/>
        <v>1000018008</v>
      </c>
      <c r="B71" s="17">
        <v>10000180</v>
      </c>
      <c r="C71" s="17" t="str">
        <f>_xlfn.XLOOKUP(B71,'Detail&lt;Child&gt;'!A:A,'Detail&lt;Child&gt;'!B:B)</f>
        <v>맘몬</v>
      </c>
      <c r="D71" s="17" t="str">
        <f t="shared" si="25"/>
        <v>character_gradeup_10000180_8</v>
      </c>
      <c r="E71" s="17" t="s">
        <v>923</v>
      </c>
      <c r="F71" s="17">
        <f t="shared" si="26"/>
        <v>30030180</v>
      </c>
      <c r="G71" s="17">
        <f>VLOOKUP($R71, '#등급업 재료 개수'!$A$2:$K$5, MATCH(GradeUp!H71, '#등급업 재료 개수'!$A$2:$K$2, 0), FALSE)</f>
        <v>24</v>
      </c>
      <c r="H71" s="17">
        <v>8</v>
      </c>
      <c r="I71" s="17">
        <v>80</v>
      </c>
      <c r="J71" s="17">
        <v>0</v>
      </c>
      <c r="K71" s="17">
        <v>0</v>
      </c>
      <c r="L71" s="17" t="s">
        <v>917</v>
      </c>
      <c r="M71" s="17">
        <f t="shared" si="21"/>
        <v>70000</v>
      </c>
      <c r="N71" s="17" t="s">
        <v>918</v>
      </c>
      <c r="O71" s="17">
        <f t="shared" si="22"/>
        <v>70000</v>
      </c>
      <c r="P71" s="17" t="s">
        <v>919</v>
      </c>
      <c r="Q71" s="17">
        <f t="shared" si="23"/>
        <v>70000</v>
      </c>
      <c r="R71">
        <f>_xlfn.XLOOKUP($B71, 'Detail&lt;Child&gt;'!$A:$A, 'Detail&lt;Child&gt;'!$L:$L)</f>
        <v>2</v>
      </c>
    </row>
    <row r="72" spans="1:18" x14ac:dyDescent="0.3">
      <c r="A72" s="17">
        <f t="shared" si="24"/>
        <v>1000018009</v>
      </c>
      <c r="B72" s="17">
        <v>10000180</v>
      </c>
      <c r="C72" s="17" t="str">
        <f>_xlfn.XLOOKUP(B72,'Detail&lt;Child&gt;'!A:A,'Detail&lt;Child&gt;'!B:B)</f>
        <v>맘몬</v>
      </c>
      <c r="D72" s="17" t="str">
        <f t="shared" si="25"/>
        <v>character_gradeup_10000180_9</v>
      </c>
      <c r="E72" s="17" t="s">
        <v>923</v>
      </c>
      <c r="F72" s="17">
        <f t="shared" si="26"/>
        <v>30030180</v>
      </c>
      <c r="G72" s="17">
        <f>VLOOKUP($R72, '#등급업 재료 개수'!$A$2:$K$5, MATCH(GradeUp!H72, '#등급업 재료 개수'!$A$2:$K$2, 0), FALSE)</f>
        <v>28</v>
      </c>
      <c r="H72" s="17">
        <v>9</v>
      </c>
      <c r="I72" s="17">
        <v>90</v>
      </c>
      <c r="J72" s="17" t="s">
        <v>31</v>
      </c>
      <c r="K72" s="17">
        <f>_xlfn.IFNA(VLOOKUP($B72, 'Detail&lt;Child&gt;'!$A:$AT, MATCH(J72, 'Detail&lt;Child&gt;'!$3:$3,0 ), FALSE)+INT($H72/12), 0)+1</f>
        <v>32018002</v>
      </c>
      <c r="L72" s="17" t="s">
        <v>917</v>
      </c>
      <c r="M72" s="17">
        <f t="shared" si="21"/>
        <v>80000</v>
      </c>
      <c r="N72" s="17" t="s">
        <v>918</v>
      </c>
      <c r="O72" s="17">
        <f t="shared" si="22"/>
        <v>80000</v>
      </c>
      <c r="P72" s="17" t="s">
        <v>919</v>
      </c>
      <c r="Q72" s="17">
        <f t="shared" si="23"/>
        <v>80000</v>
      </c>
      <c r="R72">
        <f>_xlfn.XLOOKUP($B72, 'Detail&lt;Child&gt;'!$A:$A, 'Detail&lt;Child&gt;'!$L:$L)</f>
        <v>2</v>
      </c>
    </row>
    <row r="73" spans="1:18" x14ac:dyDescent="0.3">
      <c r="A73" s="17">
        <f t="shared" si="24"/>
        <v>1000018010</v>
      </c>
      <c r="B73" s="17">
        <v>10000180</v>
      </c>
      <c r="C73" s="17" t="str">
        <f>_xlfn.XLOOKUP(B73,'Detail&lt;Child&gt;'!A:A,'Detail&lt;Child&gt;'!B:B)</f>
        <v>맘몬</v>
      </c>
      <c r="D73" s="17" t="str">
        <f t="shared" si="25"/>
        <v>character_gradeup_10000180_10</v>
      </c>
      <c r="E73" s="17" t="s">
        <v>923</v>
      </c>
      <c r="F73" s="17">
        <f t="shared" si="26"/>
        <v>30030180</v>
      </c>
      <c r="G73" s="17">
        <f>VLOOKUP($R73, '#등급업 재료 개수'!$A$2:$K$5, MATCH(GradeUp!H73, '#등급업 재료 개수'!$A$2:$K$2, 0), FALSE)</f>
        <v>999</v>
      </c>
      <c r="H73" s="17">
        <v>10</v>
      </c>
      <c r="I73" s="17">
        <v>100</v>
      </c>
      <c r="J73" s="17">
        <v>0</v>
      </c>
      <c r="K73" s="17">
        <v>0</v>
      </c>
      <c r="L73" s="17" t="s">
        <v>917</v>
      </c>
      <c r="M73" s="17">
        <f t="shared" si="21"/>
        <v>90000</v>
      </c>
      <c r="N73" s="17" t="s">
        <v>918</v>
      </c>
      <c r="O73" s="17">
        <f t="shared" si="22"/>
        <v>90000</v>
      </c>
      <c r="P73" s="17" t="s">
        <v>919</v>
      </c>
      <c r="Q73" s="17">
        <f t="shared" si="23"/>
        <v>90000</v>
      </c>
      <c r="R73">
        <f>_xlfn.XLOOKUP($B73, 'Detail&lt;Child&gt;'!$A:$A, 'Detail&lt;Child&gt;'!$L:$L)</f>
        <v>2</v>
      </c>
    </row>
    <row r="74" spans="1:18" x14ac:dyDescent="0.3">
      <c r="A74" s="17">
        <f t="shared" si="24"/>
        <v>1000018301</v>
      </c>
      <c r="B74" s="17">
        <v>10000183</v>
      </c>
      <c r="C74" s="17" t="str">
        <f>_xlfn.XLOOKUP(B74,'Detail&lt;Child&gt;'!A:A,'Detail&lt;Child&gt;'!B:B)</f>
        <v>다나</v>
      </c>
      <c r="D74" s="17" t="str">
        <f t="shared" si="25"/>
        <v>character_gradeup_10000183_1</v>
      </c>
      <c r="E74" s="17" t="s">
        <v>923</v>
      </c>
      <c r="F74" s="17">
        <f t="shared" si="26"/>
        <v>30030183</v>
      </c>
      <c r="G74" s="17">
        <f>VLOOKUP($R74, '#등급업 재료 개수'!$A$2:$K$5, MATCH(GradeUp!H74, '#등급업 재료 개수'!$A$2:$K$2, 0), FALSE)</f>
        <v>1</v>
      </c>
      <c r="H74" s="17">
        <v>1</v>
      </c>
      <c r="I74" s="17">
        <v>10</v>
      </c>
      <c r="J74" s="17">
        <v>0</v>
      </c>
      <c r="K74" s="17">
        <v>0</v>
      </c>
      <c r="L74" s="17" t="s">
        <v>917</v>
      </c>
      <c r="M74" s="17">
        <v>0</v>
      </c>
      <c r="N74" s="17" t="s">
        <v>918</v>
      </c>
      <c r="O74" s="17">
        <v>0</v>
      </c>
      <c r="P74" s="17" t="s">
        <v>919</v>
      </c>
      <c r="Q74" s="17">
        <v>0</v>
      </c>
      <c r="R74">
        <f>_xlfn.XLOOKUP($B74, 'Detail&lt;Child&gt;'!$A:$A, 'Detail&lt;Child&gt;'!$L:$L)</f>
        <v>2</v>
      </c>
    </row>
    <row r="75" spans="1:18" x14ac:dyDescent="0.3">
      <c r="A75" s="17">
        <f t="shared" si="24"/>
        <v>1000018302</v>
      </c>
      <c r="B75" s="17">
        <v>10000183</v>
      </c>
      <c r="C75" s="17" t="str">
        <f>_xlfn.XLOOKUP(B75,'Detail&lt;Child&gt;'!A:A,'Detail&lt;Child&gt;'!B:B)</f>
        <v>다나</v>
      </c>
      <c r="D75" s="17" t="str">
        <f t="shared" si="25"/>
        <v>character_gradeup_10000183_2</v>
      </c>
      <c r="E75" s="17" t="s">
        <v>923</v>
      </c>
      <c r="F75" s="17">
        <f t="shared" si="26"/>
        <v>30030183</v>
      </c>
      <c r="G75" s="17">
        <f>VLOOKUP($R75, '#등급업 재료 개수'!$A$2:$K$5, MATCH(GradeUp!H75, '#등급업 재료 개수'!$A$2:$K$2, 0), FALSE)</f>
        <v>2</v>
      </c>
      <c r="H75" s="17">
        <v>2</v>
      </c>
      <c r="I75" s="17">
        <v>20</v>
      </c>
      <c r="J75" s="17" t="s">
        <v>30</v>
      </c>
      <c r="K75" s="17">
        <f>_xlfn.IFNA(VLOOKUP($B75, 'Detail&lt;Child&gt;'!$A:$AT, MATCH(J75, 'Detail&lt;Child&gt;'!$3:$3,0 ), FALSE)+INT($H75/12), 0)</f>
        <v>22018301</v>
      </c>
      <c r="L75" s="17" t="s">
        <v>917</v>
      </c>
      <c r="M75" s="17">
        <v>0</v>
      </c>
      <c r="N75" s="17" t="s">
        <v>918</v>
      </c>
      <c r="O75" s="17">
        <v>0</v>
      </c>
      <c r="P75" s="17" t="s">
        <v>919</v>
      </c>
      <c r="Q75" s="17">
        <v>0</v>
      </c>
      <c r="R75">
        <f>_xlfn.XLOOKUP($B75, 'Detail&lt;Child&gt;'!$A:$A, 'Detail&lt;Child&gt;'!$L:$L)</f>
        <v>2</v>
      </c>
    </row>
    <row r="76" spans="1:18" x14ac:dyDescent="0.3">
      <c r="A76" s="17">
        <f t="shared" si="24"/>
        <v>1000018303</v>
      </c>
      <c r="B76" s="17">
        <v>10000183</v>
      </c>
      <c r="C76" s="17" t="str">
        <f>_xlfn.XLOOKUP(B76,'Detail&lt;Child&gt;'!A:A,'Detail&lt;Child&gt;'!B:B)</f>
        <v>다나</v>
      </c>
      <c r="D76" s="17" t="str">
        <f t="shared" si="25"/>
        <v>character_gradeup_10000183_3</v>
      </c>
      <c r="E76" s="17" t="s">
        <v>923</v>
      </c>
      <c r="F76" s="17">
        <f t="shared" si="26"/>
        <v>30030183</v>
      </c>
      <c r="G76" s="17">
        <f>VLOOKUP($R76, '#등급업 재료 개수'!$A$2:$K$5, MATCH(GradeUp!H76, '#등급업 재료 개수'!$A$2:$K$2, 0), FALSE)</f>
        <v>4</v>
      </c>
      <c r="H76" s="17">
        <v>3</v>
      </c>
      <c r="I76" s="17">
        <v>30</v>
      </c>
      <c r="J76" s="17">
        <v>0</v>
      </c>
      <c r="K76" s="17">
        <v>0</v>
      </c>
      <c r="L76" s="17" t="s">
        <v>917</v>
      </c>
      <c r="M76" s="17">
        <v>0</v>
      </c>
      <c r="N76" s="17" t="s">
        <v>918</v>
      </c>
      <c r="O76" s="17">
        <v>0</v>
      </c>
      <c r="P76" s="17" t="s">
        <v>919</v>
      </c>
      <c r="Q76" s="17">
        <v>0</v>
      </c>
      <c r="R76">
        <f>_xlfn.XLOOKUP($B76, 'Detail&lt;Child&gt;'!$A:$A, 'Detail&lt;Child&gt;'!$L:$L)</f>
        <v>2</v>
      </c>
    </row>
    <row r="77" spans="1:18" x14ac:dyDescent="0.3">
      <c r="A77" s="17">
        <f t="shared" si="24"/>
        <v>1000018304</v>
      </c>
      <c r="B77" s="17">
        <v>10000183</v>
      </c>
      <c r="C77" s="17" t="str">
        <f>_xlfn.XLOOKUP(B77,'Detail&lt;Child&gt;'!A:A,'Detail&lt;Child&gt;'!B:B)</f>
        <v>다나</v>
      </c>
      <c r="D77" s="17" t="str">
        <f t="shared" si="25"/>
        <v>character_gradeup_10000183_4</v>
      </c>
      <c r="E77" s="17" t="s">
        <v>923</v>
      </c>
      <c r="F77" s="17">
        <f t="shared" si="26"/>
        <v>30030183</v>
      </c>
      <c r="G77" s="17">
        <f>VLOOKUP($R77, '#등급업 재료 개수'!$A$2:$K$5, MATCH(GradeUp!H77, '#등급업 재료 개수'!$A$2:$K$2, 0), FALSE)</f>
        <v>8</v>
      </c>
      <c r="H77" s="17">
        <v>4</v>
      </c>
      <c r="I77" s="17">
        <v>40</v>
      </c>
      <c r="J77" s="17" t="s">
        <v>32</v>
      </c>
      <c r="K77" s="17">
        <f>_xlfn.IFNA(VLOOKUP($B77, 'Detail&lt;Child&gt;'!$A:$AT, MATCH(J77, 'Detail&lt;Child&gt;'!$3:$3,0 ), FALSE)+INT($H77/12), 0)</f>
        <v>42018301</v>
      </c>
      <c r="L77" s="17" t="s">
        <v>917</v>
      </c>
      <c r="M77" s="17">
        <v>10000</v>
      </c>
      <c r="N77" s="17" t="s">
        <v>918</v>
      </c>
      <c r="O77" s="17">
        <v>10000</v>
      </c>
      <c r="P77" s="17" t="s">
        <v>919</v>
      </c>
      <c r="Q77" s="17">
        <v>10000</v>
      </c>
      <c r="R77">
        <f>_xlfn.XLOOKUP($B77, 'Detail&lt;Child&gt;'!$A:$A, 'Detail&lt;Child&gt;'!$L:$L)</f>
        <v>2</v>
      </c>
    </row>
    <row r="78" spans="1:18" x14ac:dyDescent="0.3">
      <c r="A78" s="17">
        <f t="shared" si="24"/>
        <v>1000018305</v>
      </c>
      <c r="B78" s="17">
        <v>10000183</v>
      </c>
      <c r="C78" s="17" t="str">
        <f>_xlfn.XLOOKUP(B78,'Detail&lt;Child&gt;'!A:A,'Detail&lt;Child&gt;'!B:B)</f>
        <v>다나</v>
      </c>
      <c r="D78" s="17" t="str">
        <f t="shared" si="25"/>
        <v>character_gradeup_10000183_5</v>
      </c>
      <c r="E78" s="17" t="s">
        <v>923</v>
      </c>
      <c r="F78" s="17">
        <f t="shared" si="26"/>
        <v>30030183</v>
      </c>
      <c r="G78" s="17">
        <f>VLOOKUP($R78, '#등급업 재료 개수'!$A$2:$K$5, MATCH(GradeUp!H78, '#등급업 재료 개수'!$A$2:$K$2, 0), FALSE)</f>
        <v>12</v>
      </c>
      <c r="H78" s="17">
        <v>5</v>
      </c>
      <c r="I78" s="17">
        <v>50</v>
      </c>
      <c r="J78" s="17" t="s">
        <v>30</v>
      </c>
      <c r="K78" s="17">
        <f>_xlfn.IFNA(VLOOKUP($B78, 'Detail&lt;Child&gt;'!$A:$AT, MATCH(J78, 'Detail&lt;Child&gt;'!$3:$3,0 ), FALSE)+INT($H78/12), 0)+1</f>
        <v>22018302</v>
      </c>
      <c r="L78" s="17" t="s">
        <v>917</v>
      </c>
      <c r="M78" s="17">
        <f t="shared" ref="M78:M83" si="27">M77+10000</f>
        <v>20000</v>
      </c>
      <c r="N78" s="17" t="s">
        <v>918</v>
      </c>
      <c r="O78" s="17">
        <f t="shared" ref="O78:O83" si="28">O77+10000</f>
        <v>20000</v>
      </c>
      <c r="P78" s="17" t="s">
        <v>919</v>
      </c>
      <c r="Q78" s="17">
        <f t="shared" ref="Q78:Q83" si="29">Q77+10000</f>
        <v>20000</v>
      </c>
      <c r="R78">
        <f>_xlfn.XLOOKUP($B78, 'Detail&lt;Child&gt;'!$A:$A, 'Detail&lt;Child&gt;'!$L:$L)</f>
        <v>2</v>
      </c>
    </row>
    <row r="79" spans="1:18" x14ac:dyDescent="0.3">
      <c r="A79" s="17">
        <f t="shared" si="24"/>
        <v>1000018306</v>
      </c>
      <c r="B79" s="17">
        <v>10000183</v>
      </c>
      <c r="C79" s="17" t="str">
        <f>_xlfn.XLOOKUP(B79,'Detail&lt;Child&gt;'!A:A,'Detail&lt;Child&gt;'!B:B)</f>
        <v>다나</v>
      </c>
      <c r="D79" s="17" t="str">
        <f t="shared" si="25"/>
        <v>character_gradeup_10000183_6</v>
      </c>
      <c r="E79" s="17" t="s">
        <v>923</v>
      </c>
      <c r="F79" s="17">
        <f t="shared" si="26"/>
        <v>30030183</v>
      </c>
      <c r="G79" s="17">
        <f>VLOOKUP($R79, '#등급업 재료 개수'!$A$2:$K$5, MATCH(GradeUp!H79, '#등급업 재료 개수'!$A$2:$K$2, 0), FALSE)</f>
        <v>16</v>
      </c>
      <c r="H79" s="17">
        <v>6</v>
      </c>
      <c r="I79" s="17">
        <v>60</v>
      </c>
      <c r="J79" s="17">
        <v>0</v>
      </c>
      <c r="K79" s="17">
        <v>0</v>
      </c>
      <c r="L79" s="17" t="s">
        <v>917</v>
      </c>
      <c r="M79" s="17">
        <f t="shared" si="27"/>
        <v>30000</v>
      </c>
      <c r="N79" s="17" t="s">
        <v>918</v>
      </c>
      <c r="O79" s="17">
        <f t="shared" si="28"/>
        <v>30000</v>
      </c>
      <c r="P79" s="17" t="s">
        <v>919</v>
      </c>
      <c r="Q79" s="17">
        <f t="shared" si="29"/>
        <v>30000</v>
      </c>
      <c r="R79">
        <f>_xlfn.XLOOKUP($B79, 'Detail&lt;Child&gt;'!$A:$A, 'Detail&lt;Child&gt;'!$L:$L)</f>
        <v>2</v>
      </c>
    </row>
    <row r="80" spans="1:18" x14ac:dyDescent="0.3">
      <c r="A80" s="17">
        <f t="shared" si="24"/>
        <v>1000018307</v>
      </c>
      <c r="B80" s="17">
        <v>10000183</v>
      </c>
      <c r="C80" s="17" t="str">
        <f>_xlfn.XLOOKUP(B80,'Detail&lt;Child&gt;'!A:A,'Detail&lt;Child&gt;'!B:B)</f>
        <v>다나</v>
      </c>
      <c r="D80" s="17" t="str">
        <f t="shared" si="25"/>
        <v>character_gradeup_10000183_7</v>
      </c>
      <c r="E80" s="17" t="s">
        <v>923</v>
      </c>
      <c r="F80" s="17">
        <f t="shared" si="26"/>
        <v>30030183</v>
      </c>
      <c r="G80" s="17">
        <f>VLOOKUP($R80, '#등급업 재료 개수'!$A$2:$K$5, MATCH(GradeUp!H80, '#등급업 재료 개수'!$A$2:$K$2, 0), FALSE)</f>
        <v>20</v>
      </c>
      <c r="H80" s="17">
        <v>7</v>
      </c>
      <c r="I80" s="17">
        <v>70</v>
      </c>
      <c r="J80" s="17" t="s">
        <v>32</v>
      </c>
      <c r="K80" s="17">
        <f>_xlfn.IFNA(VLOOKUP($B80, 'Detail&lt;Child&gt;'!$A:$AT, MATCH(J80, 'Detail&lt;Child&gt;'!$3:$3,0 ), FALSE)+INT($H80/12), 0)+1</f>
        <v>42018302</v>
      </c>
      <c r="L80" s="17" t="s">
        <v>917</v>
      </c>
      <c r="M80" s="17">
        <f t="shared" si="27"/>
        <v>40000</v>
      </c>
      <c r="N80" s="17" t="s">
        <v>918</v>
      </c>
      <c r="O80" s="17">
        <f t="shared" si="28"/>
        <v>40000</v>
      </c>
      <c r="P80" s="17" t="s">
        <v>919</v>
      </c>
      <c r="Q80" s="17">
        <f t="shared" si="29"/>
        <v>40000</v>
      </c>
      <c r="R80">
        <f>_xlfn.XLOOKUP($B80, 'Detail&lt;Child&gt;'!$A:$A, 'Detail&lt;Child&gt;'!$L:$L)</f>
        <v>2</v>
      </c>
    </row>
    <row r="81" spans="1:18" x14ac:dyDescent="0.3">
      <c r="A81" s="17">
        <f t="shared" si="24"/>
        <v>1000018308</v>
      </c>
      <c r="B81" s="17">
        <v>10000183</v>
      </c>
      <c r="C81" s="17" t="str">
        <f>_xlfn.XLOOKUP(B81,'Detail&lt;Child&gt;'!A:A,'Detail&lt;Child&gt;'!B:B)</f>
        <v>다나</v>
      </c>
      <c r="D81" s="17" t="str">
        <f t="shared" si="25"/>
        <v>character_gradeup_10000183_8</v>
      </c>
      <c r="E81" s="17" t="s">
        <v>923</v>
      </c>
      <c r="F81" s="17">
        <f t="shared" si="26"/>
        <v>30030183</v>
      </c>
      <c r="G81" s="17">
        <f>VLOOKUP($R81, '#등급업 재료 개수'!$A$2:$K$5, MATCH(GradeUp!H81, '#등급업 재료 개수'!$A$2:$K$2, 0), FALSE)</f>
        <v>24</v>
      </c>
      <c r="H81" s="17">
        <v>8</v>
      </c>
      <c r="I81" s="17">
        <v>80</v>
      </c>
      <c r="J81" s="17">
        <v>0</v>
      </c>
      <c r="K81" s="17">
        <v>0</v>
      </c>
      <c r="L81" s="17" t="s">
        <v>917</v>
      </c>
      <c r="M81" s="17">
        <f t="shared" si="27"/>
        <v>50000</v>
      </c>
      <c r="N81" s="17" t="s">
        <v>918</v>
      </c>
      <c r="O81" s="17">
        <f t="shared" si="28"/>
        <v>50000</v>
      </c>
      <c r="P81" s="17" t="s">
        <v>919</v>
      </c>
      <c r="Q81" s="17">
        <f t="shared" si="29"/>
        <v>50000</v>
      </c>
      <c r="R81">
        <f>_xlfn.XLOOKUP($B81, 'Detail&lt;Child&gt;'!$A:$A, 'Detail&lt;Child&gt;'!$L:$L)</f>
        <v>2</v>
      </c>
    </row>
    <row r="82" spans="1:18" x14ac:dyDescent="0.3">
      <c r="A82" s="17">
        <f t="shared" si="24"/>
        <v>1000018309</v>
      </c>
      <c r="B82" s="17">
        <v>10000183</v>
      </c>
      <c r="C82" s="17" t="str">
        <f>_xlfn.XLOOKUP(B82,'Detail&lt;Child&gt;'!A:A,'Detail&lt;Child&gt;'!B:B)</f>
        <v>다나</v>
      </c>
      <c r="D82" s="17" t="str">
        <f t="shared" si="25"/>
        <v>character_gradeup_10000183_9</v>
      </c>
      <c r="E82" s="17" t="s">
        <v>923</v>
      </c>
      <c r="F82" s="17">
        <f t="shared" si="26"/>
        <v>30030183</v>
      </c>
      <c r="G82" s="17">
        <f>VLOOKUP($R82, '#등급업 재료 개수'!$A$2:$K$5, MATCH(GradeUp!H82, '#등급업 재료 개수'!$A$2:$K$2, 0), FALSE)</f>
        <v>28</v>
      </c>
      <c r="H82" s="17">
        <v>9</v>
      </c>
      <c r="I82" s="17">
        <v>90</v>
      </c>
      <c r="J82" s="17" t="s">
        <v>31</v>
      </c>
      <c r="K82" s="17">
        <f>_xlfn.IFNA(VLOOKUP($B82, 'Detail&lt;Child&gt;'!$A:$AT, MATCH(J82, 'Detail&lt;Child&gt;'!$3:$3,0 ), FALSE)+INT($H82/12), 0)+1</f>
        <v>32018302</v>
      </c>
      <c r="L82" s="17" t="s">
        <v>917</v>
      </c>
      <c r="M82" s="17">
        <f t="shared" si="27"/>
        <v>60000</v>
      </c>
      <c r="N82" s="17" t="s">
        <v>918</v>
      </c>
      <c r="O82" s="17">
        <f t="shared" si="28"/>
        <v>60000</v>
      </c>
      <c r="P82" s="17" t="s">
        <v>919</v>
      </c>
      <c r="Q82" s="17">
        <f t="shared" si="29"/>
        <v>60000</v>
      </c>
      <c r="R82">
        <f>_xlfn.XLOOKUP($B82, 'Detail&lt;Child&gt;'!$A:$A, 'Detail&lt;Child&gt;'!$L:$L)</f>
        <v>2</v>
      </c>
    </row>
    <row r="83" spans="1:18" x14ac:dyDescent="0.3">
      <c r="A83" s="17">
        <f t="shared" si="24"/>
        <v>1000018310</v>
      </c>
      <c r="B83" s="17">
        <v>10000183</v>
      </c>
      <c r="C83" s="17" t="str">
        <f>_xlfn.XLOOKUP(B83,'Detail&lt;Child&gt;'!A:A,'Detail&lt;Child&gt;'!B:B)</f>
        <v>다나</v>
      </c>
      <c r="D83" s="17" t="str">
        <f t="shared" si="25"/>
        <v>character_gradeup_10000183_10</v>
      </c>
      <c r="E83" s="17" t="s">
        <v>923</v>
      </c>
      <c r="F83" s="17">
        <f t="shared" si="26"/>
        <v>30030183</v>
      </c>
      <c r="G83" s="17">
        <f>VLOOKUP($R83, '#등급업 재료 개수'!$A$2:$K$5, MATCH(GradeUp!H83, '#등급업 재료 개수'!$A$2:$K$2, 0), FALSE)</f>
        <v>999</v>
      </c>
      <c r="H83" s="17">
        <v>10</v>
      </c>
      <c r="I83" s="17">
        <v>100</v>
      </c>
      <c r="J83" s="17">
        <v>0</v>
      </c>
      <c r="K83" s="17">
        <v>0</v>
      </c>
      <c r="L83" s="17" t="s">
        <v>917</v>
      </c>
      <c r="M83" s="17">
        <f t="shared" si="27"/>
        <v>70000</v>
      </c>
      <c r="N83" s="17" t="s">
        <v>918</v>
      </c>
      <c r="O83" s="17">
        <f t="shared" si="28"/>
        <v>70000</v>
      </c>
      <c r="P83" s="17" t="s">
        <v>919</v>
      </c>
      <c r="Q83" s="17">
        <f t="shared" si="29"/>
        <v>70000</v>
      </c>
      <c r="R83">
        <f>_xlfn.XLOOKUP($B83, 'Detail&lt;Child&gt;'!$A:$A, 'Detail&lt;Child&gt;'!$L:$L)</f>
        <v>2</v>
      </c>
    </row>
    <row r="84" spans="1:18" x14ac:dyDescent="0.3">
      <c r="A84" s="17">
        <f t="shared" si="24"/>
        <v>1000005101</v>
      </c>
      <c r="B84" s="17">
        <v>10000051</v>
      </c>
      <c r="C84" s="17" t="str">
        <f>_xlfn.XLOOKUP(B84,'Detail&lt;Child&gt;'!A:A,'Detail&lt;Child&gt;'!B:B)</f>
        <v>프레이</v>
      </c>
      <c r="D84" s="17" t="str">
        <f t="shared" si="25"/>
        <v>character_gradeup_10000051_1</v>
      </c>
      <c r="E84" s="17" t="s">
        <v>923</v>
      </c>
      <c r="F84" s="17">
        <f t="shared" si="26"/>
        <v>30030051</v>
      </c>
      <c r="G84" s="17">
        <f>VLOOKUP($R84, '#등급업 재료 개수'!$A$2:$K$5, MATCH(GradeUp!H84, '#등급업 재료 개수'!$A$2:$K$2, 0), FALSE)</f>
        <v>1</v>
      </c>
      <c r="H84" s="17">
        <v>1</v>
      </c>
      <c r="I84" s="17">
        <v>10</v>
      </c>
      <c r="J84" s="17">
        <v>0</v>
      </c>
      <c r="K84" s="17">
        <v>0</v>
      </c>
      <c r="L84" s="17" t="s">
        <v>917</v>
      </c>
      <c r="M84" s="17">
        <v>0</v>
      </c>
      <c r="N84" s="17" t="s">
        <v>918</v>
      </c>
      <c r="O84" s="17">
        <v>0</v>
      </c>
      <c r="P84" s="17" t="s">
        <v>919</v>
      </c>
      <c r="Q84" s="17">
        <v>0</v>
      </c>
      <c r="R84">
        <f>_xlfn.XLOOKUP($B84, 'Detail&lt;Child&gt;'!$A:$A, 'Detail&lt;Child&gt;'!$L:$L)</f>
        <v>3</v>
      </c>
    </row>
    <row r="85" spans="1:18" x14ac:dyDescent="0.3">
      <c r="A85" s="17">
        <f t="shared" si="24"/>
        <v>1000005102</v>
      </c>
      <c r="B85" s="17">
        <v>10000051</v>
      </c>
      <c r="C85" s="17" t="str">
        <f>_xlfn.XLOOKUP(B85,'Detail&lt;Child&gt;'!A:A,'Detail&lt;Child&gt;'!B:B)</f>
        <v>프레이</v>
      </c>
      <c r="D85" s="17" t="str">
        <f t="shared" si="25"/>
        <v>character_gradeup_10000051_2</v>
      </c>
      <c r="E85" s="17" t="s">
        <v>923</v>
      </c>
      <c r="F85" s="17">
        <f t="shared" si="26"/>
        <v>30030051</v>
      </c>
      <c r="G85" s="17">
        <f>VLOOKUP($R85, '#등급업 재료 개수'!$A$2:$K$5, MATCH(GradeUp!H85, '#등급업 재료 개수'!$A$2:$K$2, 0), FALSE)</f>
        <v>1</v>
      </c>
      <c r="H85" s="17">
        <v>2</v>
      </c>
      <c r="I85" s="17">
        <v>20</v>
      </c>
      <c r="J85" s="17" t="s">
        <v>30</v>
      </c>
      <c r="K85" s="17">
        <f>_xlfn.IFNA(VLOOKUP($B85, 'Detail&lt;Child&gt;'!$A:$AT, MATCH(J85, 'Detail&lt;Child&gt;'!$3:$3,0 ), FALSE)+INT($H85/12), 0)</f>
        <v>23005101</v>
      </c>
      <c r="L85" s="17" t="s">
        <v>917</v>
      </c>
      <c r="M85" s="17">
        <v>0</v>
      </c>
      <c r="N85" s="17" t="s">
        <v>918</v>
      </c>
      <c r="O85" s="17">
        <v>0</v>
      </c>
      <c r="P85" s="17" t="s">
        <v>919</v>
      </c>
      <c r="Q85" s="17">
        <v>0</v>
      </c>
      <c r="R85">
        <f>_xlfn.XLOOKUP($B85, 'Detail&lt;Child&gt;'!$A:$A, 'Detail&lt;Child&gt;'!$L:$L)</f>
        <v>3</v>
      </c>
    </row>
    <row r="86" spans="1:18" x14ac:dyDescent="0.3">
      <c r="A86" s="17">
        <f t="shared" si="24"/>
        <v>1000005103</v>
      </c>
      <c r="B86" s="17">
        <v>10000051</v>
      </c>
      <c r="C86" s="17" t="str">
        <f>_xlfn.XLOOKUP(B86,'Detail&lt;Child&gt;'!A:A,'Detail&lt;Child&gt;'!B:B)</f>
        <v>프레이</v>
      </c>
      <c r="D86" s="17" t="str">
        <f t="shared" si="25"/>
        <v>character_gradeup_10000051_3</v>
      </c>
      <c r="E86" s="17" t="s">
        <v>923</v>
      </c>
      <c r="F86" s="17">
        <f t="shared" si="26"/>
        <v>30030051</v>
      </c>
      <c r="G86" s="17">
        <f>VLOOKUP($R86, '#등급업 재료 개수'!$A$2:$K$5, MATCH(GradeUp!H86, '#등급업 재료 개수'!$A$2:$K$2, 0), FALSE)</f>
        <v>1</v>
      </c>
      <c r="H86" s="17">
        <v>3</v>
      </c>
      <c r="I86" s="17">
        <v>30</v>
      </c>
      <c r="J86" s="17">
        <v>0</v>
      </c>
      <c r="K86" s="17">
        <v>0</v>
      </c>
      <c r="L86" s="17" t="s">
        <v>917</v>
      </c>
      <c r="M86" s="17">
        <v>0</v>
      </c>
      <c r="N86" s="17" t="s">
        <v>918</v>
      </c>
      <c r="O86" s="17">
        <v>0</v>
      </c>
      <c r="P86" s="17" t="s">
        <v>919</v>
      </c>
      <c r="Q86" s="17">
        <v>0</v>
      </c>
      <c r="R86">
        <f>_xlfn.XLOOKUP($B86, 'Detail&lt;Child&gt;'!$A:$A, 'Detail&lt;Child&gt;'!$L:$L)</f>
        <v>3</v>
      </c>
    </row>
    <row r="87" spans="1:18" x14ac:dyDescent="0.3">
      <c r="A87" s="17">
        <f t="shared" si="24"/>
        <v>1000005104</v>
      </c>
      <c r="B87" s="17">
        <v>10000051</v>
      </c>
      <c r="C87" s="17" t="str">
        <f>_xlfn.XLOOKUP(B87,'Detail&lt;Child&gt;'!A:A,'Detail&lt;Child&gt;'!B:B)</f>
        <v>프레이</v>
      </c>
      <c r="D87" s="17" t="str">
        <f t="shared" si="25"/>
        <v>character_gradeup_10000051_4</v>
      </c>
      <c r="E87" s="17" t="s">
        <v>923</v>
      </c>
      <c r="F87" s="17">
        <f t="shared" si="26"/>
        <v>30030051</v>
      </c>
      <c r="G87" s="17">
        <f>VLOOKUP($R87, '#등급업 재료 개수'!$A$2:$K$5, MATCH(GradeUp!H87, '#등급업 재료 개수'!$A$2:$K$2, 0), FALSE)</f>
        <v>2</v>
      </c>
      <c r="H87" s="17">
        <v>4</v>
      </c>
      <c r="I87" s="17">
        <v>40</v>
      </c>
      <c r="J87" s="17" t="s">
        <v>32</v>
      </c>
      <c r="K87" s="17">
        <f>_xlfn.IFNA(VLOOKUP($B87, 'Detail&lt;Child&gt;'!$A:$AT, MATCH(J87, 'Detail&lt;Child&gt;'!$3:$3,0 ), FALSE)+INT($H87/12), 0)</f>
        <v>43005101</v>
      </c>
      <c r="L87" s="17" t="s">
        <v>917</v>
      </c>
      <c r="M87" s="17">
        <v>10000</v>
      </c>
      <c r="N87" s="17" t="s">
        <v>918</v>
      </c>
      <c r="O87" s="17">
        <v>10000</v>
      </c>
      <c r="P87" s="17" t="s">
        <v>919</v>
      </c>
      <c r="Q87" s="17">
        <v>10000</v>
      </c>
      <c r="R87">
        <f>_xlfn.XLOOKUP($B87, 'Detail&lt;Child&gt;'!$A:$A, 'Detail&lt;Child&gt;'!$L:$L)</f>
        <v>3</v>
      </c>
    </row>
    <row r="88" spans="1:18" x14ac:dyDescent="0.3">
      <c r="A88" s="17">
        <f t="shared" si="24"/>
        <v>1000005105</v>
      </c>
      <c r="B88" s="17">
        <v>10000051</v>
      </c>
      <c r="C88" s="17" t="str">
        <f>_xlfn.XLOOKUP(B88,'Detail&lt;Child&gt;'!A:A,'Detail&lt;Child&gt;'!B:B)</f>
        <v>프레이</v>
      </c>
      <c r="D88" s="17" t="str">
        <f t="shared" si="25"/>
        <v>character_gradeup_10000051_5</v>
      </c>
      <c r="E88" s="17" t="s">
        <v>923</v>
      </c>
      <c r="F88" s="17">
        <f t="shared" si="26"/>
        <v>30030051</v>
      </c>
      <c r="G88" s="17">
        <f>VLOOKUP($R88, '#등급업 재료 개수'!$A$2:$K$5, MATCH(GradeUp!H88, '#등급업 재료 개수'!$A$2:$K$2, 0), FALSE)</f>
        <v>4</v>
      </c>
      <c r="H88" s="17">
        <v>5</v>
      </c>
      <c r="I88" s="17">
        <v>50</v>
      </c>
      <c r="J88" s="17" t="s">
        <v>30</v>
      </c>
      <c r="K88" s="17">
        <f>_xlfn.IFNA(VLOOKUP($B88, 'Detail&lt;Child&gt;'!$A:$AT, MATCH(J88, 'Detail&lt;Child&gt;'!$3:$3,0 ), FALSE)+INT($H88/12), 0)+1</f>
        <v>23005102</v>
      </c>
      <c r="L88" s="17" t="s">
        <v>917</v>
      </c>
      <c r="M88" s="17">
        <f t="shared" ref="M88:M93" si="30">M87+10000</f>
        <v>20000</v>
      </c>
      <c r="N88" s="17" t="s">
        <v>918</v>
      </c>
      <c r="O88" s="17">
        <f t="shared" ref="O88:O93" si="31">O87+10000</f>
        <v>20000</v>
      </c>
      <c r="P88" s="17" t="s">
        <v>919</v>
      </c>
      <c r="Q88" s="17">
        <f t="shared" ref="Q88:Q93" si="32">Q87+10000</f>
        <v>20000</v>
      </c>
      <c r="R88">
        <f>_xlfn.XLOOKUP($B88, 'Detail&lt;Child&gt;'!$A:$A, 'Detail&lt;Child&gt;'!$L:$L)</f>
        <v>3</v>
      </c>
    </row>
    <row r="89" spans="1:18" x14ac:dyDescent="0.3">
      <c r="A89" s="17">
        <f t="shared" si="24"/>
        <v>1000005106</v>
      </c>
      <c r="B89" s="17">
        <v>10000051</v>
      </c>
      <c r="C89" s="17" t="str">
        <f>_xlfn.XLOOKUP(B89,'Detail&lt;Child&gt;'!A:A,'Detail&lt;Child&gt;'!B:B)</f>
        <v>프레이</v>
      </c>
      <c r="D89" s="17" t="str">
        <f t="shared" si="25"/>
        <v>character_gradeup_10000051_6</v>
      </c>
      <c r="E89" s="17" t="s">
        <v>923</v>
      </c>
      <c r="F89" s="17">
        <f t="shared" si="26"/>
        <v>30030051</v>
      </c>
      <c r="G89" s="17">
        <f>VLOOKUP($R89, '#등급업 재료 개수'!$A$2:$K$5, MATCH(GradeUp!H89, '#등급업 재료 개수'!$A$2:$K$2, 0), FALSE)</f>
        <v>6</v>
      </c>
      <c r="H89" s="17">
        <v>6</v>
      </c>
      <c r="I89" s="17">
        <v>60</v>
      </c>
      <c r="J89" s="17">
        <v>0</v>
      </c>
      <c r="K89" s="17">
        <v>0</v>
      </c>
      <c r="L89" s="17" t="s">
        <v>917</v>
      </c>
      <c r="M89" s="17">
        <f t="shared" si="30"/>
        <v>30000</v>
      </c>
      <c r="N89" s="17" t="s">
        <v>918</v>
      </c>
      <c r="O89" s="17">
        <f t="shared" si="31"/>
        <v>30000</v>
      </c>
      <c r="P89" s="17" t="s">
        <v>919</v>
      </c>
      <c r="Q89" s="17">
        <f t="shared" si="32"/>
        <v>30000</v>
      </c>
      <c r="R89">
        <f>_xlfn.XLOOKUP($B89, 'Detail&lt;Child&gt;'!$A:$A, 'Detail&lt;Child&gt;'!$L:$L)</f>
        <v>3</v>
      </c>
    </row>
    <row r="90" spans="1:18" x14ac:dyDescent="0.3">
      <c r="A90" s="17">
        <f t="shared" si="24"/>
        <v>1000005107</v>
      </c>
      <c r="B90" s="17">
        <v>10000051</v>
      </c>
      <c r="C90" s="17" t="str">
        <f>_xlfn.XLOOKUP(B90,'Detail&lt;Child&gt;'!A:A,'Detail&lt;Child&gt;'!B:B)</f>
        <v>프레이</v>
      </c>
      <c r="D90" s="17" t="str">
        <f t="shared" si="25"/>
        <v>character_gradeup_10000051_7</v>
      </c>
      <c r="E90" s="17" t="s">
        <v>923</v>
      </c>
      <c r="F90" s="17">
        <f t="shared" si="26"/>
        <v>30030051</v>
      </c>
      <c r="G90" s="17">
        <f>VLOOKUP($R90, '#등급업 재료 개수'!$A$2:$K$5, MATCH(GradeUp!H90, '#등급업 재료 개수'!$A$2:$K$2, 0), FALSE)</f>
        <v>8</v>
      </c>
      <c r="H90" s="17">
        <v>7</v>
      </c>
      <c r="I90" s="17">
        <v>70</v>
      </c>
      <c r="J90" s="17" t="s">
        <v>32</v>
      </c>
      <c r="K90" s="17">
        <f>_xlfn.IFNA(VLOOKUP($B90, 'Detail&lt;Child&gt;'!$A:$AT, MATCH(J90, 'Detail&lt;Child&gt;'!$3:$3,0 ), FALSE)+INT($H90/12), 0)+1</f>
        <v>43005102</v>
      </c>
      <c r="L90" s="17" t="s">
        <v>917</v>
      </c>
      <c r="M90" s="17">
        <f t="shared" si="30"/>
        <v>40000</v>
      </c>
      <c r="N90" s="17" t="s">
        <v>918</v>
      </c>
      <c r="O90" s="17">
        <f t="shared" si="31"/>
        <v>40000</v>
      </c>
      <c r="P90" s="17" t="s">
        <v>919</v>
      </c>
      <c r="Q90" s="17">
        <f t="shared" si="32"/>
        <v>40000</v>
      </c>
      <c r="R90">
        <f>_xlfn.XLOOKUP($B90, 'Detail&lt;Child&gt;'!$A:$A, 'Detail&lt;Child&gt;'!$L:$L)</f>
        <v>3</v>
      </c>
    </row>
    <row r="91" spans="1:18" x14ac:dyDescent="0.3">
      <c r="A91" s="17">
        <f t="shared" si="24"/>
        <v>1000005108</v>
      </c>
      <c r="B91" s="17">
        <v>10000051</v>
      </c>
      <c r="C91" s="17" t="str">
        <f>_xlfn.XLOOKUP(B91,'Detail&lt;Child&gt;'!A:A,'Detail&lt;Child&gt;'!B:B)</f>
        <v>프레이</v>
      </c>
      <c r="D91" s="17" t="str">
        <f t="shared" si="25"/>
        <v>character_gradeup_10000051_8</v>
      </c>
      <c r="E91" s="17" t="s">
        <v>923</v>
      </c>
      <c r="F91" s="17">
        <f t="shared" si="26"/>
        <v>30030051</v>
      </c>
      <c r="G91" s="17">
        <f>VLOOKUP($R91, '#등급업 재료 개수'!$A$2:$K$5, MATCH(GradeUp!H91, '#등급업 재료 개수'!$A$2:$K$2, 0), FALSE)</f>
        <v>10</v>
      </c>
      <c r="H91" s="17">
        <v>8</v>
      </c>
      <c r="I91" s="17">
        <v>80</v>
      </c>
      <c r="J91" s="17">
        <v>0</v>
      </c>
      <c r="K91" s="17">
        <v>0</v>
      </c>
      <c r="L91" s="17" t="s">
        <v>917</v>
      </c>
      <c r="M91" s="17">
        <f t="shared" si="30"/>
        <v>50000</v>
      </c>
      <c r="N91" s="17" t="s">
        <v>918</v>
      </c>
      <c r="O91" s="17">
        <f t="shared" si="31"/>
        <v>50000</v>
      </c>
      <c r="P91" s="17" t="s">
        <v>919</v>
      </c>
      <c r="Q91" s="17">
        <f t="shared" si="32"/>
        <v>50000</v>
      </c>
      <c r="R91">
        <f>_xlfn.XLOOKUP($B91, 'Detail&lt;Child&gt;'!$A:$A, 'Detail&lt;Child&gt;'!$L:$L)</f>
        <v>3</v>
      </c>
    </row>
    <row r="92" spans="1:18" x14ac:dyDescent="0.3">
      <c r="A92" s="17">
        <f t="shared" si="24"/>
        <v>1000005109</v>
      </c>
      <c r="B92" s="17">
        <v>10000051</v>
      </c>
      <c r="C92" s="17" t="str">
        <f>_xlfn.XLOOKUP(B92,'Detail&lt;Child&gt;'!A:A,'Detail&lt;Child&gt;'!B:B)</f>
        <v>프레이</v>
      </c>
      <c r="D92" s="17" t="str">
        <f t="shared" si="25"/>
        <v>character_gradeup_10000051_9</v>
      </c>
      <c r="E92" s="17" t="s">
        <v>923</v>
      </c>
      <c r="F92" s="17">
        <f t="shared" si="26"/>
        <v>30030051</v>
      </c>
      <c r="G92" s="17">
        <f>VLOOKUP($R92, '#등급업 재료 개수'!$A$2:$K$5, MATCH(GradeUp!H92, '#등급업 재료 개수'!$A$2:$K$2, 0), FALSE)</f>
        <v>12</v>
      </c>
      <c r="H92" s="17">
        <v>9</v>
      </c>
      <c r="I92" s="17">
        <v>90</v>
      </c>
      <c r="J92" s="17" t="s">
        <v>31</v>
      </c>
      <c r="K92" s="17">
        <f>_xlfn.IFNA(VLOOKUP($B92, 'Detail&lt;Child&gt;'!$A:$AT, MATCH(J92, 'Detail&lt;Child&gt;'!$3:$3,0 ), FALSE)+INT($H92/12), 0)+1</f>
        <v>33005102</v>
      </c>
      <c r="L92" s="17" t="s">
        <v>917</v>
      </c>
      <c r="M92" s="17">
        <f t="shared" si="30"/>
        <v>60000</v>
      </c>
      <c r="N92" s="17" t="s">
        <v>918</v>
      </c>
      <c r="O92" s="17">
        <f t="shared" si="31"/>
        <v>60000</v>
      </c>
      <c r="P92" s="17" t="s">
        <v>919</v>
      </c>
      <c r="Q92" s="17">
        <f t="shared" si="32"/>
        <v>60000</v>
      </c>
      <c r="R92">
        <f>_xlfn.XLOOKUP($B92, 'Detail&lt;Child&gt;'!$A:$A, 'Detail&lt;Child&gt;'!$L:$L)</f>
        <v>3</v>
      </c>
    </row>
    <row r="93" spans="1:18" x14ac:dyDescent="0.3">
      <c r="A93" s="17">
        <f t="shared" si="24"/>
        <v>1000005110</v>
      </c>
      <c r="B93" s="17">
        <v>10000051</v>
      </c>
      <c r="C93" s="17" t="str">
        <f>_xlfn.XLOOKUP(B93,'Detail&lt;Child&gt;'!A:A,'Detail&lt;Child&gt;'!B:B)</f>
        <v>프레이</v>
      </c>
      <c r="D93" s="17" t="str">
        <f t="shared" si="25"/>
        <v>character_gradeup_10000051_10</v>
      </c>
      <c r="E93" s="17" t="s">
        <v>923</v>
      </c>
      <c r="F93" s="17">
        <f t="shared" si="26"/>
        <v>30030051</v>
      </c>
      <c r="G93" s="17">
        <f>VLOOKUP($R93, '#등급업 재료 개수'!$A$2:$K$5, MATCH(GradeUp!H93, '#등급업 재료 개수'!$A$2:$K$2, 0), FALSE)</f>
        <v>999</v>
      </c>
      <c r="H93" s="17">
        <v>10</v>
      </c>
      <c r="I93" s="17">
        <v>100</v>
      </c>
      <c r="J93" s="17">
        <v>0</v>
      </c>
      <c r="K93" s="17">
        <v>0</v>
      </c>
      <c r="L93" s="17" t="s">
        <v>917</v>
      </c>
      <c r="M93" s="17">
        <f t="shared" si="30"/>
        <v>70000</v>
      </c>
      <c r="N93" s="17" t="s">
        <v>918</v>
      </c>
      <c r="O93" s="17">
        <f t="shared" si="31"/>
        <v>70000</v>
      </c>
      <c r="P93" s="17" t="s">
        <v>919</v>
      </c>
      <c r="Q93" s="17">
        <f t="shared" si="32"/>
        <v>70000</v>
      </c>
      <c r="R93">
        <f>_xlfn.XLOOKUP($B93, 'Detail&lt;Child&gt;'!$A:$A, 'Detail&lt;Child&gt;'!$L:$L)</f>
        <v>3</v>
      </c>
    </row>
    <row r="94" spans="1:18" x14ac:dyDescent="0.3">
      <c r="A94" s="17">
        <f t="shared" si="24"/>
        <v>1000036401</v>
      </c>
      <c r="B94" s="17">
        <v>10000364</v>
      </c>
      <c r="C94" s="17" t="str">
        <f>_xlfn.XLOOKUP(B94,'Detail&lt;Child&gt;'!A:A,'Detail&lt;Child&gt;'!B:B)</f>
        <v>시트리</v>
      </c>
      <c r="D94" s="17" t="str">
        <f t="shared" si="25"/>
        <v>character_gradeup_10000364_1</v>
      </c>
      <c r="E94" s="17" t="s">
        <v>923</v>
      </c>
      <c r="F94" s="17">
        <f t="shared" si="26"/>
        <v>30030364</v>
      </c>
      <c r="G94" s="17">
        <f>VLOOKUP($R94, '#등급업 재료 개수'!$A$2:$K$5, MATCH(GradeUp!H94, '#등급업 재료 개수'!$A$2:$K$2, 0), FALSE)</f>
        <v>1</v>
      </c>
      <c r="H94" s="17">
        <v>1</v>
      </c>
      <c r="I94" s="17">
        <v>10</v>
      </c>
      <c r="J94" s="17">
        <v>0</v>
      </c>
      <c r="K94" s="17">
        <v>0</v>
      </c>
      <c r="L94" s="17" t="s">
        <v>917</v>
      </c>
      <c r="M94" s="17">
        <v>0</v>
      </c>
      <c r="N94" s="17" t="s">
        <v>918</v>
      </c>
      <c r="O94" s="17">
        <v>0</v>
      </c>
      <c r="P94" s="17" t="s">
        <v>919</v>
      </c>
      <c r="Q94" s="17">
        <v>0</v>
      </c>
      <c r="R94">
        <f>_xlfn.XLOOKUP($B94, 'Detail&lt;Child&gt;'!$A:$A, 'Detail&lt;Child&gt;'!$L:$L)</f>
        <v>3</v>
      </c>
    </row>
    <row r="95" spans="1:18" x14ac:dyDescent="0.3">
      <c r="A95" s="17">
        <f t="shared" si="24"/>
        <v>1000036402</v>
      </c>
      <c r="B95" s="17">
        <v>10000364</v>
      </c>
      <c r="C95" s="17" t="str">
        <f>_xlfn.XLOOKUP(B95,'Detail&lt;Child&gt;'!A:A,'Detail&lt;Child&gt;'!B:B)</f>
        <v>시트리</v>
      </c>
      <c r="D95" s="17" t="str">
        <f t="shared" si="25"/>
        <v>character_gradeup_10000364_2</v>
      </c>
      <c r="E95" s="17" t="s">
        <v>923</v>
      </c>
      <c r="F95" s="17">
        <f t="shared" si="26"/>
        <v>30030364</v>
      </c>
      <c r="G95" s="17">
        <f>VLOOKUP($R95, '#등급업 재료 개수'!$A$2:$K$5, MATCH(GradeUp!H95, '#등급업 재료 개수'!$A$2:$K$2, 0), FALSE)</f>
        <v>1</v>
      </c>
      <c r="H95" s="17">
        <v>2</v>
      </c>
      <c r="I95" s="17">
        <v>20</v>
      </c>
      <c r="J95" s="17" t="s">
        <v>30</v>
      </c>
      <c r="K95" s="17">
        <f>_xlfn.IFNA(VLOOKUP($B95, 'Detail&lt;Child&gt;'!$A:$AT, MATCH(J95, 'Detail&lt;Child&gt;'!$3:$3,0 ), FALSE)+INT($H95/12), 0)</f>
        <v>23036401</v>
      </c>
      <c r="L95" s="17" t="s">
        <v>917</v>
      </c>
      <c r="M95" s="17">
        <v>0</v>
      </c>
      <c r="N95" s="17" t="s">
        <v>918</v>
      </c>
      <c r="O95" s="17">
        <v>0</v>
      </c>
      <c r="P95" s="17" t="s">
        <v>919</v>
      </c>
      <c r="Q95" s="17">
        <v>0</v>
      </c>
      <c r="R95">
        <f>_xlfn.XLOOKUP($B95, 'Detail&lt;Child&gt;'!$A:$A, 'Detail&lt;Child&gt;'!$L:$L)</f>
        <v>3</v>
      </c>
    </row>
    <row r="96" spans="1:18" x14ac:dyDescent="0.3">
      <c r="A96" s="17">
        <f t="shared" si="24"/>
        <v>1000036403</v>
      </c>
      <c r="B96" s="17">
        <v>10000364</v>
      </c>
      <c r="C96" s="17" t="str">
        <f>_xlfn.XLOOKUP(B96,'Detail&lt;Child&gt;'!A:A,'Detail&lt;Child&gt;'!B:B)</f>
        <v>시트리</v>
      </c>
      <c r="D96" s="17" t="str">
        <f t="shared" si="25"/>
        <v>character_gradeup_10000364_3</v>
      </c>
      <c r="E96" s="17" t="s">
        <v>923</v>
      </c>
      <c r="F96" s="17">
        <f t="shared" si="26"/>
        <v>30030364</v>
      </c>
      <c r="G96" s="17">
        <f>VLOOKUP($R96, '#등급업 재료 개수'!$A$2:$K$5, MATCH(GradeUp!H96, '#등급업 재료 개수'!$A$2:$K$2, 0), FALSE)</f>
        <v>1</v>
      </c>
      <c r="H96" s="17">
        <v>3</v>
      </c>
      <c r="I96" s="17">
        <v>30</v>
      </c>
      <c r="J96" s="17">
        <v>0</v>
      </c>
      <c r="K96" s="17">
        <v>0</v>
      </c>
      <c r="L96" s="17" t="s">
        <v>917</v>
      </c>
      <c r="M96" s="17">
        <v>0</v>
      </c>
      <c r="N96" s="17" t="s">
        <v>918</v>
      </c>
      <c r="O96" s="17">
        <v>0</v>
      </c>
      <c r="P96" s="17" t="s">
        <v>919</v>
      </c>
      <c r="Q96" s="17">
        <v>0</v>
      </c>
      <c r="R96">
        <f>_xlfn.XLOOKUP($B96, 'Detail&lt;Child&gt;'!$A:$A, 'Detail&lt;Child&gt;'!$L:$L)</f>
        <v>3</v>
      </c>
    </row>
    <row r="97" spans="1:18" x14ac:dyDescent="0.3">
      <c r="A97" s="17">
        <f t="shared" si="24"/>
        <v>1000036404</v>
      </c>
      <c r="B97" s="17">
        <v>10000364</v>
      </c>
      <c r="C97" s="17" t="str">
        <f>_xlfn.XLOOKUP(B97,'Detail&lt;Child&gt;'!A:A,'Detail&lt;Child&gt;'!B:B)</f>
        <v>시트리</v>
      </c>
      <c r="D97" s="17" t="str">
        <f t="shared" si="25"/>
        <v>character_gradeup_10000364_4</v>
      </c>
      <c r="E97" s="17" t="s">
        <v>923</v>
      </c>
      <c r="F97" s="17">
        <f t="shared" si="26"/>
        <v>30030364</v>
      </c>
      <c r="G97" s="17">
        <f>VLOOKUP($R97, '#등급업 재료 개수'!$A$2:$K$5, MATCH(GradeUp!H97, '#등급업 재료 개수'!$A$2:$K$2, 0), FALSE)</f>
        <v>2</v>
      </c>
      <c r="H97" s="17">
        <v>4</v>
      </c>
      <c r="I97" s="17">
        <v>40</v>
      </c>
      <c r="J97" s="17" t="s">
        <v>32</v>
      </c>
      <c r="K97" s="17">
        <f>_xlfn.IFNA(VLOOKUP($B97, 'Detail&lt;Child&gt;'!$A:$AT, MATCH(J97, 'Detail&lt;Child&gt;'!$3:$3,0 ), FALSE)+INT($H97/12), 0)</f>
        <v>43036401</v>
      </c>
      <c r="L97" s="17" t="s">
        <v>917</v>
      </c>
      <c r="M97" s="17">
        <v>10000</v>
      </c>
      <c r="N97" s="17" t="s">
        <v>918</v>
      </c>
      <c r="O97" s="17">
        <v>10000</v>
      </c>
      <c r="P97" s="17" t="s">
        <v>919</v>
      </c>
      <c r="Q97" s="17">
        <v>10000</v>
      </c>
      <c r="R97">
        <f>_xlfn.XLOOKUP($B97, 'Detail&lt;Child&gt;'!$A:$A, 'Detail&lt;Child&gt;'!$L:$L)</f>
        <v>3</v>
      </c>
    </row>
    <row r="98" spans="1:18" x14ac:dyDescent="0.3">
      <c r="A98" s="17">
        <f t="shared" si="24"/>
        <v>1000036405</v>
      </c>
      <c r="B98" s="17">
        <v>10000364</v>
      </c>
      <c r="C98" s="17" t="str">
        <f>_xlfn.XLOOKUP(B98,'Detail&lt;Child&gt;'!A:A,'Detail&lt;Child&gt;'!B:B)</f>
        <v>시트리</v>
      </c>
      <c r="D98" s="17" t="str">
        <f t="shared" si="25"/>
        <v>character_gradeup_10000364_5</v>
      </c>
      <c r="E98" s="17" t="s">
        <v>923</v>
      </c>
      <c r="F98" s="17">
        <f t="shared" si="26"/>
        <v>30030364</v>
      </c>
      <c r="G98" s="17">
        <f>VLOOKUP($R98, '#등급업 재료 개수'!$A$2:$K$5, MATCH(GradeUp!H98, '#등급업 재료 개수'!$A$2:$K$2, 0), FALSE)</f>
        <v>4</v>
      </c>
      <c r="H98" s="17">
        <v>5</v>
      </c>
      <c r="I98" s="17">
        <v>50</v>
      </c>
      <c r="J98" s="17" t="s">
        <v>30</v>
      </c>
      <c r="K98" s="17">
        <f>_xlfn.IFNA(VLOOKUP($B98, 'Detail&lt;Child&gt;'!$A:$AT, MATCH(J98, 'Detail&lt;Child&gt;'!$3:$3,0 ), FALSE)+INT($H98/12), 0)+1</f>
        <v>23036402</v>
      </c>
      <c r="L98" s="17" t="s">
        <v>917</v>
      </c>
      <c r="M98" s="17">
        <f t="shared" ref="M98:M103" si="33">M97+10000</f>
        <v>20000</v>
      </c>
      <c r="N98" s="17" t="s">
        <v>918</v>
      </c>
      <c r="O98" s="17">
        <f t="shared" ref="O98:O103" si="34">O97+10000</f>
        <v>20000</v>
      </c>
      <c r="P98" s="17" t="s">
        <v>919</v>
      </c>
      <c r="Q98" s="17">
        <f t="shared" ref="Q98:Q103" si="35">Q97+10000</f>
        <v>20000</v>
      </c>
      <c r="R98">
        <f>_xlfn.XLOOKUP($B98, 'Detail&lt;Child&gt;'!$A:$A, 'Detail&lt;Child&gt;'!$L:$L)</f>
        <v>3</v>
      </c>
    </row>
    <row r="99" spans="1:18" x14ac:dyDescent="0.3">
      <c r="A99" s="17">
        <f t="shared" si="24"/>
        <v>1000036406</v>
      </c>
      <c r="B99" s="17">
        <v>10000364</v>
      </c>
      <c r="C99" s="17" t="str">
        <f>_xlfn.XLOOKUP(B99,'Detail&lt;Child&gt;'!A:A,'Detail&lt;Child&gt;'!B:B)</f>
        <v>시트리</v>
      </c>
      <c r="D99" s="17" t="str">
        <f t="shared" si="25"/>
        <v>character_gradeup_10000364_6</v>
      </c>
      <c r="E99" s="17" t="s">
        <v>923</v>
      </c>
      <c r="F99" s="17">
        <f t="shared" si="26"/>
        <v>30030364</v>
      </c>
      <c r="G99" s="17">
        <f>VLOOKUP($R99, '#등급업 재료 개수'!$A$2:$K$5, MATCH(GradeUp!H99, '#등급업 재료 개수'!$A$2:$K$2, 0), FALSE)</f>
        <v>6</v>
      </c>
      <c r="H99" s="17">
        <v>6</v>
      </c>
      <c r="I99" s="17">
        <v>60</v>
      </c>
      <c r="J99" s="17">
        <v>0</v>
      </c>
      <c r="K99" s="17">
        <v>0</v>
      </c>
      <c r="L99" s="17" t="s">
        <v>917</v>
      </c>
      <c r="M99" s="17">
        <f t="shared" si="33"/>
        <v>30000</v>
      </c>
      <c r="N99" s="17" t="s">
        <v>918</v>
      </c>
      <c r="O99" s="17">
        <f t="shared" si="34"/>
        <v>30000</v>
      </c>
      <c r="P99" s="17" t="s">
        <v>919</v>
      </c>
      <c r="Q99" s="17">
        <f t="shared" si="35"/>
        <v>30000</v>
      </c>
      <c r="R99">
        <f>_xlfn.XLOOKUP($B99, 'Detail&lt;Child&gt;'!$A:$A, 'Detail&lt;Child&gt;'!$L:$L)</f>
        <v>3</v>
      </c>
    </row>
    <row r="100" spans="1:18" x14ac:dyDescent="0.3">
      <c r="A100" s="17">
        <f t="shared" si="24"/>
        <v>1000036407</v>
      </c>
      <c r="B100" s="17">
        <v>10000364</v>
      </c>
      <c r="C100" s="17" t="str">
        <f>_xlfn.XLOOKUP(B100,'Detail&lt;Child&gt;'!A:A,'Detail&lt;Child&gt;'!B:B)</f>
        <v>시트리</v>
      </c>
      <c r="D100" s="17" t="str">
        <f t="shared" si="25"/>
        <v>character_gradeup_10000364_7</v>
      </c>
      <c r="E100" s="17" t="s">
        <v>923</v>
      </c>
      <c r="F100" s="17">
        <f t="shared" si="26"/>
        <v>30030364</v>
      </c>
      <c r="G100" s="17">
        <f>VLOOKUP($R100, '#등급업 재료 개수'!$A$2:$K$5, MATCH(GradeUp!H100, '#등급업 재료 개수'!$A$2:$K$2, 0), FALSE)</f>
        <v>8</v>
      </c>
      <c r="H100" s="17">
        <v>7</v>
      </c>
      <c r="I100" s="17">
        <v>70</v>
      </c>
      <c r="J100" s="17" t="s">
        <v>32</v>
      </c>
      <c r="K100" s="17">
        <f>_xlfn.IFNA(VLOOKUP($B100, 'Detail&lt;Child&gt;'!$A:$AT, MATCH(J100, 'Detail&lt;Child&gt;'!$3:$3,0 ), FALSE)+INT($H100/12), 0)+1</f>
        <v>43036402</v>
      </c>
      <c r="L100" s="17" t="s">
        <v>917</v>
      </c>
      <c r="M100" s="17">
        <f t="shared" si="33"/>
        <v>40000</v>
      </c>
      <c r="N100" s="17" t="s">
        <v>918</v>
      </c>
      <c r="O100" s="17">
        <f t="shared" si="34"/>
        <v>40000</v>
      </c>
      <c r="P100" s="17" t="s">
        <v>919</v>
      </c>
      <c r="Q100" s="17">
        <f t="shared" si="35"/>
        <v>40000</v>
      </c>
      <c r="R100">
        <f>_xlfn.XLOOKUP($B100, 'Detail&lt;Child&gt;'!$A:$A, 'Detail&lt;Child&gt;'!$L:$L)</f>
        <v>3</v>
      </c>
    </row>
    <row r="101" spans="1:18" x14ac:dyDescent="0.3">
      <c r="A101" s="17">
        <f t="shared" si="24"/>
        <v>1000036408</v>
      </c>
      <c r="B101" s="17">
        <v>10000364</v>
      </c>
      <c r="C101" s="17" t="str">
        <f>_xlfn.XLOOKUP(B101,'Detail&lt;Child&gt;'!A:A,'Detail&lt;Child&gt;'!B:B)</f>
        <v>시트리</v>
      </c>
      <c r="D101" s="17" t="str">
        <f t="shared" si="25"/>
        <v>character_gradeup_10000364_8</v>
      </c>
      <c r="E101" s="17" t="s">
        <v>923</v>
      </c>
      <c r="F101" s="17">
        <f t="shared" si="26"/>
        <v>30030364</v>
      </c>
      <c r="G101" s="17">
        <f>VLOOKUP($R101, '#등급업 재료 개수'!$A$2:$K$5, MATCH(GradeUp!H101, '#등급업 재료 개수'!$A$2:$K$2, 0), FALSE)</f>
        <v>10</v>
      </c>
      <c r="H101" s="17">
        <v>8</v>
      </c>
      <c r="I101" s="17">
        <v>80</v>
      </c>
      <c r="J101" s="17">
        <v>0</v>
      </c>
      <c r="K101" s="17">
        <v>0</v>
      </c>
      <c r="L101" s="17" t="s">
        <v>917</v>
      </c>
      <c r="M101" s="17">
        <f t="shared" si="33"/>
        <v>50000</v>
      </c>
      <c r="N101" s="17" t="s">
        <v>918</v>
      </c>
      <c r="O101" s="17">
        <f t="shared" si="34"/>
        <v>50000</v>
      </c>
      <c r="P101" s="17" t="s">
        <v>919</v>
      </c>
      <c r="Q101" s="17">
        <f t="shared" si="35"/>
        <v>50000</v>
      </c>
      <c r="R101">
        <f>_xlfn.XLOOKUP($B101, 'Detail&lt;Child&gt;'!$A:$A, 'Detail&lt;Child&gt;'!$L:$L)</f>
        <v>3</v>
      </c>
    </row>
    <row r="102" spans="1:18" x14ac:dyDescent="0.3">
      <c r="A102" s="17">
        <f t="shared" si="24"/>
        <v>1000036409</v>
      </c>
      <c r="B102" s="17">
        <v>10000364</v>
      </c>
      <c r="C102" s="17" t="str">
        <f>_xlfn.XLOOKUP(B102,'Detail&lt;Child&gt;'!A:A,'Detail&lt;Child&gt;'!B:B)</f>
        <v>시트리</v>
      </c>
      <c r="D102" s="17" t="str">
        <f t="shared" si="25"/>
        <v>character_gradeup_10000364_9</v>
      </c>
      <c r="E102" s="17" t="s">
        <v>923</v>
      </c>
      <c r="F102" s="17">
        <f t="shared" si="26"/>
        <v>30030364</v>
      </c>
      <c r="G102" s="17">
        <f>VLOOKUP($R102, '#등급업 재료 개수'!$A$2:$K$5, MATCH(GradeUp!H102, '#등급업 재료 개수'!$A$2:$K$2, 0), FALSE)</f>
        <v>12</v>
      </c>
      <c r="H102" s="17">
        <v>9</v>
      </c>
      <c r="I102" s="17">
        <v>90</v>
      </c>
      <c r="J102" s="17" t="s">
        <v>31</v>
      </c>
      <c r="K102" s="17">
        <f>_xlfn.IFNA(VLOOKUP($B102, 'Detail&lt;Child&gt;'!$A:$AT, MATCH(J102, 'Detail&lt;Child&gt;'!$3:$3,0 ), FALSE)+INT($H102/12), 0)+1</f>
        <v>33036402</v>
      </c>
      <c r="L102" s="17" t="s">
        <v>917</v>
      </c>
      <c r="M102" s="17">
        <f t="shared" si="33"/>
        <v>60000</v>
      </c>
      <c r="N102" s="17" t="s">
        <v>918</v>
      </c>
      <c r="O102" s="17">
        <f t="shared" si="34"/>
        <v>60000</v>
      </c>
      <c r="P102" s="17" t="s">
        <v>919</v>
      </c>
      <c r="Q102" s="17">
        <f t="shared" si="35"/>
        <v>60000</v>
      </c>
      <c r="R102">
        <f>_xlfn.XLOOKUP($B102, 'Detail&lt;Child&gt;'!$A:$A, 'Detail&lt;Child&gt;'!$L:$L)</f>
        <v>3</v>
      </c>
    </row>
    <row r="103" spans="1:18" x14ac:dyDescent="0.3">
      <c r="A103" s="17">
        <f t="shared" si="24"/>
        <v>1000036410</v>
      </c>
      <c r="B103" s="17">
        <v>10000364</v>
      </c>
      <c r="C103" s="17" t="str">
        <f>_xlfn.XLOOKUP(B103,'Detail&lt;Child&gt;'!A:A,'Detail&lt;Child&gt;'!B:B)</f>
        <v>시트리</v>
      </c>
      <c r="D103" s="17" t="str">
        <f t="shared" si="25"/>
        <v>character_gradeup_10000364_10</v>
      </c>
      <c r="E103" s="17" t="s">
        <v>923</v>
      </c>
      <c r="F103" s="17">
        <f t="shared" si="26"/>
        <v>30030364</v>
      </c>
      <c r="G103" s="17">
        <f>VLOOKUP($R103, '#등급업 재료 개수'!$A$2:$K$5, MATCH(GradeUp!H103, '#등급업 재료 개수'!$A$2:$K$2, 0), FALSE)</f>
        <v>999</v>
      </c>
      <c r="H103" s="17">
        <v>10</v>
      </c>
      <c r="I103" s="17">
        <v>100</v>
      </c>
      <c r="J103" s="17">
        <v>0</v>
      </c>
      <c r="K103" s="17">
        <v>0</v>
      </c>
      <c r="L103" s="17" t="s">
        <v>917</v>
      </c>
      <c r="M103" s="17">
        <f t="shared" si="33"/>
        <v>70000</v>
      </c>
      <c r="N103" s="17" t="s">
        <v>918</v>
      </c>
      <c r="O103" s="17">
        <f t="shared" si="34"/>
        <v>70000</v>
      </c>
      <c r="P103" s="17" t="s">
        <v>919</v>
      </c>
      <c r="Q103" s="17">
        <f t="shared" si="35"/>
        <v>70000</v>
      </c>
      <c r="R103">
        <f>_xlfn.XLOOKUP($B103, 'Detail&lt;Child&gt;'!$A:$A, 'Detail&lt;Child&gt;'!$L:$L)</f>
        <v>3</v>
      </c>
    </row>
    <row r="104" spans="1:18" x14ac:dyDescent="0.3">
      <c r="A104" s="17">
        <f t="shared" si="24"/>
        <v>1000000201</v>
      </c>
      <c r="B104" s="17">
        <v>10000002</v>
      </c>
      <c r="C104" s="17" t="str">
        <f>_xlfn.XLOOKUP(B104,'Detail&lt;Child&gt;'!A:A,'Detail&lt;Child&gt;'!B:B)</f>
        <v>리자</v>
      </c>
      <c r="D104" s="17" t="str">
        <f t="shared" si="25"/>
        <v>character_gradeup_10000002_1</v>
      </c>
      <c r="E104" s="17" t="s">
        <v>923</v>
      </c>
      <c r="F104" s="17">
        <f t="shared" si="26"/>
        <v>30030002</v>
      </c>
      <c r="G104" s="17">
        <f>VLOOKUP($R104, '#등급업 재료 개수'!$A$2:$K$5, MATCH(GradeUp!H104, '#등급업 재료 개수'!$A$2:$K$2, 0), FALSE)</f>
        <v>1</v>
      </c>
      <c r="H104" s="17">
        <v>1</v>
      </c>
      <c r="I104" s="17">
        <v>10</v>
      </c>
      <c r="J104" s="17">
        <v>0</v>
      </c>
      <c r="K104" s="17">
        <v>0</v>
      </c>
      <c r="L104" s="17" t="s">
        <v>917</v>
      </c>
      <c r="M104" s="17">
        <v>0</v>
      </c>
      <c r="N104" s="17" t="s">
        <v>918</v>
      </c>
      <c r="O104" s="17">
        <v>0</v>
      </c>
      <c r="P104" s="17" t="s">
        <v>919</v>
      </c>
      <c r="Q104" s="17">
        <v>0</v>
      </c>
      <c r="R104">
        <f>_xlfn.XLOOKUP($B104, 'Detail&lt;Child&gt;'!$A:$A, 'Detail&lt;Child&gt;'!$L:$L)</f>
        <v>2</v>
      </c>
    </row>
    <row r="105" spans="1:18" x14ac:dyDescent="0.3">
      <c r="A105" s="17">
        <f t="shared" si="24"/>
        <v>1000000202</v>
      </c>
      <c r="B105" s="17">
        <v>10000002</v>
      </c>
      <c r="C105" s="17" t="str">
        <f>_xlfn.XLOOKUP(B105,'Detail&lt;Child&gt;'!A:A,'Detail&lt;Child&gt;'!B:B)</f>
        <v>리자</v>
      </c>
      <c r="D105" s="17" t="str">
        <f t="shared" si="25"/>
        <v>character_gradeup_10000002_2</v>
      </c>
      <c r="E105" s="17" t="s">
        <v>923</v>
      </c>
      <c r="F105" s="17">
        <f t="shared" si="26"/>
        <v>30030002</v>
      </c>
      <c r="G105" s="17">
        <f>VLOOKUP($R105, '#등급업 재료 개수'!$A$2:$K$5, MATCH(GradeUp!H105, '#등급업 재료 개수'!$A$2:$K$2, 0), FALSE)</f>
        <v>2</v>
      </c>
      <c r="H105" s="17">
        <v>2</v>
      </c>
      <c r="I105" s="17">
        <v>20</v>
      </c>
      <c r="J105" s="17" t="s">
        <v>30</v>
      </c>
      <c r="K105" s="17">
        <f>_xlfn.IFNA(VLOOKUP($B105, 'Detail&lt;Child&gt;'!$A:$AT, MATCH(J105, 'Detail&lt;Child&gt;'!$3:$3,0 ), FALSE)+INT($H105/12), 0)</f>
        <v>22000201</v>
      </c>
      <c r="L105" s="17" t="s">
        <v>917</v>
      </c>
      <c r="M105" s="17">
        <v>10000</v>
      </c>
      <c r="N105" s="17" t="s">
        <v>918</v>
      </c>
      <c r="O105" s="17">
        <v>10000</v>
      </c>
      <c r="P105" s="17" t="s">
        <v>919</v>
      </c>
      <c r="Q105" s="17">
        <v>10000</v>
      </c>
      <c r="R105">
        <f>_xlfn.XLOOKUP($B105, 'Detail&lt;Child&gt;'!$A:$A, 'Detail&lt;Child&gt;'!$L:$L)</f>
        <v>2</v>
      </c>
    </row>
    <row r="106" spans="1:18" x14ac:dyDescent="0.3">
      <c r="A106" s="17">
        <f t="shared" si="24"/>
        <v>1000000203</v>
      </c>
      <c r="B106" s="17">
        <v>10000002</v>
      </c>
      <c r="C106" s="17" t="str">
        <f>_xlfn.XLOOKUP(B106,'Detail&lt;Child&gt;'!A:A,'Detail&lt;Child&gt;'!B:B)</f>
        <v>리자</v>
      </c>
      <c r="D106" s="17" t="str">
        <f t="shared" si="25"/>
        <v>character_gradeup_10000002_3</v>
      </c>
      <c r="E106" s="17" t="s">
        <v>923</v>
      </c>
      <c r="F106" s="17">
        <f t="shared" si="26"/>
        <v>30030002</v>
      </c>
      <c r="G106" s="17">
        <f>VLOOKUP($R106, '#등급업 재료 개수'!$A$2:$K$5, MATCH(GradeUp!H106, '#등급업 재료 개수'!$A$2:$K$2, 0), FALSE)</f>
        <v>4</v>
      </c>
      <c r="H106" s="17">
        <v>3</v>
      </c>
      <c r="I106" s="17">
        <v>30</v>
      </c>
      <c r="J106" s="17">
        <v>0</v>
      </c>
      <c r="K106" s="17">
        <v>0</v>
      </c>
      <c r="L106" s="17" t="s">
        <v>917</v>
      </c>
      <c r="M106" s="17">
        <f t="shared" ref="M106:M113" si="36">M105+10000</f>
        <v>20000</v>
      </c>
      <c r="N106" s="17" t="s">
        <v>918</v>
      </c>
      <c r="O106" s="17">
        <f t="shared" ref="O106:O113" si="37">O105+10000</f>
        <v>20000</v>
      </c>
      <c r="P106" s="17" t="s">
        <v>919</v>
      </c>
      <c r="Q106" s="17">
        <f t="shared" ref="Q106:Q113" si="38">Q105+10000</f>
        <v>20000</v>
      </c>
      <c r="R106">
        <f>_xlfn.XLOOKUP($B106, 'Detail&lt;Child&gt;'!$A:$A, 'Detail&lt;Child&gt;'!$L:$L)</f>
        <v>2</v>
      </c>
    </row>
    <row r="107" spans="1:18" x14ac:dyDescent="0.3">
      <c r="A107" s="17">
        <f t="shared" si="24"/>
        <v>1000000204</v>
      </c>
      <c r="B107" s="17">
        <v>10000002</v>
      </c>
      <c r="C107" s="17" t="str">
        <f>_xlfn.XLOOKUP(B107,'Detail&lt;Child&gt;'!A:A,'Detail&lt;Child&gt;'!B:B)</f>
        <v>리자</v>
      </c>
      <c r="D107" s="17" t="str">
        <f t="shared" si="25"/>
        <v>character_gradeup_10000002_4</v>
      </c>
      <c r="E107" s="17" t="s">
        <v>923</v>
      </c>
      <c r="F107" s="17">
        <f t="shared" si="26"/>
        <v>30030002</v>
      </c>
      <c r="G107" s="17">
        <f>VLOOKUP($R107, '#등급업 재료 개수'!$A$2:$K$5, MATCH(GradeUp!H107, '#등급업 재료 개수'!$A$2:$K$2, 0), FALSE)</f>
        <v>8</v>
      </c>
      <c r="H107" s="17">
        <v>4</v>
      </c>
      <c r="I107" s="17">
        <v>40</v>
      </c>
      <c r="J107" s="17" t="s">
        <v>32</v>
      </c>
      <c r="K107" s="17">
        <f>_xlfn.IFNA(VLOOKUP($B107, 'Detail&lt;Child&gt;'!$A:$AT, MATCH(J107, 'Detail&lt;Child&gt;'!$3:$3,0 ), FALSE)+INT($H107/12), 0)</f>
        <v>42000201</v>
      </c>
      <c r="L107" s="17" t="s">
        <v>917</v>
      </c>
      <c r="M107" s="17">
        <f t="shared" si="36"/>
        <v>30000</v>
      </c>
      <c r="N107" s="17" t="s">
        <v>918</v>
      </c>
      <c r="O107" s="17">
        <f t="shared" si="37"/>
        <v>30000</v>
      </c>
      <c r="P107" s="17" t="s">
        <v>919</v>
      </c>
      <c r="Q107" s="17">
        <f t="shared" si="38"/>
        <v>30000</v>
      </c>
      <c r="R107">
        <f>_xlfn.XLOOKUP($B107, 'Detail&lt;Child&gt;'!$A:$A, 'Detail&lt;Child&gt;'!$L:$L)</f>
        <v>2</v>
      </c>
    </row>
    <row r="108" spans="1:18" x14ac:dyDescent="0.3">
      <c r="A108" s="17">
        <f t="shared" si="24"/>
        <v>1000000205</v>
      </c>
      <c r="B108" s="17">
        <v>10000002</v>
      </c>
      <c r="C108" s="17" t="str">
        <f>_xlfn.XLOOKUP(B108,'Detail&lt;Child&gt;'!A:A,'Detail&lt;Child&gt;'!B:B)</f>
        <v>리자</v>
      </c>
      <c r="D108" s="17" t="str">
        <f t="shared" si="25"/>
        <v>character_gradeup_10000002_5</v>
      </c>
      <c r="E108" s="17" t="s">
        <v>923</v>
      </c>
      <c r="F108" s="17">
        <f t="shared" si="26"/>
        <v>30030002</v>
      </c>
      <c r="G108" s="17">
        <f>VLOOKUP($R108, '#등급업 재료 개수'!$A$2:$K$5, MATCH(GradeUp!H108, '#등급업 재료 개수'!$A$2:$K$2, 0), FALSE)</f>
        <v>12</v>
      </c>
      <c r="H108" s="17">
        <v>5</v>
      </c>
      <c r="I108" s="17">
        <v>50</v>
      </c>
      <c r="J108" s="17" t="s">
        <v>30</v>
      </c>
      <c r="K108" s="17">
        <f>_xlfn.IFNA(VLOOKUP($B108, 'Detail&lt;Child&gt;'!$A:$AT, MATCH(J108, 'Detail&lt;Child&gt;'!$3:$3,0 ), FALSE)+INT($H108/12), 0)+1</f>
        <v>22000202</v>
      </c>
      <c r="L108" s="17" t="s">
        <v>917</v>
      </c>
      <c r="M108" s="17">
        <f t="shared" si="36"/>
        <v>40000</v>
      </c>
      <c r="N108" s="17" t="s">
        <v>918</v>
      </c>
      <c r="O108" s="17">
        <f t="shared" si="37"/>
        <v>40000</v>
      </c>
      <c r="P108" s="17" t="s">
        <v>919</v>
      </c>
      <c r="Q108" s="17">
        <f t="shared" si="38"/>
        <v>40000</v>
      </c>
      <c r="R108">
        <f>_xlfn.XLOOKUP($B108, 'Detail&lt;Child&gt;'!$A:$A, 'Detail&lt;Child&gt;'!$L:$L)</f>
        <v>2</v>
      </c>
    </row>
    <row r="109" spans="1:18" x14ac:dyDescent="0.3">
      <c r="A109" s="17">
        <f t="shared" si="24"/>
        <v>1000000206</v>
      </c>
      <c r="B109" s="17">
        <v>10000002</v>
      </c>
      <c r="C109" s="17" t="str">
        <f>_xlfn.XLOOKUP(B109,'Detail&lt;Child&gt;'!A:A,'Detail&lt;Child&gt;'!B:B)</f>
        <v>리자</v>
      </c>
      <c r="D109" s="17" t="str">
        <f t="shared" si="25"/>
        <v>character_gradeup_10000002_6</v>
      </c>
      <c r="E109" s="17" t="s">
        <v>923</v>
      </c>
      <c r="F109" s="17">
        <f t="shared" si="26"/>
        <v>30030002</v>
      </c>
      <c r="G109" s="17">
        <f>VLOOKUP($R109, '#등급업 재료 개수'!$A$2:$K$5, MATCH(GradeUp!H109, '#등급업 재료 개수'!$A$2:$K$2, 0), FALSE)</f>
        <v>16</v>
      </c>
      <c r="H109" s="17">
        <v>6</v>
      </c>
      <c r="I109" s="17">
        <v>60</v>
      </c>
      <c r="J109" s="17">
        <v>0</v>
      </c>
      <c r="K109" s="17">
        <v>0</v>
      </c>
      <c r="L109" s="17" t="s">
        <v>917</v>
      </c>
      <c r="M109" s="17">
        <f t="shared" si="36"/>
        <v>50000</v>
      </c>
      <c r="N109" s="17" t="s">
        <v>918</v>
      </c>
      <c r="O109" s="17">
        <f t="shared" si="37"/>
        <v>50000</v>
      </c>
      <c r="P109" s="17" t="s">
        <v>919</v>
      </c>
      <c r="Q109" s="17">
        <f t="shared" si="38"/>
        <v>50000</v>
      </c>
      <c r="R109">
        <f>_xlfn.XLOOKUP($B109, 'Detail&lt;Child&gt;'!$A:$A, 'Detail&lt;Child&gt;'!$L:$L)</f>
        <v>2</v>
      </c>
    </row>
    <row r="110" spans="1:18" x14ac:dyDescent="0.3">
      <c r="A110" s="17">
        <f t="shared" si="24"/>
        <v>1000000207</v>
      </c>
      <c r="B110" s="17">
        <v>10000002</v>
      </c>
      <c r="C110" s="17" t="str">
        <f>_xlfn.XLOOKUP(B110,'Detail&lt;Child&gt;'!A:A,'Detail&lt;Child&gt;'!B:B)</f>
        <v>리자</v>
      </c>
      <c r="D110" s="17" t="str">
        <f t="shared" si="25"/>
        <v>character_gradeup_10000002_7</v>
      </c>
      <c r="E110" s="17" t="s">
        <v>923</v>
      </c>
      <c r="F110" s="17">
        <f t="shared" si="26"/>
        <v>30030002</v>
      </c>
      <c r="G110" s="17">
        <f>VLOOKUP($R110, '#등급업 재료 개수'!$A$2:$K$5, MATCH(GradeUp!H110, '#등급업 재료 개수'!$A$2:$K$2, 0), FALSE)</f>
        <v>20</v>
      </c>
      <c r="H110" s="17">
        <v>7</v>
      </c>
      <c r="I110" s="17">
        <v>70</v>
      </c>
      <c r="J110" s="17" t="s">
        <v>32</v>
      </c>
      <c r="K110" s="17">
        <f>_xlfn.IFNA(VLOOKUP($B110, 'Detail&lt;Child&gt;'!$A:$AT, MATCH(J110, 'Detail&lt;Child&gt;'!$3:$3,0 ), FALSE)+INT($H110/12), 0)+1</f>
        <v>42000202</v>
      </c>
      <c r="L110" s="17" t="s">
        <v>917</v>
      </c>
      <c r="M110" s="17">
        <f t="shared" si="36"/>
        <v>60000</v>
      </c>
      <c r="N110" s="17" t="s">
        <v>918</v>
      </c>
      <c r="O110" s="17">
        <f t="shared" si="37"/>
        <v>60000</v>
      </c>
      <c r="P110" s="17" t="s">
        <v>919</v>
      </c>
      <c r="Q110" s="17">
        <f t="shared" si="38"/>
        <v>60000</v>
      </c>
      <c r="R110">
        <f>_xlfn.XLOOKUP($B110, 'Detail&lt;Child&gt;'!$A:$A, 'Detail&lt;Child&gt;'!$L:$L)</f>
        <v>2</v>
      </c>
    </row>
    <row r="111" spans="1:18" x14ac:dyDescent="0.3">
      <c r="A111" s="17">
        <f t="shared" si="24"/>
        <v>1000000208</v>
      </c>
      <c r="B111" s="17">
        <v>10000002</v>
      </c>
      <c r="C111" s="17" t="str">
        <f>_xlfn.XLOOKUP(B111,'Detail&lt;Child&gt;'!A:A,'Detail&lt;Child&gt;'!B:B)</f>
        <v>리자</v>
      </c>
      <c r="D111" s="17" t="str">
        <f t="shared" si="25"/>
        <v>character_gradeup_10000002_8</v>
      </c>
      <c r="E111" s="17" t="s">
        <v>923</v>
      </c>
      <c r="F111" s="17">
        <f t="shared" si="26"/>
        <v>30030002</v>
      </c>
      <c r="G111" s="17">
        <f>VLOOKUP($R111, '#등급업 재료 개수'!$A$2:$K$5, MATCH(GradeUp!H111, '#등급업 재료 개수'!$A$2:$K$2, 0), FALSE)</f>
        <v>24</v>
      </c>
      <c r="H111" s="17">
        <v>8</v>
      </c>
      <c r="I111" s="17">
        <v>80</v>
      </c>
      <c r="J111" s="17">
        <v>0</v>
      </c>
      <c r="K111" s="17">
        <v>0</v>
      </c>
      <c r="L111" s="17" t="s">
        <v>917</v>
      </c>
      <c r="M111" s="17">
        <f t="shared" si="36"/>
        <v>70000</v>
      </c>
      <c r="N111" s="17" t="s">
        <v>918</v>
      </c>
      <c r="O111" s="17">
        <f t="shared" si="37"/>
        <v>70000</v>
      </c>
      <c r="P111" s="17" t="s">
        <v>919</v>
      </c>
      <c r="Q111" s="17">
        <f t="shared" si="38"/>
        <v>70000</v>
      </c>
      <c r="R111">
        <f>_xlfn.XLOOKUP($B111, 'Detail&lt;Child&gt;'!$A:$A, 'Detail&lt;Child&gt;'!$L:$L)</f>
        <v>2</v>
      </c>
    </row>
    <row r="112" spans="1:18" x14ac:dyDescent="0.3">
      <c r="A112" s="17">
        <f t="shared" si="24"/>
        <v>1000000209</v>
      </c>
      <c r="B112" s="17">
        <v>10000002</v>
      </c>
      <c r="C112" s="17" t="str">
        <f>_xlfn.XLOOKUP(B112,'Detail&lt;Child&gt;'!A:A,'Detail&lt;Child&gt;'!B:B)</f>
        <v>리자</v>
      </c>
      <c r="D112" s="17" t="str">
        <f t="shared" si="25"/>
        <v>character_gradeup_10000002_9</v>
      </c>
      <c r="E112" s="17" t="s">
        <v>923</v>
      </c>
      <c r="F112" s="17">
        <f t="shared" si="26"/>
        <v>30030002</v>
      </c>
      <c r="G112" s="17">
        <f>VLOOKUP($R112, '#등급업 재료 개수'!$A$2:$K$5, MATCH(GradeUp!H112, '#등급업 재료 개수'!$A$2:$K$2, 0), FALSE)</f>
        <v>28</v>
      </c>
      <c r="H112" s="17">
        <v>9</v>
      </c>
      <c r="I112" s="17">
        <v>90</v>
      </c>
      <c r="J112" s="17" t="s">
        <v>31</v>
      </c>
      <c r="K112" s="17">
        <f>_xlfn.IFNA(VLOOKUP($B112, 'Detail&lt;Child&gt;'!$A:$AT, MATCH(J112, 'Detail&lt;Child&gt;'!$3:$3,0 ), FALSE)+INT($H112/12), 0)+1</f>
        <v>32000202</v>
      </c>
      <c r="L112" s="17" t="s">
        <v>917</v>
      </c>
      <c r="M112" s="17">
        <f t="shared" si="36"/>
        <v>80000</v>
      </c>
      <c r="N112" s="17" t="s">
        <v>918</v>
      </c>
      <c r="O112" s="17">
        <f t="shared" si="37"/>
        <v>80000</v>
      </c>
      <c r="P112" s="17" t="s">
        <v>919</v>
      </c>
      <c r="Q112" s="17">
        <f t="shared" si="38"/>
        <v>80000</v>
      </c>
      <c r="R112">
        <f>_xlfn.XLOOKUP($B112, 'Detail&lt;Child&gt;'!$A:$A, 'Detail&lt;Child&gt;'!$L:$L)</f>
        <v>2</v>
      </c>
    </row>
    <row r="113" spans="1:18" x14ac:dyDescent="0.3">
      <c r="A113" s="17">
        <f t="shared" si="24"/>
        <v>1000000210</v>
      </c>
      <c r="B113" s="17">
        <v>10000002</v>
      </c>
      <c r="C113" s="17" t="str">
        <f>_xlfn.XLOOKUP(B113,'Detail&lt;Child&gt;'!A:A,'Detail&lt;Child&gt;'!B:B)</f>
        <v>리자</v>
      </c>
      <c r="D113" s="17" t="str">
        <f t="shared" si="25"/>
        <v>character_gradeup_10000002_10</v>
      </c>
      <c r="E113" s="17" t="s">
        <v>923</v>
      </c>
      <c r="F113" s="17">
        <f t="shared" si="26"/>
        <v>30030002</v>
      </c>
      <c r="G113" s="17">
        <f>VLOOKUP($R113, '#등급업 재료 개수'!$A$2:$K$5, MATCH(GradeUp!H113, '#등급업 재료 개수'!$A$2:$K$2, 0), FALSE)</f>
        <v>999</v>
      </c>
      <c r="H113" s="17">
        <v>10</v>
      </c>
      <c r="I113" s="17">
        <v>100</v>
      </c>
      <c r="J113" s="17">
        <v>0</v>
      </c>
      <c r="K113" s="17">
        <v>0</v>
      </c>
      <c r="L113" s="17" t="s">
        <v>917</v>
      </c>
      <c r="M113" s="17">
        <f t="shared" si="36"/>
        <v>90000</v>
      </c>
      <c r="N113" s="17" t="s">
        <v>918</v>
      </c>
      <c r="O113" s="17">
        <f t="shared" si="37"/>
        <v>90000</v>
      </c>
      <c r="P113" s="17" t="s">
        <v>919</v>
      </c>
      <c r="Q113" s="17">
        <f t="shared" si="38"/>
        <v>90000</v>
      </c>
      <c r="R113">
        <f>_xlfn.XLOOKUP($B113, 'Detail&lt;Child&gt;'!$A:$A, 'Detail&lt;Child&gt;'!$L:$L)</f>
        <v>2</v>
      </c>
    </row>
    <row r="114" spans="1:18" x14ac:dyDescent="0.3">
      <c r="A114" s="17">
        <f t="shared" si="24"/>
        <v>1000041701</v>
      </c>
      <c r="B114" s="17">
        <v>10000417</v>
      </c>
      <c r="C114" s="17" t="str">
        <f>_xlfn.XLOOKUP(B114,'Detail&lt;Child&gt;'!A:A,'Detail&lt;Child&gt;'!B:B)</f>
        <v>구미호</v>
      </c>
      <c r="D114" s="17" t="str">
        <f t="shared" si="25"/>
        <v>character_gradeup_10000417_1</v>
      </c>
      <c r="E114" s="17" t="s">
        <v>923</v>
      </c>
      <c r="F114" s="17">
        <f t="shared" si="26"/>
        <v>30030417</v>
      </c>
      <c r="G114" s="17">
        <f>VLOOKUP($R114, '#등급업 재료 개수'!$A$2:$K$5, MATCH(GradeUp!H114, '#등급업 재료 개수'!$A$2:$K$2, 0), FALSE)</f>
        <v>1</v>
      </c>
      <c r="H114" s="17">
        <v>1</v>
      </c>
      <c r="I114" s="17">
        <v>10</v>
      </c>
      <c r="J114" s="17">
        <v>0</v>
      </c>
      <c r="K114" s="17">
        <v>0</v>
      </c>
      <c r="L114" s="17" t="s">
        <v>917</v>
      </c>
      <c r="M114" s="17">
        <v>0</v>
      </c>
      <c r="N114" s="17" t="s">
        <v>918</v>
      </c>
      <c r="O114" s="17">
        <v>0</v>
      </c>
      <c r="P114" s="17" t="s">
        <v>919</v>
      </c>
      <c r="Q114" s="17">
        <v>0</v>
      </c>
      <c r="R114">
        <f>_xlfn.XLOOKUP($B114, 'Detail&lt;Child&gt;'!$A:$A, 'Detail&lt;Child&gt;'!$L:$L)</f>
        <v>3</v>
      </c>
    </row>
    <row r="115" spans="1:18" x14ac:dyDescent="0.3">
      <c r="A115" s="17">
        <f t="shared" si="24"/>
        <v>1000041702</v>
      </c>
      <c r="B115" s="17">
        <v>10000417</v>
      </c>
      <c r="C115" s="17" t="str">
        <f>_xlfn.XLOOKUP(B115,'Detail&lt;Child&gt;'!A:A,'Detail&lt;Child&gt;'!B:B)</f>
        <v>구미호</v>
      </c>
      <c r="D115" s="17" t="str">
        <f t="shared" si="25"/>
        <v>character_gradeup_10000417_2</v>
      </c>
      <c r="E115" s="17" t="s">
        <v>923</v>
      </c>
      <c r="F115" s="17">
        <f t="shared" si="26"/>
        <v>30030417</v>
      </c>
      <c r="G115" s="17">
        <f>VLOOKUP($R115, '#등급업 재료 개수'!$A$2:$K$5, MATCH(GradeUp!H115, '#등급업 재료 개수'!$A$2:$K$2, 0), FALSE)</f>
        <v>1</v>
      </c>
      <c r="H115" s="17">
        <v>2</v>
      </c>
      <c r="I115" s="17">
        <v>20</v>
      </c>
      <c r="J115" s="17" t="s">
        <v>30</v>
      </c>
      <c r="K115" s="17">
        <f>_xlfn.IFNA(VLOOKUP($B115, 'Detail&lt;Child&gt;'!$A:$AT, MATCH(J115, 'Detail&lt;Child&gt;'!$3:$3,0 ), FALSE)+INT($H115/12), 0)</f>
        <v>23041701</v>
      </c>
      <c r="L115" s="17" t="s">
        <v>917</v>
      </c>
      <c r="M115" s="17">
        <v>0</v>
      </c>
      <c r="N115" s="17" t="s">
        <v>918</v>
      </c>
      <c r="O115" s="17">
        <v>0</v>
      </c>
      <c r="P115" s="17" t="s">
        <v>919</v>
      </c>
      <c r="Q115" s="17">
        <v>0</v>
      </c>
      <c r="R115">
        <f>_xlfn.XLOOKUP($B115, 'Detail&lt;Child&gt;'!$A:$A, 'Detail&lt;Child&gt;'!$L:$L)</f>
        <v>3</v>
      </c>
    </row>
    <row r="116" spans="1:18" x14ac:dyDescent="0.3">
      <c r="A116" s="17">
        <f t="shared" si="24"/>
        <v>1000041703</v>
      </c>
      <c r="B116" s="17">
        <v>10000417</v>
      </c>
      <c r="C116" s="17" t="str">
        <f>_xlfn.XLOOKUP(B116,'Detail&lt;Child&gt;'!A:A,'Detail&lt;Child&gt;'!B:B)</f>
        <v>구미호</v>
      </c>
      <c r="D116" s="17" t="str">
        <f t="shared" si="25"/>
        <v>character_gradeup_10000417_3</v>
      </c>
      <c r="E116" s="17" t="s">
        <v>923</v>
      </c>
      <c r="F116" s="17">
        <f t="shared" si="26"/>
        <v>30030417</v>
      </c>
      <c r="G116" s="17">
        <f>VLOOKUP($R116, '#등급업 재료 개수'!$A$2:$K$5, MATCH(GradeUp!H116, '#등급업 재료 개수'!$A$2:$K$2, 0), FALSE)</f>
        <v>1</v>
      </c>
      <c r="H116" s="17">
        <v>3</v>
      </c>
      <c r="I116" s="17">
        <v>30</v>
      </c>
      <c r="J116" s="17">
        <v>0</v>
      </c>
      <c r="K116" s="17">
        <v>0</v>
      </c>
      <c r="L116" s="17" t="s">
        <v>917</v>
      </c>
      <c r="M116" s="17">
        <v>0</v>
      </c>
      <c r="N116" s="17" t="s">
        <v>918</v>
      </c>
      <c r="O116" s="17">
        <v>0</v>
      </c>
      <c r="P116" s="17" t="s">
        <v>919</v>
      </c>
      <c r="Q116" s="17">
        <v>0</v>
      </c>
      <c r="R116">
        <f>_xlfn.XLOOKUP($B116, 'Detail&lt;Child&gt;'!$A:$A, 'Detail&lt;Child&gt;'!$L:$L)</f>
        <v>3</v>
      </c>
    </row>
    <row r="117" spans="1:18" x14ac:dyDescent="0.3">
      <c r="A117" s="17">
        <f t="shared" si="24"/>
        <v>1000041704</v>
      </c>
      <c r="B117" s="17">
        <v>10000417</v>
      </c>
      <c r="C117" s="17" t="str">
        <f>_xlfn.XLOOKUP(B117,'Detail&lt;Child&gt;'!A:A,'Detail&lt;Child&gt;'!B:B)</f>
        <v>구미호</v>
      </c>
      <c r="D117" s="17" t="str">
        <f t="shared" si="25"/>
        <v>character_gradeup_10000417_4</v>
      </c>
      <c r="E117" s="17" t="s">
        <v>923</v>
      </c>
      <c r="F117" s="17">
        <f t="shared" si="26"/>
        <v>30030417</v>
      </c>
      <c r="G117" s="17">
        <f>VLOOKUP($R117, '#등급업 재료 개수'!$A$2:$K$5, MATCH(GradeUp!H117, '#등급업 재료 개수'!$A$2:$K$2, 0), FALSE)</f>
        <v>2</v>
      </c>
      <c r="H117" s="17">
        <v>4</v>
      </c>
      <c r="I117" s="17">
        <v>40</v>
      </c>
      <c r="J117" s="17" t="s">
        <v>32</v>
      </c>
      <c r="K117" s="17">
        <f>_xlfn.IFNA(VLOOKUP($B117, 'Detail&lt;Child&gt;'!$A:$AT, MATCH(J117, 'Detail&lt;Child&gt;'!$3:$3,0 ), FALSE)+INT($H117/12), 0)</f>
        <v>43041701</v>
      </c>
      <c r="L117" s="17" t="s">
        <v>917</v>
      </c>
      <c r="M117" s="17">
        <v>10000</v>
      </c>
      <c r="N117" s="17" t="s">
        <v>918</v>
      </c>
      <c r="O117" s="17">
        <v>10000</v>
      </c>
      <c r="P117" s="17" t="s">
        <v>919</v>
      </c>
      <c r="Q117" s="17">
        <v>10000</v>
      </c>
      <c r="R117">
        <f>_xlfn.XLOOKUP($B117, 'Detail&lt;Child&gt;'!$A:$A, 'Detail&lt;Child&gt;'!$L:$L)</f>
        <v>3</v>
      </c>
    </row>
    <row r="118" spans="1:18" x14ac:dyDescent="0.3">
      <c r="A118" s="17">
        <f t="shared" si="24"/>
        <v>1000041705</v>
      </c>
      <c r="B118" s="17">
        <v>10000417</v>
      </c>
      <c r="C118" s="17" t="str">
        <f>_xlfn.XLOOKUP(B118,'Detail&lt;Child&gt;'!A:A,'Detail&lt;Child&gt;'!B:B)</f>
        <v>구미호</v>
      </c>
      <c r="D118" s="17" t="str">
        <f t="shared" si="25"/>
        <v>character_gradeup_10000417_5</v>
      </c>
      <c r="E118" s="17" t="s">
        <v>923</v>
      </c>
      <c r="F118" s="17">
        <f t="shared" si="26"/>
        <v>30030417</v>
      </c>
      <c r="G118" s="17">
        <f>VLOOKUP($R118, '#등급업 재료 개수'!$A$2:$K$5, MATCH(GradeUp!H118, '#등급업 재료 개수'!$A$2:$K$2, 0), FALSE)</f>
        <v>4</v>
      </c>
      <c r="H118" s="17">
        <v>5</v>
      </c>
      <c r="I118" s="17">
        <v>50</v>
      </c>
      <c r="J118" s="17" t="s">
        <v>30</v>
      </c>
      <c r="K118" s="17">
        <f>_xlfn.IFNA(VLOOKUP($B118, 'Detail&lt;Child&gt;'!$A:$AT, MATCH(J118, 'Detail&lt;Child&gt;'!$3:$3,0 ), FALSE)+INT($H118/12), 0)+1</f>
        <v>23041702</v>
      </c>
      <c r="L118" s="17" t="s">
        <v>917</v>
      </c>
      <c r="M118" s="17">
        <f t="shared" ref="M118:M123" si="39">M117+10000</f>
        <v>20000</v>
      </c>
      <c r="N118" s="17" t="s">
        <v>918</v>
      </c>
      <c r="O118" s="17">
        <f t="shared" ref="O118:O123" si="40">O117+10000</f>
        <v>20000</v>
      </c>
      <c r="P118" s="17" t="s">
        <v>919</v>
      </c>
      <c r="Q118" s="17">
        <f t="shared" ref="Q118:Q123" si="41">Q117+10000</f>
        <v>20000</v>
      </c>
      <c r="R118">
        <f>_xlfn.XLOOKUP($B118, 'Detail&lt;Child&gt;'!$A:$A, 'Detail&lt;Child&gt;'!$L:$L)</f>
        <v>3</v>
      </c>
    </row>
    <row r="119" spans="1:18" x14ac:dyDescent="0.3">
      <c r="A119" s="17">
        <f t="shared" si="24"/>
        <v>1000041706</v>
      </c>
      <c r="B119" s="17">
        <v>10000417</v>
      </c>
      <c r="C119" s="17" t="str">
        <f>_xlfn.XLOOKUP(B119,'Detail&lt;Child&gt;'!A:A,'Detail&lt;Child&gt;'!B:B)</f>
        <v>구미호</v>
      </c>
      <c r="D119" s="17" t="str">
        <f t="shared" si="25"/>
        <v>character_gradeup_10000417_6</v>
      </c>
      <c r="E119" s="17" t="s">
        <v>923</v>
      </c>
      <c r="F119" s="17">
        <f t="shared" si="26"/>
        <v>30030417</v>
      </c>
      <c r="G119" s="17">
        <f>VLOOKUP($R119, '#등급업 재료 개수'!$A$2:$K$5, MATCH(GradeUp!H119, '#등급업 재료 개수'!$A$2:$K$2, 0), FALSE)</f>
        <v>6</v>
      </c>
      <c r="H119" s="17">
        <v>6</v>
      </c>
      <c r="I119" s="17">
        <v>60</v>
      </c>
      <c r="J119" s="17">
        <v>0</v>
      </c>
      <c r="K119" s="17">
        <v>0</v>
      </c>
      <c r="L119" s="17" t="s">
        <v>917</v>
      </c>
      <c r="M119" s="17">
        <f t="shared" si="39"/>
        <v>30000</v>
      </c>
      <c r="N119" s="17" t="s">
        <v>918</v>
      </c>
      <c r="O119" s="17">
        <f t="shared" si="40"/>
        <v>30000</v>
      </c>
      <c r="P119" s="17" t="s">
        <v>919</v>
      </c>
      <c r="Q119" s="17">
        <f t="shared" si="41"/>
        <v>30000</v>
      </c>
      <c r="R119">
        <f>_xlfn.XLOOKUP($B119, 'Detail&lt;Child&gt;'!$A:$A, 'Detail&lt;Child&gt;'!$L:$L)</f>
        <v>3</v>
      </c>
    </row>
    <row r="120" spans="1:18" x14ac:dyDescent="0.3">
      <c r="A120" s="17">
        <f t="shared" si="24"/>
        <v>1000041707</v>
      </c>
      <c r="B120" s="17">
        <v>10000417</v>
      </c>
      <c r="C120" s="17" t="str">
        <f>_xlfn.XLOOKUP(B120,'Detail&lt;Child&gt;'!A:A,'Detail&lt;Child&gt;'!B:B)</f>
        <v>구미호</v>
      </c>
      <c r="D120" s="17" t="str">
        <f t="shared" si="25"/>
        <v>character_gradeup_10000417_7</v>
      </c>
      <c r="E120" s="17" t="s">
        <v>923</v>
      </c>
      <c r="F120" s="17">
        <f t="shared" si="26"/>
        <v>30030417</v>
      </c>
      <c r="G120" s="17">
        <f>VLOOKUP($R120, '#등급업 재료 개수'!$A$2:$K$5, MATCH(GradeUp!H120, '#등급업 재료 개수'!$A$2:$K$2, 0), FALSE)</f>
        <v>8</v>
      </c>
      <c r="H120" s="17">
        <v>7</v>
      </c>
      <c r="I120" s="17">
        <v>70</v>
      </c>
      <c r="J120" s="17" t="s">
        <v>32</v>
      </c>
      <c r="K120" s="17">
        <f>_xlfn.IFNA(VLOOKUP($B120, 'Detail&lt;Child&gt;'!$A:$AT, MATCH(J120, 'Detail&lt;Child&gt;'!$3:$3,0 ), FALSE)+INT($H120/12), 0)+1</f>
        <v>43041702</v>
      </c>
      <c r="L120" s="17" t="s">
        <v>917</v>
      </c>
      <c r="M120" s="17">
        <f t="shared" si="39"/>
        <v>40000</v>
      </c>
      <c r="N120" s="17" t="s">
        <v>918</v>
      </c>
      <c r="O120" s="17">
        <f t="shared" si="40"/>
        <v>40000</v>
      </c>
      <c r="P120" s="17" t="s">
        <v>919</v>
      </c>
      <c r="Q120" s="17">
        <f t="shared" si="41"/>
        <v>40000</v>
      </c>
      <c r="R120">
        <f>_xlfn.XLOOKUP($B120, 'Detail&lt;Child&gt;'!$A:$A, 'Detail&lt;Child&gt;'!$L:$L)</f>
        <v>3</v>
      </c>
    </row>
    <row r="121" spans="1:18" x14ac:dyDescent="0.3">
      <c r="A121" s="17">
        <f t="shared" si="24"/>
        <v>1000041708</v>
      </c>
      <c r="B121" s="17">
        <v>10000417</v>
      </c>
      <c r="C121" s="17" t="str">
        <f>_xlfn.XLOOKUP(B121,'Detail&lt;Child&gt;'!A:A,'Detail&lt;Child&gt;'!B:B)</f>
        <v>구미호</v>
      </c>
      <c r="D121" s="17" t="str">
        <f t="shared" si="25"/>
        <v>character_gradeup_10000417_8</v>
      </c>
      <c r="E121" s="17" t="s">
        <v>923</v>
      </c>
      <c r="F121" s="17">
        <f t="shared" si="26"/>
        <v>30030417</v>
      </c>
      <c r="G121" s="17">
        <f>VLOOKUP($R121, '#등급업 재료 개수'!$A$2:$K$5, MATCH(GradeUp!H121, '#등급업 재료 개수'!$A$2:$K$2, 0), FALSE)</f>
        <v>10</v>
      </c>
      <c r="H121" s="17">
        <v>8</v>
      </c>
      <c r="I121" s="17">
        <v>80</v>
      </c>
      <c r="J121" s="17">
        <v>0</v>
      </c>
      <c r="K121" s="17">
        <v>0</v>
      </c>
      <c r="L121" s="17" t="s">
        <v>917</v>
      </c>
      <c r="M121" s="17">
        <f t="shared" si="39"/>
        <v>50000</v>
      </c>
      <c r="N121" s="17" t="s">
        <v>918</v>
      </c>
      <c r="O121" s="17">
        <f t="shared" si="40"/>
        <v>50000</v>
      </c>
      <c r="P121" s="17" t="s">
        <v>919</v>
      </c>
      <c r="Q121" s="17">
        <f t="shared" si="41"/>
        <v>50000</v>
      </c>
      <c r="R121">
        <f>_xlfn.XLOOKUP($B121, 'Detail&lt;Child&gt;'!$A:$A, 'Detail&lt;Child&gt;'!$L:$L)</f>
        <v>3</v>
      </c>
    </row>
    <row r="122" spans="1:18" x14ac:dyDescent="0.3">
      <c r="A122" s="17">
        <f t="shared" si="24"/>
        <v>1000041709</v>
      </c>
      <c r="B122" s="17">
        <v>10000417</v>
      </c>
      <c r="C122" s="17" t="str">
        <f>_xlfn.XLOOKUP(B122,'Detail&lt;Child&gt;'!A:A,'Detail&lt;Child&gt;'!B:B)</f>
        <v>구미호</v>
      </c>
      <c r="D122" s="17" t="str">
        <f t="shared" si="25"/>
        <v>character_gradeup_10000417_9</v>
      </c>
      <c r="E122" s="17" t="s">
        <v>923</v>
      </c>
      <c r="F122" s="17">
        <f t="shared" si="26"/>
        <v>30030417</v>
      </c>
      <c r="G122" s="17">
        <f>VLOOKUP($R122, '#등급업 재료 개수'!$A$2:$K$5, MATCH(GradeUp!H122, '#등급업 재료 개수'!$A$2:$K$2, 0), FALSE)</f>
        <v>12</v>
      </c>
      <c r="H122" s="17">
        <v>9</v>
      </c>
      <c r="I122" s="17">
        <v>90</v>
      </c>
      <c r="J122" s="17" t="s">
        <v>31</v>
      </c>
      <c r="K122" s="17">
        <f>_xlfn.IFNA(VLOOKUP($B122, 'Detail&lt;Child&gt;'!$A:$AT, MATCH(J122, 'Detail&lt;Child&gt;'!$3:$3,0 ), FALSE)+INT($H122/12), 0)+1</f>
        <v>33041702</v>
      </c>
      <c r="L122" s="17" t="s">
        <v>917</v>
      </c>
      <c r="M122" s="17">
        <f t="shared" si="39"/>
        <v>60000</v>
      </c>
      <c r="N122" s="17" t="s">
        <v>918</v>
      </c>
      <c r="O122" s="17">
        <f t="shared" si="40"/>
        <v>60000</v>
      </c>
      <c r="P122" s="17" t="s">
        <v>919</v>
      </c>
      <c r="Q122" s="17">
        <f t="shared" si="41"/>
        <v>60000</v>
      </c>
      <c r="R122">
        <f>_xlfn.XLOOKUP($B122, 'Detail&lt;Child&gt;'!$A:$A, 'Detail&lt;Child&gt;'!$L:$L)</f>
        <v>3</v>
      </c>
    </row>
    <row r="123" spans="1:18" x14ac:dyDescent="0.3">
      <c r="A123" s="17">
        <f t="shared" si="24"/>
        <v>1000041710</v>
      </c>
      <c r="B123" s="17">
        <v>10000417</v>
      </c>
      <c r="C123" s="17" t="str">
        <f>_xlfn.XLOOKUP(B123,'Detail&lt;Child&gt;'!A:A,'Detail&lt;Child&gt;'!B:B)</f>
        <v>구미호</v>
      </c>
      <c r="D123" s="17" t="str">
        <f t="shared" si="25"/>
        <v>character_gradeup_10000417_10</v>
      </c>
      <c r="E123" s="17" t="s">
        <v>923</v>
      </c>
      <c r="F123" s="17">
        <f t="shared" si="26"/>
        <v>30030417</v>
      </c>
      <c r="G123" s="17">
        <f>VLOOKUP($R123, '#등급업 재료 개수'!$A$2:$K$5, MATCH(GradeUp!H123, '#등급업 재료 개수'!$A$2:$K$2, 0), FALSE)</f>
        <v>999</v>
      </c>
      <c r="H123" s="17">
        <v>10</v>
      </c>
      <c r="I123" s="17">
        <v>100</v>
      </c>
      <c r="J123" s="17">
        <v>0</v>
      </c>
      <c r="K123" s="17">
        <v>0</v>
      </c>
      <c r="L123" s="17" t="s">
        <v>917</v>
      </c>
      <c r="M123" s="17">
        <f t="shared" si="39"/>
        <v>70000</v>
      </c>
      <c r="N123" s="17" t="s">
        <v>918</v>
      </c>
      <c r="O123" s="17">
        <f t="shared" si="40"/>
        <v>70000</v>
      </c>
      <c r="P123" s="17" t="s">
        <v>919</v>
      </c>
      <c r="Q123" s="17">
        <f t="shared" si="41"/>
        <v>70000</v>
      </c>
      <c r="R123">
        <f>_xlfn.XLOOKUP($B123, 'Detail&lt;Child&gt;'!$A:$A, 'Detail&lt;Child&gt;'!$L:$L)</f>
        <v>3</v>
      </c>
    </row>
    <row r="124" spans="1:18" x14ac:dyDescent="0.3">
      <c r="A124" s="17">
        <f t="shared" si="24"/>
        <v>1000043201</v>
      </c>
      <c r="B124" s="17">
        <v>10000432</v>
      </c>
      <c r="C124" s="17" t="str">
        <f>_xlfn.XLOOKUP(B124,'Detail&lt;Child&gt;'!A:A,'Detail&lt;Child&gt;'!B:B)</f>
        <v>아르테미스</v>
      </c>
      <c r="D124" s="17" t="str">
        <f t="shared" si="25"/>
        <v>character_gradeup_10000432_1</v>
      </c>
      <c r="E124" s="17" t="s">
        <v>923</v>
      </c>
      <c r="F124" s="17">
        <f t="shared" si="26"/>
        <v>30030432</v>
      </c>
      <c r="G124" s="17">
        <f>VLOOKUP($R124, '#등급업 재료 개수'!$A$2:$K$5, MATCH(GradeUp!H124, '#등급업 재료 개수'!$A$2:$K$2, 0), FALSE)</f>
        <v>1</v>
      </c>
      <c r="H124" s="17">
        <v>1</v>
      </c>
      <c r="I124" s="17">
        <v>10</v>
      </c>
      <c r="J124" s="17">
        <v>0</v>
      </c>
      <c r="K124" s="17">
        <v>0</v>
      </c>
      <c r="L124" s="17" t="s">
        <v>917</v>
      </c>
      <c r="M124" s="17">
        <v>0</v>
      </c>
      <c r="N124" s="17" t="s">
        <v>918</v>
      </c>
      <c r="O124" s="17">
        <v>0</v>
      </c>
      <c r="P124" s="17" t="s">
        <v>919</v>
      </c>
      <c r="Q124" s="17">
        <v>0</v>
      </c>
      <c r="R124">
        <f>_xlfn.XLOOKUP($B124, 'Detail&lt;Child&gt;'!$A:$A, 'Detail&lt;Child&gt;'!$L:$L)</f>
        <v>3</v>
      </c>
    </row>
    <row r="125" spans="1:18" x14ac:dyDescent="0.3">
      <c r="A125" s="17">
        <f t="shared" si="24"/>
        <v>1000043202</v>
      </c>
      <c r="B125" s="17">
        <v>10000432</v>
      </c>
      <c r="C125" s="17" t="str">
        <f>_xlfn.XLOOKUP(B125,'Detail&lt;Child&gt;'!A:A,'Detail&lt;Child&gt;'!B:B)</f>
        <v>아르테미스</v>
      </c>
      <c r="D125" s="17" t="str">
        <f t="shared" si="25"/>
        <v>character_gradeup_10000432_2</v>
      </c>
      <c r="E125" s="17" t="s">
        <v>923</v>
      </c>
      <c r="F125" s="17">
        <f t="shared" si="26"/>
        <v>30030432</v>
      </c>
      <c r="G125" s="17">
        <f>VLOOKUP($R125, '#등급업 재료 개수'!$A$2:$K$5, MATCH(GradeUp!H125, '#등급업 재료 개수'!$A$2:$K$2, 0), FALSE)</f>
        <v>1</v>
      </c>
      <c r="H125" s="17">
        <v>2</v>
      </c>
      <c r="I125" s="17">
        <v>20</v>
      </c>
      <c r="J125" s="17" t="s">
        <v>30</v>
      </c>
      <c r="K125" s="17">
        <f>_xlfn.IFNA(VLOOKUP($B125, 'Detail&lt;Child&gt;'!$A:$AT, MATCH(J125, 'Detail&lt;Child&gt;'!$3:$3,0 ), FALSE)+INT($H125/12), 0)</f>
        <v>23043201</v>
      </c>
      <c r="L125" s="17" t="s">
        <v>917</v>
      </c>
      <c r="M125" s="17">
        <v>0</v>
      </c>
      <c r="N125" s="17" t="s">
        <v>918</v>
      </c>
      <c r="O125" s="17">
        <v>0</v>
      </c>
      <c r="P125" s="17" t="s">
        <v>919</v>
      </c>
      <c r="Q125" s="17">
        <v>0</v>
      </c>
      <c r="R125">
        <f>_xlfn.XLOOKUP($B125, 'Detail&lt;Child&gt;'!$A:$A, 'Detail&lt;Child&gt;'!$L:$L)</f>
        <v>3</v>
      </c>
    </row>
    <row r="126" spans="1:18" x14ac:dyDescent="0.3">
      <c r="A126" s="17">
        <f t="shared" si="24"/>
        <v>1000043203</v>
      </c>
      <c r="B126" s="17">
        <v>10000432</v>
      </c>
      <c r="C126" s="17" t="str">
        <f>_xlfn.XLOOKUP(B126,'Detail&lt;Child&gt;'!A:A,'Detail&lt;Child&gt;'!B:B)</f>
        <v>아르테미스</v>
      </c>
      <c r="D126" s="17" t="str">
        <f t="shared" si="25"/>
        <v>character_gradeup_10000432_3</v>
      </c>
      <c r="E126" s="17" t="s">
        <v>923</v>
      </c>
      <c r="F126" s="17">
        <f t="shared" si="26"/>
        <v>30030432</v>
      </c>
      <c r="G126" s="17">
        <f>VLOOKUP($R126, '#등급업 재료 개수'!$A$2:$K$5, MATCH(GradeUp!H126, '#등급업 재료 개수'!$A$2:$K$2, 0), FALSE)</f>
        <v>1</v>
      </c>
      <c r="H126" s="17">
        <v>3</v>
      </c>
      <c r="I126" s="17">
        <v>30</v>
      </c>
      <c r="J126" s="17">
        <v>0</v>
      </c>
      <c r="K126" s="17">
        <v>0</v>
      </c>
      <c r="L126" s="17" t="s">
        <v>917</v>
      </c>
      <c r="M126" s="17">
        <v>10000</v>
      </c>
      <c r="N126" s="17" t="s">
        <v>918</v>
      </c>
      <c r="O126" s="17">
        <v>10000</v>
      </c>
      <c r="P126" s="17" t="s">
        <v>919</v>
      </c>
      <c r="Q126" s="17">
        <v>10000</v>
      </c>
      <c r="R126">
        <f>_xlfn.XLOOKUP($B126, 'Detail&lt;Child&gt;'!$A:$A, 'Detail&lt;Child&gt;'!$L:$L)</f>
        <v>3</v>
      </c>
    </row>
    <row r="127" spans="1:18" x14ac:dyDescent="0.3">
      <c r="A127" s="17">
        <f t="shared" si="24"/>
        <v>1000043204</v>
      </c>
      <c r="B127" s="17">
        <v>10000432</v>
      </c>
      <c r="C127" s="17" t="str">
        <f>_xlfn.XLOOKUP(B127,'Detail&lt;Child&gt;'!A:A,'Detail&lt;Child&gt;'!B:B)</f>
        <v>아르테미스</v>
      </c>
      <c r="D127" s="17" t="str">
        <f t="shared" si="25"/>
        <v>character_gradeup_10000432_4</v>
      </c>
      <c r="E127" s="17" t="s">
        <v>923</v>
      </c>
      <c r="F127" s="17">
        <f t="shared" si="26"/>
        <v>30030432</v>
      </c>
      <c r="G127" s="17">
        <f>VLOOKUP($R127, '#등급업 재료 개수'!$A$2:$K$5, MATCH(GradeUp!H127, '#등급업 재료 개수'!$A$2:$K$2, 0), FALSE)</f>
        <v>2</v>
      </c>
      <c r="H127" s="17">
        <v>4</v>
      </c>
      <c r="I127" s="17">
        <v>40</v>
      </c>
      <c r="J127" s="17" t="s">
        <v>32</v>
      </c>
      <c r="K127" s="17">
        <f>_xlfn.IFNA(VLOOKUP($B127, 'Detail&lt;Child&gt;'!$A:$AT, MATCH(J127, 'Detail&lt;Child&gt;'!$3:$3,0 ), FALSE)+INT($H127/12), 0)</f>
        <v>43043201</v>
      </c>
      <c r="L127" s="17" t="s">
        <v>917</v>
      </c>
      <c r="M127" s="17">
        <f t="shared" ref="M127:M133" si="42">M126+10000</f>
        <v>20000</v>
      </c>
      <c r="N127" s="17" t="s">
        <v>918</v>
      </c>
      <c r="O127" s="17">
        <f t="shared" ref="O127:O133" si="43">O126+10000</f>
        <v>20000</v>
      </c>
      <c r="P127" s="17" t="s">
        <v>919</v>
      </c>
      <c r="Q127" s="17">
        <f t="shared" ref="Q127:Q133" si="44">Q126+10000</f>
        <v>20000</v>
      </c>
      <c r="R127">
        <f>_xlfn.XLOOKUP($B127, 'Detail&lt;Child&gt;'!$A:$A, 'Detail&lt;Child&gt;'!$L:$L)</f>
        <v>3</v>
      </c>
    </row>
    <row r="128" spans="1:18" x14ac:dyDescent="0.3">
      <c r="A128" s="17">
        <f t="shared" si="24"/>
        <v>1000043205</v>
      </c>
      <c r="B128" s="17">
        <v>10000432</v>
      </c>
      <c r="C128" s="17" t="str">
        <f>_xlfn.XLOOKUP(B128,'Detail&lt;Child&gt;'!A:A,'Detail&lt;Child&gt;'!B:B)</f>
        <v>아르테미스</v>
      </c>
      <c r="D128" s="17" t="str">
        <f t="shared" si="25"/>
        <v>character_gradeup_10000432_5</v>
      </c>
      <c r="E128" s="17" t="s">
        <v>923</v>
      </c>
      <c r="F128" s="17">
        <f t="shared" si="26"/>
        <v>30030432</v>
      </c>
      <c r="G128" s="17">
        <f>VLOOKUP($R128, '#등급업 재료 개수'!$A$2:$K$5, MATCH(GradeUp!H128, '#등급업 재료 개수'!$A$2:$K$2, 0), FALSE)</f>
        <v>4</v>
      </c>
      <c r="H128" s="17">
        <v>5</v>
      </c>
      <c r="I128" s="17">
        <v>50</v>
      </c>
      <c r="J128" s="17" t="s">
        <v>30</v>
      </c>
      <c r="K128" s="17">
        <f>_xlfn.IFNA(VLOOKUP($B128, 'Detail&lt;Child&gt;'!$A:$AT, MATCH(J128, 'Detail&lt;Child&gt;'!$3:$3,0 ), FALSE)+INT($H128/12), 0)+1</f>
        <v>23043202</v>
      </c>
      <c r="L128" s="17" t="s">
        <v>917</v>
      </c>
      <c r="M128" s="17">
        <f t="shared" si="42"/>
        <v>30000</v>
      </c>
      <c r="N128" s="17" t="s">
        <v>918</v>
      </c>
      <c r="O128" s="17">
        <f t="shared" si="43"/>
        <v>30000</v>
      </c>
      <c r="P128" s="17" t="s">
        <v>919</v>
      </c>
      <c r="Q128" s="17">
        <f t="shared" si="44"/>
        <v>30000</v>
      </c>
      <c r="R128">
        <f>_xlfn.XLOOKUP($B128, 'Detail&lt;Child&gt;'!$A:$A, 'Detail&lt;Child&gt;'!$L:$L)</f>
        <v>3</v>
      </c>
    </row>
    <row r="129" spans="1:18" x14ac:dyDescent="0.3">
      <c r="A129" s="17">
        <f t="shared" si="24"/>
        <v>1000043206</v>
      </c>
      <c r="B129" s="17">
        <v>10000432</v>
      </c>
      <c r="C129" s="17" t="str">
        <f>_xlfn.XLOOKUP(B129,'Detail&lt;Child&gt;'!A:A,'Detail&lt;Child&gt;'!B:B)</f>
        <v>아르테미스</v>
      </c>
      <c r="D129" s="17" t="str">
        <f t="shared" si="25"/>
        <v>character_gradeup_10000432_6</v>
      </c>
      <c r="E129" s="17" t="s">
        <v>923</v>
      </c>
      <c r="F129" s="17">
        <f t="shared" si="26"/>
        <v>30030432</v>
      </c>
      <c r="G129" s="17">
        <f>VLOOKUP($R129, '#등급업 재료 개수'!$A$2:$K$5, MATCH(GradeUp!H129, '#등급업 재료 개수'!$A$2:$K$2, 0), FALSE)</f>
        <v>6</v>
      </c>
      <c r="H129" s="17">
        <v>6</v>
      </c>
      <c r="I129" s="17">
        <v>60</v>
      </c>
      <c r="J129" s="17">
        <v>0</v>
      </c>
      <c r="K129" s="17">
        <v>0</v>
      </c>
      <c r="L129" s="17" t="s">
        <v>917</v>
      </c>
      <c r="M129" s="17">
        <f t="shared" si="42"/>
        <v>40000</v>
      </c>
      <c r="N129" s="17" t="s">
        <v>918</v>
      </c>
      <c r="O129" s="17">
        <f t="shared" si="43"/>
        <v>40000</v>
      </c>
      <c r="P129" s="17" t="s">
        <v>919</v>
      </c>
      <c r="Q129" s="17">
        <f t="shared" si="44"/>
        <v>40000</v>
      </c>
      <c r="R129">
        <f>_xlfn.XLOOKUP($B129, 'Detail&lt;Child&gt;'!$A:$A, 'Detail&lt;Child&gt;'!$L:$L)</f>
        <v>3</v>
      </c>
    </row>
    <row r="130" spans="1:18" x14ac:dyDescent="0.3">
      <c r="A130" s="17">
        <f t="shared" si="24"/>
        <v>1000043207</v>
      </c>
      <c r="B130" s="17">
        <v>10000432</v>
      </c>
      <c r="C130" s="17" t="str">
        <f>_xlfn.XLOOKUP(B130,'Detail&lt;Child&gt;'!A:A,'Detail&lt;Child&gt;'!B:B)</f>
        <v>아르테미스</v>
      </c>
      <c r="D130" s="17" t="str">
        <f t="shared" si="25"/>
        <v>character_gradeup_10000432_7</v>
      </c>
      <c r="E130" s="17" t="s">
        <v>923</v>
      </c>
      <c r="F130" s="17">
        <f t="shared" si="26"/>
        <v>30030432</v>
      </c>
      <c r="G130" s="17">
        <f>VLOOKUP($R130, '#등급업 재료 개수'!$A$2:$K$5, MATCH(GradeUp!H130, '#등급업 재료 개수'!$A$2:$K$2, 0), FALSE)</f>
        <v>8</v>
      </c>
      <c r="H130" s="17">
        <v>7</v>
      </c>
      <c r="I130" s="17">
        <v>70</v>
      </c>
      <c r="J130" s="17" t="s">
        <v>32</v>
      </c>
      <c r="K130" s="17">
        <f>_xlfn.IFNA(VLOOKUP($B130, 'Detail&lt;Child&gt;'!$A:$AT, MATCH(J130, 'Detail&lt;Child&gt;'!$3:$3,0 ), FALSE)+INT($H130/12), 0)+1</f>
        <v>43043202</v>
      </c>
      <c r="L130" s="17" t="s">
        <v>917</v>
      </c>
      <c r="M130" s="17">
        <f t="shared" si="42"/>
        <v>50000</v>
      </c>
      <c r="N130" s="17" t="s">
        <v>918</v>
      </c>
      <c r="O130" s="17">
        <f t="shared" si="43"/>
        <v>50000</v>
      </c>
      <c r="P130" s="17" t="s">
        <v>919</v>
      </c>
      <c r="Q130" s="17">
        <f t="shared" si="44"/>
        <v>50000</v>
      </c>
      <c r="R130">
        <f>_xlfn.XLOOKUP($B130, 'Detail&lt;Child&gt;'!$A:$A, 'Detail&lt;Child&gt;'!$L:$L)</f>
        <v>3</v>
      </c>
    </row>
    <row r="131" spans="1:18" x14ac:dyDescent="0.3">
      <c r="A131" s="17">
        <f t="shared" si="24"/>
        <v>1000043208</v>
      </c>
      <c r="B131" s="17">
        <v>10000432</v>
      </c>
      <c r="C131" s="17" t="str">
        <f>_xlfn.XLOOKUP(B131,'Detail&lt;Child&gt;'!A:A,'Detail&lt;Child&gt;'!B:B)</f>
        <v>아르테미스</v>
      </c>
      <c r="D131" s="17" t="str">
        <f t="shared" si="25"/>
        <v>character_gradeup_10000432_8</v>
      </c>
      <c r="E131" s="17" t="s">
        <v>923</v>
      </c>
      <c r="F131" s="17">
        <f t="shared" si="26"/>
        <v>30030432</v>
      </c>
      <c r="G131" s="17">
        <f>VLOOKUP($R131, '#등급업 재료 개수'!$A$2:$K$5, MATCH(GradeUp!H131, '#등급업 재료 개수'!$A$2:$K$2, 0), FALSE)</f>
        <v>10</v>
      </c>
      <c r="H131" s="17">
        <v>8</v>
      </c>
      <c r="I131" s="17">
        <v>80</v>
      </c>
      <c r="J131" s="17">
        <v>0</v>
      </c>
      <c r="K131" s="17">
        <v>0</v>
      </c>
      <c r="L131" s="17" t="s">
        <v>917</v>
      </c>
      <c r="M131" s="17">
        <f t="shared" si="42"/>
        <v>60000</v>
      </c>
      <c r="N131" s="17" t="s">
        <v>918</v>
      </c>
      <c r="O131" s="17">
        <f t="shared" si="43"/>
        <v>60000</v>
      </c>
      <c r="P131" s="17" t="s">
        <v>919</v>
      </c>
      <c r="Q131" s="17">
        <f t="shared" si="44"/>
        <v>60000</v>
      </c>
      <c r="R131">
        <f>_xlfn.XLOOKUP($B131, 'Detail&lt;Child&gt;'!$A:$A, 'Detail&lt;Child&gt;'!$L:$L)</f>
        <v>3</v>
      </c>
    </row>
    <row r="132" spans="1:18" x14ac:dyDescent="0.3">
      <c r="A132" s="17">
        <f t="shared" ref="A132:A195" si="45">B132*100+H132</f>
        <v>1000043209</v>
      </c>
      <c r="B132" s="17">
        <v>10000432</v>
      </c>
      <c r="C132" s="17" t="str">
        <f>_xlfn.XLOOKUP(B132,'Detail&lt;Child&gt;'!A:A,'Detail&lt;Child&gt;'!B:B)</f>
        <v>아르테미스</v>
      </c>
      <c r="D132" s="17" t="str">
        <f t="shared" ref="D132:D195" si="46">"character_gradeup_"&amp;$B132&amp;"_"&amp;$H132</f>
        <v>character_gradeup_10000432_9</v>
      </c>
      <c r="E132" s="17" t="s">
        <v>923</v>
      </c>
      <c r="F132" s="17">
        <f t="shared" ref="F132:F195" si="47">INT(3003&amp;RIGHT(B132,4))</f>
        <v>30030432</v>
      </c>
      <c r="G132" s="17">
        <f>VLOOKUP($R132, '#등급업 재료 개수'!$A$2:$K$5, MATCH(GradeUp!H132, '#등급업 재료 개수'!$A$2:$K$2, 0), FALSE)</f>
        <v>12</v>
      </c>
      <c r="H132" s="17">
        <v>9</v>
      </c>
      <c r="I132" s="17">
        <v>90</v>
      </c>
      <c r="J132" s="17" t="s">
        <v>31</v>
      </c>
      <c r="K132" s="17">
        <f>_xlfn.IFNA(VLOOKUP($B132, 'Detail&lt;Child&gt;'!$A:$AT, MATCH(J132, 'Detail&lt;Child&gt;'!$3:$3,0 ), FALSE)+INT($H132/12), 0)+1</f>
        <v>33043202</v>
      </c>
      <c r="L132" s="17" t="s">
        <v>917</v>
      </c>
      <c r="M132" s="17">
        <f t="shared" si="42"/>
        <v>70000</v>
      </c>
      <c r="N132" s="17" t="s">
        <v>918</v>
      </c>
      <c r="O132" s="17">
        <f t="shared" si="43"/>
        <v>70000</v>
      </c>
      <c r="P132" s="17" t="s">
        <v>919</v>
      </c>
      <c r="Q132" s="17">
        <f t="shared" si="44"/>
        <v>70000</v>
      </c>
      <c r="R132">
        <f>_xlfn.XLOOKUP($B132, 'Detail&lt;Child&gt;'!$A:$A, 'Detail&lt;Child&gt;'!$L:$L)</f>
        <v>3</v>
      </c>
    </row>
    <row r="133" spans="1:18" x14ac:dyDescent="0.3">
      <c r="A133" s="17">
        <f t="shared" si="45"/>
        <v>1000043210</v>
      </c>
      <c r="B133" s="17">
        <v>10000432</v>
      </c>
      <c r="C133" s="17" t="str">
        <f>_xlfn.XLOOKUP(B133,'Detail&lt;Child&gt;'!A:A,'Detail&lt;Child&gt;'!B:B)</f>
        <v>아르테미스</v>
      </c>
      <c r="D133" s="17" t="str">
        <f t="shared" si="46"/>
        <v>character_gradeup_10000432_10</v>
      </c>
      <c r="E133" s="17" t="s">
        <v>923</v>
      </c>
      <c r="F133" s="17">
        <f t="shared" si="47"/>
        <v>30030432</v>
      </c>
      <c r="G133" s="17">
        <f>VLOOKUP($R133, '#등급업 재료 개수'!$A$2:$K$5, MATCH(GradeUp!H133, '#등급업 재료 개수'!$A$2:$K$2, 0), FALSE)</f>
        <v>999</v>
      </c>
      <c r="H133" s="17">
        <v>10</v>
      </c>
      <c r="I133" s="17">
        <v>100</v>
      </c>
      <c r="J133" s="17">
        <v>0</v>
      </c>
      <c r="K133" s="17">
        <v>0</v>
      </c>
      <c r="L133" s="17" t="s">
        <v>917</v>
      </c>
      <c r="M133" s="17">
        <f t="shared" si="42"/>
        <v>80000</v>
      </c>
      <c r="N133" s="17" t="s">
        <v>918</v>
      </c>
      <c r="O133" s="17">
        <f t="shared" si="43"/>
        <v>80000</v>
      </c>
      <c r="P133" s="17" t="s">
        <v>919</v>
      </c>
      <c r="Q133" s="17">
        <f t="shared" si="44"/>
        <v>80000</v>
      </c>
      <c r="R133">
        <f>_xlfn.XLOOKUP($B133, 'Detail&lt;Child&gt;'!$A:$A, 'Detail&lt;Child&gt;'!$L:$L)</f>
        <v>3</v>
      </c>
    </row>
    <row r="134" spans="1:18" x14ac:dyDescent="0.3">
      <c r="A134" s="17">
        <f t="shared" si="45"/>
        <v>1000048601</v>
      </c>
      <c r="B134" s="17">
        <v>10000486</v>
      </c>
      <c r="C134" s="17" t="str">
        <f>_xlfn.XLOOKUP(B134,'Detail&lt;Child&gt;'!A:A,'Detail&lt;Child&gt;'!B:B)</f>
        <v>쿠바바</v>
      </c>
      <c r="D134" s="17" t="str">
        <f t="shared" si="46"/>
        <v>character_gradeup_10000486_1</v>
      </c>
      <c r="E134" s="17" t="s">
        <v>923</v>
      </c>
      <c r="F134" s="17">
        <f t="shared" si="47"/>
        <v>30030486</v>
      </c>
      <c r="G134" s="17">
        <f>VLOOKUP($R134, '#등급업 재료 개수'!$A$2:$K$5, MATCH(GradeUp!H134, '#등급업 재료 개수'!$A$2:$K$2, 0), FALSE)</f>
        <v>1</v>
      </c>
      <c r="H134" s="17">
        <v>1</v>
      </c>
      <c r="I134" s="17">
        <v>10</v>
      </c>
      <c r="J134" s="17">
        <v>0</v>
      </c>
      <c r="K134" s="17">
        <v>0</v>
      </c>
      <c r="L134" s="17" t="s">
        <v>917</v>
      </c>
      <c r="M134" s="17">
        <v>0</v>
      </c>
      <c r="N134" s="17" t="s">
        <v>918</v>
      </c>
      <c r="O134" s="17">
        <v>0</v>
      </c>
      <c r="P134" s="17" t="s">
        <v>919</v>
      </c>
      <c r="Q134" s="17">
        <v>0</v>
      </c>
      <c r="R134">
        <f>_xlfn.XLOOKUP($B134, 'Detail&lt;Child&gt;'!$A:$A, 'Detail&lt;Child&gt;'!$L:$L)</f>
        <v>3</v>
      </c>
    </row>
    <row r="135" spans="1:18" x14ac:dyDescent="0.3">
      <c r="A135" s="17">
        <f t="shared" si="45"/>
        <v>1000048602</v>
      </c>
      <c r="B135" s="17">
        <v>10000486</v>
      </c>
      <c r="C135" s="17" t="str">
        <f>_xlfn.XLOOKUP(B135,'Detail&lt;Child&gt;'!A:A,'Detail&lt;Child&gt;'!B:B)</f>
        <v>쿠바바</v>
      </c>
      <c r="D135" s="17" t="str">
        <f t="shared" si="46"/>
        <v>character_gradeup_10000486_2</v>
      </c>
      <c r="E135" s="17" t="s">
        <v>923</v>
      </c>
      <c r="F135" s="17">
        <f t="shared" si="47"/>
        <v>30030486</v>
      </c>
      <c r="G135" s="17">
        <f>VLOOKUP($R135, '#등급업 재료 개수'!$A$2:$K$5, MATCH(GradeUp!H135, '#등급업 재료 개수'!$A$2:$K$2, 0), FALSE)</f>
        <v>1</v>
      </c>
      <c r="H135" s="17">
        <v>2</v>
      </c>
      <c r="I135" s="17">
        <v>20</v>
      </c>
      <c r="J135" s="17" t="s">
        <v>30</v>
      </c>
      <c r="K135" s="17">
        <f>_xlfn.IFNA(VLOOKUP($B135, 'Detail&lt;Child&gt;'!$A:$AT, MATCH(J135, 'Detail&lt;Child&gt;'!$3:$3,0 ), FALSE)+INT($H135/12), 0)</f>
        <v>23048601</v>
      </c>
      <c r="L135" s="17" t="s">
        <v>917</v>
      </c>
      <c r="M135" s="17">
        <v>0</v>
      </c>
      <c r="N135" s="17" t="s">
        <v>918</v>
      </c>
      <c r="O135" s="17">
        <v>0</v>
      </c>
      <c r="P135" s="17" t="s">
        <v>919</v>
      </c>
      <c r="Q135" s="17">
        <v>0</v>
      </c>
      <c r="R135">
        <f>_xlfn.XLOOKUP($B135, 'Detail&lt;Child&gt;'!$A:$A, 'Detail&lt;Child&gt;'!$L:$L)</f>
        <v>3</v>
      </c>
    </row>
    <row r="136" spans="1:18" x14ac:dyDescent="0.3">
      <c r="A136" s="17">
        <f t="shared" si="45"/>
        <v>1000048603</v>
      </c>
      <c r="B136" s="17">
        <v>10000486</v>
      </c>
      <c r="C136" s="17" t="str">
        <f>_xlfn.XLOOKUP(B136,'Detail&lt;Child&gt;'!A:A,'Detail&lt;Child&gt;'!B:B)</f>
        <v>쿠바바</v>
      </c>
      <c r="D136" s="17" t="str">
        <f t="shared" si="46"/>
        <v>character_gradeup_10000486_3</v>
      </c>
      <c r="E136" s="17" t="s">
        <v>923</v>
      </c>
      <c r="F136" s="17">
        <f t="shared" si="47"/>
        <v>30030486</v>
      </c>
      <c r="G136" s="17">
        <f>VLOOKUP($R136, '#등급업 재료 개수'!$A$2:$K$5, MATCH(GradeUp!H136, '#등급업 재료 개수'!$A$2:$K$2, 0), FALSE)</f>
        <v>1</v>
      </c>
      <c r="H136" s="17">
        <v>3</v>
      </c>
      <c r="I136" s="17">
        <v>30</v>
      </c>
      <c r="J136" s="17">
        <v>0</v>
      </c>
      <c r="K136" s="17">
        <v>0</v>
      </c>
      <c r="L136" s="17" t="s">
        <v>917</v>
      </c>
      <c r="M136" s="17">
        <v>0</v>
      </c>
      <c r="N136" s="17" t="s">
        <v>918</v>
      </c>
      <c r="O136" s="17">
        <v>0</v>
      </c>
      <c r="P136" s="17" t="s">
        <v>919</v>
      </c>
      <c r="Q136" s="17">
        <v>0</v>
      </c>
      <c r="R136">
        <f>_xlfn.XLOOKUP($B136, 'Detail&lt;Child&gt;'!$A:$A, 'Detail&lt;Child&gt;'!$L:$L)</f>
        <v>3</v>
      </c>
    </row>
    <row r="137" spans="1:18" x14ac:dyDescent="0.3">
      <c r="A137" s="17">
        <f t="shared" si="45"/>
        <v>1000048604</v>
      </c>
      <c r="B137" s="17">
        <v>10000486</v>
      </c>
      <c r="C137" s="17" t="str">
        <f>_xlfn.XLOOKUP(B137,'Detail&lt;Child&gt;'!A:A,'Detail&lt;Child&gt;'!B:B)</f>
        <v>쿠바바</v>
      </c>
      <c r="D137" s="17" t="str">
        <f t="shared" si="46"/>
        <v>character_gradeup_10000486_4</v>
      </c>
      <c r="E137" s="17" t="s">
        <v>923</v>
      </c>
      <c r="F137" s="17">
        <f t="shared" si="47"/>
        <v>30030486</v>
      </c>
      <c r="G137" s="17">
        <f>VLOOKUP($R137, '#등급업 재료 개수'!$A$2:$K$5, MATCH(GradeUp!H137, '#등급업 재료 개수'!$A$2:$K$2, 0), FALSE)</f>
        <v>2</v>
      </c>
      <c r="H137" s="17">
        <v>4</v>
      </c>
      <c r="I137" s="17">
        <v>40</v>
      </c>
      <c r="J137" s="17" t="s">
        <v>32</v>
      </c>
      <c r="K137" s="17">
        <f>_xlfn.IFNA(VLOOKUP($B137, 'Detail&lt;Child&gt;'!$A:$AT, MATCH(J137, 'Detail&lt;Child&gt;'!$3:$3,0 ), FALSE)+INT($H137/12), 0)</f>
        <v>43048601</v>
      </c>
      <c r="L137" s="17" t="s">
        <v>917</v>
      </c>
      <c r="M137" s="17">
        <v>10000</v>
      </c>
      <c r="N137" s="17" t="s">
        <v>918</v>
      </c>
      <c r="O137" s="17">
        <v>10000</v>
      </c>
      <c r="P137" s="17" t="s">
        <v>919</v>
      </c>
      <c r="Q137" s="17">
        <v>10000</v>
      </c>
      <c r="R137">
        <f>_xlfn.XLOOKUP($B137, 'Detail&lt;Child&gt;'!$A:$A, 'Detail&lt;Child&gt;'!$L:$L)</f>
        <v>3</v>
      </c>
    </row>
    <row r="138" spans="1:18" x14ac:dyDescent="0.3">
      <c r="A138" s="17">
        <f t="shared" si="45"/>
        <v>1000048605</v>
      </c>
      <c r="B138" s="17">
        <v>10000486</v>
      </c>
      <c r="C138" s="17" t="str">
        <f>_xlfn.XLOOKUP(B138,'Detail&lt;Child&gt;'!A:A,'Detail&lt;Child&gt;'!B:B)</f>
        <v>쿠바바</v>
      </c>
      <c r="D138" s="17" t="str">
        <f t="shared" si="46"/>
        <v>character_gradeup_10000486_5</v>
      </c>
      <c r="E138" s="17" t="s">
        <v>923</v>
      </c>
      <c r="F138" s="17">
        <f t="shared" si="47"/>
        <v>30030486</v>
      </c>
      <c r="G138" s="17">
        <f>VLOOKUP($R138, '#등급업 재료 개수'!$A$2:$K$5, MATCH(GradeUp!H138, '#등급업 재료 개수'!$A$2:$K$2, 0), FALSE)</f>
        <v>4</v>
      </c>
      <c r="H138" s="17">
        <v>5</v>
      </c>
      <c r="I138" s="17">
        <v>50</v>
      </c>
      <c r="J138" s="17" t="s">
        <v>30</v>
      </c>
      <c r="K138" s="17">
        <f>_xlfn.IFNA(VLOOKUP($B138, 'Detail&lt;Child&gt;'!$A:$AT, MATCH(J138, 'Detail&lt;Child&gt;'!$3:$3,0 ), FALSE)+INT($H138/12), 0)+1</f>
        <v>23048602</v>
      </c>
      <c r="L138" s="17" t="s">
        <v>917</v>
      </c>
      <c r="M138" s="17">
        <f t="shared" ref="M138:M143" si="48">M137+10000</f>
        <v>20000</v>
      </c>
      <c r="N138" s="17" t="s">
        <v>918</v>
      </c>
      <c r="O138" s="17">
        <f t="shared" ref="O138:O143" si="49">O137+10000</f>
        <v>20000</v>
      </c>
      <c r="P138" s="17" t="s">
        <v>919</v>
      </c>
      <c r="Q138" s="17">
        <f t="shared" ref="Q138:Q143" si="50">Q137+10000</f>
        <v>20000</v>
      </c>
      <c r="R138">
        <f>_xlfn.XLOOKUP($B138, 'Detail&lt;Child&gt;'!$A:$A, 'Detail&lt;Child&gt;'!$L:$L)</f>
        <v>3</v>
      </c>
    </row>
    <row r="139" spans="1:18" x14ac:dyDescent="0.3">
      <c r="A139" s="17">
        <f t="shared" si="45"/>
        <v>1000048606</v>
      </c>
      <c r="B139" s="17">
        <v>10000486</v>
      </c>
      <c r="C139" s="17" t="str">
        <f>_xlfn.XLOOKUP(B139,'Detail&lt;Child&gt;'!A:A,'Detail&lt;Child&gt;'!B:B)</f>
        <v>쿠바바</v>
      </c>
      <c r="D139" s="17" t="str">
        <f t="shared" si="46"/>
        <v>character_gradeup_10000486_6</v>
      </c>
      <c r="E139" s="17" t="s">
        <v>923</v>
      </c>
      <c r="F139" s="17">
        <f t="shared" si="47"/>
        <v>30030486</v>
      </c>
      <c r="G139" s="17">
        <f>VLOOKUP($R139, '#등급업 재료 개수'!$A$2:$K$5, MATCH(GradeUp!H139, '#등급업 재료 개수'!$A$2:$K$2, 0), FALSE)</f>
        <v>6</v>
      </c>
      <c r="H139" s="17">
        <v>6</v>
      </c>
      <c r="I139" s="17">
        <v>60</v>
      </c>
      <c r="J139" s="17">
        <v>0</v>
      </c>
      <c r="K139" s="17">
        <v>0</v>
      </c>
      <c r="L139" s="17" t="s">
        <v>917</v>
      </c>
      <c r="M139" s="17">
        <f t="shared" si="48"/>
        <v>30000</v>
      </c>
      <c r="N139" s="17" t="s">
        <v>918</v>
      </c>
      <c r="O139" s="17">
        <f t="shared" si="49"/>
        <v>30000</v>
      </c>
      <c r="P139" s="17" t="s">
        <v>919</v>
      </c>
      <c r="Q139" s="17">
        <f t="shared" si="50"/>
        <v>30000</v>
      </c>
      <c r="R139">
        <f>_xlfn.XLOOKUP($B139, 'Detail&lt;Child&gt;'!$A:$A, 'Detail&lt;Child&gt;'!$L:$L)</f>
        <v>3</v>
      </c>
    </row>
    <row r="140" spans="1:18" x14ac:dyDescent="0.3">
      <c r="A140" s="17">
        <f t="shared" si="45"/>
        <v>1000048607</v>
      </c>
      <c r="B140" s="17">
        <v>10000486</v>
      </c>
      <c r="C140" s="17" t="str">
        <f>_xlfn.XLOOKUP(B140,'Detail&lt;Child&gt;'!A:A,'Detail&lt;Child&gt;'!B:B)</f>
        <v>쿠바바</v>
      </c>
      <c r="D140" s="17" t="str">
        <f t="shared" si="46"/>
        <v>character_gradeup_10000486_7</v>
      </c>
      <c r="E140" s="17" t="s">
        <v>923</v>
      </c>
      <c r="F140" s="17">
        <f t="shared" si="47"/>
        <v>30030486</v>
      </c>
      <c r="G140" s="17">
        <f>VLOOKUP($R140, '#등급업 재료 개수'!$A$2:$K$5, MATCH(GradeUp!H140, '#등급업 재료 개수'!$A$2:$K$2, 0), FALSE)</f>
        <v>8</v>
      </c>
      <c r="H140" s="17">
        <v>7</v>
      </c>
      <c r="I140" s="17">
        <v>70</v>
      </c>
      <c r="J140" s="17" t="s">
        <v>32</v>
      </c>
      <c r="K140" s="17">
        <f>_xlfn.IFNA(VLOOKUP($B140, 'Detail&lt;Child&gt;'!$A:$AT, MATCH(J140, 'Detail&lt;Child&gt;'!$3:$3,0 ), FALSE)+INT($H140/12), 0)+1</f>
        <v>43048602</v>
      </c>
      <c r="L140" s="17" t="s">
        <v>917</v>
      </c>
      <c r="M140" s="17">
        <f t="shared" si="48"/>
        <v>40000</v>
      </c>
      <c r="N140" s="17" t="s">
        <v>918</v>
      </c>
      <c r="O140" s="17">
        <f t="shared" si="49"/>
        <v>40000</v>
      </c>
      <c r="P140" s="17" t="s">
        <v>919</v>
      </c>
      <c r="Q140" s="17">
        <f t="shared" si="50"/>
        <v>40000</v>
      </c>
      <c r="R140">
        <f>_xlfn.XLOOKUP($B140, 'Detail&lt;Child&gt;'!$A:$A, 'Detail&lt;Child&gt;'!$L:$L)</f>
        <v>3</v>
      </c>
    </row>
    <row r="141" spans="1:18" x14ac:dyDescent="0.3">
      <c r="A141" s="17">
        <f t="shared" si="45"/>
        <v>1000048608</v>
      </c>
      <c r="B141" s="17">
        <v>10000486</v>
      </c>
      <c r="C141" s="17" t="str">
        <f>_xlfn.XLOOKUP(B141,'Detail&lt;Child&gt;'!A:A,'Detail&lt;Child&gt;'!B:B)</f>
        <v>쿠바바</v>
      </c>
      <c r="D141" s="17" t="str">
        <f t="shared" si="46"/>
        <v>character_gradeup_10000486_8</v>
      </c>
      <c r="E141" s="17" t="s">
        <v>923</v>
      </c>
      <c r="F141" s="17">
        <f t="shared" si="47"/>
        <v>30030486</v>
      </c>
      <c r="G141" s="17">
        <f>VLOOKUP($R141, '#등급업 재료 개수'!$A$2:$K$5, MATCH(GradeUp!H141, '#등급업 재료 개수'!$A$2:$K$2, 0), FALSE)</f>
        <v>10</v>
      </c>
      <c r="H141" s="17">
        <v>8</v>
      </c>
      <c r="I141" s="17">
        <v>80</v>
      </c>
      <c r="J141" s="17">
        <v>0</v>
      </c>
      <c r="K141" s="17">
        <v>0</v>
      </c>
      <c r="L141" s="17" t="s">
        <v>917</v>
      </c>
      <c r="M141" s="17">
        <f t="shared" si="48"/>
        <v>50000</v>
      </c>
      <c r="N141" s="17" t="s">
        <v>918</v>
      </c>
      <c r="O141" s="17">
        <f t="shared" si="49"/>
        <v>50000</v>
      </c>
      <c r="P141" s="17" t="s">
        <v>919</v>
      </c>
      <c r="Q141" s="17">
        <f t="shared" si="50"/>
        <v>50000</v>
      </c>
      <c r="R141">
        <f>_xlfn.XLOOKUP($B141, 'Detail&lt;Child&gt;'!$A:$A, 'Detail&lt;Child&gt;'!$L:$L)</f>
        <v>3</v>
      </c>
    </row>
    <row r="142" spans="1:18" x14ac:dyDescent="0.3">
      <c r="A142" s="17">
        <f t="shared" si="45"/>
        <v>1000048609</v>
      </c>
      <c r="B142" s="17">
        <v>10000486</v>
      </c>
      <c r="C142" s="17" t="str">
        <f>_xlfn.XLOOKUP(B142,'Detail&lt;Child&gt;'!A:A,'Detail&lt;Child&gt;'!B:B)</f>
        <v>쿠바바</v>
      </c>
      <c r="D142" s="17" t="str">
        <f t="shared" si="46"/>
        <v>character_gradeup_10000486_9</v>
      </c>
      <c r="E142" s="17" t="s">
        <v>923</v>
      </c>
      <c r="F142" s="17">
        <f t="shared" si="47"/>
        <v>30030486</v>
      </c>
      <c r="G142" s="17">
        <f>VLOOKUP($R142, '#등급업 재료 개수'!$A$2:$K$5, MATCH(GradeUp!H142, '#등급업 재료 개수'!$A$2:$K$2, 0), FALSE)</f>
        <v>12</v>
      </c>
      <c r="H142" s="17">
        <v>9</v>
      </c>
      <c r="I142" s="17">
        <v>90</v>
      </c>
      <c r="J142" s="17" t="s">
        <v>31</v>
      </c>
      <c r="K142" s="17">
        <f>_xlfn.IFNA(VLOOKUP($B142, 'Detail&lt;Child&gt;'!$A:$AT, MATCH(J142, 'Detail&lt;Child&gt;'!$3:$3,0 ), FALSE)+INT($H142/12), 0)+1</f>
        <v>33048602</v>
      </c>
      <c r="L142" s="17" t="s">
        <v>917</v>
      </c>
      <c r="M142" s="17">
        <f t="shared" si="48"/>
        <v>60000</v>
      </c>
      <c r="N142" s="17" t="s">
        <v>918</v>
      </c>
      <c r="O142" s="17">
        <f t="shared" si="49"/>
        <v>60000</v>
      </c>
      <c r="P142" s="17" t="s">
        <v>919</v>
      </c>
      <c r="Q142" s="17">
        <f t="shared" si="50"/>
        <v>60000</v>
      </c>
      <c r="R142">
        <f>_xlfn.XLOOKUP($B142, 'Detail&lt;Child&gt;'!$A:$A, 'Detail&lt;Child&gt;'!$L:$L)</f>
        <v>3</v>
      </c>
    </row>
    <row r="143" spans="1:18" x14ac:dyDescent="0.3">
      <c r="A143" s="17">
        <f t="shared" si="45"/>
        <v>1000048610</v>
      </c>
      <c r="B143" s="17">
        <v>10000486</v>
      </c>
      <c r="C143" s="17" t="str">
        <f>_xlfn.XLOOKUP(B143,'Detail&lt;Child&gt;'!A:A,'Detail&lt;Child&gt;'!B:B)</f>
        <v>쿠바바</v>
      </c>
      <c r="D143" s="17" t="str">
        <f t="shared" si="46"/>
        <v>character_gradeup_10000486_10</v>
      </c>
      <c r="E143" s="17" t="s">
        <v>923</v>
      </c>
      <c r="F143" s="17">
        <f t="shared" si="47"/>
        <v>30030486</v>
      </c>
      <c r="G143" s="17">
        <f>VLOOKUP($R143, '#등급업 재료 개수'!$A$2:$K$5, MATCH(GradeUp!H143, '#등급업 재료 개수'!$A$2:$K$2, 0), FALSE)</f>
        <v>999</v>
      </c>
      <c r="H143" s="17">
        <v>10</v>
      </c>
      <c r="I143" s="17">
        <v>100</v>
      </c>
      <c r="J143" s="17">
        <v>0</v>
      </c>
      <c r="K143" s="17">
        <v>0</v>
      </c>
      <c r="L143" s="17" t="s">
        <v>917</v>
      </c>
      <c r="M143" s="17">
        <f t="shared" si="48"/>
        <v>70000</v>
      </c>
      <c r="N143" s="17" t="s">
        <v>918</v>
      </c>
      <c r="O143" s="17">
        <f t="shared" si="49"/>
        <v>70000</v>
      </c>
      <c r="P143" s="17" t="s">
        <v>919</v>
      </c>
      <c r="Q143" s="17">
        <f t="shared" si="50"/>
        <v>70000</v>
      </c>
      <c r="R143">
        <f>_xlfn.XLOOKUP($B143, 'Detail&lt;Child&gt;'!$A:$A, 'Detail&lt;Child&gt;'!$L:$L)</f>
        <v>3</v>
      </c>
    </row>
    <row r="144" spans="1:18" x14ac:dyDescent="0.3">
      <c r="A144" s="17">
        <f t="shared" si="45"/>
        <v>1000029401</v>
      </c>
      <c r="B144" s="17">
        <v>10000294</v>
      </c>
      <c r="C144" s="17" t="str">
        <f>_xlfn.XLOOKUP(B144,'Detail&lt;Child&gt;'!A:A,'Detail&lt;Child&gt;'!B:B)</f>
        <v>바토리</v>
      </c>
      <c r="D144" s="17" t="str">
        <f t="shared" si="46"/>
        <v>character_gradeup_10000294_1</v>
      </c>
      <c r="E144" s="17" t="s">
        <v>923</v>
      </c>
      <c r="F144" s="17">
        <f t="shared" si="47"/>
        <v>30030294</v>
      </c>
      <c r="G144" s="17">
        <f>VLOOKUP($R144, '#등급업 재료 개수'!$A$2:$K$5, MATCH(GradeUp!H144, '#등급업 재료 개수'!$A$2:$K$2, 0), FALSE)</f>
        <v>1</v>
      </c>
      <c r="H144" s="17">
        <v>1</v>
      </c>
      <c r="I144" s="17">
        <v>10</v>
      </c>
      <c r="J144" s="17">
        <v>0</v>
      </c>
      <c r="K144" s="17">
        <v>0</v>
      </c>
      <c r="L144" s="17" t="s">
        <v>917</v>
      </c>
      <c r="M144" s="17">
        <v>0</v>
      </c>
      <c r="N144" s="17" t="s">
        <v>918</v>
      </c>
      <c r="O144" s="17">
        <v>0</v>
      </c>
      <c r="P144" s="17" t="s">
        <v>919</v>
      </c>
      <c r="Q144" s="17">
        <v>0</v>
      </c>
      <c r="R144">
        <f>_xlfn.XLOOKUP($B144, 'Detail&lt;Child&gt;'!$A:$A, 'Detail&lt;Child&gt;'!$L:$L)</f>
        <v>3</v>
      </c>
    </row>
    <row r="145" spans="1:18" x14ac:dyDescent="0.3">
      <c r="A145" s="17">
        <f t="shared" si="45"/>
        <v>1000029402</v>
      </c>
      <c r="B145" s="17">
        <v>10000294</v>
      </c>
      <c r="C145" s="17" t="str">
        <f>_xlfn.XLOOKUP(B145,'Detail&lt;Child&gt;'!A:A,'Detail&lt;Child&gt;'!B:B)</f>
        <v>바토리</v>
      </c>
      <c r="D145" s="17" t="str">
        <f t="shared" si="46"/>
        <v>character_gradeup_10000294_2</v>
      </c>
      <c r="E145" s="17" t="s">
        <v>923</v>
      </c>
      <c r="F145" s="17">
        <f t="shared" si="47"/>
        <v>30030294</v>
      </c>
      <c r="G145" s="17">
        <f>VLOOKUP($R145, '#등급업 재료 개수'!$A$2:$K$5, MATCH(GradeUp!H145, '#등급업 재료 개수'!$A$2:$K$2, 0), FALSE)</f>
        <v>1</v>
      </c>
      <c r="H145" s="17">
        <v>2</v>
      </c>
      <c r="I145" s="17">
        <v>20</v>
      </c>
      <c r="J145" s="17" t="s">
        <v>30</v>
      </c>
      <c r="K145" s="17">
        <f>_xlfn.IFNA(VLOOKUP($B145, 'Detail&lt;Child&gt;'!$A:$AT, MATCH(J145, 'Detail&lt;Child&gt;'!$3:$3,0 ), FALSE)+INT($H145/12), 0)</f>
        <v>23029401</v>
      </c>
      <c r="L145" s="17" t="s">
        <v>917</v>
      </c>
      <c r="M145" s="17">
        <v>0</v>
      </c>
      <c r="N145" s="17" t="s">
        <v>918</v>
      </c>
      <c r="O145" s="17">
        <v>0</v>
      </c>
      <c r="P145" s="17" t="s">
        <v>919</v>
      </c>
      <c r="Q145" s="17">
        <v>0</v>
      </c>
      <c r="R145">
        <f>_xlfn.XLOOKUP($B145, 'Detail&lt;Child&gt;'!$A:$A, 'Detail&lt;Child&gt;'!$L:$L)</f>
        <v>3</v>
      </c>
    </row>
    <row r="146" spans="1:18" x14ac:dyDescent="0.3">
      <c r="A146" s="17">
        <f t="shared" si="45"/>
        <v>1000029403</v>
      </c>
      <c r="B146" s="17">
        <v>10000294</v>
      </c>
      <c r="C146" s="17" t="str">
        <f>_xlfn.XLOOKUP(B146,'Detail&lt;Child&gt;'!A:A,'Detail&lt;Child&gt;'!B:B)</f>
        <v>바토리</v>
      </c>
      <c r="D146" s="17" t="str">
        <f t="shared" si="46"/>
        <v>character_gradeup_10000294_3</v>
      </c>
      <c r="E146" s="17" t="s">
        <v>923</v>
      </c>
      <c r="F146" s="17">
        <f t="shared" si="47"/>
        <v>30030294</v>
      </c>
      <c r="G146" s="17">
        <f>VLOOKUP($R146, '#등급업 재료 개수'!$A$2:$K$5, MATCH(GradeUp!H146, '#등급업 재료 개수'!$A$2:$K$2, 0), FALSE)</f>
        <v>1</v>
      </c>
      <c r="H146" s="17">
        <v>3</v>
      </c>
      <c r="I146" s="17">
        <v>30</v>
      </c>
      <c r="J146" s="17">
        <v>0</v>
      </c>
      <c r="K146" s="17">
        <v>0</v>
      </c>
      <c r="L146" s="17" t="s">
        <v>917</v>
      </c>
      <c r="M146" s="17">
        <v>10000</v>
      </c>
      <c r="N146" s="17" t="s">
        <v>918</v>
      </c>
      <c r="O146" s="17">
        <v>10000</v>
      </c>
      <c r="P146" s="17" t="s">
        <v>919</v>
      </c>
      <c r="Q146" s="17">
        <v>10000</v>
      </c>
      <c r="R146">
        <f>_xlfn.XLOOKUP($B146, 'Detail&lt;Child&gt;'!$A:$A, 'Detail&lt;Child&gt;'!$L:$L)</f>
        <v>3</v>
      </c>
    </row>
    <row r="147" spans="1:18" x14ac:dyDescent="0.3">
      <c r="A147" s="17">
        <f t="shared" si="45"/>
        <v>1000029404</v>
      </c>
      <c r="B147" s="17">
        <v>10000294</v>
      </c>
      <c r="C147" s="17" t="str">
        <f>_xlfn.XLOOKUP(B147,'Detail&lt;Child&gt;'!A:A,'Detail&lt;Child&gt;'!B:B)</f>
        <v>바토리</v>
      </c>
      <c r="D147" s="17" t="str">
        <f t="shared" si="46"/>
        <v>character_gradeup_10000294_4</v>
      </c>
      <c r="E147" s="17" t="s">
        <v>923</v>
      </c>
      <c r="F147" s="17">
        <f t="shared" si="47"/>
        <v>30030294</v>
      </c>
      <c r="G147" s="17">
        <f>VLOOKUP($R147, '#등급업 재료 개수'!$A$2:$K$5, MATCH(GradeUp!H147, '#등급업 재료 개수'!$A$2:$K$2, 0), FALSE)</f>
        <v>2</v>
      </c>
      <c r="H147" s="17">
        <v>4</v>
      </c>
      <c r="I147" s="17">
        <v>40</v>
      </c>
      <c r="J147" s="17" t="s">
        <v>32</v>
      </c>
      <c r="K147" s="17">
        <f>_xlfn.IFNA(VLOOKUP($B147, 'Detail&lt;Child&gt;'!$A:$AT, MATCH(J147, 'Detail&lt;Child&gt;'!$3:$3,0 ), FALSE)+INT($H147/12), 0)</f>
        <v>43029401</v>
      </c>
      <c r="L147" s="17" t="s">
        <v>917</v>
      </c>
      <c r="M147" s="17">
        <f t="shared" ref="M147:M153" si="51">M146+10000</f>
        <v>20000</v>
      </c>
      <c r="N147" s="17" t="s">
        <v>918</v>
      </c>
      <c r="O147" s="17">
        <f t="shared" ref="O147:O153" si="52">O146+10000</f>
        <v>20000</v>
      </c>
      <c r="P147" s="17" t="s">
        <v>919</v>
      </c>
      <c r="Q147" s="17">
        <f t="shared" ref="Q147:Q153" si="53">Q146+10000</f>
        <v>20000</v>
      </c>
      <c r="R147">
        <f>_xlfn.XLOOKUP($B147, 'Detail&lt;Child&gt;'!$A:$A, 'Detail&lt;Child&gt;'!$L:$L)</f>
        <v>3</v>
      </c>
    </row>
    <row r="148" spans="1:18" x14ac:dyDescent="0.3">
      <c r="A148" s="17">
        <f t="shared" si="45"/>
        <v>1000029405</v>
      </c>
      <c r="B148" s="17">
        <v>10000294</v>
      </c>
      <c r="C148" s="17" t="str">
        <f>_xlfn.XLOOKUP(B148,'Detail&lt;Child&gt;'!A:A,'Detail&lt;Child&gt;'!B:B)</f>
        <v>바토리</v>
      </c>
      <c r="D148" s="17" t="str">
        <f t="shared" si="46"/>
        <v>character_gradeup_10000294_5</v>
      </c>
      <c r="E148" s="17" t="s">
        <v>923</v>
      </c>
      <c r="F148" s="17">
        <f t="shared" si="47"/>
        <v>30030294</v>
      </c>
      <c r="G148" s="17">
        <f>VLOOKUP($R148, '#등급업 재료 개수'!$A$2:$K$5, MATCH(GradeUp!H148, '#등급업 재료 개수'!$A$2:$K$2, 0), FALSE)</f>
        <v>4</v>
      </c>
      <c r="H148" s="17">
        <v>5</v>
      </c>
      <c r="I148" s="17">
        <v>50</v>
      </c>
      <c r="J148" s="17" t="s">
        <v>30</v>
      </c>
      <c r="K148" s="17">
        <f>_xlfn.IFNA(VLOOKUP($B148, 'Detail&lt;Child&gt;'!$A:$AT, MATCH(J148, 'Detail&lt;Child&gt;'!$3:$3,0 ), FALSE)+INT($H148/12), 0)+1</f>
        <v>23029402</v>
      </c>
      <c r="L148" s="17" t="s">
        <v>917</v>
      </c>
      <c r="M148" s="17">
        <f t="shared" si="51"/>
        <v>30000</v>
      </c>
      <c r="N148" s="17" t="s">
        <v>918</v>
      </c>
      <c r="O148" s="17">
        <f t="shared" si="52"/>
        <v>30000</v>
      </c>
      <c r="P148" s="17" t="s">
        <v>919</v>
      </c>
      <c r="Q148" s="17">
        <f t="shared" si="53"/>
        <v>30000</v>
      </c>
      <c r="R148">
        <f>_xlfn.XLOOKUP($B148, 'Detail&lt;Child&gt;'!$A:$A, 'Detail&lt;Child&gt;'!$L:$L)</f>
        <v>3</v>
      </c>
    </row>
    <row r="149" spans="1:18" x14ac:dyDescent="0.3">
      <c r="A149" s="17">
        <f t="shared" si="45"/>
        <v>1000029406</v>
      </c>
      <c r="B149" s="17">
        <v>10000294</v>
      </c>
      <c r="C149" s="17" t="str">
        <f>_xlfn.XLOOKUP(B149,'Detail&lt;Child&gt;'!A:A,'Detail&lt;Child&gt;'!B:B)</f>
        <v>바토리</v>
      </c>
      <c r="D149" s="17" t="str">
        <f t="shared" si="46"/>
        <v>character_gradeup_10000294_6</v>
      </c>
      <c r="E149" s="17" t="s">
        <v>923</v>
      </c>
      <c r="F149" s="17">
        <f t="shared" si="47"/>
        <v>30030294</v>
      </c>
      <c r="G149" s="17">
        <f>VLOOKUP($R149, '#등급업 재료 개수'!$A$2:$K$5, MATCH(GradeUp!H149, '#등급업 재료 개수'!$A$2:$K$2, 0), FALSE)</f>
        <v>6</v>
      </c>
      <c r="H149" s="17">
        <v>6</v>
      </c>
      <c r="I149" s="17">
        <v>60</v>
      </c>
      <c r="J149" s="17">
        <v>0</v>
      </c>
      <c r="K149" s="17">
        <v>0</v>
      </c>
      <c r="L149" s="17" t="s">
        <v>917</v>
      </c>
      <c r="M149" s="17">
        <f t="shared" si="51"/>
        <v>40000</v>
      </c>
      <c r="N149" s="17" t="s">
        <v>918</v>
      </c>
      <c r="O149" s="17">
        <f t="shared" si="52"/>
        <v>40000</v>
      </c>
      <c r="P149" s="17" t="s">
        <v>919</v>
      </c>
      <c r="Q149" s="17">
        <f t="shared" si="53"/>
        <v>40000</v>
      </c>
      <c r="R149">
        <f>_xlfn.XLOOKUP($B149, 'Detail&lt;Child&gt;'!$A:$A, 'Detail&lt;Child&gt;'!$L:$L)</f>
        <v>3</v>
      </c>
    </row>
    <row r="150" spans="1:18" x14ac:dyDescent="0.3">
      <c r="A150" s="17">
        <f t="shared" si="45"/>
        <v>1000029407</v>
      </c>
      <c r="B150" s="17">
        <v>10000294</v>
      </c>
      <c r="C150" s="17" t="str">
        <f>_xlfn.XLOOKUP(B150,'Detail&lt;Child&gt;'!A:A,'Detail&lt;Child&gt;'!B:B)</f>
        <v>바토리</v>
      </c>
      <c r="D150" s="17" t="str">
        <f t="shared" si="46"/>
        <v>character_gradeup_10000294_7</v>
      </c>
      <c r="E150" s="17" t="s">
        <v>923</v>
      </c>
      <c r="F150" s="17">
        <f t="shared" si="47"/>
        <v>30030294</v>
      </c>
      <c r="G150" s="17">
        <f>VLOOKUP($R150, '#등급업 재료 개수'!$A$2:$K$5, MATCH(GradeUp!H150, '#등급업 재료 개수'!$A$2:$K$2, 0), FALSE)</f>
        <v>8</v>
      </c>
      <c r="H150" s="17">
        <v>7</v>
      </c>
      <c r="I150" s="17">
        <v>70</v>
      </c>
      <c r="J150" s="17" t="s">
        <v>32</v>
      </c>
      <c r="K150" s="17">
        <f>_xlfn.IFNA(VLOOKUP($B150, 'Detail&lt;Child&gt;'!$A:$AT, MATCH(J150, 'Detail&lt;Child&gt;'!$3:$3,0 ), FALSE)+INT($H150/12), 0)+1</f>
        <v>43029402</v>
      </c>
      <c r="L150" s="17" t="s">
        <v>917</v>
      </c>
      <c r="M150" s="17">
        <f t="shared" si="51"/>
        <v>50000</v>
      </c>
      <c r="N150" s="17" t="s">
        <v>918</v>
      </c>
      <c r="O150" s="17">
        <f t="shared" si="52"/>
        <v>50000</v>
      </c>
      <c r="P150" s="17" t="s">
        <v>919</v>
      </c>
      <c r="Q150" s="17">
        <f t="shared" si="53"/>
        <v>50000</v>
      </c>
      <c r="R150">
        <f>_xlfn.XLOOKUP($B150, 'Detail&lt;Child&gt;'!$A:$A, 'Detail&lt;Child&gt;'!$L:$L)</f>
        <v>3</v>
      </c>
    </row>
    <row r="151" spans="1:18" x14ac:dyDescent="0.3">
      <c r="A151" s="17">
        <f t="shared" si="45"/>
        <v>1000029408</v>
      </c>
      <c r="B151" s="17">
        <v>10000294</v>
      </c>
      <c r="C151" s="17" t="str">
        <f>_xlfn.XLOOKUP(B151,'Detail&lt;Child&gt;'!A:A,'Detail&lt;Child&gt;'!B:B)</f>
        <v>바토리</v>
      </c>
      <c r="D151" s="17" t="str">
        <f t="shared" si="46"/>
        <v>character_gradeup_10000294_8</v>
      </c>
      <c r="E151" s="17" t="s">
        <v>923</v>
      </c>
      <c r="F151" s="17">
        <f t="shared" si="47"/>
        <v>30030294</v>
      </c>
      <c r="G151" s="17">
        <f>VLOOKUP($R151, '#등급업 재료 개수'!$A$2:$K$5, MATCH(GradeUp!H151, '#등급업 재료 개수'!$A$2:$K$2, 0), FALSE)</f>
        <v>10</v>
      </c>
      <c r="H151" s="17">
        <v>8</v>
      </c>
      <c r="I151" s="17">
        <v>80</v>
      </c>
      <c r="J151" s="17">
        <v>0</v>
      </c>
      <c r="K151" s="17">
        <v>0</v>
      </c>
      <c r="L151" s="17" t="s">
        <v>917</v>
      </c>
      <c r="M151" s="17">
        <f t="shared" si="51"/>
        <v>60000</v>
      </c>
      <c r="N151" s="17" t="s">
        <v>918</v>
      </c>
      <c r="O151" s="17">
        <f t="shared" si="52"/>
        <v>60000</v>
      </c>
      <c r="P151" s="17" t="s">
        <v>919</v>
      </c>
      <c r="Q151" s="17">
        <f t="shared" si="53"/>
        <v>60000</v>
      </c>
      <c r="R151">
        <f>_xlfn.XLOOKUP($B151, 'Detail&lt;Child&gt;'!$A:$A, 'Detail&lt;Child&gt;'!$L:$L)</f>
        <v>3</v>
      </c>
    </row>
    <row r="152" spans="1:18" x14ac:dyDescent="0.3">
      <c r="A152" s="17">
        <f t="shared" si="45"/>
        <v>1000029409</v>
      </c>
      <c r="B152" s="17">
        <v>10000294</v>
      </c>
      <c r="C152" s="17" t="str">
        <f>_xlfn.XLOOKUP(B152,'Detail&lt;Child&gt;'!A:A,'Detail&lt;Child&gt;'!B:B)</f>
        <v>바토리</v>
      </c>
      <c r="D152" s="17" t="str">
        <f t="shared" si="46"/>
        <v>character_gradeup_10000294_9</v>
      </c>
      <c r="E152" s="17" t="s">
        <v>923</v>
      </c>
      <c r="F152" s="17">
        <f t="shared" si="47"/>
        <v>30030294</v>
      </c>
      <c r="G152" s="17">
        <f>VLOOKUP($R152, '#등급업 재료 개수'!$A$2:$K$5, MATCH(GradeUp!H152, '#등급업 재료 개수'!$A$2:$K$2, 0), FALSE)</f>
        <v>12</v>
      </c>
      <c r="H152" s="17">
        <v>9</v>
      </c>
      <c r="I152" s="17">
        <v>90</v>
      </c>
      <c r="J152" s="17" t="s">
        <v>31</v>
      </c>
      <c r="K152" s="17">
        <f>_xlfn.IFNA(VLOOKUP($B152, 'Detail&lt;Child&gt;'!$A:$AT, MATCH(J152, 'Detail&lt;Child&gt;'!$3:$3,0 ), FALSE)+INT($H152/12), 0)+1</f>
        <v>33029402</v>
      </c>
      <c r="L152" s="17" t="s">
        <v>917</v>
      </c>
      <c r="M152" s="17">
        <f t="shared" si="51"/>
        <v>70000</v>
      </c>
      <c r="N152" s="17" t="s">
        <v>918</v>
      </c>
      <c r="O152" s="17">
        <f t="shared" si="52"/>
        <v>70000</v>
      </c>
      <c r="P152" s="17" t="s">
        <v>919</v>
      </c>
      <c r="Q152" s="17">
        <f t="shared" si="53"/>
        <v>70000</v>
      </c>
      <c r="R152">
        <f>_xlfn.XLOOKUP($B152, 'Detail&lt;Child&gt;'!$A:$A, 'Detail&lt;Child&gt;'!$L:$L)</f>
        <v>3</v>
      </c>
    </row>
    <row r="153" spans="1:18" x14ac:dyDescent="0.3">
      <c r="A153" s="17">
        <f t="shared" si="45"/>
        <v>1000029410</v>
      </c>
      <c r="B153" s="17">
        <v>10000294</v>
      </c>
      <c r="C153" s="17" t="str">
        <f>_xlfn.XLOOKUP(B153,'Detail&lt;Child&gt;'!A:A,'Detail&lt;Child&gt;'!B:B)</f>
        <v>바토리</v>
      </c>
      <c r="D153" s="17" t="str">
        <f t="shared" si="46"/>
        <v>character_gradeup_10000294_10</v>
      </c>
      <c r="E153" s="17" t="s">
        <v>923</v>
      </c>
      <c r="F153" s="17">
        <f t="shared" si="47"/>
        <v>30030294</v>
      </c>
      <c r="G153" s="17">
        <f>VLOOKUP($R153, '#등급업 재료 개수'!$A$2:$K$5, MATCH(GradeUp!H153, '#등급업 재료 개수'!$A$2:$K$2, 0), FALSE)</f>
        <v>999</v>
      </c>
      <c r="H153" s="17">
        <v>10</v>
      </c>
      <c r="I153" s="17">
        <v>100</v>
      </c>
      <c r="J153" s="17">
        <v>0</v>
      </c>
      <c r="K153" s="17">
        <v>0</v>
      </c>
      <c r="L153" s="17" t="s">
        <v>917</v>
      </c>
      <c r="M153" s="17">
        <f t="shared" si="51"/>
        <v>80000</v>
      </c>
      <c r="N153" s="17" t="s">
        <v>918</v>
      </c>
      <c r="O153" s="17">
        <f t="shared" si="52"/>
        <v>80000</v>
      </c>
      <c r="P153" s="17" t="s">
        <v>919</v>
      </c>
      <c r="Q153" s="17">
        <f t="shared" si="53"/>
        <v>80000</v>
      </c>
      <c r="R153">
        <f>_xlfn.XLOOKUP($B153, 'Detail&lt;Child&gt;'!$A:$A, 'Detail&lt;Child&gt;'!$L:$L)</f>
        <v>3</v>
      </c>
    </row>
    <row r="154" spans="1:18" x14ac:dyDescent="0.3">
      <c r="A154" s="17">
        <f t="shared" si="45"/>
        <v>1000050101</v>
      </c>
      <c r="B154" s="17">
        <v>10000501</v>
      </c>
      <c r="C154" s="17" t="str">
        <f>_xlfn.XLOOKUP(B154,'Detail&lt;Child&gt;'!A:A,'Detail&lt;Child&gt;'!B:B)</f>
        <v>라가라자</v>
      </c>
      <c r="D154" s="17" t="str">
        <f t="shared" si="46"/>
        <v>character_gradeup_10000501_1</v>
      </c>
      <c r="E154" s="17" t="s">
        <v>923</v>
      </c>
      <c r="F154" s="17">
        <f t="shared" si="47"/>
        <v>30030501</v>
      </c>
      <c r="G154" s="17">
        <f>VLOOKUP($R154, '#등급업 재료 개수'!$A$2:$K$5, MATCH(GradeUp!H154, '#등급업 재료 개수'!$A$2:$K$2, 0), FALSE)</f>
        <v>1</v>
      </c>
      <c r="H154" s="17">
        <v>1</v>
      </c>
      <c r="I154" s="17">
        <v>10</v>
      </c>
      <c r="J154" s="17">
        <v>0</v>
      </c>
      <c r="K154" s="17">
        <v>0</v>
      </c>
      <c r="L154" s="17" t="s">
        <v>917</v>
      </c>
      <c r="M154" s="17">
        <v>0</v>
      </c>
      <c r="N154" s="17" t="s">
        <v>918</v>
      </c>
      <c r="O154" s="17">
        <v>0</v>
      </c>
      <c r="P154" s="17" t="s">
        <v>919</v>
      </c>
      <c r="Q154" s="17">
        <v>0</v>
      </c>
      <c r="R154">
        <f>_xlfn.XLOOKUP($B154, 'Detail&lt;Child&gt;'!$A:$A, 'Detail&lt;Child&gt;'!$L:$L)</f>
        <v>3</v>
      </c>
    </row>
    <row r="155" spans="1:18" x14ac:dyDescent="0.3">
      <c r="A155" s="17">
        <f t="shared" si="45"/>
        <v>1000050102</v>
      </c>
      <c r="B155" s="17">
        <v>10000501</v>
      </c>
      <c r="C155" s="17" t="str">
        <f>_xlfn.XLOOKUP(B155,'Detail&lt;Child&gt;'!A:A,'Detail&lt;Child&gt;'!B:B)</f>
        <v>라가라자</v>
      </c>
      <c r="D155" s="17" t="str">
        <f t="shared" si="46"/>
        <v>character_gradeup_10000501_2</v>
      </c>
      <c r="E155" s="17" t="s">
        <v>923</v>
      </c>
      <c r="F155" s="17">
        <f t="shared" si="47"/>
        <v>30030501</v>
      </c>
      <c r="G155" s="17">
        <f>VLOOKUP($R155, '#등급업 재료 개수'!$A$2:$K$5, MATCH(GradeUp!H155, '#등급업 재료 개수'!$A$2:$K$2, 0), FALSE)</f>
        <v>1</v>
      </c>
      <c r="H155" s="17">
        <v>2</v>
      </c>
      <c r="I155" s="17">
        <v>20</v>
      </c>
      <c r="J155" s="17" t="s">
        <v>30</v>
      </c>
      <c r="K155" s="17">
        <f>_xlfn.IFNA(VLOOKUP($B155, 'Detail&lt;Child&gt;'!$A:$AT, MATCH(J155, 'Detail&lt;Child&gt;'!$3:$3,0 ), FALSE)+INT($H155/12), 0)</f>
        <v>23050101</v>
      </c>
      <c r="L155" s="17" t="s">
        <v>917</v>
      </c>
      <c r="M155" s="17">
        <v>0</v>
      </c>
      <c r="N155" s="17" t="s">
        <v>918</v>
      </c>
      <c r="O155" s="17">
        <v>0</v>
      </c>
      <c r="P155" s="17" t="s">
        <v>919</v>
      </c>
      <c r="Q155" s="17">
        <v>0</v>
      </c>
      <c r="R155">
        <f>_xlfn.XLOOKUP($B155, 'Detail&lt;Child&gt;'!$A:$A, 'Detail&lt;Child&gt;'!$L:$L)</f>
        <v>3</v>
      </c>
    </row>
    <row r="156" spans="1:18" x14ac:dyDescent="0.3">
      <c r="A156" s="17">
        <f t="shared" si="45"/>
        <v>1000050103</v>
      </c>
      <c r="B156" s="17">
        <v>10000501</v>
      </c>
      <c r="C156" s="17" t="str">
        <f>_xlfn.XLOOKUP(B156,'Detail&lt;Child&gt;'!A:A,'Detail&lt;Child&gt;'!B:B)</f>
        <v>라가라자</v>
      </c>
      <c r="D156" s="17" t="str">
        <f t="shared" si="46"/>
        <v>character_gradeup_10000501_3</v>
      </c>
      <c r="E156" s="17" t="s">
        <v>923</v>
      </c>
      <c r="F156" s="17">
        <f t="shared" si="47"/>
        <v>30030501</v>
      </c>
      <c r="G156" s="17">
        <f>VLOOKUP($R156, '#등급업 재료 개수'!$A$2:$K$5, MATCH(GradeUp!H156, '#등급업 재료 개수'!$A$2:$K$2, 0), FALSE)</f>
        <v>1</v>
      </c>
      <c r="H156" s="17">
        <v>3</v>
      </c>
      <c r="I156" s="17">
        <v>30</v>
      </c>
      <c r="J156" s="17">
        <v>0</v>
      </c>
      <c r="K156" s="17">
        <v>0</v>
      </c>
      <c r="L156" s="17" t="s">
        <v>917</v>
      </c>
      <c r="M156" s="17">
        <v>0</v>
      </c>
      <c r="N156" s="17" t="s">
        <v>918</v>
      </c>
      <c r="O156" s="17">
        <v>0</v>
      </c>
      <c r="P156" s="17" t="s">
        <v>919</v>
      </c>
      <c r="Q156" s="17">
        <v>0</v>
      </c>
      <c r="R156">
        <f>_xlfn.XLOOKUP($B156, 'Detail&lt;Child&gt;'!$A:$A, 'Detail&lt;Child&gt;'!$L:$L)</f>
        <v>3</v>
      </c>
    </row>
    <row r="157" spans="1:18" x14ac:dyDescent="0.3">
      <c r="A157" s="17">
        <f t="shared" si="45"/>
        <v>1000050104</v>
      </c>
      <c r="B157" s="17">
        <v>10000501</v>
      </c>
      <c r="C157" s="17" t="str">
        <f>_xlfn.XLOOKUP(B157,'Detail&lt;Child&gt;'!A:A,'Detail&lt;Child&gt;'!B:B)</f>
        <v>라가라자</v>
      </c>
      <c r="D157" s="17" t="str">
        <f t="shared" si="46"/>
        <v>character_gradeup_10000501_4</v>
      </c>
      <c r="E157" s="17" t="s">
        <v>923</v>
      </c>
      <c r="F157" s="17">
        <f t="shared" si="47"/>
        <v>30030501</v>
      </c>
      <c r="G157" s="17">
        <f>VLOOKUP($R157, '#등급업 재료 개수'!$A$2:$K$5, MATCH(GradeUp!H157, '#등급업 재료 개수'!$A$2:$K$2, 0), FALSE)</f>
        <v>2</v>
      </c>
      <c r="H157" s="17">
        <v>4</v>
      </c>
      <c r="I157" s="17">
        <v>40</v>
      </c>
      <c r="J157" s="17" t="s">
        <v>32</v>
      </c>
      <c r="K157" s="17">
        <f>_xlfn.IFNA(VLOOKUP($B157, 'Detail&lt;Child&gt;'!$A:$AT, MATCH(J157, 'Detail&lt;Child&gt;'!$3:$3,0 ), FALSE)+INT($H157/12), 0)</f>
        <v>43050101</v>
      </c>
      <c r="L157" s="17" t="s">
        <v>917</v>
      </c>
      <c r="M157" s="17">
        <v>10000</v>
      </c>
      <c r="N157" s="17" t="s">
        <v>918</v>
      </c>
      <c r="O157" s="17">
        <v>10000</v>
      </c>
      <c r="P157" s="17" t="s">
        <v>919</v>
      </c>
      <c r="Q157" s="17">
        <v>10000</v>
      </c>
      <c r="R157">
        <f>_xlfn.XLOOKUP($B157, 'Detail&lt;Child&gt;'!$A:$A, 'Detail&lt;Child&gt;'!$L:$L)</f>
        <v>3</v>
      </c>
    </row>
    <row r="158" spans="1:18" x14ac:dyDescent="0.3">
      <c r="A158" s="17">
        <f t="shared" si="45"/>
        <v>1000050105</v>
      </c>
      <c r="B158" s="17">
        <v>10000501</v>
      </c>
      <c r="C158" s="17" t="str">
        <f>_xlfn.XLOOKUP(B158,'Detail&lt;Child&gt;'!A:A,'Detail&lt;Child&gt;'!B:B)</f>
        <v>라가라자</v>
      </c>
      <c r="D158" s="17" t="str">
        <f t="shared" si="46"/>
        <v>character_gradeup_10000501_5</v>
      </c>
      <c r="E158" s="17" t="s">
        <v>923</v>
      </c>
      <c r="F158" s="17">
        <f t="shared" si="47"/>
        <v>30030501</v>
      </c>
      <c r="G158" s="17">
        <f>VLOOKUP($R158, '#등급업 재료 개수'!$A$2:$K$5, MATCH(GradeUp!H158, '#등급업 재료 개수'!$A$2:$K$2, 0), FALSE)</f>
        <v>4</v>
      </c>
      <c r="H158" s="17">
        <v>5</v>
      </c>
      <c r="I158" s="17">
        <v>50</v>
      </c>
      <c r="J158" s="17" t="s">
        <v>30</v>
      </c>
      <c r="K158" s="17">
        <f>_xlfn.IFNA(VLOOKUP($B158, 'Detail&lt;Child&gt;'!$A:$AT, MATCH(J158, 'Detail&lt;Child&gt;'!$3:$3,0 ), FALSE)+INT($H158/12), 0)+1</f>
        <v>23050102</v>
      </c>
      <c r="L158" s="17" t="s">
        <v>917</v>
      </c>
      <c r="M158" s="17">
        <f t="shared" ref="M158:M163" si="54">M157+10000</f>
        <v>20000</v>
      </c>
      <c r="N158" s="17" t="s">
        <v>918</v>
      </c>
      <c r="O158" s="17">
        <f t="shared" ref="O158:O163" si="55">O157+10000</f>
        <v>20000</v>
      </c>
      <c r="P158" s="17" t="s">
        <v>919</v>
      </c>
      <c r="Q158" s="17">
        <f t="shared" ref="Q158:Q163" si="56">Q157+10000</f>
        <v>20000</v>
      </c>
      <c r="R158">
        <f>_xlfn.XLOOKUP($B158, 'Detail&lt;Child&gt;'!$A:$A, 'Detail&lt;Child&gt;'!$L:$L)</f>
        <v>3</v>
      </c>
    </row>
    <row r="159" spans="1:18" x14ac:dyDescent="0.3">
      <c r="A159" s="17">
        <f t="shared" si="45"/>
        <v>1000050106</v>
      </c>
      <c r="B159" s="17">
        <v>10000501</v>
      </c>
      <c r="C159" s="17" t="str">
        <f>_xlfn.XLOOKUP(B159,'Detail&lt;Child&gt;'!A:A,'Detail&lt;Child&gt;'!B:B)</f>
        <v>라가라자</v>
      </c>
      <c r="D159" s="17" t="str">
        <f t="shared" si="46"/>
        <v>character_gradeup_10000501_6</v>
      </c>
      <c r="E159" s="17" t="s">
        <v>923</v>
      </c>
      <c r="F159" s="17">
        <f t="shared" si="47"/>
        <v>30030501</v>
      </c>
      <c r="G159" s="17">
        <f>VLOOKUP($R159, '#등급업 재료 개수'!$A$2:$K$5, MATCH(GradeUp!H159, '#등급업 재료 개수'!$A$2:$K$2, 0), FALSE)</f>
        <v>6</v>
      </c>
      <c r="H159" s="17">
        <v>6</v>
      </c>
      <c r="I159" s="17">
        <v>60</v>
      </c>
      <c r="J159" s="17">
        <v>0</v>
      </c>
      <c r="K159" s="17">
        <v>0</v>
      </c>
      <c r="L159" s="17" t="s">
        <v>917</v>
      </c>
      <c r="M159" s="17">
        <f t="shared" si="54"/>
        <v>30000</v>
      </c>
      <c r="N159" s="17" t="s">
        <v>918</v>
      </c>
      <c r="O159" s="17">
        <f t="shared" si="55"/>
        <v>30000</v>
      </c>
      <c r="P159" s="17" t="s">
        <v>919</v>
      </c>
      <c r="Q159" s="17">
        <f t="shared" si="56"/>
        <v>30000</v>
      </c>
      <c r="R159">
        <f>_xlfn.XLOOKUP($B159, 'Detail&lt;Child&gt;'!$A:$A, 'Detail&lt;Child&gt;'!$L:$L)</f>
        <v>3</v>
      </c>
    </row>
    <row r="160" spans="1:18" x14ac:dyDescent="0.3">
      <c r="A160" s="17">
        <f t="shared" si="45"/>
        <v>1000050107</v>
      </c>
      <c r="B160" s="17">
        <v>10000501</v>
      </c>
      <c r="C160" s="17" t="str">
        <f>_xlfn.XLOOKUP(B160,'Detail&lt;Child&gt;'!A:A,'Detail&lt;Child&gt;'!B:B)</f>
        <v>라가라자</v>
      </c>
      <c r="D160" s="17" t="str">
        <f t="shared" si="46"/>
        <v>character_gradeup_10000501_7</v>
      </c>
      <c r="E160" s="17" t="s">
        <v>923</v>
      </c>
      <c r="F160" s="17">
        <f t="shared" si="47"/>
        <v>30030501</v>
      </c>
      <c r="G160" s="17">
        <f>VLOOKUP($R160, '#등급업 재료 개수'!$A$2:$K$5, MATCH(GradeUp!H160, '#등급업 재료 개수'!$A$2:$K$2, 0), FALSE)</f>
        <v>8</v>
      </c>
      <c r="H160" s="17">
        <v>7</v>
      </c>
      <c r="I160" s="17">
        <v>70</v>
      </c>
      <c r="J160" s="17" t="s">
        <v>32</v>
      </c>
      <c r="K160" s="17">
        <f>_xlfn.IFNA(VLOOKUP($B160, 'Detail&lt;Child&gt;'!$A:$AT, MATCH(J160, 'Detail&lt;Child&gt;'!$3:$3,0 ), FALSE)+INT($H160/12), 0)+1</f>
        <v>43050102</v>
      </c>
      <c r="L160" s="17" t="s">
        <v>917</v>
      </c>
      <c r="M160" s="17">
        <f t="shared" si="54"/>
        <v>40000</v>
      </c>
      <c r="N160" s="17" t="s">
        <v>918</v>
      </c>
      <c r="O160" s="17">
        <f t="shared" si="55"/>
        <v>40000</v>
      </c>
      <c r="P160" s="17" t="s">
        <v>919</v>
      </c>
      <c r="Q160" s="17">
        <f t="shared" si="56"/>
        <v>40000</v>
      </c>
      <c r="R160">
        <f>_xlfn.XLOOKUP($B160, 'Detail&lt;Child&gt;'!$A:$A, 'Detail&lt;Child&gt;'!$L:$L)</f>
        <v>3</v>
      </c>
    </row>
    <row r="161" spans="1:18" x14ac:dyDescent="0.3">
      <c r="A161" s="17">
        <f t="shared" si="45"/>
        <v>1000050108</v>
      </c>
      <c r="B161" s="17">
        <v>10000501</v>
      </c>
      <c r="C161" s="17" t="str">
        <f>_xlfn.XLOOKUP(B161,'Detail&lt;Child&gt;'!A:A,'Detail&lt;Child&gt;'!B:B)</f>
        <v>라가라자</v>
      </c>
      <c r="D161" s="17" t="str">
        <f t="shared" si="46"/>
        <v>character_gradeup_10000501_8</v>
      </c>
      <c r="E161" s="17" t="s">
        <v>923</v>
      </c>
      <c r="F161" s="17">
        <f t="shared" si="47"/>
        <v>30030501</v>
      </c>
      <c r="G161" s="17">
        <f>VLOOKUP($R161, '#등급업 재료 개수'!$A$2:$K$5, MATCH(GradeUp!H161, '#등급업 재료 개수'!$A$2:$K$2, 0), FALSE)</f>
        <v>10</v>
      </c>
      <c r="H161" s="17">
        <v>8</v>
      </c>
      <c r="I161" s="17">
        <v>80</v>
      </c>
      <c r="J161" s="17">
        <v>0</v>
      </c>
      <c r="K161" s="17">
        <v>0</v>
      </c>
      <c r="L161" s="17" t="s">
        <v>917</v>
      </c>
      <c r="M161" s="17">
        <f t="shared" si="54"/>
        <v>50000</v>
      </c>
      <c r="N161" s="17" t="s">
        <v>918</v>
      </c>
      <c r="O161" s="17">
        <f t="shared" si="55"/>
        <v>50000</v>
      </c>
      <c r="P161" s="17" t="s">
        <v>919</v>
      </c>
      <c r="Q161" s="17">
        <f t="shared" si="56"/>
        <v>50000</v>
      </c>
      <c r="R161">
        <f>_xlfn.XLOOKUP($B161, 'Detail&lt;Child&gt;'!$A:$A, 'Detail&lt;Child&gt;'!$L:$L)</f>
        <v>3</v>
      </c>
    </row>
    <row r="162" spans="1:18" x14ac:dyDescent="0.3">
      <c r="A162" s="17">
        <f t="shared" si="45"/>
        <v>1000050109</v>
      </c>
      <c r="B162" s="17">
        <v>10000501</v>
      </c>
      <c r="C162" s="17" t="str">
        <f>_xlfn.XLOOKUP(B162,'Detail&lt;Child&gt;'!A:A,'Detail&lt;Child&gt;'!B:B)</f>
        <v>라가라자</v>
      </c>
      <c r="D162" s="17" t="str">
        <f t="shared" si="46"/>
        <v>character_gradeup_10000501_9</v>
      </c>
      <c r="E162" s="17" t="s">
        <v>923</v>
      </c>
      <c r="F162" s="17">
        <f t="shared" si="47"/>
        <v>30030501</v>
      </c>
      <c r="G162" s="17">
        <f>VLOOKUP($R162, '#등급업 재료 개수'!$A$2:$K$5, MATCH(GradeUp!H162, '#등급업 재료 개수'!$A$2:$K$2, 0), FALSE)</f>
        <v>12</v>
      </c>
      <c r="H162" s="17">
        <v>9</v>
      </c>
      <c r="I162" s="17">
        <v>90</v>
      </c>
      <c r="J162" s="17" t="s">
        <v>31</v>
      </c>
      <c r="K162" s="17">
        <f>_xlfn.IFNA(VLOOKUP($B162, 'Detail&lt;Child&gt;'!$A:$AT, MATCH(J162, 'Detail&lt;Child&gt;'!$3:$3,0 ), FALSE)+INT($H162/12), 0)+1</f>
        <v>33050102</v>
      </c>
      <c r="L162" s="17" t="s">
        <v>917</v>
      </c>
      <c r="M162" s="17">
        <f t="shared" si="54"/>
        <v>60000</v>
      </c>
      <c r="N162" s="17" t="s">
        <v>918</v>
      </c>
      <c r="O162" s="17">
        <f t="shared" si="55"/>
        <v>60000</v>
      </c>
      <c r="P162" s="17" t="s">
        <v>919</v>
      </c>
      <c r="Q162" s="17">
        <f t="shared" si="56"/>
        <v>60000</v>
      </c>
      <c r="R162">
        <f>_xlfn.XLOOKUP($B162, 'Detail&lt;Child&gt;'!$A:$A, 'Detail&lt;Child&gt;'!$L:$L)</f>
        <v>3</v>
      </c>
    </row>
    <row r="163" spans="1:18" x14ac:dyDescent="0.3">
      <c r="A163" s="17">
        <f t="shared" si="45"/>
        <v>1000050110</v>
      </c>
      <c r="B163" s="17">
        <v>10000501</v>
      </c>
      <c r="C163" s="17" t="str">
        <f>_xlfn.XLOOKUP(B163,'Detail&lt;Child&gt;'!A:A,'Detail&lt;Child&gt;'!B:B)</f>
        <v>라가라자</v>
      </c>
      <c r="D163" s="17" t="str">
        <f t="shared" si="46"/>
        <v>character_gradeup_10000501_10</v>
      </c>
      <c r="E163" s="17" t="s">
        <v>923</v>
      </c>
      <c r="F163" s="17">
        <f t="shared" si="47"/>
        <v>30030501</v>
      </c>
      <c r="G163" s="17">
        <f>VLOOKUP($R163, '#등급업 재료 개수'!$A$2:$K$5, MATCH(GradeUp!H163, '#등급업 재료 개수'!$A$2:$K$2, 0), FALSE)</f>
        <v>999</v>
      </c>
      <c r="H163" s="17">
        <v>10</v>
      </c>
      <c r="I163" s="17">
        <v>100</v>
      </c>
      <c r="J163" s="17">
        <v>0</v>
      </c>
      <c r="K163" s="17">
        <v>0</v>
      </c>
      <c r="L163" s="17" t="s">
        <v>917</v>
      </c>
      <c r="M163" s="17">
        <f t="shared" si="54"/>
        <v>70000</v>
      </c>
      <c r="N163" s="17" t="s">
        <v>918</v>
      </c>
      <c r="O163" s="17">
        <f t="shared" si="55"/>
        <v>70000</v>
      </c>
      <c r="P163" s="17" t="s">
        <v>919</v>
      </c>
      <c r="Q163" s="17">
        <f t="shared" si="56"/>
        <v>70000</v>
      </c>
      <c r="R163">
        <f>_xlfn.XLOOKUP($B163, 'Detail&lt;Child&gt;'!$A:$A, 'Detail&lt;Child&gt;'!$L:$L)</f>
        <v>3</v>
      </c>
    </row>
    <row r="164" spans="1:18" x14ac:dyDescent="0.3">
      <c r="A164" s="17">
        <f t="shared" si="45"/>
        <v>1000000101</v>
      </c>
      <c r="B164" s="17">
        <v>10000001</v>
      </c>
      <c r="C164" s="17" t="str">
        <f>_xlfn.XLOOKUP(B164,'Detail&lt;Child&gt;'!A:A,'Detail&lt;Child&gt;'!B:B)</f>
        <v>모나</v>
      </c>
      <c r="D164" s="17" t="str">
        <f t="shared" si="46"/>
        <v>character_gradeup_10000001_1</v>
      </c>
      <c r="E164" s="17" t="s">
        <v>923</v>
      </c>
      <c r="F164" s="17">
        <f t="shared" si="47"/>
        <v>30030001</v>
      </c>
      <c r="G164" s="17">
        <f>VLOOKUP($R164, '#등급업 재료 개수'!$A$2:$K$5, MATCH(GradeUp!H164, '#등급업 재료 개수'!$A$2:$K$2, 0), FALSE)</f>
        <v>1</v>
      </c>
      <c r="H164" s="17">
        <v>1</v>
      </c>
      <c r="I164" s="17">
        <v>10</v>
      </c>
      <c r="J164" s="17">
        <v>0</v>
      </c>
      <c r="K164" s="17">
        <v>0</v>
      </c>
      <c r="L164" s="17" t="s">
        <v>917</v>
      </c>
      <c r="M164" s="17">
        <v>0</v>
      </c>
      <c r="N164" s="17" t="s">
        <v>918</v>
      </c>
      <c r="O164" s="17">
        <v>0</v>
      </c>
      <c r="P164" s="17" t="s">
        <v>919</v>
      </c>
      <c r="Q164" s="17">
        <v>0</v>
      </c>
      <c r="R164">
        <f>_xlfn.XLOOKUP($B164, 'Detail&lt;Child&gt;'!$A:$A, 'Detail&lt;Child&gt;'!$L:$L)</f>
        <v>2</v>
      </c>
    </row>
    <row r="165" spans="1:18" x14ac:dyDescent="0.3">
      <c r="A165" s="17">
        <f t="shared" si="45"/>
        <v>1000000102</v>
      </c>
      <c r="B165" s="17">
        <v>10000001</v>
      </c>
      <c r="C165" s="17" t="str">
        <f>_xlfn.XLOOKUP(B165,'Detail&lt;Child&gt;'!A:A,'Detail&lt;Child&gt;'!B:B)</f>
        <v>모나</v>
      </c>
      <c r="D165" s="17" t="str">
        <f t="shared" si="46"/>
        <v>character_gradeup_10000001_2</v>
      </c>
      <c r="E165" s="17" t="s">
        <v>923</v>
      </c>
      <c r="F165" s="17">
        <f t="shared" si="47"/>
        <v>30030001</v>
      </c>
      <c r="G165" s="17">
        <f>VLOOKUP($R165, '#등급업 재료 개수'!$A$2:$K$5, MATCH(GradeUp!H165, '#등급업 재료 개수'!$A$2:$K$2, 0), FALSE)</f>
        <v>2</v>
      </c>
      <c r="H165" s="17">
        <v>2</v>
      </c>
      <c r="I165" s="17">
        <v>20</v>
      </c>
      <c r="J165" s="17" t="s">
        <v>30</v>
      </c>
      <c r="K165" s="17">
        <f>_xlfn.IFNA(VLOOKUP($B165, 'Detail&lt;Child&gt;'!$A:$AT, MATCH(J165, 'Detail&lt;Child&gt;'!$3:$3,0 ), FALSE)+INT($H165/12), 0)</f>
        <v>22000101</v>
      </c>
      <c r="L165" s="17" t="s">
        <v>917</v>
      </c>
      <c r="M165" s="17">
        <v>10000</v>
      </c>
      <c r="N165" s="17" t="s">
        <v>918</v>
      </c>
      <c r="O165" s="17">
        <v>10000</v>
      </c>
      <c r="P165" s="17" t="s">
        <v>919</v>
      </c>
      <c r="Q165" s="17">
        <v>10000</v>
      </c>
      <c r="R165">
        <f>_xlfn.XLOOKUP($B165, 'Detail&lt;Child&gt;'!$A:$A, 'Detail&lt;Child&gt;'!$L:$L)</f>
        <v>2</v>
      </c>
    </row>
    <row r="166" spans="1:18" x14ac:dyDescent="0.3">
      <c r="A166" s="17">
        <f t="shared" si="45"/>
        <v>1000000103</v>
      </c>
      <c r="B166" s="17">
        <v>10000001</v>
      </c>
      <c r="C166" s="17" t="str">
        <f>_xlfn.XLOOKUP(B166,'Detail&lt;Child&gt;'!A:A,'Detail&lt;Child&gt;'!B:B)</f>
        <v>모나</v>
      </c>
      <c r="D166" s="17" t="str">
        <f t="shared" si="46"/>
        <v>character_gradeup_10000001_3</v>
      </c>
      <c r="E166" s="17" t="s">
        <v>923</v>
      </c>
      <c r="F166" s="17">
        <f t="shared" si="47"/>
        <v>30030001</v>
      </c>
      <c r="G166" s="17">
        <f>VLOOKUP($R166, '#등급업 재료 개수'!$A$2:$K$5, MATCH(GradeUp!H166, '#등급업 재료 개수'!$A$2:$K$2, 0), FALSE)</f>
        <v>4</v>
      </c>
      <c r="H166" s="17">
        <v>3</v>
      </c>
      <c r="I166" s="17">
        <v>30</v>
      </c>
      <c r="J166" s="17">
        <v>0</v>
      </c>
      <c r="K166" s="17">
        <v>0</v>
      </c>
      <c r="L166" s="17" t="s">
        <v>917</v>
      </c>
      <c r="M166" s="17">
        <f t="shared" ref="M166:M173" si="57">M165+10000</f>
        <v>20000</v>
      </c>
      <c r="N166" s="17" t="s">
        <v>918</v>
      </c>
      <c r="O166" s="17">
        <f t="shared" ref="O166:O173" si="58">O165+10000</f>
        <v>20000</v>
      </c>
      <c r="P166" s="17" t="s">
        <v>919</v>
      </c>
      <c r="Q166" s="17">
        <f t="shared" ref="Q166:Q173" si="59">Q165+10000</f>
        <v>20000</v>
      </c>
      <c r="R166">
        <f>_xlfn.XLOOKUP($B166, 'Detail&lt;Child&gt;'!$A:$A, 'Detail&lt;Child&gt;'!$L:$L)</f>
        <v>2</v>
      </c>
    </row>
    <row r="167" spans="1:18" x14ac:dyDescent="0.3">
      <c r="A167" s="17">
        <f t="shared" si="45"/>
        <v>1000000104</v>
      </c>
      <c r="B167" s="17">
        <v>10000001</v>
      </c>
      <c r="C167" s="17" t="str">
        <f>_xlfn.XLOOKUP(B167,'Detail&lt;Child&gt;'!A:A,'Detail&lt;Child&gt;'!B:B)</f>
        <v>모나</v>
      </c>
      <c r="D167" s="17" t="str">
        <f t="shared" si="46"/>
        <v>character_gradeup_10000001_4</v>
      </c>
      <c r="E167" s="17" t="s">
        <v>923</v>
      </c>
      <c r="F167" s="17">
        <f t="shared" si="47"/>
        <v>30030001</v>
      </c>
      <c r="G167" s="17">
        <f>VLOOKUP($R167, '#등급업 재료 개수'!$A$2:$K$5, MATCH(GradeUp!H167, '#등급업 재료 개수'!$A$2:$K$2, 0), FALSE)</f>
        <v>8</v>
      </c>
      <c r="H167" s="17">
        <v>4</v>
      </c>
      <c r="I167" s="17">
        <v>40</v>
      </c>
      <c r="J167" s="17" t="s">
        <v>32</v>
      </c>
      <c r="K167" s="17">
        <f>_xlfn.IFNA(VLOOKUP($B167, 'Detail&lt;Child&gt;'!$A:$AT, MATCH(J167, 'Detail&lt;Child&gt;'!$3:$3,0 ), FALSE)+INT($H167/12), 0)</f>
        <v>42000101</v>
      </c>
      <c r="L167" s="17" t="s">
        <v>917</v>
      </c>
      <c r="M167" s="17">
        <f t="shared" si="57"/>
        <v>30000</v>
      </c>
      <c r="N167" s="17" t="s">
        <v>918</v>
      </c>
      <c r="O167" s="17">
        <f t="shared" si="58"/>
        <v>30000</v>
      </c>
      <c r="P167" s="17" t="s">
        <v>919</v>
      </c>
      <c r="Q167" s="17">
        <f t="shared" si="59"/>
        <v>30000</v>
      </c>
      <c r="R167">
        <f>_xlfn.XLOOKUP($B167, 'Detail&lt;Child&gt;'!$A:$A, 'Detail&lt;Child&gt;'!$L:$L)</f>
        <v>2</v>
      </c>
    </row>
    <row r="168" spans="1:18" x14ac:dyDescent="0.3">
      <c r="A168" s="17">
        <f t="shared" si="45"/>
        <v>1000000105</v>
      </c>
      <c r="B168" s="17">
        <v>10000001</v>
      </c>
      <c r="C168" s="17" t="str">
        <f>_xlfn.XLOOKUP(B168,'Detail&lt;Child&gt;'!A:A,'Detail&lt;Child&gt;'!B:B)</f>
        <v>모나</v>
      </c>
      <c r="D168" s="17" t="str">
        <f t="shared" si="46"/>
        <v>character_gradeup_10000001_5</v>
      </c>
      <c r="E168" s="17" t="s">
        <v>923</v>
      </c>
      <c r="F168" s="17">
        <f t="shared" si="47"/>
        <v>30030001</v>
      </c>
      <c r="G168" s="17">
        <f>VLOOKUP($R168, '#등급업 재료 개수'!$A$2:$K$5, MATCH(GradeUp!H168, '#등급업 재료 개수'!$A$2:$K$2, 0), FALSE)</f>
        <v>12</v>
      </c>
      <c r="H168" s="17">
        <v>5</v>
      </c>
      <c r="I168" s="17">
        <v>50</v>
      </c>
      <c r="J168" s="17" t="s">
        <v>30</v>
      </c>
      <c r="K168" s="17">
        <f>_xlfn.IFNA(VLOOKUP($B168, 'Detail&lt;Child&gt;'!$A:$AT, MATCH(J168, 'Detail&lt;Child&gt;'!$3:$3,0 ), FALSE)+INT($H168/12), 0)+1</f>
        <v>22000102</v>
      </c>
      <c r="L168" s="17" t="s">
        <v>917</v>
      </c>
      <c r="M168" s="17">
        <f t="shared" si="57"/>
        <v>40000</v>
      </c>
      <c r="N168" s="17" t="s">
        <v>918</v>
      </c>
      <c r="O168" s="17">
        <f t="shared" si="58"/>
        <v>40000</v>
      </c>
      <c r="P168" s="17" t="s">
        <v>919</v>
      </c>
      <c r="Q168" s="17">
        <f t="shared" si="59"/>
        <v>40000</v>
      </c>
      <c r="R168">
        <f>_xlfn.XLOOKUP($B168, 'Detail&lt;Child&gt;'!$A:$A, 'Detail&lt;Child&gt;'!$L:$L)</f>
        <v>2</v>
      </c>
    </row>
    <row r="169" spans="1:18" x14ac:dyDescent="0.3">
      <c r="A169" s="17">
        <f t="shared" si="45"/>
        <v>1000000106</v>
      </c>
      <c r="B169" s="17">
        <v>10000001</v>
      </c>
      <c r="C169" s="17" t="str">
        <f>_xlfn.XLOOKUP(B169,'Detail&lt;Child&gt;'!A:A,'Detail&lt;Child&gt;'!B:B)</f>
        <v>모나</v>
      </c>
      <c r="D169" s="17" t="str">
        <f t="shared" si="46"/>
        <v>character_gradeup_10000001_6</v>
      </c>
      <c r="E169" s="17" t="s">
        <v>923</v>
      </c>
      <c r="F169" s="17">
        <f t="shared" si="47"/>
        <v>30030001</v>
      </c>
      <c r="G169" s="17">
        <f>VLOOKUP($R169, '#등급업 재료 개수'!$A$2:$K$5, MATCH(GradeUp!H169, '#등급업 재료 개수'!$A$2:$K$2, 0), FALSE)</f>
        <v>16</v>
      </c>
      <c r="H169" s="17">
        <v>6</v>
      </c>
      <c r="I169" s="17">
        <v>60</v>
      </c>
      <c r="J169" s="17">
        <v>0</v>
      </c>
      <c r="K169" s="17">
        <v>0</v>
      </c>
      <c r="L169" s="17" t="s">
        <v>917</v>
      </c>
      <c r="M169" s="17">
        <f t="shared" si="57"/>
        <v>50000</v>
      </c>
      <c r="N169" s="17" t="s">
        <v>918</v>
      </c>
      <c r="O169" s="17">
        <f t="shared" si="58"/>
        <v>50000</v>
      </c>
      <c r="P169" s="17" t="s">
        <v>919</v>
      </c>
      <c r="Q169" s="17">
        <f t="shared" si="59"/>
        <v>50000</v>
      </c>
      <c r="R169">
        <f>_xlfn.XLOOKUP($B169, 'Detail&lt;Child&gt;'!$A:$A, 'Detail&lt;Child&gt;'!$L:$L)</f>
        <v>2</v>
      </c>
    </row>
    <row r="170" spans="1:18" x14ac:dyDescent="0.3">
      <c r="A170" s="17">
        <f t="shared" si="45"/>
        <v>1000000107</v>
      </c>
      <c r="B170" s="17">
        <v>10000001</v>
      </c>
      <c r="C170" s="17" t="str">
        <f>_xlfn.XLOOKUP(B170,'Detail&lt;Child&gt;'!A:A,'Detail&lt;Child&gt;'!B:B)</f>
        <v>모나</v>
      </c>
      <c r="D170" s="17" t="str">
        <f t="shared" si="46"/>
        <v>character_gradeup_10000001_7</v>
      </c>
      <c r="E170" s="17" t="s">
        <v>923</v>
      </c>
      <c r="F170" s="17">
        <f t="shared" si="47"/>
        <v>30030001</v>
      </c>
      <c r="G170" s="17">
        <f>VLOOKUP($R170, '#등급업 재료 개수'!$A$2:$K$5, MATCH(GradeUp!H170, '#등급업 재료 개수'!$A$2:$K$2, 0), FALSE)</f>
        <v>20</v>
      </c>
      <c r="H170" s="17">
        <v>7</v>
      </c>
      <c r="I170" s="17">
        <v>70</v>
      </c>
      <c r="J170" s="17" t="s">
        <v>32</v>
      </c>
      <c r="K170" s="17">
        <f>_xlfn.IFNA(VLOOKUP($B170, 'Detail&lt;Child&gt;'!$A:$AT, MATCH(J170, 'Detail&lt;Child&gt;'!$3:$3,0 ), FALSE)+INT($H170/12), 0)+1</f>
        <v>42000102</v>
      </c>
      <c r="L170" s="17" t="s">
        <v>917</v>
      </c>
      <c r="M170" s="17">
        <f t="shared" si="57"/>
        <v>60000</v>
      </c>
      <c r="N170" s="17" t="s">
        <v>918</v>
      </c>
      <c r="O170" s="17">
        <f t="shared" si="58"/>
        <v>60000</v>
      </c>
      <c r="P170" s="17" t="s">
        <v>919</v>
      </c>
      <c r="Q170" s="17">
        <f t="shared" si="59"/>
        <v>60000</v>
      </c>
      <c r="R170">
        <f>_xlfn.XLOOKUP($B170, 'Detail&lt;Child&gt;'!$A:$A, 'Detail&lt;Child&gt;'!$L:$L)</f>
        <v>2</v>
      </c>
    </row>
    <row r="171" spans="1:18" x14ac:dyDescent="0.3">
      <c r="A171" s="17">
        <f t="shared" si="45"/>
        <v>1000000108</v>
      </c>
      <c r="B171" s="17">
        <v>10000001</v>
      </c>
      <c r="C171" s="17" t="str">
        <f>_xlfn.XLOOKUP(B171,'Detail&lt;Child&gt;'!A:A,'Detail&lt;Child&gt;'!B:B)</f>
        <v>모나</v>
      </c>
      <c r="D171" s="17" t="str">
        <f t="shared" si="46"/>
        <v>character_gradeup_10000001_8</v>
      </c>
      <c r="E171" s="17" t="s">
        <v>923</v>
      </c>
      <c r="F171" s="17">
        <f t="shared" si="47"/>
        <v>30030001</v>
      </c>
      <c r="G171" s="17">
        <f>VLOOKUP($R171, '#등급업 재료 개수'!$A$2:$K$5, MATCH(GradeUp!H171, '#등급업 재료 개수'!$A$2:$K$2, 0), FALSE)</f>
        <v>24</v>
      </c>
      <c r="H171" s="17">
        <v>8</v>
      </c>
      <c r="I171" s="17">
        <v>80</v>
      </c>
      <c r="J171" s="17">
        <v>0</v>
      </c>
      <c r="K171" s="17">
        <v>0</v>
      </c>
      <c r="L171" s="17" t="s">
        <v>917</v>
      </c>
      <c r="M171" s="17">
        <f t="shared" si="57"/>
        <v>70000</v>
      </c>
      <c r="N171" s="17" t="s">
        <v>918</v>
      </c>
      <c r="O171" s="17">
        <f t="shared" si="58"/>
        <v>70000</v>
      </c>
      <c r="P171" s="17" t="s">
        <v>919</v>
      </c>
      <c r="Q171" s="17">
        <f t="shared" si="59"/>
        <v>70000</v>
      </c>
      <c r="R171">
        <f>_xlfn.XLOOKUP($B171, 'Detail&lt;Child&gt;'!$A:$A, 'Detail&lt;Child&gt;'!$L:$L)</f>
        <v>2</v>
      </c>
    </row>
    <row r="172" spans="1:18" x14ac:dyDescent="0.3">
      <c r="A172" s="17">
        <f t="shared" si="45"/>
        <v>1000000109</v>
      </c>
      <c r="B172" s="17">
        <v>10000001</v>
      </c>
      <c r="C172" s="17" t="str">
        <f>_xlfn.XLOOKUP(B172,'Detail&lt;Child&gt;'!A:A,'Detail&lt;Child&gt;'!B:B)</f>
        <v>모나</v>
      </c>
      <c r="D172" s="17" t="str">
        <f t="shared" si="46"/>
        <v>character_gradeup_10000001_9</v>
      </c>
      <c r="E172" s="17" t="s">
        <v>923</v>
      </c>
      <c r="F172" s="17">
        <f t="shared" si="47"/>
        <v>30030001</v>
      </c>
      <c r="G172" s="17">
        <f>VLOOKUP($R172, '#등급업 재료 개수'!$A$2:$K$5, MATCH(GradeUp!H172, '#등급업 재료 개수'!$A$2:$K$2, 0), FALSE)</f>
        <v>28</v>
      </c>
      <c r="H172" s="17">
        <v>9</v>
      </c>
      <c r="I172" s="17">
        <v>90</v>
      </c>
      <c r="J172" s="17" t="s">
        <v>31</v>
      </c>
      <c r="K172" s="17">
        <f>_xlfn.IFNA(VLOOKUP($B172, 'Detail&lt;Child&gt;'!$A:$AT, MATCH(J172, 'Detail&lt;Child&gt;'!$3:$3,0 ), FALSE)+INT($H172/12), 0)+1</f>
        <v>32000102</v>
      </c>
      <c r="L172" s="17" t="s">
        <v>917</v>
      </c>
      <c r="M172" s="17">
        <f t="shared" si="57"/>
        <v>80000</v>
      </c>
      <c r="N172" s="17" t="s">
        <v>918</v>
      </c>
      <c r="O172" s="17">
        <f t="shared" si="58"/>
        <v>80000</v>
      </c>
      <c r="P172" s="17" t="s">
        <v>919</v>
      </c>
      <c r="Q172" s="17">
        <f t="shared" si="59"/>
        <v>80000</v>
      </c>
      <c r="R172">
        <f>_xlfn.XLOOKUP($B172, 'Detail&lt;Child&gt;'!$A:$A, 'Detail&lt;Child&gt;'!$L:$L)</f>
        <v>2</v>
      </c>
    </row>
    <row r="173" spans="1:18" x14ac:dyDescent="0.3">
      <c r="A173" s="17">
        <f t="shared" si="45"/>
        <v>1000000110</v>
      </c>
      <c r="B173" s="17">
        <v>10000001</v>
      </c>
      <c r="C173" s="17" t="str">
        <f>_xlfn.XLOOKUP(B173,'Detail&lt;Child&gt;'!A:A,'Detail&lt;Child&gt;'!B:B)</f>
        <v>모나</v>
      </c>
      <c r="D173" s="17" t="str">
        <f t="shared" si="46"/>
        <v>character_gradeup_10000001_10</v>
      </c>
      <c r="E173" s="17" t="s">
        <v>923</v>
      </c>
      <c r="F173" s="17">
        <f t="shared" si="47"/>
        <v>30030001</v>
      </c>
      <c r="G173" s="17">
        <f>VLOOKUP($R173, '#등급업 재료 개수'!$A$2:$K$5, MATCH(GradeUp!H173, '#등급업 재료 개수'!$A$2:$K$2, 0), FALSE)</f>
        <v>999</v>
      </c>
      <c r="H173" s="17">
        <v>10</v>
      </c>
      <c r="I173" s="17">
        <v>100</v>
      </c>
      <c r="J173" s="17">
        <v>0</v>
      </c>
      <c r="K173" s="17">
        <v>0</v>
      </c>
      <c r="L173" s="17" t="s">
        <v>917</v>
      </c>
      <c r="M173" s="17">
        <f t="shared" si="57"/>
        <v>90000</v>
      </c>
      <c r="N173" s="17" t="s">
        <v>918</v>
      </c>
      <c r="O173" s="17">
        <f t="shared" si="58"/>
        <v>90000</v>
      </c>
      <c r="P173" s="17" t="s">
        <v>919</v>
      </c>
      <c r="Q173" s="17">
        <f t="shared" si="59"/>
        <v>90000</v>
      </c>
      <c r="R173">
        <f>_xlfn.XLOOKUP($B173, 'Detail&lt;Child&gt;'!$A:$A, 'Detail&lt;Child&gt;'!$L:$L)</f>
        <v>2</v>
      </c>
    </row>
    <row r="174" spans="1:18" x14ac:dyDescent="0.3">
      <c r="A174" s="17">
        <f t="shared" si="45"/>
        <v>1000050201</v>
      </c>
      <c r="B174" s="17">
        <v>10000502</v>
      </c>
      <c r="C174" s="17" t="str">
        <f>_xlfn.XLOOKUP(B174,'Detail&lt;Child&gt;'!A:A,'Detail&lt;Child&gt;'!B:B)</f>
        <v>도계화</v>
      </c>
      <c r="D174" s="17" t="str">
        <f t="shared" si="46"/>
        <v>character_gradeup_10000502_1</v>
      </c>
      <c r="E174" s="17" t="s">
        <v>923</v>
      </c>
      <c r="F174" s="17">
        <f t="shared" si="47"/>
        <v>30030502</v>
      </c>
      <c r="G174" s="17">
        <f>VLOOKUP($R174, '#등급업 재료 개수'!$A$2:$K$5, MATCH(GradeUp!H174, '#등급업 재료 개수'!$A$2:$K$2, 0), FALSE)</f>
        <v>1</v>
      </c>
      <c r="H174" s="17">
        <v>1</v>
      </c>
      <c r="I174" s="17">
        <v>10</v>
      </c>
      <c r="J174" s="17">
        <v>0</v>
      </c>
      <c r="K174" s="17">
        <v>0</v>
      </c>
      <c r="L174" s="17" t="s">
        <v>917</v>
      </c>
      <c r="M174" s="17">
        <v>0</v>
      </c>
      <c r="N174" s="17" t="s">
        <v>918</v>
      </c>
      <c r="O174" s="17">
        <v>0</v>
      </c>
      <c r="P174" s="17" t="s">
        <v>919</v>
      </c>
      <c r="Q174" s="17">
        <v>0</v>
      </c>
      <c r="R174">
        <f>_xlfn.XLOOKUP($B174, 'Detail&lt;Child&gt;'!$A:$A, 'Detail&lt;Child&gt;'!$L:$L)</f>
        <v>3</v>
      </c>
    </row>
    <row r="175" spans="1:18" x14ac:dyDescent="0.3">
      <c r="A175" s="17">
        <f t="shared" si="45"/>
        <v>1000050202</v>
      </c>
      <c r="B175" s="17">
        <v>10000502</v>
      </c>
      <c r="C175" s="17" t="str">
        <f>_xlfn.XLOOKUP(B175,'Detail&lt;Child&gt;'!A:A,'Detail&lt;Child&gt;'!B:B)</f>
        <v>도계화</v>
      </c>
      <c r="D175" s="17" t="str">
        <f t="shared" si="46"/>
        <v>character_gradeup_10000502_2</v>
      </c>
      <c r="E175" s="17" t="s">
        <v>923</v>
      </c>
      <c r="F175" s="17">
        <f t="shared" si="47"/>
        <v>30030502</v>
      </c>
      <c r="G175" s="17">
        <f>VLOOKUP($R175, '#등급업 재료 개수'!$A$2:$K$5, MATCH(GradeUp!H175, '#등급업 재료 개수'!$A$2:$K$2, 0), FALSE)</f>
        <v>1</v>
      </c>
      <c r="H175" s="17">
        <v>2</v>
      </c>
      <c r="I175" s="17">
        <v>20</v>
      </c>
      <c r="J175" s="17" t="s">
        <v>30</v>
      </c>
      <c r="K175" s="17">
        <f>_xlfn.IFNA(VLOOKUP($B175, 'Detail&lt;Child&gt;'!$A:$AT, MATCH(J175, 'Detail&lt;Child&gt;'!$3:$3,0 ), FALSE)+INT($H175/12), 0)</f>
        <v>23050201</v>
      </c>
      <c r="L175" s="17" t="s">
        <v>917</v>
      </c>
      <c r="M175" s="17">
        <v>0</v>
      </c>
      <c r="N175" s="17" t="s">
        <v>918</v>
      </c>
      <c r="O175" s="17">
        <v>0</v>
      </c>
      <c r="P175" s="17" t="s">
        <v>919</v>
      </c>
      <c r="Q175" s="17">
        <v>0</v>
      </c>
      <c r="R175">
        <f>_xlfn.XLOOKUP($B175, 'Detail&lt;Child&gt;'!$A:$A, 'Detail&lt;Child&gt;'!$L:$L)</f>
        <v>3</v>
      </c>
    </row>
    <row r="176" spans="1:18" x14ac:dyDescent="0.3">
      <c r="A176" s="17">
        <f t="shared" si="45"/>
        <v>1000050203</v>
      </c>
      <c r="B176" s="17">
        <v>10000502</v>
      </c>
      <c r="C176" s="17" t="str">
        <f>_xlfn.XLOOKUP(B176,'Detail&lt;Child&gt;'!A:A,'Detail&lt;Child&gt;'!B:B)</f>
        <v>도계화</v>
      </c>
      <c r="D176" s="17" t="str">
        <f t="shared" si="46"/>
        <v>character_gradeup_10000502_3</v>
      </c>
      <c r="E176" s="17" t="s">
        <v>923</v>
      </c>
      <c r="F176" s="17">
        <f t="shared" si="47"/>
        <v>30030502</v>
      </c>
      <c r="G176" s="17">
        <f>VLOOKUP($R176, '#등급업 재료 개수'!$A$2:$K$5, MATCH(GradeUp!H176, '#등급업 재료 개수'!$A$2:$K$2, 0), FALSE)</f>
        <v>1</v>
      </c>
      <c r="H176" s="17">
        <v>3</v>
      </c>
      <c r="I176" s="17">
        <v>30</v>
      </c>
      <c r="J176" s="17">
        <v>0</v>
      </c>
      <c r="K176" s="17">
        <v>0</v>
      </c>
      <c r="L176" s="17" t="s">
        <v>917</v>
      </c>
      <c r="M176" s="17">
        <v>10000</v>
      </c>
      <c r="N176" s="17" t="s">
        <v>918</v>
      </c>
      <c r="O176" s="17">
        <v>10000</v>
      </c>
      <c r="P176" s="17" t="s">
        <v>919</v>
      </c>
      <c r="Q176" s="17">
        <v>10000</v>
      </c>
      <c r="R176">
        <f>_xlfn.XLOOKUP($B176, 'Detail&lt;Child&gt;'!$A:$A, 'Detail&lt;Child&gt;'!$L:$L)</f>
        <v>3</v>
      </c>
    </row>
    <row r="177" spans="1:18" x14ac:dyDescent="0.3">
      <c r="A177" s="17">
        <f t="shared" si="45"/>
        <v>1000050204</v>
      </c>
      <c r="B177" s="17">
        <v>10000502</v>
      </c>
      <c r="C177" s="17" t="str">
        <f>_xlfn.XLOOKUP(B177,'Detail&lt;Child&gt;'!A:A,'Detail&lt;Child&gt;'!B:B)</f>
        <v>도계화</v>
      </c>
      <c r="D177" s="17" t="str">
        <f t="shared" si="46"/>
        <v>character_gradeup_10000502_4</v>
      </c>
      <c r="E177" s="17" t="s">
        <v>923</v>
      </c>
      <c r="F177" s="17">
        <f t="shared" si="47"/>
        <v>30030502</v>
      </c>
      <c r="G177" s="17">
        <f>VLOOKUP($R177, '#등급업 재료 개수'!$A$2:$K$5, MATCH(GradeUp!H177, '#등급업 재료 개수'!$A$2:$K$2, 0), FALSE)</f>
        <v>2</v>
      </c>
      <c r="H177" s="17">
        <v>4</v>
      </c>
      <c r="I177" s="17">
        <v>40</v>
      </c>
      <c r="J177" s="17" t="s">
        <v>32</v>
      </c>
      <c r="K177" s="17">
        <f>_xlfn.IFNA(VLOOKUP($B177, 'Detail&lt;Child&gt;'!$A:$AT, MATCH(J177, 'Detail&lt;Child&gt;'!$3:$3,0 ), FALSE)+INT($H177/12), 0)</f>
        <v>43050201</v>
      </c>
      <c r="L177" s="17" t="s">
        <v>917</v>
      </c>
      <c r="M177" s="17">
        <f t="shared" ref="M177:M183" si="60">M176+10000</f>
        <v>20000</v>
      </c>
      <c r="N177" s="17" t="s">
        <v>918</v>
      </c>
      <c r="O177" s="17">
        <f t="shared" ref="O177:O183" si="61">O176+10000</f>
        <v>20000</v>
      </c>
      <c r="P177" s="17" t="s">
        <v>919</v>
      </c>
      <c r="Q177" s="17">
        <f t="shared" ref="Q177:Q183" si="62">Q176+10000</f>
        <v>20000</v>
      </c>
      <c r="R177">
        <f>_xlfn.XLOOKUP($B177, 'Detail&lt;Child&gt;'!$A:$A, 'Detail&lt;Child&gt;'!$L:$L)</f>
        <v>3</v>
      </c>
    </row>
    <row r="178" spans="1:18" x14ac:dyDescent="0.3">
      <c r="A178" s="17">
        <f t="shared" si="45"/>
        <v>1000050205</v>
      </c>
      <c r="B178" s="17">
        <v>10000502</v>
      </c>
      <c r="C178" s="17" t="str">
        <f>_xlfn.XLOOKUP(B178,'Detail&lt;Child&gt;'!A:A,'Detail&lt;Child&gt;'!B:B)</f>
        <v>도계화</v>
      </c>
      <c r="D178" s="17" t="str">
        <f t="shared" si="46"/>
        <v>character_gradeup_10000502_5</v>
      </c>
      <c r="E178" s="17" t="s">
        <v>923</v>
      </c>
      <c r="F178" s="17">
        <f t="shared" si="47"/>
        <v>30030502</v>
      </c>
      <c r="G178" s="17">
        <f>VLOOKUP($R178, '#등급업 재료 개수'!$A$2:$K$5, MATCH(GradeUp!H178, '#등급업 재료 개수'!$A$2:$K$2, 0), FALSE)</f>
        <v>4</v>
      </c>
      <c r="H178" s="17">
        <v>5</v>
      </c>
      <c r="I178" s="17">
        <v>50</v>
      </c>
      <c r="J178" s="17" t="s">
        <v>30</v>
      </c>
      <c r="K178" s="17">
        <f>_xlfn.IFNA(VLOOKUP($B178, 'Detail&lt;Child&gt;'!$A:$AT, MATCH(J178, 'Detail&lt;Child&gt;'!$3:$3,0 ), FALSE)+INT($H178/12), 0)+1</f>
        <v>23050202</v>
      </c>
      <c r="L178" s="17" t="s">
        <v>917</v>
      </c>
      <c r="M178" s="17">
        <f t="shared" si="60"/>
        <v>30000</v>
      </c>
      <c r="N178" s="17" t="s">
        <v>918</v>
      </c>
      <c r="O178" s="17">
        <f t="shared" si="61"/>
        <v>30000</v>
      </c>
      <c r="P178" s="17" t="s">
        <v>919</v>
      </c>
      <c r="Q178" s="17">
        <f t="shared" si="62"/>
        <v>30000</v>
      </c>
      <c r="R178">
        <f>_xlfn.XLOOKUP($B178, 'Detail&lt;Child&gt;'!$A:$A, 'Detail&lt;Child&gt;'!$L:$L)</f>
        <v>3</v>
      </c>
    </row>
    <row r="179" spans="1:18" x14ac:dyDescent="0.3">
      <c r="A179" s="17">
        <f t="shared" si="45"/>
        <v>1000050206</v>
      </c>
      <c r="B179" s="17">
        <v>10000502</v>
      </c>
      <c r="C179" s="17" t="str">
        <f>_xlfn.XLOOKUP(B179,'Detail&lt;Child&gt;'!A:A,'Detail&lt;Child&gt;'!B:B)</f>
        <v>도계화</v>
      </c>
      <c r="D179" s="17" t="str">
        <f t="shared" si="46"/>
        <v>character_gradeup_10000502_6</v>
      </c>
      <c r="E179" s="17" t="s">
        <v>923</v>
      </c>
      <c r="F179" s="17">
        <f t="shared" si="47"/>
        <v>30030502</v>
      </c>
      <c r="G179" s="17">
        <f>VLOOKUP($R179, '#등급업 재료 개수'!$A$2:$K$5, MATCH(GradeUp!H179, '#등급업 재료 개수'!$A$2:$K$2, 0), FALSE)</f>
        <v>6</v>
      </c>
      <c r="H179" s="17">
        <v>6</v>
      </c>
      <c r="I179" s="17">
        <v>60</v>
      </c>
      <c r="J179" s="17">
        <v>0</v>
      </c>
      <c r="K179" s="17">
        <v>0</v>
      </c>
      <c r="L179" s="17" t="s">
        <v>917</v>
      </c>
      <c r="M179" s="17">
        <f t="shared" si="60"/>
        <v>40000</v>
      </c>
      <c r="N179" s="17" t="s">
        <v>918</v>
      </c>
      <c r="O179" s="17">
        <f t="shared" si="61"/>
        <v>40000</v>
      </c>
      <c r="P179" s="17" t="s">
        <v>919</v>
      </c>
      <c r="Q179" s="17">
        <f t="shared" si="62"/>
        <v>40000</v>
      </c>
      <c r="R179">
        <f>_xlfn.XLOOKUP($B179, 'Detail&lt;Child&gt;'!$A:$A, 'Detail&lt;Child&gt;'!$L:$L)</f>
        <v>3</v>
      </c>
    </row>
    <row r="180" spans="1:18" x14ac:dyDescent="0.3">
      <c r="A180" s="17">
        <f t="shared" si="45"/>
        <v>1000050207</v>
      </c>
      <c r="B180" s="17">
        <v>10000502</v>
      </c>
      <c r="C180" s="17" t="str">
        <f>_xlfn.XLOOKUP(B180,'Detail&lt;Child&gt;'!A:A,'Detail&lt;Child&gt;'!B:B)</f>
        <v>도계화</v>
      </c>
      <c r="D180" s="17" t="str">
        <f t="shared" si="46"/>
        <v>character_gradeup_10000502_7</v>
      </c>
      <c r="E180" s="17" t="s">
        <v>923</v>
      </c>
      <c r="F180" s="17">
        <f t="shared" si="47"/>
        <v>30030502</v>
      </c>
      <c r="G180" s="17">
        <f>VLOOKUP($R180, '#등급업 재료 개수'!$A$2:$K$5, MATCH(GradeUp!H180, '#등급업 재료 개수'!$A$2:$K$2, 0), FALSE)</f>
        <v>8</v>
      </c>
      <c r="H180" s="17">
        <v>7</v>
      </c>
      <c r="I180" s="17">
        <v>70</v>
      </c>
      <c r="J180" s="17" t="s">
        <v>32</v>
      </c>
      <c r="K180" s="17">
        <f>_xlfn.IFNA(VLOOKUP($B180, 'Detail&lt;Child&gt;'!$A:$AT, MATCH(J180, 'Detail&lt;Child&gt;'!$3:$3,0 ), FALSE)+INT($H180/12), 0)+1</f>
        <v>43050202</v>
      </c>
      <c r="L180" s="17" t="s">
        <v>917</v>
      </c>
      <c r="M180" s="17">
        <f t="shared" si="60"/>
        <v>50000</v>
      </c>
      <c r="N180" s="17" t="s">
        <v>918</v>
      </c>
      <c r="O180" s="17">
        <f t="shared" si="61"/>
        <v>50000</v>
      </c>
      <c r="P180" s="17" t="s">
        <v>919</v>
      </c>
      <c r="Q180" s="17">
        <f t="shared" si="62"/>
        <v>50000</v>
      </c>
      <c r="R180">
        <f>_xlfn.XLOOKUP($B180, 'Detail&lt;Child&gt;'!$A:$A, 'Detail&lt;Child&gt;'!$L:$L)</f>
        <v>3</v>
      </c>
    </row>
    <row r="181" spans="1:18" x14ac:dyDescent="0.3">
      <c r="A181" s="17">
        <f t="shared" si="45"/>
        <v>1000050208</v>
      </c>
      <c r="B181" s="17">
        <v>10000502</v>
      </c>
      <c r="C181" s="17" t="str">
        <f>_xlfn.XLOOKUP(B181,'Detail&lt;Child&gt;'!A:A,'Detail&lt;Child&gt;'!B:B)</f>
        <v>도계화</v>
      </c>
      <c r="D181" s="17" t="str">
        <f t="shared" si="46"/>
        <v>character_gradeup_10000502_8</v>
      </c>
      <c r="E181" s="17" t="s">
        <v>923</v>
      </c>
      <c r="F181" s="17">
        <f t="shared" si="47"/>
        <v>30030502</v>
      </c>
      <c r="G181" s="17">
        <f>VLOOKUP($R181, '#등급업 재료 개수'!$A$2:$K$5, MATCH(GradeUp!H181, '#등급업 재료 개수'!$A$2:$K$2, 0), FALSE)</f>
        <v>10</v>
      </c>
      <c r="H181" s="17">
        <v>8</v>
      </c>
      <c r="I181" s="17">
        <v>80</v>
      </c>
      <c r="J181" s="17">
        <v>0</v>
      </c>
      <c r="K181" s="17">
        <v>0</v>
      </c>
      <c r="L181" s="17" t="s">
        <v>917</v>
      </c>
      <c r="M181" s="17">
        <f t="shared" si="60"/>
        <v>60000</v>
      </c>
      <c r="N181" s="17" t="s">
        <v>918</v>
      </c>
      <c r="O181" s="17">
        <f t="shared" si="61"/>
        <v>60000</v>
      </c>
      <c r="P181" s="17" t="s">
        <v>919</v>
      </c>
      <c r="Q181" s="17">
        <f t="shared" si="62"/>
        <v>60000</v>
      </c>
      <c r="R181">
        <f>_xlfn.XLOOKUP($B181, 'Detail&lt;Child&gt;'!$A:$A, 'Detail&lt;Child&gt;'!$L:$L)</f>
        <v>3</v>
      </c>
    </row>
    <row r="182" spans="1:18" x14ac:dyDescent="0.3">
      <c r="A182" s="17">
        <f t="shared" si="45"/>
        <v>1000050209</v>
      </c>
      <c r="B182" s="17">
        <v>10000502</v>
      </c>
      <c r="C182" s="17" t="str">
        <f>_xlfn.XLOOKUP(B182,'Detail&lt;Child&gt;'!A:A,'Detail&lt;Child&gt;'!B:B)</f>
        <v>도계화</v>
      </c>
      <c r="D182" s="17" t="str">
        <f t="shared" si="46"/>
        <v>character_gradeup_10000502_9</v>
      </c>
      <c r="E182" s="17" t="s">
        <v>923</v>
      </c>
      <c r="F182" s="17">
        <f t="shared" si="47"/>
        <v>30030502</v>
      </c>
      <c r="G182" s="17">
        <f>VLOOKUP($R182, '#등급업 재료 개수'!$A$2:$K$5, MATCH(GradeUp!H182, '#등급업 재료 개수'!$A$2:$K$2, 0), FALSE)</f>
        <v>12</v>
      </c>
      <c r="H182" s="17">
        <v>9</v>
      </c>
      <c r="I182" s="17">
        <v>90</v>
      </c>
      <c r="J182" s="17" t="s">
        <v>31</v>
      </c>
      <c r="K182" s="17">
        <f>_xlfn.IFNA(VLOOKUP($B182, 'Detail&lt;Child&gt;'!$A:$AT, MATCH(J182, 'Detail&lt;Child&gt;'!$3:$3,0 ), FALSE)+INT($H182/12), 0)+1</f>
        <v>33050202</v>
      </c>
      <c r="L182" s="17" t="s">
        <v>917</v>
      </c>
      <c r="M182" s="17">
        <f t="shared" si="60"/>
        <v>70000</v>
      </c>
      <c r="N182" s="17" t="s">
        <v>918</v>
      </c>
      <c r="O182" s="17">
        <f t="shared" si="61"/>
        <v>70000</v>
      </c>
      <c r="P182" s="17" t="s">
        <v>919</v>
      </c>
      <c r="Q182" s="17">
        <f t="shared" si="62"/>
        <v>70000</v>
      </c>
      <c r="R182">
        <f>_xlfn.XLOOKUP($B182, 'Detail&lt;Child&gt;'!$A:$A, 'Detail&lt;Child&gt;'!$L:$L)</f>
        <v>3</v>
      </c>
    </row>
    <row r="183" spans="1:18" x14ac:dyDescent="0.3">
      <c r="A183" s="17">
        <f t="shared" si="45"/>
        <v>1000050210</v>
      </c>
      <c r="B183" s="17">
        <v>10000502</v>
      </c>
      <c r="C183" s="17" t="str">
        <f>_xlfn.XLOOKUP(B183,'Detail&lt;Child&gt;'!A:A,'Detail&lt;Child&gt;'!B:B)</f>
        <v>도계화</v>
      </c>
      <c r="D183" s="17" t="str">
        <f t="shared" si="46"/>
        <v>character_gradeup_10000502_10</v>
      </c>
      <c r="E183" s="17" t="s">
        <v>923</v>
      </c>
      <c r="F183" s="17">
        <f t="shared" si="47"/>
        <v>30030502</v>
      </c>
      <c r="G183" s="17">
        <f>VLOOKUP($R183, '#등급업 재료 개수'!$A$2:$K$5, MATCH(GradeUp!H183, '#등급업 재료 개수'!$A$2:$K$2, 0), FALSE)</f>
        <v>999</v>
      </c>
      <c r="H183" s="17">
        <v>10</v>
      </c>
      <c r="I183" s="17">
        <v>100</v>
      </c>
      <c r="J183" s="17">
        <v>0</v>
      </c>
      <c r="K183" s="17">
        <v>0</v>
      </c>
      <c r="L183" s="17" t="s">
        <v>917</v>
      </c>
      <c r="M183" s="17">
        <f t="shared" si="60"/>
        <v>80000</v>
      </c>
      <c r="N183" s="17" t="s">
        <v>918</v>
      </c>
      <c r="O183" s="17">
        <f t="shared" si="61"/>
        <v>80000</v>
      </c>
      <c r="P183" s="17" t="s">
        <v>919</v>
      </c>
      <c r="Q183" s="17">
        <f t="shared" si="62"/>
        <v>80000</v>
      </c>
      <c r="R183">
        <f>_xlfn.XLOOKUP($B183, 'Detail&lt;Child&gt;'!$A:$A, 'Detail&lt;Child&gt;'!$L:$L)</f>
        <v>3</v>
      </c>
    </row>
    <row r="184" spans="1:18" x14ac:dyDescent="0.3">
      <c r="A184" s="17">
        <f t="shared" si="45"/>
        <v>1000041201</v>
      </c>
      <c r="B184" s="17">
        <v>10000412</v>
      </c>
      <c r="C184" s="17" t="str">
        <f>_xlfn.XLOOKUP(B184,'Detail&lt;Child&gt;'!A:A,'Detail&lt;Child&gt;'!B:B)</f>
        <v>카인</v>
      </c>
      <c r="D184" s="17" t="str">
        <f t="shared" si="46"/>
        <v>character_gradeup_10000412_1</v>
      </c>
      <c r="E184" s="17" t="s">
        <v>923</v>
      </c>
      <c r="F184" s="17">
        <f t="shared" si="47"/>
        <v>30030412</v>
      </c>
      <c r="G184" s="17">
        <f>VLOOKUP($R184, '#등급업 재료 개수'!$A$2:$K$5, MATCH(GradeUp!H184, '#등급업 재료 개수'!$A$2:$K$2, 0), FALSE)</f>
        <v>1</v>
      </c>
      <c r="H184" s="17">
        <v>1</v>
      </c>
      <c r="I184" s="17">
        <v>10</v>
      </c>
      <c r="J184" s="17">
        <v>0</v>
      </c>
      <c r="K184" s="17">
        <v>0</v>
      </c>
      <c r="L184" s="17" t="s">
        <v>917</v>
      </c>
      <c r="M184" s="17">
        <v>0</v>
      </c>
      <c r="N184" s="17" t="s">
        <v>918</v>
      </c>
      <c r="O184" s="17">
        <v>0</v>
      </c>
      <c r="P184" s="17" t="s">
        <v>919</v>
      </c>
      <c r="Q184" s="17">
        <v>0</v>
      </c>
      <c r="R184">
        <f>_xlfn.XLOOKUP($B184, 'Detail&lt;Child&gt;'!$A:$A, 'Detail&lt;Child&gt;'!$L:$L)</f>
        <v>2</v>
      </c>
    </row>
    <row r="185" spans="1:18" x14ac:dyDescent="0.3">
      <c r="A185" s="17">
        <f t="shared" si="45"/>
        <v>1000041202</v>
      </c>
      <c r="B185" s="17">
        <v>10000412</v>
      </c>
      <c r="C185" s="17" t="str">
        <f>_xlfn.XLOOKUP(B185,'Detail&lt;Child&gt;'!A:A,'Detail&lt;Child&gt;'!B:B)</f>
        <v>카인</v>
      </c>
      <c r="D185" s="17" t="str">
        <f t="shared" si="46"/>
        <v>character_gradeup_10000412_2</v>
      </c>
      <c r="E185" s="17" t="s">
        <v>923</v>
      </c>
      <c r="F185" s="17">
        <f t="shared" si="47"/>
        <v>30030412</v>
      </c>
      <c r="G185" s="17">
        <f>VLOOKUP($R185, '#등급업 재료 개수'!$A$2:$K$5, MATCH(GradeUp!H185, '#등급업 재료 개수'!$A$2:$K$2, 0), FALSE)</f>
        <v>2</v>
      </c>
      <c r="H185" s="17">
        <v>2</v>
      </c>
      <c r="I185" s="17">
        <v>20</v>
      </c>
      <c r="J185" s="17" t="s">
        <v>30</v>
      </c>
      <c r="K185" s="17">
        <f>_xlfn.IFNA(VLOOKUP($B185, 'Detail&lt;Child&gt;'!$A:$AT, MATCH(J185, 'Detail&lt;Child&gt;'!$3:$3,0 ), FALSE)+INT($H185/12), 0)</f>
        <v>22041201</v>
      </c>
      <c r="L185" s="17" t="s">
        <v>917</v>
      </c>
      <c r="M185" s="17">
        <v>10000</v>
      </c>
      <c r="N185" s="17" t="s">
        <v>918</v>
      </c>
      <c r="O185" s="17">
        <v>10000</v>
      </c>
      <c r="P185" s="17" t="s">
        <v>919</v>
      </c>
      <c r="Q185" s="17">
        <v>10000</v>
      </c>
      <c r="R185">
        <f>_xlfn.XLOOKUP($B185, 'Detail&lt;Child&gt;'!$A:$A, 'Detail&lt;Child&gt;'!$L:$L)</f>
        <v>2</v>
      </c>
    </row>
    <row r="186" spans="1:18" x14ac:dyDescent="0.3">
      <c r="A186" s="17">
        <f t="shared" si="45"/>
        <v>1000041203</v>
      </c>
      <c r="B186" s="17">
        <v>10000412</v>
      </c>
      <c r="C186" s="17" t="str">
        <f>_xlfn.XLOOKUP(B186,'Detail&lt;Child&gt;'!A:A,'Detail&lt;Child&gt;'!B:B)</f>
        <v>카인</v>
      </c>
      <c r="D186" s="17" t="str">
        <f t="shared" si="46"/>
        <v>character_gradeup_10000412_3</v>
      </c>
      <c r="E186" s="17" t="s">
        <v>923</v>
      </c>
      <c r="F186" s="17">
        <f t="shared" si="47"/>
        <v>30030412</v>
      </c>
      <c r="G186" s="17">
        <f>VLOOKUP($R186, '#등급업 재료 개수'!$A$2:$K$5, MATCH(GradeUp!H186, '#등급업 재료 개수'!$A$2:$K$2, 0), FALSE)</f>
        <v>4</v>
      </c>
      <c r="H186" s="17">
        <v>3</v>
      </c>
      <c r="I186" s="17">
        <v>30</v>
      </c>
      <c r="J186" s="17">
        <v>0</v>
      </c>
      <c r="K186" s="17">
        <v>0</v>
      </c>
      <c r="L186" s="17" t="s">
        <v>917</v>
      </c>
      <c r="M186" s="17">
        <f t="shared" ref="M186:M193" si="63">M185+10000</f>
        <v>20000</v>
      </c>
      <c r="N186" s="17" t="s">
        <v>918</v>
      </c>
      <c r="O186" s="17">
        <f t="shared" ref="O186:O193" si="64">O185+10000</f>
        <v>20000</v>
      </c>
      <c r="P186" s="17" t="s">
        <v>919</v>
      </c>
      <c r="Q186" s="17">
        <f t="shared" ref="Q186:Q193" si="65">Q185+10000</f>
        <v>20000</v>
      </c>
      <c r="R186">
        <f>_xlfn.XLOOKUP($B186, 'Detail&lt;Child&gt;'!$A:$A, 'Detail&lt;Child&gt;'!$L:$L)</f>
        <v>2</v>
      </c>
    </row>
    <row r="187" spans="1:18" x14ac:dyDescent="0.3">
      <c r="A187" s="17">
        <f t="shared" si="45"/>
        <v>1000041204</v>
      </c>
      <c r="B187" s="17">
        <v>10000412</v>
      </c>
      <c r="C187" s="17" t="str">
        <f>_xlfn.XLOOKUP(B187,'Detail&lt;Child&gt;'!A:A,'Detail&lt;Child&gt;'!B:B)</f>
        <v>카인</v>
      </c>
      <c r="D187" s="17" t="str">
        <f t="shared" si="46"/>
        <v>character_gradeup_10000412_4</v>
      </c>
      <c r="E187" s="17" t="s">
        <v>923</v>
      </c>
      <c r="F187" s="17">
        <f t="shared" si="47"/>
        <v>30030412</v>
      </c>
      <c r="G187" s="17">
        <f>VLOOKUP($R187, '#등급업 재료 개수'!$A$2:$K$5, MATCH(GradeUp!H187, '#등급업 재료 개수'!$A$2:$K$2, 0), FALSE)</f>
        <v>8</v>
      </c>
      <c r="H187" s="17">
        <v>4</v>
      </c>
      <c r="I187" s="17">
        <v>40</v>
      </c>
      <c r="J187" s="17" t="s">
        <v>32</v>
      </c>
      <c r="K187" s="17">
        <f>_xlfn.IFNA(VLOOKUP($B187, 'Detail&lt;Child&gt;'!$A:$AT, MATCH(J187, 'Detail&lt;Child&gt;'!$3:$3,0 ), FALSE)+INT($H187/12), 0)</f>
        <v>42041201</v>
      </c>
      <c r="L187" s="17" t="s">
        <v>917</v>
      </c>
      <c r="M187" s="17">
        <f t="shared" si="63"/>
        <v>30000</v>
      </c>
      <c r="N187" s="17" t="s">
        <v>918</v>
      </c>
      <c r="O187" s="17">
        <f t="shared" si="64"/>
        <v>30000</v>
      </c>
      <c r="P187" s="17" t="s">
        <v>919</v>
      </c>
      <c r="Q187" s="17">
        <f t="shared" si="65"/>
        <v>30000</v>
      </c>
      <c r="R187">
        <f>_xlfn.XLOOKUP($B187, 'Detail&lt;Child&gt;'!$A:$A, 'Detail&lt;Child&gt;'!$L:$L)</f>
        <v>2</v>
      </c>
    </row>
    <row r="188" spans="1:18" x14ac:dyDescent="0.3">
      <c r="A188" s="17">
        <f t="shared" si="45"/>
        <v>1000041205</v>
      </c>
      <c r="B188" s="17">
        <v>10000412</v>
      </c>
      <c r="C188" s="17" t="str">
        <f>_xlfn.XLOOKUP(B188,'Detail&lt;Child&gt;'!A:A,'Detail&lt;Child&gt;'!B:B)</f>
        <v>카인</v>
      </c>
      <c r="D188" s="17" t="str">
        <f t="shared" si="46"/>
        <v>character_gradeup_10000412_5</v>
      </c>
      <c r="E188" s="17" t="s">
        <v>923</v>
      </c>
      <c r="F188" s="17">
        <f t="shared" si="47"/>
        <v>30030412</v>
      </c>
      <c r="G188" s="17">
        <f>VLOOKUP($R188, '#등급업 재료 개수'!$A$2:$K$5, MATCH(GradeUp!H188, '#등급업 재료 개수'!$A$2:$K$2, 0), FALSE)</f>
        <v>12</v>
      </c>
      <c r="H188" s="17">
        <v>5</v>
      </c>
      <c r="I188" s="17">
        <v>50</v>
      </c>
      <c r="J188" s="17" t="s">
        <v>30</v>
      </c>
      <c r="K188" s="17">
        <f>_xlfn.IFNA(VLOOKUP($B188, 'Detail&lt;Child&gt;'!$A:$AT, MATCH(J188, 'Detail&lt;Child&gt;'!$3:$3,0 ), FALSE)+INT($H188/12), 0)+1</f>
        <v>22041202</v>
      </c>
      <c r="L188" s="17" t="s">
        <v>917</v>
      </c>
      <c r="M188" s="17">
        <f t="shared" si="63"/>
        <v>40000</v>
      </c>
      <c r="N188" s="17" t="s">
        <v>918</v>
      </c>
      <c r="O188" s="17">
        <f t="shared" si="64"/>
        <v>40000</v>
      </c>
      <c r="P188" s="17" t="s">
        <v>919</v>
      </c>
      <c r="Q188" s="17">
        <f t="shared" si="65"/>
        <v>40000</v>
      </c>
      <c r="R188">
        <f>_xlfn.XLOOKUP($B188, 'Detail&lt;Child&gt;'!$A:$A, 'Detail&lt;Child&gt;'!$L:$L)</f>
        <v>2</v>
      </c>
    </row>
    <row r="189" spans="1:18" x14ac:dyDescent="0.3">
      <c r="A189" s="17">
        <f t="shared" si="45"/>
        <v>1000041206</v>
      </c>
      <c r="B189" s="17">
        <v>10000412</v>
      </c>
      <c r="C189" s="17" t="str">
        <f>_xlfn.XLOOKUP(B189,'Detail&lt;Child&gt;'!A:A,'Detail&lt;Child&gt;'!B:B)</f>
        <v>카인</v>
      </c>
      <c r="D189" s="17" t="str">
        <f t="shared" si="46"/>
        <v>character_gradeup_10000412_6</v>
      </c>
      <c r="E189" s="17" t="s">
        <v>923</v>
      </c>
      <c r="F189" s="17">
        <f t="shared" si="47"/>
        <v>30030412</v>
      </c>
      <c r="G189" s="17">
        <f>VLOOKUP($R189, '#등급업 재료 개수'!$A$2:$K$5, MATCH(GradeUp!H189, '#등급업 재료 개수'!$A$2:$K$2, 0), FALSE)</f>
        <v>16</v>
      </c>
      <c r="H189" s="17">
        <v>6</v>
      </c>
      <c r="I189" s="17">
        <v>60</v>
      </c>
      <c r="J189" s="17">
        <v>0</v>
      </c>
      <c r="K189" s="17">
        <v>0</v>
      </c>
      <c r="L189" s="17" t="s">
        <v>917</v>
      </c>
      <c r="M189" s="17">
        <f t="shared" si="63"/>
        <v>50000</v>
      </c>
      <c r="N189" s="17" t="s">
        <v>918</v>
      </c>
      <c r="O189" s="17">
        <f t="shared" si="64"/>
        <v>50000</v>
      </c>
      <c r="P189" s="17" t="s">
        <v>919</v>
      </c>
      <c r="Q189" s="17">
        <f t="shared" si="65"/>
        <v>50000</v>
      </c>
      <c r="R189">
        <f>_xlfn.XLOOKUP($B189, 'Detail&lt;Child&gt;'!$A:$A, 'Detail&lt;Child&gt;'!$L:$L)</f>
        <v>2</v>
      </c>
    </row>
    <row r="190" spans="1:18" x14ac:dyDescent="0.3">
      <c r="A190" s="17">
        <f t="shared" si="45"/>
        <v>1000041207</v>
      </c>
      <c r="B190" s="17">
        <v>10000412</v>
      </c>
      <c r="C190" s="17" t="str">
        <f>_xlfn.XLOOKUP(B190,'Detail&lt;Child&gt;'!A:A,'Detail&lt;Child&gt;'!B:B)</f>
        <v>카인</v>
      </c>
      <c r="D190" s="17" t="str">
        <f t="shared" si="46"/>
        <v>character_gradeup_10000412_7</v>
      </c>
      <c r="E190" s="17" t="s">
        <v>923</v>
      </c>
      <c r="F190" s="17">
        <f t="shared" si="47"/>
        <v>30030412</v>
      </c>
      <c r="G190" s="17">
        <f>VLOOKUP($R190, '#등급업 재료 개수'!$A$2:$K$5, MATCH(GradeUp!H190, '#등급업 재료 개수'!$A$2:$K$2, 0), FALSE)</f>
        <v>20</v>
      </c>
      <c r="H190" s="17">
        <v>7</v>
      </c>
      <c r="I190" s="17">
        <v>70</v>
      </c>
      <c r="J190" s="17" t="s">
        <v>32</v>
      </c>
      <c r="K190" s="17">
        <f>_xlfn.IFNA(VLOOKUP($B190, 'Detail&lt;Child&gt;'!$A:$AT, MATCH(J190, 'Detail&lt;Child&gt;'!$3:$3,0 ), FALSE)+INT($H190/12), 0)+1</f>
        <v>42041202</v>
      </c>
      <c r="L190" s="17" t="s">
        <v>917</v>
      </c>
      <c r="M190" s="17">
        <f t="shared" si="63"/>
        <v>60000</v>
      </c>
      <c r="N190" s="17" t="s">
        <v>918</v>
      </c>
      <c r="O190" s="17">
        <f t="shared" si="64"/>
        <v>60000</v>
      </c>
      <c r="P190" s="17" t="s">
        <v>919</v>
      </c>
      <c r="Q190" s="17">
        <f t="shared" si="65"/>
        <v>60000</v>
      </c>
      <c r="R190">
        <f>_xlfn.XLOOKUP($B190, 'Detail&lt;Child&gt;'!$A:$A, 'Detail&lt;Child&gt;'!$L:$L)</f>
        <v>2</v>
      </c>
    </row>
    <row r="191" spans="1:18" x14ac:dyDescent="0.3">
      <c r="A191" s="17">
        <f t="shared" si="45"/>
        <v>1000041208</v>
      </c>
      <c r="B191" s="17">
        <v>10000412</v>
      </c>
      <c r="C191" s="17" t="str">
        <f>_xlfn.XLOOKUP(B191,'Detail&lt;Child&gt;'!A:A,'Detail&lt;Child&gt;'!B:B)</f>
        <v>카인</v>
      </c>
      <c r="D191" s="17" t="str">
        <f t="shared" si="46"/>
        <v>character_gradeup_10000412_8</v>
      </c>
      <c r="E191" s="17" t="s">
        <v>923</v>
      </c>
      <c r="F191" s="17">
        <f t="shared" si="47"/>
        <v>30030412</v>
      </c>
      <c r="G191" s="17">
        <f>VLOOKUP($R191, '#등급업 재료 개수'!$A$2:$K$5, MATCH(GradeUp!H191, '#등급업 재료 개수'!$A$2:$K$2, 0), FALSE)</f>
        <v>24</v>
      </c>
      <c r="H191" s="17">
        <v>8</v>
      </c>
      <c r="I191" s="17">
        <v>80</v>
      </c>
      <c r="J191" s="17">
        <v>0</v>
      </c>
      <c r="K191" s="17">
        <v>0</v>
      </c>
      <c r="L191" s="17" t="s">
        <v>917</v>
      </c>
      <c r="M191" s="17">
        <f t="shared" si="63"/>
        <v>70000</v>
      </c>
      <c r="N191" s="17" t="s">
        <v>918</v>
      </c>
      <c r="O191" s="17">
        <f t="shared" si="64"/>
        <v>70000</v>
      </c>
      <c r="P191" s="17" t="s">
        <v>919</v>
      </c>
      <c r="Q191" s="17">
        <f t="shared" si="65"/>
        <v>70000</v>
      </c>
      <c r="R191">
        <f>_xlfn.XLOOKUP($B191, 'Detail&lt;Child&gt;'!$A:$A, 'Detail&lt;Child&gt;'!$L:$L)</f>
        <v>2</v>
      </c>
    </row>
    <row r="192" spans="1:18" x14ac:dyDescent="0.3">
      <c r="A192" s="17">
        <f t="shared" si="45"/>
        <v>1000041209</v>
      </c>
      <c r="B192" s="17">
        <v>10000412</v>
      </c>
      <c r="C192" s="17" t="str">
        <f>_xlfn.XLOOKUP(B192,'Detail&lt;Child&gt;'!A:A,'Detail&lt;Child&gt;'!B:B)</f>
        <v>카인</v>
      </c>
      <c r="D192" s="17" t="str">
        <f t="shared" si="46"/>
        <v>character_gradeup_10000412_9</v>
      </c>
      <c r="E192" s="17" t="s">
        <v>923</v>
      </c>
      <c r="F192" s="17">
        <f t="shared" si="47"/>
        <v>30030412</v>
      </c>
      <c r="G192" s="17">
        <f>VLOOKUP($R192, '#등급업 재료 개수'!$A$2:$K$5, MATCH(GradeUp!H192, '#등급업 재료 개수'!$A$2:$K$2, 0), FALSE)</f>
        <v>28</v>
      </c>
      <c r="H192" s="17">
        <v>9</v>
      </c>
      <c r="I192" s="17">
        <v>90</v>
      </c>
      <c r="J192" s="17" t="s">
        <v>31</v>
      </c>
      <c r="K192" s="17">
        <f>_xlfn.IFNA(VLOOKUP($B192, 'Detail&lt;Child&gt;'!$A:$AT, MATCH(J192, 'Detail&lt;Child&gt;'!$3:$3,0 ), FALSE)+INT($H192/12), 0)+1</f>
        <v>32041202</v>
      </c>
      <c r="L192" s="17" t="s">
        <v>917</v>
      </c>
      <c r="M192" s="17">
        <f t="shared" si="63"/>
        <v>80000</v>
      </c>
      <c r="N192" s="17" t="s">
        <v>918</v>
      </c>
      <c r="O192" s="17">
        <f t="shared" si="64"/>
        <v>80000</v>
      </c>
      <c r="P192" s="17" t="s">
        <v>919</v>
      </c>
      <c r="Q192" s="17">
        <f t="shared" si="65"/>
        <v>80000</v>
      </c>
      <c r="R192">
        <f>_xlfn.XLOOKUP($B192, 'Detail&lt;Child&gt;'!$A:$A, 'Detail&lt;Child&gt;'!$L:$L)</f>
        <v>2</v>
      </c>
    </row>
    <row r="193" spans="1:18" x14ac:dyDescent="0.3">
      <c r="A193" s="17">
        <f t="shared" si="45"/>
        <v>1000041210</v>
      </c>
      <c r="B193" s="17">
        <v>10000412</v>
      </c>
      <c r="C193" s="17" t="str">
        <f>_xlfn.XLOOKUP(B193,'Detail&lt;Child&gt;'!A:A,'Detail&lt;Child&gt;'!B:B)</f>
        <v>카인</v>
      </c>
      <c r="D193" s="17" t="str">
        <f t="shared" si="46"/>
        <v>character_gradeup_10000412_10</v>
      </c>
      <c r="E193" s="17" t="s">
        <v>923</v>
      </c>
      <c r="F193" s="17">
        <f t="shared" si="47"/>
        <v>30030412</v>
      </c>
      <c r="G193" s="17">
        <f>VLOOKUP($R193, '#등급업 재료 개수'!$A$2:$K$5, MATCH(GradeUp!H193, '#등급업 재료 개수'!$A$2:$K$2, 0), FALSE)</f>
        <v>999</v>
      </c>
      <c r="H193" s="17">
        <v>10</v>
      </c>
      <c r="I193" s="17">
        <v>100</v>
      </c>
      <c r="J193" s="17">
        <v>0</v>
      </c>
      <c r="K193" s="17">
        <v>0</v>
      </c>
      <c r="L193" s="17" t="s">
        <v>917</v>
      </c>
      <c r="M193" s="17">
        <f t="shared" si="63"/>
        <v>90000</v>
      </c>
      <c r="N193" s="17" t="s">
        <v>918</v>
      </c>
      <c r="O193" s="17">
        <f t="shared" si="64"/>
        <v>90000</v>
      </c>
      <c r="P193" s="17" t="s">
        <v>919</v>
      </c>
      <c r="Q193" s="17">
        <f t="shared" si="65"/>
        <v>90000</v>
      </c>
      <c r="R193">
        <f>_xlfn.XLOOKUP($B193, 'Detail&lt;Child&gt;'!$A:$A, 'Detail&lt;Child&gt;'!$L:$L)</f>
        <v>2</v>
      </c>
    </row>
    <row r="194" spans="1:18" x14ac:dyDescent="0.3">
      <c r="A194" s="17">
        <f t="shared" si="45"/>
        <v>1000015601</v>
      </c>
      <c r="B194" s="17">
        <v>10000156</v>
      </c>
      <c r="C194" s="17" t="str">
        <f>_xlfn.XLOOKUP(B194,'Detail&lt;Child&gt;'!A:A,'Detail&lt;Child&gt;'!B:B)</f>
        <v>에르제베트</v>
      </c>
      <c r="D194" s="17" t="str">
        <f t="shared" si="46"/>
        <v>character_gradeup_10000156_1</v>
      </c>
      <c r="E194" s="17" t="s">
        <v>923</v>
      </c>
      <c r="F194" s="17">
        <f t="shared" si="47"/>
        <v>30030156</v>
      </c>
      <c r="G194" s="17">
        <f>VLOOKUP($R194, '#등급업 재료 개수'!$A$2:$K$5, MATCH(GradeUp!H194, '#등급업 재료 개수'!$A$2:$K$2, 0), FALSE)</f>
        <v>1</v>
      </c>
      <c r="H194" s="17">
        <v>1</v>
      </c>
      <c r="I194" s="17">
        <v>10</v>
      </c>
      <c r="J194" s="17">
        <v>0</v>
      </c>
      <c r="K194" s="17">
        <v>0</v>
      </c>
      <c r="L194" s="17" t="s">
        <v>917</v>
      </c>
      <c r="M194" s="17">
        <v>0</v>
      </c>
      <c r="N194" s="17" t="s">
        <v>918</v>
      </c>
      <c r="O194" s="17">
        <v>0</v>
      </c>
      <c r="P194" s="17" t="s">
        <v>919</v>
      </c>
      <c r="Q194" s="17">
        <v>0</v>
      </c>
      <c r="R194">
        <f>_xlfn.XLOOKUP($B194, 'Detail&lt;Child&gt;'!$A:$A, 'Detail&lt;Child&gt;'!$L:$L)</f>
        <v>2</v>
      </c>
    </row>
    <row r="195" spans="1:18" x14ac:dyDescent="0.3">
      <c r="A195" s="17">
        <f t="shared" si="45"/>
        <v>1000015602</v>
      </c>
      <c r="B195" s="17">
        <v>10000156</v>
      </c>
      <c r="C195" s="17" t="str">
        <f>_xlfn.XLOOKUP(B195,'Detail&lt;Child&gt;'!A:A,'Detail&lt;Child&gt;'!B:B)</f>
        <v>에르제베트</v>
      </c>
      <c r="D195" s="17" t="str">
        <f t="shared" si="46"/>
        <v>character_gradeup_10000156_2</v>
      </c>
      <c r="E195" s="17" t="s">
        <v>923</v>
      </c>
      <c r="F195" s="17">
        <f t="shared" si="47"/>
        <v>30030156</v>
      </c>
      <c r="G195" s="17">
        <f>VLOOKUP($R195, '#등급업 재료 개수'!$A$2:$K$5, MATCH(GradeUp!H195, '#등급업 재료 개수'!$A$2:$K$2, 0), FALSE)</f>
        <v>2</v>
      </c>
      <c r="H195" s="17">
        <v>2</v>
      </c>
      <c r="I195" s="17">
        <v>20</v>
      </c>
      <c r="J195" s="17" t="s">
        <v>30</v>
      </c>
      <c r="K195" s="17">
        <f>_xlfn.IFNA(VLOOKUP($B195, 'Detail&lt;Child&gt;'!$A:$AT, MATCH(J195, 'Detail&lt;Child&gt;'!$3:$3,0 ), FALSE)+INT($H195/12), 0)</f>
        <v>22015601</v>
      </c>
      <c r="L195" s="17" t="s">
        <v>917</v>
      </c>
      <c r="M195" s="17">
        <v>0</v>
      </c>
      <c r="N195" s="17" t="s">
        <v>918</v>
      </c>
      <c r="O195" s="17">
        <v>0</v>
      </c>
      <c r="P195" s="17" t="s">
        <v>919</v>
      </c>
      <c r="Q195" s="17">
        <v>0</v>
      </c>
      <c r="R195">
        <f>_xlfn.XLOOKUP($B195, 'Detail&lt;Child&gt;'!$A:$A, 'Detail&lt;Child&gt;'!$L:$L)</f>
        <v>2</v>
      </c>
    </row>
    <row r="196" spans="1:18" x14ac:dyDescent="0.3">
      <c r="A196" s="17">
        <f t="shared" ref="A196:A259" si="66">B196*100+H196</f>
        <v>1000015603</v>
      </c>
      <c r="B196" s="17">
        <v>10000156</v>
      </c>
      <c r="C196" s="17" t="str">
        <f>_xlfn.XLOOKUP(B196,'Detail&lt;Child&gt;'!A:A,'Detail&lt;Child&gt;'!B:B)</f>
        <v>에르제베트</v>
      </c>
      <c r="D196" s="17" t="str">
        <f t="shared" ref="D196:D259" si="67">"character_gradeup_"&amp;$B196&amp;"_"&amp;$H196</f>
        <v>character_gradeup_10000156_3</v>
      </c>
      <c r="E196" s="17" t="s">
        <v>923</v>
      </c>
      <c r="F196" s="17">
        <f t="shared" ref="F196:F259" si="68">INT(3003&amp;RIGHT(B196,4))</f>
        <v>30030156</v>
      </c>
      <c r="G196" s="17">
        <f>VLOOKUP($R196, '#등급업 재료 개수'!$A$2:$K$5, MATCH(GradeUp!H196, '#등급업 재료 개수'!$A$2:$K$2, 0), FALSE)</f>
        <v>4</v>
      </c>
      <c r="H196" s="17">
        <v>3</v>
      </c>
      <c r="I196" s="17">
        <v>30</v>
      </c>
      <c r="J196" s="17">
        <v>0</v>
      </c>
      <c r="K196" s="17">
        <v>0</v>
      </c>
      <c r="L196" s="17" t="s">
        <v>917</v>
      </c>
      <c r="M196" s="17">
        <v>0</v>
      </c>
      <c r="N196" s="17" t="s">
        <v>918</v>
      </c>
      <c r="O196" s="17">
        <v>0</v>
      </c>
      <c r="P196" s="17" t="s">
        <v>919</v>
      </c>
      <c r="Q196" s="17">
        <v>0</v>
      </c>
      <c r="R196">
        <f>_xlfn.XLOOKUP($B196, 'Detail&lt;Child&gt;'!$A:$A, 'Detail&lt;Child&gt;'!$L:$L)</f>
        <v>2</v>
      </c>
    </row>
    <row r="197" spans="1:18" x14ac:dyDescent="0.3">
      <c r="A197" s="17">
        <f t="shared" si="66"/>
        <v>1000015604</v>
      </c>
      <c r="B197" s="17">
        <v>10000156</v>
      </c>
      <c r="C197" s="17" t="str">
        <f>_xlfn.XLOOKUP(B197,'Detail&lt;Child&gt;'!A:A,'Detail&lt;Child&gt;'!B:B)</f>
        <v>에르제베트</v>
      </c>
      <c r="D197" s="17" t="str">
        <f t="shared" si="67"/>
        <v>character_gradeup_10000156_4</v>
      </c>
      <c r="E197" s="17" t="s">
        <v>923</v>
      </c>
      <c r="F197" s="17">
        <f t="shared" si="68"/>
        <v>30030156</v>
      </c>
      <c r="G197" s="17">
        <f>VLOOKUP($R197, '#등급업 재료 개수'!$A$2:$K$5, MATCH(GradeUp!H197, '#등급업 재료 개수'!$A$2:$K$2, 0), FALSE)</f>
        <v>8</v>
      </c>
      <c r="H197" s="17">
        <v>4</v>
      </c>
      <c r="I197" s="17">
        <v>40</v>
      </c>
      <c r="J197" s="17" t="s">
        <v>32</v>
      </c>
      <c r="K197" s="17">
        <f>_xlfn.IFNA(VLOOKUP($B197, 'Detail&lt;Child&gt;'!$A:$AT, MATCH(J197, 'Detail&lt;Child&gt;'!$3:$3,0 ), FALSE)+INT($H197/12), 0)</f>
        <v>42015601</v>
      </c>
      <c r="L197" s="17" t="s">
        <v>917</v>
      </c>
      <c r="M197" s="17">
        <v>10000</v>
      </c>
      <c r="N197" s="17" t="s">
        <v>918</v>
      </c>
      <c r="O197" s="17">
        <v>10000</v>
      </c>
      <c r="P197" s="17" t="s">
        <v>919</v>
      </c>
      <c r="Q197" s="17">
        <v>10000</v>
      </c>
      <c r="R197">
        <f>_xlfn.XLOOKUP($B197, 'Detail&lt;Child&gt;'!$A:$A, 'Detail&lt;Child&gt;'!$L:$L)</f>
        <v>2</v>
      </c>
    </row>
    <row r="198" spans="1:18" x14ac:dyDescent="0.3">
      <c r="A198" s="17">
        <f t="shared" si="66"/>
        <v>1000015605</v>
      </c>
      <c r="B198" s="17">
        <v>10000156</v>
      </c>
      <c r="C198" s="17" t="str">
        <f>_xlfn.XLOOKUP(B198,'Detail&lt;Child&gt;'!A:A,'Detail&lt;Child&gt;'!B:B)</f>
        <v>에르제베트</v>
      </c>
      <c r="D198" s="17" t="str">
        <f t="shared" si="67"/>
        <v>character_gradeup_10000156_5</v>
      </c>
      <c r="E198" s="17" t="s">
        <v>923</v>
      </c>
      <c r="F198" s="17">
        <f t="shared" si="68"/>
        <v>30030156</v>
      </c>
      <c r="G198" s="17">
        <f>VLOOKUP($R198, '#등급업 재료 개수'!$A$2:$K$5, MATCH(GradeUp!H198, '#등급업 재료 개수'!$A$2:$K$2, 0), FALSE)</f>
        <v>12</v>
      </c>
      <c r="H198" s="17">
        <v>5</v>
      </c>
      <c r="I198" s="17">
        <v>50</v>
      </c>
      <c r="J198" s="17" t="s">
        <v>30</v>
      </c>
      <c r="K198" s="17">
        <f>_xlfn.IFNA(VLOOKUP($B198, 'Detail&lt;Child&gt;'!$A:$AT, MATCH(J198, 'Detail&lt;Child&gt;'!$3:$3,0 ), FALSE)+INT($H198/12), 0)+1</f>
        <v>22015602</v>
      </c>
      <c r="L198" s="17" t="s">
        <v>917</v>
      </c>
      <c r="M198" s="17">
        <f t="shared" ref="M198:M203" si="69">M197+10000</f>
        <v>20000</v>
      </c>
      <c r="N198" s="17" t="s">
        <v>918</v>
      </c>
      <c r="O198" s="17">
        <f t="shared" ref="O198:O203" si="70">O197+10000</f>
        <v>20000</v>
      </c>
      <c r="P198" s="17" t="s">
        <v>919</v>
      </c>
      <c r="Q198" s="17">
        <f t="shared" ref="Q198:Q203" si="71">Q197+10000</f>
        <v>20000</v>
      </c>
      <c r="R198">
        <f>_xlfn.XLOOKUP($B198, 'Detail&lt;Child&gt;'!$A:$A, 'Detail&lt;Child&gt;'!$L:$L)</f>
        <v>2</v>
      </c>
    </row>
    <row r="199" spans="1:18" x14ac:dyDescent="0.3">
      <c r="A199" s="17">
        <f t="shared" si="66"/>
        <v>1000015606</v>
      </c>
      <c r="B199" s="17">
        <v>10000156</v>
      </c>
      <c r="C199" s="17" t="str">
        <f>_xlfn.XLOOKUP(B199,'Detail&lt;Child&gt;'!A:A,'Detail&lt;Child&gt;'!B:B)</f>
        <v>에르제베트</v>
      </c>
      <c r="D199" s="17" t="str">
        <f t="shared" si="67"/>
        <v>character_gradeup_10000156_6</v>
      </c>
      <c r="E199" s="17" t="s">
        <v>923</v>
      </c>
      <c r="F199" s="17">
        <f t="shared" si="68"/>
        <v>30030156</v>
      </c>
      <c r="G199" s="17">
        <f>VLOOKUP($R199, '#등급업 재료 개수'!$A$2:$K$5, MATCH(GradeUp!H199, '#등급업 재료 개수'!$A$2:$K$2, 0), FALSE)</f>
        <v>16</v>
      </c>
      <c r="H199" s="17">
        <v>6</v>
      </c>
      <c r="I199" s="17">
        <v>60</v>
      </c>
      <c r="J199" s="17">
        <v>0</v>
      </c>
      <c r="K199" s="17">
        <v>0</v>
      </c>
      <c r="L199" s="17" t="s">
        <v>917</v>
      </c>
      <c r="M199" s="17">
        <f t="shared" si="69"/>
        <v>30000</v>
      </c>
      <c r="N199" s="17" t="s">
        <v>918</v>
      </c>
      <c r="O199" s="17">
        <f t="shared" si="70"/>
        <v>30000</v>
      </c>
      <c r="P199" s="17" t="s">
        <v>919</v>
      </c>
      <c r="Q199" s="17">
        <f t="shared" si="71"/>
        <v>30000</v>
      </c>
      <c r="R199">
        <f>_xlfn.XLOOKUP($B199, 'Detail&lt;Child&gt;'!$A:$A, 'Detail&lt;Child&gt;'!$L:$L)</f>
        <v>2</v>
      </c>
    </row>
    <row r="200" spans="1:18" x14ac:dyDescent="0.3">
      <c r="A200" s="17">
        <f t="shared" si="66"/>
        <v>1000015607</v>
      </c>
      <c r="B200" s="17">
        <v>10000156</v>
      </c>
      <c r="C200" s="17" t="str">
        <f>_xlfn.XLOOKUP(B200,'Detail&lt;Child&gt;'!A:A,'Detail&lt;Child&gt;'!B:B)</f>
        <v>에르제베트</v>
      </c>
      <c r="D200" s="17" t="str">
        <f t="shared" si="67"/>
        <v>character_gradeup_10000156_7</v>
      </c>
      <c r="E200" s="17" t="s">
        <v>923</v>
      </c>
      <c r="F200" s="17">
        <f t="shared" si="68"/>
        <v>30030156</v>
      </c>
      <c r="G200" s="17">
        <f>VLOOKUP($R200, '#등급업 재료 개수'!$A$2:$K$5, MATCH(GradeUp!H200, '#등급업 재료 개수'!$A$2:$K$2, 0), FALSE)</f>
        <v>20</v>
      </c>
      <c r="H200" s="17">
        <v>7</v>
      </c>
      <c r="I200" s="17">
        <v>70</v>
      </c>
      <c r="J200" s="17" t="s">
        <v>32</v>
      </c>
      <c r="K200" s="17">
        <f>_xlfn.IFNA(VLOOKUP($B200, 'Detail&lt;Child&gt;'!$A:$AT, MATCH(J200, 'Detail&lt;Child&gt;'!$3:$3,0 ), FALSE)+INT($H200/12), 0)+1</f>
        <v>42015602</v>
      </c>
      <c r="L200" s="17" t="s">
        <v>917</v>
      </c>
      <c r="M200" s="17">
        <f t="shared" si="69"/>
        <v>40000</v>
      </c>
      <c r="N200" s="17" t="s">
        <v>918</v>
      </c>
      <c r="O200" s="17">
        <f t="shared" si="70"/>
        <v>40000</v>
      </c>
      <c r="P200" s="17" t="s">
        <v>919</v>
      </c>
      <c r="Q200" s="17">
        <f t="shared" si="71"/>
        <v>40000</v>
      </c>
      <c r="R200">
        <f>_xlfn.XLOOKUP($B200, 'Detail&lt;Child&gt;'!$A:$A, 'Detail&lt;Child&gt;'!$L:$L)</f>
        <v>2</v>
      </c>
    </row>
    <row r="201" spans="1:18" x14ac:dyDescent="0.3">
      <c r="A201" s="17">
        <f t="shared" si="66"/>
        <v>1000015608</v>
      </c>
      <c r="B201" s="17">
        <v>10000156</v>
      </c>
      <c r="C201" s="17" t="str">
        <f>_xlfn.XLOOKUP(B201,'Detail&lt;Child&gt;'!A:A,'Detail&lt;Child&gt;'!B:B)</f>
        <v>에르제베트</v>
      </c>
      <c r="D201" s="17" t="str">
        <f t="shared" si="67"/>
        <v>character_gradeup_10000156_8</v>
      </c>
      <c r="E201" s="17" t="s">
        <v>923</v>
      </c>
      <c r="F201" s="17">
        <f t="shared" si="68"/>
        <v>30030156</v>
      </c>
      <c r="G201" s="17">
        <f>VLOOKUP($R201, '#등급업 재료 개수'!$A$2:$K$5, MATCH(GradeUp!H201, '#등급업 재료 개수'!$A$2:$K$2, 0), FALSE)</f>
        <v>24</v>
      </c>
      <c r="H201" s="17">
        <v>8</v>
      </c>
      <c r="I201" s="17">
        <v>80</v>
      </c>
      <c r="J201" s="17">
        <v>0</v>
      </c>
      <c r="K201" s="17">
        <v>0</v>
      </c>
      <c r="L201" s="17" t="s">
        <v>917</v>
      </c>
      <c r="M201" s="17">
        <f t="shared" si="69"/>
        <v>50000</v>
      </c>
      <c r="N201" s="17" t="s">
        <v>918</v>
      </c>
      <c r="O201" s="17">
        <f t="shared" si="70"/>
        <v>50000</v>
      </c>
      <c r="P201" s="17" t="s">
        <v>919</v>
      </c>
      <c r="Q201" s="17">
        <f t="shared" si="71"/>
        <v>50000</v>
      </c>
      <c r="R201">
        <f>_xlfn.XLOOKUP($B201, 'Detail&lt;Child&gt;'!$A:$A, 'Detail&lt;Child&gt;'!$L:$L)</f>
        <v>2</v>
      </c>
    </row>
    <row r="202" spans="1:18" x14ac:dyDescent="0.3">
      <c r="A202" s="17">
        <f t="shared" si="66"/>
        <v>1000015609</v>
      </c>
      <c r="B202" s="17">
        <v>10000156</v>
      </c>
      <c r="C202" s="17" t="str">
        <f>_xlfn.XLOOKUP(B202,'Detail&lt;Child&gt;'!A:A,'Detail&lt;Child&gt;'!B:B)</f>
        <v>에르제베트</v>
      </c>
      <c r="D202" s="17" t="str">
        <f t="shared" si="67"/>
        <v>character_gradeup_10000156_9</v>
      </c>
      <c r="E202" s="17" t="s">
        <v>923</v>
      </c>
      <c r="F202" s="17">
        <f t="shared" si="68"/>
        <v>30030156</v>
      </c>
      <c r="G202" s="17">
        <f>VLOOKUP($R202, '#등급업 재료 개수'!$A$2:$K$5, MATCH(GradeUp!H202, '#등급업 재료 개수'!$A$2:$K$2, 0), FALSE)</f>
        <v>28</v>
      </c>
      <c r="H202" s="17">
        <v>9</v>
      </c>
      <c r="I202" s="17">
        <v>90</v>
      </c>
      <c r="J202" s="17" t="s">
        <v>31</v>
      </c>
      <c r="K202" s="17">
        <f>_xlfn.IFNA(VLOOKUP($B202, 'Detail&lt;Child&gt;'!$A:$AT, MATCH(J202, 'Detail&lt;Child&gt;'!$3:$3,0 ), FALSE)+INT($H202/12), 0)+1</f>
        <v>32015602</v>
      </c>
      <c r="L202" s="17" t="s">
        <v>917</v>
      </c>
      <c r="M202" s="17">
        <f t="shared" si="69"/>
        <v>60000</v>
      </c>
      <c r="N202" s="17" t="s">
        <v>918</v>
      </c>
      <c r="O202" s="17">
        <f t="shared" si="70"/>
        <v>60000</v>
      </c>
      <c r="P202" s="17" t="s">
        <v>919</v>
      </c>
      <c r="Q202" s="17">
        <f t="shared" si="71"/>
        <v>60000</v>
      </c>
      <c r="R202">
        <f>_xlfn.XLOOKUP($B202, 'Detail&lt;Child&gt;'!$A:$A, 'Detail&lt;Child&gt;'!$L:$L)</f>
        <v>2</v>
      </c>
    </row>
    <row r="203" spans="1:18" x14ac:dyDescent="0.3">
      <c r="A203" s="17">
        <f t="shared" si="66"/>
        <v>1000015610</v>
      </c>
      <c r="B203" s="17">
        <v>10000156</v>
      </c>
      <c r="C203" s="17" t="str">
        <f>_xlfn.XLOOKUP(B203,'Detail&lt;Child&gt;'!A:A,'Detail&lt;Child&gt;'!B:B)</f>
        <v>에르제베트</v>
      </c>
      <c r="D203" s="17" t="str">
        <f t="shared" si="67"/>
        <v>character_gradeup_10000156_10</v>
      </c>
      <c r="E203" s="17" t="s">
        <v>923</v>
      </c>
      <c r="F203" s="17">
        <f t="shared" si="68"/>
        <v>30030156</v>
      </c>
      <c r="G203" s="17">
        <f>VLOOKUP($R203, '#등급업 재료 개수'!$A$2:$K$5, MATCH(GradeUp!H203, '#등급업 재료 개수'!$A$2:$K$2, 0), FALSE)</f>
        <v>999</v>
      </c>
      <c r="H203" s="17">
        <v>10</v>
      </c>
      <c r="I203" s="17">
        <v>100</v>
      </c>
      <c r="J203" s="17">
        <v>0</v>
      </c>
      <c r="K203" s="17">
        <v>0</v>
      </c>
      <c r="L203" s="17" t="s">
        <v>917</v>
      </c>
      <c r="M203" s="17">
        <f t="shared" si="69"/>
        <v>70000</v>
      </c>
      <c r="N203" s="17" t="s">
        <v>918</v>
      </c>
      <c r="O203" s="17">
        <f t="shared" si="70"/>
        <v>70000</v>
      </c>
      <c r="P203" s="17" t="s">
        <v>919</v>
      </c>
      <c r="Q203" s="17">
        <f t="shared" si="71"/>
        <v>70000</v>
      </c>
      <c r="R203">
        <f>_xlfn.XLOOKUP($B203, 'Detail&lt;Child&gt;'!$A:$A, 'Detail&lt;Child&gt;'!$L:$L)</f>
        <v>2</v>
      </c>
    </row>
    <row r="204" spans="1:18" x14ac:dyDescent="0.3">
      <c r="A204" s="17">
        <f t="shared" si="66"/>
        <v>1000031801</v>
      </c>
      <c r="B204" s="17">
        <v>10000318</v>
      </c>
      <c r="C204" s="17" t="str">
        <f>_xlfn.XLOOKUP(B204,'Detail&lt;Child&gt;'!A:A,'Detail&lt;Child&gt;'!B:B)</f>
        <v>바리</v>
      </c>
      <c r="D204" s="17" t="str">
        <f t="shared" si="67"/>
        <v>character_gradeup_10000318_1</v>
      </c>
      <c r="E204" s="17" t="s">
        <v>923</v>
      </c>
      <c r="F204" s="17">
        <f t="shared" si="68"/>
        <v>30030318</v>
      </c>
      <c r="G204" s="17">
        <f>VLOOKUP($R204, '#등급업 재료 개수'!$A$2:$K$5, MATCH(GradeUp!H204, '#등급업 재료 개수'!$A$2:$K$2, 0), FALSE)</f>
        <v>1</v>
      </c>
      <c r="H204" s="17">
        <v>1</v>
      </c>
      <c r="I204" s="17">
        <v>10</v>
      </c>
      <c r="J204" s="17">
        <v>0</v>
      </c>
      <c r="K204" s="17">
        <v>0</v>
      </c>
      <c r="L204" s="17" t="s">
        <v>917</v>
      </c>
      <c r="M204" s="17">
        <v>0</v>
      </c>
      <c r="N204" s="17" t="s">
        <v>918</v>
      </c>
      <c r="O204" s="17">
        <v>0</v>
      </c>
      <c r="P204" s="17" t="s">
        <v>919</v>
      </c>
      <c r="Q204" s="17">
        <v>0</v>
      </c>
      <c r="R204">
        <f>_xlfn.XLOOKUP($B204, 'Detail&lt;Child&gt;'!$A:$A, 'Detail&lt;Child&gt;'!$L:$L)</f>
        <v>3</v>
      </c>
    </row>
    <row r="205" spans="1:18" x14ac:dyDescent="0.3">
      <c r="A205" s="17">
        <f t="shared" si="66"/>
        <v>1000031802</v>
      </c>
      <c r="B205" s="17">
        <v>10000318</v>
      </c>
      <c r="C205" s="17" t="str">
        <f>_xlfn.XLOOKUP(B205,'Detail&lt;Child&gt;'!A:A,'Detail&lt;Child&gt;'!B:B)</f>
        <v>바리</v>
      </c>
      <c r="D205" s="17" t="str">
        <f t="shared" si="67"/>
        <v>character_gradeup_10000318_2</v>
      </c>
      <c r="E205" s="17" t="s">
        <v>923</v>
      </c>
      <c r="F205" s="17">
        <f t="shared" si="68"/>
        <v>30030318</v>
      </c>
      <c r="G205" s="17">
        <f>VLOOKUP($R205, '#등급업 재료 개수'!$A$2:$K$5, MATCH(GradeUp!H205, '#등급업 재료 개수'!$A$2:$K$2, 0), FALSE)</f>
        <v>1</v>
      </c>
      <c r="H205" s="17">
        <v>2</v>
      </c>
      <c r="I205" s="17">
        <v>20</v>
      </c>
      <c r="J205" s="17" t="s">
        <v>30</v>
      </c>
      <c r="K205" s="17">
        <f>_xlfn.IFNA(VLOOKUP($B205, 'Detail&lt;Child&gt;'!$A:$AT, MATCH(J205, 'Detail&lt;Child&gt;'!$3:$3,0 ), FALSE)+INT($H205/12), 0)</f>
        <v>23031801</v>
      </c>
      <c r="L205" s="17" t="s">
        <v>917</v>
      </c>
      <c r="M205" s="17">
        <v>0</v>
      </c>
      <c r="N205" s="17" t="s">
        <v>918</v>
      </c>
      <c r="O205" s="17">
        <v>0</v>
      </c>
      <c r="P205" s="17" t="s">
        <v>919</v>
      </c>
      <c r="Q205" s="17">
        <v>0</v>
      </c>
      <c r="R205">
        <f>_xlfn.XLOOKUP($B205, 'Detail&lt;Child&gt;'!$A:$A, 'Detail&lt;Child&gt;'!$L:$L)</f>
        <v>3</v>
      </c>
    </row>
    <row r="206" spans="1:18" x14ac:dyDescent="0.3">
      <c r="A206" s="17">
        <f t="shared" si="66"/>
        <v>1000031803</v>
      </c>
      <c r="B206" s="17">
        <v>10000318</v>
      </c>
      <c r="C206" s="17" t="str">
        <f>_xlfn.XLOOKUP(B206,'Detail&lt;Child&gt;'!A:A,'Detail&lt;Child&gt;'!B:B)</f>
        <v>바리</v>
      </c>
      <c r="D206" s="17" t="str">
        <f t="shared" si="67"/>
        <v>character_gradeup_10000318_3</v>
      </c>
      <c r="E206" s="17" t="s">
        <v>923</v>
      </c>
      <c r="F206" s="17">
        <f t="shared" si="68"/>
        <v>30030318</v>
      </c>
      <c r="G206" s="17">
        <f>VLOOKUP($R206, '#등급업 재료 개수'!$A$2:$K$5, MATCH(GradeUp!H206, '#등급업 재료 개수'!$A$2:$K$2, 0), FALSE)</f>
        <v>1</v>
      </c>
      <c r="H206" s="17">
        <v>3</v>
      </c>
      <c r="I206" s="17">
        <v>30</v>
      </c>
      <c r="J206" s="17">
        <v>0</v>
      </c>
      <c r="K206" s="17">
        <v>0</v>
      </c>
      <c r="L206" s="17" t="s">
        <v>917</v>
      </c>
      <c r="M206" s="17">
        <v>0</v>
      </c>
      <c r="N206" s="17" t="s">
        <v>918</v>
      </c>
      <c r="O206" s="17">
        <v>0</v>
      </c>
      <c r="P206" s="17" t="s">
        <v>919</v>
      </c>
      <c r="Q206" s="17">
        <v>0</v>
      </c>
      <c r="R206">
        <f>_xlfn.XLOOKUP($B206, 'Detail&lt;Child&gt;'!$A:$A, 'Detail&lt;Child&gt;'!$L:$L)</f>
        <v>3</v>
      </c>
    </row>
    <row r="207" spans="1:18" x14ac:dyDescent="0.3">
      <c r="A207" s="17">
        <f t="shared" si="66"/>
        <v>1000031804</v>
      </c>
      <c r="B207" s="17">
        <v>10000318</v>
      </c>
      <c r="C207" s="17" t="str">
        <f>_xlfn.XLOOKUP(B207,'Detail&lt;Child&gt;'!A:A,'Detail&lt;Child&gt;'!B:B)</f>
        <v>바리</v>
      </c>
      <c r="D207" s="17" t="str">
        <f t="shared" si="67"/>
        <v>character_gradeup_10000318_4</v>
      </c>
      <c r="E207" s="17" t="s">
        <v>923</v>
      </c>
      <c r="F207" s="17">
        <f t="shared" si="68"/>
        <v>30030318</v>
      </c>
      <c r="G207" s="17">
        <f>VLOOKUP($R207, '#등급업 재료 개수'!$A$2:$K$5, MATCH(GradeUp!H207, '#등급업 재료 개수'!$A$2:$K$2, 0), FALSE)</f>
        <v>2</v>
      </c>
      <c r="H207" s="17">
        <v>4</v>
      </c>
      <c r="I207" s="17">
        <v>40</v>
      </c>
      <c r="J207" s="17" t="s">
        <v>32</v>
      </c>
      <c r="K207" s="17">
        <f>_xlfn.IFNA(VLOOKUP($B207, 'Detail&lt;Child&gt;'!$A:$AT, MATCH(J207, 'Detail&lt;Child&gt;'!$3:$3,0 ), FALSE)+INT($H207/12), 0)</f>
        <v>43031801</v>
      </c>
      <c r="L207" s="17" t="s">
        <v>917</v>
      </c>
      <c r="M207" s="17">
        <v>10000</v>
      </c>
      <c r="N207" s="17" t="s">
        <v>918</v>
      </c>
      <c r="O207" s="17">
        <v>10000</v>
      </c>
      <c r="P207" s="17" t="s">
        <v>919</v>
      </c>
      <c r="Q207" s="17">
        <v>10000</v>
      </c>
      <c r="R207">
        <f>_xlfn.XLOOKUP($B207, 'Detail&lt;Child&gt;'!$A:$A, 'Detail&lt;Child&gt;'!$L:$L)</f>
        <v>3</v>
      </c>
    </row>
    <row r="208" spans="1:18" x14ac:dyDescent="0.3">
      <c r="A208" s="17">
        <f t="shared" si="66"/>
        <v>1000031805</v>
      </c>
      <c r="B208" s="17">
        <v>10000318</v>
      </c>
      <c r="C208" s="17" t="str">
        <f>_xlfn.XLOOKUP(B208,'Detail&lt;Child&gt;'!A:A,'Detail&lt;Child&gt;'!B:B)</f>
        <v>바리</v>
      </c>
      <c r="D208" s="17" t="str">
        <f t="shared" si="67"/>
        <v>character_gradeup_10000318_5</v>
      </c>
      <c r="E208" s="17" t="s">
        <v>923</v>
      </c>
      <c r="F208" s="17">
        <f t="shared" si="68"/>
        <v>30030318</v>
      </c>
      <c r="G208" s="17">
        <f>VLOOKUP($R208, '#등급업 재료 개수'!$A$2:$K$5, MATCH(GradeUp!H208, '#등급업 재료 개수'!$A$2:$K$2, 0), FALSE)</f>
        <v>4</v>
      </c>
      <c r="H208" s="17">
        <v>5</v>
      </c>
      <c r="I208" s="17">
        <v>50</v>
      </c>
      <c r="J208" s="17" t="s">
        <v>30</v>
      </c>
      <c r="K208" s="17">
        <f>_xlfn.IFNA(VLOOKUP($B208, 'Detail&lt;Child&gt;'!$A:$AT, MATCH(J208, 'Detail&lt;Child&gt;'!$3:$3,0 ), FALSE)+INT($H208/12), 0)+1</f>
        <v>23031802</v>
      </c>
      <c r="L208" s="17" t="s">
        <v>917</v>
      </c>
      <c r="M208" s="17">
        <f t="shared" ref="M208:M213" si="72">M207+10000</f>
        <v>20000</v>
      </c>
      <c r="N208" s="17" t="s">
        <v>918</v>
      </c>
      <c r="O208" s="17">
        <f t="shared" ref="O208:O213" si="73">O207+10000</f>
        <v>20000</v>
      </c>
      <c r="P208" s="17" t="s">
        <v>919</v>
      </c>
      <c r="Q208" s="17">
        <f t="shared" ref="Q208:Q213" si="74">Q207+10000</f>
        <v>20000</v>
      </c>
      <c r="R208">
        <f>_xlfn.XLOOKUP($B208, 'Detail&lt;Child&gt;'!$A:$A, 'Detail&lt;Child&gt;'!$L:$L)</f>
        <v>3</v>
      </c>
    </row>
    <row r="209" spans="1:18" x14ac:dyDescent="0.3">
      <c r="A209" s="17">
        <f t="shared" si="66"/>
        <v>1000031806</v>
      </c>
      <c r="B209" s="17">
        <v>10000318</v>
      </c>
      <c r="C209" s="17" t="str">
        <f>_xlfn.XLOOKUP(B209,'Detail&lt;Child&gt;'!A:A,'Detail&lt;Child&gt;'!B:B)</f>
        <v>바리</v>
      </c>
      <c r="D209" s="17" t="str">
        <f t="shared" si="67"/>
        <v>character_gradeup_10000318_6</v>
      </c>
      <c r="E209" s="17" t="s">
        <v>923</v>
      </c>
      <c r="F209" s="17">
        <f t="shared" si="68"/>
        <v>30030318</v>
      </c>
      <c r="G209" s="17">
        <f>VLOOKUP($R209, '#등급업 재료 개수'!$A$2:$K$5, MATCH(GradeUp!H209, '#등급업 재료 개수'!$A$2:$K$2, 0), FALSE)</f>
        <v>6</v>
      </c>
      <c r="H209" s="17">
        <v>6</v>
      </c>
      <c r="I209" s="17">
        <v>60</v>
      </c>
      <c r="J209" s="17">
        <v>0</v>
      </c>
      <c r="K209" s="17">
        <v>0</v>
      </c>
      <c r="L209" s="17" t="s">
        <v>917</v>
      </c>
      <c r="M209" s="17">
        <f t="shared" si="72"/>
        <v>30000</v>
      </c>
      <c r="N209" s="17" t="s">
        <v>918</v>
      </c>
      <c r="O209" s="17">
        <f t="shared" si="73"/>
        <v>30000</v>
      </c>
      <c r="P209" s="17" t="s">
        <v>919</v>
      </c>
      <c r="Q209" s="17">
        <f t="shared" si="74"/>
        <v>30000</v>
      </c>
      <c r="R209">
        <f>_xlfn.XLOOKUP($B209, 'Detail&lt;Child&gt;'!$A:$A, 'Detail&lt;Child&gt;'!$L:$L)</f>
        <v>3</v>
      </c>
    </row>
    <row r="210" spans="1:18" x14ac:dyDescent="0.3">
      <c r="A210" s="17">
        <f t="shared" si="66"/>
        <v>1000031807</v>
      </c>
      <c r="B210" s="17">
        <v>10000318</v>
      </c>
      <c r="C210" s="17" t="str">
        <f>_xlfn.XLOOKUP(B210,'Detail&lt;Child&gt;'!A:A,'Detail&lt;Child&gt;'!B:B)</f>
        <v>바리</v>
      </c>
      <c r="D210" s="17" t="str">
        <f t="shared" si="67"/>
        <v>character_gradeup_10000318_7</v>
      </c>
      <c r="E210" s="17" t="s">
        <v>923</v>
      </c>
      <c r="F210" s="17">
        <f t="shared" si="68"/>
        <v>30030318</v>
      </c>
      <c r="G210" s="17">
        <f>VLOOKUP($R210, '#등급업 재료 개수'!$A$2:$K$5, MATCH(GradeUp!H210, '#등급업 재료 개수'!$A$2:$K$2, 0), FALSE)</f>
        <v>8</v>
      </c>
      <c r="H210" s="17">
        <v>7</v>
      </c>
      <c r="I210" s="17">
        <v>70</v>
      </c>
      <c r="J210" s="17" t="s">
        <v>32</v>
      </c>
      <c r="K210" s="17">
        <f>_xlfn.IFNA(VLOOKUP($B210, 'Detail&lt;Child&gt;'!$A:$AT, MATCH(J210, 'Detail&lt;Child&gt;'!$3:$3,0 ), FALSE)+INT($H210/12), 0)+1</f>
        <v>43031802</v>
      </c>
      <c r="L210" s="17" t="s">
        <v>917</v>
      </c>
      <c r="M210" s="17">
        <f t="shared" si="72"/>
        <v>40000</v>
      </c>
      <c r="N210" s="17" t="s">
        <v>918</v>
      </c>
      <c r="O210" s="17">
        <f t="shared" si="73"/>
        <v>40000</v>
      </c>
      <c r="P210" s="17" t="s">
        <v>919</v>
      </c>
      <c r="Q210" s="17">
        <f t="shared" si="74"/>
        <v>40000</v>
      </c>
      <c r="R210">
        <f>_xlfn.XLOOKUP($B210, 'Detail&lt;Child&gt;'!$A:$A, 'Detail&lt;Child&gt;'!$L:$L)</f>
        <v>3</v>
      </c>
    </row>
    <row r="211" spans="1:18" x14ac:dyDescent="0.3">
      <c r="A211" s="17">
        <f t="shared" si="66"/>
        <v>1000031808</v>
      </c>
      <c r="B211" s="17">
        <v>10000318</v>
      </c>
      <c r="C211" s="17" t="str">
        <f>_xlfn.XLOOKUP(B211,'Detail&lt;Child&gt;'!A:A,'Detail&lt;Child&gt;'!B:B)</f>
        <v>바리</v>
      </c>
      <c r="D211" s="17" t="str">
        <f t="shared" si="67"/>
        <v>character_gradeup_10000318_8</v>
      </c>
      <c r="E211" s="17" t="s">
        <v>923</v>
      </c>
      <c r="F211" s="17">
        <f t="shared" si="68"/>
        <v>30030318</v>
      </c>
      <c r="G211" s="17">
        <f>VLOOKUP($R211, '#등급업 재료 개수'!$A$2:$K$5, MATCH(GradeUp!H211, '#등급업 재료 개수'!$A$2:$K$2, 0), FALSE)</f>
        <v>10</v>
      </c>
      <c r="H211" s="17">
        <v>8</v>
      </c>
      <c r="I211" s="17">
        <v>80</v>
      </c>
      <c r="J211" s="17">
        <v>0</v>
      </c>
      <c r="K211" s="17">
        <v>0</v>
      </c>
      <c r="L211" s="17" t="s">
        <v>917</v>
      </c>
      <c r="M211" s="17">
        <f t="shared" si="72"/>
        <v>50000</v>
      </c>
      <c r="N211" s="17" t="s">
        <v>918</v>
      </c>
      <c r="O211" s="17">
        <f t="shared" si="73"/>
        <v>50000</v>
      </c>
      <c r="P211" s="17" t="s">
        <v>919</v>
      </c>
      <c r="Q211" s="17">
        <f t="shared" si="74"/>
        <v>50000</v>
      </c>
      <c r="R211">
        <f>_xlfn.XLOOKUP($B211, 'Detail&lt;Child&gt;'!$A:$A, 'Detail&lt;Child&gt;'!$L:$L)</f>
        <v>3</v>
      </c>
    </row>
    <row r="212" spans="1:18" x14ac:dyDescent="0.3">
      <c r="A212" s="17">
        <f t="shared" si="66"/>
        <v>1000031809</v>
      </c>
      <c r="B212" s="17">
        <v>10000318</v>
      </c>
      <c r="C212" s="17" t="str">
        <f>_xlfn.XLOOKUP(B212,'Detail&lt;Child&gt;'!A:A,'Detail&lt;Child&gt;'!B:B)</f>
        <v>바리</v>
      </c>
      <c r="D212" s="17" t="str">
        <f t="shared" si="67"/>
        <v>character_gradeup_10000318_9</v>
      </c>
      <c r="E212" s="17" t="s">
        <v>923</v>
      </c>
      <c r="F212" s="17">
        <f t="shared" si="68"/>
        <v>30030318</v>
      </c>
      <c r="G212" s="17">
        <f>VLOOKUP($R212, '#등급업 재료 개수'!$A$2:$K$5, MATCH(GradeUp!H212, '#등급업 재료 개수'!$A$2:$K$2, 0), FALSE)</f>
        <v>12</v>
      </c>
      <c r="H212" s="17">
        <v>9</v>
      </c>
      <c r="I212" s="17">
        <v>90</v>
      </c>
      <c r="J212" s="17" t="s">
        <v>31</v>
      </c>
      <c r="K212" s="17">
        <f>_xlfn.IFNA(VLOOKUP($B212, 'Detail&lt;Child&gt;'!$A:$AT, MATCH(J212, 'Detail&lt;Child&gt;'!$3:$3,0 ), FALSE)+INT($H212/12), 0)+1</f>
        <v>33031802</v>
      </c>
      <c r="L212" s="17" t="s">
        <v>917</v>
      </c>
      <c r="M212" s="17">
        <f t="shared" si="72"/>
        <v>60000</v>
      </c>
      <c r="N212" s="17" t="s">
        <v>918</v>
      </c>
      <c r="O212" s="17">
        <f t="shared" si="73"/>
        <v>60000</v>
      </c>
      <c r="P212" s="17" t="s">
        <v>919</v>
      </c>
      <c r="Q212" s="17">
        <f t="shared" si="74"/>
        <v>60000</v>
      </c>
      <c r="R212">
        <f>_xlfn.XLOOKUP($B212, 'Detail&lt;Child&gt;'!$A:$A, 'Detail&lt;Child&gt;'!$L:$L)</f>
        <v>3</v>
      </c>
    </row>
    <row r="213" spans="1:18" x14ac:dyDescent="0.3">
      <c r="A213" s="17">
        <f t="shared" si="66"/>
        <v>1000031810</v>
      </c>
      <c r="B213" s="17">
        <v>10000318</v>
      </c>
      <c r="C213" s="17" t="str">
        <f>_xlfn.XLOOKUP(B213,'Detail&lt;Child&gt;'!A:A,'Detail&lt;Child&gt;'!B:B)</f>
        <v>바리</v>
      </c>
      <c r="D213" s="17" t="str">
        <f t="shared" si="67"/>
        <v>character_gradeup_10000318_10</v>
      </c>
      <c r="E213" s="17" t="s">
        <v>923</v>
      </c>
      <c r="F213" s="17">
        <f t="shared" si="68"/>
        <v>30030318</v>
      </c>
      <c r="G213" s="17">
        <f>VLOOKUP($R213, '#등급업 재료 개수'!$A$2:$K$5, MATCH(GradeUp!H213, '#등급업 재료 개수'!$A$2:$K$2, 0), FALSE)</f>
        <v>999</v>
      </c>
      <c r="H213" s="17">
        <v>10</v>
      </c>
      <c r="I213" s="17">
        <v>100</v>
      </c>
      <c r="J213" s="17">
        <v>0</v>
      </c>
      <c r="K213" s="17">
        <v>0</v>
      </c>
      <c r="L213" s="17" t="s">
        <v>917</v>
      </c>
      <c r="M213" s="17">
        <f t="shared" si="72"/>
        <v>70000</v>
      </c>
      <c r="N213" s="17" t="s">
        <v>918</v>
      </c>
      <c r="O213" s="17">
        <f t="shared" si="73"/>
        <v>70000</v>
      </c>
      <c r="P213" s="17" t="s">
        <v>919</v>
      </c>
      <c r="Q213" s="17">
        <f t="shared" si="74"/>
        <v>70000</v>
      </c>
      <c r="R213">
        <f>_xlfn.XLOOKUP($B213, 'Detail&lt;Child&gt;'!$A:$A, 'Detail&lt;Child&gt;'!$L:$L)</f>
        <v>3</v>
      </c>
    </row>
    <row r="214" spans="1:18" x14ac:dyDescent="0.3">
      <c r="A214" s="17">
        <f t="shared" si="66"/>
        <v>1000052501</v>
      </c>
      <c r="B214" s="17">
        <v>10000525</v>
      </c>
      <c r="C214" s="17" t="str">
        <f>_xlfn.XLOOKUP(B214,'Detail&lt;Child&gt;'!A:A,'Detail&lt;Child&gt;'!B:B)</f>
        <v>그릴라</v>
      </c>
      <c r="D214" s="17" t="str">
        <f t="shared" si="67"/>
        <v>character_gradeup_10000525_1</v>
      </c>
      <c r="E214" s="17" t="s">
        <v>923</v>
      </c>
      <c r="F214" s="17">
        <f t="shared" si="68"/>
        <v>30030525</v>
      </c>
      <c r="G214" s="17">
        <f>VLOOKUP($R214, '#등급업 재료 개수'!$A$2:$K$5, MATCH(GradeUp!H214, '#등급업 재료 개수'!$A$2:$K$2, 0), FALSE)</f>
        <v>1</v>
      </c>
      <c r="H214" s="17">
        <v>1</v>
      </c>
      <c r="I214" s="17">
        <v>10</v>
      </c>
      <c r="J214" s="17">
        <v>0</v>
      </c>
      <c r="K214" s="17">
        <v>0</v>
      </c>
      <c r="L214" s="17" t="s">
        <v>917</v>
      </c>
      <c r="M214" s="17">
        <v>0</v>
      </c>
      <c r="N214" s="17" t="s">
        <v>918</v>
      </c>
      <c r="O214" s="17">
        <v>0</v>
      </c>
      <c r="P214" s="17" t="s">
        <v>919</v>
      </c>
      <c r="Q214" s="17">
        <v>0</v>
      </c>
      <c r="R214">
        <f>_xlfn.XLOOKUP($B214, 'Detail&lt;Child&gt;'!$A:$A, 'Detail&lt;Child&gt;'!$L:$L)</f>
        <v>3</v>
      </c>
    </row>
    <row r="215" spans="1:18" x14ac:dyDescent="0.3">
      <c r="A215" s="17">
        <f t="shared" si="66"/>
        <v>1000052502</v>
      </c>
      <c r="B215" s="17">
        <v>10000525</v>
      </c>
      <c r="C215" s="17" t="str">
        <f>_xlfn.XLOOKUP(B215,'Detail&lt;Child&gt;'!A:A,'Detail&lt;Child&gt;'!B:B)</f>
        <v>그릴라</v>
      </c>
      <c r="D215" s="17" t="str">
        <f t="shared" si="67"/>
        <v>character_gradeup_10000525_2</v>
      </c>
      <c r="E215" s="17" t="s">
        <v>923</v>
      </c>
      <c r="F215" s="17">
        <f t="shared" si="68"/>
        <v>30030525</v>
      </c>
      <c r="G215" s="17">
        <f>VLOOKUP($R215, '#등급업 재료 개수'!$A$2:$K$5, MATCH(GradeUp!H215, '#등급업 재료 개수'!$A$2:$K$2, 0), FALSE)</f>
        <v>1</v>
      </c>
      <c r="H215" s="17">
        <v>2</v>
      </c>
      <c r="I215" s="17">
        <v>20</v>
      </c>
      <c r="J215" s="17" t="s">
        <v>30</v>
      </c>
      <c r="K215" s="17">
        <f>_xlfn.IFNA(VLOOKUP($B215, 'Detail&lt;Child&gt;'!$A:$AT, MATCH(J215, 'Detail&lt;Child&gt;'!$3:$3,0 ), FALSE)+INT($H215/12), 0)</f>
        <v>23052501</v>
      </c>
      <c r="L215" s="17" t="s">
        <v>917</v>
      </c>
      <c r="M215" s="17">
        <v>0</v>
      </c>
      <c r="N215" s="17" t="s">
        <v>918</v>
      </c>
      <c r="O215" s="17">
        <v>0</v>
      </c>
      <c r="P215" s="17" t="s">
        <v>919</v>
      </c>
      <c r="Q215" s="17">
        <v>0</v>
      </c>
      <c r="R215">
        <f>_xlfn.XLOOKUP($B215, 'Detail&lt;Child&gt;'!$A:$A, 'Detail&lt;Child&gt;'!$L:$L)</f>
        <v>3</v>
      </c>
    </row>
    <row r="216" spans="1:18" x14ac:dyDescent="0.3">
      <c r="A216" s="17">
        <f t="shared" si="66"/>
        <v>1000052503</v>
      </c>
      <c r="B216" s="17">
        <v>10000525</v>
      </c>
      <c r="C216" s="17" t="str">
        <f>_xlfn.XLOOKUP(B216,'Detail&lt;Child&gt;'!A:A,'Detail&lt;Child&gt;'!B:B)</f>
        <v>그릴라</v>
      </c>
      <c r="D216" s="17" t="str">
        <f t="shared" si="67"/>
        <v>character_gradeup_10000525_3</v>
      </c>
      <c r="E216" s="17" t="s">
        <v>923</v>
      </c>
      <c r="F216" s="17">
        <f t="shared" si="68"/>
        <v>30030525</v>
      </c>
      <c r="G216" s="17">
        <f>VLOOKUP($R216, '#등급업 재료 개수'!$A$2:$K$5, MATCH(GradeUp!H216, '#등급업 재료 개수'!$A$2:$K$2, 0), FALSE)</f>
        <v>1</v>
      </c>
      <c r="H216" s="17">
        <v>3</v>
      </c>
      <c r="I216" s="17">
        <v>30</v>
      </c>
      <c r="J216" s="17">
        <v>0</v>
      </c>
      <c r="K216" s="17">
        <v>0</v>
      </c>
      <c r="L216" s="17" t="s">
        <v>917</v>
      </c>
      <c r="M216" s="17">
        <v>10000</v>
      </c>
      <c r="N216" s="17" t="s">
        <v>918</v>
      </c>
      <c r="O216" s="17">
        <v>10000</v>
      </c>
      <c r="P216" s="17" t="s">
        <v>919</v>
      </c>
      <c r="Q216" s="17">
        <v>10000</v>
      </c>
      <c r="R216">
        <f>_xlfn.XLOOKUP($B216, 'Detail&lt;Child&gt;'!$A:$A, 'Detail&lt;Child&gt;'!$L:$L)</f>
        <v>3</v>
      </c>
    </row>
    <row r="217" spans="1:18" x14ac:dyDescent="0.3">
      <c r="A217" s="17">
        <f t="shared" si="66"/>
        <v>1000052504</v>
      </c>
      <c r="B217" s="17">
        <v>10000525</v>
      </c>
      <c r="C217" s="17" t="str">
        <f>_xlfn.XLOOKUP(B217,'Detail&lt;Child&gt;'!A:A,'Detail&lt;Child&gt;'!B:B)</f>
        <v>그릴라</v>
      </c>
      <c r="D217" s="17" t="str">
        <f t="shared" si="67"/>
        <v>character_gradeup_10000525_4</v>
      </c>
      <c r="E217" s="17" t="s">
        <v>923</v>
      </c>
      <c r="F217" s="17">
        <f t="shared" si="68"/>
        <v>30030525</v>
      </c>
      <c r="G217" s="17">
        <f>VLOOKUP($R217, '#등급업 재료 개수'!$A$2:$K$5, MATCH(GradeUp!H217, '#등급업 재료 개수'!$A$2:$K$2, 0), FALSE)</f>
        <v>2</v>
      </c>
      <c r="H217" s="17">
        <v>4</v>
      </c>
      <c r="I217" s="17">
        <v>40</v>
      </c>
      <c r="J217" s="17" t="s">
        <v>32</v>
      </c>
      <c r="K217" s="17">
        <f>_xlfn.IFNA(VLOOKUP($B217, 'Detail&lt;Child&gt;'!$A:$AT, MATCH(J217, 'Detail&lt;Child&gt;'!$3:$3,0 ), FALSE)+INT($H217/12), 0)</f>
        <v>43052501</v>
      </c>
      <c r="L217" s="17" t="s">
        <v>917</v>
      </c>
      <c r="M217" s="17">
        <f t="shared" ref="M217:M223" si="75">M216+10000</f>
        <v>20000</v>
      </c>
      <c r="N217" s="17" t="s">
        <v>918</v>
      </c>
      <c r="O217" s="17">
        <f t="shared" ref="O217:O223" si="76">O216+10000</f>
        <v>20000</v>
      </c>
      <c r="P217" s="17" t="s">
        <v>919</v>
      </c>
      <c r="Q217" s="17">
        <f t="shared" ref="Q217:Q223" si="77">Q216+10000</f>
        <v>20000</v>
      </c>
      <c r="R217">
        <f>_xlfn.XLOOKUP($B217, 'Detail&lt;Child&gt;'!$A:$A, 'Detail&lt;Child&gt;'!$L:$L)</f>
        <v>3</v>
      </c>
    </row>
    <row r="218" spans="1:18" x14ac:dyDescent="0.3">
      <c r="A218" s="17">
        <f t="shared" si="66"/>
        <v>1000052505</v>
      </c>
      <c r="B218" s="17">
        <v>10000525</v>
      </c>
      <c r="C218" s="17" t="str">
        <f>_xlfn.XLOOKUP(B218,'Detail&lt;Child&gt;'!A:A,'Detail&lt;Child&gt;'!B:B)</f>
        <v>그릴라</v>
      </c>
      <c r="D218" s="17" t="str">
        <f t="shared" si="67"/>
        <v>character_gradeup_10000525_5</v>
      </c>
      <c r="E218" s="17" t="s">
        <v>923</v>
      </c>
      <c r="F218" s="17">
        <f t="shared" si="68"/>
        <v>30030525</v>
      </c>
      <c r="G218" s="17">
        <f>VLOOKUP($R218, '#등급업 재료 개수'!$A$2:$K$5, MATCH(GradeUp!H218, '#등급업 재료 개수'!$A$2:$K$2, 0), FALSE)</f>
        <v>4</v>
      </c>
      <c r="H218" s="17">
        <v>5</v>
      </c>
      <c r="I218" s="17">
        <v>50</v>
      </c>
      <c r="J218" s="17" t="s">
        <v>30</v>
      </c>
      <c r="K218" s="17">
        <f>_xlfn.IFNA(VLOOKUP($B218, 'Detail&lt;Child&gt;'!$A:$AT, MATCH(J218, 'Detail&lt;Child&gt;'!$3:$3,0 ), FALSE)+INT($H218/12), 0)+1</f>
        <v>23052502</v>
      </c>
      <c r="L218" s="17" t="s">
        <v>917</v>
      </c>
      <c r="M218" s="17">
        <f t="shared" si="75"/>
        <v>30000</v>
      </c>
      <c r="N218" s="17" t="s">
        <v>918</v>
      </c>
      <c r="O218" s="17">
        <f t="shared" si="76"/>
        <v>30000</v>
      </c>
      <c r="P218" s="17" t="s">
        <v>919</v>
      </c>
      <c r="Q218" s="17">
        <f t="shared" si="77"/>
        <v>30000</v>
      </c>
      <c r="R218">
        <f>_xlfn.XLOOKUP($B218, 'Detail&lt;Child&gt;'!$A:$A, 'Detail&lt;Child&gt;'!$L:$L)</f>
        <v>3</v>
      </c>
    </row>
    <row r="219" spans="1:18" x14ac:dyDescent="0.3">
      <c r="A219" s="17">
        <f t="shared" si="66"/>
        <v>1000052506</v>
      </c>
      <c r="B219" s="17">
        <v>10000525</v>
      </c>
      <c r="C219" s="17" t="str">
        <f>_xlfn.XLOOKUP(B219,'Detail&lt;Child&gt;'!A:A,'Detail&lt;Child&gt;'!B:B)</f>
        <v>그릴라</v>
      </c>
      <c r="D219" s="17" t="str">
        <f t="shared" si="67"/>
        <v>character_gradeup_10000525_6</v>
      </c>
      <c r="E219" s="17" t="s">
        <v>923</v>
      </c>
      <c r="F219" s="17">
        <f t="shared" si="68"/>
        <v>30030525</v>
      </c>
      <c r="G219" s="17">
        <f>VLOOKUP($R219, '#등급업 재료 개수'!$A$2:$K$5, MATCH(GradeUp!H219, '#등급업 재료 개수'!$A$2:$K$2, 0), FALSE)</f>
        <v>6</v>
      </c>
      <c r="H219" s="17">
        <v>6</v>
      </c>
      <c r="I219" s="17">
        <v>60</v>
      </c>
      <c r="J219" s="17">
        <v>0</v>
      </c>
      <c r="K219" s="17">
        <v>0</v>
      </c>
      <c r="L219" s="17" t="s">
        <v>917</v>
      </c>
      <c r="M219" s="17">
        <f t="shared" si="75"/>
        <v>40000</v>
      </c>
      <c r="N219" s="17" t="s">
        <v>918</v>
      </c>
      <c r="O219" s="17">
        <f t="shared" si="76"/>
        <v>40000</v>
      </c>
      <c r="P219" s="17" t="s">
        <v>919</v>
      </c>
      <c r="Q219" s="17">
        <f t="shared" si="77"/>
        <v>40000</v>
      </c>
      <c r="R219">
        <f>_xlfn.XLOOKUP($B219, 'Detail&lt;Child&gt;'!$A:$A, 'Detail&lt;Child&gt;'!$L:$L)</f>
        <v>3</v>
      </c>
    </row>
    <row r="220" spans="1:18" x14ac:dyDescent="0.3">
      <c r="A220" s="17">
        <f t="shared" si="66"/>
        <v>1000052507</v>
      </c>
      <c r="B220" s="17">
        <v>10000525</v>
      </c>
      <c r="C220" s="17" t="str">
        <f>_xlfn.XLOOKUP(B220,'Detail&lt;Child&gt;'!A:A,'Detail&lt;Child&gt;'!B:B)</f>
        <v>그릴라</v>
      </c>
      <c r="D220" s="17" t="str">
        <f t="shared" si="67"/>
        <v>character_gradeup_10000525_7</v>
      </c>
      <c r="E220" s="17" t="s">
        <v>923</v>
      </c>
      <c r="F220" s="17">
        <f t="shared" si="68"/>
        <v>30030525</v>
      </c>
      <c r="G220" s="17">
        <f>VLOOKUP($R220, '#등급업 재료 개수'!$A$2:$K$5, MATCH(GradeUp!H220, '#등급업 재료 개수'!$A$2:$K$2, 0), FALSE)</f>
        <v>8</v>
      </c>
      <c r="H220" s="17">
        <v>7</v>
      </c>
      <c r="I220" s="17">
        <v>70</v>
      </c>
      <c r="J220" s="17" t="s">
        <v>32</v>
      </c>
      <c r="K220" s="17">
        <f>_xlfn.IFNA(VLOOKUP($B220, 'Detail&lt;Child&gt;'!$A:$AT, MATCH(J220, 'Detail&lt;Child&gt;'!$3:$3,0 ), FALSE)+INT($H220/12), 0)+1</f>
        <v>43052502</v>
      </c>
      <c r="L220" s="17" t="s">
        <v>917</v>
      </c>
      <c r="M220" s="17">
        <f t="shared" si="75"/>
        <v>50000</v>
      </c>
      <c r="N220" s="17" t="s">
        <v>918</v>
      </c>
      <c r="O220" s="17">
        <f t="shared" si="76"/>
        <v>50000</v>
      </c>
      <c r="P220" s="17" t="s">
        <v>919</v>
      </c>
      <c r="Q220" s="17">
        <f t="shared" si="77"/>
        <v>50000</v>
      </c>
      <c r="R220">
        <f>_xlfn.XLOOKUP($B220, 'Detail&lt;Child&gt;'!$A:$A, 'Detail&lt;Child&gt;'!$L:$L)</f>
        <v>3</v>
      </c>
    </row>
    <row r="221" spans="1:18" x14ac:dyDescent="0.3">
      <c r="A221" s="17">
        <f t="shared" si="66"/>
        <v>1000052508</v>
      </c>
      <c r="B221" s="17">
        <v>10000525</v>
      </c>
      <c r="C221" s="17" t="str">
        <f>_xlfn.XLOOKUP(B221,'Detail&lt;Child&gt;'!A:A,'Detail&lt;Child&gt;'!B:B)</f>
        <v>그릴라</v>
      </c>
      <c r="D221" s="17" t="str">
        <f t="shared" si="67"/>
        <v>character_gradeup_10000525_8</v>
      </c>
      <c r="E221" s="17" t="s">
        <v>923</v>
      </c>
      <c r="F221" s="17">
        <f t="shared" si="68"/>
        <v>30030525</v>
      </c>
      <c r="G221" s="17">
        <f>VLOOKUP($R221, '#등급업 재료 개수'!$A$2:$K$5, MATCH(GradeUp!H221, '#등급업 재료 개수'!$A$2:$K$2, 0), FALSE)</f>
        <v>10</v>
      </c>
      <c r="H221" s="17">
        <v>8</v>
      </c>
      <c r="I221" s="17">
        <v>80</v>
      </c>
      <c r="J221" s="17">
        <v>0</v>
      </c>
      <c r="K221" s="17">
        <v>0</v>
      </c>
      <c r="L221" s="17" t="s">
        <v>917</v>
      </c>
      <c r="M221" s="17">
        <f t="shared" si="75"/>
        <v>60000</v>
      </c>
      <c r="N221" s="17" t="s">
        <v>918</v>
      </c>
      <c r="O221" s="17">
        <f t="shared" si="76"/>
        <v>60000</v>
      </c>
      <c r="P221" s="17" t="s">
        <v>919</v>
      </c>
      <c r="Q221" s="17">
        <f t="shared" si="77"/>
        <v>60000</v>
      </c>
      <c r="R221">
        <f>_xlfn.XLOOKUP($B221, 'Detail&lt;Child&gt;'!$A:$A, 'Detail&lt;Child&gt;'!$L:$L)</f>
        <v>3</v>
      </c>
    </row>
    <row r="222" spans="1:18" x14ac:dyDescent="0.3">
      <c r="A222" s="17">
        <f t="shared" si="66"/>
        <v>1000052509</v>
      </c>
      <c r="B222" s="17">
        <v>10000525</v>
      </c>
      <c r="C222" s="17" t="str">
        <f>_xlfn.XLOOKUP(B222,'Detail&lt;Child&gt;'!A:A,'Detail&lt;Child&gt;'!B:B)</f>
        <v>그릴라</v>
      </c>
      <c r="D222" s="17" t="str">
        <f t="shared" si="67"/>
        <v>character_gradeup_10000525_9</v>
      </c>
      <c r="E222" s="17" t="s">
        <v>923</v>
      </c>
      <c r="F222" s="17">
        <f t="shared" si="68"/>
        <v>30030525</v>
      </c>
      <c r="G222" s="17">
        <f>VLOOKUP($R222, '#등급업 재료 개수'!$A$2:$K$5, MATCH(GradeUp!H222, '#등급업 재료 개수'!$A$2:$K$2, 0), FALSE)</f>
        <v>12</v>
      </c>
      <c r="H222" s="17">
        <v>9</v>
      </c>
      <c r="I222" s="17">
        <v>90</v>
      </c>
      <c r="J222" s="17" t="s">
        <v>31</v>
      </c>
      <c r="K222" s="17">
        <f>_xlfn.IFNA(VLOOKUP($B222, 'Detail&lt;Child&gt;'!$A:$AT, MATCH(J222, 'Detail&lt;Child&gt;'!$3:$3,0 ), FALSE)+INT($H222/12), 0)+1</f>
        <v>33052502</v>
      </c>
      <c r="L222" s="17" t="s">
        <v>917</v>
      </c>
      <c r="M222" s="17">
        <f t="shared" si="75"/>
        <v>70000</v>
      </c>
      <c r="N222" s="17" t="s">
        <v>918</v>
      </c>
      <c r="O222" s="17">
        <f t="shared" si="76"/>
        <v>70000</v>
      </c>
      <c r="P222" s="17" t="s">
        <v>919</v>
      </c>
      <c r="Q222" s="17">
        <f t="shared" si="77"/>
        <v>70000</v>
      </c>
      <c r="R222">
        <f>_xlfn.XLOOKUP($B222, 'Detail&lt;Child&gt;'!$A:$A, 'Detail&lt;Child&gt;'!$L:$L)</f>
        <v>3</v>
      </c>
    </row>
    <row r="223" spans="1:18" x14ac:dyDescent="0.3">
      <c r="A223" s="17">
        <f t="shared" si="66"/>
        <v>1000052510</v>
      </c>
      <c r="B223" s="17">
        <v>10000525</v>
      </c>
      <c r="C223" s="17" t="str">
        <f>_xlfn.XLOOKUP(B223,'Detail&lt;Child&gt;'!A:A,'Detail&lt;Child&gt;'!B:B)</f>
        <v>그릴라</v>
      </c>
      <c r="D223" s="17" t="str">
        <f t="shared" si="67"/>
        <v>character_gradeup_10000525_10</v>
      </c>
      <c r="E223" s="17" t="s">
        <v>923</v>
      </c>
      <c r="F223" s="17">
        <f t="shared" si="68"/>
        <v>30030525</v>
      </c>
      <c r="G223" s="17">
        <f>VLOOKUP($R223, '#등급업 재료 개수'!$A$2:$K$5, MATCH(GradeUp!H223, '#등급업 재료 개수'!$A$2:$K$2, 0), FALSE)</f>
        <v>999</v>
      </c>
      <c r="H223" s="17">
        <v>10</v>
      </c>
      <c r="I223" s="17">
        <v>100</v>
      </c>
      <c r="J223" s="17">
        <v>0</v>
      </c>
      <c r="K223" s="17">
        <v>0</v>
      </c>
      <c r="L223" s="17" t="s">
        <v>917</v>
      </c>
      <c r="M223" s="17">
        <f t="shared" si="75"/>
        <v>80000</v>
      </c>
      <c r="N223" s="17" t="s">
        <v>918</v>
      </c>
      <c r="O223" s="17">
        <f t="shared" si="76"/>
        <v>80000</v>
      </c>
      <c r="P223" s="17" t="s">
        <v>919</v>
      </c>
      <c r="Q223" s="17">
        <f t="shared" si="77"/>
        <v>80000</v>
      </c>
      <c r="R223">
        <f>_xlfn.XLOOKUP($B223, 'Detail&lt;Child&gt;'!$A:$A, 'Detail&lt;Child&gt;'!$L:$L)</f>
        <v>3</v>
      </c>
    </row>
    <row r="224" spans="1:18" x14ac:dyDescent="0.3">
      <c r="A224" s="17">
        <f t="shared" si="66"/>
        <v>1000044201</v>
      </c>
      <c r="B224" s="17">
        <v>10000442</v>
      </c>
      <c r="C224" s="17" t="str">
        <f>_xlfn.XLOOKUP(B224,'Detail&lt;Child&gt;'!A:A,'Detail&lt;Child&gt;'!B:B)</f>
        <v>니르티</v>
      </c>
      <c r="D224" s="17" t="str">
        <f t="shared" si="67"/>
        <v>character_gradeup_10000442_1</v>
      </c>
      <c r="E224" s="17" t="s">
        <v>923</v>
      </c>
      <c r="F224" s="17">
        <f t="shared" si="68"/>
        <v>30030442</v>
      </c>
      <c r="G224" s="17">
        <f>VLOOKUP($R224, '#등급업 재료 개수'!$A$2:$K$5, MATCH(GradeUp!H224, '#등급업 재료 개수'!$A$2:$K$2, 0), FALSE)</f>
        <v>1</v>
      </c>
      <c r="H224" s="17">
        <v>1</v>
      </c>
      <c r="I224" s="17">
        <v>10</v>
      </c>
      <c r="J224" s="17">
        <v>0</v>
      </c>
      <c r="K224" s="17">
        <v>0</v>
      </c>
      <c r="L224" s="17" t="s">
        <v>917</v>
      </c>
      <c r="M224" s="17">
        <v>0</v>
      </c>
      <c r="N224" s="17" t="s">
        <v>918</v>
      </c>
      <c r="O224" s="17">
        <v>0</v>
      </c>
      <c r="P224" s="17" t="s">
        <v>919</v>
      </c>
      <c r="Q224" s="17">
        <v>0</v>
      </c>
      <c r="R224">
        <f>_xlfn.XLOOKUP($B224, 'Detail&lt;Child&gt;'!$A:$A, 'Detail&lt;Child&gt;'!$L:$L)</f>
        <v>3</v>
      </c>
    </row>
    <row r="225" spans="1:18" x14ac:dyDescent="0.3">
      <c r="A225" s="17">
        <f t="shared" si="66"/>
        <v>1000044202</v>
      </c>
      <c r="B225" s="17">
        <v>10000442</v>
      </c>
      <c r="C225" s="17" t="str">
        <f>_xlfn.XLOOKUP(B225,'Detail&lt;Child&gt;'!A:A,'Detail&lt;Child&gt;'!B:B)</f>
        <v>니르티</v>
      </c>
      <c r="D225" s="17" t="str">
        <f t="shared" si="67"/>
        <v>character_gradeup_10000442_2</v>
      </c>
      <c r="E225" s="17" t="s">
        <v>923</v>
      </c>
      <c r="F225" s="17">
        <f t="shared" si="68"/>
        <v>30030442</v>
      </c>
      <c r="G225" s="17">
        <f>VLOOKUP($R225, '#등급업 재료 개수'!$A$2:$K$5, MATCH(GradeUp!H225, '#등급업 재료 개수'!$A$2:$K$2, 0), FALSE)</f>
        <v>1</v>
      </c>
      <c r="H225" s="17">
        <v>2</v>
      </c>
      <c r="I225" s="17">
        <v>20</v>
      </c>
      <c r="J225" s="17" t="s">
        <v>30</v>
      </c>
      <c r="K225" s="17">
        <f>_xlfn.IFNA(VLOOKUP($B225, 'Detail&lt;Child&gt;'!$A:$AT, MATCH(J225, 'Detail&lt;Child&gt;'!$3:$3,0 ), FALSE)+INT($H225/12), 0)</f>
        <v>23044201</v>
      </c>
      <c r="L225" s="17" t="s">
        <v>917</v>
      </c>
      <c r="M225" s="17">
        <v>0</v>
      </c>
      <c r="N225" s="17" t="s">
        <v>918</v>
      </c>
      <c r="O225" s="17">
        <v>0</v>
      </c>
      <c r="P225" s="17" t="s">
        <v>919</v>
      </c>
      <c r="Q225" s="17">
        <v>0</v>
      </c>
      <c r="R225">
        <f>_xlfn.XLOOKUP($B225, 'Detail&lt;Child&gt;'!$A:$A, 'Detail&lt;Child&gt;'!$L:$L)</f>
        <v>3</v>
      </c>
    </row>
    <row r="226" spans="1:18" x14ac:dyDescent="0.3">
      <c r="A226" s="17">
        <f t="shared" si="66"/>
        <v>1000044203</v>
      </c>
      <c r="B226" s="17">
        <v>10000442</v>
      </c>
      <c r="C226" s="17" t="str">
        <f>_xlfn.XLOOKUP(B226,'Detail&lt;Child&gt;'!A:A,'Detail&lt;Child&gt;'!B:B)</f>
        <v>니르티</v>
      </c>
      <c r="D226" s="17" t="str">
        <f t="shared" si="67"/>
        <v>character_gradeup_10000442_3</v>
      </c>
      <c r="E226" s="17" t="s">
        <v>923</v>
      </c>
      <c r="F226" s="17">
        <f t="shared" si="68"/>
        <v>30030442</v>
      </c>
      <c r="G226" s="17">
        <f>VLOOKUP($R226, '#등급업 재료 개수'!$A$2:$K$5, MATCH(GradeUp!H226, '#등급업 재료 개수'!$A$2:$K$2, 0), FALSE)</f>
        <v>1</v>
      </c>
      <c r="H226" s="17">
        <v>3</v>
      </c>
      <c r="I226" s="17">
        <v>30</v>
      </c>
      <c r="J226" s="17">
        <v>0</v>
      </c>
      <c r="K226" s="17">
        <v>0</v>
      </c>
      <c r="L226" s="17" t="s">
        <v>917</v>
      </c>
      <c r="M226" s="17">
        <v>0</v>
      </c>
      <c r="N226" s="17" t="s">
        <v>918</v>
      </c>
      <c r="O226" s="17">
        <v>0</v>
      </c>
      <c r="P226" s="17" t="s">
        <v>919</v>
      </c>
      <c r="Q226" s="17">
        <v>0</v>
      </c>
      <c r="R226">
        <f>_xlfn.XLOOKUP($B226, 'Detail&lt;Child&gt;'!$A:$A, 'Detail&lt;Child&gt;'!$L:$L)</f>
        <v>3</v>
      </c>
    </row>
    <row r="227" spans="1:18" x14ac:dyDescent="0.3">
      <c r="A227" s="17">
        <f t="shared" si="66"/>
        <v>1000044204</v>
      </c>
      <c r="B227" s="17">
        <v>10000442</v>
      </c>
      <c r="C227" s="17" t="str">
        <f>_xlfn.XLOOKUP(B227,'Detail&lt;Child&gt;'!A:A,'Detail&lt;Child&gt;'!B:B)</f>
        <v>니르티</v>
      </c>
      <c r="D227" s="17" t="str">
        <f t="shared" si="67"/>
        <v>character_gradeup_10000442_4</v>
      </c>
      <c r="E227" s="17" t="s">
        <v>923</v>
      </c>
      <c r="F227" s="17">
        <f t="shared" si="68"/>
        <v>30030442</v>
      </c>
      <c r="G227" s="17">
        <f>VLOOKUP($R227, '#등급업 재료 개수'!$A$2:$K$5, MATCH(GradeUp!H227, '#등급업 재료 개수'!$A$2:$K$2, 0), FALSE)</f>
        <v>2</v>
      </c>
      <c r="H227" s="17">
        <v>4</v>
      </c>
      <c r="I227" s="17">
        <v>40</v>
      </c>
      <c r="J227" s="17" t="s">
        <v>32</v>
      </c>
      <c r="K227" s="17">
        <f>_xlfn.IFNA(VLOOKUP($B227, 'Detail&lt;Child&gt;'!$A:$AT, MATCH(J227, 'Detail&lt;Child&gt;'!$3:$3,0 ), FALSE)+INT($H227/12), 0)</f>
        <v>43044201</v>
      </c>
      <c r="L227" s="17" t="s">
        <v>917</v>
      </c>
      <c r="M227" s="17">
        <v>10000</v>
      </c>
      <c r="N227" s="17" t="s">
        <v>918</v>
      </c>
      <c r="O227" s="17">
        <v>10000</v>
      </c>
      <c r="P227" s="17" t="s">
        <v>919</v>
      </c>
      <c r="Q227" s="17">
        <v>10000</v>
      </c>
      <c r="R227">
        <f>_xlfn.XLOOKUP($B227, 'Detail&lt;Child&gt;'!$A:$A, 'Detail&lt;Child&gt;'!$L:$L)</f>
        <v>3</v>
      </c>
    </row>
    <row r="228" spans="1:18" x14ac:dyDescent="0.3">
      <c r="A228" s="17">
        <f t="shared" si="66"/>
        <v>1000044205</v>
      </c>
      <c r="B228" s="17">
        <v>10000442</v>
      </c>
      <c r="C228" s="17" t="str">
        <f>_xlfn.XLOOKUP(B228,'Detail&lt;Child&gt;'!A:A,'Detail&lt;Child&gt;'!B:B)</f>
        <v>니르티</v>
      </c>
      <c r="D228" s="17" t="str">
        <f t="shared" si="67"/>
        <v>character_gradeup_10000442_5</v>
      </c>
      <c r="E228" s="17" t="s">
        <v>923</v>
      </c>
      <c r="F228" s="17">
        <f t="shared" si="68"/>
        <v>30030442</v>
      </c>
      <c r="G228" s="17">
        <f>VLOOKUP($R228, '#등급업 재료 개수'!$A$2:$K$5, MATCH(GradeUp!H228, '#등급업 재료 개수'!$A$2:$K$2, 0), FALSE)</f>
        <v>4</v>
      </c>
      <c r="H228" s="17">
        <v>5</v>
      </c>
      <c r="I228" s="17">
        <v>50</v>
      </c>
      <c r="J228" s="17" t="s">
        <v>30</v>
      </c>
      <c r="K228" s="17">
        <f>_xlfn.IFNA(VLOOKUP($B228, 'Detail&lt;Child&gt;'!$A:$AT, MATCH(J228, 'Detail&lt;Child&gt;'!$3:$3,0 ), FALSE)+INT($H228/12), 0)+1</f>
        <v>23044202</v>
      </c>
      <c r="L228" s="17" t="s">
        <v>917</v>
      </c>
      <c r="M228" s="17">
        <f t="shared" ref="M228:M233" si="78">M227+10000</f>
        <v>20000</v>
      </c>
      <c r="N228" s="17" t="s">
        <v>918</v>
      </c>
      <c r="O228" s="17">
        <f t="shared" ref="O228:O233" si="79">O227+10000</f>
        <v>20000</v>
      </c>
      <c r="P228" s="17" t="s">
        <v>919</v>
      </c>
      <c r="Q228" s="17">
        <f t="shared" ref="Q228:Q233" si="80">Q227+10000</f>
        <v>20000</v>
      </c>
      <c r="R228">
        <f>_xlfn.XLOOKUP($B228, 'Detail&lt;Child&gt;'!$A:$A, 'Detail&lt;Child&gt;'!$L:$L)</f>
        <v>3</v>
      </c>
    </row>
    <row r="229" spans="1:18" x14ac:dyDescent="0.3">
      <c r="A229" s="17">
        <f t="shared" si="66"/>
        <v>1000044206</v>
      </c>
      <c r="B229" s="17">
        <v>10000442</v>
      </c>
      <c r="C229" s="17" t="str">
        <f>_xlfn.XLOOKUP(B229,'Detail&lt;Child&gt;'!A:A,'Detail&lt;Child&gt;'!B:B)</f>
        <v>니르티</v>
      </c>
      <c r="D229" s="17" t="str">
        <f t="shared" si="67"/>
        <v>character_gradeup_10000442_6</v>
      </c>
      <c r="E229" s="17" t="s">
        <v>923</v>
      </c>
      <c r="F229" s="17">
        <f t="shared" si="68"/>
        <v>30030442</v>
      </c>
      <c r="G229" s="17">
        <f>VLOOKUP($R229, '#등급업 재료 개수'!$A$2:$K$5, MATCH(GradeUp!H229, '#등급업 재료 개수'!$A$2:$K$2, 0), FALSE)</f>
        <v>6</v>
      </c>
      <c r="H229" s="17">
        <v>6</v>
      </c>
      <c r="I229" s="17">
        <v>60</v>
      </c>
      <c r="J229" s="17">
        <v>0</v>
      </c>
      <c r="K229" s="17">
        <v>0</v>
      </c>
      <c r="L229" s="17" t="s">
        <v>917</v>
      </c>
      <c r="M229" s="17">
        <f t="shared" si="78"/>
        <v>30000</v>
      </c>
      <c r="N229" s="17" t="s">
        <v>918</v>
      </c>
      <c r="O229" s="17">
        <f t="shared" si="79"/>
        <v>30000</v>
      </c>
      <c r="P229" s="17" t="s">
        <v>919</v>
      </c>
      <c r="Q229" s="17">
        <f t="shared" si="80"/>
        <v>30000</v>
      </c>
      <c r="R229">
        <f>_xlfn.XLOOKUP($B229, 'Detail&lt;Child&gt;'!$A:$A, 'Detail&lt;Child&gt;'!$L:$L)</f>
        <v>3</v>
      </c>
    </row>
    <row r="230" spans="1:18" x14ac:dyDescent="0.3">
      <c r="A230" s="17">
        <f t="shared" si="66"/>
        <v>1000044207</v>
      </c>
      <c r="B230" s="17">
        <v>10000442</v>
      </c>
      <c r="C230" s="17" t="str">
        <f>_xlfn.XLOOKUP(B230,'Detail&lt;Child&gt;'!A:A,'Detail&lt;Child&gt;'!B:B)</f>
        <v>니르티</v>
      </c>
      <c r="D230" s="17" t="str">
        <f t="shared" si="67"/>
        <v>character_gradeup_10000442_7</v>
      </c>
      <c r="E230" s="17" t="s">
        <v>923</v>
      </c>
      <c r="F230" s="17">
        <f t="shared" si="68"/>
        <v>30030442</v>
      </c>
      <c r="G230" s="17">
        <f>VLOOKUP($R230, '#등급업 재료 개수'!$A$2:$K$5, MATCH(GradeUp!H230, '#등급업 재료 개수'!$A$2:$K$2, 0), FALSE)</f>
        <v>8</v>
      </c>
      <c r="H230" s="17">
        <v>7</v>
      </c>
      <c r="I230" s="17">
        <v>70</v>
      </c>
      <c r="J230" s="17" t="s">
        <v>32</v>
      </c>
      <c r="K230" s="17">
        <f>_xlfn.IFNA(VLOOKUP($B230, 'Detail&lt;Child&gt;'!$A:$AT, MATCH(J230, 'Detail&lt;Child&gt;'!$3:$3,0 ), FALSE)+INT($H230/12), 0)+1</f>
        <v>43044202</v>
      </c>
      <c r="L230" s="17" t="s">
        <v>917</v>
      </c>
      <c r="M230" s="17">
        <f t="shared" si="78"/>
        <v>40000</v>
      </c>
      <c r="N230" s="17" t="s">
        <v>918</v>
      </c>
      <c r="O230" s="17">
        <f t="shared" si="79"/>
        <v>40000</v>
      </c>
      <c r="P230" s="17" t="s">
        <v>919</v>
      </c>
      <c r="Q230" s="17">
        <f t="shared" si="80"/>
        <v>40000</v>
      </c>
      <c r="R230">
        <f>_xlfn.XLOOKUP($B230, 'Detail&lt;Child&gt;'!$A:$A, 'Detail&lt;Child&gt;'!$L:$L)</f>
        <v>3</v>
      </c>
    </row>
    <row r="231" spans="1:18" x14ac:dyDescent="0.3">
      <c r="A231" s="17">
        <f t="shared" si="66"/>
        <v>1000044208</v>
      </c>
      <c r="B231" s="17">
        <v>10000442</v>
      </c>
      <c r="C231" s="17" t="str">
        <f>_xlfn.XLOOKUP(B231,'Detail&lt;Child&gt;'!A:A,'Detail&lt;Child&gt;'!B:B)</f>
        <v>니르티</v>
      </c>
      <c r="D231" s="17" t="str">
        <f t="shared" si="67"/>
        <v>character_gradeup_10000442_8</v>
      </c>
      <c r="E231" s="17" t="s">
        <v>923</v>
      </c>
      <c r="F231" s="17">
        <f t="shared" si="68"/>
        <v>30030442</v>
      </c>
      <c r="G231" s="17">
        <f>VLOOKUP($R231, '#등급업 재료 개수'!$A$2:$K$5, MATCH(GradeUp!H231, '#등급업 재료 개수'!$A$2:$K$2, 0), FALSE)</f>
        <v>10</v>
      </c>
      <c r="H231" s="17">
        <v>8</v>
      </c>
      <c r="I231" s="17">
        <v>80</v>
      </c>
      <c r="J231" s="17">
        <v>0</v>
      </c>
      <c r="K231" s="17">
        <v>0</v>
      </c>
      <c r="L231" s="17" t="s">
        <v>917</v>
      </c>
      <c r="M231" s="17">
        <f t="shared" si="78"/>
        <v>50000</v>
      </c>
      <c r="N231" s="17" t="s">
        <v>918</v>
      </c>
      <c r="O231" s="17">
        <f t="shared" si="79"/>
        <v>50000</v>
      </c>
      <c r="P231" s="17" t="s">
        <v>919</v>
      </c>
      <c r="Q231" s="17">
        <f t="shared" si="80"/>
        <v>50000</v>
      </c>
      <c r="R231">
        <f>_xlfn.XLOOKUP($B231, 'Detail&lt;Child&gt;'!$A:$A, 'Detail&lt;Child&gt;'!$L:$L)</f>
        <v>3</v>
      </c>
    </row>
    <row r="232" spans="1:18" x14ac:dyDescent="0.3">
      <c r="A232" s="17">
        <f t="shared" si="66"/>
        <v>1000044209</v>
      </c>
      <c r="B232" s="17">
        <v>10000442</v>
      </c>
      <c r="C232" s="17" t="str">
        <f>_xlfn.XLOOKUP(B232,'Detail&lt;Child&gt;'!A:A,'Detail&lt;Child&gt;'!B:B)</f>
        <v>니르티</v>
      </c>
      <c r="D232" s="17" t="str">
        <f t="shared" si="67"/>
        <v>character_gradeup_10000442_9</v>
      </c>
      <c r="E232" s="17" t="s">
        <v>923</v>
      </c>
      <c r="F232" s="17">
        <f t="shared" si="68"/>
        <v>30030442</v>
      </c>
      <c r="G232" s="17">
        <f>VLOOKUP($R232, '#등급업 재료 개수'!$A$2:$K$5, MATCH(GradeUp!H232, '#등급업 재료 개수'!$A$2:$K$2, 0), FALSE)</f>
        <v>12</v>
      </c>
      <c r="H232" s="17">
        <v>9</v>
      </c>
      <c r="I232" s="17">
        <v>90</v>
      </c>
      <c r="J232" s="17" t="s">
        <v>31</v>
      </c>
      <c r="K232" s="17">
        <f>_xlfn.IFNA(VLOOKUP($B232, 'Detail&lt;Child&gt;'!$A:$AT, MATCH(J232, 'Detail&lt;Child&gt;'!$3:$3,0 ), FALSE)+INT($H232/12), 0)+1</f>
        <v>33044202</v>
      </c>
      <c r="L232" s="17" t="s">
        <v>917</v>
      </c>
      <c r="M232" s="17">
        <f t="shared" si="78"/>
        <v>60000</v>
      </c>
      <c r="N232" s="17" t="s">
        <v>918</v>
      </c>
      <c r="O232" s="17">
        <f t="shared" si="79"/>
        <v>60000</v>
      </c>
      <c r="P232" s="17" t="s">
        <v>919</v>
      </c>
      <c r="Q232" s="17">
        <f t="shared" si="80"/>
        <v>60000</v>
      </c>
      <c r="R232">
        <f>_xlfn.XLOOKUP($B232, 'Detail&lt;Child&gt;'!$A:$A, 'Detail&lt;Child&gt;'!$L:$L)</f>
        <v>3</v>
      </c>
    </row>
    <row r="233" spans="1:18" x14ac:dyDescent="0.3">
      <c r="A233" s="17">
        <f t="shared" si="66"/>
        <v>1000044210</v>
      </c>
      <c r="B233" s="17">
        <v>10000442</v>
      </c>
      <c r="C233" s="17" t="str">
        <f>_xlfn.XLOOKUP(B233,'Detail&lt;Child&gt;'!A:A,'Detail&lt;Child&gt;'!B:B)</f>
        <v>니르티</v>
      </c>
      <c r="D233" s="17" t="str">
        <f t="shared" si="67"/>
        <v>character_gradeup_10000442_10</v>
      </c>
      <c r="E233" s="17" t="s">
        <v>923</v>
      </c>
      <c r="F233" s="17">
        <f t="shared" si="68"/>
        <v>30030442</v>
      </c>
      <c r="G233" s="17">
        <f>VLOOKUP($R233, '#등급업 재료 개수'!$A$2:$K$5, MATCH(GradeUp!H233, '#등급업 재료 개수'!$A$2:$K$2, 0), FALSE)</f>
        <v>999</v>
      </c>
      <c r="H233" s="17">
        <v>10</v>
      </c>
      <c r="I233" s="17">
        <v>100</v>
      </c>
      <c r="J233" s="17">
        <v>0</v>
      </c>
      <c r="K233" s="17">
        <v>0</v>
      </c>
      <c r="L233" s="17" t="s">
        <v>917</v>
      </c>
      <c r="M233" s="17">
        <f t="shared" si="78"/>
        <v>70000</v>
      </c>
      <c r="N233" s="17" t="s">
        <v>918</v>
      </c>
      <c r="O233" s="17">
        <f t="shared" si="79"/>
        <v>70000</v>
      </c>
      <c r="P233" s="17" t="s">
        <v>919</v>
      </c>
      <c r="Q233" s="17">
        <f t="shared" si="80"/>
        <v>70000</v>
      </c>
      <c r="R233">
        <f>_xlfn.XLOOKUP($B233, 'Detail&lt;Child&gt;'!$A:$A, 'Detail&lt;Child&gt;'!$L:$L)</f>
        <v>3</v>
      </c>
    </row>
    <row r="234" spans="1:18" x14ac:dyDescent="0.3">
      <c r="A234" s="17">
        <f t="shared" si="66"/>
        <v>1000019401</v>
      </c>
      <c r="B234" s="17">
        <v>10000194</v>
      </c>
      <c r="C234" s="17" t="str">
        <f>_xlfn.XLOOKUP(B234,'Detail&lt;Child&gt;'!A:A,'Detail&lt;Child&gt;'!B:B)</f>
        <v>아슈토레스</v>
      </c>
      <c r="D234" s="17" t="str">
        <f t="shared" si="67"/>
        <v>character_gradeup_10000194_1</v>
      </c>
      <c r="E234" s="17" t="s">
        <v>923</v>
      </c>
      <c r="F234" s="17">
        <f t="shared" si="68"/>
        <v>30030194</v>
      </c>
      <c r="G234" s="17">
        <f>VLOOKUP($R234, '#등급업 재료 개수'!$A$2:$K$5, MATCH(GradeUp!H234, '#등급업 재료 개수'!$A$2:$K$2, 0), FALSE)</f>
        <v>1</v>
      </c>
      <c r="H234" s="17">
        <v>1</v>
      </c>
      <c r="I234" s="17">
        <v>10</v>
      </c>
      <c r="J234" s="17">
        <v>0</v>
      </c>
      <c r="K234" s="17">
        <v>0</v>
      </c>
      <c r="L234" s="17" t="s">
        <v>917</v>
      </c>
      <c r="M234" s="17">
        <v>0</v>
      </c>
      <c r="N234" s="17" t="s">
        <v>918</v>
      </c>
      <c r="O234" s="17">
        <v>0</v>
      </c>
      <c r="P234" s="17" t="s">
        <v>919</v>
      </c>
      <c r="Q234" s="17">
        <v>0</v>
      </c>
      <c r="R234">
        <f>_xlfn.XLOOKUP($B234, 'Detail&lt;Child&gt;'!$A:$A, 'Detail&lt;Child&gt;'!$L:$L)</f>
        <v>3</v>
      </c>
    </row>
    <row r="235" spans="1:18" x14ac:dyDescent="0.3">
      <c r="A235" s="17">
        <f t="shared" si="66"/>
        <v>1000019402</v>
      </c>
      <c r="B235" s="17">
        <v>10000194</v>
      </c>
      <c r="C235" s="17" t="str">
        <f>_xlfn.XLOOKUP(B235,'Detail&lt;Child&gt;'!A:A,'Detail&lt;Child&gt;'!B:B)</f>
        <v>아슈토레스</v>
      </c>
      <c r="D235" s="17" t="str">
        <f t="shared" si="67"/>
        <v>character_gradeup_10000194_2</v>
      </c>
      <c r="E235" s="17" t="s">
        <v>923</v>
      </c>
      <c r="F235" s="17">
        <f t="shared" si="68"/>
        <v>30030194</v>
      </c>
      <c r="G235" s="17">
        <f>VLOOKUP($R235, '#등급업 재료 개수'!$A$2:$K$5, MATCH(GradeUp!H235, '#등급업 재료 개수'!$A$2:$K$2, 0), FALSE)</f>
        <v>1</v>
      </c>
      <c r="H235" s="17">
        <v>2</v>
      </c>
      <c r="I235" s="17">
        <v>20</v>
      </c>
      <c r="J235" s="17" t="s">
        <v>30</v>
      </c>
      <c r="K235" s="17">
        <f>_xlfn.IFNA(VLOOKUP($B235, 'Detail&lt;Child&gt;'!$A:$AT, MATCH(J235, 'Detail&lt;Child&gt;'!$3:$3,0 ), FALSE)+INT($H235/12), 0)</f>
        <v>23019401</v>
      </c>
      <c r="L235" s="17" t="s">
        <v>917</v>
      </c>
      <c r="M235" s="17">
        <v>10000</v>
      </c>
      <c r="N235" s="17" t="s">
        <v>918</v>
      </c>
      <c r="O235" s="17">
        <v>10000</v>
      </c>
      <c r="P235" s="17" t="s">
        <v>919</v>
      </c>
      <c r="Q235" s="17">
        <v>10000</v>
      </c>
      <c r="R235">
        <f>_xlfn.XLOOKUP($B235, 'Detail&lt;Child&gt;'!$A:$A, 'Detail&lt;Child&gt;'!$L:$L)</f>
        <v>3</v>
      </c>
    </row>
    <row r="236" spans="1:18" x14ac:dyDescent="0.3">
      <c r="A236" s="17">
        <f t="shared" si="66"/>
        <v>1000019403</v>
      </c>
      <c r="B236" s="17">
        <v>10000194</v>
      </c>
      <c r="C236" s="17" t="str">
        <f>_xlfn.XLOOKUP(B236,'Detail&lt;Child&gt;'!A:A,'Detail&lt;Child&gt;'!B:B)</f>
        <v>아슈토레스</v>
      </c>
      <c r="D236" s="17" t="str">
        <f t="shared" si="67"/>
        <v>character_gradeup_10000194_3</v>
      </c>
      <c r="E236" s="17" t="s">
        <v>923</v>
      </c>
      <c r="F236" s="17">
        <f t="shared" si="68"/>
        <v>30030194</v>
      </c>
      <c r="G236" s="17">
        <f>VLOOKUP($R236, '#등급업 재료 개수'!$A$2:$K$5, MATCH(GradeUp!H236, '#등급업 재료 개수'!$A$2:$K$2, 0), FALSE)</f>
        <v>1</v>
      </c>
      <c r="H236" s="17">
        <v>3</v>
      </c>
      <c r="I236" s="17">
        <v>30</v>
      </c>
      <c r="J236" s="17">
        <v>0</v>
      </c>
      <c r="K236" s="17">
        <v>0</v>
      </c>
      <c r="L236" s="17" t="s">
        <v>917</v>
      </c>
      <c r="M236" s="17">
        <f t="shared" ref="M236:M243" si="81">M235+10000</f>
        <v>20000</v>
      </c>
      <c r="N236" s="17" t="s">
        <v>918</v>
      </c>
      <c r="O236" s="17">
        <f t="shared" ref="O236:O243" si="82">O235+10000</f>
        <v>20000</v>
      </c>
      <c r="P236" s="17" t="s">
        <v>919</v>
      </c>
      <c r="Q236" s="17">
        <f t="shared" ref="Q236:Q243" si="83">Q235+10000</f>
        <v>20000</v>
      </c>
      <c r="R236">
        <f>_xlfn.XLOOKUP($B236, 'Detail&lt;Child&gt;'!$A:$A, 'Detail&lt;Child&gt;'!$L:$L)</f>
        <v>3</v>
      </c>
    </row>
    <row r="237" spans="1:18" x14ac:dyDescent="0.3">
      <c r="A237" s="17">
        <f t="shared" si="66"/>
        <v>1000019404</v>
      </c>
      <c r="B237" s="17">
        <v>10000194</v>
      </c>
      <c r="C237" s="17" t="str">
        <f>_xlfn.XLOOKUP(B237,'Detail&lt;Child&gt;'!A:A,'Detail&lt;Child&gt;'!B:B)</f>
        <v>아슈토레스</v>
      </c>
      <c r="D237" s="17" t="str">
        <f t="shared" si="67"/>
        <v>character_gradeup_10000194_4</v>
      </c>
      <c r="E237" s="17" t="s">
        <v>923</v>
      </c>
      <c r="F237" s="17">
        <f t="shared" si="68"/>
        <v>30030194</v>
      </c>
      <c r="G237" s="17">
        <f>VLOOKUP($R237, '#등급업 재료 개수'!$A$2:$K$5, MATCH(GradeUp!H237, '#등급업 재료 개수'!$A$2:$K$2, 0), FALSE)</f>
        <v>2</v>
      </c>
      <c r="H237" s="17">
        <v>4</v>
      </c>
      <c r="I237" s="17">
        <v>40</v>
      </c>
      <c r="J237" s="17" t="s">
        <v>32</v>
      </c>
      <c r="K237" s="17">
        <f>_xlfn.IFNA(VLOOKUP($B237, 'Detail&lt;Child&gt;'!$A:$AT, MATCH(J237, 'Detail&lt;Child&gt;'!$3:$3,0 ), FALSE)+INT($H237/12), 0)</f>
        <v>43019401</v>
      </c>
      <c r="L237" s="17" t="s">
        <v>917</v>
      </c>
      <c r="M237" s="17">
        <f t="shared" si="81"/>
        <v>30000</v>
      </c>
      <c r="N237" s="17" t="s">
        <v>918</v>
      </c>
      <c r="O237" s="17">
        <f t="shared" si="82"/>
        <v>30000</v>
      </c>
      <c r="P237" s="17" t="s">
        <v>919</v>
      </c>
      <c r="Q237" s="17">
        <f t="shared" si="83"/>
        <v>30000</v>
      </c>
      <c r="R237">
        <f>_xlfn.XLOOKUP($B237, 'Detail&lt;Child&gt;'!$A:$A, 'Detail&lt;Child&gt;'!$L:$L)</f>
        <v>3</v>
      </c>
    </row>
    <row r="238" spans="1:18" x14ac:dyDescent="0.3">
      <c r="A238" s="17">
        <f t="shared" si="66"/>
        <v>1000019405</v>
      </c>
      <c r="B238" s="17">
        <v>10000194</v>
      </c>
      <c r="C238" s="17" t="str">
        <f>_xlfn.XLOOKUP(B238,'Detail&lt;Child&gt;'!A:A,'Detail&lt;Child&gt;'!B:B)</f>
        <v>아슈토레스</v>
      </c>
      <c r="D238" s="17" t="str">
        <f t="shared" si="67"/>
        <v>character_gradeup_10000194_5</v>
      </c>
      <c r="E238" s="17" t="s">
        <v>923</v>
      </c>
      <c r="F238" s="17">
        <f t="shared" si="68"/>
        <v>30030194</v>
      </c>
      <c r="G238" s="17">
        <f>VLOOKUP($R238, '#등급업 재료 개수'!$A$2:$K$5, MATCH(GradeUp!H238, '#등급업 재료 개수'!$A$2:$K$2, 0), FALSE)</f>
        <v>4</v>
      </c>
      <c r="H238" s="17">
        <v>5</v>
      </c>
      <c r="I238" s="17">
        <v>50</v>
      </c>
      <c r="J238" s="17" t="s">
        <v>30</v>
      </c>
      <c r="K238" s="17">
        <f>_xlfn.IFNA(VLOOKUP($B238, 'Detail&lt;Child&gt;'!$A:$AT, MATCH(J238, 'Detail&lt;Child&gt;'!$3:$3,0 ), FALSE)+INT($H238/12), 0)+1</f>
        <v>23019402</v>
      </c>
      <c r="L238" s="17" t="s">
        <v>917</v>
      </c>
      <c r="M238" s="17">
        <f t="shared" si="81"/>
        <v>40000</v>
      </c>
      <c r="N238" s="17" t="s">
        <v>918</v>
      </c>
      <c r="O238" s="17">
        <f t="shared" si="82"/>
        <v>40000</v>
      </c>
      <c r="P238" s="17" t="s">
        <v>919</v>
      </c>
      <c r="Q238" s="17">
        <f t="shared" si="83"/>
        <v>40000</v>
      </c>
      <c r="R238">
        <f>_xlfn.XLOOKUP($B238, 'Detail&lt;Child&gt;'!$A:$A, 'Detail&lt;Child&gt;'!$L:$L)</f>
        <v>3</v>
      </c>
    </row>
    <row r="239" spans="1:18" x14ac:dyDescent="0.3">
      <c r="A239" s="17">
        <f t="shared" si="66"/>
        <v>1000019406</v>
      </c>
      <c r="B239" s="17">
        <v>10000194</v>
      </c>
      <c r="C239" s="17" t="str">
        <f>_xlfn.XLOOKUP(B239,'Detail&lt;Child&gt;'!A:A,'Detail&lt;Child&gt;'!B:B)</f>
        <v>아슈토레스</v>
      </c>
      <c r="D239" s="17" t="str">
        <f t="shared" si="67"/>
        <v>character_gradeup_10000194_6</v>
      </c>
      <c r="E239" s="17" t="s">
        <v>923</v>
      </c>
      <c r="F239" s="17">
        <f t="shared" si="68"/>
        <v>30030194</v>
      </c>
      <c r="G239" s="17">
        <f>VLOOKUP($R239, '#등급업 재료 개수'!$A$2:$K$5, MATCH(GradeUp!H239, '#등급업 재료 개수'!$A$2:$K$2, 0), FALSE)</f>
        <v>6</v>
      </c>
      <c r="H239" s="17">
        <v>6</v>
      </c>
      <c r="I239" s="17">
        <v>60</v>
      </c>
      <c r="J239" s="17">
        <v>0</v>
      </c>
      <c r="K239" s="17">
        <v>0</v>
      </c>
      <c r="L239" s="17" t="s">
        <v>917</v>
      </c>
      <c r="M239" s="17">
        <f t="shared" si="81"/>
        <v>50000</v>
      </c>
      <c r="N239" s="17" t="s">
        <v>918</v>
      </c>
      <c r="O239" s="17">
        <f t="shared" si="82"/>
        <v>50000</v>
      </c>
      <c r="P239" s="17" t="s">
        <v>919</v>
      </c>
      <c r="Q239" s="17">
        <f t="shared" si="83"/>
        <v>50000</v>
      </c>
      <c r="R239">
        <f>_xlfn.XLOOKUP($B239, 'Detail&lt;Child&gt;'!$A:$A, 'Detail&lt;Child&gt;'!$L:$L)</f>
        <v>3</v>
      </c>
    </row>
    <row r="240" spans="1:18" x14ac:dyDescent="0.3">
      <c r="A240" s="17">
        <f t="shared" si="66"/>
        <v>1000019407</v>
      </c>
      <c r="B240" s="17">
        <v>10000194</v>
      </c>
      <c r="C240" s="17" t="str">
        <f>_xlfn.XLOOKUP(B240,'Detail&lt;Child&gt;'!A:A,'Detail&lt;Child&gt;'!B:B)</f>
        <v>아슈토레스</v>
      </c>
      <c r="D240" s="17" t="str">
        <f t="shared" si="67"/>
        <v>character_gradeup_10000194_7</v>
      </c>
      <c r="E240" s="17" t="s">
        <v>923</v>
      </c>
      <c r="F240" s="17">
        <f t="shared" si="68"/>
        <v>30030194</v>
      </c>
      <c r="G240" s="17">
        <f>VLOOKUP($R240, '#등급업 재료 개수'!$A$2:$K$5, MATCH(GradeUp!H240, '#등급업 재료 개수'!$A$2:$K$2, 0), FALSE)</f>
        <v>8</v>
      </c>
      <c r="H240" s="17">
        <v>7</v>
      </c>
      <c r="I240" s="17">
        <v>70</v>
      </c>
      <c r="J240" s="17" t="s">
        <v>32</v>
      </c>
      <c r="K240" s="17">
        <f>_xlfn.IFNA(VLOOKUP($B240, 'Detail&lt;Child&gt;'!$A:$AT, MATCH(J240, 'Detail&lt;Child&gt;'!$3:$3,0 ), FALSE)+INT($H240/12), 0)+1</f>
        <v>43019402</v>
      </c>
      <c r="L240" s="17" t="s">
        <v>917</v>
      </c>
      <c r="M240" s="17">
        <f t="shared" si="81"/>
        <v>60000</v>
      </c>
      <c r="N240" s="17" t="s">
        <v>918</v>
      </c>
      <c r="O240" s="17">
        <f t="shared" si="82"/>
        <v>60000</v>
      </c>
      <c r="P240" s="17" t="s">
        <v>919</v>
      </c>
      <c r="Q240" s="17">
        <f t="shared" si="83"/>
        <v>60000</v>
      </c>
      <c r="R240">
        <f>_xlfn.XLOOKUP($B240, 'Detail&lt;Child&gt;'!$A:$A, 'Detail&lt;Child&gt;'!$L:$L)</f>
        <v>3</v>
      </c>
    </row>
    <row r="241" spans="1:18" x14ac:dyDescent="0.3">
      <c r="A241" s="17">
        <f t="shared" si="66"/>
        <v>1000019408</v>
      </c>
      <c r="B241" s="17">
        <v>10000194</v>
      </c>
      <c r="C241" s="17" t="str">
        <f>_xlfn.XLOOKUP(B241,'Detail&lt;Child&gt;'!A:A,'Detail&lt;Child&gt;'!B:B)</f>
        <v>아슈토레스</v>
      </c>
      <c r="D241" s="17" t="str">
        <f t="shared" si="67"/>
        <v>character_gradeup_10000194_8</v>
      </c>
      <c r="E241" s="17" t="s">
        <v>923</v>
      </c>
      <c r="F241" s="17">
        <f t="shared" si="68"/>
        <v>30030194</v>
      </c>
      <c r="G241" s="17">
        <f>VLOOKUP($R241, '#등급업 재료 개수'!$A$2:$K$5, MATCH(GradeUp!H241, '#등급업 재료 개수'!$A$2:$K$2, 0), FALSE)</f>
        <v>10</v>
      </c>
      <c r="H241" s="17">
        <v>8</v>
      </c>
      <c r="I241" s="17">
        <v>80</v>
      </c>
      <c r="J241" s="17">
        <v>0</v>
      </c>
      <c r="K241" s="17">
        <v>0</v>
      </c>
      <c r="L241" s="17" t="s">
        <v>917</v>
      </c>
      <c r="M241" s="17">
        <f t="shared" si="81"/>
        <v>70000</v>
      </c>
      <c r="N241" s="17" t="s">
        <v>918</v>
      </c>
      <c r="O241" s="17">
        <f t="shared" si="82"/>
        <v>70000</v>
      </c>
      <c r="P241" s="17" t="s">
        <v>919</v>
      </c>
      <c r="Q241" s="17">
        <f t="shared" si="83"/>
        <v>70000</v>
      </c>
      <c r="R241">
        <f>_xlfn.XLOOKUP($B241, 'Detail&lt;Child&gt;'!$A:$A, 'Detail&lt;Child&gt;'!$L:$L)</f>
        <v>3</v>
      </c>
    </row>
    <row r="242" spans="1:18" x14ac:dyDescent="0.3">
      <c r="A242" s="17">
        <f t="shared" si="66"/>
        <v>1000019409</v>
      </c>
      <c r="B242" s="17">
        <v>10000194</v>
      </c>
      <c r="C242" s="17" t="str">
        <f>_xlfn.XLOOKUP(B242,'Detail&lt;Child&gt;'!A:A,'Detail&lt;Child&gt;'!B:B)</f>
        <v>아슈토레스</v>
      </c>
      <c r="D242" s="17" t="str">
        <f t="shared" si="67"/>
        <v>character_gradeup_10000194_9</v>
      </c>
      <c r="E242" s="17" t="s">
        <v>923</v>
      </c>
      <c r="F242" s="17">
        <f t="shared" si="68"/>
        <v>30030194</v>
      </c>
      <c r="G242" s="17">
        <f>VLOOKUP($R242, '#등급업 재료 개수'!$A$2:$K$5, MATCH(GradeUp!H242, '#등급업 재료 개수'!$A$2:$K$2, 0), FALSE)</f>
        <v>12</v>
      </c>
      <c r="H242" s="17">
        <v>9</v>
      </c>
      <c r="I242" s="17">
        <v>90</v>
      </c>
      <c r="J242" s="17" t="s">
        <v>31</v>
      </c>
      <c r="K242" s="17">
        <f>_xlfn.IFNA(VLOOKUP($B242, 'Detail&lt;Child&gt;'!$A:$AT, MATCH(J242, 'Detail&lt;Child&gt;'!$3:$3,0 ), FALSE)+INT($H242/12), 0)+1</f>
        <v>33019402</v>
      </c>
      <c r="L242" s="17" t="s">
        <v>917</v>
      </c>
      <c r="M242" s="17">
        <f t="shared" si="81"/>
        <v>80000</v>
      </c>
      <c r="N242" s="17" t="s">
        <v>918</v>
      </c>
      <c r="O242" s="17">
        <f t="shared" si="82"/>
        <v>80000</v>
      </c>
      <c r="P242" s="17" t="s">
        <v>919</v>
      </c>
      <c r="Q242" s="17">
        <f t="shared" si="83"/>
        <v>80000</v>
      </c>
      <c r="R242">
        <f>_xlfn.XLOOKUP($B242, 'Detail&lt;Child&gt;'!$A:$A, 'Detail&lt;Child&gt;'!$L:$L)</f>
        <v>3</v>
      </c>
    </row>
    <row r="243" spans="1:18" x14ac:dyDescent="0.3">
      <c r="A243" s="17">
        <f t="shared" si="66"/>
        <v>1000019410</v>
      </c>
      <c r="B243" s="17">
        <v>10000194</v>
      </c>
      <c r="C243" s="17" t="str">
        <f>_xlfn.XLOOKUP(B243,'Detail&lt;Child&gt;'!A:A,'Detail&lt;Child&gt;'!B:B)</f>
        <v>아슈토레스</v>
      </c>
      <c r="D243" s="17" t="str">
        <f t="shared" si="67"/>
        <v>character_gradeup_10000194_10</v>
      </c>
      <c r="E243" s="17" t="s">
        <v>923</v>
      </c>
      <c r="F243" s="17">
        <f t="shared" si="68"/>
        <v>30030194</v>
      </c>
      <c r="G243" s="17">
        <f>VLOOKUP($R243, '#등급업 재료 개수'!$A$2:$K$5, MATCH(GradeUp!H243, '#등급업 재료 개수'!$A$2:$K$2, 0), FALSE)</f>
        <v>999</v>
      </c>
      <c r="H243" s="17">
        <v>10</v>
      </c>
      <c r="I243" s="17">
        <v>100</v>
      </c>
      <c r="J243" s="17">
        <v>0</v>
      </c>
      <c r="K243" s="17">
        <v>0</v>
      </c>
      <c r="L243" s="17" t="s">
        <v>917</v>
      </c>
      <c r="M243" s="17">
        <f t="shared" si="81"/>
        <v>90000</v>
      </c>
      <c r="N243" s="17" t="s">
        <v>918</v>
      </c>
      <c r="O243" s="17">
        <f t="shared" si="82"/>
        <v>90000</v>
      </c>
      <c r="P243" s="17" t="s">
        <v>919</v>
      </c>
      <c r="Q243" s="17">
        <f t="shared" si="83"/>
        <v>90000</v>
      </c>
      <c r="R243">
        <f>_xlfn.XLOOKUP($B243, 'Detail&lt;Child&gt;'!$A:$A, 'Detail&lt;Child&gt;'!$L:$L)</f>
        <v>3</v>
      </c>
    </row>
    <row r="244" spans="1:18" x14ac:dyDescent="0.3">
      <c r="A244" s="17">
        <f t="shared" si="66"/>
        <v>1000012401</v>
      </c>
      <c r="B244" s="17">
        <v>10000124</v>
      </c>
      <c r="C244" s="17" t="str">
        <f>_xlfn.XLOOKUP(B244,'Detail&lt;Child&gt;'!A:A,'Detail&lt;Child&gt;'!B:B)</f>
        <v>이브</v>
      </c>
      <c r="D244" s="17" t="str">
        <f t="shared" si="67"/>
        <v>character_gradeup_10000124_1</v>
      </c>
      <c r="E244" s="17" t="s">
        <v>923</v>
      </c>
      <c r="F244" s="17">
        <f t="shared" si="68"/>
        <v>30030124</v>
      </c>
      <c r="G244" s="17">
        <f>VLOOKUP($R244, '#등급업 재료 개수'!$A$2:$K$5, MATCH(GradeUp!H244, '#등급업 재료 개수'!$A$2:$K$2, 0), FALSE)</f>
        <v>1</v>
      </c>
      <c r="H244" s="17">
        <v>1</v>
      </c>
      <c r="I244" s="17">
        <v>10</v>
      </c>
      <c r="J244" s="17">
        <v>0</v>
      </c>
      <c r="K244" s="17">
        <v>0</v>
      </c>
      <c r="L244" s="17" t="s">
        <v>917</v>
      </c>
      <c r="M244" s="17">
        <v>0</v>
      </c>
      <c r="N244" s="17" t="s">
        <v>918</v>
      </c>
      <c r="O244" s="17">
        <v>0</v>
      </c>
      <c r="P244" s="17" t="s">
        <v>919</v>
      </c>
      <c r="Q244" s="17">
        <v>0</v>
      </c>
      <c r="R244">
        <f>_xlfn.XLOOKUP($B244, 'Detail&lt;Child&gt;'!$A:$A, 'Detail&lt;Child&gt;'!$L:$L)</f>
        <v>3</v>
      </c>
    </row>
    <row r="245" spans="1:18" x14ac:dyDescent="0.3">
      <c r="A245" s="17">
        <f t="shared" si="66"/>
        <v>1000012402</v>
      </c>
      <c r="B245" s="17">
        <v>10000124</v>
      </c>
      <c r="C245" s="17" t="str">
        <f>_xlfn.XLOOKUP(B245,'Detail&lt;Child&gt;'!A:A,'Detail&lt;Child&gt;'!B:B)</f>
        <v>이브</v>
      </c>
      <c r="D245" s="17" t="str">
        <f t="shared" si="67"/>
        <v>character_gradeup_10000124_2</v>
      </c>
      <c r="E245" s="17" t="s">
        <v>923</v>
      </c>
      <c r="F245" s="17">
        <f t="shared" si="68"/>
        <v>30030124</v>
      </c>
      <c r="G245" s="17">
        <f>VLOOKUP($R245, '#등급업 재료 개수'!$A$2:$K$5, MATCH(GradeUp!H245, '#등급업 재료 개수'!$A$2:$K$2, 0), FALSE)</f>
        <v>1</v>
      </c>
      <c r="H245" s="17">
        <v>2</v>
      </c>
      <c r="I245" s="17">
        <v>20</v>
      </c>
      <c r="J245" s="17" t="s">
        <v>30</v>
      </c>
      <c r="K245" s="17">
        <f>_xlfn.IFNA(VLOOKUP($B245, 'Detail&lt;Child&gt;'!$A:$AT, MATCH(J245, 'Detail&lt;Child&gt;'!$3:$3,0 ), FALSE)+INT($H245/12), 0)</f>
        <v>23012401</v>
      </c>
      <c r="L245" s="17" t="s">
        <v>917</v>
      </c>
      <c r="M245" s="17">
        <v>0</v>
      </c>
      <c r="N245" s="17" t="s">
        <v>918</v>
      </c>
      <c r="O245" s="17">
        <v>0</v>
      </c>
      <c r="P245" s="17" t="s">
        <v>919</v>
      </c>
      <c r="Q245" s="17">
        <v>0</v>
      </c>
      <c r="R245">
        <f>_xlfn.XLOOKUP($B245, 'Detail&lt;Child&gt;'!$A:$A, 'Detail&lt;Child&gt;'!$L:$L)</f>
        <v>3</v>
      </c>
    </row>
    <row r="246" spans="1:18" x14ac:dyDescent="0.3">
      <c r="A246" s="17">
        <f t="shared" si="66"/>
        <v>1000012403</v>
      </c>
      <c r="B246" s="17">
        <v>10000124</v>
      </c>
      <c r="C246" s="17" t="str">
        <f>_xlfn.XLOOKUP(B246,'Detail&lt;Child&gt;'!A:A,'Detail&lt;Child&gt;'!B:B)</f>
        <v>이브</v>
      </c>
      <c r="D246" s="17" t="str">
        <f t="shared" si="67"/>
        <v>character_gradeup_10000124_3</v>
      </c>
      <c r="E246" s="17" t="s">
        <v>923</v>
      </c>
      <c r="F246" s="17">
        <f t="shared" si="68"/>
        <v>30030124</v>
      </c>
      <c r="G246" s="17">
        <f>VLOOKUP($R246, '#등급업 재료 개수'!$A$2:$K$5, MATCH(GradeUp!H246, '#등급업 재료 개수'!$A$2:$K$2, 0), FALSE)</f>
        <v>1</v>
      </c>
      <c r="H246" s="17">
        <v>3</v>
      </c>
      <c r="I246" s="17">
        <v>30</v>
      </c>
      <c r="J246" s="17">
        <v>0</v>
      </c>
      <c r="K246" s="17">
        <v>0</v>
      </c>
      <c r="L246" s="17" t="s">
        <v>917</v>
      </c>
      <c r="M246" s="17">
        <v>10000</v>
      </c>
      <c r="N246" s="17" t="s">
        <v>918</v>
      </c>
      <c r="O246" s="17">
        <v>10000</v>
      </c>
      <c r="P246" s="17" t="s">
        <v>919</v>
      </c>
      <c r="Q246" s="17">
        <v>10000</v>
      </c>
      <c r="R246">
        <f>_xlfn.XLOOKUP($B246, 'Detail&lt;Child&gt;'!$A:$A, 'Detail&lt;Child&gt;'!$L:$L)</f>
        <v>3</v>
      </c>
    </row>
    <row r="247" spans="1:18" x14ac:dyDescent="0.3">
      <c r="A247" s="17">
        <f t="shared" si="66"/>
        <v>1000012404</v>
      </c>
      <c r="B247" s="17">
        <v>10000124</v>
      </c>
      <c r="C247" s="17" t="str">
        <f>_xlfn.XLOOKUP(B247,'Detail&lt;Child&gt;'!A:A,'Detail&lt;Child&gt;'!B:B)</f>
        <v>이브</v>
      </c>
      <c r="D247" s="17" t="str">
        <f t="shared" si="67"/>
        <v>character_gradeup_10000124_4</v>
      </c>
      <c r="E247" s="17" t="s">
        <v>923</v>
      </c>
      <c r="F247" s="17">
        <f t="shared" si="68"/>
        <v>30030124</v>
      </c>
      <c r="G247" s="17">
        <f>VLOOKUP($R247, '#등급업 재료 개수'!$A$2:$K$5, MATCH(GradeUp!H247, '#등급업 재료 개수'!$A$2:$K$2, 0), FALSE)</f>
        <v>2</v>
      </c>
      <c r="H247" s="17">
        <v>4</v>
      </c>
      <c r="I247" s="17">
        <v>40</v>
      </c>
      <c r="J247" s="17" t="s">
        <v>32</v>
      </c>
      <c r="K247" s="17">
        <f>_xlfn.IFNA(VLOOKUP($B247, 'Detail&lt;Child&gt;'!$A:$AT, MATCH(J247, 'Detail&lt;Child&gt;'!$3:$3,0 ), FALSE)+INT($H247/12), 0)</f>
        <v>43012401</v>
      </c>
      <c r="L247" s="17" t="s">
        <v>917</v>
      </c>
      <c r="M247" s="17">
        <f t="shared" ref="M247:M253" si="84">M246+10000</f>
        <v>20000</v>
      </c>
      <c r="N247" s="17" t="s">
        <v>918</v>
      </c>
      <c r="O247" s="17">
        <f t="shared" ref="O247:O253" si="85">O246+10000</f>
        <v>20000</v>
      </c>
      <c r="P247" s="17" t="s">
        <v>919</v>
      </c>
      <c r="Q247" s="17">
        <f t="shared" ref="Q247:Q253" si="86">Q246+10000</f>
        <v>20000</v>
      </c>
      <c r="R247">
        <f>_xlfn.XLOOKUP($B247, 'Detail&lt;Child&gt;'!$A:$A, 'Detail&lt;Child&gt;'!$L:$L)</f>
        <v>3</v>
      </c>
    </row>
    <row r="248" spans="1:18" x14ac:dyDescent="0.3">
      <c r="A248" s="17">
        <f t="shared" si="66"/>
        <v>1000012405</v>
      </c>
      <c r="B248" s="17">
        <v>10000124</v>
      </c>
      <c r="C248" s="17" t="str">
        <f>_xlfn.XLOOKUP(B248,'Detail&lt;Child&gt;'!A:A,'Detail&lt;Child&gt;'!B:B)</f>
        <v>이브</v>
      </c>
      <c r="D248" s="17" t="str">
        <f t="shared" si="67"/>
        <v>character_gradeup_10000124_5</v>
      </c>
      <c r="E248" s="17" t="s">
        <v>923</v>
      </c>
      <c r="F248" s="17">
        <f t="shared" si="68"/>
        <v>30030124</v>
      </c>
      <c r="G248" s="17">
        <f>VLOOKUP($R248, '#등급업 재료 개수'!$A$2:$K$5, MATCH(GradeUp!H248, '#등급업 재료 개수'!$A$2:$K$2, 0), FALSE)</f>
        <v>4</v>
      </c>
      <c r="H248" s="17">
        <v>5</v>
      </c>
      <c r="I248" s="17">
        <v>50</v>
      </c>
      <c r="J248" s="17" t="s">
        <v>30</v>
      </c>
      <c r="K248" s="17">
        <f>_xlfn.IFNA(VLOOKUP($B248, 'Detail&lt;Child&gt;'!$A:$AT, MATCH(J248, 'Detail&lt;Child&gt;'!$3:$3,0 ), FALSE)+INT($H248/12), 0)+1</f>
        <v>23012402</v>
      </c>
      <c r="L248" s="17" t="s">
        <v>917</v>
      </c>
      <c r="M248" s="17">
        <f t="shared" si="84"/>
        <v>30000</v>
      </c>
      <c r="N248" s="17" t="s">
        <v>918</v>
      </c>
      <c r="O248" s="17">
        <f t="shared" si="85"/>
        <v>30000</v>
      </c>
      <c r="P248" s="17" t="s">
        <v>919</v>
      </c>
      <c r="Q248" s="17">
        <f t="shared" si="86"/>
        <v>30000</v>
      </c>
      <c r="R248">
        <f>_xlfn.XLOOKUP($B248, 'Detail&lt;Child&gt;'!$A:$A, 'Detail&lt;Child&gt;'!$L:$L)</f>
        <v>3</v>
      </c>
    </row>
    <row r="249" spans="1:18" x14ac:dyDescent="0.3">
      <c r="A249" s="17">
        <f t="shared" si="66"/>
        <v>1000012406</v>
      </c>
      <c r="B249" s="17">
        <v>10000124</v>
      </c>
      <c r="C249" s="17" t="str">
        <f>_xlfn.XLOOKUP(B249,'Detail&lt;Child&gt;'!A:A,'Detail&lt;Child&gt;'!B:B)</f>
        <v>이브</v>
      </c>
      <c r="D249" s="17" t="str">
        <f t="shared" si="67"/>
        <v>character_gradeup_10000124_6</v>
      </c>
      <c r="E249" s="17" t="s">
        <v>923</v>
      </c>
      <c r="F249" s="17">
        <f t="shared" si="68"/>
        <v>30030124</v>
      </c>
      <c r="G249" s="17">
        <f>VLOOKUP($R249, '#등급업 재료 개수'!$A$2:$K$5, MATCH(GradeUp!H249, '#등급업 재료 개수'!$A$2:$K$2, 0), FALSE)</f>
        <v>6</v>
      </c>
      <c r="H249" s="17">
        <v>6</v>
      </c>
      <c r="I249" s="17">
        <v>60</v>
      </c>
      <c r="J249" s="17">
        <v>0</v>
      </c>
      <c r="K249" s="17">
        <v>0</v>
      </c>
      <c r="L249" s="17" t="s">
        <v>917</v>
      </c>
      <c r="M249" s="17">
        <f t="shared" si="84"/>
        <v>40000</v>
      </c>
      <c r="N249" s="17" t="s">
        <v>918</v>
      </c>
      <c r="O249" s="17">
        <f t="shared" si="85"/>
        <v>40000</v>
      </c>
      <c r="P249" s="17" t="s">
        <v>919</v>
      </c>
      <c r="Q249" s="17">
        <f t="shared" si="86"/>
        <v>40000</v>
      </c>
      <c r="R249">
        <f>_xlfn.XLOOKUP($B249, 'Detail&lt;Child&gt;'!$A:$A, 'Detail&lt;Child&gt;'!$L:$L)</f>
        <v>3</v>
      </c>
    </row>
    <row r="250" spans="1:18" x14ac:dyDescent="0.3">
      <c r="A250" s="17">
        <f t="shared" si="66"/>
        <v>1000012407</v>
      </c>
      <c r="B250" s="17">
        <v>10000124</v>
      </c>
      <c r="C250" s="17" t="str">
        <f>_xlfn.XLOOKUP(B250,'Detail&lt;Child&gt;'!A:A,'Detail&lt;Child&gt;'!B:B)</f>
        <v>이브</v>
      </c>
      <c r="D250" s="17" t="str">
        <f t="shared" si="67"/>
        <v>character_gradeup_10000124_7</v>
      </c>
      <c r="E250" s="17" t="s">
        <v>923</v>
      </c>
      <c r="F250" s="17">
        <f t="shared" si="68"/>
        <v>30030124</v>
      </c>
      <c r="G250" s="17">
        <f>VLOOKUP($R250, '#등급업 재료 개수'!$A$2:$K$5, MATCH(GradeUp!H250, '#등급업 재료 개수'!$A$2:$K$2, 0), FALSE)</f>
        <v>8</v>
      </c>
      <c r="H250" s="17">
        <v>7</v>
      </c>
      <c r="I250" s="17">
        <v>70</v>
      </c>
      <c r="J250" s="17" t="s">
        <v>32</v>
      </c>
      <c r="K250" s="17">
        <f>_xlfn.IFNA(VLOOKUP($B250, 'Detail&lt;Child&gt;'!$A:$AT, MATCH(J250, 'Detail&lt;Child&gt;'!$3:$3,0 ), FALSE)+INT($H250/12), 0)+1</f>
        <v>43012402</v>
      </c>
      <c r="L250" s="17" t="s">
        <v>917</v>
      </c>
      <c r="M250" s="17">
        <f t="shared" si="84"/>
        <v>50000</v>
      </c>
      <c r="N250" s="17" t="s">
        <v>918</v>
      </c>
      <c r="O250" s="17">
        <f t="shared" si="85"/>
        <v>50000</v>
      </c>
      <c r="P250" s="17" t="s">
        <v>919</v>
      </c>
      <c r="Q250" s="17">
        <f t="shared" si="86"/>
        <v>50000</v>
      </c>
      <c r="R250">
        <f>_xlfn.XLOOKUP($B250, 'Detail&lt;Child&gt;'!$A:$A, 'Detail&lt;Child&gt;'!$L:$L)</f>
        <v>3</v>
      </c>
    </row>
    <row r="251" spans="1:18" x14ac:dyDescent="0.3">
      <c r="A251" s="17">
        <f t="shared" si="66"/>
        <v>1000012408</v>
      </c>
      <c r="B251" s="17">
        <v>10000124</v>
      </c>
      <c r="C251" s="17" t="str">
        <f>_xlfn.XLOOKUP(B251,'Detail&lt;Child&gt;'!A:A,'Detail&lt;Child&gt;'!B:B)</f>
        <v>이브</v>
      </c>
      <c r="D251" s="17" t="str">
        <f t="shared" si="67"/>
        <v>character_gradeup_10000124_8</v>
      </c>
      <c r="E251" s="17" t="s">
        <v>923</v>
      </c>
      <c r="F251" s="17">
        <f t="shared" si="68"/>
        <v>30030124</v>
      </c>
      <c r="G251" s="17">
        <f>VLOOKUP($R251, '#등급업 재료 개수'!$A$2:$K$5, MATCH(GradeUp!H251, '#등급업 재료 개수'!$A$2:$K$2, 0), FALSE)</f>
        <v>10</v>
      </c>
      <c r="H251" s="17">
        <v>8</v>
      </c>
      <c r="I251" s="17">
        <v>80</v>
      </c>
      <c r="J251" s="17">
        <v>0</v>
      </c>
      <c r="K251" s="17">
        <v>0</v>
      </c>
      <c r="L251" s="17" t="s">
        <v>917</v>
      </c>
      <c r="M251" s="17">
        <f t="shared" si="84"/>
        <v>60000</v>
      </c>
      <c r="N251" s="17" t="s">
        <v>918</v>
      </c>
      <c r="O251" s="17">
        <f t="shared" si="85"/>
        <v>60000</v>
      </c>
      <c r="P251" s="17" t="s">
        <v>919</v>
      </c>
      <c r="Q251" s="17">
        <f t="shared" si="86"/>
        <v>60000</v>
      </c>
      <c r="R251">
        <f>_xlfn.XLOOKUP($B251, 'Detail&lt;Child&gt;'!$A:$A, 'Detail&lt;Child&gt;'!$L:$L)</f>
        <v>3</v>
      </c>
    </row>
    <row r="252" spans="1:18" x14ac:dyDescent="0.3">
      <c r="A252" s="17">
        <f t="shared" si="66"/>
        <v>1000012409</v>
      </c>
      <c r="B252" s="17">
        <v>10000124</v>
      </c>
      <c r="C252" s="17" t="str">
        <f>_xlfn.XLOOKUP(B252,'Detail&lt;Child&gt;'!A:A,'Detail&lt;Child&gt;'!B:B)</f>
        <v>이브</v>
      </c>
      <c r="D252" s="17" t="str">
        <f t="shared" si="67"/>
        <v>character_gradeup_10000124_9</v>
      </c>
      <c r="E252" s="17" t="s">
        <v>923</v>
      </c>
      <c r="F252" s="17">
        <f t="shared" si="68"/>
        <v>30030124</v>
      </c>
      <c r="G252" s="17">
        <f>VLOOKUP($R252, '#등급업 재료 개수'!$A$2:$K$5, MATCH(GradeUp!H252, '#등급업 재료 개수'!$A$2:$K$2, 0), FALSE)</f>
        <v>12</v>
      </c>
      <c r="H252" s="17">
        <v>9</v>
      </c>
      <c r="I252" s="17">
        <v>90</v>
      </c>
      <c r="J252" s="17" t="s">
        <v>31</v>
      </c>
      <c r="K252" s="17">
        <f>_xlfn.IFNA(VLOOKUP($B252, 'Detail&lt;Child&gt;'!$A:$AT, MATCH(J252, 'Detail&lt;Child&gt;'!$3:$3,0 ), FALSE)+INT($H252/12), 0)+1</f>
        <v>33012402</v>
      </c>
      <c r="L252" s="17" t="s">
        <v>917</v>
      </c>
      <c r="M252" s="17">
        <f t="shared" si="84"/>
        <v>70000</v>
      </c>
      <c r="N252" s="17" t="s">
        <v>918</v>
      </c>
      <c r="O252" s="17">
        <f t="shared" si="85"/>
        <v>70000</v>
      </c>
      <c r="P252" s="17" t="s">
        <v>919</v>
      </c>
      <c r="Q252" s="17">
        <f t="shared" si="86"/>
        <v>70000</v>
      </c>
      <c r="R252">
        <f>_xlfn.XLOOKUP($B252, 'Detail&lt;Child&gt;'!$A:$A, 'Detail&lt;Child&gt;'!$L:$L)</f>
        <v>3</v>
      </c>
    </row>
    <row r="253" spans="1:18" x14ac:dyDescent="0.3">
      <c r="A253" s="17">
        <f t="shared" si="66"/>
        <v>1000012410</v>
      </c>
      <c r="B253" s="17">
        <v>10000124</v>
      </c>
      <c r="C253" s="17" t="str">
        <f>_xlfn.XLOOKUP(B253,'Detail&lt;Child&gt;'!A:A,'Detail&lt;Child&gt;'!B:B)</f>
        <v>이브</v>
      </c>
      <c r="D253" s="17" t="str">
        <f t="shared" si="67"/>
        <v>character_gradeup_10000124_10</v>
      </c>
      <c r="E253" s="17" t="s">
        <v>923</v>
      </c>
      <c r="F253" s="17">
        <f t="shared" si="68"/>
        <v>30030124</v>
      </c>
      <c r="G253" s="17">
        <f>VLOOKUP($R253, '#등급업 재료 개수'!$A$2:$K$5, MATCH(GradeUp!H253, '#등급업 재료 개수'!$A$2:$K$2, 0), FALSE)</f>
        <v>999</v>
      </c>
      <c r="H253" s="17">
        <v>10</v>
      </c>
      <c r="I253" s="17">
        <v>100</v>
      </c>
      <c r="J253" s="17">
        <v>0</v>
      </c>
      <c r="K253" s="17">
        <v>0</v>
      </c>
      <c r="L253" s="17" t="s">
        <v>917</v>
      </c>
      <c r="M253" s="17">
        <f t="shared" si="84"/>
        <v>80000</v>
      </c>
      <c r="N253" s="17" t="s">
        <v>918</v>
      </c>
      <c r="O253" s="17">
        <f t="shared" si="85"/>
        <v>80000</v>
      </c>
      <c r="P253" s="17" t="s">
        <v>919</v>
      </c>
      <c r="Q253" s="17">
        <f t="shared" si="86"/>
        <v>80000</v>
      </c>
      <c r="R253">
        <f>_xlfn.XLOOKUP($B253, 'Detail&lt;Child&gt;'!$A:$A, 'Detail&lt;Child&gt;'!$L:$L)</f>
        <v>3</v>
      </c>
    </row>
    <row r="254" spans="1:18" x14ac:dyDescent="0.3">
      <c r="A254" s="17">
        <f t="shared" si="66"/>
        <v>1000033601</v>
      </c>
      <c r="B254" s="17">
        <v>10000336</v>
      </c>
      <c r="C254" s="17" t="str">
        <f>_xlfn.XLOOKUP(B254,'Detail&lt;Child&gt;'!A:A,'Detail&lt;Child&gt;'!B:B)</f>
        <v>판</v>
      </c>
      <c r="D254" s="17" t="str">
        <f t="shared" si="67"/>
        <v>character_gradeup_10000336_1</v>
      </c>
      <c r="E254" s="17" t="s">
        <v>923</v>
      </c>
      <c r="F254" s="17">
        <f t="shared" si="68"/>
        <v>30030336</v>
      </c>
      <c r="G254" s="17">
        <f>VLOOKUP($R254, '#등급업 재료 개수'!$A$2:$K$5, MATCH(GradeUp!H254, '#등급업 재료 개수'!$A$2:$K$2, 0), FALSE)</f>
        <v>1</v>
      </c>
      <c r="H254" s="17">
        <v>1</v>
      </c>
      <c r="I254" s="17">
        <v>10</v>
      </c>
      <c r="J254" s="17">
        <v>0</v>
      </c>
      <c r="K254" s="17">
        <v>0</v>
      </c>
      <c r="L254" s="17" t="s">
        <v>917</v>
      </c>
      <c r="M254" s="17">
        <v>0</v>
      </c>
      <c r="N254" s="17" t="s">
        <v>918</v>
      </c>
      <c r="O254" s="17">
        <v>0</v>
      </c>
      <c r="P254" s="17" t="s">
        <v>919</v>
      </c>
      <c r="Q254" s="17">
        <v>0</v>
      </c>
      <c r="R254">
        <f>_xlfn.XLOOKUP($B254, 'Detail&lt;Child&gt;'!$A:$A, 'Detail&lt;Child&gt;'!$L:$L)</f>
        <v>3</v>
      </c>
    </row>
    <row r="255" spans="1:18" x14ac:dyDescent="0.3">
      <c r="A255" s="17">
        <f t="shared" si="66"/>
        <v>1000033602</v>
      </c>
      <c r="B255" s="17">
        <v>10000336</v>
      </c>
      <c r="C255" s="17" t="str">
        <f>_xlfn.XLOOKUP(B255,'Detail&lt;Child&gt;'!A:A,'Detail&lt;Child&gt;'!B:B)</f>
        <v>판</v>
      </c>
      <c r="D255" s="17" t="str">
        <f t="shared" si="67"/>
        <v>character_gradeup_10000336_2</v>
      </c>
      <c r="E255" s="17" t="s">
        <v>923</v>
      </c>
      <c r="F255" s="17">
        <f t="shared" si="68"/>
        <v>30030336</v>
      </c>
      <c r="G255" s="17">
        <f>VLOOKUP($R255, '#등급업 재료 개수'!$A$2:$K$5, MATCH(GradeUp!H255, '#등급업 재료 개수'!$A$2:$K$2, 0), FALSE)</f>
        <v>1</v>
      </c>
      <c r="H255" s="17">
        <v>2</v>
      </c>
      <c r="I255" s="17">
        <v>20</v>
      </c>
      <c r="J255" s="17" t="s">
        <v>30</v>
      </c>
      <c r="K255" s="17">
        <f>_xlfn.IFNA(VLOOKUP($B255, 'Detail&lt;Child&gt;'!$A:$AT, MATCH(J255, 'Detail&lt;Child&gt;'!$3:$3,0 ), FALSE)+INT($H255/12), 0)</f>
        <v>23033601</v>
      </c>
      <c r="L255" s="17" t="s">
        <v>917</v>
      </c>
      <c r="M255" s="17">
        <v>0</v>
      </c>
      <c r="N255" s="17" t="s">
        <v>918</v>
      </c>
      <c r="O255" s="17">
        <v>0</v>
      </c>
      <c r="P255" s="17" t="s">
        <v>919</v>
      </c>
      <c r="Q255" s="17">
        <v>0</v>
      </c>
      <c r="R255">
        <f>_xlfn.XLOOKUP($B255, 'Detail&lt;Child&gt;'!$A:$A, 'Detail&lt;Child&gt;'!$L:$L)</f>
        <v>3</v>
      </c>
    </row>
    <row r="256" spans="1:18" x14ac:dyDescent="0.3">
      <c r="A256" s="17">
        <f t="shared" si="66"/>
        <v>1000033603</v>
      </c>
      <c r="B256" s="17">
        <v>10000336</v>
      </c>
      <c r="C256" s="17" t="str">
        <f>_xlfn.XLOOKUP(B256,'Detail&lt;Child&gt;'!A:A,'Detail&lt;Child&gt;'!B:B)</f>
        <v>판</v>
      </c>
      <c r="D256" s="17" t="str">
        <f t="shared" si="67"/>
        <v>character_gradeup_10000336_3</v>
      </c>
      <c r="E256" s="17" t="s">
        <v>923</v>
      </c>
      <c r="F256" s="17">
        <f t="shared" si="68"/>
        <v>30030336</v>
      </c>
      <c r="G256" s="17">
        <f>VLOOKUP($R256, '#등급업 재료 개수'!$A$2:$K$5, MATCH(GradeUp!H256, '#등급업 재료 개수'!$A$2:$K$2, 0), FALSE)</f>
        <v>1</v>
      </c>
      <c r="H256" s="17">
        <v>3</v>
      </c>
      <c r="I256" s="17">
        <v>30</v>
      </c>
      <c r="J256" s="17">
        <v>0</v>
      </c>
      <c r="K256" s="17">
        <v>0</v>
      </c>
      <c r="L256" s="17" t="s">
        <v>917</v>
      </c>
      <c r="M256" s="17">
        <v>10000</v>
      </c>
      <c r="N256" s="17" t="s">
        <v>918</v>
      </c>
      <c r="O256" s="17">
        <v>10000</v>
      </c>
      <c r="P256" s="17" t="s">
        <v>919</v>
      </c>
      <c r="Q256" s="17">
        <v>10000</v>
      </c>
      <c r="R256">
        <f>_xlfn.XLOOKUP($B256, 'Detail&lt;Child&gt;'!$A:$A, 'Detail&lt;Child&gt;'!$L:$L)</f>
        <v>3</v>
      </c>
    </row>
    <row r="257" spans="1:18" x14ac:dyDescent="0.3">
      <c r="A257" s="17">
        <f t="shared" si="66"/>
        <v>1000033604</v>
      </c>
      <c r="B257" s="17">
        <v>10000336</v>
      </c>
      <c r="C257" s="17" t="str">
        <f>_xlfn.XLOOKUP(B257,'Detail&lt;Child&gt;'!A:A,'Detail&lt;Child&gt;'!B:B)</f>
        <v>판</v>
      </c>
      <c r="D257" s="17" t="str">
        <f t="shared" si="67"/>
        <v>character_gradeup_10000336_4</v>
      </c>
      <c r="E257" s="17" t="s">
        <v>923</v>
      </c>
      <c r="F257" s="17">
        <f t="shared" si="68"/>
        <v>30030336</v>
      </c>
      <c r="G257" s="17">
        <f>VLOOKUP($R257, '#등급업 재료 개수'!$A$2:$K$5, MATCH(GradeUp!H257, '#등급업 재료 개수'!$A$2:$K$2, 0), FALSE)</f>
        <v>2</v>
      </c>
      <c r="H257" s="17">
        <v>4</v>
      </c>
      <c r="I257" s="17">
        <v>40</v>
      </c>
      <c r="J257" s="17" t="s">
        <v>32</v>
      </c>
      <c r="K257" s="17">
        <f>_xlfn.IFNA(VLOOKUP($B257, 'Detail&lt;Child&gt;'!$A:$AT, MATCH(J257, 'Detail&lt;Child&gt;'!$3:$3,0 ), FALSE)+INT($H257/12), 0)</f>
        <v>43033601</v>
      </c>
      <c r="L257" s="17" t="s">
        <v>917</v>
      </c>
      <c r="M257" s="17">
        <f t="shared" ref="M257:M263" si="87">M256+10000</f>
        <v>20000</v>
      </c>
      <c r="N257" s="17" t="s">
        <v>918</v>
      </c>
      <c r="O257" s="17">
        <f t="shared" ref="O257:O263" si="88">O256+10000</f>
        <v>20000</v>
      </c>
      <c r="P257" s="17" t="s">
        <v>919</v>
      </c>
      <c r="Q257" s="17">
        <f t="shared" ref="Q257:Q263" si="89">Q256+10000</f>
        <v>20000</v>
      </c>
      <c r="R257">
        <f>_xlfn.XLOOKUP($B257, 'Detail&lt;Child&gt;'!$A:$A, 'Detail&lt;Child&gt;'!$L:$L)</f>
        <v>3</v>
      </c>
    </row>
    <row r="258" spans="1:18" x14ac:dyDescent="0.3">
      <c r="A258" s="17">
        <f t="shared" si="66"/>
        <v>1000033605</v>
      </c>
      <c r="B258" s="17">
        <v>10000336</v>
      </c>
      <c r="C258" s="17" t="str">
        <f>_xlfn.XLOOKUP(B258,'Detail&lt;Child&gt;'!A:A,'Detail&lt;Child&gt;'!B:B)</f>
        <v>판</v>
      </c>
      <c r="D258" s="17" t="str">
        <f t="shared" si="67"/>
        <v>character_gradeup_10000336_5</v>
      </c>
      <c r="E258" s="17" t="s">
        <v>923</v>
      </c>
      <c r="F258" s="17">
        <f t="shared" si="68"/>
        <v>30030336</v>
      </c>
      <c r="G258" s="17">
        <f>VLOOKUP($R258, '#등급업 재료 개수'!$A$2:$K$5, MATCH(GradeUp!H258, '#등급업 재료 개수'!$A$2:$K$2, 0), FALSE)</f>
        <v>4</v>
      </c>
      <c r="H258" s="17">
        <v>5</v>
      </c>
      <c r="I258" s="17">
        <v>50</v>
      </c>
      <c r="J258" s="17" t="s">
        <v>30</v>
      </c>
      <c r="K258" s="17">
        <f>_xlfn.IFNA(VLOOKUP($B258, 'Detail&lt;Child&gt;'!$A:$AT, MATCH(J258, 'Detail&lt;Child&gt;'!$3:$3,0 ), FALSE)+INT($H258/12), 0)+1</f>
        <v>23033602</v>
      </c>
      <c r="L258" s="17" t="s">
        <v>917</v>
      </c>
      <c r="M258" s="17">
        <f t="shared" si="87"/>
        <v>30000</v>
      </c>
      <c r="N258" s="17" t="s">
        <v>918</v>
      </c>
      <c r="O258" s="17">
        <f t="shared" si="88"/>
        <v>30000</v>
      </c>
      <c r="P258" s="17" t="s">
        <v>919</v>
      </c>
      <c r="Q258" s="17">
        <f t="shared" si="89"/>
        <v>30000</v>
      </c>
      <c r="R258">
        <f>_xlfn.XLOOKUP($B258, 'Detail&lt;Child&gt;'!$A:$A, 'Detail&lt;Child&gt;'!$L:$L)</f>
        <v>3</v>
      </c>
    </row>
    <row r="259" spans="1:18" x14ac:dyDescent="0.3">
      <c r="A259" s="17">
        <f t="shared" si="66"/>
        <v>1000033606</v>
      </c>
      <c r="B259" s="17">
        <v>10000336</v>
      </c>
      <c r="C259" s="17" t="str">
        <f>_xlfn.XLOOKUP(B259,'Detail&lt;Child&gt;'!A:A,'Detail&lt;Child&gt;'!B:B)</f>
        <v>판</v>
      </c>
      <c r="D259" s="17" t="str">
        <f t="shared" si="67"/>
        <v>character_gradeup_10000336_6</v>
      </c>
      <c r="E259" s="17" t="s">
        <v>923</v>
      </c>
      <c r="F259" s="17">
        <f t="shared" si="68"/>
        <v>30030336</v>
      </c>
      <c r="G259" s="17">
        <f>VLOOKUP($R259, '#등급업 재료 개수'!$A$2:$K$5, MATCH(GradeUp!H259, '#등급업 재료 개수'!$A$2:$K$2, 0), FALSE)</f>
        <v>6</v>
      </c>
      <c r="H259" s="17">
        <v>6</v>
      </c>
      <c r="I259" s="17">
        <v>60</v>
      </c>
      <c r="J259" s="17">
        <v>0</v>
      </c>
      <c r="K259" s="17">
        <v>0</v>
      </c>
      <c r="L259" s="17" t="s">
        <v>917</v>
      </c>
      <c r="M259" s="17">
        <f t="shared" si="87"/>
        <v>40000</v>
      </c>
      <c r="N259" s="17" t="s">
        <v>918</v>
      </c>
      <c r="O259" s="17">
        <f t="shared" si="88"/>
        <v>40000</v>
      </c>
      <c r="P259" s="17" t="s">
        <v>919</v>
      </c>
      <c r="Q259" s="17">
        <f t="shared" si="89"/>
        <v>40000</v>
      </c>
      <c r="R259">
        <f>_xlfn.XLOOKUP($B259, 'Detail&lt;Child&gt;'!$A:$A, 'Detail&lt;Child&gt;'!$L:$L)</f>
        <v>3</v>
      </c>
    </row>
    <row r="260" spans="1:18" x14ac:dyDescent="0.3">
      <c r="A260" s="17">
        <f t="shared" ref="A260:A323" si="90">B260*100+H260</f>
        <v>1000033607</v>
      </c>
      <c r="B260" s="17">
        <v>10000336</v>
      </c>
      <c r="C260" s="17" t="str">
        <f>_xlfn.XLOOKUP(B260,'Detail&lt;Child&gt;'!A:A,'Detail&lt;Child&gt;'!B:B)</f>
        <v>판</v>
      </c>
      <c r="D260" s="17" t="str">
        <f t="shared" ref="D260:D323" si="91">"character_gradeup_"&amp;$B260&amp;"_"&amp;$H260</f>
        <v>character_gradeup_10000336_7</v>
      </c>
      <c r="E260" s="17" t="s">
        <v>923</v>
      </c>
      <c r="F260" s="17">
        <f t="shared" ref="F260:F323" si="92">INT(3003&amp;RIGHT(B260,4))</f>
        <v>30030336</v>
      </c>
      <c r="G260" s="17">
        <f>VLOOKUP($R260, '#등급업 재료 개수'!$A$2:$K$5, MATCH(GradeUp!H260, '#등급업 재료 개수'!$A$2:$K$2, 0), FALSE)</f>
        <v>8</v>
      </c>
      <c r="H260" s="17">
        <v>7</v>
      </c>
      <c r="I260" s="17">
        <v>70</v>
      </c>
      <c r="J260" s="17" t="s">
        <v>32</v>
      </c>
      <c r="K260" s="17">
        <f>_xlfn.IFNA(VLOOKUP($B260, 'Detail&lt;Child&gt;'!$A:$AT, MATCH(J260, 'Detail&lt;Child&gt;'!$3:$3,0 ), FALSE)+INT($H260/12), 0)+1</f>
        <v>43033602</v>
      </c>
      <c r="L260" s="17" t="s">
        <v>917</v>
      </c>
      <c r="M260" s="17">
        <f t="shared" si="87"/>
        <v>50000</v>
      </c>
      <c r="N260" s="17" t="s">
        <v>918</v>
      </c>
      <c r="O260" s="17">
        <f t="shared" si="88"/>
        <v>50000</v>
      </c>
      <c r="P260" s="17" t="s">
        <v>919</v>
      </c>
      <c r="Q260" s="17">
        <f t="shared" si="89"/>
        <v>50000</v>
      </c>
      <c r="R260">
        <f>_xlfn.XLOOKUP($B260, 'Detail&lt;Child&gt;'!$A:$A, 'Detail&lt;Child&gt;'!$L:$L)</f>
        <v>3</v>
      </c>
    </row>
    <row r="261" spans="1:18" x14ac:dyDescent="0.3">
      <c r="A261" s="17">
        <f t="shared" si="90"/>
        <v>1000033608</v>
      </c>
      <c r="B261" s="17">
        <v>10000336</v>
      </c>
      <c r="C261" s="17" t="str">
        <f>_xlfn.XLOOKUP(B261,'Detail&lt;Child&gt;'!A:A,'Detail&lt;Child&gt;'!B:B)</f>
        <v>판</v>
      </c>
      <c r="D261" s="17" t="str">
        <f t="shared" si="91"/>
        <v>character_gradeup_10000336_8</v>
      </c>
      <c r="E261" s="17" t="s">
        <v>923</v>
      </c>
      <c r="F261" s="17">
        <f t="shared" si="92"/>
        <v>30030336</v>
      </c>
      <c r="G261" s="17">
        <f>VLOOKUP($R261, '#등급업 재료 개수'!$A$2:$K$5, MATCH(GradeUp!H261, '#등급업 재료 개수'!$A$2:$K$2, 0), FALSE)</f>
        <v>10</v>
      </c>
      <c r="H261" s="17">
        <v>8</v>
      </c>
      <c r="I261" s="17">
        <v>80</v>
      </c>
      <c r="J261" s="17">
        <v>0</v>
      </c>
      <c r="K261" s="17">
        <v>0</v>
      </c>
      <c r="L261" s="17" t="s">
        <v>917</v>
      </c>
      <c r="M261" s="17">
        <f t="shared" si="87"/>
        <v>60000</v>
      </c>
      <c r="N261" s="17" t="s">
        <v>918</v>
      </c>
      <c r="O261" s="17">
        <f t="shared" si="88"/>
        <v>60000</v>
      </c>
      <c r="P261" s="17" t="s">
        <v>919</v>
      </c>
      <c r="Q261" s="17">
        <f t="shared" si="89"/>
        <v>60000</v>
      </c>
      <c r="R261">
        <f>_xlfn.XLOOKUP($B261, 'Detail&lt;Child&gt;'!$A:$A, 'Detail&lt;Child&gt;'!$L:$L)</f>
        <v>3</v>
      </c>
    </row>
    <row r="262" spans="1:18" x14ac:dyDescent="0.3">
      <c r="A262" s="17">
        <f t="shared" si="90"/>
        <v>1000033609</v>
      </c>
      <c r="B262" s="17">
        <v>10000336</v>
      </c>
      <c r="C262" s="17" t="str">
        <f>_xlfn.XLOOKUP(B262,'Detail&lt;Child&gt;'!A:A,'Detail&lt;Child&gt;'!B:B)</f>
        <v>판</v>
      </c>
      <c r="D262" s="17" t="str">
        <f t="shared" si="91"/>
        <v>character_gradeup_10000336_9</v>
      </c>
      <c r="E262" s="17" t="s">
        <v>923</v>
      </c>
      <c r="F262" s="17">
        <f t="shared" si="92"/>
        <v>30030336</v>
      </c>
      <c r="G262" s="17">
        <f>VLOOKUP($R262, '#등급업 재료 개수'!$A$2:$K$5, MATCH(GradeUp!H262, '#등급업 재료 개수'!$A$2:$K$2, 0), FALSE)</f>
        <v>12</v>
      </c>
      <c r="H262" s="17">
        <v>9</v>
      </c>
      <c r="I262" s="17">
        <v>90</v>
      </c>
      <c r="J262" s="17" t="s">
        <v>31</v>
      </c>
      <c r="K262" s="17">
        <f>_xlfn.IFNA(VLOOKUP($B262, 'Detail&lt;Child&gt;'!$A:$AT, MATCH(J262, 'Detail&lt;Child&gt;'!$3:$3,0 ), FALSE)+INT($H262/12), 0)+1</f>
        <v>33033602</v>
      </c>
      <c r="L262" s="17" t="s">
        <v>917</v>
      </c>
      <c r="M262" s="17">
        <f t="shared" si="87"/>
        <v>70000</v>
      </c>
      <c r="N262" s="17" t="s">
        <v>918</v>
      </c>
      <c r="O262" s="17">
        <f t="shared" si="88"/>
        <v>70000</v>
      </c>
      <c r="P262" s="17" t="s">
        <v>919</v>
      </c>
      <c r="Q262" s="17">
        <f t="shared" si="89"/>
        <v>70000</v>
      </c>
      <c r="R262">
        <f>_xlfn.XLOOKUP($B262, 'Detail&lt;Child&gt;'!$A:$A, 'Detail&lt;Child&gt;'!$L:$L)</f>
        <v>3</v>
      </c>
    </row>
    <row r="263" spans="1:18" x14ac:dyDescent="0.3">
      <c r="A263" s="17">
        <f t="shared" si="90"/>
        <v>1000033610</v>
      </c>
      <c r="B263" s="17">
        <v>10000336</v>
      </c>
      <c r="C263" s="17" t="str">
        <f>_xlfn.XLOOKUP(B263,'Detail&lt;Child&gt;'!A:A,'Detail&lt;Child&gt;'!B:B)</f>
        <v>판</v>
      </c>
      <c r="D263" s="17" t="str">
        <f t="shared" si="91"/>
        <v>character_gradeup_10000336_10</v>
      </c>
      <c r="E263" s="17" t="s">
        <v>923</v>
      </c>
      <c r="F263" s="17">
        <f t="shared" si="92"/>
        <v>30030336</v>
      </c>
      <c r="G263" s="17">
        <f>VLOOKUP($R263, '#등급업 재료 개수'!$A$2:$K$5, MATCH(GradeUp!H263, '#등급업 재료 개수'!$A$2:$K$2, 0), FALSE)</f>
        <v>999</v>
      </c>
      <c r="H263" s="17">
        <v>10</v>
      </c>
      <c r="I263" s="17">
        <v>100</v>
      </c>
      <c r="J263" s="17">
        <v>0</v>
      </c>
      <c r="K263" s="17">
        <v>0</v>
      </c>
      <c r="L263" s="17" t="s">
        <v>917</v>
      </c>
      <c r="M263" s="17">
        <f t="shared" si="87"/>
        <v>80000</v>
      </c>
      <c r="N263" s="17" t="s">
        <v>918</v>
      </c>
      <c r="O263" s="17">
        <f t="shared" si="88"/>
        <v>80000</v>
      </c>
      <c r="P263" s="17" t="s">
        <v>919</v>
      </c>
      <c r="Q263" s="17">
        <f t="shared" si="89"/>
        <v>80000</v>
      </c>
      <c r="R263">
        <f>_xlfn.XLOOKUP($B263, 'Detail&lt;Child&gt;'!$A:$A, 'Detail&lt;Child&gt;'!$L:$L)</f>
        <v>3</v>
      </c>
    </row>
    <row r="264" spans="1:18" x14ac:dyDescent="0.3">
      <c r="A264" s="17">
        <f t="shared" si="90"/>
        <v>1000044501</v>
      </c>
      <c r="B264" s="17">
        <v>10000445</v>
      </c>
      <c r="C264" s="17" t="str">
        <f>_xlfn.XLOOKUP(B264,'Detail&lt;Child&gt;'!A:A,'Detail&lt;Child&gt;'!B:B)</f>
        <v>카라라트리</v>
      </c>
      <c r="D264" s="17" t="str">
        <f t="shared" si="91"/>
        <v>character_gradeup_10000445_1</v>
      </c>
      <c r="E264" s="17" t="s">
        <v>923</v>
      </c>
      <c r="F264" s="17">
        <f t="shared" si="92"/>
        <v>30030445</v>
      </c>
      <c r="G264" s="17">
        <f>VLOOKUP($R264, '#등급업 재료 개수'!$A$2:$K$5, MATCH(GradeUp!H264, '#등급업 재료 개수'!$A$2:$K$2, 0), FALSE)</f>
        <v>1</v>
      </c>
      <c r="H264" s="17">
        <v>1</v>
      </c>
      <c r="I264" s="17">
        <v>10</v>
      </c>
      <c r="J264" s="17">
        <v>0</v>
      </c>
      <c r="K264" s="17">
        <v>0</v>
      </c>
      <c r="L264" s="17" t="s">
        <v>917</v>
      </c>
      <c r="M264" s="17">
        <v>0</v>
      </c>
      <c r="N264" s="17" t="s">
        <v>918</v>
      </c>
      <c r="O264" s="17">
        <v>0</v>
      </c>
      <c r="P264" s="17" t="s">
        <v>919</v>
      </c>
      <c r="Q264" s="17">
        <v>0</v>
      </c>
      <c r="R264">
        <f>_xlfn.XLOOKUP($B264, 'Detail&lt;Child&gt;'!$A:$A, 'Detail&lt;Child&gt;'!$L:$L)</f>
        <v>3</v>
      </c>
    </row>
    <row r="265" spans="1:18" x14ac:dyDescent="0.3">
      <c r="A265" s="17">
        <f t="shared" si="90"/>
        <v>1000044502</v>
      </c>
      <c r="B265" s="17">
        <v>10000445</v>
      </c>
      <c r="C265" s="17" t="str">
        <f>_xlfn.XLOOKUP(B265,'Detail&lt;Child&gt;'!A:A,'Detail&lt;Child&gt;'!B:B)</f>
        <v>카라라트리</v>
      </c>
      <c r="D265" s="17" t="str">
        <f t="shared" si="91"/>
        <v>character_gradeup_10000445_2</v>
      </c>
      <c r="E265" s="17" t="s">
        <v>923</v>
      </c>
      <c r="F265" s="17">
        <f t="shared" si="92"/>
        <v>30030445</v>
      </c>
      <c r="G265" s="17">
        <f>VLOOKUP($R265, '#등급업 재료 개수'!$A$2:$K$5, MATCH(GradeUp!H265, '#등급업 재료 개수'!$A$2:$K$2, 0), FALSE)</f>
        <v>1</v>
      </c>
      <c r="H265" s="17">
        <v>2</v>
      </c>
      <c r="I265" s="17">
        <v>20</v>
      </c>
      <c r="J265" s="17" t="s">
        <v>30</v>
      </c>
      <c r="K265" s="17">
        <f>_xlfn.IFNA(VLOOKUP($B265, 'Detail&lt;Child&gt;'!$A:$AT, MATCH(J265, 'Detail&lt;Child&gt;'!$3:$3,0 ), FALSE)+INT($H265/12), 0)</f>
        <v>23044501</v>
      </c>
      <c r="L265" s="17" t="s">
        <v>917</v>
      </c>
      <c r="M265" s="17">
        <v>0</v>
      </c>
      <c r="N265" s="17" t="s">
        <v>918</v>
      </c>
      <c r="O265" s="17">
        <v>0</v>
      </c>
      <c r="P265" s="17" t="s">
        <v>919</v>
      </c>
      <c r="Q265" s="17">
        <v>0</v>
      </c>
      <c r="R265">
        <f>_xlfn.XLOOKUP($B265, 'Detail&lt;Child&gt;'!$A:$A, 'Detail&lt;Child&gt;'!$L:$L)</f>
        <v>3</v>
      </c>
    </row>
    <row r="266" spans="1:18" x14ac:dyDescent="0.3">
      <c r="A266" s="17">
        <f t="shared" si="90"/>
        <v>1000044503</v>
      </c>
      <c r="B266" s="17">
        <v>10000445</v>
      </c>
      <c r="C266" s="17" t="str">
        <f>_xlfn.XLOOKUP(B266,'Detail&lt;Child&gt;'!A:A,'Detail&lt;Child&gt;'!B:B)</f>
        <v>카라라트리</v>
      </c>
      <c r="D266" s="17" t="str">
        <f t="shared" si="91"/>
        <v>character_gradeup_10000445_3</v>
      </c>
      <c r="E266" s="17" t="s">
        <v>923</v>
      </c>
      <c r="F266" s="17">
        <f t="shared" si="92"/>
        <v>30030445</v>
      </c>
      <c r="G266" s="17">
        <f>VLOOKUP($R266, '#등급업 재료 개수'!$A$2:$K$5, MATCH(GradeUp!H266, '#등급업 재료 개수'!$A$2:$K$2, 0), FALSE)</f>
        <v>1</v>
      </c>
      <c r="H266" s="17">
        <v>3</v>
      </c>
      <c r="I266" s="17">
        <v>30</v>
      </c>
      <c r="J266" s="17">
        <v>0</v>
      </c>
      <c r="K266" s="17">
        <v>0</v>
      </c>
      <c r="L266" s="17" t="s">
        <v>917</v>
      </c>
      <c r="M266" s="17">
        <v>10000</v>
      </c>
      <c r="N266" s="17" t="s">
        <v>918</v>
      </c>
      <c r="O266" s="17">
        <v>10000</v>
      </c>
      <c r="P266" s="17" t="s">
        <v>919</v>
      </c>
      <c r="Q266" s="17">
        <v>10000</v>
      </c>
      <c r="R266">
        <f>_xlfn.XLOOKUP($B266, 'Detail&lt;Child&gt;'!$A:$A, 'Detail&lt;Child&gt;'!$L:$L)</f>
        <v>3</v>
      </c>
    </row>
    <row r="267" spans="1:18" x14ac:dyDescent="0.3">
      <c r="A267" s="17">
        <f t="shared" si="90"/>
        <v>1000044504</v>
      </c>
      <c r="B267" s="17">
        <v>10000445</v>
      </c>
      <c r="C267" s="17" t="str">
        <f>_xlfn.XLOOKUP(B267,'Detail&lt;Child&gt;'!A:A,'Detail&lt;Child&gt;'!B:B)</f>
        <v>카라라트리</v>
      </c>
      <c r="D267" s="17" t="str">
        <f t="shared" si="91"/>
        <v>character_gradeup_10000445_4</v>
      </c>
      <c r="E267" s="17" t="s">
        <v>923</v>
      </c>
      <c r="F267" s="17">
        <f t="shared" si="92"/>
        <v>30030445</v>
      </c>
      <c r="G267" s="17">
        <f>VLOOKUP($R267, '#등급업 재료 개수'!$A$2:$K$5, MATCH(GradeUp!H267, '#등급업 재료 개수'!$A$2:$K$2, 0), FALSE)</f>
        <v>2</v>
      </c>
      <c r="H267" s="17">
        <v>4</v>
      </c>
      <c r="I267" s="17">
        <v>40</v>
      </c>
      <c r="J267" s="17" t="s">
        <v>32</v>
      </c>
      <c r="K267" s="17">
        <f>_xlfn.IFNA(VLOOKUP($B267, 'Detail&lt;Child&gt;'!$A:$AT, MATCH(J267, 'Detail&lt;Child&gt;'!$3:$3,0 ), FALSE)+INT($H267/12), 0)</f>
        <v>43044501</v>
      </c>
      <c r="L267" s="17" t="s">
        <v>917</v>
      </c>
      <c r="M267" s="17">
        <f t="shared" ref="M267:M273" si="93">M266+10000</f>
        <v>20000</v>
      </c>
      <c r="N267" s="17" t="s">
        <v>918</v>
      </c>
      <c r="O267" s="17">
        <f t="shared" ref="O267:O273" si="94">O266+10000</f>
        <v>20000</v>
      </c>
      <c r="P267" s="17" t="s">
        <v>919</v>
      </c>
      <c r="Q267" s="17">
        <f t="shared" ref="Q267:Q273" si="95">Q266+10000</f>
        <v>20000</v>
      </c>
      <c r="R267">
        <f>_xlfn.XLOOKUP($B267, 'Detail&lt;Child&gt;'!$A:$A, 'Detail&lt;Child&gt;'!$L:$L)</f>
        <v>3</v>
      </c>
    </row>
    <row r="268" spans="1:18" x14ac:dyDescent="0.3">
      <c r="A268" s="17">
        <f t="shared" si="90"/>
        <v>1000044505</v>
      </c>
      <c r="B268" s="17">
        <v>10000445</v>
      </c>
      <c r="C268" s="17" t="str">
        <f>_xlfn.XLOOKUP(B268,'Detail&lt;Child&gt;'!A:A,'Detail&lt;Child&gt;'!B:B)</f>
        <v>카라라트리</v>
      </c>
      <c r="D268" s="17" t="str">
        <f t="shared" si="91"/>
        <v>character_gradeup_10000445_5</v>
      </c>
      <c r="E268" s="17" t="s">
        <v>923</v>
      </c>
      <c r="F268" s="17">
        <f t="shared" si="92"/>
        <v>30030445</v>
      </c>
      <c r="G268" s="17">
        <f>VLOOKUP($R268, '#등급업 재료 개수'!$A$2:$K$5, MATCH(GradeUp!H268, '#등급업 재료 개수'!$A$2:$K$2, 0), FALSE)</f>
        <v>4</v>
      </c>
      <c r="H268" s="17">
        <v>5</v>
      </c>
      <c r="I268" s="17">
        <v>50</v>
      </c>
      <c r="J268" s="17" t="s">
        <v>30</v>
      </c>
      <c r="K268" s="17">
        <f>_xlfn.IFNA(VLOOKUP($B268, 'Detail&lt;Child&gt;'!$A:$AT, MATCH(J268, 'Detail&lt;Child&gt;'!$3:$3,0 ), FALSE)+INT($H268/12), 0)+1</f>
        <v>23044502</v>
      </c>
      <c r="L268" s="17" t="s">
        <v>917</v>
      </c>
      <c r="M268" s="17">
        <f t="shared" si="93"/>
        <v>30000</v>
      </c>
      <c r="N268" s="17" t="s">
        <v>918</v>
      </c>
      <c r="O268" s="17">
        <f t="shared" si="94"/>
        <v>30000</v>
      </c>
      <c r="P268" s="17" t="s">
        <v>919</v>
      </c>
      <c r="Q268" s="17">
        <f t="shared" si="95"/>
        <v>30000</v>
      </c>
      <c r="R268">
        <f>_xlfn.XLOOKUP($B268, 'Detail&lt;Child&gt;'!$A:$A, 'Detail&lt;Child&gt;'!$L:$L)</f>
        <v>3</v>
      </c>
    </row>
    <row r="269" spans="1:18" x14ac:dyDescent="0.3">
      <c r="A269" s="17">
        <f t="shared" si="90"/>
        <v>1000044506</v>
      </c>
      <c r="B269" s="17">
        <v>10000445</v>
      </c>
      <c r="C269" s="17" t="str">
        <f>_xlfn.XLOOKUP(B269,'Detail&lt;Child&gt;'!A:A,'Detail&lt;Child&gt;'!B:B)</f>
        <v>카라라트리</v>
      </c>
      <c r="D269" s="17" t="str">
        <f t="shared" si="91"/>
        <v>character_gradeup_10000445_6</v>
      </c>
      <c r="E269" s="17" t="s">
        <v>923</v>
      </c>
      <c r="F269" s="17">
        <f t="shared" si="92"/>
        <v>30030445</v>
      </c>
      <c r="G269" s="17">
        <f>VLOOKUP($R269, '#등급업 재료 개수'!$A$2:$K$5, MATCH(GradeUp!H269, '#등급업 재료 개수'!$A$2:$K$2, 0), FALSE)</f>
        <v>6</v>
      </c>
      <c r="H269" s="17">
        <v>6</v>
      </c>
      <c r="I269" s="17">
        <v>60</v>
      </c>
      <c r="J269" s="17">
        <v>0</v>
      </c>
      <c r="K269" s="17">
        <v>0</v>
      </c>
      <c r="L269" s="17" t="s">
        <v>917</v>
      </c>
      <c r="M269" s="17">
        <f t="shared" si="93"/>
        <v>40000</v>
      </c>
      <c r="N269" s="17" t="s">
        <v>918</v>
      </c>
      <c r="O269" s="17">
        <f t="shared" si="94"/>
        <v>40000</v>
      </c>
      <c r="P269" s="17" t="s">
        <v>919</v>
      </c>
      <c r="Q269" s="17">
        <f t="shared" si="95"/>
        <v>40000</v>
      </c>
      <c r="R269">
        <f>_xlfn.XLOOKUP($B269, 'Detail&lt;Child&gt;'!$A:$A, 'Detail&lt;Child&gt;'!$L:$L)</f>
        <v>3</v>
      </c>
    </row>
    <row r="270" spans="1:18" x14ac:dyDescent="0.3">
      <c r="A270" s="17">
        <f t="shared" si="90"/>
        <v>1000044507</v>
      </c>
      <c r="B270" s="17">
        <v>10000445</v>
      </c>
      <c r="C270" s="17" t="str">
        <f>_xlfn.XLOOKUP(B270,'Detail&lt;Child&gt;'!A:A,'Detail&lt;Child&gt;'!B:B)</f>
        <v>카라라트리</v>
      </c>
      <c r="D270" s="17" t="str">
        <f t="shared" si="91"/>
        <v>character_gradeup_10000445_7</v>
      </c>
      <c r="E270" s="17" t="s">
        <v>923</v>
      </c>
      <c r="F270" s="17">
        <f t="shared" si="92"/>
        <v>30030445</v>
      </c>
      <c r="G270" s="17">
        <f>VLOOKUP($R270, '#등급업 재료 개수'!$A$2:$K$5, MATCH(GradeUp!H270, '#등급업 재료 개수'!$A$2:$K$2, 0), FALSE)</f>
        <v>8</v>
      </c>
      <c r="H270" s="17">
        <v>7</v>
      </c>
      <c r="I270" s="17">
        <v>70</v>
      </c>
      <c r="J270" s="17" t="s">
        <v>32</v>
      </c>
      <c r="K270" s="17">
        <f>_xlfn.IFNA(VLOOKUP($B270, 'Detail&lt;Child&gt;'!$A:$AT, MATCH(J270, 'Detail&lt;Child&gt;'!$3:$3,0 ), FALSE)+INT($H270/12), 0)+1</f>
        <v>43044502</v>
      </c>
      <c r="L270" s="17" t="s">
        <v>917</v>
      </c>
      <c r="M270" s="17">
        <f t="shared" si="93"/>
        <v>50000</v>
      </c>
      <c r="N270" s="17" t="s">
        <v>918</v>
      </c>
      <c r="O270" s="17">
        <f t="shared" si="94"/>
        <v>50000</v>
      </c>
      <c r="P270" s="17" t="s">
        <v>919</v>
      </c>
      <c r="Q270" s="17">
        <f t="shared" si="95"/>
        <v>50000</v>
      </c>
      <c r="R270">
        <f>_xlfn.XLOOKUP($B270, 'Detail&lt;Child&gt;'!$A:$A, 'Detail&lt;Child&gt;'!$L:$L)</f>
        <v>3</v>
      </c>
    </row>
    <row r="271" spans="1:18" x14ac:dyDescent="0.3">
      <c r="A271" s="17">
        <f t="shared" si="90"/>
        <v>1000044508</v>
      </c>
      <c r="B271" s="17">
        <v>10000445</v>
      </c>
      <c r="C271" s="17" t="str">
        <f>_xlfn.XLOOKUP(B271,'Detail&lt;Child&gt;'!A:A,'Detail&lt;Child&gt;'!B:B)</f>
        <v>카라라트리</v>
      </c>
      <c r="D271" s="17" t="str">
        <f t="shared" si="91"/>
        <v>character_gradeup_10000445_8</v>
      </c>
      <c r="E271" s="17" t="s">
        <v>923</v>
      </c>
      <c r="F271" s="17">
        <f t="shared" si="92"/>
        <v>30030445</v>
      </c>
      <c r="G271" s="17">
        <f>VLOOKUP($R271, '#등급업 재료 개수'!$A$2:$K$5, MATCH(GradeUp!H271, '#등급업 재료 개수'!$A$2:$K$2, 0), FALSE)</f>
        <v>10</v>
      </c>
      <c r="H271" s="17">
        <v>8</v>
      </c>
      <c r="I271" s="17">
        <v>80</v>
      </c>
      <c r="J271" s="17">
        <v>0</v>
      </c>
      <c r="K271" s="17">
        <v>0</v>
      </c>
      <c r="L271" s="17" t="s">
        <v>917</v>
      </c>
      <c r="M271" s="17">
        <f t="shared" si="93"/>
        <v>60000</v>
      </c>
      <c r="N271" s="17" t="s">
        <v>918</v>
      </c>
      <c r="O271" s="17">
        <f t="shared" si="94"/>
        <v>60000</v>
      </c>
      <c r="P271" s="17" t="s">
        <v>919</v>
      </c>
      <c r="Q271" s="17">
        <f t="shared" si="95"/>
        <v>60000</v>
      </c>
      <c r="R271">
        <f>_xlfn.XLOOKUP($B271, 'Detail&lt;Child&gt;'!$A:$A, 'Detail&lt;Child&gt;'!$L:$L)</f>
        <v>3</v>
      </c>
    </row>
    <row r="272" spans="1:18" x14ac:dyDescent="0.3">
      <c r="A272" s="17">
        <f t="shared" si="90"/>
        <v>1000044509</v>
      </c>
      <c r="B272" s="17">
        <v>10000445</v>
      </c>
      <c r="C272" s="17" t="str">
        <f>_xlfn.XLOOKUP(B272,'Detail&lt;Child&gt;'!A:A,'Detail&lt;Child&gt;'!B:B)</f>
        <v>카라라트리</v>
      </c>
      <c r="D272" s="17" t="str">
        <f t="shared" si="91"/>
        <v>character_gradeup_10000445_9</v>
      </c>
      <c r="E272" s="17" t="s">
        <v>923</v>
      </c>
      <c r="F272" s="17">
        <f t="shared" si="92"/>
        <v>30030445</v>
      </c>
      <c r="G272" s="17">
        <f>VLOOKUP($R272, '#등급업 재료 개수'!$A$2:$K$5, MATCH(GradeUp!H272, '#등급업 재료 개수'!$A$2:$K$2, 0), FALSE)</f>
        <v>12</v>
      </c>
      <c r="H272" s="17">
        <v>9</v>
      </c>
      <c r="I272" s="17">
        <v>90</v>
      </c>
      <c r="J272" s="17" t="s">
        <v>31</v>
      </c>
      <c r="K272" s="17">
        <f>_xlfn.IFNA(VLOOKUP($B272, 'Detail&lt;Child&gt;'!$A:$AT, MATCH(J272, 'Detail&lt;Child&gt;'!$3:$3,0 ), FALSE)+INT($H272/12), 0)+1</f>
        <v>33044502</v>
      </c>
      <c r="L272" s="17" t="s">
        <v>917</v>
      </c>
      <c r="M272" s="17">
        <f t="shared" si="93"/>
        <v>70000</v>
      </c>
      <c r="N272" s="17" t="s">
        <v>918</v>
      </c>
      <c r="O272" s="17">
        <f t="shared" si="94"/>
        <v>70000</v>
      </c>
      <c r="P272" s="17" t="s">
        <v>919</v>
      </c>
      <c r="Q272" s="17">
        <f t="shared" si="95"/>
        <v>70000</v>
      </c>
      <c r="R272">
        <f>_xlfn.XLOOKUP($B272, 'Detail&lt;Child&gt;'!$A:$A, 'Detail&lt;Child&gt;'!$L:$L)</f>
        <v>3</v>
      </c>
    </row>
    <row r="273" spans="1:18" x14ac:dyDescent="0.3">
      <c r="A273" s="17">
        <f t="shared" si="90"/>
        <v>1000044510</v>
      </c>
      <c r="B273" s="17">
        <v>10000445</v>
      </c>
      <c r="C273" s="17" t="str">
        <f>_xlfn.XLOOKUP(B273,'Detail&lt;Child&gt;'!A:A,'Detail&lt;Child&gt;'!B:B)</f>
        <v>카라라트리</v>
      </c>
      <c r="D273" s="17" t="str">
        <f t="shared" si="91"/>
        <v>character_gradeup_10000445_10</v>
      </c>
      <c r="E273" s="17" t="s">
        <v>923</v>
      </c>
      <c r="F273" s="17">
        <f t="shared" si="92"/>
        <v>30030445</v>
      </c>
      <c r="G273" s="17">
        <f>VLOOKUP($R273, '#등급업 재료 개수'!$A$2:$K$5, MATCH(GradeUp!H273, '#등급업 재료 개수'!$A$2:$K$2, 0), FALSE)</f>
        <v>999</v>
      </c>
      <c r="H273" s="17">
        <v>10</v>
      </c>
      <c r="I273" s="17">
        <v>100</v>
      </c>
      <c r="J273" s="17">
        <v>0</v>
      </c>
      <c r="K273" s="17">
        <v>0</v>
      </c>
      <c r="L273" s="17" t="s">
        <v>917</v>
      </c>
      <c r="M273" s="17">
        <f t="shared" si="93"/>
        <v>80000</v>
      </c>
      <c r="N273" s="17" t="s">
        <v>918</v>
      </c>
      <c r="O273" s="17">
        <f t="shared" si="94"/>
        <v>80000</v>
      </c>
      <c r="P273" s="17" t="s">
        <v>919</v>
      </c>
      <c r="Q273" s="17">
        <f t="shared" si="95"/>
        <v>80000</v>
      </c>
      <c r="R273">
        <f>_xlfn.XLOOKUP($B273, 'Detail&lt;Child&gt;'!$A:$A, 'Detail&lt;Child&gt;'!$L:$L)</f>
        <v>3</v>
      </c>
    </row>
    <row r="274" spans="1:18" x14ac:dyDescent="0.3">
      <c r="A274" s="17">
        <f t="shared" si="90"/>
        <v>1000046101</v>
      </c>
      <c r="B274" s="17">
        <v>10000461</v>
      </c>
      <c r="C274" s="17" t="str">
        <f>_xlfn.XLOOKUP(B274,'Detail&lt;Child&gt;'!A:A,'Detail&lt;Child&gt;'!B:B)</f>
        <v>아우로라</v>
      </c>
      <c r="D274" s="17" t="str">
        <f t="shared" si="91"/>
        <v>character_gradeup_10000461_1</v>
      </c>
      <c r="E274" s="17" t="s">
        <v>923</v>
      </c>
      <c r="F274" s="17">
        <f t="shared" si="92"/>
        <v>30030461</v>
      </c>
      <c r="G274" s="17">
        <f>VLOOKUP($R274, '#등급업 재료 개수'!$A$2:$K$5, MATCH(GradeUp!H274, '#등급업 재료 개수'!$A$2:$K$2, 0), FALSE)</f>
        <v>1</v>
      </c>
      <c r="H274" s="17">
        <v>1</v>
      </c>
      <c r="I274" s="17">
        <v>10</v>
      </c>
      <c r="J274" s="17">
        <v>0</v>
      </c>
      <c r="K274" s="17">
        <v>0</v>
      </c>
      <c r="L274" s="17" t="s">
        <v>917</v>
      </c>
      <c r="M274" s="17">
        <v>0</v>
      </c>
      <c r="N274" s="17" t="s">
        <v>918</v>
      </c>
      <c r="O274" s="17">
        <v>0</v>
      </c>
      <c r="P274" s="17" t="s">
        <v>919</v>
      </c>
      <c r="Q274" s="17">
        <v>0</v>
      </c>
      <c r="R274">
        <f>_xlfn.XLOOKUP($B274, 'Detail&lt;Child&gt;'!$A:$A, 'Detail&lt;Child&gt;'!$L:$L)</f>
        <v>3</v>
      </c>
    </row>
    <row r="275" spans="1:18" x14ac:dyDescent="0.3">
      <c r="A275" s="17">
        <f t="shared" si="90"/>
        <v>1000046102</v>
      </c>
      <c r="B275" s="17">
        <v>10000461</v>
      </c>
      <c r="C275" s="17" t="str">
        <f>_xlfn.XLOOKUP(B275,'Detail&lt;Child&gt;'!A:A,'Detail&lt;Child&gt;'!B:B)</f>
        <v>아우로라</v>
      </c>
      <c r="D275" s="17" t="str">
        <f t="shared" si="91"/>
        <v>character_gradeup_10000461_2</v>
      </c>
      <c r="E275" s="17" t="s">
        <v>923</v>
      </c>
      <c r="F275" s="17">
        <f t="shared" si="92"/>
        <v>30030461</v>
      </c>
      <c r="G275" s="17">
        <f>VLOOKUP($R275, '#등급업 재료 개수'!$A$2:$K$5, MATCH(GradeUp!H275, '#등급업 재료 개수'!$A$2:$K$2, 0), FALSE)</f>
        <v>1</v>
      </c>
      <c r="H275" s="17">
        <v>2</v>
      </c>
      <c r="I275" s="17">
        <v>20</v>
      </c>
      <c r="J275" s="17" t="s">
        <v>30</v>
      </c>
      <c r="K275" s="17">
        <f>_xlfn.IFNA(VLOOKUP($B275, 'Detail&lt;Child&gt;'!$A:$AT, MATCH(J275, 'Detail&lt;Child&gt;'!$3:$3,0 ), FALSE)+INT($H275/12), 0)</f>
        <v>23046101</v>
      </c>
      <c r="L275" s="17" t="s">
        <v>917</v>
      </c>
      <c r="M275" s="17">
        <v>0</v>
      </c>
      <c r="N275" s="17" t="s">
        <v>918</v>
      </c>
      <c r="O275" s="17">
        <v>0</v>
      </c>
      <c r="P275" s="17" t="s">
        <v>919</v>
      </c>
      <c r="Q275" s="17">
        <v>0</v>
      </c>
      <c r="R275">
        <f>_xlfn.XLOOKUP($B275, 'Detail&lt;Child&gt;'!$A:$A, 'Detail&lt;Child&gt;'!$L:$L)</f>
        <v>3</v>
      </c>
    </row>
    <row r="276" spans="1:18" x14ac:dyDescent="0.3">
      <c r="A276" s="17">
        <f t="shared" si="90"/>
        <v>1000046103</v>
      </c>
      <c r="B276" s="17">
        <v>10000461</v>
      </c>
      <c r="C276" s="17" t="str">
        <f>_xlfn.XLOOKUP(B276,'Detail&lt;Child&gt;'!A:A,'Detail&lt;Child&gt;'!B:B)</f>
        <v>아우로라</v>
      </c>
      <c r="D276" s="17" t="str">
        <f t="shared" si="91"/>
        <v>character_gradeup_10000461_3</v>
      </c>
      <c r="E276" s="17" t="s">
        <v>923</v>
      </c>
      <c r="F276" s="17">
        <f t="shared" si="92"/>
        <v>30030461</v>
      </c>
      <c r="G276" s="17">
        <f>VLOOKUP($R276, '#등급업 재료 개수'!$A$2:$K$5, MATCH(GradeUp!H276, '#등급업 재료 개수'!$A$2:$K$2, 0), FALSE)</f>
        <v>1</v>
      </c>
      <c r="H276" s="17">
        <v>3</v>
      </c>
      <c r="I276" s="17">
        <v>30</v>
      </c>
      <c r="J276" s="17">
        <v>0</v>
      </c>
      <c r="K276" s="17">
        <v>0</v>
      </c>
      <c r="L276" s="17" t="s">
        <v>917</v>
      </c>
      <c r="M276" s="17">
        <v>10000</v>
      </c>
      <c r="N276" s="17" t="s">
        <v>918</v>
      </c>
      <c r="O276" s="17">
        <v>10000</v>
      </c>
      <c r="P276" s="17" t="s">
        <v>919</v>
      </c>
      <c r="Q276" s="17">
        <v>10000</v>
      </c>
      <c r="R276">
        <f>_xlfn.XLOOKUP($B276, 'Detail&lt;Child&gt;'!$A:$A, 'Detail&lt;Child&gt;'!$L:$L)</f>
        <v>3</v>
      </c>
    </row>
    <row r="277" spans="1:18" x14ac:dyDescent="0.3">
      <c r="A277" s="17">
        <f t="shared" si="90"/>
        <v>1000046104</v>
      </c>
      <c r="B277" s="17">
        <v>10000461</v>
      </c>
      <c r="C277" s="17" t="str">
        <f>_xlfn.XLOOKUP(B277,'Detail&lt;Child&gt;'!A:A,'Detail&lt;Child&gt;'!B:B)</f>
        <v>아우로라</v>
      </c>
      <c r="D277" s="17" t="str">
        <f t="shared" si="91"/>
        <v>character_gradeup_10000461_4</v>
      </c>
      <c r="E277" s="17" t="s">
        <v>923</v>
      </c>
      <c r="F277" s="17">
        <f t="shared" si="92"/>
        <v>30030461</v>
      </c>
      <c r="G277" s="17">
        <f>VLOOKUP($R277, '#등급업 재료 개수'!$A$2:$K$5, MATCH(GradeUp!H277, '#등급업 재료 개수'!$A$2:$K$2, 0), FALSE)</f>
        <v>2</v>
      </c>
      <c r="H277" s="17">
        <v>4</v>
      </c>
      <c r="I277" s="17">
        <v>40</v>
      </c>
      <c r="J277" s="17" t="s">
        <v>32</v>
      </c>
      <c r="K277" s="17">
        <f>_xlfn.IFNA(VLOOKUP($B277, 'Detail&lt;Child&gt;'!$A:$AT, MATCH(J277, 'Detail&lt;Child&gt;'!$3:$3,0 ), FALSE)+INT($H277/12), 0)</f>
        <v>43046101</v>
      </c>
      <c r="L277" s="17" t="s">
        <v>917</v>
      </c>
      <c r="M277" s="17">
        <f t="shared" ref="M277:M283" si="96">M276+10000</f>
        <v>20000</v>
      </c>
      <c r="N277" s="17" t="s">
        <v>918</v>
      </c>
      <c r="O277" s="17">
        <f t="shared" ref="O277:O283" si="97">O276+10000</f>
        <v>20000</v>
      </c>
      <c r="P277" s="17" t="s">
        <v>919</v>
      </c>
      <c r="Q277" s="17">
        <f t="shared" ref="Q277:Q283" si="98">Q276+10000</f>
        <v>20000</v>
      </c>
      <c r="R277">
        <f>_xlfn.XLOOKUP($B277, 'Detail&lt;Child&gt;'!$A:$A, 'Detail&lt;Child&gt;'!$L:$L)</f>
        <v>3</v>
      </c>
    </row>
    <row r="278" spans="1:18" x14ac:dyDescent="0.3">
      <c r="A278" s="17">
        <f t="shared" si="90"/>
        <v>1000046105</v>
      </c>
      <c r="B278" s="17">
        <v>10000461</v>
      </c>
      <c r="C278" s="17" t="str">
        <f>_xlfn.XLOOKUP(B278,'Detail&lt;Child&gt;'!A:A,'Detail&lt;Child&gt;'!B:B)</f>
        <v>아우로라</v>
      </c>
      <c r="D278" s="17" t="str">
        <f t="shared" si="91"/>
        <v>character_gradeup_10000461_5</v>
      </c>
      <c r="E278" s="17" t="s">
        <v>923</v>
      </c>
      <c r="F278" s="17">
        <f t="shared" si="92"/>
        <v>30030461</v>
      </c>
      <c r="G278" s="17">
        <f>VLOOKUP($R278, '#등급업 재료 개수'!$A$2:$K$5, MATCH(GradeUp!H278, '#등급업 재료 개수'!$A$2:$K$2, 0), FALSE)</f>
        <v>4</v>
      </c>
      <c r="H278" s="17">
        <v>5</v>
      </c>
      <c r="I278" s="17">
        <v>50</v>
      </c>
      <c r="J278" s="17" t="s">
        <v>30</v>
      </c>
      <c r="K278" s="17">
        <f>_xlfn.IFNA(VLOOKUP($B278, 'Detail&lt;Child&gt;'!$A:$AT, MATCH(J278, 'Detail&lt;Child&gt;'!$3:$3,0 ), FALSE)+INT($H278/12), 0)+1</f>
        <v>23046102</v>
      </c>
      <c r="L278" s="17" t="s">
        <v>917</v>
      </c>
      <c r="M278" s="17">
        <f t="shared" si="96"/>
        <v>30000</v>
      </c>
      <c r="N278" s="17" t="s">
        <v>918</v>
      </c>
      <c r="O278" s="17">
        <f t="shared" si="97"/>
        <v>30000</v>
      </c>
      <c r="P278" s="17" t="s">
        <v>919</v>
      </c>
      <c r="Q278" s="17">
        <f t="shared" si="98"/>
        <v>30000</v>
      </c>
      <c r="R278">
        <f>_xlfn.XLOOKUP($B278, 'Detail&lt;Child&gt;'!$A:$A, 'Detail&lt;Child&gt;'!$L:$L)</f>
        <v>3</v>
      </c>
    </row>
    <row r="279" spans="1:18" x14ac:dyDescent="0.3">
      <c r="A279" s="17">
        <f t="shared" si="90"/>
        <v>1000046106</v>
      </c>
      <c r="B279" s="17">
        <v>10000461</v>
      </c>
      <c r="C279" s="17" t="str">
        <f>_xlfn.XLOOKUP(B279,'Detail&lt;Child&gt;'!A:A,'Detail&lt;Child&gt;'!B:B)</f>
        <v>아우로라</v>
      </c>
      <c r="D279" s="17" t="str">
        <f t="shared" si="91"/>
        <v>character_gradeup_10000461_6</v>
      </c>
      <c r="E279" s="17" t="s">
        <v>923</v>
      </c>
      <c r="F279" s="17">
        <f t="shared" si="92"/>
        <v>30030461</v>
      </c>
      <c r="G279" s="17">
        <f>VLOOKUP($R279, '#등급업 재료 개수'!$A$2:$K$5, MATCH(GradeUp!H279, '#등급업 재료 개수'!$A$2:$K$2, 0), FALSE)</f>
        <v>6</v>
      </c>
      <c r="H279" s="17">
        <v>6</v>
      </c>
      <c r="I279" s="17">
        <v>60</v>
      </c>
      <c r="J279" s="17">
        <v>0</v>
      </c>
      <c r="K279" s="17">
        <v>0</v>
      </c>
      <c r="L279" s="17" t="s">
        <v>917</v>
      </c>
      <c r="M279" s="17">
        <f t="shared" si="96"/>
        <v>40000</v>
      </c>
      <c r="N279" s="17" t="s">
        <v>918</v>
      </c>
      <c r="O279" s="17">
        <f t="shared" si="97"/>
        <v>40000</v>
      </c>
      <c r="P279" s="17" t="s">
        <v>919</v>
      </c>
      <c r="Q279" s="17">
        <f t="shared" si="98"/>
        <v>40000</v>
      </c>
      <c r="R279">
        <f>_xlfn.XLOOKUP($B279, 'Detail&lt;Child&gt;'!$A:$A, 'Detail&lt;Child&gt;'!$L:$L)</f>
        <v>3</v>
      </c>
    </row>
    <row r="280" spans="1:18" x14ac:dyDescent="0.3">
      <c r="A280" s="17">
        <f t="shared" si="90"/>
        <v>1000046107</v>
      </c>
      <c r="B280" s="17">
        <v>10000461</v>
      </c>
      <c r="C280" s="17" t="str">
        <f>_xlfn.XLOOKUP(B280,'Detail&lt;Child&gt;'!A:A,'Detail&lt;Child&gt;'!B:B)</f>
        <v>아우로라</v>
      </c>
      <c r="D280" s="17" t="str">
        <f t="shared" si="91"/>
        <v>character_gradeup_10000461_7</v>
      </c>
      <c r="E280" s="17" t="s">
        <v>923</v>
      </c>
      <c r="F280" s="17">
        <f t="shared" si="92"/>
        <v>30030461</v>
      </c>
      <c r="G280" s="17">
        <f>VLOOKUP($R280, '#등급업 재료 개수'!$A$2:$K$5, MATCH(GradeUp!H280, '#등급업 재료 개수'!$A$2:$K$2, 0), FALSE)</f>
        <v>8</v>
      </c>
      <c r="H280" s="17">
        <v>7</v>
      </c>
      <c r="I280" s="17">
        <v>70</v>
      </c>
      <c r="J280" s="17" t="s">
        <v>32</v>
      </c>
      <c r="K280" s="17">
        <f>_xlfn.IFNA(VLOOKUP($B280, 'Detail&lt;Child&gt;'!$A:$AT, MATCH(J280, 'Detail&lt;Child&gt;'!$3:$3,0 ), FALSE)+INT($H280/12), 0)+1</f>
        <v>43046102</v>
      </c>
      <c r="L280" s="17" t="s">
        <v>917</v>
      </c>
      <c r="M280" s="17">
        <f t="shared" si="96"/>
        <v>50000</v>
      </c>
      <c r="N280" s="17" t="s">
        <v>918</v>
      </c>
      <c r="O280" s="17">
        <f t="shared" si="97"/>
        <v>50000</v>
      </c>
      <c r="P280" s="17" t="s">
        <v>919</v>
      </c>
      <c r="Q280" s="17">
        <f t="shared" si="98"/>
        <v>50000</v>
      </c>
      <c r="R280">
        <f>_xlfn.XLOOKUP($B280, 'Detail&lt;Child&gt;'!$A:$A, 'Detail&lt;Child&gt;'!$L:$L)</f>
        <v>3</v>
      </c>
    </row>
    <row r="281" spans="1:18" x14ac:dyDescent="0.3">
      <c r="A281" s="17">
        <f t="shared" si="90"/>
        <v>1000046108</v>
      </c>
      <c r="B281" s="17">
        <v>10000461</v>
      </c>
      <c r="C281" s="17" t="str">
        <f>_xlfn.XLOOKUP(B281,'Detail&lt;Child&gt;'!A:A,'Detail&lt;Child&gt;'!B:B)</f>
        <v>아우로라</v>
      </c>
      <c r="D281" s="17" t="str">
        <f t="shared" si="91"/>
        <v>character_gradeup_10000461_8</v>
      </c>
      <c r="E281" s="17" t="s">
        <v>923</v>
      </c>
      <c r="F281" s="17">
        <f t="shared" si="92"/>
        <v>30030461</v>
      </c>
      <c r="G281" s="17">
        <f>VLOOKUP($R281, '#등급업 재료 개수'!$A$2:$K$5, MATCH(GradeUp!H281, '#등급업 재료 개수'!$A$2:$K$2, 0), FALSE)</f>
        <v>10</v>
      </c>
      <c r="H281" s="17">
        <v>8</v>
      </c>
      <c r="I281" s="17">
        <v>80</v>
      </c>
      <c r="J281" s="17">
        <v>0</v>
      </c>
      <c r="K281" s="17">
        <v>0</v>
      </c>
      <c r="L281" s="17" t="s">
        <v>917</v>
      </c>
      <c r="M281" s="17">
        <f t="shared" si="96"/>
        <v>60000</v>
      </c>
      <c r="N281" s="17" t="s">
        <v>918</v>
      </c>
      <c r="O281" s="17">
        <f t="shared" si="97"/>
        <v>60000</v>
      </c>
      <c r="P281" s="17" t="s">
        <v>919</v>
      </c>
      <c r="Q281" s="17">
        <f t="shared" si="98"/>
        <v>60000</v>
      </c>
      <c r="R281">
        <f>_xlfn.XLOOKUP($B281, 'Detail&lt;Child&gt;'!$A:$A, 'Detail&lt;Child&gt;'!$L:$L)</f>
        <v>3</v>
      </c>
    </row>
    <row r="282" spans="1:18" x14ac:dyDescent="0.3">
      <c r="A282" s="17">
        <f t="shared" si="90"/>
        <v>1000046109</v>
      </c>
      <c r="B282" s="17">
        <v>10000461</v>
      </c>
      <c r="C282" s="17" t="str">
        <f>_xlfn.XLOOKUP(B282,'Detail&lt;Child&gt;'!A:A,'Detail&lt;Child&gt;'!B:B)</f>
        <v>아우로라</v>
      </c>
      <c r="D282" s="17" t="str">
        <f t="shared" si="91"/>
        <v>character_gradeup_10000461_9</v>
      </c>
      <c r="E282" s="17" t="s">
        <v>923</v>
      </c>
      <c r="F282" s="17">
        <f t="shared" si="92"/>
        <v>30030461</v>
      </c>
      <c r="G282" s="17">
        <f>VLOOKUP($R282, '#등급업 재료 개수'!$A$2:$K$5, MATCH(GradeUp!H282, '#등급업 재료 개수'!$A$2:$K$2, 0), FALSE)</f>
        <v>12</v>
      </c>
      <c r="H282" s="17">
        <v>9</v>
      </c>
      <c r="I282" s="17">
        <v>90</v>
      </c>
      <c r="J282" s="17" t="s">
        <v>31</v>
      </c>
      <c r="K282" s="17">
        <f>_xlfn.IFNA(VLOOKUP($B282, 'Detail&lt;Child&gt;'!$A:$AT, MATCH(J282, 'Detail&lt;Child&gt;'!$3:$3,0 ), FALSE)+INT($H282/12), 0)+1</f>
        <v>33046102</v>
      </c>
      <c r="L282" s="17" t="s">
        <v>917</v>
      </c>
      <c r="M282" s="17">
        <f t="shared" si="96"/>
        <v>70000</v>
      </c>
      <c r="N282" s="17" t="s">
        <v>918</v>
      </c>
      <c r="O282" s="17">
        <f t="shared" si="97"/>
        <v>70000</v>
      </c>
      <c r="P282" s="17" t="s">
        <v>919</v>
      </c>
      <c r="Q282" s="17">
        <f t="shared" si="98"/>
        <v>70000</v>
      </c>
      <c r="R282">
        <f>_xlfn.XLOOKUP($B282, 'Detail&lt;Child&gt;'!$A:$A, 'Detail&lt;Child&gt;'!$L:$L)</f>
        <v>3</v>
      </c>
    </row>
    <row r="283" spans="1:18" x14ac:dyDescent="0.3">
      <c r="A283" s="17">
        <f t="shared" si="90"/>
        <v>1000046110</v>
      </c>
      <c r="B283" s="17">
        <v>10000461</v>
      </c>
      <c r="C283" s="17" t="str">
        <f>_xlfn.XLOOKUP(B283,'Detail&lt;Child&gt;'!A:A,'Detail&lt;Child&gt;'!B:B)</f>
        <v>아우로라</v>
      </c>
      <c r="D283" s="17" t="str">
        <f t="shared" si="91"/>
        <v>character_gradeup_10000461_10</v>
      </c>
      <c r="E283" s="17" t="s">
        <v>923</v>
      </c>
      <c r="F283" s="17">
        <f t="shared" si="92"/>
        <v>30030461</v>
      </c>
      <c r="G283" s="17">
        <f>VLOOKUP($R283, '#등급업 재료 개수'!$A$2:$K$5, MATCH(GradeUp!H283, '#등급업 재료 개수'!$A$2:$K$2, 0), FALSE)</f>
        <v>999</v>
      </c>
      <c r="H283" s="17">
        <v>10</v>
      </c>
      <c r="I283" s="17">
        <v>100</v>
      </c>
      <c r="J283" s="17">
        <v>0</v>
      </c>
      <c r="K283" s="17">
        <v>0</v>
      </c>
      <c r="L283" s="17" t="s">
        <v>917</v>
      </c>
      <c r="M283" s="17">
        <f t="shared" si="96"/>
        <v>80000</v>
      </c>
      <c r="N283" s="17" t="s">
        <v>918</v>
      </c>
      <c r="O283" s="17">
        <f t="shared" si="97"/>
        <v>80000</v>
      </c>
      <c r="P283" s="17" t="s">
        <v>919</v>
      </c>
      <c r="Q283" s="17">
        <f t="shared" si="98"/>
        <v>80000</v>
      </c>
      <c r="R283">
        <f>_xlfn.XLOOKUP($B283, 'Detail&lt;Child&gt;'!$A:$A, 'Detail&lt;Child&gt;'!$L:$L)</f>
        <v>3</v>
      </c>
    </row>
    <row r="284" spans="1:18" x14ac:dyDescent="0.3">
      <c r="A284" s="17">
        <f t="shared" si="90"/>
        <v>1000028301</v>
      </c>
      <c r="B284" s="17">
        <v>10000283</v>
      </c>
      <c r="C284" s="17" t="str">
        <f>_xlfn.XLOOKUP(B284,'Detail&lt;Child&gt;'!A:A,'Detail&lt;Child&gt;'!B:B)</f>
        <v>모건</v>
      </c>
      <c r="D284" s="17" t="str">
        <f t="shared" si="91"/>
        <v>character_gradeup_10000283_1</v>
      </c>
      <c r="E284" s="17" t="s">
        <v>923</v>
      </c>
      <c r="F284" s="17">
        <f t="shared" si="92"/>
        <v>30030283</v>
      </c>
      <c r="G284" s="17">
        <f>VLOOKUP($R284, '#등급업 재료 개수'!$A$2:$K$5, MATCH(GradeUp!H284, '#등급업 재료 개수'!$A$2:$K$2, 0), FALSE)</f>
        <v>1</v>
      </c>
      <c r="H284" s="17">
        <v>1</v>
      </c>
      <c r="I284" s="17">
        <v>10</v>
      </c>
      <c r="J284" s="17">
        <v>0</v>
      </c>
      <c r="K284" s="17">
        <v>0</v>
      </c>
      <c r="L284" s="17" t="s">
        <v>917</v>
      </c>
      <c r="M284" s="17">
        <v>0</v>
      </c>
      <c r="N284" s="17" t="s">
        <v>918</v>
      </c>
      <c r="O284" s="17">
        <v>0</v>
      </c>
      <c r="P284" s="17" t="s">
        <v>919</v>
      </c>
      <c r="Q284" s="17">
        <v>0</v>
      </c>
      <c r="R284">
        <f>_xlfn.XLOOKUP($B284, 'Detail&lt;Child&gt;'!$A:$A, 'Detail&lt;Child&gt;'!$L:$L)</f>
        <v>3</v>
      </c>
    </row>
    <row r="285" spans="1:18" x14ac:dyDescent="0.3">
      <c r="A285" s="17">
        <f t="shared" si="90"/>
        <v>1000028302</v>
      </c>
      <c r="B285" s="17">
        <v>10000283</v>
      </c>
      <c r="C285" s="17" t="str">
        <f>_xlfn.XLOOKUP(B285,'Detail&lt;Child&gt;'!A:A,'Detail&lt;Child&gt;'!B:B)</f>
        <v>모건</v>
      </c>
      <c r="D285" s="17" t="str">
        <f t="shared" si="91"/>
        <v>character_gradeup_10000283_2</v>
      </c>
      <c r="E285" s="17" t="s">
        <v>923</v>
      </c>
      <c r="F285" s="17">
        <f t="shared" si="92"/>
        <v>30030283</v>
      </c>
      <c r="G285" s="17">
        <f>VLOOKUP($R285, '#등급업 재료 개수'!$A$2:$K$5, MATCH(GradeUp!H285, '#등급업 재료 개수'!$A$2:$K$2, 0), FALSE)</f>
        <v>1</v>
      </c>
      <c r="H285" s="17">
        <v>2</v>
      </c>
      <c r="I285" s="17">
        <v>20</v>
      </c>
      <c r="J285" s="17" t="s">
        <v>30</v>
      </c>
      <c r="K285" s="17">
        <f>_xlfn.IFNA(VLOOKUP($B285, 'Detail&lt;Child&gt;'!$A:$AT, MATCH(J285, 'Detail&lt;Child&gt;'!$3:$3,0 ), FALSE)+INT($H285/12), 0)</f>
        <v>23028301</v>
      </c>
      <c r="L285" s="17" t="s">
        <v>917</v>
      </c>
      <c r="M285" s="17">
        <v>0</v>
      </c>
      <c r="N285" s="17" t="s">
        <v>918</v>
      </c>
      <c r="O285" s="17">
        <v>0</v>
      </c>
      <c r="P285" s="17" t="s">
        <v>919</v>
      </c>
      <c r="Q285" s="17">
        <v>0</v>
      </c>
      <c r="R285">
        <f>_xlfn.XLOOKUP($B285, 'Detail&lt;Child&gt;'!$A:$A, 'Detail&lt;Child&gt;'!$L:$L)</f>
        <v>3</v>
      </c>
    </row>
    <row r="286" spans="1:18" x14ac:dyDescent="0.3">
      <c r="A286" s="17">
        <f t="shared" si="90"/>
        <v>1000028303</v>
      </c>
      <c r="B286" s="17">
        <v>10000283</v>
      </c>
      <c r="C286" s="17" t="str">
        <f>_xlfn.XLOOKUP(B286,'Detail&lt;Child&gt;'!A:A,'Detail&lt;Child&gt;'!B:B)</f>
        <v>모건</v>
      </c>
      <c r="D286" s="17" t="str">
        <f t="shared" si="91"/>
        <v>character_gradeup_10000283_3</v>
      </c>
      <c r="E286" s="17" t="s">
        <v>923</v>
      </c>
      <c r="F286" s="17">
        <f t="shared" si="92"/>
        <v>30030283</v>
      </c>
      <c r="G286" s="17">
        <f>VLOOKUP($R286, '#등급업 재료 개수'!$A$2:$K$5, MATCH(GradeUp!H286, '#등급업 재료 개수'!$A$2:$K$2, 0), FALSE)</f>
        <v>1</v>
      </c>
      <c r="H286" s="17">
        <v>3</v>
      </c>
      <c r="I286" s="17">
        <v>30</v>
      </c>
      <c r="J286" s="17">
        <v>0</v>
      </c>
      <c r="K286" s="17">
        <v>0</v>
      </c>
      <c r="L286" s="17" t="s">
        <v>917</v>
      </c>
      <c r="M286" s="17">
        <v>10000</v>
      </c>
      <c r="N286" s="17" t="s">
        <v>918</v>
      </c>
      <c r="O286" s="17">
        <v>10000</v>
      </c>
      <c r="P286" s="17" t="s">
        <v>919</v>
      </c>
      <c r="Q286" s="17">
        <v>10000</v>
      </c>
      <c r="R286">
        <f>_xlfn.XLOOKUP($B286, 'Detail&lt;Child&gt;'!$A:$A, 'Detail&lt;Child&gt;'!$L:$L)</f>
        <v>3</v>
      </c>
    </row>
    <row r="287" spans="1:18" x14ac:dyDescent="0.3">
      <c r="A287" s="17">
        <f t="shared" si="90"/>
        <v>1000028304</v>
      </c>
      <c r="B287" s="17">
        <v>10000283</v>
      </c>
      <c r="C287" s="17" t="str">
        <f>_xlfn.XLOOKUP(B287,'Detail&lt;Child&gt;'!A:A,'Detail&lt;Child&gt;'!B:B)</f>
        <v>모건</v>
      </c>
      <c r="D287" s="17" t="str">
        <f t="shared" si="91"/>
        <v>character_gradeup_10000283_4</v>
      </c>
      <c r="E287" s="17" t="s">
        <v>923</v>
      </c>
      <c r="F287" s="17">
        <f t="shared" si="92"/>
        <v>30030283</v>
      </c>
      <c r="G287" s="17">
        <f>VLOOKUP($R287, '#등급업 재료 개수'!$A$2:$K$5, MATCH(GradeUp!H287, '#등급업 재료 개수'!$A$2:$K$2, 0), FALSE)</f>
        <v>2</v>
      </c>
      <c r="H287" s="17">
        <v>4</v>
      </c>
      <c r="I287" s="17">
        <v>40</v>
      </c>
      <c r="J287" s="17" t="s">
        <v>32</v>
      </c>
      <c r="K287" s="17">
        <f>_xlfn.IFNA(VLOOKUP($B287, 'Detail&lt;Child&gt;'!$A:$AT, MATCH(J287, 'Detail&lt;Child&gt;'!$3:$3,0 ), FALSE)+INT($H287/12), 0)</f>
        <v>43028301</v>
      </c>
      <c r="L287" s="17" t="s">
        <v>917</v>
      </c>
      <c r="M287" s="17">
        <f t="shared" ref="M287:M293" si="99">M286+10000</f>
        <v>20000</v>
      </c>
      <c r="N287" s="17" t="s">
        <v>918</v>
      </c>
      <c r="O287" s="17">
        <f t="shared" ref="O287:O293" si="100">O286+10000</f>
        <v>20000</v>
      </c>
      <c r="P287" s="17" t="s">
        <v>919</v>
      </c>
      <c r="Q287" s="17">
        <f t="shared" ref="Q287:Q293" si="101">Q286+10000</f>
        <v>20000</v>
      </c>
      <c r="R287">
        <f>_xlfn.XLOOKUP($B287, 'Detail&lt;Child&gt;'!$A:$A, 'Detail&lt;Child&gt;'!$L:$L)</f>
        <v>3</v>
      </c>
    </row>
    <row r="288" spans="1:18" x14ac:dyDescent="0.3">
      <c r="A288" s="17">
        <f t="shared" si="90"/>
        <v>1000028305</v>
      </c>
      <c r="B288" s="17">
        <v>10000283</v>
      </c>
      <c r="C288" s="17" t="str">
        <f>_xlfn.XLOOKUP(B288,'Detail&lt;Child&gt;'!A:A,'Detail&lt;Child&gt;'!B:B)</f>
        <v>모건</v>
      </c>
      <c r="D288" s="17" t="str">
        <f t="shared" si="91"/>
        <v>character_gradeup_10000283_5</v>
      </c>
      <c r="E288" s="17" t="s">
        <v>923</v>
      </c>
      <c r="F288" s="17">
        <f t="shared" si="92"/>
        <v>30030283</v>
      </c>
      <c r="G288" s="17">
        <f>VLOOKUP($R288, '#등급업 재료 개수'!$A$2:$K$5, MATCH(GradeUp!H288, '#등급업 재료 개수'!$A$2:$K$2, 0), FALSE)</f>
        <v>4</v>
      </c>
      <c r="H288" s="17">
        <v>5</v>
      </c>
      <c r="I288" s="17">
        <v>50</v>
      </c>
      <c r="J288" s="17" t="s">
        <v>30</v>
      </c>
      <c r="K288" s="17">
        <f>_xlfn.IFNA(VLOOKUP($B288, 'Detail&lt;Child&gt;'!$A:$AT, MATCH(J288, 'Detail&lt;Child&gt;'!$3:$3,0 ), FALSE)+INT($H288/12), 0)+1</f>
        <v>23028302</v>
      </c>
      <c r="L288" s="17" t="s">
        <v>917</v>
      </c>
      <c r="M288" s="17">
        <f t="shared" si="99"/>
        <v>30000</v>
      </c>
      <c r="N288" s="17" t="s">
        <v>918</v>
      </c>
      <c r="O288" s="17">
        <f t="shared" si="100"/>
        <v>30000</v>
      </c>
      <c r="P288" s="17" t="s">
        <v>919</v>
      </c>
      <c r="Q288" s="17">
        <f t="shared" si="101"/>
        <v>30000</v>
      </c>
      <c r="R288">
        <f>_xlfn.XLOOKUP($B288, 'Detail&lt;Child&gt;'!$A:$A, 'Detail&lt;Child&gt;'!$L:$L)</f>
        <v>3</v>
      </c>
    </row>
    <row r="289" spans="1:18" x14ac:dyDescent="0.3">
      <c r="A289" s="17">
        <f t="shared" si="90"/>
        <v>1000028306</v>
      </c>
      <c r="B289" s="17">
        <v>10000283</v>
      </c>
      <c r="C289" s="17" t="str">
        <f>_xlfn.XLOOKUP(B289,'Detail&lt;Child&gt;'!A:A,'Detail&lt;Child&gt;'!B:B)</f>
        <v>모건</v>
      </c>
      <c r="D289" s="17" t="str">
        <f t="shared" si="91"/>
        <v>character_gradeup_10000283_6</v>
      </c>
      <c r="E289" s="17" t="s">
        <v>923</v>
      </c>
      <c r="F289" s="17">
        <f t="shared" si="92"/>
        <v>30030283</v>
      </c>
      <c r="G289" s="17">
        <f>VLOOKUP($R289, '#등급업 재료 개수'!$A$2:$K$5, MATCH(GradeUp!H289, '#등급업 재료 개수'!$A$2:$K$2, 0), FALSE)</f>
        <v>6</v>
      </c>
      <c r="H289" s="17">
        <v>6</v>
      </c>
      <c r="I289" s="17">
        <v>60</v>
      </c>
      <c r="J289" s="17">
        <v>0</v>
      </c>
      <c r="K289" s="17">
        <v>0</v>
      </c>
      <c r="L289" s="17" t="s">
        <v>917</v>
      </c>
      <c r="M289" s="17">
        <f t="shared" si="99"/>
        <v>40000</v>
      </c>
      <c r="N289" s="17" t="s">
        <v>918</v>
      </c>
      <c r="O289" s="17">
        <f t="shared" si="100"/>
        <v>40000</v>
      </c>
      <c r="P289" s="17" t="s">
        <v>919</v>
      </c>
      <c r="Q289" s="17">
        <f t="shared" si="101"/>
        <v>40000</v>
      </c>
      <c r="R289">
        <f>_xlfn.XLOOKUP($B289, 'Detail&lt;Child&gt;'!$A:$A, 'Detail&lt;Child&gt;'!$L:$L)</f>
        <v>3</v>
      </c>
    </row>
    <row r="290" spans="1:18" x14ac:dyDescent="0.3">
      <c r="A290" s="17">
        <f t="shared" si="90"/>
        <v>1000028307</v>
      </c>
      <c r="B290" s="17">
        <v>10000283</v>
      </c>
      <c r="C290" s="17" t="str">
        <f>_xlfn.XLOOKUP(B290,'Detail&lt;Child&gt;'!A:A,'Detail&lt;Child&gt;'!B:B)</f>
        <v>모건</v>
      </c>
      <c r="D290" s="17" t="str">
        <f t="shared" si="91"/>
        <v>character_gradeup_10000283_7</v>
      </c>
      <c r="E290" s="17" t="s">
        <v>923</v>
      </c>
      <c r="F290" s="17">
        <f t="shared" si="92"/>
        <v>30030283</v>
      </c>
      <c r="G290" s="17">
        <f>VLOOKUP($R290, '#등급업 재료 개수'!$A$2:$K$5, MATCH(GradeUp!H290, '#등급업 재료 개수'!$A$2:$K$2, 0), FALSE)</f>
        <v>8</v>
      </c>
      <c r="H290" s="17">
        <v>7</v>
      </c>
      <c r="I290" s="17">
        <v>70</v>
      </c>
      <c r="J290" s="17" t="s">
        <v>32</v>
      </c>
      <c r="K290" s="17">
        <f>_xlfn.IFNA(VLOOKUP($B290, 'Detail&lt;Child&gt;'!$A:$AT, MATCH(J290, 'Detail&lt;Child&gt;'!$3:$3,0 ), FALSE)+INT($H290/12), 0)+1</f>
        <v>43028302</v>
      </c>
      <c r="L290" s="17" t="s">
        <v>917</v>
      </c>
      <c r="M290" s="17">
        <f t="shared" si="99"/>
        <v>50000</v>
      </c>
      <c r="N290" s="17" t="s">
        <v>918</v>
      </c>
      <c r="O290" s="17">
        <f t="shared" si="100"/>
        <v>50000</v>
      </c>
      <c r="P290" s="17" t="s">
        <v>919</v>
      </c>
      <c r="Q290" s="17">
        <f t="shared" si="101"/>
        <v>50000</v>
      </c>
      <c r="R290">
        <f>_xlfn.XLOOKUP($B290, 'Detail&lt;Child&gt;'!$A:$A, 'Detail&lt;Child&gt;'!$L:$L)</f>
        <v>3</v>
      </c>
    </row>
    <row r="291" spans="1:18" x14ac:dyDescent="0.3">
      <c r="A291" s="17">
        <f t="shared" si="90"/>
        <v>1000028308</v>
      </c>
      <c r="B291" s="17">
        <v>10000283</v>
      </c>
      <c r="C291" s="17" t="str">
        <f>_xlfn.XLOOKUP(B291,'Detail&lt;Child&gt;'!A:A,'Detail&lt;Child&gt;'!B:B)</f>
        <v>모건</v>
      </c>
      <c r="D291" s="17" t="str">
        <f t="shared" si="91"/>
        <v>character_gradeup_10000283_8</v>
      </c>
      <c r="E291" s="17" t="s">
        <v>923</v>
      </c>
      <c r="F291" s="17">
        <f t="shared" si="92"/>
        <v>30030283</v>
      </c>
      <c r="G291" s="17">
        <f>VLOOKUP($R291, '#등급업 재료 개수'!$A$2:$K$5, MATCH(GradeUp!H291, '#등급업 재료 개수'!$A$2:$K$2, 0), FALSE)</f>
        <v>10</v>
      </c>
      <c r="H291" s="17">
        <v>8</v>
      </c>
      <c r="I291" s="17">
        <v>80</v>
      </c>
      <c r="J291" s="17">
        <v>0</v>
      </c>
      <c r="K291" s="17">
        <v>0</v>
      </c>
      <c r="L291" s="17" t="s">
        <v>917</v>
      </c>
      <c r="M291" s="17">
        <f t="shared" si="99"/>
        <v>60000</v>
      </c>
      <c r="N291" s="17" t="s">
        <v>918</v>
      </c>
      <c r="O291" s="17">
        <f t="shared" si="100"/>
        <v>60000</v>
      </c>
      <c r="P291" s="17" t="s">
        <v>919</v>
      </c>
      <c r="Q291" s="17">
        <f t="shared" si="101"/>
        <v>60000</v>
      </c>
      <c r="R291">
        <f>_xlfn.XLOOKUP($B291, 'Detail&lt;Child&gt;'!$A:$A, 'Detail&lt;Child&gt;'!$L:$L)</f>
        <v>3</v>
      </c>
    </row>
    <row r="292" spans="1:18" x14ac:dyDescent="0.3">
      <c r="A292" s="17">
        <f t="shared" si="90"/>
        <v>1000028309</v>
      </c>
      <c r="B292" s="17">
        <v>10000283</v>
      </c>
      <c r="C292" s="17" t="str">
        <f>_xlfn.XLOOKUP(B292,'Detail&lt;Child&gt;'!A:A,'Detail&lt;Child&gt;'!B:B)</f>
        <v>모건</v>
      </c>
      <c r="D292" s="17" t="str">
        <f t="shared" si="91"/>
        <v>character_gradeup_10000283_9</v>
      </c>
      <c r="E292" s="17" t="s">
        <v>923</v>
      </c>
      <c r="F292" s="17">
        <f t="shared" si="92"/>
        <v>30030283</v>
      </c>
      <c r="G292" s="17">
        <f>VLOOKUP($R292, '#등급업 재료 개수'!$A$2:$K$5, MATCH(GradeUp!H292, '#등급업 재료 개수'!$A$2:$K$2, 0), FALSE)</f>
        <v>12</v>
      </c>
      <c r="H292" s="17">
        <v>9</v>
      </c>
      <c r="I292" s="17">
        <v>90</v>
      </c>
      <c r="J292" s="17" t="s">
        <v>31</v>
      </c>
      <c r="K292" s="17">
        <f>_xlfn.IFNA(VLOOKUP($B292, 'Detail&lt;Child&gt;'!$A:$AT, MATCH(J292, 'Detail&lt;Child&gt;'!$3:$3,0 ), FALSE)+INT($H292/12), 0)+1</f>
        <v>33028302</v>
      </c>
      <c r="L292" s="17" t="s">
        <v>917</v>
      </c>
      <c r="M292" s="17">
        <f t="shared" si="99"/>
        <v>70000</v>
      </c>
      <c r="N292" s="17" t="s">
        <v>918</v>
      </c>
      <c r="O292" s="17">
        <f t="shared" si="100"/>
        <v>70000</v>
      </c>
      <c r="P292" s="17" t="s">
        <v>919</v>
      </c>
      <c r="Q292" s="17">
        <f t="shared" si="101"/>
        <v>70000</v>
      </c>
      <c r="R292">
        <f>_xlfn.XLOOKUP($B292, 'Detail&lt;Child&gt;'!$A:$A, 'Detail&lt;Child&gt;'!$L:$L)</f>
        <v>3</v>
      </c>
    </row>
    <row r="293" spans="1:18" x14ac:dyDescent="0.3">
      <c r="A293" s="17">
        <f t="shared" si="90"/>
        <v>1000028310</v>
      </c>
      <c r="B293" s="17">
        <v>10000283</v>
      </c>
      <c r="C293" s="17" t="str">
        <f>_xlfn.XLOOKUP(B293,'Detail&lt;Child&gt;'!A:A,'Detail&lt;Child&gt;'!B:B)</f>
        <v>모건</v>
      </c>
      <c r="D293" s="17" t="str">
        <f t="shared" si="91"/>
        <v>character_gradeup_10000283_10</v>
      </c>
      <c r="E293" s="17" t="s">
        <v>923</v>
      </c>
      <c r="F293" s="17">
        <f t="shared" si="92"/>
        <v>30030283</v>
      </c>
      <c r="G293" s="17">
        <f>VLOOKUP($R293, '#등급업 재료 개수'!$A$2:$K$5, MATCH(GradeUp!H293, '#등급업 재료 개수'!$A$2:$K$2, 0), FALSE)</f>
        <v>999</v>
      </c>
      <c r="H293" s="17">
        <v>10</v>
      </c>
      <c r="I293" s="17">
        <v>100</v>
      </c>
      <c r="J293" s="17">
        <v>0</v>
      </c>
      <c r="K293" s="17">
        <v>0</v>
      </c>
      <c r="L293" s="17" t="s">
        <v>917</v>
      </c>
      <c r="M293" s="17">
        <f t="shared" si="99"/>
        <v>80000</v>
      </c>
      <c r="N293" s="17" t="s">
        <v>918</v>
      </c>
      <c r="O293" s="17">
        <f t="shared" si="100"/>
        <v>80000</v>
      </c>
      <c r="P293" s="17" t="s">
        <v>919</v>
      </c>
      <c r="Q293" s="17">
        <f t="shared" si="101"/>
        <v>80000</v>
      </c>
      <c r="R293">
        <f>_xlfn.XLOOKUP($B293, 'Detail&lt;Child&gt;'!$A:$A, 'Detail&lt;Child&gt;'!$L:$L)</f>
        <v>3</v>
      </c>
    </row>
    <row r="294" spans="1:18" x14ac:dyDescent="0.3">
      <c r="A294" s="17">
        <f t="shared" si="90"/>
        <v>1000040001</v>
      </c>
      <c r="B294" s="17">
        <v>10000400</v>
      </c>
      <c r="C294" s="17" t="str">
        <f>_xlfn.XLOOKUP(B294,'Detail&lt;Child&gt;'!A:A,'Detail&lt;Child&gt;'!B:B)</f>
        <v>반시</v>
      </c>
      <c r="D294" s="17" t="str">
        <f t="shared" si="91"/>
        <v>character_gradeup_10000400_1</v>
      </c>
      <c r="E294" s="17" t="s">
        <v>923</v>
      </c>
      <c r="F294" s="17">
        <f t="shared" si="92"/>
        <v>30030400</v>
      </c>
      <c r="G294" s="17">
        <f>VLOOKUP($R294, '#등급업 재료 개수'!$A$2:$K$5, MATCH(GradeUp!H294, '#등급업 재료 개수'!$A$2:$K$2, 0), FALSE)</f>
        <v>1</v>
      </c>
      <c r="H294" s="17">
        <v>1</v>
      </c>
      <c r="I294" s="17">
        <v>10</v>
      </c>
      <c r="J294" s="17">
        <v>0</v>
      </c>
      <c r="K294" s="17">
        <v>0</v>
      </c>
      <c r="L294" s="17" t="s">
        <v>917</v>
      </c>
      <c r="M294" s="17">
        <v>0</v>
      </c>
      <c r="N294" s="17" t="s">
        <v>918</v>
      </c>
      <c r="O294" s="17">
        <v>0</v>
      </c>
      <c r="P294" s="17" t="s">
        <v>919</v>
      </c>
      <c r="Q294" s="17">
        <v>0</v>
      </c>
      <c r="R294">
        <f>_xlfn.XLOOKUP($B294, 'Detail&lt;Child&gt;'!$A:$A, 'Detail&lt;Child&gt;'!$L:$L)</f>
        <v>3</v>
      </c>
    </row>
    <row r="295" spans="1:18" x14ac:dyDescent="0.3">
      <c r="A295" s="17">
        <f t="shared" si="90"/>
        <v>1000040002</v>
      </c>
      <c r="B295" s="17">
        <v>10000400</v>
      </c>
      <c r="C295" s="17" t="str">
        <f>_xlfn.XLOOKUP(B295,'Detail&lt;Child&gt;'!A:A,'Detail&lt;Child&gt;'!B:B)</f>
        <v>반시</v>
      </c>
      <c r="D295" s="17" t="str">
        <f t="shared" si="91"/>
        <v>character_gradeup_10000400_2</v>
      </c>
      <c r="E295" s="17" t="s">
        <v>923</v>
      </c>
      <c r="F295" s="17">
        <f t="shared" si="92"/>
        <v>30030400</v>
      </c>
      <c r="G295" s="17">
        <f>VLOOKUP($R295, '#등급업 재료 개수'!$A$2:$K$5, MATCH(GradeUp!H295, '#등급업 재료 개수'!$A$2:$K$2, 0), FALSE)</f>
        <v>1</v>
      </c>
      <c r="H295" s="17">
        <v>2</v>
      </c>
      <c r="I295" s="17">
        <v>20</v>
      </c>
      <c r="J295" s="17" t="s">
        <v>30</v>
      </c>
      <c r="K295" s="17">
        <f>_xlfn.IFNA(VLOOKUP($B295, 'Detail&lt;Child&gt;'!$A:$AT, MATCH(J295, 'Detail&lt;Child&gt;'!$3:$3,0 ), FALSE)+INT($H295/12), 0)</f>
        <v>23040001</v>
      </c>
      <c r="L295" s="17" t="s">
        <v>917</v>
      </c>
      <c r="M295" s="17">
        <v>0</v>
      </c>
      <c r="N295" s="17" t="s">
        <v>918</v>
      </c>
      <c r="O295" s="17">
        <v>0</v>
      </c>
      <c r="P295" s="17" t="s">
        <v>919</v>
      </c>
      <c r="Q295" s="17">
        <v>0</v>
      </c>
      <c r="R295">
        <f>_xlfn.XLOOKUP($B295, 'Detail&lt;Child&gt;'!$A:$A, 'Detail&lt;Child&gt;'!$L:$L)</f>
        <v>3</v>
      </c>
    </row>
    <row r="296" spans="1:18" x14ac:dyDescent="0.3">
      <c r="A296" s="17">
        <f t="shared" si="90"/>
        <v>1000040003</v>
      </c>
      <c r="B296" s="17">
        <v>10000400</v>
      </c>
      <c r="C296" s="17" t="str">
        <f>_xlfn.XLOOKUP(B296,'Detail&lt;Child&gt;'!A:A,'Detail&lt;Child&gt;'!B:B)</f>
        <v>반시</v>
      </c>
      <c r="D296" s="17" t="str">
        <f t="shared" si="91"/>
        <v>character_gradeup_10000400_3</v>
      </c>
      <c r="E296" s="17" t="s">
        <v>923</v>
      </c>
      <c r="F296" s="17">
        <f t="shared" si="92"/>
        <v>30030400</v>
      </c>
      <c r="G296" s="17">
        <f>VLOOKUP($R296, '#등급업 재료 개수'!$A$2:$K$5, MATCH(GradeUp!H296, '#등급업 재료 개수'!$A$2:$K$2, 0), FALSE)</f>
        <v>1</v>
      </c>
      <c r="H296" s="17">
        <v>3</v>
      </c>
      <c r="I296" s="17">
        <v>30</v>
      </c>
      <c r="J296" s="17">
        <v>0</v>
      </c>
      <c r="K296" s="17">
        <v>0</v>
      </c>
      <c r="L296" s="17" t="s">
        <v>917</v>
      </c>
      <c r="M296" s="17">
        <v>10000</v>
      </c>
      <c r="N296" s="17" t="s">
        <v>918</v>
      </c>
      <c r="O296" s="17">
        <v>10000</v>
      </c>
      <c r="P296" s="17" t="s">
        <v>919</v>
      </c>
      <c r="Q296" s="17">
        <v>10000</v>
      </c>
      <c r="R296">
        <f>_xlfn.XLOOKUP($B296, 'Detail&lt;Child&gt;'!$A:$A, 'Detail&lt;Child&gt;'!$L:$L)</f>
        <v>3</v>
      </c>
    </row>
    <row r="297" spans="1:18" x14ac:dyDescent="0.3">
      <c r="A297" s="17">
        <f t="shared" si="90"/>
        <v>1000040004</v>
      </c>
      <c r="B297" s="17">
        <v>10000400</v>
      </c>
      <c r="C297" s="17" t="str">
        <f>_xlfn.XLOOKUP(B297,'Detail&lt;Child&gt;'!A:A,'Detail&lt;Child&gt;'!B:B)</f>
        <v>반시</v>
      </c>
      <c r="D297" s="17" t="str">
        <f t="shared" si="91"/>
        <v>character_gradeup_10000400_4</v>
      </c>
      <c r="E297" s="17" t="s">
        <v>923</v>
      </c>
      <c r="F297" s="17">
        <f t="shared" si="92"/>
        <v>30030400</v>
      </c>
      <c r="G297" s="17">
        <f>VLOOKUP($R297, '#등급업 재료 개수'!$A$2:$K$5, MATCH(GradeUp!H297, '#등급업 재료 개수'!$A$2:$K$2, 0), FALSE)</f>
        <v>2</v>
      </c>
      <c r="H297" s="17">
        <v>4</v>
      </c>
      <c r="I297" s="17">
        <v>40</v>
      </c>
      <c r="J297" s="17" t="s">
        <v>32</v>
      </c>
      <c r="K297" s="17">
        <f>_xlfn.IFNA(VLOOKUP($B297, 'Detail&lt;Child&gt;'!$A:$AT, MATCH(J297, 'Detail&lt;Child&gt;'!$3:$3,0 ), FALSE)+INT($H297/12), 0)</f>
        <v>43040001</v>
      </c>
      <c r="L297" s="17" t="s">
        <v>917</v>
      </c>
      <c r="M297" s="17">
        <f t="shared" ref="M297:M303" si="102">M296+10000</f>
        <v>20000</v>
      </c>
      <c r="N297" s="17" t="s">
        <v>918</v>
      </c>
      <c r="O297" s="17">
        <f t="shared" ref="O297:O303" si="103">O296+10000</f>
        <v>20000</v>
      </c>
      <c r="P297" s="17" t="s">
        <v>919</v>
      </c>
      <c r="Q297" s="17">
        <f t="shared" ref="Q297:Q303" si="104">Q296+10000</f>
        <v>20000</v>
      </c>
      <c r="R297">
        <f>_xlfn.XLOOKUP($B297, 'Detail&lt;Child&gt;'!$A:$A, 'Detail&lt;Child&gt;'!$L:$L)</f>
        <v>3</v>
      </c>
    </row>
    <row r="298" spans="1:18" x14ac:dyDescent="0.3">
      <c r="A298" s="17">
        <f t="shared" si="90"/>
        <v>1000040005</v>
      </c>
      <c r="B298" s="17">
        <v>10000400</v>
      </c>
      <c r="C298" s="17" t="str">
        <f>_xlfn.XLOOKUP(B298,'Detail&lt;Child&gt;'!A:A,'Detail&lt;Child&gt;'!B:B)</f>
        <v>반시</v>
      </c>
      <c r="D298" s="17" t="str">
        <f t="shared" si="91"/>
        <v>character_gradeup_10000400_5</v>
      </c>
      <c r="E298" s="17" t="s">
        <v>923</v>
      </c>
      <c r="F298" s="17">
        <f t="shared" si="92"/>
        <v>30030400</v>
      </c>
      <c r="G298" s="17">
        <f>VLOOKUP($R298, '#등급업 재료 개수'!$A$2:$K$5, MATCH(GradeUp!H298, '#등급업 재료 개수'!$A$2:$K$2, 0), FALSE)</f>
        <v>4</v>
      </c>
      <c r="H298" s="17">
        <v>5</v>
      </c>
      <c r="I298" s="17">
        <v>50</v>
      </c>
      <c r="J298" s="17" t="s">
        <v>30</v>
      </c>
      <c r="K298" s="17">
        <f>_xlfn.IFNA(VLOOKUP($B298, 'Detail&lt;Child&gt;'!$A:$AT, MATCH(J298, 'Detail&lt;Child&gt;'!$3:$3,0 ), FALSE)+INT($H298/12), 0)+1</f>
        <v>23040002</v>
      </c>
      <c r="L298" s="17" t="s">
        <v>917</v>
      </c>
      <c r="M298" s="17">
        <f t="shared" si="102"/>
        <v>30000</v>
      </c>
      <c r="N298" s="17" t="s">
        <v>918</v>
      </c>
      <c r="O298" s="17">
        <f t="shared" si="103"/>
        <v>30000</v>
      </c>
      <c r="P298" s="17" t="s">
        <v>919</v>
      </c>
      <c r="Q298" s="17">
        <f t="shared" si="104"/>
        <v>30000</v>
      </c>
      <c r="R298">
        <f>_xlfn.XLOOKUP($B298, 'Detail&lt;Child&gt;'!$A:$A, 'Detail&lt;Child&gt;'!$L:$L)</f>
        <v>3</v>
      </c>
    </row>
    <row r="299" spans="1:18" x14ac:dyDescent="0.3">
      <c r="A299" s="17">
        <f t="shared" si="90"/>
        <v>1000040006</v>
      </c>
      <c r="B299" s="17">
        <v>10000400</v>
      </c>
      <c r="C299" s="17" t="str">
        <f>_xlfn.XLOOKUP(B299,'Detail&lt;Child&gt;'!A:A,'Detail&lt;Child&gt;'!B:B)</f>
        <v>반시</v>
      </c>
      <c r="D299" s="17" t="str">
        <f t="shared" si="91"/>
        <v>character_gradeup_10000400_6</v>
      </c>
      <c r="E299" s="17" t="s">
        <v>923</v>
      </c>
      <c r="F299" s="17">
        <f t="shared" si="92"/>
        <v>30030400</v>
      </c>
      <c r="G299" s="17">
        <f>VLOOKUP($R299, '#등급업 재료 개수'!$A$2:$K$5, MATCH(GradeUp!H299, '#등급업 재료 개수'!$A$2:$K$2, 0), FALSE)</f>
        <v>6</v>
      </c>
      <c r="H299" s="17">
        <v>6</v>
      </c>
      <c r="I299" s="17">
        <v>60</v>
      </c>
      <c r="J299" s="17">
        <v>0</v>
      </c>
      <c r="K299" s="17">
        <v>0</v>
      </c>
      <c r="L299" s="17" t="s">
        <v>917</v>
      </c>
      <c r="M299" s="17">
        <f t="shared" si="102"/>
        <v>40000</v>
      </c>
      <c r="N299" s="17" t="s">
        <v>918</v>
      </c>
      <c r="O299" s="17">
        <f t="shared" si="103"/>
        <v>40000</v>
      </c>
      <c r="P299" s="17" t="s">
        <v>919</v>
      </c>
      <c r="Q299" s="17">
        <f t="shared" si="104"/>
        <v>40000</v>
      </c>
      <c r="R299">
        <f>_xlfn.XLOOKUP($B299, 'Detail&lt;Child&gt;'!$A:$A, 'Detail&lt;Child&gt;'!$L:$L)</f>
        <v>3</v>
      </c>
    </row>
    <row r="300" spans="1:18" x14ac:dyDescent="0.3">
      <c r="A300" s="17">
        <f t="shared" si="90"/>
        <v>1000040007</v>
      </c>
      <c r="B300" s="17">
        <v>10000400</v>
      </c>
      <c r="C300" s="17" t="str">
        <f>_xlfn.XLOOKUP(B300,'Detail&lt;Child&gt;'!A:A,'Detail&lt;Child&gt;'!B:B)</f>
        <v>반시</v>
      </c>
      <c r="D300" s="17" t="str">
        <f t="shared" si="91"/>
        <v>character_gradeup_10000400_7</v>
      </c>
      <c r="E300" s="17" t="s">
        <v>923</v>
      </c>
      <c r="F300" s="17">
        <f t="shared" si="92"/>
        <v>30030400</v>
      </c>
      <c r="G300" s="17">
        <f>VLOOKUP($R300, '#등급업 재료 개수'!$A$2:$K$5, MATCH(GradeUp!H300, '#등급업 재료 개수'!$A$2:$K$2, 0), FALSE)</f>
        <v>8</v>
      </c>
      <c r="H300" s="17">
        <v>7</v>
      </c>
      <c r="I300" s="17">
        <v>70</v>
      </c>
      <c r="J300" s="17" t="s">
        <v>32</v>
      </c>
      <c r="K300" s="17">
        <f>_xlfn.IFNA(VLOOKUP($B300, 'Detail&lt;Child&gt;'!$A:$AT, MATCH(J300, 'Detail&lt;Child&gt;'!$3:$3,0 ), FALSE)+INT($H300/12), 0)+1</f>
        <v>43040002</v>
      </c>
      <c r="L300" s="17" t="s">
        <v>917</v>
      </c>
      <c r="M300" s="17">
        <f t="shared" si="102"/>
        <v>50000</v>
      </c>
      <c r="N300" s="17" t="s">
        <v>918</v>
      </c>
      <c r="O300" s="17">
        <f t="shared" si="103"/>
        <v>50000</v>
      </c>
      <c r="P300" s="17" t="s">
        <v>919</v>
      </c>
      <c r="Q300" s="17">
        <f t="shared" si="104"/>
        <v>50000</v>
      </c>
      <c r="R300">
        <f>_xlfn.XLOOKUP($B300, 'Detail&lt;Child&gt;'!$A:$A, 'Detail&lt;Child&gt;'!$L:$L)</f>
        <v>3</v>
      </c>
    </row>
    <row r="301" spans="1:18" x14ac:dyDescent="0.3">
      <c r="A301" s="17">
        <f t="shared" si="90"/>
        <v>1000040008</v>
      </c>
      <c r="B301" s="17">
        <v>10000400</v>
      </c>
      <c r="C301" s="17" t="str">
        <f>_xlfn.XLOOKUP(B301,'Detail&lt;Child&gt;'!A:A,'Detail&lt;Child&gt;'!B:B)</f>
        <v>반시</v>
      </c>
      <c r="D301" s="17" t="str">
        <f t="shared" si="91"/>
        <v>character_gradeup_10000400_8</v>
      </c>
      <c r="E301" s="17" t="s">
        <v>923</v>
      </c>
      <c r="F301" s="17">
        <f t="shared" si="92"/>
        <v>30030400</v>
      </c>
      <c r="G301" s="17">
        <f>VLOOKUP($R301, '#등급업 재료 개수'!$A$2:$K$5, MATCH(GradeUp!H301, '#등급업 재료 개수'!$A$2:$K$2, 0), FALSE)</f>
        <v>10</v>
      </c>
      <c r="H301" s="17">
        <v>8</v>
      </c>
      <c r="I301" s="17">
        <v>80</v>
      </c>
      <c r="J301" s="17">
        <v>0</v>
      </c>
      <c r="K301" s="17">
        <v>0</v>
      </c>
      <c r="L301" s="17" t="s">
        <v>917</v>
      </c>
      <c r="M301" s="17">
        <f t="shared" si="102"/>
        <v>60000</v>
      </c>
      <c r="N301" s="17" t="s">
        <v>918</v>
      </c>
      <c r="O301" s="17">
        <f t="shared" si="103"/>
        <v>60000</v>
      </c>
      <c r="P301" s="17" t="s">
        <v>919</v>
      </c>
      <c r="Q301" s="17">
        <f t="shared" si="104"/>
        <v>60000</v>
      </c>
      <c r="R301">
        <f>_xlfn.XLOOKUP($B301, 'Detail&lt;Child&gt;'!$A:$A, 'Detail&lt;Child&gt;'!$L:$L)</f>
        <v>3</v>
      </c>
    </row>
    <row r="302" spans="1:18" x14ac:dyDescent="0.3">
      <c r="A302" s="17">
        <f t="shared" si="90"/>
        <v>1000040009</v>
      </c>
      <c r="B302" s="17">
        <v>10000400</v>
      </c>
      <c r="C302" s="17" t="str">
        <f>_xlfn.XLOOKUP(B302,'Detail&lt;Child&gt;'!A:A,'Detail&lt;Child&gt;'!B:B)</f>
        <v>반시</v>
      </c>
      <c r="D302" s="17" t="str">
        <f t="shared" si="91"/>
        <v>character_gradeup_10000400_9</v>
      </c>
      <c r="E302" s="17" t="s">
        <v>923</v>
      </c>
      <c r="F302" s="17">
        <f t="shared" si="92"/>
        <v>30030400</v>
      </c>
      <c r="G302" s="17">
        <f>VLOOKUP($R302, '#등급업 재료 개수'!$A$2:$K$5, MATCH(GradeUp!H302, '#등급업 재료 개수'!$A$2:$K$2, 0), FALSE)</f>
        <v>12</v>
      </c>
      <c r="H302" s="17">
        <v>9</v>
      </c>
      <c r="I302" s="17">
        <v>90</v>
      </c>
      <c r="J302" s="17" t="s">
        <v>31</v>
      </c>
      <c r="K302" s="17">
        <f>_xlfn.IFNA(VLOOKUP($B302, 'Detail&lt;Child&gt;'!$A:$AT, MATCH(J302, 'Detail&lt;Child&gt;'!$3:$3,0 ), FALSE)+INT($H302/12), 0)+1</f>
        <v>33040002</v>
      </c>
      <c r="L302" s="17" t="s">
        <v>917</v>
      </c>
      <c r="M302" s="17">
        <f t="shared" si="102"/>
        <v>70000</v>
      </c>
      <c r="N302" s="17" t="s">
        <v>918</v>
      </c>
      <c r="O302" s="17">
        <f t="shared" si="103"/>
        <v>70000</v>
      </c>
      <c r="P302" s="17" t="s">
        <v>919</v>
      </c>
      <c r="Q302" s="17">
        <f t="shared" si="104"/>
        <v>70000</v>
      </c>
      <c r="R302">
        <f>_xlfn.XLOOKUP($B302, 'Detail&lt;Child&gt;'!$A:$A, 'Detail&lt;Child&gt;'!$L:$L)</f>
        <v>3</v>
      </c>
    </row>
    <row r="303" spans="1:18" x14ac:dyDescent="0.3">
      <c r="A303" s="17">
        <f t="shared" si="90"/>
        <v>1000040010</v>
      </c>
      <c r="B303" s="17">
        <v>10000400</v>
      </c>
      <c r="C303" s="17" t="str">
        <f>_xlfn.XLOOKUP(B303,'Detail&lt;Child&gt;'!A:A,'Detail&lt;Child&gt;'!B:B)</f>
        <v>반시</v>
      </c>
      <c r="D303" s="17" t="str">
        <f t="shared" si="91"/>
        <v>character_gradeup_10000400_10</v>
      </c>
      <c r="E303" s="17" t="s">
        <v>923</v>
      </c>
      <c r="F303" s="17">
        <f t="shared" si="92"/>
        <v>30030400</v>
      </c>
      <c r="G303" s="17">
        <f>VLOOKUP($R303, '#등급업 재료 개수'!$A$2:$K$5, MATCH(GradeUp!H303, '#등급업 재료 개수'!$A$2:$K$2, 0), FALSE)</f>
        <v>999</v>
      </c>
      <c r="H303" s="17">
        <v>10</v>
      </c>
      <c r="I303" s="17">
        <v>100</v>
      </c>
      <c r="J303" s="17">
        <v>0</v>
      </c>
      <c r="K303" s="17">
        <v>0</v>
      </c>
      <c r="L303" s="17" t="s">
        <v>917</v>
      </c>
      <c r="M303" s="17">
        <f t="shared" si="102"/>
        <v>80000</v>
      </c>
      <c r="N303" s="17" t="s">
        <v>918</v>
      </c>
      <c r="O303" s="17">
        <f t="shared" si="103"/>
        <v>80000</v>
      </c>
      <c r="P303" s="17" t="s">
        <v>919</v>
      </c>
      <c r="Q303" s="17">
        <f t="shared" si="104"/>
        <v>80000</v>
      </c>
      <c r="R303">
        <f>_xlfn.XLOOKUP($B303, 'Detail&lt;Child&gt;'!$A:$A, 'Detail&lt;Child&gt;'!$L:$L)</f>
        <v>3</v>
      </c>
    </row>
    <row r="304" spans="1:18" x14ac:dyDescent="0.3">
      <c r="A304" s="17">
        <f t="shared" si="90"/>
        <v>1000044701</v>
      </c>
      <c r="B304" s="17">
        <v>10000447</v>
      </c>
      <c r="C304" s="17" t="str">
        <f>_xlfn.XLOOKUP(B304,'Detail&lt;Child&gt;'!A:A,'Detail&lt;Child&gt;'!B:B)</f>
        <v>미리암</v>
      </c>
      <c r="D304" s="17" t="str">
        <f t="shared" si="91"/>
        <v>character_gradeup_10000447_1</v>
      </c>
      <c r="E304" s="17" t="s">
        <v>923</v>
      </c>
      <c r="F304" s="17">
        <f t="shared" si="92"/>
        <v>30030447</v>
      </c>
      <c r="G304" s="17">
        <f>VLOOKUP($R304, '#등급업 재료 개수'!$A$2:$K$5, MATCH(GradeUp!H304, '#등급업 재료 개수'!$A$2:$K$2, 0), FALSE)</f>
        <v>1</v>
      </c>
      <c r="H304" s="17">
        <v>1</v>
      </c>
      <c r="I304" s="17">
        <v>10</v>
      </c>
      <c r="J304" s="17">
        <v>0</v>
      </c>
      <c r="K304" s="17">
        <v>0</v>
      </c>
      <c r="L304" s="17" t="s">
        <v>917</v>
      </c>
      <c r="M304" s="17">
        <v>0</v>
      </c>
      <c r="N304" s="17" t="s">
        <v>918</v>
      </c>
      <c r="O304" s="17">
        <v>0</v>
      </c>
      <c r="P304" s="17" t="s">
        <v>919</v>
      </c>
      <c r="Q304" s="17">
        <v>0</v>
      </c>
      <c r="R304">
        <f>_xlfn.XLOOKUP($B304, 'Detail&lt;Child&gt;'!$A:$A, 'Detail&lt;Child&gt;'!$L:$L)</f>
        <v>3</v>
      </c>
    </row>
    <row r="305" spans="1:18" x14ac:dyDescent="0.3">
      <c r="A305" s="17">
        <f t="shared" si="90"/>
        <v>1000044702</v>
      </c>
      <c r="B305" s="17">
        <v>10000447</v>
      </c>
      <c r="C305" s="17" t="str">
        <f>_xlfn.XLOOKUP(B305,'Detail&lt;Child&gt;'!A:A,'Detail&lt;Child&gt;'!B:B)</f>
        <v>미리암</v>
      </c>
      <c r="D305" s="17" t="str">
        <f t="shared" si="91"/>
        <v>character_gradeup_10000447_2</v>
      </c>
      <c r="E305" s="17" t="s">
        <v>923</v>
      </c>
      <c r="F305" s="17">
        <f t="shared" si="92"/>
        <v>30030447</v>
      </c>
      <c r="G305" s="17">
        <f>VLOOKUP($R305, '#등급업 재료 개수'!$A$2:$K$5, MATCH(GradeUp!H305, '#등급업 재료 개수'!$A$2:$K$2, 0), FALSE)</f>
        <v>1</v>
      </c>
      <c r="H305" s="17">
        <v>2</v>
      </c>
      <c r="I305" s="17">
        <v>20</v>
      </c>
      <c r="J305" s="17" t="s">
        <v>30</v>
      </c>
      <c r="K305" s="17">
        <f>_xlfn.IFNA(VLOOKUP($B305, 'Detail&lt;Child&gt;'!$A:$AT, MATCH(J305, 'Detail&lt;Child&gt;'!$3:$3,0 ), FALSE)+INT($H305/12), 0)</f>
        <v>23044701</v>
      </c>
      <c r="L305" s="17" t="s">
        <v>917</v>
      </c>
      <c r="M305" s="17">
        <v>0</v>
      </c>
      <c r="N305" s="17" t="s">
        <v>918</v>
      </c>
      <c r="O305" s="17">
        <v>0</v>
      </c>
      <c r="P305" s="17" t="s">
        <v>919</v>
      </c>
      <c r="Q305" s="17">
        <v>0</v>
      </c>
      <c r="R305">
        <f>_xlfn.XLOOKUP($B305, 'Detail&lt;Child&gt;'!$A:$A, 'Detail&lt;Child&gt;'!$L:$L)</f>
        <v>3</v>
      </c>
    </row>
    <row r="306" spans="1:18" x14ac:dyDescent="0.3">
      <c r="A306" s="17">
        <f t="shared" si="90"/>
        <v>1000044703</v>
      </c>
      <c r="B306" s="17">
        <v>10000447</v>
      </c>
      <c r="C306" s="17" t="str">
        <f>_xlfn.XLOOKUP(B306,'Detail&lt;Child&gt;'!A:A,'Detail&lt;Child&gt;'!B:B)</f>
        <v>미리암</v>
      </c>
      <c r="D306" s="17" t="str">
        <f t="shared" si="91"/>
        <v>character_gradeup_10000447_3</v>
      </c>
      <c r="E306" s="17" t="s">
        <v>923</v>
      </c>
      <c r="F306" s="17">
        <f t="shared" si="92"/>
        <v>30030447</v>
      </c>
      <c r="G306" s="17">
        <f>VLOOKUP($R306, '#등급업 재료 개수'!$A$2:$K$5, MATCH(GradeUp!H306, '#등급업 재료 개수'!$A$2:$K$2, 0), FALSE)</f>
        <v>1</v>
      </c>
      <c r="H306" s="17">
        <v>3</v>
      </c>
      <c r="I306" s="17">
        <v>30</v>
      </c>
      <c r="J306" s="17">
        <v>0</v>
      </c>
      <c r="K306" s="17">
        <v>0</v>
      </c>
      <c r="L306" s="17" t="s">
        <v>917</v>
      </c>
      <c r="M306" s="17">
        <v>10000</v>
      </c>
      <c r="N306" s="17" t="s">
        <v>918</v>
      </c>
      <c r="O306" s="17">
        <v>10000</v>
      </c>
      <c r="P306" s="17" t="s">
        <v>919</v>
      </c>
      <c r="Q306" s="17">
        <v>10000</v>
      </c>
      <c r="R306">
        <f>_xlfn.XLOOKUP($B306, 'Detail&lt;Child&gt;'!$A:$A, 'Detail&lt;Child&gt;'!$L:$L)</f>
        <v>3</v>
      </c>
    </row>
    <row r="307" spans="1:18" x14ac:dyDescent="0.3">
      <c r="A307" s="17">
        <f t="shared" si="90"/>
        <v>1000044704</v>
      </c>
      <c r="B307" s="17">
        <v>10000447</v>
      </c>
      <c r="C307" s="17" t="str">
        <f>_xlfn.XLOOKUP(B307,'Detail&lt;Child&gt;'!A:A,'Detail&lt;Child&gt;'!B:B)</f>
        <v>미리암</v>
      </c>
      <c r="D307" s="17" t="str">
        <f t="shared" si="91"/>
        <v>character_gradeup_10000447_4</v>
      </c>
      <c r="E307" s="17" t="s">
        <v>923</v>
      </c>
      <c r="F307" s="17">
        <f t="shared" si="92"/>
        <v>30030447</v>
      </c>
      <c r="G307" s="17">
        <f>VLOOKUP($R307, '#등급업 재료 개수'!$A$2:$K$5, MATCH(GradeUp!H307, '#등급업 재료 개수'!$A$2:$K$2, 0), FALSE)</f>
        <v>2</v>
      </c>
      <c r="H307" s="17">
        <v>4</v>
      </c>
      <c r="I307" s="17">
        <v>40</v>
      </c>
      <c r="J307" s="17" t="s">
        <v>32</v>
      </c>
      <c r="K307" s="17">
        <f>_xlfn.IFNA(VLOOKUP($B307, 'Detail&lt;Child&gt;'!$A:$AT, MATCH(J307, 'Detail&lt;Child&gt;'!$3:$3,0 ), FALSE)+INT($H307/12), 0)</f>
        <v>43044701</v>
      </c>
      <c r="L307" s="17" t="s">
        <v>917</v>
      </c>
      <c r="M307" s="17">
        <f t="shared" ref="M307:M313" si="105">M306+10000</f>
        <v>20000</v>
      </c>
      <c r="N307" s="17" t="s">
        <v>918</v>
      </c>
      <c r="O307" s="17">
        <f t="shared" ref="O307:O313" si="106">O306+10000</f>
        <v>20000</v>
      </c>
      <c r="P307" s="17" t="s">
        <v>919</v>
      </c>
      <c r="Q307" s="17">
        <f t="shared" ref="Q307:Q313" si="107">Q306+10000</f>
        <v>20000</v>
      </c>
      <c r="R307">
        <f>_xlfn.XLOOKUP($B307, 'Detail&lt;Child&gt;'!$A:$A, 'Detail&lt;Child&gt;'!$L:$L)</f>
        <v>3</v>
      </c>
    </row>
    <row r="308" spans="1:18" x14ac:dyDescent="0.3">
      <c r="A308" s="17">
        <f t="shared" si="90"/>
        <v>1000044705</v>
      </c>
      <c r="B308" s="17">
        <v>10000447</v>
      </c>
      <c r="C308" s="17" t="str">
        <f>_xlfn.XLOOKUP(B308,'Detail&lt;Child&gt;'!A:A,'Detail&lt;Child&gt;'!B:B)</f>
        <v>미리암</v>
      </c>
      <c r="D308" s="17" t="str">
        <f t="shared" si="91"/>
        <v>character_gradeup_10000447_5</v>
      </c>
      <c r="E308" s="17" t="s">
        <v>923</v>
      </c>
      <c r="F308" s="17">
        <f t="shared" si="92"/>
        <v>30030447</v>
      </c>
      <c r="G308" s="17">
        <f>VLOOKUP($R308, '#등급업 재료 개수'!$A$2:$K$5, MATCH(GradeUp!H308, '#등급업 재료 개수'!$A$2:$K$2, 0), FALSE)</f>
        <v>4</v>
      </c>
      <c r="H308" s="17">
        <v>5</v>
      </c>
      <c r="I308" s="17">
        <v>50</v>
      </c>
      <c r="J308" s="17" t="s">
        <v>30</v>
      </c>
      <c r="K308" s="17">
        <f>_xlfn.IFNA(VLOOKUP($B308, 'Detail&lt;Child&gt;'!$A:$AT, MATCH(J308, 'Detail&lt;Child&gt;'!$3:$3,0 ), FALSE)+INT($H308/12), 0)+1</f>
        <v>23044702</v>
      </c>
      <c r="L308" s="17" t="s">
        <v>917</v>
      </c>
      <c r="M308" s="17">
        <f t="shared" si="105"/>
        <v>30000</v>
      </c>
      <c r="N308" s="17" t="s">
        <v>918</v>
      </c>
      <c r="O308" s="17">
        <f t="shared" si="106"/>
        <v>30000</v>
      </c>
      <c r="P308" s="17" t="s">
        <v>919</v>
      </c>
      <c r="Q308" s="17">
        <f t="shared" si="107"/>
        <v>30000</v>
      </c>
      <c r="R308">
        <f>_xlfn.XLOOKUP($B308, 'Detail&lt;Child&gt;'!$A:$A, 'Detail&lt;Child&gt;'!$L:$L)</f>
        <v>3</v>
      </c>
    </row>
    <row r="309" spans="1:18" x14ac:dyDescent="0.3">
      <c r="A309" s="17">
        <f t="shared" si="90"/>
        <v>1000044706</v>
      </c>
      <c r="B309" s="17">
        <v>10000447</v>
      </c>
      <c r="C309" s="17" t="str">
        <f>_xlfn.XLOOKUP(B309,'Detail&lt;Child&gt;'!A:A,'Detail&lt;Child&gt;'!B:B)</f>
        <v>미리암</v>
      </c>
      <c r="D309" s="17" t="str">
        <f t="shared" si="91"/>
        <v>character_gradeup_10000447_6</v>
      </c>
      <c r="E309" s="17" t="s">
        <v>923</v>
      </c>
      <c r="F309" s="17">
        <f t="shared" si="92"/>
        <v>30030447</v>
      </c>
      <c r="G309" s="17">
        <f>VLOOKUP($R309, '#등급업 재료 개수'!$A$2:$K$5, MATCH(GradeUp!H309, '#등급업 재료 개수'!$A$2:$K$2, 0), FALSE)</f>
        <v>6</v>
      </c>
      <c r="H309" s="17">
        <v>6</v>
      </c>
      <c r="I309" s="17">
        <v>60</v>
      </c>
      <c r="J309" s="17">
        <v>0</v>
      </c>
      <c r="K309" s="17">
        <v>0</v>
      </c>
      <c r="L309" s="17" t="s">
        <v>917</v>
      </c>
      <c r="M309" s="17">
        <f t="shared" si="105"/>
        <v>40000</v>
      </c>
      <c r="N309" s="17" t="s">
        <v>918</v>
      </c>
      <c r="O309" s="17">
        <f t="shared" si="106"/>
        <v>40000</v>
      </c>
      <c r="P309" s="17" t="s">
        <v>919</v>
      </c>
      <c r="Q309" s="17">
        <f t="shared" si="107"/>
        <v>40000</v>
      </c>
      <c r="R309">
        <f>_xlfn.XLOOKUP($B309, 'Detail&lt;Child&gt;'!$A:$A, 'Detail&lt;Child&gt;'!$L:$L)</f>
        <v>3</v>
      </c>
    </row>
    <row r="310" spans="1:18" x14ac:dyDescent="0.3">
      <c r="A310" s="17">
        <f t="shared" si="90"/>
        <v>1000044707</v>
      </c>
      <c r="B310" s="17">
        <v>10000447</v>
      </c>
      <c r="C310" s="17" t="str">
        <f>_xlfn.XLOOKUP(B310,'Detail&lt;Child&gt;'!A:A,'Detail&lt;Child&gt;'!B:B)</f>
        <v>미리암</v>
      </c>
      <c r="D310" s="17" t="str">
        <f t="shared" si="91"/>
        <v>character_gradeup_10000447_7</v>
      </c>
      <c r="E310" s="17" t="s">
        <v>923</v>
      </c>
      <c r="F310" s="17">
        <f t="shared" si="92"/>
        <v>30030447</v>
      </c>
      <c r="G310" s="17">
        <f>VLOOKUP($R310, '#등급업 재료 개수'!$A$2:$K$5, MATCH(GradeUp!H310, '#등급업 재료 개수'!$A$2:$K$2, 0), FALSE)</f>
        <v>8</v>
      </c>
      <c r="H310" s="17">
        <v>7</v>
      </c>
      <c r="I310" s="17">
        <v>70</v>
      </c>
      <c r="J310" s="17" t="s">
        <v>32</v>
      </c>
      <c r="K310" s="17">
        <f>_xlfn.IFNA(VLOOKUP($B310, 'Detail&lt;Child&gt;'!$A:$AT, MATCH(J310, 'Detail&lt;Child&gt;'!$3:$3,0 ), FALSE)+INT($H310/12), 0)+1</f>
        <v>43044702</v>
      </c>
      <c r="L310" s="17" t="s">
        <v>917</v>
      </c>
      <c r="M310" s="17">
        <f t="shared" si="105"/>
        <v>50000</v>
      </c>
      <c r="N310" s="17" t="s">
        <v>918</v>
      </c>
      <c r="O310" s="17">
        <f t="shared" si="106"/>
        <v>50000</v>
      </c>
      <c r="P310" s="17" t="s">
        <v>919</v>
      </c>
      <c r="Q310" s="17">
        <f t="shared" si="107"/>
        <v>50000</v>
      </c>
      <c r="R310">
        <f>_xlfn.XLOOKUP($B310, 'Detail&lt;Child&gt;'!$A:$A, 'Detail&lt;Child&gt;'!$L:$L)</f>
        <v>3</v>
      </c>
    </row>
    <row r="311" spans="1:18" x14ac:dyDescent="0.3">
      <c r="A311" s="17">
        <f t="shared" si="90"/>
        <v>1000044708</v>
      </c>
      <c r="B311" s="17">
        <v>10000447</v>
      </c>
      <c r="C311" s="17" t="str">
        <f>_xlfn.XLOOKUP(B311,'Detail&lt;Child&gt;'!A:A,'Detail&lt;Child&gt;'!B:B)</f>
        <v>미리암</v>
      </c>
      <c r="D311" s="17" t="str">
        <f t="shared" si="91"/>
        <v>character_gradeup_10000447_8</v>
      </c>
      <c r="E311" s="17" t="s">
        <v>923</v>
      </c>
      <c r="F311" s="17">
        <f t="shared" si="92"/>
        <v>30030447</v>
      </c>
      <c r="G311" s="17">
        <f>VLOOKUP($R311, '#등급업 재료 개수'!$A$2:$K$5, MATCH(GradeUp!H311, '#등급업 재료 개수'!$A$2:$K$2, 0), FALSE)</f>
        <v>10</v>
      </c>
      <c r="H311" s="17">
        <v>8</v>
      </c>
      <c r="I311" s="17">
        <v>80</v>
      </c>
      <c r="J311" s="17">
        <v>0</v>
      </c>
      <c r="K311" s="17">
        <v>0</v>
      </c>
      <c r="L311" s="17" t="s">
        <v>917</v>
      </c>
      <c r="M311" s="17">
        <f t="shared" si="105"/>
        <v>60000</v>
      </c>
      <c r="N311" s="17" t="s">
        <v>918</v>
      </c>
      <c r="O311" s="17">
        <f t="shared" si="106"/>
        <v>60000</v>
      </c>
      <c r="P311" s="17" t="s">
        <v>919</v>
      </c>
      <c r="Q311" s="17">
        <f t="shared" si="107"/>
        <v>60000</v>
      </c>
      <c r="R311">
        <f>_xlfn.XLOOKUP($B311, 'Detail&lt;Child&gt;'!$A:$A, 'Detail&lt;Child&gt;'!$L:$L)</f>
        <v>3</v>
      </c>
    </row>
    <row r="312" spans="1:18" x14ac:dyDescent="0.3">
      <c r="A312" s="17">
        <f t="shared" si="90"/>
        <v>1000044709</v>
      </c>
      <c r="B312" s="17">
        <v>10000447</v>
      </c>
      <c r="C312" s="17" t="str">
        <f>_xlfn.XLOOKUP(B312,'Detail&lt;Child&gt;'!A:A,'Detail&lt;Child&gt;'!B:B)</f>
        <v>미리암</v>
      </c>
      <c r="D312" s="17" t="str">
        <f t="shared" si="91"/>
        <v>character_gradeup_10000447_9</v>
      </c>
      <c r="E312" s="17" t="s">
        <v>923</v>
      </c>
      <c r="F312" s="17">
        <f t="shared" si="92"/>
        <v>30030447</v>
      </c>
      <c r="G312" s="17">
        <f>VLOOKUP($R312, '#등급업 재료 개수'!$A$2:$K$5, MATCH(GradeUp!H312, '#등급업 재료 개수'!$A$2:$K$2, 0), FALSE)</f>
        <v>12</v>
      </c>
      <c r="H312" s="17">
        <v>9</v>
      </c>
      <c r="I312" s="17">
        <v>90</v>
      </c>
      <c r="J312" s="17" t="s">
        <v>31</v>
      </c>
      <c r="K312" s="17">
        <f>_xlfn.IFNA(VLOOKUP($B312, 'Detail&lt;Child&gt;'!$A:$AT, MATCH(J312, 'Detail&lt;Child&gt;'!$3:$3,0 ), FALSE)+INT($H312/12), 0)+1</f>
        <v>33044702</v>
      </c>
      <c r="L312" s="17" t="s">
        <v>917</v>
      </c>
      <c r="M312" s="17">
        <f t="shared" si="105"/>
        <v>70000</v>
      </c>
      <c r="N312" s="17" t="s">
        <v>918</v>
      </c>
      <c r="O312" s="17">
        <f t="shared" si="106"/>
        <v>70000</v>
      </c>
      <c r="P312" s="17" t="s">
        <v>919</v>
      </c>
      <c r="Q312" s="17">
        <f t="shared" si="107"/>
        <v>70000</v>
      </c>
      <c r="R312">
        <f>_xlfn.XLOOKUP($B312, 'Detail&lt;Child&gt;'!$A:$A, 'Detail&lt;Child&gt;'!$L:$L)</f>
        <v>3</v>
      </c>
    </row>
    <row r="313" spans="1:18" x14ac:dyDescent="0.3">
      <c r="A313" s="17">
        <f t="shared" si="90"/>
        <v>1000044710</v>
      </c>
      <c r="B313" s="17">
        <v>10000447</v>
      </c>
      <c r="C313" s="17" t="str">
        <f>_xlfn.XLOOKUP(B313,'Detail&lt;Child&gt;'!A:A,'Detail&lt;Child&gt;'!B:B)</f>
        <v>미리암</v>
      </c>
      <c r="D313" s="17" t="str">
        <f t="shared" si="91"/>
        <v>character_gradeup_10000447_10</v>
      </c>
      <c r="E313" s="17" t="s">
        <v>923</v>
      </c>
      <c r="F313" s="17">
        <f t="shared" si="92"/>
        <v>30030447</v>
      </c>
      <c r="G313" s="17">
        <f>VLOOKUP($R313, '#등급업 재료 개수'!$A$2:$K$5, MATCH(GradeUp!H313, '#등급업 재료 개수'!$A$2:$K$2, 0), FALSE)</f>
        <v>999</v>
      </c>
      <c r="H313" s="17">
        <v>10</v>
      </c>
      <c r="I313" s="17">
        <v>100</v>
      </c>
      <c r="J313" s="17">
        <v>0</v>
      </c>
      <c r="K313" s="17">
        <v>0</v>
      </c>
      <c r="L313" s="17" t="s">
        <v>917</v>
      </c>
      <c r="M313" s="17">
        <f t="shared" si="105"/>
        <v>80000</v>
      </c>
      <c r="N313" s="17" t="s">
        <v>918</v>
      </c>
      <c r="O313" s="17">
        <f t="shared" si="106"/>
        <v>80000</v>
      </c>
      <c r="P313" s="17" t="s">
        <v>919</v>
      </c>
      <c r="Q313" s="17">
        <f t="shared" si="107"/>
        <v>80000</v>
      </c>
      <c r="R313">
        <f>_xlfn.XLOOKUP($B313, 'Detail&lt;Child&gt;'!$A:$A, 'Detail&lt;Child&gt;'!$L:$L)</f>
        <v>3</v>
      </c>
    </row>
    <row r="314" spans="1:18" x14ac:dyDescent="0.3">
      <c r="A314" s="17">
        <f t="shared" si="90"/>
        <v>1000046201</v>
      </c>
      <c r="B314" s="17">
        <v>10000462</v>
      </c>
      <c r="C314" s="17" t="str">
        <f>_xlfn.XLOOKUP(B314,'Detail&lt;Child&gt;'!A:A,'Detail&lt;Child&gt;'!B:B)</f>
        <v>데레사</v>
      </c>
      <c r="D314" s="17" t="str">
        <f t="shared" si="91"/>
        <v>character_gradeup_10000462_1</v>
      </c>
      <c r="E314" s="17" t="s">
        <v>923</v>
      </c>
      <c r="F314" s="17">
        <f t="shared" si="92"/>
        <v>30030462</v>
      </c>
      <c r="G314" s="17">
        <f>VLOOKUP($R314, '#등급업 재료 개수'!$A$2:$K$5, MATCH(GradeUp!H314, '#등급업 재료 개수'!$A$2:$K$2, 0), FALSE)</f>
        <v>1</v>
      </c>
      <c r="H314" s="17">
        <v>1</v>
      </c>
      <c r="I314" s="17">
        <v>10</v>
      </c>
      <c r="J314" s="17">
        <v>0</v>
      </c>
      <c r="K314" s="17">
        <v>0</v>
      </c>
      <c r="L314" s="17" t="s">
        <v>917</v>
      </c>
      <c r="M314" s="17">
        <v>0</v>
      </c>
      <c r="N314" s="17" t="s">
        <v>918</v>
      </c>
      <c r="O314" s="17">
        <v>0</v>
      </c>
      <c r="P314" s="17" t="s">
        <v>919</v>
      </c>
      <c r="Q314" s="17">
        <v>0</v>
      </c>
      <c r="R314">
        <f>_xlfn.XLOOKUP($B314, 'Detail&lt;Child&gt;'!$A:$A, 'Detail&lt;Child&gt;'!$L:$L)</f>
        <v>3</v>
      </c>
    </row>
    <row r="315" spans="1:18" x14ac:dyDescent="0.3">
      <c r="A315" s="17">
        <f t="shared" si="90"/>
        <v>1000046202</v>
      </c>
      <c r="B315" s="17">
        <v>10000462</v>
      </c>
      <c r="C315" s="17" t="str">
        <f>_xlfn.XLOOKUP(B315,'Detail&lt;Child&gt;'!A:A,'Detail&lt;Child&gt;'!B:B)</f>
        <v>데레사</v>
      </c>
      <c r="D315" s="17" t="str">
        <f t="shared" si="91"/>
        <v>character_gradeup_10000462_2</v>
      </c>
      <c r="E315" s="17" t="s">
        <v>923</v>
      </c>
      <c r="F315" s="17">
        <f t="shared" si="92"/>
        <v>30030462</v>
      </c>
      <c r="G315" s="17">
        <f>VLOOKUP($R315, '#등급업 재료 개수'!$A$2:$K$5, MATCH(GradeUp!H315, '#등급업 재료 개수'!$A$2:$K$2, 0), FALSE)</f>
        <v>1</v>
      </c>
      <c r="H315" s="17">
        <v>2</v>
      </c>
      <c r="I315" s="17">
        <v>20</v>
      </c>
      <c r="J315" s="17" t="s">
        <v>30</v>
      </c>
      <c r="K315" s="17">
        <f>_xlfn.IFNA(VLOOKUP($B315, 'Detail&lt;Child&gt;'!$A:$AT, MATCH(J315, 'Detail&lt;Child&gt;'!$3:$3,0 ), FALSE)+INT($H315/12), 0)</f>
        <v>23046201</v>
      </c>
      <c r="L315" s="17" t="s">
        <v>917</v>
      </c>
      <c r="M315" s="17">
        <v>0</v>
      </c>
      <c r="N315" s="17" t="s">
        <v>918</v>
      </c>
      <c r="O315" s="17">
        <v>0</v>
      </c>
      <c r="P315" s="17" t="s">
        <v>919</v>
      </c>
      <c r="Q315" s="17">
        <v>0</v>
      </c>
      <c r="R315">
        <f>_xlfn.XLOOKUP($B315, 'Detail&lt;Child&gt;'!$A:$A, 'Detail&lt;Child&gt;'!$L:$L)</f>
        <v>3</v>
      </c>
    </row>
    <row r="316" spans="1:18" x14ac:dyDescent="0.3">
      <c r="A316" s="17">
        <f t="shared" si="90"/>
        <v>1000046203</v>
      </c>
      <c r="B316" s="17">
        <v>10000462</v>
      </c>
      <c r="C316" s="17" t="str">
        <f>_xlfn.XLOOKUP(B316,'Detail&lt;Child&gt;'!A:A,'Detail&lt;Child&gt;'!B:B)</f>
        <v>데레사</v>
      </c>
      <c r="D316" s="17" t="str">
        <f t="shared" si="91"/>
        <v>character_gradeup_10000462_3</v>
      </c>
      <c r="E316" s="17" t="s">
        <v>923</v>
      </c>
      <c r="F316" s="17">
        <f t="shared" si="92"/>
        <v>30030462</v>
      </c>
      <c r="G316" s="17">
        <f>VLOOKUP($R316, '#등급업 재료 개수'!$A$2:$K$5, MATCH(GradeUp!H316, '#등급업 재료 개수'!$A$2:$K$2, 0), FALSE)</f>
        <v>1</v>
      </c>
      <c r="H316" s="17">
        <v>3</v>
      </c>
      <c r="I316" s="17">
        <v>30</v>
      </c>
      <c r="J316" s="17">
        <v>0</v>
      </c>
      <c r="K316" s="17">
        <v>0</v>
      </c>
      <c r="L316" s="17" t="s">
        <v>917</v>
      </c>
      <c r="M316" s="17">
        <v>10000</v>
      </c>
      <c r="N316" s="17" t="s">
        <v>918</v>
      </c>
      <c r="O316" s="17">
        <v>10000</v>
      </c>
      <c r="P316" s="17" t="s">
        <v>919</v>
      </c>
      <c r="Q316" s="17">
        <v>10000</v>
      </c>
      <c r="R316">
        <f>_xlfn.XLOOKUP($B316, 'Detail&lt;Child&gt;'!$A:$A, 'Detail&lt;Child&gt;'!$L:$L)</f>
        <v>3</v>
      </c>
    </row>
    <row r="317" spans="1:18" x14ac:dyDescent="0.3">
      <c r="A317" s="17">
        <f t="shared" si="90"/>
        <v>1000046204</v>
      </c>
      <c r="B317" s="17">
        <v>10000462</v>
      </c>
      <c r="C317" s="17" t="str">
        <f>_xlfn.XLOOKUP(B317,'Detail&lt;Child&gt;'!A:A,'Detail&lt;Child&gt;'!B:B)</f>
        <v>데레사</v>
      </c>
      <c r="D317" s="17" t="str">
        <f t="shared" si="91"/>
        <v>character_gradeup_10000462_4</v>
      </c>
      <c r="E317" s="17" t="s">
        <v>923</v>
      </c>
      <c r="F317" s="17">
        <f t="shared" si="92"/>
        <v>30030462</v>
      </c>
      <c r="G317" s="17">
        <f>VLOOKUP($R317, '#등급업 재료 개수'!$A$2:$K$5, MATCH(GradeUp!H317, '#등급업 재료 개수'!$A$2:$K$2, 0), FALSE)</f>
        <v>2</v>
      </c>
      <c r="H317" s="17">
        <v>4</v>
      </c>
      <c r="I317" s="17">
        <v>40</v>
      </c>
      <c r="J317" s="17" t="s">
        <v>32</v>
      </c>
      <c r="K317" s="17">
        <f>_xlfn.IFNA(VLOOKUP($B317, 'Detail&lt;Child&gt;'!$A:$AT, MATCH(J317, 'Detail&lt;Child&gt;'!$3:$3,0 ), FALSE)+INT($H317/12), 0)</f>
        <v>43046201</v>
      </c>
      <c r="L317" s="17" t="s">
        <v>917</v>
      </c>
      <c r="M317" s="17">
        <f t="shared" ref="M317:M323" si="108">M316+10000</f>
        <v>20000</v>
      </c>
      <c r="N317" s="17" t="s">
        <v>918</v>
      </c>
      <c r="O317" s="17">
        <f t="shared" ref="O317:O323" si="109">O316+10000</f>
        <v>20000</v>
      </c>
      <c r="P317" s="17" t="s">
        <v>919</v>
      </c>
      <c r="Q317" s="17">
        <f t="shared" ref="Q317:Q323" si="110">Q316+10000</f>
        <v>20000</v>
      </c>
      <c r="R317">
        <f>_xlfn.XLOOKUP($B317, 'Detail&lt;Child&gt;'!$A:$A, 'Detail&lt;Child&gt;'!$L:$L)</f>
        <v>3</v>
      </c>
    </row>
    <row r="318" spans="1:18" x14ac:dyDescent="0.3">
      <c r="A318" s="17">
        <f t="shared" si="90"/>
        <v>1000046205</v>
      </c>
      <c r="B318" s="17">
        <v>10000462</v>
      </c>
      <c r="C318" s="17" t="str">
        <f>_xlfn.XLOOKUP(B318,'Detail&lt;Child&gt;'!A:A,'Detail&lt;Child&gt;'!B:B)</f>
        <v>데레사</v>
      </c>
      <c r="D318" s="17" t="str">
        <f t="shared" si="91"/>
        <v>character_gradeup_10000462_5</v>
      </c>
      <c r="E318" s="17" t="s">
        <v>923</v>
      </c>
      <c r="F318" s="17">
        <f t="shared" si="92"/>
        <v>30030462</v>
      </c>
      <c r="G318" s="17">
        <f>VLOOKUP($R318, '#등급업 재료 개수'!$A$2:$K$5, MATCH(GradeUp!H318, '#등급업 재료 개수'!$A$2:$K$2, 0), FALSE)</f>
        <v>4</v>
      </c>
      <c r="H318" s="17">
        <v>5</v>
      </c>
      <c r="I318" s="17">
        <v>50</v>
      </c>
      <c r="J318" s="17" t="s">
        <v>30</v>
      </c>
      <c r="K318" s="17">
        <f>_xlfn.IFNA(VLOOKUP($B318, 'Detail&lt;Child&gt;'!$A:$AT, MATCH(J318, 'Detail&lt;Child&gt;'!$3:$3,0 ), FALSE)+INT($H318/12), 0)+1</f>
        <v>23046202</v>
      </c>
      <c r="L318" s="17" t="s">
        <v>917</v>
      </c>
      <c r="M318" s="17">
        <f t="shared" si="108"/>
        <v>30000</v>
      </c>
      <c r="N318" s="17" t="s">
        <v>918</v>
      </c>
      <c r="O318" s="17">
        <f t="shared" si="109"/>
        <v>30000</v>
      </c>
      <c r="P318" s="17" t="s">
        <v>919</v>
      </c>
      <c r="Q318" s="17">
        <f t="shared" si="110"/>
        <v>30000</v>
      </c>
      <c r="R318">
        <f>_xlfn.XLOOKUP($B318, 'Detail&lt;Child&gt;'!$A:$A, 'Detail&lt;Child&gt;'!$L:$L)</f>
        <v>3</v>
      </c>
    </row>
    <row r="319" spans="1:18" x14ac:dyDescent="0.3">
      <c r="A319" s="17">
        <f t="shared" si="90"/>
        <v>1000046206</v>
      </c>
      <c r="B319" s="17">
        <v>10000462</v>
      </c>
      <c r="C319" s="17" t="str">
        <f>_xlfn.XLOOKUP(B319,'Detail&lt;Child&gt;'!A:A,'Detail&lt;Child&gt;'!B:B)</f>
        <v>데레사</v>
      </c>
      <c r="D319" s="17" t="str">
        <f t="shared" si="91"/>
        <v>character_gradeup_10000462_6</v>
      </c>
      <c r="E319" s="17" t="s">
        <v>923</v>
      </c>
      <c r="F319" s="17">
        <f t="shared" si="92"/>
        <v>30030462</v>
      </c>
      <c r="G319" s="17">
        <f>VLOOKUP($R319, '#등급업 재료 개수'!$A$2:$K$5, MATCH(GradeUp!H319, '#등급업 재료 개수'!$A$2:$K$2, 0), FALSE)</f>
        <v>6</v>
      </c>
      <c r="H319" s="17">
        <v>6</v>
      </c>
      <c r="I319" s="17">
        <v>60</v>
      </c>
      <c r="J319" s="17">
        <v>0</v>
      </c>
      <c r="K319" s="17">
        <v>0</v>
      </c>
      <c r="L319" s="17" t="s">
        <v>917</v>
      </c>
      <c r="M319" s="17">
        <f t="shared" si="108"/>
        <v>40000</v>
      </c>
      <c r="N319" s="17" t="s">
        <v>918</v>
      </c>
      <c r="O319" s="17">
        <f t="shared" si="109"/>
        <v>40000</v>
      </c>
      <c r="P319" s="17" t="s">
        <v>919</v>
      </c>
      <c r="Q319" s="17">
        <f t="shared" si="110"/>
        <v>40000</v>
      </c>
      <c r="R319">
        <f>_xlfn.XLOOKUP($B319, 'Detail&lt;Child&gt;'!$A:$A, 'Detail&lt;Child&gt;'!$L:$L)</f>
        <v>3</v>
      </c>
    </row>
    <row r="320" spans="1:18" x14ac:dyDescent="0.3">
      <c r="A320" s="17">
        <f t="shared" si="90"/>
        <v>1000046207</v>
      </c>
      <c r="B320" s="17">
        <v>10000462</v>
      </c>
      <c r="C320" s="17" t="str">
        <f>_xlfn.XLOOKUP(B320,'Detail&lt;Child&gt;'!A:A,'Detail&lt;Child&gt;'!B:B)</f>
        <v>데레사</v>
      </c>
      <c r="D320" s="17" t="str">
        <f t="shared" si="91"/>
        <v>character_gradeup_10000462_7</v>
      </c>
      <c r="E320" s="17" t="s">
        <v>923</v>
      </c>
      <c r="F320" s="17">
        <f t="shared" si="92"/>
        <v>30030462</v>
      </c>
      <c r="G320" s="17">
        <f>VLOOKUP($R320, '#등급업 재료 개수'!$A$2:$K$5, MATCH(GradeUp!H320, '#등급업 재료 개수'!$A$2:$K$2, 0), FALSE)</f>
        <v>8</v>
      </c>
      <c r="H320" s="17">
        <v>7</v>
      </c>
      <c r="I320" s="17">
        <v>70</v>
      </c>
      <c r="J320" s="17" t="s">
        <v>32</v>
      </c>
      <c r="K320" s="17">
        <f>_xlfn.IFNA(VLOOKUP($B320, 'Detail&lt;Child&gt;'!$A:$AT, MATCH(J320, 'Detail&lt;Child&gt;'!$3:$3,0 ), FALSE)+INT($H320/12), 0)+1</f>
        <v>43046202</v>
      </c>
      <c r="L320" s="17" t="s">
        <v>917</v>
      </c>
      <c r="M320" s="17">
        <f t="shared" si="108"/>
        <v>50000</v>
      </c>
      <c r="N320" s="17" t="s">
        <v>918</v>
      </c>
      <c r="O320" s="17">
        <f t="shared" si="109"/>
        <v>50000</v>
      </c>
      <c r="P320" s="17" t="s">
        <v>919</v>
      </c>
      <c r="Q320" s="17">
        <f t="shared" si="110"/>
        <v>50000</v>
      </c>
      <c r="R320">
        <f>_xlfn.XLOOKUP($B320, 'Detail&lt;Child&gt;'!$A:$A, 'Detail&lt;Child&gt;'!$L:$L)</f>
        <v>3</v>
      </c>
    </row>
    <row r="321" spans="1:18" x14ac:dyDescent="0.3">
      <c r="A321" s="17">
        <f t="shared" si="90"/>
        <v>1000046208</v>
      </c>
      <c r="B321" s="17">
        <v>10000462</v>
      </c>
      <c r="C321" s="17" t="str">
        <f>_xlfn.XLOOKUP(B321,'Detail&lt;Child&gt;'!A:A,'Detail&lt;Child&gt;'!B:B)</f>
        <v>데레사</v>
      </c>
      <c r="D321" s="17" t="str">
        <f t="shared" si="91"/>
        <v>character_gradeup_10000462_8</v>
      </c>
      <c r="E321" s="17" t="s">
        <v>923</v>
      </c>
      <c r="F321" s="17">
        <f t="shared" si="92"/>
        <v>30030462</v>
      </c>
      <c r="G321" s="17">
        <f>VLOOKUP($R321, '#등급업 재료 개수'!$A$2:$K$5, MATCH(GradeUp!H321, '#등급업 재료 개수'!$A$2:$K$2, 0), FALSE)</f>
        <v>10</v>
      </c>
      <c r="H321" s="17">
        <v>8</v>
      </c>
      <c r="I321" s="17">
        <v>80</v>
      </c>
      <c r="J321" s="17">
        <v>0</v>
      </c>
      <c r="K321" s="17">
        <v>0</v>
      </c>
      <c r="L321" s="17" t="s">
        <v>917</v>
      </c>
      <c r="M321" s="17">
        <f t="shared" si="108"/>
        <v>60000</v>
      </c>
      <c r="N321" s="17" t="s">
        <v>918</v>
      </c>
      <c r="O321" s="17">
        <f t="shared" si="109"/>
        <v>60000</v>
      </c>
      <c r="P321" s="17" t="s">
        <v>919</v>
      </c>
      <c r="Q321" s="17">
        <f t="shared" si="110"/>
        <v>60000</v>
      </c>
      <c r="R321">
        <f>_xlfn.XLOOKUP($B321, 'Detail&lt;Child&gt;'!$A:$A, 'Detail&lt;Child&gt;'!$L:$L)</f>
        <v>3</v>
      </c>
    </row>
    <row r="322" spans="1:18" x14ac:dyDescent="0.3">
      <c r="A322" s="17">
        <f t="shared" si="90"/>
        <v>1000046209</v>
      </c>
      <c r="B322" s="17">
        <v>10000462</v>
      </c>
      <c r="C322" s="17" t="str">
        <f>_xlfn.XLOOKUP(B322,'Detail&lt;Child&gt;'!A:A,'Detail&lt;Child&gt;'!B:B)</f>
        <v>데레사</v>
      </c>
      <c r="D322" s="17" t="str">
        <f t="shared" si="91"/>
        <v>character_gradeup_10000462_9</v>
      </c>
      <c r="E322" s="17" t="s">
        <v>923</v>
      </c>
      <c r="F322" s="17">
        <f t="shared" si="92"/>
        <v>30030462</v>
      </c>
      <c r="G322" s="17">
        <f>VLOOKUP($R322, '#등급업 재료 개수'!$A$2:$K$5, MATCH(GradeUp!H322, '#등급업 재료 개수'!$A$2:$K$2, 0), FALSE)</f>
        <v>12</v>
      </c>
      <c r="H322" s="17">
        <v>9</v>
      </c>
      <c r="I322" s="17">
        <v>90</v>
      </c>
      <c r="J322" s="17" t="s">
        <v>31</v>
      </c>
      <c r="K322" s="17">
        <f>_xlfn.IFNA(VLOOKUP($B322, 'Detail&lt;Child&gt;'!$A:$AT, MATCH(J322, 'Detail&lt;Child&gt;'!$3:$3,0 ), FALSE)+INT($H322/12), 0)+1</f>
        <v>33046202</v>
      </c>
      <c r="L322" s="17" t="s">
        <v>917</v>
      </c>
      <c r="M322" s="17">
        <f t="shared" si="108"/>
        <v>70000</v>
      </c>
      <c r="N322" s="17" t="s">
        <v>918</v>
      </c>
      <c r="O322" s="17">
        <f t="shared" si="109"/>
        <v>70000</v>
      </c>
      <c r="P322" s="17" t="s">
        <v>919</v>
      </c>
      <c r="Q322" s="17">
        <f t="shared" si="110"/>
        <v>70000</v>
      </c>
      <c r="R322">
        <f>_xlfn.XLOOKUP($B322, 'Detail&lt;Child&gt;'!$A:$A, 'Detail&lt;Child&gt;'!$L:$L)</f>
        <v>3</v>
      </c>
    </row>
    <row r="323" spans="1:18" x14ac:dyDescent="0.3">
      <c r="A323" s="17">
        <f t="shared" si="90"/>
        <v>1000046210</v>
      </c>
      <c r="B323" s="17">
        <v>10000462</v>
      </c>
      <c r="C323" s="17" t="str">
        <f>_xlfn.XLOOKUP(B323,'Detail&lt;Child&gt;'!A:A,'Detail&lt;Child&gt;'!B:B)</f>
        <v>데레사</v>
      </c>
      <c r="D323" s="17" t="str">
        <f t="shared" si="91"/>
        <v>character_gradeup_10000462_10</v>
      </c>
      <c r="E323" s="17" t="s">
        <v>923</v>
      </c>
      <c r="F323" s="17">
        <f t="shared" si="92"/>
        <v>30030462</v>
      </c>
      <c r="G323" s="17">
        <f>VLOOKUP($R323, '#등급업 재료 개수'!$A$2:$K$5, MATCH(GradeUp!H323, '#등급업 재료 개수'!$A$2:$K$2, 0), FALSE)</f>
        <v>999</v>
      </c>
      <c r="H323" s="17">
        <v>10</v>
      </c>
      <c r="I323" s="17">
        <v>100</v>
      </c>
      <c r="J323" s="17">
        <v>0</v>
      </c>
      <c r="K323" s="17">
        <v>0</v>
      </c>
      <c r="L323" s="17" t="s">
        <v>917</v>
      </c>
      <c r="M323" s="17">
        <f t="shared" si="108"/>
        <v>80000</v>
      </c>
      <c r="N323" s="17" t="s">
        <v>918</v>
      </c>
      <c r="O323" s="17">
        <f t="shared" si="109"/>
        <v>80000</v>
      </c>
      <c r="P323" s="17" t="s">
        <v>919</v>
      </c>
      <c r="Q323" s="17">
        <f t="shared" si="110"/>
        <v>80000</v>
      </c>
      <c r="R323">
        <f>_xlfn.XLOOKUP($B323, 'Detail&lt;Child&gt;'!$A:$A, 'Detail&lt;Child&gt;'!$L:$L)</f>
        <v>3</v>
      </c>
    </row>
    <row r="324" spans="1:18" x14ac:dyDescent="0.3">
      <c r="A324" s="17">
        <f t="shared" ref="A324:A343" si="111">B324*100+H324</f>
        <v>1000028101</v>
      </c>
      <c r="B324" s="17">
        <v>10000281</v>
      </c>
      <c r="C324" s="17" t="str">
        <f>_xlfn.XLOOKUP(B324,'Detail&lt;Child&gt;'!A:A,'Detail&lt;Child&gt;'!B:B)</f>
        <v>티스베</v>
      </c>
      <c r="D324" s="17" t="str">
        <f t="shared" ref="D324:D343" si="112">"character_gradeup_"&amp;$B324&amp;"_"&amp;$H324</f>
        <v>character_gradeup_10000281_1</v>
      </c>
      <c r="E324" s="17" t="s">
        <v>923</v>
      </c>
      <c r="F324" s="17">
        <f t="shared" ref="F324:F343" si="113">INT(3003&amp;RIGHT(B324,4))</f>
        <v>30030281</v>
      </c>
      <c r="G324" s="17">
        <f>VLOOKUP($R324, '#등급업 재료 개수'!$A$2:$K$5, MATCH(GradeUp!H324, '#등급업 재료 개수'!$A$2:$K$2, 0), FALSE)</f>
        <v>1</v>
      </c>
      <c r="H324" s="17">
        <v>1</v>
      </c>
      <c r="I324" s="17">
        <v>10</v>
      </c>
      <c r="J324" s="17">
        <v>0</v>
      </c>
      <c r="K324" s="17">
        <v>0</v>
      </c>
      <c r="L324" s="17" t="s">
        <v>917</v>
      </c>
      <c r="M324" s="17">
        <v>0</v>
      </c>
      <c r="N324" s="17" t="s">
        <v>918</v>
      </c>
      <c r="O324" s="17">
        <v>0</v>
      </c>
      <c r="P324" s="17" t="s">
        <v>919</v>
      </c>
      <c r="Q324" s="17">
        <v>0</v>
      </c>
      <c r="R324">
        <f>_xlfn.XLOOKUP($B324, 'Detail&lt;Child&gt;'!$A:$A, 'Detail&lt;Child&gt;'!$L:$L)</f>
        <v>3</v>
      </c>
    </row>
    <row r="325" spans="1:18" x14ac:dyDescent="0.3">
      <c r="A325" s="17">
        <f t="shared" si="111"/>
        <v>1000028102</v>
      </c>
      <c r="B325" s="17">
        <v>10000281</v>
      </c>
      <c r="C325" s="17" t="str">
        <f>_xlfn.XLOOKUP(B325,'Detail&lt;Child&gt;'!A:A,'Detail&lt;Child&gt;'!B:B)</f>
        <v>티스베</v>
      </c>
      <c r="D325" s="17" t="str">
        <f t="shared" si="112"/>
        <v>character_gradeup_10000281_2</v>
      </c>
      <c r="E325" s="17" t="s">
        <v>923</v>
      </c>
      <c r="F325" s="17">
        <f t="shared" si="113"/>
        <v>30030281</v>
      </c>
      <c r="G325" s="17">
        <f>VLOOKUP($R325, '#등급업 재료 개수'!$A$2:$K$5, MATCH(GradeUp!H325, '#등급업 재료 개수'!$A$2:$K$2, 0), FALSE)</f>
        <v>1</v>
      </c>
      <c r="H325" s="17">
        <v>2</v>
      </c>
      <c r="I325" s="17">
        <v>20</v>
      </c>
      <c r="J325" s="17" t="s">
        <v>30</v>
      </c>
      <c r="K325" s="17">
        <f>_xlfn.IFNA(VLOOKUP($B325, 'Detail&lt;Child&gt;'!$A:$AT, MATCH(J325, 'Detail&lt;Child&gt;'!$3:$3,0 ), FALSE)+INT($H325/12), 0)</f>
        <v>23028101</v>
      </c>
      <c r="L325" s="17" t="s">
        <v>917</v>
      </c>
      <c r="M325" s="17">
        <v>0</v>
      </c>
      <c r="N325" s="17" t="s">
        <v>918</v>
      </c>
      <c r="O325" s="17">
        <v>0</v>
      </c>
      <c r="P325" s="17" t="s">
        <v>919</v>
      </c>
      <c r="Q325" s="17">
        <v>0</v>
      </c>
      <c r="R325">
        <f>_xlfn.XLOOKUP($B325, 'Detail&lt;Child&gt;'!$A:$A, 'Detail&lt;Child&gt;'!$L:$L)</f>
        <v>3</v>
      </c>
    </row>
    <row r="326" spans="1:18" x14ac:dyDescent="0.3">
      <c r="A326" s="17">
        <f t="shared" si="111"/>
        <v>1000028103</v>
      </c>
      <c r="B326" s="17">
        <v>10000281</v>
      </c>
      <c r="C326" s="17" t="str">
        <f>_xlfn.XLOOKUP(B326,'Detail&lt;Child&gt;'!A:A,'Detail&lt;Child&gt;'!B:B)</f>
        <v>티스베</v>
      </c>
      <c r="D326" s="17" t="str">
        <f t="shared" si="112"/>
        <v>character_gradeup_10000281_3</v>
      </c>
      <c r="E326" s="17" t="s">
        <v>923</v>
      </c>
      <c r="F326" s="17">
        <f t="shared" si="113"/>
        <v>30030281</v>
      </c>
      <c r="G326" s="17">
        <f>VLOOKUP($R326, '#등급업 재료 개수'!$A$2:$K$5, MATCH(GradeUp!H326, '#등급업 재료 개수'!$A$2:$K$2, 0), FALSE)</f>
        <v>1</v>
      </c>
      <c r="H326" s="17">
        <v>3</v>
      </c>
      <c r="I326" s="17">
        <v>30</v>
      </c>
      <c r="J326" s="17">
        <v>0</v>
      </c>
      <c r="K326" s="17">
        <v>0</v>
      </c>
      <c r="L326" s="17" t="s">
        <v>917</v>
      </c>
      <c r="M326" s="17">
        <v>10000</v>
      </c>
      <c r="N326" s="17" t="s">
        <v>918</v>
      </c>
      <c r="O326" s="17">
        <v>10000</v>
      </c>
      <c r="P326" s="17" t="s">
        <v>919</v>
      </c>
      <c r="Q326" s="17">
        <v>10000</v>
      </c>
      <c r="R326">
        <f>_xlfn.XLOOKUP($B326, 'Detail&lt;Child&gt;'!$A:$A, 'Detail&lt;Child&gt;'!$L:$L)</f>
        <v>3</v>
      </c>
    </row>
    <row r="327" spans="1:18" x14ac:dyDescent="0.3">
      <c r="A327" s="17">
        <f t="shared" si="111"/>
        <v>1000028104</v>
      </c>
      <c r="B327" s="17">
        <v>10000281</v>
      </c>
      <c r="C327" s="17" t="str">
        <f>_xlfn.XLOOKUP(B327,'Detail&lt;Child&gt;'!A:A,'Detail&lt;Child&gt;'!B:B)</f>
        <v>티스베</v>
      </c>
      <c r="D327" s="17" t="str">
        <f t="shared" si="112"/>
        <v>character_gradeup_10000281_4</v>
      </c>
      <c r="E327" s="17" t="s">
        <v>923</v>
      </c>
      <c r="F327" s="17">
        <f t="shared" si="113"/>
        <v>30030281</v>
      </c>
      <c r="G327" s="17">
        <f>VLOOKUP($R327, '#등급업 재료 개수'!$A$2:$K$5, MATCH(GradeUp!H327, '#등급업 재료 개수'!$A$2:$K$2, 0), FALSE)</f>
        <v>2</v>
      </c>
      <c r="H327" s="17">
        <v>4</v>
      </c>
      <c r="I327" s="17">
        <v>40</v>
      </c>
      <c r="J327" s="17" t="s">
        <v>32</v>
      </c>
      <c r="K327" s="17">
        <f>_xlfn.IFNA(VLOOKUP($B327, 'Detail&lt;Child&gt;'!$A:$AT, MATCH(J327, 'Detail&lt;Child&gt;'!$3:$3,0 ), FALSE)+INT($H327/12), 0)</f>
        <v>43028101</v>
      </c>
      <c r="L327" s="17" t="s">
        <v>917</v>
      </c>
      <c r="M327" s="17">
        <f t="shared" ref="M327:M333" si="114">M326+10000</f>
        <v>20000</v>
      </c>
      <c r="N327" s="17" t="s">
        <v>918</v>
      </c>
      <c r="O327" s="17">
        <f t="shared" ref="O327:O333" si="115">O326+10000</f>
        <v>20000</v>
      </c>
      <c r="P327" s="17" t="s">
        <v>919</v>
      </c>
      <c r="Q327" s="17">
        <f t="shared" ref="Q327:Q333" si="116">Q326+10000</f>
        <v>20000</v>
      </c>
      <c r="R327">
        <f>_xlfn.XLOOKUP($B327, 'Detail&lt;Child&gt;'!$A:$A, 'Detail&lt;Child&gt;'!$L:$L)</f>
        <v>3</v>
      </c>
    </row>
    <row r="328" spans="1:18" x14ac:dyDescent="0.3">
      <c r="A328" s="17">
        <f t="shared" si="111"/>
        <v>1000028105</v>
      </c>
      <c r="B328" s="17">
        <v>10000281</v>
      </c>
      <c r="C328" s="17" t="str">
        <f>_xlfn.XLOOKUP(B328,'Detail&lt;Child&gt;'!A:A,'Detail&lt;Child&gt;'!B:B)</f>
        <v>티스베</v>
      </c>
      <c r="D328" s="17" t="str">
        <f t="shared" si="112"/>
        <v>character_gradeup_10000281_5</v>
      </c>
      <c r="E328" s="17" t="s">
        <v>923</v>
      </c>
      <c r="F328" s="17">
        <f t="shared" si="113"/>
        <v>30030281</v>
      </c>
      <c r="G328" s="17">
        <f>VLOOKUP($R328, '#등급업 재료 개수'!$A$2:$K$5, MATCH(GradeUp!H328, '#등급업 재료 개수'!$A$2:$K$2, 0), FALSE)</f>
        <v>4</v>
      </c>
      <c r="H328" s="17">
        <v>5</v>
      </c>
      <c r="I328" s="17">
        <v>50</v>
      </c>
      <c r="J328" s="17" t="s">
        <v>30</v>
      </c>
      <c r="K328" s="17">
        <f>_xlfn.IFNA(VLOOKUP($B328, 'Detail&lt;Child&gt;'!$A:$AT, MATCH(J328, 'Detail&lt;Child&gt;'!$3:$3,0 ), FALSE)+INT($H328/12), 0)+1</f>
        <v>23028102</v>
      </c>
      <c r="L328" s="17" t="s">
        <v>917</v>
      </c>
      <c r="M328" s="17">
        <f t="shared" si="114"/>
        <v>30000</v>
      </c>
      <c r="N328" s="17" t="s">
        <v>918</v>
      </c>
      <c r="O328" s="17">
        <f t="shared" si="115"/>
        <v>30000</v>
      </c>
      <c r="P328" s="17" t="s">
        <v>919</v>
      </c>
      <c r="Q328" s="17">
        <f t="shared" si="116"/>
        <v>30000</v>
      </c>
      <c r="R328">
        <f>_xlfn.XLOOKUP($B328, 'Detail&lt;Child&gt;'!$A:$A, 'Detail&lt;Child&gt;'!$L:$L)</f>
        <v>3</v>
      </c>
    </row>
    <row r="329" spans="1:18" x14ac:dyDescent="0.3">
      <c r="A329" s="17">
        <f t="shared" si="111"/>
        <v>1000028106</v>
      </c>
      <c r="B329" s="17">
        <v>10000281</v>
      </c>
      <c r="C329" s="17" t="str">
        <f>_xlfn.XLOOKUP(B329,'Detail&lt;Child&gt;'!A:A,'Detail&lt;Child&gt;'!B:B)</f>
        <v>티스베</v>
      </c>
      <c r="D329" s="17" t="str">
        <f t="shared" si="112"/>
        <v>character_gradeup_10000281_6</v>
      </c>
      <c r="E329" s="17" t="s">
        <v>923</v>
      </c>
      <c r="F329" s="17">
        <f t="shared" si="113"/>
        <v>30030281</v>
      </c>
      <c r="G329" s="17">
        <f>VLOOKUP($R329, '#등급업 재료 개수'!$A$2:$K$5, MATCH(GradeUp!H329, '#등급업 재료 개수'!$A$2:$K$2, 0), FALSE)</f>
        <v>6</v>
      </c>
      <c r="H329" s="17">
        <v>6</v>
      </c>
      <c r="I329" s="17">
        <v>60</v>
      </c>
      <c r="J329" s="17">
        <v>0</v>
      </c>
      <c r="K329" s="17">
        <v>0</v>
      </c>
      <c r="L329" s="17" t="s">
        <v>917</v>
      </c>
      <c r="M329" s="17">
        <f t="shared" si="114"/>
        <v>40000</v>
      </c>
      <c r="N329" s="17" t="s">
        <v>918</v>
      </c>
      <c r="O329" s="17">
        <f t="shared" si="115"/>
        <v>40000</v>
      </c>
      <c r="P329" s="17" t="s">
        <v>919</v>
      </c>
      <c r="Q329" s="17">
        <f t="shared" si="116"/>
        <v>40000</v>
      </c>
      <c r="R329">
        <f>_xlfn.XLOOKUP($B329, 'Detail&lt;Child&gt;'!$A:$A, 'Detail&lt;Child&gt;'!$L:$L)</f>
        <v>3</v>
      </c>
    </row>
    <row r="330" spans="1:18" x14ac:dyDescent="0.3">
      <c r="A330" s="17">
        <f t="shared" si="111"/>
        <v>1000028107</v>
      </c>
      <c r="B330" s="17">
        <v>10000281</v>
      </c>
      <c r="C330" s="17" t="str">
        <f>_xlfn.XLOOKUP(B330,'Detail&lt;Child&gt;'!A:A,'Detail&lt;Child&gt;'!B:B)</f>
        <v>티스베</v>
      </c>
      <c r="D330" s="17" t="str">
        <f t="shared" si="112"/>
        <v>character_gradeup_10000281_7</v>
      </c>
      <c r="E330" s="17" t="s">
        <v>923</v>
      </c>
      <c r="F330" s="17">
        <f t="shared" si="113"/>
        <v>30030281</v>
      </c>
      <c r="G330" s="17">
        <f>VLOOKUP($R330, '#등급업 재료 개수'!$A$2:$K$5, MATCH(GradeUp!H330, '#등급업 재료 개수'!$A$2:$K$2, 0), FALSE)</f>
        <v>8</v>
      </c>
      <c r="H330" s="17">
        <v>7</v>
      </c>
      <c r="I330" s="17">
        <v>70</v>
      </c>
      <c r="J330" s="17" t="s">
        <v>32</v>
      </c>
      <c r="K330" s="17">
        <f>_xlfn.IFNA(VLOOKUP($B330, 'Detail&lt;Child&gt;'!$A:$AT, MATCH(J330, 'Detail&lt;Child&gt;'!$3:$3,0 ), FALSE)+INT($H330/12), 0)+1</f>
        <v>43028102</v>
      </c>
      <c r="L330" s="17" t="s">
        <v>917</v>
      </c>
      <c r="M330" s="17">
        <f t="shared" si="114"/>
        <v>50000</v>
      </c>
      <c r="N330" s="17" t="s">
        <v>918</v>
      </c>
      <c r="O330" s="17">
        <f t="shared" si="115"/>
        <v>50000</v>
      </c>
      <c r="P330" s="17" t="s">
        <v>919</v>
      </c>
      <c r="Q330" s="17">
        <f t="shared" si="116"/>
        <v>50000</v>
      </c>
      <c r="R330">
        <f>_xlfn.XLOOKUP($B330, 'Detail&lt;Child&gt;'!$A:$A, 'Detail&lt;Child&gt;'!$L:$L)</f>
        <v>3</v>
      </c>
    </row>
    <row r="331" spans="1:18" x14ac:dyDescent="0.3">
      <c r="A331" s="17">
        <f t="shared" si="111"/>
        <v>1000028108</v>
      </c>
      <c r="B331" s="17">
        <v>10000281</v>
      </c>
      <c r="C331" s="17" t="str">
        <f>_xlfn.XLOOKUP(B331,'Detail&lt;Child&gt;'!A:A,'Detail&lt;Child&gt;'!B:B)</f>
        <v>티스베</v>
      </c>
      <c r="D331" s="17" t="str">
        <f t="shared" si="112"/>
        <v>character_gradeup_10000281_8</v>
      </c>
      <c r="E331" s="17" t="s">
        <v>923</v>
      </c>
      <c r="F331" s="17">
        <f t="shared" si="113"/>
        <v>30030281</v>
      </c>
      <c r="G331" s="17">
        <f>VLOOKUP($R331, '#등급업 재료 개수'!$A$2:$K$5, MATCH(GradeUp!H331, '#등급업 재료 개수'!$A$2:$K$2, 0), FALSE)</f>
        <v>10</v>
      </c>
      <c r="H331" s="17">
        <v>8</v>
      </c>
      <c r="I331" s="17">
        <v>80</v>
      </c>
      <c r="J331" s="17">
        <v>0</v>
      </c>
      <c r="K331" s="17">
        <v>0</v>
      </c>
      <c r="L331" s="17" t="s">
        <v>917</v>
      </c>
      <c r="M331" s="17">
        <f t="shared" si="114"/>
        <v>60000</v>
      </c>
      <c r="N331" s="17" t="s">
        <v>918</v>
      </c>
      <c r="O331" s="17">
        <f t="shared" si="115"/>
        <v>60000</v>
      </c>
      <c r="P331" s="17" t="s">
        <v>919</v>
      </c>
      <c r="Q331" s="17">
        <f t="shared" si="116"/>
        <v>60000</v>
      </c>
      <c r="R331">
        <f>_xlfn.XLOOKUP($B331, 'Detail&lt;Child&gt;'!$A:$A, 'Detail&lt;Child&gt;'!$L:$L)</f>
        <v>3</v>
      </c>
    </row>
    <row r="332" spans="1:18" x14ac:dyDescent="0.3">
      <c r="A332" s="17">
        <f t="shared" si="111"/>
        <v>1000028109</v>
      </c>
      <c r="B332" s="17">
        <v>10000281</v>
      </c>
      <c r="C332" s="17" t="str">
        <f>_xlfn.XLOOKUP(B332,'Detail&lt;Child&gt;'!A:A,'Detail&lt;Child&gt;'!B:B)</f>
        <v>티스베</v>
      </c>
      <c r="D332" s="17" t="str">
        <f t="shared" si="112"/>
        <v>character_gradeup_10000281_9</v>
      </c>
      <c r="E332" s="17" t="s">
        <v>923</v>
      </c>
      <c r="F332" s="17">
        <f t="shared" si="113"/>
        <v>30030281</v>
      </c>
      <c r="G332" s="17">
        <f>VLOOKUP($R332, '#등급업 재료 개수'!$A$2:$K$5, MATCH(GradeUp!H332, '#등급업 재료 개수'!$A$2:$K$2, 0), FALSE)</f>
        <v>12</v>
      </c>
      <c r="H332" s="17">
        <v>9</v>
      </c>
      <c r="I332" s="17">
        <v>90</v>
      </c>
      <c r="J332" s="17" t="s">
        <v>31</v>
      </c>
      <c r="K332" s="17">
        <f>_xlfn.IFNA(VLOOKUP($B332, 'Detail&lt;Child&gt;'!$A:$AT, MATCH(J332, 'Detail&lt;Child&gt;'!$3:$3,0 ), FALSE)+INT($H332/12), 0)+1</f>
        <v>33028102</v>
      </c>
      <c r="L332" s="17" t="s">
        <v>917</v>
      </c>
      <c r="M332" s="17">
        <f t="shared" si="114"/>
        <v>70000</v>
      </c>
      <c r="N332" s="17" t="s">
        <v>918</v>
      </c>
      <c r="O332" s="17">
        <f t="shared" si="115"/>
        <v>70000</v>
      </c>
      <c r="P332" s="17" t="s">
        <v>919</v>
      </c>
      <c r="Q332" s="17">
        <f t="shared" si="116"/>
        <v>70000</v>
      </c>
      <c r="R332">
        <f>_xlfn.XLOOKUP($B332, 'Detail&lt;Child&gt;'!$A:$A, 'Detail&lt;Child&gt;'!$L:$L)</f>
        <v>3</v>
      </c>
    </row>
    <row r="333" spans="1:18" x14ac:dyDescent="0.3">
      <c r="A333" s="17">
        <f t="shared" si="111"/>
        <v>1000028110</v>
      </c>
      <c r="B333" s="17">
        <v>10000281</v>
      </c>
      <c r="C333" s="17" t="str">
        <f>_xlfn.XLOOKUP(B333,'Detail&lt;Child&gt;'!A:A,'Detail&lt;Child&gt;'!B:B)</f>
        <v>티스베</v>
      </c>
      <c r="D333" s="17" t="str">
        <f t="shared" si="112"/>
        <v>character_gradeup_10000281_10</v>
      </c>
      <c r="E333" s="17" t="s">
        <v>923</v>
      </c>
      <c r="F333" s="17">
        <f t="shared" si="113"/>
        <v>30030281</v>
      </c>
      <c r="G333" s="17">
        <f>VLOOKUP($R333, '#등급업 재료 개수'!$A$2:$K$5, MATCH(GradeUp!H333, '#등급업 재료 개수'!$A$2:$K$2, 0), FALSE)</f>
        <v>999</v>
      </c>
      <c r="H333" s="17">
        <v>10</v>
      </c>
      <c r="I333" s="17">
        <v>100</v>
      </c>
      <c r="J333" s="17">
        <v>0</v>
      </c>
      <c r="K333" s="17">
        <v>0</v>
      </c>
      <c r="L333" s="17" t="s">
        <v>917</v>
      </c>
      <c r="M333" s="17">
        <f t="shared" si="114"/>
        <v>80000</v>
      </c>
      <c r="N333" s="17" t="s">
        <v>918</v>
      </c>
      <c r="O333" s="17">
        <f t="shared" si="115"/>
        <v>80000</v>
      </c>
      <c r="P333" s="17" t="s">
        <v>919</v>
      </c>
      <c r="Q333" s="17">
        <f t="shared" si="116"/>
        <v>80000</v>
      </c>
      <c r="R333">
        <f>_xlfn.XLOOKUP($B333, 'Detail&lt;Child&gt;'!$A:$A, 'Detail&lt;Child&gt;'!$L:$L)</f>
        <v>3</v>
      </c>
    </row>
    <row r="334" spans="1:18" x14ac:dyDescent="0.3">
      <c r="A334" s="17">
        <f t="shared" si="111"/>
        <v>1000051401</v>
      </c>
      <c r="B334" s="17">
        <v>10000514</v>
      </c>
      <c r="C334" s="17" t="str">
        <f>_xlfn.XLOOKUP(B334,'Detail&lt;Child&gt;'!A:A,'Detail&lt;Child&gt;'!B:B)</f>
        <v>두엣샤</v>
      </c>
      <c r="D334" s="17" t="str">
        <f t="shared" si="112"/>
        <v>character_gradeup_10000514_1</v>
      </c>
      <c r="E334" s="17" t="s">
        <v>923</v>
      </c>
      <c r="F334" s="17">
        <f t="shared" si="113"/>
        <v>30030514</v>
      </c>
      <c r="G334" s="17">
        <f>VLOOKUP($R334, '#등급업 재료 개수'!$A$2:$K$5, MATCH(GradeUp!H334, '#등급업 재료 개수'!$A$2:$K$2, 0), FALSE)</f>
        <v>1</v>
      </c>
      <c r="H334" s="17">
        <v>1</v>
      </c>
      <c r="I334" s="17">
        <v>10</v>
      </c>
      <c r="J334" s="17">
        <v>0</v>
      </c>
      <c r="K334" s="17">
        <v>0</v>
      </c>
      <c r="L334" s="17" t="s">
        <v>917</v>
      </c>
      <c r="M334" s="17">
        <v>0</v>
      </c>
      <c r="N334" s="17" t="s">
        <v>918</v>
      </c>
      <c r="O334" s="17">
        <v>0</v>
      </c>
      <c r="P334" s="17" t="s">
        <v>919</v>
      </c>
      <c r="Q334" s="17">
        <v>0</v>
      </c>
      <c r="R334">
        <f>_xlfn.XLOOKUP($B334, 'Detail&lt;Child&gt;'!$A:$A, 'Detail&lt;Child&gt;'!$L:$L)</f>
        <v>2</v>
      </c>
    </row>
    <row r="335" spans="1:18" x14ac:dyDescent="0.3">
      <c r="A335" s="17">
        <f t="shared" si="111"/>
        <v>1000051402</v>
      </c>
      <c r="B335" s="17">
        <v>10000514</v>
      </c>
      <c r="C335" s="17" t="str">
        <f>_xlfn.XLOOKUP(B335,'Detail&lt;Child&gt;'!A:A,'Detail&lt;Child&gt;'!B:B)</f>
        <v>두엣샤</v>
      </c>
      <c r="D335" s="17" t="str">
        <f t="shared" si="112"/>
        <v>character_gradeup_10000514_2</v>
      </c>
      <c r="E335" s="17" t="s">
        <v>923</v>
      </c>
      <c r="F335" s="17">
        <f t="shared" si="113"/>
        <v>30030514</v>
      </c>
      <c r="G335" s="17">
        <f>VLOOKUP($R335, '#등급업 재료 개수'!$A$2:$K$5, MATCH(GradeUp!H335, '#등급업 재료 개수'!$A$2:$K$2, 0), FALSE)</f>
        <v>2</v>
      </c>
      <c r="H335" s="17">
        <v>2</v>
      </c>
      <c r="I335" s="17">
        <v>20</v>
      </c>
      <c r="J335" s="17" t="s">
        <v>30</v>
      </c>
      <c r="K335" s="17">
        <f>_xlfn.IFNA(VLOOKUP($B335, 'Detail&lt;Child&gt;'!$A:$AT, MATCH(J335, 'Detail&lt;Child&gt;'!$3:$3,0 ), FALSE)+INT($H335/12), 0)</f>
        <v>22051401</v>
      </c>
      <c r="L335" s="17" t="s">
        <v>917</v>
      </c>
      <c r="M335" s="17">
        <v>0</v>
      </c>
      <c r="N335" s="17" t="s">
        <v>918</v>
      </c>
      <c r="O335" s="17">
        <v>0</v>
      </c>
      <c r="P335" s="17" t="s">
        <v>919</v>
      </c>
      <c r="Q335" s="17">
        <v>0</v>
      </c>
      <c r="R335">
        <f>_xlfn.XLOOKUP($B335, 'Detail&lt;Child&gt;'!$A:$A, 'Detail&lt;Child&gt;'!$L:$L)</f>
        <v>2</v>
      </c>
    </row>
    <row r="336" spans="1:18" x14ac:dyDescent="0.3">
      <c r="A336" s="17">
        <f t="shared" si="111"/>
        <v>1000051403</v>
      </c>
      <c r="B336" s="17">
        <v>10000514</v>
      </c>
      <c r="C336" s="17" t="str">
        <f>_xlfn.XLOOKUP(B336,'Detail&lt;Child&gt;'!A:A,'Detail&lt;Child&gt;'!B:B)</f>
        <v>두엣샤</v>
      </c>
      <c r="D336" s="17" t="str">
        <f t="shared" si="112"/>
        <v>character_gradeup_10000514_3</v>
      </c>
      <c r="E336" s="17" t="s">
        <v>923</v>
      </c>
      <c r="F336" s="17">
        <f t="shared" si="113"/>
        <v>30030514</v>
      </c>
      <c r="G336" s="17">
        <f>VLOOKUP($R336, '#등급업 재료 개수'!$A$2:$K$5, MATCH(GradeUp!H336, '#등급업 재료 개수'!$A$2:$K$2, 0), FALSE)</f>
        <v>4</v>
      </c>
      <c r="H336" s="17">
        <v>3</v>
      </c>
      <c r="I336" s="17">
        <v>30</v>
      </c>
      <c r="J336" s="17">
        <v>0</v>
      </c>
      <c r="K336" s="17">
        <v>0</v>
      </c>
      <c r="L336" s="17" t="s">
        <v>917</v>
      </c>
      <c r="M336" s="17">
        <v>10000</v>
      </c>
      <c r="N336" s="17" t="s">
        <v>918</v>
      </c>
      <c r="O336" s="17">
        <v>10000</v>
      </c>
      <c r="P336" s="17" t="s">
        <v>919</v>
      </c>
      <c r="Q336" s="17">
        <v>10000</v>
      </c>
      <c r="R336">
        <f>_xlfn.XLOOKUP($B336, 'Detail&lt;Child&gt;'!$A:$A, 'Detail&lt;Child&gt;'!$L:$L)</f>
        <v>2</v>
      </c>
    </row>
    <row r="337" spans="1:18" x14ac:dyDescent="0.3">
      <c r="A337" s="17">
        <f t="shared" si="111"/>
        <v>1000051404</v>
      </c>
      <c r="B337" s="17">
        <v>10000514</v>
      </c>
      <c r="C337" s="17" t="str">
        <f>_xlfn.XLOOKUP(B337,'Detail&lt;Child&gt;'!A:A,'Detail&lt;Child&gt;'!B:B)</f>
        <v>두엣샤</v>
      </c>
      <c r="D337" s="17" t="str">
        <f t="shared" si="112"/>
        <v>character_gradeup_10000514_4</v>
      </c>
      <c r="E337" s="17" t="s">
        <v>923</v>
      </c>
      <c r="F337" s="17">
        <f t="shared" si="113"/>
        <v>30030514</v>
      </c>
      <c r="G337" s="17">
        <f>VLOOKUP($R337, '#등급업 재료 개수'!$A$2:$K$5, MATCH(GradeUp!H337, '#등급업 재료 개수'!$A$2:$K$2, 0), FALSE)</f>
        <v>8</v>
      </c>
      <c r="H337" s="17">
        <v>4</v>
      </c>
      <c r="I337" s="17">
        <v>40</v>
      </c>
      <c r="J337" s="17" t="s">
        <v>32</v>
      </c>
      <c r="K337" s="17">
        <f>_xlfn.IFNA(VLOOKUP($B337, 'Detail&lt;Child&gt;'!$A:$AT, MATCH(J337, 'Detail&lt;Child&gt;'!$3:$3,0 ), FALSE)+INT($H337/12), 0)</f>
        <v>42051401</v>
      </c>
      <c r="L337" s="17" t="s">
        <v>917</v>
      </c>
      <c r="M337" s="17">
        <f t="shared" ref="M337:M343" si="117">M336+10000</f>
        <v>20000</v>
      </c>
      <c r="N337" s="17" t="s">
        <v>918</v>
      </c>
      <c r="O337" s="17">
        <f t="shared" ref="O337:O343" si="118">O336+10000</f>
        <v>20000</v>
      </c>
      <c r="P337" s="17" t="s">
        <v>919</v>
      </c>
      <c r="Q337" s="17">
        <f t="shared" ref="Q337:Q343" si="119">Q336+10000</f>
        <v>20000</v>
      </c>
      <c r="R337">
        <f>_xlfn.XLOOKUP($B337, 'Detail&lt;Child&gt;'!$A:$A, 'Detail&lt;Child&gt;'!$L:$L)</f>
        <v>2</v>
      </c>
    </row>
    <row r="338" spans="1:18" x14ac:dyDescent="0.3">
      <c r="A338" s="17">
        <f t="shared" si="111"/>
        <v>1000051405</v>
      </c>
      <c r="B338" s="17">
        <v>10000514</v>
      </c>
      <c r="C338" s="17" t="str">
        <f>_xlfn.XLOOKUP(B338,'Detail&lt;Child&gt;'!A:A,'Detail&lt;Child&gt;'!B:B)</f>
        <v>두엣샤</v>
      </c>
      <c r="D338" s="17" t="str">
        <f t="shared" si="112"/>
        <v>character_gradeup_10000514_5</v>
      </c>
      <c r="E338" s="17" t="s">
        <v>923</v>
      </c>
      <c r="F338" s="17">
        <f t="shared" si="113"/>
        <v>30030514</v>
      </c>
      <c r="G338" s="17">
        <f>VLOOKUP($R338, '#등급업 재료 개수'!$A$2:$K$5, MATCH(GradeUp!H338, '#등급업 재료 개수'!$A$2:$K$2, 0), FALSE)</f>
        <v>12</v>
      </c>
      <c r="H338" s="17">
        <v>5</v>
      </c>
      <c r="I338" s="17">
        <v>50</v>
      </c>
      <c r="J338" s="17" t="s">
        <v>30</v>
      </c>
      <c r="K338" s="17">
        <f>_xlfn.IFNA(VLOOKUP($B338, 'Detail&lt;Child&gt;'!$A:$AT, MATCH(J338, 'Detail&lt;Child&gt;'!$3:$3,0 ), FALSE)+INT($H338/12), 0)+1</f>
        <v>22051402</v>
      </c>
      <c r="L338" s="17" t="s">
        <v>917</v>
      </c>
      <c r="M338" s="17">
        <f t="shared" si="117"/>
        <v>30000</v>
      </c>
      <c r="N338" s="17" t="s">
        <v>918</v>
      </c>
      <c r="O338" s="17">
        <f t="shared" si="118"/>
        <v>30000</v>
      </c>
      <c r="P338" s="17" t="s">
        <v>919</v>
      </c>
      <c r="Q338" s="17">
        <f t="shared" si="119"/>
        <v>30000</v>
      </c>
      <c r="R338">
        <f>_xlfn.XLOOKUP($B338, 'Detail&lt;Child&gt;'!$A:$A, 'Detail&lt;Child&gt;'!$L:$L)</f>
        <v>2</v>
      </c>
    </row>
    <row r="339" spans="1:18" x14ac:dyDescent="0.3">
      <c r="A339" s="17">
        <f t="shared" si="111"/>
        <v>1000051406</v>
      </c>
      <c r="B339" s="17">
        <v>10000514</v>
      </c>
      <c r="C339" s="17" t="str">
        <f>_xlfn.XLOOKUP(B339,'Detail&lt;Child&gt;'!A:A,'Detail&lt;Child&gt;'!B:B)</f>
        <v>두엣샤</v>
      </c>
      <c r="D339" s="17" t="str">
        <f t="shared" si="112"/>
        <v>character_gradeup_10000514_6</v>
      </c>
      <c r="E339" s="17" t="s">
        <v>923</v>
      </c>
      <c r="F339" s="17">
        <f t="shared" si="113"/>
        <v>30030514</v>
      </c>
      <c r="G339" s="17">
        <f>VLOOKUP($R339, '#등급업 재료 개수'!$A$2:$K$5, MATCH(GradeUp!H339, '#등급업 재료 개수'!$A$2:$K$2, 0), FALSE)</f>
        <v>16</v>
      </c>
      <c r="H339" s="17">
        <v>6</v>
      </c>
      <c r="I339" s="17">
        <v>60</v>
      </c>
      <c r="J339" s="17">
        <v>0</v>
      </c>
      <c r="K339" s="17">
        <v>0</v>
      </c>
      <c r="L339" s="17" t="s">
        <v>917</v>
      </c>
      <c r="M339" s="17">
        <f t="shared" si="117"/>
        <v>40000</v>
      </c>
      <c r="N339" s="17" t="s">
        <v>918</v>
      </c>
      <c r="O339" s="17">
        <f t="shared" si="118"/>
        <v>40000</v>
      </c>
      <c r="P339" s="17" t="s">
        <v>919</v>
      </c>
      <c r="Q339" s="17">
        <f t="shared" si="119"/>
        <v>40000</v>
      </c>
      <c r="R339">
        <f>_xlfn.XLOOKUP($B339, 'Detail&lt;Child&gt;'!$A:$A, 'Detail&lt;Child&gt;'!$L:$L)</f>
        <v>2</v>
      </c>
    </row>
    <row r="340" spans="1:18" x14ac:dyDescent="0.3">
      <c r="A340" s="17">
        <f t="shared" si="111"/>
        <v>1000051407</v>
      </c>
      <c r="B340" s="17">
        <v>10000514</v>
      </c>
      <c r="C340" s="17" t="str">
        <f>_xlfn.XLOOKUP(B340,'Detail&lt;Child&gt;'!A:A,'Detail&lt;Child&gt;'!B:B)</f>
        <v>두엣샤</v>
      </c>
      <c r="D340" s="17" t="str">
        <f t="shared" si="112"/>
        <v>character_gradeup_10000514_7</v>
      </c>
      <c r="E340" s="17" t="s">
        <v>923</v>
      </c>
      <c r="F340" s="17">
        <f t="shared" si="113"/>
        <v>30030514</v>
      </c>
      <c r="G340" s="17">
        <f>VLOOKUP($R340, '#등급업 재료 개수'!$A$2:$K$5, MATCH(GradeUp!H340, '#등급업 재료 개수'!$A$2:$K$2, 0), FALSE)</f>
        <v>20</v>
      </c>
      <c r="H340" s="17">
        <v>7</v>
      </c>
      <c r="I340" s="17">
        <v>70</v>
      </c>
      <c r="J340" s="17" t="s">
        <v>32</v>
      </c>
      <c r="K340" s="17">
        <f>_xlfn.IFNA(VLOOKUP($B340, 'Detail&lt;Child&gt;'!$A:$AT, MATCH(J340, 'Detail&lt;Child&gt;'!$3:$3,0 ), FALSE)+INT($H340/12), 0)+1</f>
        <v>42051402</v>
      </c>
      <c r="L340" s="17" t="s">
        <v>917</v>
      </c>
      <c r="M340" s="17">
        <f t="shared" si="117"/>
        <v>50000</v>
      </c>
      <c r="N340" s="17" t="s">
        <v>918</v>
      </c>
      <c r="O340" s="17">
        <f t="shared" si="118"/>
        <v>50000</v>
      </c>
      <c r="P340" s="17" t="s">
        <v>919</v>
      </c>
      <c r="Q340" s="17">
        <f t="shared" si="119"/>
        <v>50000</v>
      </c>
      <c r="R340">
        <f>_xlfn.XLOOKUP($B340, 'Detail&lt;Child&gt;'!$A:$A, 'Detail&lt;Child&gt;'!$L:$L)</f>
        <v>2</v>
      </c>
    </row>
    <row r="341" spans="1:18" x14ac:dyDescent="0.3">
      <c r="A341" s="17">
        <f t="shared" si="111"/>
        <v>1000051408</v>
      </c>
      <c r="B341" s="17">
        <v>10000514</v>
      </c>
      <c r="C341" s="17" t="str">
        <f>_xlfn.XLOOKUP(B341,'Detail&lt;Child&gt;'!A:A,'Detail&lt;Child&gt;'!B:B)</f>
        <v>두엣샤</v>
      </c>
      <c r="D341" s="17" t="str">
        <f t="shared" si="112"/>
        <v>character_gradeup_10000514_8</v>
      </c>
      <c r="E341" s="17" t="s">
        <v>923</v>
      </c>
      <c r="F341" s="17">
        <f t="shared" si="113"/>
        <v>30030514</v>
      </c>
      <c r="G341" s="17">
        <f>VLOOKUP($R341, '#등급업 재료 개수'!$A$2:$K$5, MATCH(GradeUp!H341, '#등급업 재료 개수'!$A$2:$K$2, 0), FALSE)</f>
        <v>24</v>
      </c>
      <c r="H341" s="17">
        <v>8</v>
      </c>
      <c r="I341" s="17">
        <v>80</v>
      </c>
      <c r="J341" s="17">
        <v>0</v>
      </c>
      <c r="K341" s="17">
        <v>0</v>
      </c>
      <c r="L341" s="17" t="s">
        <v>917</v>
      </c>
      <c r="M341" s="17">
        <f t="shared" si="117"/>
        <v>60000</v>
      </c>
      <c r="N341" s="17" t="s">
        <v>918</v>
      </c>
      <c r="O341" s="17">
        <f t="shared" si="118"/>
        <v>60000</v>
      </c>
      <c r="P341" s="17" t="s">
        <v>919</v>
      </c>
      <c r="Q341" s="17">
        <f t="shared" si="119"/>
        <v>60000</v>
      </c>
      <c r="R341">
        <f>_xlfn.XLOOKUP($B341, 'Detail&lt;Child&gt;'!$A:$A, 'Detail&lt;Child&gt;'!$L:$L)</f>
        <v>2</v>
      </c>
    </row>
    <row r="342" spans="1:18" x14ac:dyDescent="0.3">
      <c r="A342" s="17">
        <f t="shared" si="111"/>
        <v>1000051409</v>
      </c>
      <c r="B342" s="17">
        <v>10000514</v>
      </c>
      <c r="C342" s="17" t="str">
        <f>_xlfn.XLOOKUP(B342,'Detail&lt;Child&gt;'!A:A,'Detail&lt;Child&gt;'!B:B)</f>
        <v>두엣샤</v>
      </c>
      <c r="D342" s="17" t="str">
        <f t="shared" si="112"/>
        <v>character_gradeup_10000514_9</v>
      </c>
      <c r="E342" s="17" t="s">
        <v>923</v>
      </c>
      <c r="F342" s="17">
        <f t="shared" si="113"/>
        <v>30030514</v>
      </c>
      <c r="G342" s="17">
        <f>VLOOKUP($R342, '#등급업 재료 개수'!$A$2:$K$5, MATCH(GradeUp!H342, '#등급업 재료 개수'!$A$2:$K$2, 0), FALSE)</f>
        <v>28</v>
      </c>
      <c r="H342" s="17">
        <v>9</v>
      </c>
      <c r="I342" s="17">
        <v>90</v>
      </c>
      <c r="J342" s="17" t="s">
        <v>31</v>
      </c>
      <c r="K342" s="17">
        <f>_xlfn.IFNA(VLOOKUP($B342, 'Detail&lt;Child&gt;'!$A:$AT, MATCH(J342, 'Detail&lt;Child&gt;'!$3:$3,0 ), FALSE)+INT($H342/12), 0)+1</f>
        <v>32051402</v>
      </c>
      <c r="L342" s="17" t="s">
        <v>917</v>
      </c>
      <c r="M342" s="17">
        <f t="shared" si="117"/>
        <v>70000</v>
      </c>
      <c r="N342" s="17" t="s">
        <v>918</v>
      </c>
      <c r="O342" s="17">
        <f t="shared" si="118"/>
        <v>70000</v>
      </c>
      <c r="P342" s="17" t="s">
        <v>919</v>
      </c>
      <c r="Q342" s="17">
        <f t="shared" si="119"/>
        <v>70000</v>
      </c>
      <c r="R342">
        <f>_xlfn.XLOOKUP($B342, 'Detail&lt;Child&gt;'!$A:$A, 'Detail&lt;Child&gt;'!$L:$L)</f>
        <v>2</v>
      </c>
    </row>
    <row r="343" spans="1:18" x14ac:dyDescent="0.3">
      <c r="A343" s="17">
        <f t="shared" si="111"/>
        <v>1000051410</v>
      </c>
      <c r="B343" s="17">
        <v>10000514</v>
      </c>
      <c r="C343" s="17" t="str">
        <f>_xlfn.XLOOKUP(B343,'Detail&lt;Child&gt;'!A:A,'Detail&lt;Child&gt;'!B:B)</f>
        <v>두엣샤</v>
      </c>
      <c r="D343" s="17" t="str">
        <f t="shared" si="112"/>
        <v>character_gradeup_10000514_10</v>
      </c>
      <c r="E343" s="17" t="s">
        <v>923</v>
      </c>
      <c r="F343" s="17">
        <f t="shared" si="113"/>
        <v>30030514</v>
      </c>
      <c r="G343" s="17">
        <f>VLOOKUP($R343, '#등급업 재료 개수'!$A$2:$K$5, MATCH(GradeUp!H343, '#등급업 재료 개수'!$A$2:$K$2, 0), FALSE)</f>
        <v>999</v>
      </c>
      <c r="H343" s="17">
        <v>10</v>
      </c>
      <c r="I343" s="17">
        <v>100</v>
      </c>
      <c r="J343" s="17">
        <v>0</v>
      </c>
      <c r="K343" s="17">
        <v>0</v>
      </c>
      <c r="L343" s="17" t="s">
        <v>917</v>
      </c>
      <c r="M343" s="17">
        <f t="shared" si="117"/>
        <v>80000</v>
      </c>
      <c r="N343" s="17" t="s">
        <v>918</v>
      </c>
      <c r="O343" s="17">
        <f t="shared" si="118"/>
        <v>80000</v>
      </c>
      <c r="P343" s="17" t="s">
        <v>919</v>
      </c>
      <c r="Q343" s="17">
        <f t="shared" si="119"/>
        <v>80000</v>
      </c>
      <c r="R343">
        <f>_xlfn.XLOOKUP($B343, 'Detail&lt;Child&gt;'!$A:$A, 'Detail&lt;Child&gt;'!$L:$L)</f>
        <v>2</v>
      </c>
    </row>
  </sheetData>
  <autoFilter ref="A3:R253" xr:uid="{00000000-0009-0000-0000-000007000000}"/>
  <phoneticPr fontId="1" type="noConversion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28"/>
  <sheetViews>
    <sheetView workbookViewId="0">
      <selection activeCell="B10" sqref="B10:C10"/>
    </sheetView>
  </sheetViews>
  <sheetFormatPr defaultRowHeight="16.5" x14ac:dyDescent="0.3"/>
  <cols>
    <col min="1" max="1" width="9" style="1" customWidth="1"/>
    <col min="2" max="2" width="16.375" style="1" bestFit="1" customWidth="1"/>
    <col min="3" max="3" width="24.875" style="1" bestFit="1" customWidth="1"/>
    <col min="4" max="4" width="12.875" style="1" bestFit="1" customWidth="1"/>
    <col min="5" max="5" width="21.375" style="1" bestFit="1" customWidth="1"/>
    <col min="6" max="6" width="15" style="1" bestFit="1" customWidth="1"/>
    <col min="7" max="7" width="23.5" style="1" bestFit="1" customWidth="1"/>
    <col min="8" max="8" width="12.75" style="1" bestFit="1" customWidth="1"/>
    <col min="9" max="9" width="21.25" style="1" bestFit="1" customWidth="1"/>
    <col min="10" max="10" width="13.5" style="1" bestFit="1" customWidth="1"/>
    <col min="11" max="11" width="21.875" style="1" bestFit="1" customWidth="1"/>
    <col min="12" max="12" width="12.5" style="1" bestFit="1" customWidth="1"/>
    <col min="13" max="13" width="21" style="1" bestFit="1" customWidth="1"/>
    <col min="14" max="14" width="12.5" style="1" bestFit="1" customWidth="1"/>
    <col min="15" max="15" width="21" style="1" bestFit="1" customWidth="1"/>
    <col min="16" max="16" width="12.5" style="1" bestFit="1" customWidth="1"/>
    <col min="17" max="17" width="21" style="1" bestFit="1" customWidth="1"/>
    <col min="18" max="18" width="12.5" style="1" bestFit="1" customWidth="1"/>
    <col min="19" max="19" width="21" style="1" bestFit="1" customWidth="1"/>
    <col min="20" max="20" width="12.5" style="1" bestFit="1" customWidth="1"/>
    <col min="21" max="21" width="21" style="1" bestFit="1" customWidth="1"/>
  </cols>
  <sheetData>
    <row r="1" spans="1:21" x14ac:dyDescent="0.3">
      <c r="A1" s="1" t="s">
        <v>0</v>
      </c>
      <c r="B1" s="1" t="s">
        <v>933</v>
      </c>
      <c r="C1" s="1" t="s">
        <v>934</v>
      </c>
      <c r="D1" s="1" t="s">
        <v>933</v>
      </c>
      <c r="E1" s="1" t="s">
        <v>934</v>
      </c>
      <c r="F1" s="1" t="s">
        <v>933</v>
      </c>
      <c r="G1" s="1" t="s">
        <v>934</v>
      </c>
      <c r="H1" s="1" t="s">
        <v>933</v>
      </c>
      <c r="I1" s="1" t="s">
        <v>934</v>
      </c>
      <c r="J1" s="1" t="s">
        <v>933</v>
      </c>
      <c r="K1" s="1" t="s">
        <v>934</v>
      </c>
      <c r="L1" s="1" t="s">
        <v>933</v>
      </c>
      <c r="M1" s="1" t="s">
        <v>934</v>
      </c>
      <c r="N1" s="1" t="s">
        <v>933</v>
      </c>
      <c r="O1" s="1" t="s">
        <v>934</v>
      </c>
      <c r="P1" s="1" t="s">
        <v>933</v>
      </c>
      <c r="Q1" s="1" t="s">
        <v>934</v>
      </c>
      <c r="R1" s="1" t="s">
        <v>933</v>
      </c>
      <c r="S1" s="1" t="s">
        <v>934</v>
      </c>
      <c r="T1" s="1" t="s">
        <v>933</v>
      </c>
      <c r="U1" s="1" t="s">
        <v>934</v>
      </c>
    </row>
    <row r="4" spans="1:21" x14ac:dyDescent="0.3">
      <c r="A4" s="17">
        <v>10000354</v>
      </c>
      <c r="B4" s="1" t="s">
        <v>935</v>
      </c>
      <c r="C4" s="1" t="str">
        <f t="shared" ref="C4:C28" si="0">B4&amp;"_"&amp;$A4</f>
        <v>child_profile_birthday_10000354</v>
      </c>
      <c r="D4" s="1" t="s">
        <v>936</v>
      </c>
      <c r="E4" s="1" t="str">
        <f t="shared" ref="E4:E28" si="1">D4&amp;"_"&amp;$A4</f>
        <v>child_profile_star_10000354</v>
      </c>
      <c r="F4" s="1" t="s">
        <v>937</v>
      </c>
      <c r="G4" s="1" t="str">
        <f t="shared" ref="G4:G28" si="2">F4&amp;"_"&amp;$A4</f>
        <v>child_profile_hobby_10000354</v>
      </c>
      <c r="H4" s="1" t="s">
        <v>938</v>
      </c>
      <c r="I4" s="1" t="str">
        <f t="shared" ref="I4:I28" si="3">H4&amp;"_"&amp;$A4</f>
        <v>child_profile_like_10000354</v>
      </c>
      <c r="J4" s="1" t="s">
        <v>939</v>
      </c>
      <c r="K4" s="1" t="str">
        <f t="shared" ref="K4:K28" si="4">J4&amp;"_"&amp;$A4</f>
        <v>child_profile_hate_10000354</v>
      </c>
      <c r="L4" s="1" t="s">
        <v>940</v>
      </c>
      <c r="M4" s="1" t="str">
        <f t="shared" ref="M4:M28" si="5">L4&amp;"_"&amp;$A4</f>
        <v>child_profile_etc_10000354</v>
      </c>
      <c r="N4" s="1" t="s">
        <v>940</v>
      </c>
      <c r="O4" s="1" t="str">
        <f t="shared" ref="O4:O28" si="6">N4&amp;"_"&amp;$A4</f>
        <v>child_profile_etc_10000354</v>
      </c>
      <c r="P4" s="1" t="s">
        <v>940</v>
      </c>
      <c r="Q4" s="1" t="str">
        <f t="shared" ref="Q4:Q28" si="7">P4&amp;"_"&amp;$A4</f>
        <v>child_profile_etc_10000354</v>
      </c>
      <c r="R4" s="1" t="s">
        <v>940</v>
      </c>
      <c r="S4" s="1" t="str">
        <f t="shared" ref="S4:S28" si="8">R4&amp;"_"&amp;$A4</f>
        <v>child_profile_etc_10000354</v>
      </c>
      <c r="T4" s="1" t="s">
        <v>940</v>
      </c>
      <c r="U4" s="1" t="str">
        <f t="shared" ref="U4:U28" si="9">T4&amp;"_"&amp;$A4</f>
        <v>child_profile_etc_10000354</v>
      </c>
    </row>
    <row r="5" spans="1:21" x14ac:dyDescent="0.3">
      <c r="A5" s="17">
        <v>10000296</v>
      </c>
      <c r="B5" s="1" t="s">
        <v>935</v>
      </c>
      <c r="C5" s="1" t="str">
        <f t="shared" si="0"/>
        <v>child_profile_birthday_10000296</v>
      </c>
      <c r="D5" s="1" t="s">
        <v>936</v>
      </c>
      <c r="E5" s="1" t="str">
        <f t="shared" si="1"/>
        <v>child_profile_star_10000296</v>
      </c>
      <c r="F5" s="1" t="s">
        <v>937</v>
      </c>
      <c r="G5" s="1" t="str">
        <f t="shared" si="2"/>
        <v>child_profile_hobby_10000296</v>
      </c>
      <c r="H5" s="1" t="s">
        <v>938</v>
      </c>
      <c r="I5" s="1" t="str">
        <f t="shared" si="3"/>
        <v>child_profile_like_10000296</v>
      </c>
      <c r="J5" s="1" t="s">
        <v>939</v>
      </c>
      <c r="K5" s="1" t="str">
        <f t="shared" si="4"/>
        <v>child_profile_hate_10000296</v>
      </c>
      <c r="L5" s="1" t="s">
        <v>940</v>
      </c>
      <c r="M5" s="1" t="str">
        <f t="shared" si="5"/>
        <v>child_profile_etc_10000296</v>
      </c>
      <c r="N5" s="1" t="s">
        <v>940</v>
      </c>
      <c r="O5" s="1" t="str">
        <f t="shared" si="6"/>
        <v>child_profile_etc_10000296</v>
      </c>
      <c r="P5" s="1" t="s">
        <v>940</v>
      </c>
      <c r="Q5" s="1" t="str">
        <f t="shared" si="7"/>
        <v>child_profile_etc_10000296</v>
      </c>
      <c r="R5" s="1" t="s">
        <v>940</v>
      </c>
      <c r="S5" s="1" t="str">
        <f t="shared" si="8"/>
        <v>child_profile_etc_10000296</v>
      </c>
      <c r="T5" s="1" t="s">
        <v>940</v>
      </c>
      <c r="U5" s="1" t="str">
        <f t="shared" si="9"/>
        <v>child_profile_etc_10000296</v>
      </c>
    </row>
    <row r="6" spans="1:21" x14ac:dyDescent="0.3">
      <c r="A6" s="17">
        <v>10000003</v>
      </c>
      <c r="B6" s="1" t="s">
        <v>935</v>
      </c>
      <c r="C6" s="1" t="str">
        <f t="shared" si="0"/>
        <v>child_profile_birthday_10000003</v>
      </c>
      <c r="D6" s="1" t="s">
        <v>936</v>
      </c>
      <c r="E6" s="1" t="str">
        <f t="shared" si="1"/>
        <v>child_profile_star_10000003</v>
      </c>
      <c r="F6" s="1" t="s">
        <v>937</v>
      </c>
      <c r="G6" s="1" t="str">
        <f t="shared" si="2"/>
        <v>child_profile_hobby_10000003</v>
      </c>
      <c r="H6" s="1" t="s">
        <v>938</v>
      </c>
      <c r="I6" s="1" t="str">
        <f t="shared" si="3"/>
        <v>child_profile_like_10000003</v>
      </c>
      <c r="J6" s="1" t="s">
        <v>939</v>
      </c>
      <c r="K6" s="1" t="str">
        <f t="shared" si="4"/>
        <v>child_profile_hate_10000003</v>
      </c>
      <c r="L6" s="1" t="s">
        <v>940</v>
      </c>
      <c r="M6" s="1" t="str">
        <f t="shared" si="5"/>
        <v>child_profile_etc_10000003</v>
      </c>
      <c r="N6" s="1" t="s">
        <v>940</v>
      </c>
      <c r="O6" s="1" t="str">
        <f t="shared" si="6"/>
        <v>child_profile_etc_10000003</v>
      </c>
      <c r="P6" s="1" t="s">
        <v>940</v>
      </c>
      <c r="Q6" s="1" t="str">
        <f t="shared" si="7"/>
        <v>child_profile_etc_10000003</v>
      </c>
      <c r="R6" s="1" t="s">
        <v>940</v>
      </c>
      <c r="S6" s="1" t="str">
        <f t="shared" si="8"/>
        <v>child_profile_etc_10000003</v>
      </c>
      <c r="T6" s="1" t="s">
        <v>940</v>
      </c>
      <c r="U6" s="1" t="str">
        <f t="shared" si="9"/>
        <v>child_profile_etc_10000003</v>
      </c>
    </row>
    <row r="7" spans="1:21" x14ac:dyDescent="0.3">
      <c r="A7" s="17">
        <v>10000464</v>
      </c>
      <c r="B7" s="1" t="s">
        <v>935</v>
      </c>
      <c r="C7" s="1" t="str">
        <f t="shared" si="0"/>
        <v>child_profile_birthday_10000464</v>
      </c>
      <c r="D7" s="1" t="s">
        <v>936</v>
      </c>
      <c r="E7" s="1" t="str">
        <f t="shared" si="1"/>
        <v>child_profile_star_10000464</v>
      </c>
      <c r="F7" s="1" t="s">
        <v>937</v>
      </c>
      <c r="G7" s="1" t="str">
        <f t="shared" si="2"/>
        <v>child_profile_hobby_10000464</v>
      </c>
      <c r="H7" s="1" t="s">
        <v>938</v>
      </c>
      <c r="I7" s="1" t="str">
        <f t="shared" si="3"/>
        <v>child_profile_like_10000464</v>
      </c>
      <c r="J7" s="1" t="s">
        <v>939</v>
      </c>
      <c r="K7" s="1" t="str">
        <f t="shared" si="4"/>
        <v>child_profile_hate_10000464</v>
      </c>
      <c r="L7" s="1" t="s">
        <v>940</v>
      </c>
      <c r="M7" s="1" t="str">
        <f t="shared" si="5"/>
        <v>child_profile_etc_10000464</v>
      </c>
      <c r="N7" s="1" t="s">
        <v>940</v>
      </c>
      <c r="O7" s="1" t="str">
        <f t="shared" si="6"/>
        <v>child_profile_etc_10000464</v>
      </c>
      <c r="P7" s="1" t="s">
        <v>940</v>
      </c>
      <c r="Q7" s="1" t="str">
        <f t="shared" si="7"/>
        <v>child_profile_etc_10000464</v>
      </c>
      <c r="R7" s="1" t="s">
        <v>940</v>
      </c>
      <c r="S7" s="1" t="str">
        <f t="shared" si="8"/>
        <v>child_profile_etc_10000464</v>
      </c>
      <c r="T7" s="1" t="s">
        <v>940</v>
      </c>
      <c r="U7" s="1" t="str">
        <f t="shared" si="9"/>
        <v>child_profile_etc_10000464</v>
      </c>
    </row>
    <row r="8" spans="1:21" x14ac:dyDescent="0.3">
      <c r="A8" s="17">
        <v>10000353</v>
      </c>
      <c r="B8" s="1" t="s">
        <v>935</v>
      </c>
      <c r="C8" s="1" t="str">
        <f t="shared" si="0"/>
        <v>child_profile_birthday_10000353</v>
      </c>
      <c r="D8" s="1" t="s">
        <v>936</v>
      </c>
      <c r="E8" s="1" t="str">
        <f t="shared" si="1"/>
        <v>child_profile_star_10000353</v>
      </c>
      <c r="F8" s="1" t="s">
        <v>937</v>
      </c>
      <c r="G8" s="1" t="str">
        <f t="shared" si="2"/>
        <v>child_profile_hobby_10000353</v>
      </c>
      <c r="H8" s="1" t="s">
        <v>938</v>
      </c>
      <c r="I8" s="1" t="str">
        <f t="shared" si="3"/>
        <v>child_profile_like_10000353</v>
      </c>
      <c r="J8" s="1" t="s">
        <v>939</v>
      </c>
      <c r="K8" s="1" t="str">
        <f t="shared" si="4"/>
        <v>child_profile_hate_10000353</v>
      </c>
      <c r="L8" s="1" t="s">
        <v>940</v>
      </c>
      <c r="M8" s="1" t="str">
        <f t="shared" si="5"/>
        <v>child_profile_etc_10000353</v>
      </c>
      <c r="N8" s="1" t="s">
        <v>940</v>
      </c>
      <c r="O8" s="1" t="str">
        <f t="shared" si="6"/>
        <v>child_profile_etc_10000353</v>
      </c>
      <c r="P8" s="1" t="s">
        <v>940</v>
      </c>
      <c r="Q8" s="1" t="str">
        <f t="shared" si="7"/>
        <v>child_profile_etc_10000353</v>
      </c>
      <c r="R8" s="1" t="s">
        <v>940</v>
      </c>
      <c r="S8" s="1" t="str">
        <f t="shared" si="8"/>
        <v>child_profile_etc_10000353</v>
      </c>
      <c r="T8" s="1" t="s">
        <v>940</v>
      </c>
      <c r="U8" s="1" t="str">
        <f t="shared" si="9"/>
        <v>child_profile_etc_10000353</v>
      </c>
    </row>
    <row r="9" spans="1:21" x14ac:dyDescent="0.3">
      <c r="A9" s="17">
        <v>10000229</v>
      </c>
      <c r="B9" s="1" t="s">
        <v>935</v>
      </c>
      <c r="C9" s="1" t="str">
        <f t="shared" si="0"/>
        <v>child_profile_birthday_10000229</v>
      </c>
      <c r="D9" s="1" t="s">
        <v>936</v>
      </c>
      <c r="E9" s="1" t="str">
        <f t="shared" si="1"/>
        <v>child_profile_star_10000229</v>
      </c>
      <c r="F9" s="1" t="s">
        <v>937</v>
      </c>
      <c r="G9" s="1" t="str">
        <f t="shared" si="2"/>
        <v>child_profile_hobby_10000229</v>
      </c>
      <c r="H9" s="1" t="s">
        <v>938</v>
      </c>
      <c r="I9" s="1" t="str">
        <f t="shared" si="3"/>
        <v>child_profile_like_10000229</v>
      </c>
      <c r="J9" s="1" t="s">
        <v>939</v>
      </c>
      <c r="K9" s="1" t="str">
        <f t="shared" si="4"/>
        <v>child_profile_hate_10000229</v>
      </c>
      <c r="L9" s="1" t="s">
        <v>940</v>
      </c>
      <c r="M9" s="1" t="str">
        <f t="shared" si="5"/>
        <v>child_profile_etc_10000229</v>
      </c>
      <c r="N9" s="1" t="s">
        <v>940</v>
      </c>
      <c r="O9" s="1" t="str">
        <f t="shared" si="6"/>
        <v>child_profile_etc_10000229</v>
      </c>
      <c r="P9" s="1" t="s">
        <v>940</v>
      </c>
      <c r="Q9" s="1" t="str">
        <f t="shared" si="7"/>
        <v>child_profile_etc_10000229</v>
      </c>
      <c r="R9" s="1" t="s">
        <v>940</v>
      </c>
      <c r="S9" s="1" t="str">
        <f t="shared" si="8"/>
        <v>child_profile_etc_10000229</v>
      </c>
      <c r="T9" s="1" t="s">
        <v>940</v>
      </c>
      <c r="U9" s="1" t="str">
        <f t="shared" si="9"/>
        <v>child_profile_etc_10000229</v>
      </c>
    </row>
    <row r="10" spans="1:21" x14ac:dyDescent="0.3">
      <c r="A10" s="17">
        <v>10000180</v>
      </c>
      <c r="B10" s="1" t="s">
        <v>935</v>
      </c>
      <c r="C10" s="1" t="str">
        <f t="shared" si="0"/>
        <v>child_profile_birthday_10000180</v>
      </c>
      <c r="D10" s="1" t="s">
        <v>936</v>
      </c>
      <c r="E10" s="1" t="str">
        <f t="shared" si="1"/>
        <v>child_profile_star_10000180</v>
      </c>
      <c r="F10" s="1" t="s">
        <v>937</v>
      </c>
      <c r="G10" s="1" t="str">
        <f t="shared" si="2"/>
        <v>child_profile_hobby_10000180</v>
      </c>
      <c r="H10" s="1" t="s">
        <v>938</v>
      </c>
      <c r="I10" s="1" t="str">
        <f t="shared" si="3"/>
        <v>child_profile_like_10000180</v>
      </c>
      <c r="J10" s="1" t="s">
        <v>939</v>
      </c>
      <c r="K10" s="1" t="str">
        <f t="shared" si="4"/>
        <v>child_profile_hate_10000180</v>
      </c>
      <c r="L10" s="1" t="s">
        <v>940</v>
      </c>
      <c r="M10" s="1" t="str">
        <f t="shared" si="5"/>
        <v>child_profile_etc_10000180</v>
      </c>
      <c r="N10" s="1" t="s">
        <v>940</v>
      </c>
      <c r="O10" s="1" t="str">
        <f t="shared" si="6"/>
        <v>child_profile_etc_10000180</v>
      </c>
      <c r="P10" s="1" t="s">
        <v>940</v>
      </c>
      <c r="Q10" s="1" t="str">
        <f t="shared" si="7"/>
        <v>child_profile_etc_10000180</v>
      </c>
      <c r="R10" s="1" t="s">
        <v>940</v>
      </c>
      <c r="S10" s="1" t="str">
        <f t="shared" si="8"/>
        <v>child_profile_etc_10000180</v>
      </c>
      <c r="T10" s="1" t="s">
        <v>940</v>
      </c>
      <c r="U10" s="1" t="str">
        <f t="shared" si="9"/>
        <v>child_profile_etc_10000180</v>
      </c>
    </row>
    <row r="11" spans="1:21" x14ac:dyDescent="0.3">
      <c r="A11" s="17">
        <v>10000183</v>
      </c>
      <c r="B11" s="1" t="s">
        <v>935</v>
      </c>
      <c r="C11" s="1" t="str">
        <f t="shared" si="0"/>
        <v>child_profile_birthday_10000183</v>
      </c>
      <c r="D11" s="1" t="s">
        <v>936</v>
      </c>
      <c r="E11" s="1" t="str">
        <f t="shared" si="1"/>
        <v>child_profile_star_10000183</v>
      </c>
      <c r="F11" s="1" t="s">
        <v>937</v>
      </c>
      <c r="G11" s="1" t="str">
        <f t="shared" si="2"/>
        <v>child_profile_hobby_10000183</v>
      </c>
      <c r="H11" s="1" t="s">
        <v>938</v>
      </c>
      <c r="I11" s="1" t="str">
        <f t="shared" si="3"/>
        <v>child_profile_like_10000183</v>
      </c>
      <c r="J11" s="1" t="s">
        <v>939</v>
      </c>
      <c r="K11" s="1" t="str">
        <f t="shared" si="4"/>
        <v>child_profile_hate_10000183</v>
      </c>
      <c r="L11" s="1" t="s">
        <v>940</v>
      </c>
      <c r="M11" s="1" t="str">
        <f t="shared" si="5"/>
        <v>child_profile_etc_10000183</v>
      </c>
      <c r="N11" s="1" t="s">
        <v>940</v>
      </c>
      <c r="O11" s="1" t="str">
        <f t="shared" si="6"/>
        <v>child_profile_etc_10000183</v>
      </c>
      <c r="P11" s="1" t="s">
        <v>940</v>
      </c>
      <c r="Q11" s="1" t="str">
        <f t="shared" si="7"/>
        <v>child_profile_etc_10000183</v>
      </c>
      <c r="R11" s="1" t="s">
        <v>940</v>
      </c>
      <c r="S11" s="1" t="str">
        <f t="shared" si="8"/>
        <v>child_profile_etc_10000183</v>
      </c>
      <c r="T11" s="1" t="s">
        <v>940</v>
      </c>
      <c r="U11" s="1" t="str">
        <f t="shared" si="9"/>
        <v>child_profile_etc_10000183</v>
      </c>
    </row>
    <row r="12" spans="1:21" x14ac:dyDescent="0.3">
      <c r="A12" s="17">
        <v>10000051</v>
      </c>
      <c r="B12" s="1" t="s">
        <v>935</v>
      </c>
      <c r="C12" s="1" t="str">
        <f t="shared" si="0"/>
        <v>child_profile_birthday_10000051</v>
      </c>
      <c r="D12" s="1" t="s">
        <v>936</v>
      </c>
      <c r="E12" s="1" t="str">
        <f t="shared" si="1"/>
        <v>child_profile_star_10000051</v>
      </c>
      <c r="F12" s="1" t="s">
        <v>937</v>
      </c>
      <c r="G12" s="1" t="str">
        <f t="shared" si="2"/>
        <v>child_profile_hobby_10000051</v>
      </c>
      <c r="H12" s="1" t="s">
        <v>938</v>
      </c>
      <c r="I12" s="1" t="str">
        <f t="shared" si="3"/>
        <v>child_profile_like_10000051</v>
      </c>
      <c r="J12" s="1" t="s">
        <v>939</v>
      </c>
      <c r="K12" s="1" t="str">
        <f t="shared" si="4"/>
        <v>child_profile_hate_10000051</v>
      </c>
      <c r="L12" s="1" t="s">
        <v>940</v>
      </c>
      <c r="M12" s="1" t="str">
        <f t="shared" si="5"/>
        <v>child_profile_etc_10000051</v>
      </c>
      <c r="N12" s="1" t="s">
        <v>940</v>
      </c>
      <c r="O12" s="1" t="str">
        <f t="shared" si="6"/>
        <v>child_profile_etc_10000051</v>
      </c>
      <c r="P12" s="1" t="s">
        <v>940</v>
      </c>
      <c r="Q12" s="1" t="str">
        <f t="shared" si="7"/>
        <v>child_profile_etc_10000051</v>
      </c>
      <c r="R12" s="1" t="s">
        <v>940</v>
      </c>
      <c r="S12" s="1" t="str">
        <f t="shared" si="8"/>
        <v>child_profile_etc_10000051</v>
      </c>
      <c r="T12" s="1" t="s">
        <v>940</v>
      </c>
      <c r="U12" s="1" t="str">
        <f t="shared" si="9"/>
        <v>child_profile_etc_10000051</v>
      </c>
    </row>
    <row r="13" spans="1:21" x14ac:dyDescent="0.3">
      <c r="A13" s="17">
        <v>10000364</v>
      </c>
      <c r="B13" s="1" t="s">
        <v>935</v>
      </c>
      <c r="C13" s="1" t="str">
        <f t="shared" si="0"/>
        <v>child_profile_birthday_10000364</v>
      </c>
      <c r="D13" s="1" t="s">
        <v>936</v>
      </c>
      <c r="E13" s="1" t="str">
        <f t="shared" si="1"/>
        <v>child_profile_star_10000364</v>
      </c>
      <c r="F13" s="1" t="s">
        <v>937</v>
      </c>
      <c r="G13" s="1" t="str">
        <f t="shared" si="2"/>
        <v>child_profile_hobby_10000364</v>
      </c>
      <c r="H13" s="1" t="s">
        <v>938</v>
      </c>
      <c r="I13" s="1" t="str">
        <f t="shared" si="3"/>
        <v>child_profile_like_10000364</v>
      </c>
      <c r="J13" s="1" t="s">
        <v>939</v>
      </c>
      <c r="K13" s="1" t="str">
        <f t="shared" si="4"/>
        <v>child_profile_hate_10000364</v>
      </c>
      <c r="L13" s="1" t="s">
        <v>940</v>
      </c>
      <c r="M13" s="1" t="str">
        <f t="shared" si="5"/>
        <v>child_profile_etc_10000364</v>
      </c>
      <c r="N13" s="1" t="s">
        <v>940</v>
      </c>
      <c r="O13" s="1" t="str">
        <f t="shared" si="6"/>
        <v>child_profile_etc_10000364</v>
      </c>
      <c r="P13" s="1" t="s">
        <v>940</v>
      </c>
      <c r="Q13" s="1" t="str">
        <f t="shared" si="7"/>
        <v>child_profile_etc_10000364</v>
      </c>
      <c r="R13" s="1" t="s">
        <v>940</v>
      </c>
      <c r="S13" s="1" t="str">
        <f t="shared" si="8"/>
        <v>child_profile_etc_10000364</v>
      </c>
      <c r="T13" s="1" t="s">
        <v>940</v>
      </c>
      <c r="U13" s="1" t="str">
        <f t="shared" si="9"/>
        <v>child_profile_etc_10000364</v>
      </c>
    </row>
    <row r="14" spans="1:21" x14ac:dyDescent="0.3">
      <c r="A14" s="17">
        <v>10000002</v>
      </c>
      <c r="B14" s="1" t="s">
        <v>935</v>
      </c>
      <c r="C14" s="1" t="str">
        <f t="shared" si="0"/>
        <v>child_profile_birthday_10000002</v>
      </c>
      <c r="D14" s="1" t="s">
        <v>936</v>
      </c>
      <c r="E14" s="1" t="str">
        <f t="shared" si="1"/>
        <v>child_profile_star_10000002</v>
      </c>
      <c r="F14" s="1" t="s">
        <v>937</v>
      </c>
      <c r="G14" s="1" t="str">
        <f t="shared" si="2"/>
        <v>child_profile_hobby_10000002</v>
      </c>
      <c r="H14" s="1" t="s">
        <v>938</v>
      </c>
      <c r="I14" s="1" t="str">
        <f t="shared" si="3"/>
        <v>child_profile_like_10000002</v>
      </c>
      <c r="J14" s="1" t="s">
        <v>939</v>
      </c>
      <c r="K14" s="1" t="str">
        <f t="shared" si="4"/>
        <v>child_profile_hate_10000002</v>
      </c>
      <c r="L14" s="1" t="s">
        <v>940</v>
      </c>
      <c r="M14" s="1" t="str">
        <f t="shared" si="5"/>
        <v>child_profile_etc_10000002</v>
      </c>
      <c r="N14" s="1" t="s">
        <v>940</v>
      </c>
      <c r="O14" s="1" t="str">
        <f t="shared" si="6"/>
        <v>child_profile_etc_10000002</v>
      </c>
      <c r="P14" s="1" t="s">
        <v>940</v>
      </c>
      <c r="Q14" s="1" t="str">
        <f t="shared" si="7"/>
        <v>child_profile_etc_10000002</v>
      </c>
      <c r="R14" s="1" t="s">
        <v>940</v>
      </c>
      <c r="S14" s="1" t="str">
        <f t="shared" si="8"/>
        <v>child_profile_etc_10000002</v>
      </c>
      <c r="T14" s="1" t="s">
        <v>940</v>
      </c>
      <c r="U14" s="1" t="str">
        <f t="shared" si="9"/>
        <v>child_profile_etc_10000002</v>
      </c>
    </row>
    <row r="15" spans="1:21" x14ac:dyDescent="0.3">
      <c r="A15" s="17">
        <v>10000417</v>
      </c>
      <c r="B15" s="1" t="s">
        <v>935</v>
      </c>
      <c r="C15" s="1" t="str">
        <f t="shared" si="0"/>
        <v>child_profile_birthday_10000417</v>
      </c>
      <c r="D15" s="1" t="s">
        <v>936</v>
      </c>
      <c r="E15" s="1" t="str">
        <f t="shared" si="1"/>
        <v>child_profile_star_10000417</v>
      </c>
      <c r="F15" s="1" t="s">
        <v>937</v>
      </c>
      <c r="G15" s="1" t="str">
        <f t="shared" si="2"/>
        <v>child_profile_hobby_10000417</v>
      </c>
      <c r="H15" s="1" t="s">
        <v>938</v>
      </c>
      <c r="I15" s="1" t="str">
        <f t="shared" si="3"/>
        <v>child_profile_like_10000417</v>
      </c>
      <c r="J15" s="1" t="s">
        <v>939</v>
      </c>
      <c r="K15" s="1" t="str">
        <f t="shared" si="4"/>
        <v>child_profile_hate_10000417</v>
      </c>
      <c r="L15" s="1" t="s">
        <v>940</v>
      </c>
      <c r="M15" s="1" t="str">
        <f t="shared" si="5"/>
        <v>child_profile_etc_10000417</v>
      </c>
      <c r="N15" s="1" t="s">
        <v>940</v>
      </c>
      <c r="O15" s="1" t="str">
        <f t="shared" si="6"/>
        <v>child_profile_etc_10000417</v>
      </c>
      <c r="P15" s="1" t="s">
        <v>940</v>
      </c>
      <c r="Q15" s="1" t="str">
        <f t="shared" si="7"/>
        <v>child_profile_etc_10000417</v>
      </c>
      <c r="R15" s="1" t="s">
        <v>940</v>
      </c>
      <c r="S15" s="1" t="str">
        <f t="shared" si="8"/>
        <v>child_profile_etc_10000417</v>
      </c>
      <c r="T15" s="1" t="s">
        <v>940</v>
      </c>
      <c r="U15" s="1" t="str">
        <f t="shared" si="9"/>
        <v>child_profile_etc_10000417</v>
      </c>
    </row>
    <row r="16" spans="1:21" x14ac:dyDescent="0.3">
      <c r="A16" s="17">
        <v>10000432</v>
      </c>
      <c r="B16" s="1" t="s">
        <v>935</v>
      </c>
      <c r="C16" s="1" t="str">
        <f t="shared" si="0"/>
        <v>child_profile_birthday_10000432</v>
      </c>
      <c r="D16" s="1" t="s">
        <v>936</v>
      </c>
      <c r="E16" s="1" t="str">
        <f t="shared" si="1"/>
        <v>child_profile_star_10000432</v>
      </c>
      <c r="F16" s="1" t="s">
        <v>937</v>
      </c>
      <c r="G16" s="1" t="str">
        <f t="shared" si="2"/>
        <v>child_profile_hobby_10000432</v>
      </c>
      <c r="H16" s="1" t="s">
        <v>938</v>
      </c>
      <c r="I16" s="1" t="str">
        <f t="shared" si="3"/>
        <v>child_profile_like_10000432</v>
      </c>
      <c r="J16" s="1" t="s">
        <v>939</v>
      </c>
      <c r="K16" s="1" t="str">
        <f t="shared" si="4"/>
        <v>child_profile_hate_10000432</v>
      </c>
      <c r="L16" s="1" t="s">
        <v>940</v>
      </c>
      <c r="M16" s="1" t="str">
        <f t="shared" si="5"/>
        <v>child_profile_etc_10000432</v>
      </c>
      <c r="N16" s="1" t="s">
        <v>940</v>
      </c>
      <c r="O16" s="1" t="str">
        <f t="shared" si="6"/>
        <v>child_profile_etc_10000432</v>
      </c>
      <c r="P16" s="1" t="s">
        <v>940</v>
      </c>
      <c r="Q16" s="1" t="str">
        <f t="shared" si="7"/>
        <v>child_profile_etc_10000432</v>
      </c>
      <c r="R16" s="1" t="s">
        <v>940</v>
      </c>
      <c r="S16" s="1" t="str">
        <f t="shared" si="8"/>
        <v>child_profile_etc_10000432</v>
      </c>
      <c r="T16" s="1" t="s">
        <v>940</v>
      </c>
      <c r="U16" s="1" t="str">
        <f t="shared" si="9"/>
        <v>child_profile_etc_10000432</v>
      </c>
    </row>
    <row r="17" spans="1:21" x14ac:dyDescent="0.3">
      <c r="A17" s="17">
        <v>10000486</v>
      </c>
      <c r="B17" s="1" t="s">
        <v>935</v>
      </c>
      <c r="C17" s="1" t="str">
        <f t="shared" si="0"/>
        <v>child_profile_birthday_10000486</v>
      </c>
      <c r="D17" s="1" t="s">
        <v>936</v>
      </c>
      <c r="E17" s="1" t="str">
        <f t="shared" si="1"/>
        <v>child_profile_star_10000486</v>
      </c>
      <c r="F17" s="1" t="s">
        <v>937</v>
      </c>
      <c r="G17" s="1" t="str">
        <f t="shared" si="2"/>
        <v>child_profile_hobby_10000486</v>
      </c>
      <c r="H17" s="1" t="s">
        <v>938</v>
      </c>
      <c r="I17" s="1" t="str">
        <f t="shared" si="3"/>
        <v>child_profile_like_10000486</v>
      </c>
      <c r="J17" s="1" t="s">
        <v>939</v>
      </c>
      <c r="K17" s="1" t="str">
        <f t="shared" si="4"/>
        <v>child_profile_hate_10000486</v>
      </c>
      <c r="L17" s="1" t="s">
        <v>940</v>
      </c>
      <c r="M17" s="1" t="str">
        <f t="shared" si="5"/>
        <v>child_profile_etc_10000486</v>
      </c>
      <c r="N17" s="1" t="s">
        <v>940</v>
      </c>
      <c r="O17" s="1" t="str">
        <f t="shared" si="6"/>
        <v>child_profile_etc_10000486</v>
      </c>
      <c r="P17" s="1" t="s">
        <v>940</v>
      </c>
      <c r="Q17" s="1" t="str">
        <f t="shared" si="7"/>
        <v>child_profile_etc_10000486</v>
      </c>
      <c r="R17" s="1" t="s">
        <v>940</v>
      </c>
      <c r="S17" s="1" t="str">
        <f t="shared" si="8"/>
        <v>child_profile_etc_10000486</v>
      </c>
      <c r="T17" s="1" t="s">
        <v>940</v>
      </c>
      <c r="U17" s="1" t="str">
        <f t="shared" si="9"/>
        <v>child_profile_etc_10000486</v>
      </c>
    </row>
    <row r="18" spans="1:21" x14ac:dyDescent="0.3">
      <c r="A18" s="17">
        <v>10000294</v>
      </c>
      <c r="B18" s="1" t="s">
        <v>935</v>
      </c>
      <c r="C18" s="1" t="str">
        <f t="shared" si="0"/>
        <v>child_profile_birthday_10000294</v>
      </c>
      <c r="D18" s="1" t="s">
        <v>936</v>
      </c>
      <c r="E18" s="1" t="str">
        <f t="shared" si="1"/>
        <v>child_profile_star_10000294</v>
      </c>
      <c r="F18" s="1" t="s">
        <v>937</v>
      </c>
      <c r="G18" s="1" t="str">
        <f t="shared" si="2"/>
        <v>child_profile_hobby_10000294</v>
      </c>
      <c r="H18" s="1" t="s">
        <v>938</v>
      </c>
      <c r="I18" s="1" t="str">
        <f t="shared" si="3"/>
        <v>child_profile_like_10000294</v>
      </c>
      <c r="J18" s="1" t="s">
        <v>939</v>
      </c>
      <c r="K18" s="1" t="str">
        <f t="shared" si="4"/>
        <v>child_profile_hate_10000294</v>
      </c>
      <c r="L18" s="1" t="s">
        <v>940</v>
      </c>
      <c r="M18" s="1" t="str">
        <f t="shared" si="5"/>
        <v>child_profile_etc_10000294</v>
      </c>
      <c r="N18" s="1" t="s">
        <v>940</v>
      </c>
      <c r="O18" s="1" t="str">
        <f t="shared" si="6"/>
        <v>child_profile_etc_10000294</v>
      </c>
      <c r="P18" s="1" t="s">
        <v>940</v>
      </c>
      <c r="Q18" s="1" t="str">
        <f t="shared" si="7"/>
        <v>child_profile_etc_10000294</v>
      </c>
      <c r="R18" s="1" t="s">
        <v>940</v>
      </c>
      <c r="S18" s="1" t="str">
        <f t="shared" si="8"/>
        <v>child_profile_etc_10000294</v>
      </c>
      <c r="T18" s="1" t="s">
        <v>940</v>
      </c>
      <c r="U18" s="1" t="str">
        <f t="shared" si="9"/>
        <v>child_profile_etc_10000294</v>
      </c>
    </row>
    <row r="19" spans="1:21" x14ac:dyDescent="0.3">
      <c r="A19" s="17">
        <v>10000501</v>
      </c>
      <c r="B19" s="1" t="s">
        <v>935</v>
      </c>
      <c r="C19" s="1" t="str">
        <f t="shared" si="0"/>
        <v>child_profile_birthday_10000501</v>
      </c>
      <c r="D19" s="1" t="s">
        <v>936</v>
      </c>
      <c r="E19" s="1" t="str">
        <f t="shared" si="1"/>
        <v>child_profile_star_10000501</v>
      </c>
      <c r="F19" s="1" t="s">
        <v>937</v>
      </c>
      <c r="G19" s="1" t="str">
        <f t="shared" si="2"/>
        <v>child_profile_hobby_10000501</v>
      </c>
      <c r="H19" s="1" t="s">
        <v>938</v>
      </c>
      <c r="I19" s="1" t="str">
        <f t="shared" si="3"/>
        <v>child_profile_like_10000501</v>
      </c>
      <c r="J19" s="1" t="s">
        <v>939</v>
      </c>
      <c r="K19" s="1" t="str">
        <f t="shared" si="4"/>
        <v>child_profile_hate_10000501</v>
      </c>
      <c r="L19" s="1" t="s">
        <v>940</v>
      </c>
      <c r="M19" s="1" t="str">
        <f t="shared" si="5"/>
        <v>child_profile_etc_10000501</v>
      </c>
      <c r="N19" s="1" t="s">
        <v>940</v>
      </c>
      <c r="O19" s="1" t="str">
        <f t="shared" si="6"/>
        <v>child_profile_etc_10000501</v>
      </c>
      <c r="P19" s="1" t="s">
        <v>940</v>
      </c>
      <c r="Q19" s="1" t="str">
        <f t="shared" si="7"/>
        <v>child_profile_etc_10000501</v>
      </c>
      <c r="R19" s="1" t="s">
        <v>940</v>
      </c>
      <c r="S19" s="1" t="str">
        <f t="shared" si="8"/>
        <v>child_profile_etc_10000501</v>
      </c>
      <c r="T19" s="1" t="s">
        <v>940</v>
      </c>
      <c r="U19" s="1" t="str">
        <f t="shared" si="9"/>
        <v>child_profile_etc_10000501</v>
      </c>
    </row>
    <row r="20" spans="1:21" x14ac:dyDescent="0.3">
      <c r="A20" s="17">
        <v>10000001</v>
      </c>
      <c r="B20" s="1" t="s">
        <v>935</v>
      </c>
      <c r="C20" s="1" t="str">
        <f t="shared" si="0"/>
        <v>child_profile_birthday_10000001</v>
      </c>
      <c r="D20" s="1" t="s">
        <v>936</v>
      </c>
      <c r="E20" s="1" t="str">
        <f t="shared" si="1"/>
        <v>child_profile_star_10000001</v>
      </c>
      <c r="F20" s="1" t="s">
        <v>937</v>
      </c>
      <c r="G20" s="1" t="str">
        <f t="shared" si="2"/>
        <v>child_profile_hobby_10000001</v>
      </c>
      <c r="H20" s="1" t="s">
        <v>938</v>
      </c>
      <c r="I20" s="1" t="str">
        <f t="shared" si="3"/>
        <v>child_profile_like_10000001</v>
      </c>
      <c r="J20" s="1" t="s">
        <v>939</v>
      </c>
      <c r="K20" s="1" t="str">
        <f t="shared" si="4"/>
        <v>child_profile_hate_10000001</v>
      </c>
      <c r="L20" s="1" t="s">
        <v>940</v>
      </c>
      <c r="M20" s="1" t="str">
        <f t="shared" si="5"/>
        <v>child_profile_etc_10000001</v>
      </c>
      <c r="N20" s="1" t="s">
        <v>940</v>
      </c>
      <c r="O20" s="1" t="str">
        <f t="shared" si="6"/>
        <v>child_profile_etc_10000001</v>
      </c>
      <c r="P20" s="1" t="s">
        <v>940</v>
      </c>
      <c r="Q20" s="1" t="str">
        <f t="shared" si="7"/>
        <v>child_profile_etc_10000001</v>
      </c>
      <c r="R20" s="1" t="s">
        <v>940</v>
      </c>
      <c r="S20" s="1" t="str">
        <f t="shared" si="8"/>
        <v>child_profile_etc_10000001</v>
      </c>
      <c r="T20" s="1" t="s">
        <v>940</v>
      </c>
      <c r="U20" s="1" t="str">
        <f t="shared" si="9"/>
        <v>child_profile_etc_10000001</v>
      </c>
    </row>
    <row r="21" spans="1:21" x14ac:dyDescent="0.3">
      <c r="A21" s="17">
        <v>10000502</v>
      </c>
      <c r="B21" s="1" t="s">
        <v>935</v>
      </c>
      <c r="C21" s="1" t="str">
        <f t="shared" si="0"/>
        <v>child_profile_birthday_10000502</v>
      </c>
      <c r="D21" s="1" t="s">
        <v>936</v>
      </c>
      <c r="E21" s="1" t="str">
        <f t="shared" si="1"/>
        <v>child_profile_star_10000502</v>
      </c>
      <c r="F21" s="1" t="s">
        <v>937</v>
      </c>
      <c r="G21" s="1" t="str">
        <f t="shared" si="2"/>
        <v>child_profile_hobby_10000502</v>
      </c>
      <c r="H21" s="1" t="s">
        <v>938</v>
      </c>
      <c r="I21" s="1" t="str">
        <f t="shared" si="3"/>
        <v>child_profile_like_10000502</v>
      </c>
      <c r="J21" s="1" t="s">
        <v>939</v>
      </c>
      <c r="K21" s="1" t="str">
        <f t="shared" si="4"/>
        <v>child_profile_hate_10000502</v>
      </c>
      <c r="L21" s="1" t="s">
        <v>940</v>
      </c>
      <c r="M21" s="1" t="str">
        <f t="shared" si="5"/>
        <v>child_profile_etc_10000502</v>
      </c>
      <c r="N21" s="1" t="s">
        <v>940</v>
      </c>
      <c r="O21" s="1" t="str">
        <f t="shared" si="6"/>
        <v>child_profile_etc_10000502</v>
      </c>
      <c r="P21" s="1" t="s">
        <v>940</v>
      </c>
      <c r="Q21" s="1" t="str">
        <f t="shared" si="7"/>
        <v>child_profile_etc_10000502</v>
      </c>
      <c r="R21" s="1" t="s">
        <v>940</v>
      </c>
      <c r="S21" s="1" t="str">
        <f t="shared" si="8"/>
        <v>child_profile_etc_10000502</v>
      </c>
      <c r="T21" s="1" t="s">
        <v>940</v>
      </c>
      <c r="U21" s="1" t="str">
        <f t="shared" si="9"/>
        <v>child_profile_etc_10000502</v>
      </c>
    </row>
    <row r="22" spans="1:21" x14ac:dyDescent="0.3">
      <c r="A22" s="17">
        <v>10000412</v>
      </c>
      <c r="B22" s="1" t="s">
        <v>935</v>
      </c>
      <c r="C22" s="1" t="str">
        <f t="shared" si="0"/>
        <v>child_profile_birthday_10000412</v>
      </c>
      <c r="D22" s="1" t="s">
        <v>936</v>
      </c>
      <c r="E22" s="1" t="str">
        <f t="shared" si="1"/>
        <v>child_profile_star_10000412</v>
      </c>
      <c r="F22" s="1" t="s">
        <v>937</v>
      </c>
      <c r="G22" s="1" t="str">
        <f t="shared" si="2"/>
        <v>child_profile_hobby_10000412</v>
      </c>
      <c r="H22" s="1" t="s">
        <v>938</v>
      </c>
      <c r="I22" s="1" t="str">
        <f t="shared" si="3"/>
        <v>child_profile_like_10000412</v>
      </c>
      <c r="J22" s="1" t="s">
        <v>939</v>
      </c>
      <c r="K22" s="1" t="str">
        <f t="shared" si="4"/>
        <v>child_profile_hate_10000412</v>
      </c>
      <c r="L22" s="1" t="s">
        <v>940</v>
      </c>
      <c r="M22" s="1" t="str">
        <f t="shared" si="5"/>
        <v>child_profile_etc_10000412</v>
      </c>
      <c r="N22" s="1" t="s">
        <v>940</v>
      </c>
      <c r="O22" s="1" t="str">
        <f t="shared" si="6"/>
        <v>child_profile_etc_10000412</v>
      </c>
      <c r="P22" s="1" t="s">
        <v>940</v>
      </c>
      <c r="Q22" s="1" t="str">
        <f t="shared" si="7"/>
        <v>child_profile_etc_10000412</v>
      </c>
      <c r="R22" s="1" t="s">
        <v>940</v>
      </c>
      <c r="S22" s="1" t="str">
        <f t="shared" si="8"/>
        <v>child_profile_etc_10000412</v>
      </c>
      <c r="T22" s="1" t="s">
        <v>940</v>
      </c>
      <c r="U22" s="1" t="str">
        <f t="shared" si="9"/>
        <v>child_profile_etc_10000412</v>
      </c>
    </row>
    <row r="23" spans="1:21" x14ac:dyDescent="0.3">
      <c r="A23" s="17">
        <v>10000156</v>
      </c>
      <c r="B23" s="1" t="s">
        <v>935</v>
      </c>
      <c r="C23" s="1" t="str">
        <f t="shared" si="0"/>
        <v>child_profile_birthday_10000156</v>
      </c>
      <c r="D23" s="1" t="s">
        <v>936</v>
      </c>
      <c r="E23" s="1" t="str">
        <f t="shared" si="1"/>
        <v>child_profile_star_10000156</v>
      </c>
      <c r="F23" s="1" t="s">
        <v>937</v>
      </c>
      <c r="G23" s="1" t="str">
        <f t="shared" si="2"/>
        <v>child_profile_hobby_10000156</v>
      </c>
      <c r="H23" s="1" t="s">
        <v>938</v>
      </c>
      <c r="I23" s="1" t="str">
        <f t="shared" si="3"/>
        <v>child_profile_like_10000156</v>
      </c>
      <c r="J23" s="1" t="s">
        <v>939</v>
      </c>
      <c r="K23" s="1" t="str">
        <f t="shared" si="4"/>
        <v>child_profile_hate_10000156</v>
      </c>
      <c r="L23" s="1" t="s">
        <v>940</v>
      </c>
      <c r="M23" s="1" t="str">
        <f t="shared" si="5"/>
        <v>child_profile_etc_10000156</v>
      </c>
      <c r="N23" s="1" t="s">
        <v>940</v>
      </c>
      <c r="O23" s="1" t="str">
        <f t="shared" si="6"/>
        <v>child_profile_etc_10000156</v>
      </c>
      <c r="P23" s="1" t="s">
        <v>940</v>
      </c>
      <c r="Q23" s="1" t="str">
        <f t="shared" si="7"/>
        <v>child_profile_etc_10000156</v>
      </c>
      <c r="R23" s="1" t="s">
        <v>940</v>
      </c>
      <c r="S23" s="1" t="str">
        <f t="shared" si="8"/>
        <v>child_profile_etc_10000156</v>
      </c>
      <c r="T23" s="1" t="s">
        <v>940</v>
      </c>
      <c r="U23" s="1" t="str">
        <f t="shared" si="9"/>
        <v>child_profile_etc_10000156</v>
      </c>
    </row>
    <row r="24" spans="1:21" x14ac:dyDescent="0.3">
      <c r="A24" s="17">
        <v>10000318</v>
      </c>
      <c r="B24" s="1" t="s">
        <v>935</v>
      </c>
      <c r="C24" s="1" t="str">
        <f t="shared" si="0"/>
        <v>child_profile_birthday_10000318</v>
      </c>
      <c r="D24" s="1" t="s">
        <v>936</v>
      </c>
      <c r="E24" s="1" t="str">
        <f t="shared" si="1"/>
        <v>child_profile_star_10000318</v>
      </c>
      <c r="F24" s="1" t="s">
        <v>937</v>
      </c>
      <c r="G24" s="1" t="str">
        <f t="shared" si="2"/>
        <v>child_profile_hobby_10000318</v>
      </c>
      <c r="H24" s="1" t="s">
        <v>938</v>
      </c>
      <c r="I24" s="1" t="str">
        <f t="shared" si="3"/>
        <v>child_profile_like_10000318</v>
      </c>
      <c r="J24" s="1" t="s">
        <v>939</v>
      </c>
      <c r="K24" s="1" t="str">
        <f t="shared" si="4"/>
        <v>child_profile_hate_10000318</v>
      </c>
      <c r="L24" s="1" t="s">
        <v>940</v>
      </c>
      <c r="M24" s="1" t="str">
        <f t="shared" si="5"/>
        <v>child_profile_etc_10000318</v>
      </c>
      <c r="N24" s="1" t="s">
        <v>940</v>
      </c>
      <c r="O24" s="1" t="str">
        <f t="shared" si="6"/>
        <v>child_profile_etc_10000318</v>
      </c>
      <c r="P24" s="1" t="s">
        <v>940</v>
      </c>
      <c r="Q24" s="1" t="str">
        <f t="shared" si="7"/>
        <v>child_profile_etc_10000318</v>
      </c>
      <c r="R24" s="1" t="s">
        <v>940</v>
      </c>
      <c r="S24" s="1" t="str">
        <f t="shared" si="8"/>
        <v>child_profile_etc_10000318</v>
      </c>
      <c r="T24" s="1" t="s">
        <v>940</v>
      </c>
      <c r="U24" s="1" t="str">
        <f t="shared" si="9"/>
        <v>child_profile_etc_10000318</v>
      </c>
    </row>
    <row r="25" spans="1:21" x14ac:dyDescent="0.3">
      <c r="A25" s="17">
        <v>10000525</v>
      </c>
      <c r="B25" s="1" t="s">
        <v>935</v>
      </c>
      <c r="C25" s="1" t="str">
        <f t="shared" si="0"/>
        <v>child_profile_birthday_10000525</v>
      </c>
      <c r="D25" s="1" t="s">
        <v>936</v>
      </c>
      <c r="E25" s="1" t="str">
        <f t="shared" si="1"/>
        <v>child_profile_star_10000525</v>
      </c>
      <c r="F25" s="1" t="s">
        <v>937</v>
      </c>
      <c r="G25" s="1" t="str">
        <f t="shared" si="2"/>
        <v>child_profile_hobby_10000525</v>
      </c>
      <c r="H25" s="1" t="s">
        <v>938</v>
      </c>
      <c r="I25" s="1" t="str">
        <f t="shared" si="3"/>
        <v>child_profile_like_10000525</v>
      </c>
      <c r="J25" s="1" t="s">
        <v>939</v>
      </c>
      <c r="K25" s="1" t="str">
        <f t="shared" si="4"/>
        <v>child_profile_hate_10000525</v>
      </c>
      <c r="L25" s="1" t="s">
        <v>940</v>
      </c>
      <c r="M25" s="1" t="str">
        <f t="shared" si="5"/>
        <v>child_profile_etc_10000525</v>
      </c>
      <c r="N25" s="1" t="s">
        <v>940</v>
      </c>
      <c r="O25" s="1" t="str">
        <f t="shared" si="6"/>
        <v>child_profile_etc_10000525</v>
      </c>
      <c r="P25" s="1" t="s">
        <v>940</v>
      </c>
      <c r="Q25" s="1" t="str">
        <f t="shared" si="7"/>
        <v>child_profile_etc_10000525</v>
      </c>
      <c r="R25" s="1" t="s">
        <v>940</v>
      </c>
      <c r="S25" s="1" t="str">
        <f t="shared" si="8"/>
        <v>child_profile_etc_10000525</v>
      </c>
      <c r="T25" s="1" t="s">
        <v>940</v>
      </c>
      <c r="U25" s="1" t="str">
        <f t="shared" si="9"/>
        <v>child_profile_etc_10000525</v>
      </c>
    </row>
    <row r="26" spans="1:21" x14ac:dyDescent="0.3">
      <c r="A26" s="17">
        <v>10000442</v>
      </c>
      <c r="B26" s="1" t="s">
        <v>935</v>
      </c>
      <c r="C26" s="1" t="str">
        <f t="shared" si="0"/>
        <v>child_profile_birthday_10000442</v>
      </c>
      <c r="D26" s="1" t="s">
        <v>936</v>
      </c>
      <c r="E26" s="1" t="str">
        <f t="shared" si="1"/>
        <v>child_profile_star_10000442</v>
      </c>
      <c r="F26" s="1" t="s">
        <v>937</v>
      </c>
      <c r="G26" s="1" t="str">
        <f t="shared" si="2"/>
        <v>child_profile_hobby_10000442</v>
      </c>
      <c r="H26" s="1" t="s">
        <v>938</v>
      </c>
      <c r="I26" s="1" t="str">
        <f t="shared" si="3"/>
        <v>child_profile_like_10000442</v>
      </c>
      <c r="J26" s="1" t="s">
        <v>939</v>
      </c>
      <c r="K26" s="1" t="str">
        <f t="shared" si="4"/>
        <v>child_profile_hate_10000442</v>
      </c>
      <c r="L26" s="1" t="s">
        <v>940</v>
      </c>
      <c r="M26" s="1" t="str">
        <f t="shared" si="5"/>
        <v>child_profile_etc_10000442</v>
      </c>
      <c r="N26" s="1" t="s">
        <v>940</v>
      </c>
      <c r="O26" s="1" t="str">
        <f t="shared" si="6"/>
        <v>child_profile_etc_10000442</v>
      </c>
      <c r="P26" s="1" t="s">
        <v>940</v>
      </c>
      <c r="Q26" s="1" t="str">
        <f t="shared" si="7"/>
        <v>child_profile_etc_10000442</v>
      </c>
      <c r="R26" s="1" t="s">
        <v>940</v>
      </c>
      <c r="S26" s="1" t="str">
        <f t="shared" si="8"/>
        <v>child_profile_etc_10000442</v>
      </c>
      <c r="T26" s="1" t="s">
        <v>940</v>
      </c>
      <c r="U26" s="1" t="str">
        <f t="shared" si="9"/>
        <v>child_profile_etc_10000442</v>
      </c>
    </row>
    <row r="27" spans="1:21" x14ac:dyDescent="0.3">
      <c r="A27" s="17">
        <v>10000194</v>
      </c>
      <c r="B27" s="1" t="s">
        <v>935</v>
      </c>
      <c r="C27" s="1" t="str">
        <f t="shared" si="0"/>
        <v>child_profile_birthday_10000194</v>
      </c>
      <c r="D27" s="1" t="s">
        <v>936</v>
      </c>
      <c r="E27" s="1" t="str">
        <f t="shared" si="1"/>
        <v>child_profile_star_10000194</v>
      </c>
      <c r="F27" s="1" t="s">
        <v>937</v>
      </c>
      <c r="G27" s="1" t="str">
        <f t="shared" si="2"/>
        <v>child_profile_hobby_10000194</v>
      </c>
      <c r="H27" s="1" t="s">
        <v>938</v>
      </c>
      <c r="I27" s="1" t="str">
        <f t="shared" si="3"/>
        <v>child_profile_like_10000194</v>
      </c>
      <c r="J27" s="1" t="s">
        <v>939</v>
      </c>
      <c r="K27" s="1" t="str">
        <f t="shared" si="4"/>
        <v>child_profile_hate_10000194</v>
      </c>
      <c r="L27" s="1" t="s">
        <v>940</v>
      </c>
      <c r="M27" s="1" t="str">
        <f t="shared" si="5"/>
        <v>child_profile_etc_10000194</v>
      </c>
      <c r="N27" s="1" t="s">
        <v>940</v>
      </c>
      <c r="O27" s="1" t="str">
        <f t="shared" si="6"/>
        <v>child_profile_etc_10000194</v>
      </c>
      <c r="P27" s="1" t="s">
        <v>940</v>
      </c>
      <c r="Q27" s="1" t="str">
        <f t="shared" si="7"/>
        <v>child_profile_etc_10000194</v>
      </c>
      <c r="R27" s="1" t="s">
        <v>940</v>
      </c>
      <c r="S27" s="1" t="str">
        <f t="shared" si="8"/>
        <v>child_profile_etc_10000194</v>
      </c>
      <c r="T27" s="1" t="s">
        <v>940</v>
      </c>
      <c r="U27" s="1" t="str">
        <f t="shared" si="9"/>
        <v>child_profile_etc_10000194</v>
      </c>
    </row>
    <row r="28" spans="1:21" x14ac:dyDescent="0.3">
      <c r="A28" s="17">
        <v>10000124</v>
      </c>
      <c r="B28" s="1" t="s">
        <v>935</v>
      </c>
      <c r="C28" s="1" t="str">
        <f t="shared" si="0"/>
        <v>child_profile_birthday_10000124</v>
      </c>
      <c r="D28" s="1" t="s">
        <v>936</v>
      </c>
      <c r="E28" s="1" t="str">
        <f t="shared" si="1"/>
        <v>child_profile_star_10000124</v>
      </c>
      <c r="F28" s="1" t="s">
        <v>937</v>
      </c>
      <c r="G28" s="1" t="str">
        <f t="shared" si="2"/>
        <v>child_profile_hobby_10000124</v>
      </c>
      <c r="H28" s="1" t="s">
        <v>938</v>
      </c>
      <c r="I28" s="1" t="str">
        <f t="shared" si="3"/>
        <v>child_profile_like_10000124</v>
      </c>
      <c r="J28" s="1" t="s">
        <v>939</v>
      </c>
      <c r="K28" s="1" t="str">
        <f t="shared" si="4"/>
        <v>child_profile_hate_10000124</v>
      </c>
      <c r="L28" s="1" t="s">
        <v>940</v>
      </c>
      <c r="M28" s="1" t="str">
        <f t="shared" si="5"/>
        <v>child_profile_etc_10000124</v>
      </c>
      <c r="N28" s="1" t="s">
        <v>940</v>
      </c>
      <c r="O28" s="1" t="str">
        <f t="shared" si="6"/>
        <v>child_profile_etc_10000124</v>
      </c>
      <c r="P28" s="1" t="s">
        <v>940</v>
      </c>
      <c r="Q28" s="1" t="str">
        <f t="shared" si="7"/>
        <v>child_profile_etc_10000124</v>
      </c>
      <c r="R28" s="1" t="s">
        <v>940</v>
      </c>
      <c r="S28" s="1" t="str">
        <f t="shared" si="8"/>
        <v>child_profile_etc_10000124</v>
      </c>
      <c r="T28" s="1" t="s">
        <v>940</v>
      </c>
      <c r="U28" s="1" t="str">
        <f t="shared" si="9"/>
        <v>child_profile_etc_10000124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5"/>
  <sheetViews>
    <sheetView workbookViewId="0">
      <selection activeCell="K12" sqref="K12"/>
    </sheetView>
  </sheetViews>
  <sheetFormatPr defaultRowHeight="16.5" x14ac:dyDescent="0.3"/>
  <cols>
    <col min="1" max="1" width="8.5" style="1" bestFit="1" customWidth="1"/>
    <col min="2" max="2" width="7.5" style="1" bestFit="1" customWidth="1"/>
    <col min="3" max="3" width="8.875" style="1" bestFit="1" customWidth="1"/>
    <col min="4" max="4" width="16" style="1" bestFit="1" customWidth="1"/>
    <col min="5" max="5" width="7" style="1" bestFit="1" customWidth="1"/>
  </cols>
  <sheetData>
    <row r="1" spans="1:7" s="7" customFormat="1" x14ac:dyDescent="0.3">
      <c r="A1" s="5" t="s">
        <v>0</v>
      </c>
      <c r="B1" s="6" t="s">
        <v>4</v>
      </c>
      <c r="C1" s="6" t="s">
        <v>941</v>
      </c>
      <c r="D1" s="6" t="s">
        <v>174</v>
      </c>
      <c r="E1" s="6" t="s">
        <v>178</v>
      </c>
      <c r="F1" s="6" t="s">
        <v>180</v>
      </c>
    </row>
    <row r="2" spans="1:7" x14ac:dyDescent="0.3">
      <c r="A2" s="8"/>
      <c r="B2" s="2"/>
      <c r="C2" s="2"/>
      <c r="D2" s="2"/>
      <c r="E2" s="2"/>
      <c r="F2" s="2"/>
    </row>
    <row r="3" spans="1:7" s="11" customFormat="1" x14ac:dyDescent="0.3">
      <c r="A3" s="9"/>
      <c r="B3" s="10"/>
      <c r="C3" s="10"/>
      <c r="D3" s="10"/>
      <c r="E3" s="10"/>
      <c r="F3" s="10"/>
    </row>
    <row r="4" spans="1:7" x14ac:dyDescent="0.3">
      <c r="A4" s="1">
        <v>10000001</v>
      </c>
      <c r="B4" s="1" t="s">
        <v>461</v>
      </c>
      <c r="C4" s="1">
        <v>135401</v>
      </c>
      <c r="D4" s="1" t="s">
        <v>942</v>
      </c>
    </row>
    <row r="5" spans="1:7" x14ac:dyDescent="0.3">
      <c r="A5" s="1">
        <v>10000002</v>
      </c>
      <c r="B5" s="1" t="s">
        <v>471</v>
      </c>
      <c r="C5" s="1">
        <v>129601</v>
      </c>
      <c r="D5" s="1" t="s">
        <v>943</v>
      </c>
    </row>
    <row r="6" spans="1:7" x14ac:dyDescent="0.3">
      <c r="A6" s="1">
        <v>10000003</v>
      </c>
      <c r="B6" s="1" t="s">
        <v>474</v>
      </c>
      <c r="C6" s="1">
        <v>100301</v>
      </c>
      <c r="D6" s="1" t="s">
        <v>944</v>
      </c>
    </row>
    <row r="7" spans="1:7" x14ac:dyDescent="0.3">
      <c r="A7" s="1">
        <v>10000004</v>
      </c>
      <c r="B7" s="1" t="s">
        <v>476</v>
      </c>
      <c r="C7" s="1">
        <v>146401</v>
      </c>
      <c r="D7" s="1" t="s">
        <v>945</v>
      </c>
    </row>
    <row r="8" spans="1:7" x14ac:dyDescent="0.3">
      <c r="A8" s="1">
        <v>10000005</v>
      </c>
      <c r="B8" s="1" t="s">
        <v>480</v>
      </c>
      <c r="C8" s="1">
        <v>135301</v>
      </c>
      <c r="D8" s="1" t="s">
        <v>946</v>
      </c>
    </row>
    <row r="9" spans="1:7" x14ac:dyDescent="0.3">
      <c r="A9" s="1">
        <v>10000006</v>
      </c>
      <c r="B9" s="1" t="s">
        <v>483</v>
      </c>
      <c r="C9" s="1">
        <v>122901</v>
      </c>
      <c r="D9" s="17" t="s">
        <v>947</v>
      </c>
    </row>
    <row r="10" spans="1:7" x14ac:dyDescent="0.3">
      <c r="A10" s="1">
        <v>10000007</v>
      </c>
      <c r="B10" s="1" t="s">
        <v>486</v>
      </c>
      <c r="C10" s="1">
        <v>118001</v>
      </c>
      <c r="D10" s="17" t="s">
        <v>948</v>
      </c>
      <c r="G10" s="1"/>
    </row>
    <row r="11" spans="1:7" x14ac:dyDescent="0.3">
      <c r="A11" s="1">
        <v>20000001</v>
      </c>
      <c r="B11" s="1" t="s">
        <v>545</v>
      </c>
      <c r="C11" s="1">
        <v>215501</v>
      </c>
      <c r="D11" s="1" t="s">
        <v>949</v>
      </c>
      <c r="G11" s="1"/>
    </row>
    <row r="12" spans="1:7" x14ac:dyDescent="0.3">
      <c r="A12" s="1">
        <v>20000002</v>
      </c>
      <c r="B12" s="1" t="s">
        <v>545</v>
      </c>
      <c r="C12" s="1">
        <v>215502</v>
      </c>
      <c r="D12" s="1" t="s">
        <v>950</v>
      </c>
    </row>
    <row r="13" spans="1:7" x14ac:dyDescent="0.3">
      <c r="A13" s="1">
        <v>20000003</v>
      </c>
      <c r="B13" s="1" t="s">
        <v>545</v>
      </c>
      <c r="C13" s="1">
        <v>215503</v>
      </c>
      <c r="D13" s="1" t="s">
        <v>951</v>
      </c>
    </row>
    <row r="14" spans="1:7" x14ac:dyDescent="0.3">
      <c r="A14" s="1">
        <v>20000004</v>
      </c>
      <c r="B14" s="1" t="s">
        <v>545</v>
      </c>
      <c r="C14" s="1">
        <v>215504</v>
      </c>
      <c r="D14" s="1" t="s">
        <v>952</v>
      </c>
    </row>
    <row r="15" spans="1:7" x14ac:dyDescent="0.3">
      <c r="A15" s="1">
        <v>20000011</v>
      </c>
      <c r="B15" s="1" t="s">
        <v>545</v>
      </c>
      <c r="C15" s="1">
        <v>215501</v>
      </c>
      <c r="D15" s="1" t="s">
        <v>953</v>
      </c>
    </row>
    <row r="16" spans="1:7" x14ac:dyDescent="0.3">
      <c r="A16" s="1">
        <v>20000012</v>
      </c>
      <c r="B16" s="1" t="s">
        <v>545</v>
      </c>
      <c r="C16" s="1">
        <v>215502</v>
      </c>
      <c r="D16" s="1" t="s">
        <v>954</v>
      </c>
    </row>
    <row r="17" spans="1:4" x14ac:dyDescent="0.3">
      <c r="A17" s="1">
        <v>20000013</v>
      </c>
      <c r="B17" s="1" t="s">
        <v>545</v>
      </c>
      <c r="C17" s="1">
        <v>215503</v>
      </c>
      <c r="D17" s="1" t="s">
        <v>955</v>
      </c>
    </row>
    <row r="18" spans="1:4" x14ac:dyDescent="0.3">
      <c r="A18" s="1">
        <v>20000014</v>
      </c>
      <c r="B18" s="1" t="s">
        <v>545</v>
      </c>
      <c r="C18" s="1">
        <v>215504</v>
      </c>
      <c r="D18" s="1" t="s">
        <v>956</v>
      </c>
    </row>
    <row r="19" spans="1:4" x14ac:dyDescent="0.3">
      <c r="A19" s="1">
        <v>20000021</v>
      </c>
      <c r="B19" s="1" t="s">
        <v>553</v>
      </c>
      <c r="C19" s="1">
        <v>225801</v>
      </c>
      <c r="D19" s="1" t="s">
        <v>957</v>
      </c>
    </row>
    <row r="20" spans="1:4" x14ac:dyDescent="0.3">
      <c r="A20" s="1">
        <v>20000022</v>
      </c>
      <c r="B20" s="1" t="s">
        <v>553</v>
      </c>
      <c r="C20" s="1">
        <v>225802</v>
      </c>
      <c r="D20" s="1" t="s">
        <v>958</v>
      </c>
    </row>
    <row r="21" spans="1:4" x14ac:dyDescent="0.3">
      <c r="A21" s="1">
        <v>20000023</v>
      </c>
      <c r="B21" s="1" t="s">
        <v>553</v>
      </c>
      <c r="C21" s="1">
        <v>225803</v>
      </c>
      <c r="D21" s="1" t="s">
        <v>959</v>
      </c>
    </row>
    <row r="22" spans="1:4" x14ac:dyDescent="0.3">
      <c r="A22" s="1">
        <v>20000024</v>
      </c>
      <c r="B22" s="1" t="s">
        <v>553</v>
      </c>
      <c r="C22" s="1">
        <v>225804</v>
      </c>
      <c r="D22" s="1" t="s">
        <v>960</v>
      </c>
    </row>
    <row r="23" spans="1:4" x14ac:dyDescent="0.3">
      <c r="A23" s="1">
        <v>20000025</v>
      </c>
      <c r="B23" s="1" t="s">
        <v>553</v>
      </c>
      <c r="C23" s="1">
        <v>225805</v>
      </c>
      <c r="D23" s="1" t="s">
        <v>961</v>
      </c>
    </row>
    <row r="24" spans="1:4" x14ac:dyDescent="0.3">
      <c r="A24" s="1">
        <v>30000001</v>
      </c>
      <c r="B24" s="1" t="s">
        <v>555</v>
      </c>
      <c r="C24" s="1">
        <v>203801</v>
      </c>
      <c r="D24" s="1" t="s">
        <v>962</v>
      </c>
    </row>
    <row r="25" spans="1:4" x14ac:dyDescent="0.3">
      <c r="A25" s="1">
        <v>60000001</v>
      </c>
      <c r="B25" s="1" t="s">
        <v>456</v>
      </c>
      <c r="D25" s="1" t="s">
        <v>963</v>
      </c>
    </row>
  </sheetData>
  <autoFilter ref="A3:F3" xr:uid="{00000000-0009-0000-0000-000009000000}">
    <sortState xmlns:xlrd2="http://schemas.microsoft.com/office/spreadsheetml/2017/richdata2" ref="A4:F17">
      <sortCondition ref="A3"/>
    </sortState>
  </autoFilter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22"/>
  <sheetViews>
    <sheetView workbookViewId="0">
      <selection activeCell="H47" sqref="H47"/>
    </sheetView>
  </sheetViews>
  <sheetFormatPr defaultRowHeight="12" x14ac:dyDescent="0.3"/>
  <cols>
    <col min="1" max="1" width="10.25" style="24" bestFit="1" customWidth="1"/>
    <col min="2" max="2" width="9" style="23" customWidth="1"/>
    <col min="3" max="4" width="9" style="25" customWidth="1"/>
    <col min="5" max="5" width="12.5" style="17" customWidth="1"/>
    <col min="6" max="6" width="12.5" style="23" customWidth="1"/>
    <col min="7" max="7" width="20.5" style="17" bestFit="1" customWidth="1"/>
    <col min="8" max="8" width="21" style="17" bestFit="1" customWidth="1"/>
    <col min="9" max="15" width="9" style="17" customWidth="1"/>
    <col min="16" max="16" width="10.625" style="17" bestFit="1" customWidth="1"/>
    <col min="17" max="22" width="9" style="17" customWidth="1"/>
    <col min="23" max="16384" width="9" style="17"/>
  </cols>
  <sheetData>
    <row r="1" spans="1:14" x14ac:dyDescent="0.3">
      <c r="A1" s="24" t="s">
        <v>0</v>
      </c>
      <c r="B1" s="23" t="s">
        <v>432</v>
      </c>
      <c r="C1" s="25" t="s">
        <v>433</v>
      </c>
      <c r="D1" s="25" t="s">
        <v>434</v>
      </c>
      <c r="E1" s="17" t="s">
        <v>435</v>
      </c>
      <c r="F1" s="23" t="s">
        <v>436</v>
      </c>
      <c r="G1" s="17" t="s">
        <v>449</v>
      </c>
      <c r="H1" s="17" t="s">
        <v>2</v>
      </c>
      <c r="I1" s="17" t="s">
        <v>452</v>
      </c>
      <c r="J1" s="17" t="s">
        <v>452</v>
      </c>
      <c r="K1" s="17" t="s">
        <v>452</v>
      </c>
      <c r="L1" s="17" t="s">
        <v>452</v>
      </c>
      <c r="M1" s="17" t="s">
        <v>452</v>
      </c>
      <c r="N1" s="17" t="s">
        <v>452</v>
      </c>
    </row>
    <row r="4" spans="1:14" x14ac:dyDescent="0.3">
      <c r="A4" s="24">
        <f t="shared" ref="A4:A22" si="0">INT(TEXT(IF(LEFT(B4,1)="c",1,2)&amp;MID(B4,2,3),"000")&amp;TEXT(C4,"00"))</f>
        <v>100001</v>
      </c>
      <c r="B4" s="23" t="s">
        <v>454</v>
      </c>
      <c r="C4" s="25">
        <v>1</v>
      </c>
      <c r="D4" s="25" t="s">
        <v>455</v>
      </c>
      <c r="E4" s="17">
        <v>10000000</v>
      </c>
      <c r="F4" s="23" t="s">
        <v>456</v>
      </c>
      <c r="G4" s="17" t="str">
        <f t="shared" ref="G4:G22" si="1">B4&amp;"_"&amp;D4&amp;".SkeletonData"</f>
        <v>c000_a.SkeletonData</v>
      </c>
      <c r="H4" s="17" t="str">
        <f t="shared" ref="H4:H22" si="2">B4&amp;"_"&amp;TEXT(C4,"00")&amp;MID(G4,5,2)</f>
        <v>c000_01_a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</row>
    <row r="5" spans="1:14" x14ac:dyDescent="0.3">
      <c r="A5" s="24">
        <f t="shared" si="0"/>
        <v>135401</v>
      </c>
      <c r="B5" s="23" t="s">
        <v>460</v>
      </c>
      <c r="C5" s="25">
        <v>1</v>
      </c>
      <c r="D5" s="25" t="s">
        <v>455</v>
      </c>
      <c r="E5" s="17">
        <v>10000001</v>
      </c>
      <c r="F5" s="23" t="str">
        <f>_xlfn.XLOOKUP(E5,'#Base'!A:A,'#Base'!B:B)</f>
        <v>Demeter</v>
      </c>
      <c r="G5" s="17" t="str">
        <f t="shared" si="1"/>
        <v>c354_a.SkeletonData</v>
      </c>
      <c r="H5" s="17" t="str">
        <f t="shared" si="2"/>
        <v>c354_01_a</v>
      </c>
      <c r="I5" s="1">
        <f t="shared" ref="I5:I22" si="3">INT(1&amp;A5)</f>
        <v>1135401</v>
      </c>
      <c r="J5" s="1">
        <f t="shared" ref="J5:J11" si="4">INT(2&amp;A5)</f>
        <v>2135401</v>
      </c>
      <c r="K5" s="1">
        <f t="shared" ref="K5:K11" si="5">INT(3&amp;A5)</f>
        <v>3135401</v>
      </c>
      <c r="L5" s="1">
        <f t="shared" ref="L5:L11" si="6">INT(4&amp;A5)</f>
        <v>4135401</v>
      </c>
      <c r="M5" s="1">
        <f t="shared" ref="M5:M11" si="7">INT(5&amp;A5)</f>
        <v>5135401</v>
      </c>
      <c r="N5" s="1">
        <f t="shared" ref="N5:N11" si="8">INT(6&amp;A5)</f>
        <v>6135401</v>
      </c>
    </row>
    <row r="6" spans="1:14" x14ac:dyDescent="0.3">
      <c r="A6" s="24">
        <f t="shared" si="0"/>
        <v>129601</v>
      </c>
      <c r="B6" s="23" t="s">
        <v>470</v>
      </c>
      <c r="C6" s="25">
        <v>1</v>
      </c>
      <c r="D6" s="25" t="s">
        <v>455</v>
      </c>
      <c r="E6" s="17">
        <v>10000002</v>
      </c>
      <c r="F6" s="23" t="str">
        <f>_xlfn.XLOOKUP(E6,'#Base'!A:A,'#Base'!B:B)</f>
        <v>Hildr</v>
      </c>
      <c r="G6" s="17" t="str">
        <f t="shared" si="1"/>
        <v>c296_a.SkeletonData</v>
      </c>
      <c r="H6" s="17" t="str">
        <f t="shared" si="2"/>
        <v>c296_01_a</v>
      </c>
      <c r="I6" s="1">
        <f t="shared" si="3"/>
        <v>1129601</v>
      </c>
      <c r="J6" s="1">
        <f t="shared" si="4"/>
        <v>2129601</v>
      </c>
      <c r="K6" s="1">
        <f t="shared" si="5"/>
        <v>3129601</v>
      </c>
      <c r="L6" s="1">
        <f t="shared" si="6"/>
        <v>4129601</v>
      </c>
      <c r="M6" s="1">
        <f t="shared" si="7"/>
        <v>5129601</v>
      </c>
      <c r="N6" s="1">
        <f t="shared" si="8"/>
        <v>6129601</v>
      </c>
    </row>
    <row r="7" spans="1:14" x14ac:dyDescent="0.3">
      <c r="A7" s="24">
        <f t="shared" si="0"/>
        <v>100301</v>
      </c>
      <c r="B7" s="23" t="s">
        <v>473</v>
      </c>
      <c r="C7" s="25">
        <v>1</v>
      </c>
      <c r="D7" s="25" t="s">
        <v>455</v>
      </c>
      <c r="E7" s="17">
        <v>10000003</v>
      </c>
      <c r="F7" s="23" t="str">
        <f>_xlfn.XLOOKUP(E7,'#Base'!A:A,'#Base'!B:B)</f>
        <v>Davi</v>
      </c>
      <c r="G7" s="17" t="str">
        <f t="shared" si="1"/>
        <v>c003_a.SkeletonData</v>
      </c>
      <c r="H7" s="17" t="str">
        <f t="shared" si="2"/>
        <v>c003_01_a</v>
      </c>
      <c r="I7" s="1">
        <f t="shared" si="3"/>
        <v>1100301</v>
      </c>
      <c r="J7" s="1">
        <f t="shared" si="4"/>
        <v>2100301</v>
      </c>
      <c r="K7" s="1">
        <f t="shared" si="5"/>
        <v>3100301</v>
      </c>
      <c r="L7" s="1">
        <f t="shared" si="6"/>
        <v>4100301</v>
      </c>
      <c r="M7" s="1">
        <f t="shared" si="7"/>
        <v>5100301</v>
      </c>
      <c r="N7" s="1">
        <f t="shared" si="8"/>
        <v>6100301</v>
      </c>
    </row>
    <row r="8" spans="1:14" x14ac:dyDescent="0.3">
      <c r="A8" s="24">
        <f t="shared" si="0"/>
        <v>146401</v>
      </c>
      <c r="B8" s="23" t="s">
        <v>475</v>
      </c>
      <c r="C8" s="25">
        <v>1</v>
      </c>
      <c r="D8" s="25" t="s">
        <v>455</v>
      </c>
      <c r="E8" s="17">
        <v>10000004</v>
      </c>
      <c r="F8" s="23" t="str">
        <f>_xlfn.XLOOKUP(E8,'#Base'!A:A,'#Base'!B:B)</f>
        <v>Arhat</v>
      </c>
      <c r="G8" s="17" t="str">
        <f t="shared" si="1"/>
        <v>c464_a.SkeletonData</v>
      </c>
      <c r="H8" s="17" t="str">
        <f t="shared" si="2"/>
        <v>c464_01_a</v>
      </c>
      <c r="I8" s="1">
        <f t="shared" si="3"/>
        <v>1146401</v>
      </c>
      <c r="J8" s="1">
        <f t="shared" si="4"/>
        <v>2146401</v>
      </c>
      <c r="K8" s="1">
        <f t="shared" si="5"/>
        <v>3146401</v>
      </c>
      <c r="L8" s="1">
        <f t="shared" si="6"/>
        <v>4146401</v>
      </c>
      <c r="M8" s="1">
        <f t="shared" si="7"/>
        <v>5146401</v>
      </c>
      <c r="N8" s="1">
        <f t="shared" si="8"/>
        <v>6146401</v>
      </c>
    </row>
    <row r="9" spans="1:14" x14ac:dyDescent="0.3">
      <c r="A9" s="24">
        <f t="shared" si="0"/>
        <v>135301</v>
      </c>
      <c r="B9" s="23" t="s">
        <v>479</v>
      </c>
      <c r="C9" s="25">
        <v>1</v>
      </c>
      <c r="D9" s="25" t="s">
        <v>455</v>
      </c>
      <c r="E9" s="17">
        <v>10000005</v>
      </c>
      <c r="F9" s="23" t="str">
        <f>_xlfn.XLOOKUP(E9,'#Base'!A:A,'#Base'!B:B)</f>
        <v>Charlotte</v>
      </c>
      <c r="G9" s="17" t="str">
        <f t="shared" si="1"/>
        <v>c353_a.SkeletonData</v>
      </c>
      <c r="H9" s="17" t="str">
        <f t="shared" si="2"/>
        <v>c353_01_a</v>
      </c>
      <c r="I9" s="1">
        <f t="shared" si="3"/>
        <v>1135301</v>
      </c>
      <c r="J9" s="1">
        <f t="shared" si="4"/>
        <v>2135301</v>
      </c>
      <c r="K9" s="1">
        <f t="shared" si="5"/>
        <v>3135301</v>
      </c>
      <c r="L9" s="1">
        <f t="shared" si="6"/>
        <v>4135301</v>
      </c>
      <c r="M9" s="1">
        <f t="shared" si="7"/>
        <v>5135301</v>
      </c>
      <c r="N9" s="1">
        <f t="shared" si="8"/>
        <v>6135301</v>
      </c>
    </row>
    <row r="10" spans="1:14" x14ac:dyDescent="0.3">
      <c r="A10" s="24">
        <f t="shared" si="0"/>
        <v>122901</v>
      </c>
      <c r="B10" s="23" t="s">
        <v>482</v>
      </c>
      <c r="C10" s="25">
        <v>1</v>
      </c>
      <c r="D10" s="25" t="s">
        <v>455</v>
      </c>
      <c r="E10" s="17">
        <v>10000006</v>
      </c>
      <c r="F10" s="23" t="str">
        <f>_xlfn.XLOOKUP(E10,'#Base'!A:A,'#Base'!B:B)</f>
        <v>Brownie</v>
      </c>
      <c r="G10" s="17" t="str">
        <f t="shared" si="1"/>
        <v>c229_a.SkeletonData</v>
      </c>
      <c r="H10" s="17" t="str">
        <f t="shared" si="2"/>
        <v>c229_01_a</v>
      </c>
      <c r="I10" s="1">
        <f t="shared" si="3"/>
        <v>1122901</v>
      </c>
      <c r="J10" s="1">
        <f t="shared" si="4"/>
        <v>2122901</v>
      </c>
      <c r="K10" s="1">
        <f t="shared" si="5"/>
        <v>3122901</v>
      </c>
      <c r="L10" s="1">
        <f t="shared" si="6"/>
        <v>4122901</v>
      </c>
      <c r="M10" s="1">
        <f t="shared" si="7"/>
        <v>5122901</v>
      </c>
      <c r="N10" s="1">
        <f t="shared" si="8"/>
        <v>6122901</v>
      </c>
    </row>
    <row r="11" spans="1:14" x14ac:dyDescent="0.3">
      <c r="A11" s="24">
        <f t="shared" si="0"/>
        <v>118001</v>
      </c>
      <c r="B11" s="23" t="s">
        <v>485</v>
      </c>
      <c r="C11" s="25">
        <v>1</v>
      </c>
      <c r="D11" s="25" t="s">
        <v>455</v>
      </c>
      <c r="E11" s="17">
        <v>10000007</v>
      </c>
      <c r="F11" s="23" t="str">
        <f>_xlfn.XLOOKUP(E11,'#Base'!A:A,'#Base'!B:B)</f>
        <v>Mommon</v>
      </c>
      <c r="G11" s="17" t="str">
        <f t="shared" si="1"/>
        <v>c180_a.SkeletonData</v>
      </c>
      <c r="H11" s="17" t="str">
        <f t="shared" si="2"/>
        <v>c180_01_a</v>
      </c>
      <c r="I11" s="1">
        <f t="shared" si="3"/>
        <v>1118001</v>
      </c>
      <c r="J11" s="1">
        <f t="shared" si="4"/>
        <v>2118001</v>
      </c>
      <c r="K11" s="1">
        <f t="shared" si="5"/>
        <v>3118001</v>
      </c>
      <c r="L11" s="1">
        <f t="shared" si="6"/>
        <v>4118001</v>
      </c>
      <c r="M11" s="1">
        <f t="shared" si="7"/>
        <v>5118001</v>
      </c>
      <c r="N11" s="1">
        <f t="shared" si="8"/>
        <v>6118001</v>
      </c>
    </row>
    <row r="12" spans="1:14" x14ac:dyDescent="0.3">
      <c r="A12" s="24">
        <f t="shared" si="0"/>
        <v>215501</v>
      </c>
      <c r="B12" s="23" t="s">
        <v>544</v>
      </c>
      <c r="C12" s="25">
        <v>1</v>
      </c>
      <c r="D12" s="25" t="s">
        <v>455</v>
      </c>
      <c r="E12" s="17">
        <v>20000001</v>
      </c>
      <c r="F12" s="23" t="str">
        <f>_xlfn.XLOOKUP(E12,'#Base'!A:A,'#Base'!B:B)</f>
        <v>slime</v>
      </c>
      <c r="G12" s="17" t="str">
        <f t="shared" si="1"/>
        <v>m155_a.SkeletonData</v>
      </c>
      <c r="H12" s="17" t="str">
        <f t="shared" si="2"/>
        <v>m155_01_a</v>
      </c>
      <c r="I12" s="1">
        <f t="shared" si="3"/>
        <v>1215501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</row>
    <row r="13" spans="1:14" x14ac:dyDescent="0.3">
      <c r="A13" s="24">
        <f t="shared" si="0"/>
        <v>215502</v>
      </c>
      <c r="B13" s="23" t="s">
        <v>544</v>
      </c>
      <c r="C13" s="25">
        <v>2</v>
      </c>
      <c r="D13" s="25" t="s">
        <v>455</v>
      </c>
      <c r="E13" s="17">
        <v>20000001</v>
      </c>
      <c r="F13" s="23" t="str">
        <f>_xlfn.XLOOKUP(E13,'#Base'!A:A,'#Base'!B:B)</f>
        <v>slime</v>
      </c>
      <c r="G13" s="17" t="str">
        <f t="shared" si="1"/>
        <v>m155_a.SkeletonData</v>
      </c>
      <c r="H13" s="17" t="str">
        <f t="shared" si="2"/>
        <v>m155_02_a</v>
      </c>
      <c r="I13" s="1">
        <f t="shared" si="3"/>
        <v>1215502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</row>
    <row r="14" spans="1:14" x14ac:dyDescent="0.3">
      <c r="A14" s="24">
        <f t="shared" si="0"/>
        <v>215503</v>
      </c>
      <c r="B14" s="23" t="s">
        <v>544</v>
      </c>
      <c r="C14" s="25">
        <v>3</v>
      </c>
      <c r="D14" s="25" t="s">
        <v>455</v>
      </c>
      <c r="E14" s="17">
        <v>20000001</v>
      </c>
      <c r="F14" s="23" t="str">
        <f>_xlfn.XLOOKUP(E14,'#Base'!A:A,'#Base'!B:B)</f>
        <v>slime</v>
      </c>
      <c r="G14" s="17" t="str">
        <f t="shared" si="1"/>
        <v>m155_a.SkeletonData</v>
      </c>
      <c r="H14" s="17" t="str">
        <f t="shared" si="2"/>
        <v>m155_03_a</v>
      </c>
      <c r="I14" s="1">
        <f t="shared" si="3"/>
        <v>1215503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</row>
    <row r="15" spans="1:14" x14ac:dyDescent="0.3">
      <c r="A15" s="24">
        <f t="shared" si="0"/>
        <v>215504</v>
      </c>
      <c r="B15" s="23" t="s">
        <v>544</v>
      </c>
      <c r="C15" s="25">
        <v>4</v>
      </c>
      <c r="D15" s="25" t="s">
        <v>455</v>
      </c>
      <c r="E15" s="17">
        <v>20000001</v>
      </c>
      <c r="F15" s="23" t="str">
        <f>_xlfn.XLOOKUP(E15,'#Base'!A:A,'#Base'!B:B)</f>
        <v>slime</v>
      </c>
      <c r="G15" s="17" t="str">
        <f t="shared" si="1"/>
        <v>m155_a.SkeletonData</v>
      </c>
      <c r="H15" s="17" t="str">
        <f t="shared" si="2"/>
        <v>m155_04_a</v>
      </c>
      <c r="I15" s="1">
        <f t="shared" si="3"/>
        <v>1215504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</row>
    <row r="16" spans="1:14" x14ac:dyDescent="0.3">
      <c r="A16" s="24">
        <f t="shared" si="0"/>
        <v>215505</v>
      </c>
      <c r="B16" s="23" t="s">
        <v>544</v>
      </c>
      <c r="C16" s="25">
        <v>5</v>
      </c>
      <c r="D16" s="25" t="s">
        <v>455</v>
      </c>
      <c r="E16" s="17">
        <v>20000001</v>
      </c>
      <c r="F16" s="23" t="str">
        <f>_xlfn.XLOOKUP(E16,'#Base'!A:A,'#Base'!B:B)</f>
        <v>slime</v>
      </c>
      <c r="G16" s="17" t="str">
        <f t="shared" si="1"/>
        <v>m155_a.SkeletonData</v>
      </c>
      <c r="H16" s="17" t="str">
        <f t="shared" si="2"/>
        <v>m155_05_a</v>
      </c>
      <c r="I16" s="1">
        <f t="shared" si="3"/>
        <v>1215505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</row>
    <row r="17" spans="1:24" x14ac:dyDescent="0.3">
      <c r="A17" s="24">
        <f t="shared" si="0"/>
        <v>225801</v>
      </c>
      <c r="B17" s="23" t="s">
        <v>552</v>
      </c>
      <c r="C17" s="25">
        <v>1</v>
      </c>
      <c r="D17" s="25" t="s">
        <v>455</v>
      </c>
      <c r="E17" s="1">
        <v>20000021</v>
      </c>
      <c r="F17" s="23" t="str">
        <f>_xlfn.XLOOKUP(E17,'#Base'!A:A,'#Base'!B:B)</f>
        <v>pixie</v>
      </c>
      <c r="G17" s="17" t="str">
        <f t="shared" si="1"/>
        <v>m258_a.SkeletonData</v>
      </c>
      <c r="H17" s="17" t="str">
        <f t="shared" si="2"/>
        <v>m258_01_a</v>
      </c>
      <c r="I17" s="1">
        <f t="shared" si="3"/>
        <v>1225801</v>
      </c>
      <c r="J17" s="17">
        <v>0</v>
      </c>
      <c r="K17" s="1">
        <f t="shared" ref="K17:K22" si="9">INT(3&amp;A17)</f>
        <v>3225801</v>
      </c>
      <c r="L17" s="17">
        <v>0</v>
      </c>
      <c r="M17" s="17">
        <v>0</v>
      </c>
      <c r="N17" s="17">
        <v>0</v>
      </c>
    </row>
    <row r="18" spans="1:24" x14ac:dyDescent="0.3">
      <c r="A18" s="24">
        <f t="shared" si="0"/>
        <v>225802</v>
      </c>
      <c r="B18" s="23" t="s">
        <v>552</v>
      </c>
      <c r="C18" s="25">
        <v>2</v>
      </c>
      <c r="D18" s="25" t="s">
        <v>455</v>
      </c>
      <c r="E18" s="1">
        <v>20000021</v>
      </c>
      <c r="F18" s="23" t="str">
        <f>_xlfn.XLOOKUP(E18,'#Base'!A:A,'#Base'!B:B)</f>
        <v>pixie</v>
      </c>
      <c r="G18" s="17" t="str">
        <f t="shared" si="1"/>
        <v>m258_a.SkeletonData</v>
      </c>
      <c r="H18" s="17" t="str">
        <f t="shared" si="2"/>
        <v>m258_02_a</v>
      </c>
      <c r="I18" s="1">
        <f t="shared" si="3"/>
        <v>1225802</v>
      </c>
      <c r="J18" s="17">
        <v>0</v>
      </c>
      <c r="K18" s="1">
        <f t="shared" si="9"/>
        <v>3225802</v>
      </c>
      <c r="L18" s="17">
        <v>0</v>
      </c>
      <c r="M18" s="17">
        <v>0</v>
      </c>
      <c r="N18" s="17">
        <v>0</v>
      </c>
    </row>
    <row r="19" spans="1:24" x14ac:dyDescent="0.3">
      <c r="A19" s="24">
        <f t="shared" si="0"/>
        <v>225803</v>
      </c>
      <c r="B19" s="23" t="s">
        <v>552</v>
      </c>
      <c r="C19" s="25">
        <v>3</v>
      </c>
      <c r="D19" s="25" t="s">
        <v>455</v>
      </c>
      <c r="E19" s="1">
        <v>20000021</v>
      </c>
      <c r="F19" s="23" t="str">
        <f>_xlfn.XLOOKUP(E19,'#Base'!A:A,'#Base'!B:B)</f>
        <v>pixie</v>
      </c>
      <c r="G19" s="17" t="str">
        <f t="shared" si="1"/>
        <v>m258_a.SkeletonData</v>
      </c>
      <c r="H19" s="17" t="str">
        <f t="shared" si="2"/>
        <v>m258_03_a</v>
      </c>
      <c r="I19" s="1">
        <f t="shared" si="3"/>
        <v>1225803</v>
      </c>
      <c r="J19" s="17">
        <v>0</v>
      </c>
      <c r="K19" s="1">
        <f t="shared" si="9"/>
        <v>3225803</v>
      </c>
      <c r="L19" s="17">
        <v>0</v>
      </c>
      <c r="M19" s="17">
        <v>0</v>
      </c>
      <c r="N19" s="17">
        <v>0</v>
      </c>
    </row>
    <row r="20" spans="1:24" x14ac:dyDescent="0.3">
      <c r="A20" s="24">
        <f t="shared" si="0"/>
        <v>225804</v>
      </c>
      <c r="B20" s="23" t="s">
        <v>552</v>
      </c>
      <c r="C20" s="25">
        <v>4</v>
      </c>
      <c r="D20" s="25" t="s">
        <v>455</v>
      </c>
      <c r="E20" s="1">
        <v>20000021</v>
      </c>
      <c r="F20" s="23" t="str">
        <f>_xlfn.XLOOKUP(E20,'#Base'!A:A,'#Base'!B:B)</f>
        <v>pixie</v>
      </c>
      <c r="G20" s="17" t="str">
        <f t="shared" si="1"/>
        <v>m258_a.SkeletonData</v>
      </c>
      <c r="H20" s="17" t="str">
        <f t="shared" si="2"/>
        <v>m258_04_a</v>
      </c>
      <c r="I20" s="1">
        <f t="shared" si="3"/>
        <v>1225804</v>
      </c>
      <c r="J20" s="17">
        <v>0</v>
      </c>
      <c r="K20" s="1">
        <f t="shared" si="9"/>
        <v>3225804</v>
      </c>
      <c r="L20" s="17">
        <v>0</v>
      </c>
      <c r="M20" s="17">
        <v>0</v>
      </c>
      <c r="N20" s="17">
        <v>0</v>
      </c>
    </row>
    <row r="21" spans="1:24" x14ac:dyDescent="0.3">
      <c r="A21" s="24">
        <f t="shared" si="0"/>
        <v>225805</v>
      </c>
      <c r="B21" s="23" t="s">
        <v>552</v>
      </c>
      <c r="C21" s="25">
        <v>5</v>
      </c>
      <c r="D21" s="25" t="s">
        <v>455</v>
      </c>
      <c r="E21" s="1">
        <v>20000021</v>
      </c>
      <c r="F21" s="23" t="str">
        <f>_xlfn.XLOOKUP(E21,'#Base'!A:A,'#Base'!B:B)</f>
        <v>pixie</v>
      </c>
      <c r="G21" s="17" t="str">
        <f t="shared" si="1"/>
        <v>m258_a.SkeletonData</v>
      </c>
      <c r="H21" s="17" t="str">
        <f t="shared" si="2"/>
        <v>m258_05_a</v>
      </c>
      <c r="I21" s="1">
        <f t="shared" si="3"/>
        <v>1225805</v>
      </c>
      <c r="J21" s="17">
        <v>0</v>
      </c>
      <c r="K21" s="1">
        <f t="shared" si="9"/>
        <v>3225805</v>
      </c>
      <c r="L21" s="17">
        <v>0</v>
      </c>
      <c r="M21" s="17">
        <v>0</v>
      </c>
      <c r="N21" s="17">
        <v>0</v>
      </c>
      <c r="O21" s="1"/>
      <c r="Q21" s="1"/>
      <c r="R21" s="1"/>
      <c r="S21" s="1"/>
      <c r="T21" s="1"/>
      <c r="U21" s="1"/>
      <c r="V21" s="1"/>
      <c r="W21" s="1"/>
      <c r="X21" s="1"/>
    </row>
    <row r="22" spans="1:24" x14ac:dyDescent="0.3">
      <c r="A22" s="24">
        <f t="shared" si="0"/>
        <v>203801</v>
      </c>
      <c r="B22" s="23" t="s">
        <v>554</v>
      </c>
      <c r="C22" s="25">
        <v>1</v>
      </c>
      <c r="D22" s="25" t="s">
        <v>455</v>
      </c>
      <c r="E22" s="1">
        <v>30000001</v>
      </c>
      <c r="F22" s="23" t="str">
        <f>_xlfn.XLOOKUP(E22,'#Base'!A:A,'#Base'!B:B)</f>
        <v>diablo</v>
      </c>
      <c r="G22" s="17" t="str">
        <f t="shared" si="1"/>
        <v>m038_a.SkeletonData</v>
      </c>
      <c r="H22" s="17" t="str">
        <f t="shared" si="2"/>
        <v>m038_01_a</v>
      </c>
      <c r="I22" s="1">
        <f t="shared" si="3"/>
        <v>1203801</v>
      </c>
      <c r="J22" s="17">
        <v>0</v>
      </c>
      <c r="K22" s="1">
        <f t="shared" si="9"/>
        <v>3203801</v>
      </c>
      <c r="L22" s="17">
        <v>0</v>
      </c>
      <c r="M22" s="17">
        <v>0</v>
      </c>
      <c r="N22" s="17">
        <v>0</v>
      </c>
    </row>
  </sheetData>
  <autoFilter ref="A3:N3" xr:uid="{00000000-0009-0000-0000-00000A000000}"/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5"/>
  <sheetViews>
    <sheetView workbookViewId="0">
      <selection activeCell="J18" sqref="J18"/>
    </sheetView>
  </sheetViews>
  <sheetFormatPr defaultRowHeight="16.5" x14ac:dyDescent="0.3"/>
  <sheetData>
    <row r="1" spans="1:11" x14ac:dyDescent="0.3">
      <c r="A1" s="17" t="s">
        <v>964</v>
      </c>
      <c r="B1" s="17"/>
      <c r="C1" s="17"/>
      <c r="D1" s="17"/>
      <c r="E1" s="17"/>
      <c r="F1" s="17"/>
      <c r="G1" s="17"/>
      <c r="H1" s="17"/>
      <c r="I1" s="17"/>
    </row>
    <row r="2" spans="1:11" x14ac:dyDescent="0.3">
      <c r="A2" s="17" t="s">
        <v>26</v>
      </c>
      <c r="B2" s="17">
        <v>1</v>
      </c>
      <c r="C2" s="17">
        <v>2</v>
      </c>
      <c r="D2" s="17">
        <v>3</v>
      </c>
      <c r="E2" s="17">
        <v>4</v>
      </c>
      <c r="F2" s="17">
        <v>5</v>
      </c>
      <c r="G2" s="17">
        <v>6</v>
      </c>
      <c r="H2" s="17">
        <v>7</v>
      </c>
      <c r="I2" s="17">
        <v>8</v>
      </c>
      <c r="J2" s="17">
        <v>9</v>
      </c>
      <c r="K2" s="17">
        <v>10</v>
      </c>
    </row>
    <row r="3" spans="1:11" x14ac:dyDescent="0.3">
      <c r="A3" s="17">
        <v>1</v>
      </c>
      <c r="B3" s="17">
        <v>3</v>
      </c>
      <c r="C3" s="17">
        <f>B3+$B$3</f>
        <v>6</v>
      </c>
      <c r="D3" s="17">
        <v>12</v>
      </c>
      <c r="E3" s="17">
        <v>24</v>
      </c>
      <c r="F3" s="17">
        <v>36</v>
      </c>
      <c r="G3" s="17">
        <v>48</v>
      </c>
      <c r="H3" s="17">
        <v>60</v>
      </c>
      <c r="I3" s="17">
        <v>72</v>
      </c>
      <c r="J3" s="17">
        <v>84</v>
      </c>
      <c r="K3" s="17">
        <v>999</v>
      </c>
    </row>
    <row r="4" spans="1:11" x14ac:dyDescent="0.3">
      <c r="A4" s="17">
        <v>2</v>
      </c>
      <c r="B4" s="17">
        <v>1</v>
      </c>
      <c r="C4" s="17">
        <v>2</v>
      </c>
      <c r="D4" s="17">
        <f>C4+$C$4</f>
        <v>4</v>
      </c>
      <c r="E4" s="17">
        <v>8</v>
      </c>
      <c r="F4" s="17">
        <v>12</v>
      </c>
      <c r="G4" s="17">
        <v>16</v>
      </c>
      <c r="H4" s="17">
        <v>20</v>
      </c>
      <c r="I4" s="17">
        <v>24</v>
      </c>
      <c r="J4" s="17">
        <v>28</v>
      </c>
      <c r="K4" s="17">
        <v>999</v>
      </c>
    </row>
    <row r="5" spans="1:11" x14ac:dyDescent="0.3">
      <c r="A5" s="17">
        <v>3</v>
      </c>
      <c r="B5" s="17">
        <v>1</v>
      </c>
      <c r="C5" s="17">
        <v>1</v>
      </c>
      <c r="D5" s="17">
        <v>1</v>
      </c>
      <c r="E5" s="17">
        <v>2</v>
      </c>
      <c r="F5" s="17">
        <f>E5+2</f>
        <v>4</v>
      </c>
      <c r="G5" s="17">
        <f>F5+2</f>
        <v>6</v>
      </c>
      <c r="H5" s="17">
        <f>G5+2</f>
        <v>8</v>
      </c>
      <c r="I5" s="17">
        <f>H5+2</f>
        <v>10</v>
      </c>
      <c r="J5" s="17">
        <f>I5+2</f>
        <v>12</v>
      </c>
      <c r="K5" s="17">
        <v>999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S1003"/>
  <sheetViews>
    <sheetView workbookViewId="0">
      <pane ySplit="3" topLeftCell="A4" activePane="bottomLeft" state="frozen"/>
      <selection pane="bottomLeft" activeCell="S19" sqref="S19"/>
    </sheetView>
  </sheetViews>
  <sheetFormatPr defaultRowHeight="16.5" x14ac:dyDescent="0.3"/>
  <sheetData>
    <row r="1" spans="1:19" x14ac:dyDescent="0.3">
      <c r="A1" s="51" t="s">
        <v>965</v>
      </c>
      <c r="B1" s="52"/>
      <c r="C1" s="52"/>
      <c r="D1" s="53" t="s">
        <v>966</v>
      </c>
      <c r="H1" s="53" t="s">
        <v>967</v>
      </c>
    </row>
    <row r="2" spans="1:19" x14ac:dyDescent="0.3">
      <c r="D2" s="53"/>
      <c r="G2" s="53"/>
    </row>
    <row r="3" spans="1:19" x14ac:dyDescent="0.3">
      <c r="A3" s="54"/>
      <c r="B3" s="54"/>
      <c r="C3" s="54"/>
      <c r="D3" s="54"/>
      <c r="E3" s="54"/>
      <c r="F3" s="54"/>
      <c r="H3" s="54"/>
      <c r="I3" s="55">
        <v>1.7</v>
      </c>
      <c r="J3" s="55">
        <v>1.2</v>
      </c>
      <c r="K3" s="55">
        <v>1.4</v>
      </c>
      <c r="L3" s="54"/>
      <c r="N3" s="54"/>
      <c r="O3" s="56">
        <v>1.3</v>
      </c>
      <c r="P3" s="56">
        <v>1.2</v>
      </c>
      <c r="Q3" s="56">
        <v>1.3</v>
      </c>
    </row>
    <row r="4" spans="1:19" x14ac:dyDescent="0.3">
      <c r="A4" s="54" t="s">
        <v>968</v>
      </c>
      <c r="B4" s="57" t="s">
        <v>969</v>
      </c>
      <c r="C4" s="57" t="s">
        <v>970</v>
      </c>
      <c r="D4" s="57" t="s">
        <v>971</v>
      </c>
      <c r="E4" s="57" t="s">
        <v>972</v>
      </c>
      <c r="F4" s="54"/>
      <c r="G4" s="54" t="s">
        <v>973</v>
      </c>
      <c r="H4" s="57" t="s">
        <v>969</v>
      </c>
      <c r="I4" s="57" t="s">
        <v>970</v>
      </c>
      <c r="J4" s="57" t="s">
        <v>971</v>
      </c>
      <c r="K4" s="57" t="s">
        <v>972</v>
      </c>
      <c r="L4" s="54"/>
      <c r="M4" s="54" t="s">
        <v>974</v>
      </c>
      <c r="N4" s="57" t="s">
        <v>969</v>
      </c>
      <c r="O4" s="57" t="s">
        <v>970</v>
      </c>
      <c r="P4" s="57" t="s">
        <v>971</v>
      </c>
      <c r="Q4" s="57" t="s">
        <v>972</v>
      </c>
    </row>
    <row r="5" spans="1:19" x14ac:dyDescent="0.3">
      <c r="A5" s="55">
        <v>1.0349999999999999</v>
      </c>
      <c r="B5" s="58">
        <v>1</v>
      </c>
      <c r="C5" s="59">
        <v>130</v>
      </c>
      <c r="D5" s="59">
        <v>130</v>
      </c>
      <c r="E5" s="59">
        <v>1700</v>
      </c>
      <c r="F5" s="54"/>
      <c r="G5" s="55">
        <v>1.04</v>
      </c>
      <c r="H5" s="58">
        <v>1</v>
      </c>
      <c r="I5" s="58">
        <f>C5*I$3</f>
        <v>221</v>
      </c>
      <c r="J5" s="58">
        <f>D5*J$3</f>
        <v>156</v>
      </c>
      <c r="K5" s="58">
        <f>E5*K$3</f>
        <v>2380</v>
      </c>
      <c r="L5" s="54"/>
      <c r="M5" s="60">
        <v>1.0449999999999999</v>
      </c>
      <c r="N5" s="58">
        <v>1</v>
      </c>
      <c r="O5" s="61">
        <f>I5*O$3</f>
        <v>287.3</v>
      </c>
      <c r="P5" s="61">
        <f>J5*P$3</f>
        <v>187.2</v>
      </c>
      <c r="Q5" s="61">
        <f>K5*Q$3</f>
        <v>3094</v>
      </c>
    </row>
    <row r="6" spans="1:19" x14ac:dyDescent="0.3">
      <c r="A6" s="54"/>
      <c r="B6" s="58">
        <v>2</v>
      </c>
      <c r="C6" s="61">
        <f t="shared" ref="C6:C69" si="0">C5*$A$5</f>
        <v>134.54999999999998</v>
      </c>
      <c r="D6" s="61">
        <f t="shared" ref="D6:D69" si="1">D5*$A$5</f>
        <v>134.54999999999998</v>
      </c>
      <c r="E6" s="61">
        <f t="shared" ref="E6:E69" si="2">E5*$A$5</f>
        <v>1759.4999999999998</v>
      </c>
      <c r="F6">
        <f t="shared" ref="F6:F69" si="3">ROUND((C6/C$5-1)*100000, 0)</f>
        <v>3500</v>
      </c>
      <c r="H6" s="58">
        <v>2</v>
      </c>
      <c r="I6" s="61">
        <f t="shared" ref="I6:I69" si="4">I5*$G$5</f>
        <v>229.84</v>
      </c>
      <c r="J6" s="61">
        <f t="shared" ref="J6:J69" si="5">J5*$G$5</f>
        <v>162.24</v>
      </c>
      <c r="K6" s="61">
        <f t="shared" ref="K6:K69" si="6">K5*$G$5</f>
        <v>2475.2000000000003</v>
      </c>
      <c r="L6">
        <f t="shared" ref="L6:L69" si="7">ROUND((I6/I$5-1)*100000, 0)</f>
        <v>4000</v>
      </c>
      <c r="N6" s="58">
        <v>2</v>
      </c>
      <c r="O6" s="61">
        <f t="shared" ref="O6:O69" si="8">O5*$M$5</f>
        <v>300.2285</v>
      </c>
      <c r="P6" s="61">
        <f t="shared" ref="P6:P69" si="9">P5*$M$5</f>
        <v>195.62399999999997</v>
      </c>
      <c r="Q6" s="61">
        <f t="shared" ref="Q6:Q69" si="10">Q5*$M$5</f>
        <v>3233.2299999999996</v>
      </c>
      <c r="R6">
        <f t="shared" ref="R6:R69" si="11">ROUND((O6/O$5-1)*100000, 0)</f>
        <v>4500</v>
      </c>
      <c r="S6">
        <f t="shared" ref="S6:S69" si="12">$O$5*(1+R6/100000)</f>
        <v>300.2285</v>
      </c>
    </row>
    <row r="7" spans="1:19" x14ac:dyDescent="0.3">
      <c r="A7" s="54"/>
      <c r="B7" s="58">
        <v>3</v>
      </c>
      <c r="C7" s="61">
        <f t="shared" si="0"/>
        <v>139.25924999999998</v>
      </c>
      <c r="D7" s="61">
        <f t="shared" si="1"/>
        <v>139.25924999999998</v>
      </c>
      <c r="E7" s="61">
        <f t="shared" si="2"/>
        <v>1821.0824999999995</v>
      </c>
      <c r="F7">
        <f t="shared" si="3"/>
        <v>7122</v>
      </c>
      <c r="H7" s="58">
        <v>3</v>
      </c>
      <c r="I7" s="61">
        <f t="shared" si="4"/>
        <v>239.03360000000001</v>
      </c>
      <c r="J7" s="61">
        <f t="shared" si="5"/>
        <v>168.7296</v>
      </c>
      <c r="K7" s="61">
        <f t="shared" si="6"/>
        <v>2574.2080000000005</v>
      </c>
      <c r="L7">
        <f t="shared" si="7"/>
        <v>8160</v>
      </c>
      <c r="N7" s="58">
        <v>3</v>
      </c>
      <c r="O7" s="61">
        <f t="shared" si="8"/>
        <v>313.73878249999996</v>
      </c>
      <c r="P7" s="61">
        <f t="shared" si="9"/>
        <v>204.42707999999996</v>
      </c>
      <c r="Q7" s="61">
        <f t="shared" si="10"/>
        <v>3378.7253499999993</v>
      </c>
      <c r="R7">
        <f t="shared" si="11"/>
        <v>9202</v>
      </c>
      <c r="S7">
        <f t="shared" si="12"/>
        <v>313.737346</v>
      </c>
    </row>
    <row r="8" spans="1:19" x14ac:dyDescent="0.3">
      <c r="A8" s="54"/>
      <c r="B8" s="58">
        <v>4</v>
      </c>
      <c r="C8" s="61">
        <f t="shared" si="0"/>
        <v>144.13332374999996</v>
      </c>
      <c r="D8" s="61">
        <f t="shared" si="1"/>
        <v>144.13332374999996</v>
      </c>
      <c r="E8" s="61">
        <f t="shared" si="2"/>
        <v>1884.8203874999995</v>
      </c>
      <c r="F8">
        <f t="shared" si="3"/>
        <v>10872</v>
      </c>
      <c r="H8" s="58">
        <v>4</v>
      </c>
      <c r="I8" s="61">
        <f t="shared" si="4"/>
        <v>248.59494400000003</v>
      </c>
      <c r="J8" s="61">
        <f t="shared" si="5"/>
        <v>175.47878400000002</v>
      </c>
      <c r="K8" s="61">
        <f t="shared" si="6"/>
        <v>2677.1763200000005</v>
      </c>
      <c r="L8">
        <f t="shared" si="7"/>
        <v>12486</v>
      </c>
      <c r="N8" s="58">
        <v>4</v>
      </c>
      <c r="O8" s="61">
        <f t="shared" si="8"/>
        <v>327.85702771249993</v>
      </c>
      <c r="P8" s="61">
        <f t="shared" si="9"/>
        <v>213.62629859999996</v>
      </c>
      <c r="Q8" s="61">
        <f t="shared" si="10"/>
        <v>3530.7679907499992</v>
      </c>
      <c r="R8">
        <f t="shared" si="11"/>
        <v>14117</v>
      </c>
      <c r="S8">
        <f t="shared" si="12"/>
        <v>327.85814100000005</v>
      </c>
    </row>
    <row r="9" spans="1:19" x14ac:dyDescent="0.3">
      <c r="A9" s="54"/>
      <c r="B9" s="58">
        <v>5</v>
      </c>
      <c r="C9" s="61">
        <f t="shared" si="0"/>
        <v>149.17799008124996</v>
      </c>
      <c r="D9" s="61">
        <f t="shared" si="1"/>
        <v>149.17799008124996</v>
      </c>
      <c r="E9" s="61">
        <f t="shared" si="2"/>
        <v>1950.7891010624994</v>
      </c>
      <c r="F9">
        <f t="shared" si="3"/>
        <v>14752</v>
      </c>
      <c r="H9" s="58">
        <v>5</v>
      </c>
      <c r="I9" s="61">
        <f t="shared" si="4"/>
        <v>258.53874176000005</v>
      </c>
      <c r="J9" s="61">
        <f t="shared" si="5"/>
        <v>182.49793536000001</v>
      </c>
      <c r="K9" s="61">
        <f t="shared" si="6"/>
        <v>2784.2633728000005</v>
      </c>
      <c r="L9">
        <f t="shared" si="7"/>
        <v>16986</v>
      </c>
      <c r="N9" s="58">
        <v>5</v>
      </c>
      <c r="O9" s="61">
        <f t="shared" si="8"/>
        <v>342.61059395956238</v>
      </c>
      <c r="P9" s="61">
        <f t="shared" si="9"/>
        <v>223.23948203699993</v>
      </c>
      <c r="Q9" s="61">
        <f t="shared" si="10"/>
        <v>3689.6525503337489</v>
      </c>
      <c r="R9">
        <f t="shared" si="11"/>
        <v>19252</v>
      </c>
      <c r="S9">
        <f t="shared" si="12"/>
        <v>342.610996</v>
      </c>
    </row>
    <row r="10" spans="1:19" x14ac:dyDescent="0.3">
      <c r="A10" s="54"/>
      <c r="B10" s="58">
        <v>6</v>
      </c>
      <c r="C10" s="61">
        <f t="shared" si="0"/>
        <v>154.39921973409369</v>
      </c>
      <c r="D10" s="61">
        <f t="shared" si="1"/>
        <v>154.39921973409369</v>
      </c>
      <c r="E10" s="61">
        <f t="shared" si="2"/>
        <v>2019.0667195996868</v>
      </c>
      <c r="F10">
        <f t="shared" si="3"/>
        <v>18769</v>
      </c>
      <c r="H10" s="58">
        <v>6</v>
      </c>
      <c r="I10" s="61">
        <f t="shared" si="4"/>
        <v>268.88029143040006</v>
      </c>
      <c r="J10" s="61">
        <f t="shared" si="5"/>
        <v>189.79785277440001</v>
      </c>
      <c r="K10" s="61">
        <f t="shared" si="6"/>
        <v>2895.6339077120006</v>
      </c>
      <c r="L10">
        <f t="shared" si="7"/>
        <v>21665</v>
      </c>
      <c r="N10" s="58">
        <v>6</v>
      </c>
      <c r="O10" s="61">
        <f t="shared" si="8"/>
        <v>358.02807068774268</v>
      </c>
      <c r="P10" s="61">
        <f t="shared" si="9"/>
        <v>233.2852587286649</v>
      </c>
      <c r="Q10" s="61">
        <f t="shared" si="10"/>
        <v>3855.6869150987673</v>
      </c>
      <c r="R10">
        <f t="shared" si="11"/>
        <v>24618</v>
      </c>
      <c r="S10">
        <f t="shared" si="12"/>
        <v>358.02751400000005</v>
      </c>
    </row>
    <row r="11" spans="1:19" x14ac:dyDescent="0.3">
      <c r="A11" s="54"/>
      <c r="B11" s="58">
        <v>7</v>
      </c>
      <c r="C11" s="61">
        <f t="shared" si="0"/>
        <v>159.80319242478697</v>
      </c>
      <c r="D11" s="61">
        <f t="shared" si="1"/>
        <v>159.80319242478697</v>
      </c>
      <c r="E11" s="61">
        <f t="shared" si="2"/>
        <v>2089.7340547856757</v>
      </c>
      <c r="F11">
        <f t="shared" si="3"/>
        <v>22926</v>
      </c>
      <c r="H11" s="58">
        <v>7</v>
      </c>
      <c r="I11" s="61">
        <f t="shared" si="4"/>
        <v>279.63550308761609</v>
      </c>
      <c r="J11" s="61">
        <f t="shared" si="5"/>
        <v>197.38976688537602</v>
      </c>
      <c r="K11" s="61">
        <f t="shared" si="6"/>
        <v>3011.4592640204805</v>
      </c>
      <c r="L11">
        <f t="shared" si="7"/>
        <v>26532</v>
      </c>
      <c r="N11" s="58">
        <v>7</v>
      </c>
      <c r="O11" s="61">
        <f t="shared" si="8"/>
        <v>374.1393338686911</v>
      </c>
      <c r="P11" s="61">
        <f t="shared" si="9"/>
        <v>243.78309537145481</v>
      </c>
      <c r="Q11" s="61">
        <f t="shared" si="10"/>
        <v>4029.1928262782117</v>
      </c>
      <c r="R11">
        <f t="shared" si="11"/>
        <v>30226</v>
      </c>
      <c r="S11">
        <f t="shared" si="12"/>
        <v>374.139298</v>
      </c>
    </row>
    <row r="12" spans="1:19" x14ac:dyDescent="0.3">
      <c r="A12" s="54"/>
      <c r="B12" s="58">
        <v>8</v>
      </c>
      <c r="C12" s="61">
        <f t="shared" si="0"/>
        <v>165.39630415965451</v>
      </c>
      <c r="D12" s="61">
        <f t="shared" si="1"/>
        <v>165.39630415965451</v>
      </c>
      <c r="E12" s="61">
        <f t="shared" si="2"/>
        <v>2162.874746703174</v>
      </c>
      <c r="F12">
        <f t="shared" si="3"/>
        <v>27228</v>
      </c>
      <c r="H12" s="58">
        <v>8</v>
      </c>
      <c r="I12" s="61">
        <f t="shared" si="4"/>
        <v>290.82092321112071</v>
      </c>
      <c r="J12" s="61">
        <f t="shared" si="5"/>
        <v>205.28535756079106</v>
      </c>
      <c r="K12" s="61">
        <f t="shared" si="6"/>
        <v>3131.9176345812998</v>
      </c>
      <c r="L12">
        <f t="shared" si="7"/>
        <v>31593</v>
      </c>
      <c r="N12" s="58">
        <v>8</v>
      </c>
      <c r="O12" s="61">
        <f t="shared" si="8"/>
        <v>390.97560389278215</v>
      </c>
      <c r="P12" s="61">
        <f t="shared" si="9"/>
        <v>254.75333466317025</v>
      </c>
      <c r="Q12" s="61">
        <f t="shared" si="10"/>
        <v>4210.5065034607305</v>
      </c>
      <c r="R12">
        <f t="shared" si="11"/>
        <v>36086</v>
      </c>
      <c r="S12">
        <f t="shared" si="12"/>
        <v>390.975078</v>
      </c>
    </row>
    <row r="13" spans="1:19" x14ac:dyDescent="0.3">
      <c r="A13" s="54"/>
      <c r="B13" s="58">
        <v>9</v>
      </c>
      <c r="C13" s="61">
        <f t="shared" si="0"/>
        <v>171.18517480524241</v>
      </c>
      <c r="D13" s="61">
        <f t="shared" si="1"/>
        <v>171.18517480524241</v>
      </c>
      <c r="E13" s="61">
        <f t="shared" si="2"/>
        <v>2238.5753628377847</v>
      </c>
      <c r="F13">
        <f t="shared" si="3"/>
        <v>31681</v>
      </c>
      <c r="H13" s="58">
        <v>9</v>
      </c>
      <c r="I13" s="61">
        <f t="shared" si="4"/>
        <v>302.45376013956553</v>
      </c>
      <c r="J13" s="61">
        <f t="shared" si="5"/>
        <v>213.4967718632227</v>
      </c>
      <c r="K13" s="61">
        <f t="shared" si="6"/>
        <v>3257.194339964552</v>
      </c>
      <c r="L13">
        <f t="shared" si="7"/>
        <v>36857</v>
      </c>
      <c r="N13" s="58">
        <v>9</v>
      </c>
      <c r="O13" s="61">
        <f t="shared" si="8"/>
        <v>408.56950606795732</v>
      </c>
      <c r="P13" s="61">
        <f t="shared" si="9"/>
        <v>266.21723472301289</v>
      </c>
      <c r="Q13" s="61">
        <f t="shared" si="10"/>
        <v>4399.979296116463</v>
      </c>
      <c r="R13">
        <f t="shared" si="11"/>
        <v>42210</v>
      </c>
      <c r="S13">
        <f t="shared" si="12"/>
        <v>408.56932999999998</v>
      </c>
    </row>
    <row r="14" spans="1:19" x14ac:dyDescent="0.3">
      <c r="A14" s="54"/>
      <c r="B14" s="58">
        <v>10</v>
      </c>
      <c r="C14" s="61">
        <f t="shared" si="0"/>
        <v>177.17665592342587</v>
      </c>
      <c r="D14" s="61">
        <f t="shared" si="1"/>
        <v>177.17665592342587</v>
      </c>
      <c r="E14" s="61">
        <f t="shared" si="2"/>
        <v>2316.9255005371069</v>
      </c>
      <c r="F14">
        <f t="shared" si="3"/>
        <v>36290</v>
      </c>
      <c r="H14" s="58">
        <v>10</v>
      </c>
      <c r="I14" s="61">
        <f t="shared" si="4"/>
        <v>314.55191054514819</v>
      </c>
      <c r="J14" s="61">
        <f t="shared" si="5"/>
        <v>222.03664273775163</v>
      </c>
      <c r="K14" s="61">
        <f t="shared" si="6"/>
        <v>3387.4821135631341</v>
      </c>
      <c r="L14">
        <f t="shared" si="7"/>
        <v>42331</v>
      </c>
      <c r="N14" s="58">
        <v>10</v>
      </c>
      <c r="O14" s="61">
        <f t="shared" si="8"/>
        <v>426.95513384101537</v>
      </c>
      <c r="P14" s="61">
        <f t="shared" si="9"/>
        <v>278.19701028554846</v>
      </c>
      <c r="Q14" s="61">
        <f t="shared" si="10"/>
        <v>4597.9783644417039</v>
      </c>
      <c r="R14">
        <f t="shared" si="11"/>
        <v>48610</v>
      </c>
      <c r="S14">
        <f t="shared" si="12"/>
        <v>426.95652999999999</v>
      </c>
    </row>
    <row r="15" spans="1:19" x14ac:dyDescent="0.3">
      <c r="A15" s="54"/>
      <c r="B15" s="58">
        <v>11</v>
      </c>
      <c r="C15" s="61">
        <f t="shared" si="0"/>
        <v>183.37783888074577</v>
      </c>
      <c r="D15" s="61">
        <f t="shared" si="1"/>
        <v>183.37783888074577</v>
      </c>
      <c r="E15" s="61">
        <f t="shared" si="2"/>
        <v>2398.0178930559055</v>
      </c>
      <c r="F15">
        <f t="shared" si="3"/>
        <v>41060</v>
      </c>
      <c r="H15" s="58">
        <v>11</v>
      </c>
      <c r="I15" s="61">
        <f t="shared" si="4"/>
        <v>327.13398696695413</v>
      </c>
      <c r="J15" s="61">
        <f t="shared" si="5"/>
        <v>230.91810844726172</v>
      </c>
      <c r="K15" s="61">
        <f t="shared" si="6"/>
        <v>3522.9813981056595</v>
      </c>
      <c r="L15">
        <f t="shared" si="7"/>
        <v>48024</v>
      </c>
      <c r="N15" s="58">
        <v>11</v>
      </c>
      <c r="O15" s="61">
        <f t="shared" si="8"/>
        <v>446.16811486386104</v>
      </c>
      <c r="P15" s="61">
        <f t="shared" si="9"/>
        <v>290.7158757483981</v>
      </c>
      <c r="Q15" s="61">
        <f t="shared" si="10"/>
        <v>4804.8873908415799</v>
      </c>
      <c r="R15">
        <f t="shared" si="11"/>
        <v>55297</v>
      </c>
      <c r="S15">
        <f t="shared" si="12"/>
        <v>446.16828099999998</v>
      </c>
    </row>
    <row r="16" spans="1:19" x14ac:dyDescent="0.3">
      <c r="A16" s="54"/>
      <c r="B16" s="58">
        <v>12</v>
      </c>
      <c r="C16" s="61">
        <f t="shared" si="0"/>
        <v>189.79606324157186</v>
      </c>
      <c r="D16" s="61">
        <f t="shared" si="1"/>
        <v>189.79606324157186</v>
      </c>
      <c r="E16" s="61">
        <f t="shared" si="2"/>
        <v>2481.9485193128621</v>
      </c>
      <c r="F16">
        <f t="shared" si="3"/>
        <v>45997</v>
      </c>
      <c r="H16" s="58">
        <v>12</v>
      </c>
      <c r="I16" s="61">
        <f t="shared" si="4"/>
        <v>340.21934644563231</v>
      </c>
      <c r="J16" s="61">
        <f t="shared" si="5"/>
        <v>240.15483278515219</v>
      </c>
      <c r="K16" s="61">
        <f t="shared" si="6"/>
        <v>3663.900654029886</v>
      </c>
      <c r="L16">
        <f t="shared" si="7"/>
        <v>53945</v>
      </c>
      <c r="N16" s="58">
        <v>12</v>
      </c>
      <c r="O16" s="61">
        <f t="shared" si="8"/>
        <v>466.24568003273475</v>
      </c>
      <c r="P16" s="61">
        <f t="shared" si="9"/>
        <v>303.79809015707599</v>
      </c>
      <c r="Q16" s="61">
        <f t="shared" si="10"/>
        <v>5021.1073234294508</v>
      </c>
      <c r="R16">
        <f t="shared" si="11"/>
        <v>62285</v>
      </c>
      <c r="S16">
        <f t="shared" si="12"/>
        <v>466.24480500000004</v>
      </c>
    </row>
    <row r="17" spans="1:19" x14ac:dyDescent="0.3">
      <c r="A17" s="54"/>
      <c r="B17" s="58">
        <v>13</v>
      </c>
      <c r="C17" s="61">
        <f t="shared" si="0"/>
        <v>196.43892545502686</v>
      </c>
      <c r="D17" s="61">
        <f t="shared" si="1"/>
        <v>196.43892545502686</v>
      </c>
      <c r="E17" s="61">
        <f t="shared" si="2"/>
        <v>2568.8167174888122</v>
      </c>
      <c r="F17">
        <f t="shared" si="3"/>
        <v>51107</v>
      </c>
      <c r="H17" s="58">
        <v>13</v>
      </c>
      <c r="I17" s="61">
        <f t="shared" si="4"/>
        <v>353.82812030345764</v>
      </c>
      <c r="J17" s="61">
        <f t="shared" si="5"/>
        <v>249.76102609655828</v>
      </c>
      <c r="K17" s="61">
        <f t="shared" si="6"/>
        <v>3810.4566801910814</v>
      </c>
      <c r="L17">
        <f t="shared" si="7"/>
        <v>60103</v>
      </c>
      <c r="N17" s="58">
        <v>13</v>
      </c>
      <c r="O17" s="61">
        <f t="shared" si="8"/>
        <v>487.22673563420778</v>
      </c>
      <c r="P17" s="61">
        <f t="shared" si="9"/>
        <v>317.46900421414438</v>
      </c>
      <c r="Q17" s="61">
        <f t="shared" si="10"/>
        <v>5247.0571529837762</v>
      </c>
      <c r="R17">
        <f t="shared" si="11"/>
        <v>69588</v>
      </c>
      <c r="S17">
        <f t="shared" si="12"/>
        <v>487.22632400000003</v>
      </c>
    </row>
    <row r="18" spans="1:19" x14ac:dyDescent="0.3">
      <c r="A18" s="54"/>
      <c r="B18" s="58">
        <v>14</v>
      </c>
      <c r="C18" s="61">
        <f t="shared" si="0"/>
        <v>203.31428784595278</v>
      </c>
      <c r="D18" s="61">
        <f t="shared" si="1"/>
        <v>203.31428784595278</v>
      </c>
      <c r="E18" s="61">
        <f t="shared" si="2"/>
        <v>2658.7253026009203</v>
      </c>
      <c r="F18">
        <f t="shared" si="3"/>
        <v>56396</v>
      </c>
      <c r="H18" s="58">
        <v>14</v>
      </c>
      <c r="I18" s="61">
        <f t="shared" si="4"/>
        <v>367.98124511559598</v>
      </c>
      <c r="J18" s="61">
        <f t="shared" si="5"/>
        <v>259.75146714042063</v>
      </c>
      <c r="K18" s="61">
        <f t="shared" si="6"/>
        <v>3962.874947398725</v>
      </c>
      <c r="L18">
        <f t="shared" si="7"/>
        <v>66507</v>
      </c>
      <c r="N18" s="58">
        <v>14</v>
      </c>
      <c r="O18" s="61">
        <f t="shared" si="8"/>
        <v>509.15193873774712</v>
      </c>
      <c r="P18" s="61">
        <f t="shared" si="9"/>
        <v>331.75510940378086</v>
      </c>
      <c r="Q18" s="61">
        <f t="shared" si="10"/>
        <v>5483.1747248680458</v>
      </c>
      <c r="R18">
        <f t="shared" si="11"/>
        <v>77220</v>
      </c>
      <c r="S18">
        <f t="shared" si="12"/>
        <v>509.15306000000004</v>
      </c>
    </row>
    <row r="19" spans="1:19" x14ac:dyDescent="0.3">
      <c r="A19" s="54"/>
      <c r="B19" s="58">
        <v>15</v>
      </c>
      <c r="C19" s="61">
        <f t="shared" si="0"/>
        <v>210.43028792056111</v>
      </c>
      <c r="D19" s="61">
        <f t="shared" si="1"/>
        <v>210.43028792056111</v>
      </c>
      <c r="E19" s="61">
        <f t="shared" si="2"/>
        <v>2751.7806881919523</v>
      </c>
      <c r="F19">
        <f t="shared" si="3"/>
        <v>61869</v>
      </c>
      <c r="H19" s="58">
        <v>15</v>
      </c>
      <c r="I19" s="61">
        <f t="shared" si="4"/>
        <v>382.70049492021985</v>
      </c>
      <c r="J19" s="61">
        <f t="shared" si="5"/>
        <v>270.14152582603748</v>
      </c>
      <c r="K19" s="61">
        <f t="shared" si="6"/>
        <v>4121.3899452946744</v>
      </c>
      <c r="L19">
        <f t="shared" si="7"/>
        <v>73168</v>
      </c>
      <c r="N19" s="58">
        <v>15</v>
      </c>
      <c r="O19" s="61">
        <f t="shared" si="8"/>
        <v>532.06377598094571</v>
      </c>
      <c r="P19" s="61">
        <f t="shared" si="9"/>
        <v>346.68408932695098</v>
      </c>
      <c r="Q19" s="61">
        <f t="shared" si="10"/>
        <v>5729.9175874871071</v>
      </c>
      <c r="R19">
        <f t="shared" si="11"/>
        <v>85194</v>
      </c>
      <c r="S19">
        <f t="shared" si="12"/>
        <v>532.06236200000001</v>
      </c>
    </row>
    <row r="20" spans="1:19" x14ac:dyDescent="0.3">
      <c r="A20" s="54"/>
      <c r="B20" s="58">
        <v>16</v>
      </c>
      <c r="C20" s="61">
        <f t="shared" si="0"/>
        <v>217.79534799778074</v>
      </c>
      <c r="D20" s="61">
        <f t="shared" si="1"/>
        <v>217.79534799778074</v>
      </c>
      <c r="E20" s="61">
        <f t="shared" si="2"/>
        <v>2848.0930122786704</v>
      </c>
      <c r="F20">
        <f t="shared" si="3"/>
        <v>67535</v>
      </c>
      <c r="H20" s="58">
        <v>16</v>
      </c>
      <c r="I20" s="61">
        <f t="shared" si="4"/>
        <v>398.00851471702867</v>
      </c>
      <c r="J20" s="61">
        <f t="shared" si="5"/>
        <v>280.94718685907901</v>
      </c>
      <c r="K20" s="61">
        <f t="shared" si="6"/>
        <v>4286.2455431064618</v>
      </c>
      <c r="L20">
        <f t="shared" si="7"/>
        <v>80094</v>
      </c>
      <c r="N20" s="58">
        <v>16</v>
      </c>
      <c r="O20" s="61">
        <f t="shared" si="8"/>
        <v>556.00664590008819</v>
      </c>
      <c r="P20" s="61">
        <f t="shared" si="9"/>
        <v>362.28487334666374</v>
      </c>
      <c r="Q20" s="61">
        <f t="shared" si="10"/>
        <v>5987.7638789240264</v>
      </c>
      <c r="R20">
        <f t="shared" si="11"/>
        <v>93528</v>
      </c>
      <c r="S20">
        <f t="shared" si="12"/>
        <v>556.005944</v>
      </c>
    </row>
    <row r="21" spans="1:19" x14ac:dyDescent="0.3">
      <c r="A21" s="54"/>
      <c r="B21" s="58">
        <v>17</v>
      </c>
      <c r="C21" s="61">
        <f t="shared" si="0"/>
        <v>225.41818517770304</v>
      </c>
      <c r="D21" s="61">
        <f t="shared" si="1"/>
        <v>225.41818517770304</v>
      </c>
      <c r="E21" s="61">
        <f t="shared" si="2"/>
        <v>2947.7762677084238</v>
      </c>
      <c r="F21">
        <f t="shared" si="3"/>
        <v>73399</v>
      </c>
      <c r="H21" s="58">
        <v>17</v>
      </c>
      <c r="I21" s="61">
        <f t="shared" si="4"/>
        <v>413.92885530570982</v>
      </c>
      <c r="J21" s="61">
        <f t="shared" si="5"/>
        <v>292.18507433344217</v>
      </c>
      <c r="K21" s="61">
        <f t="shared" si="6"/>
        <v>4457.6953648307208</v>
      </c>
      <c r="L21">
        <f t="shared" si="7"/>
        <v>87298</v>
      </c>
      <c r="N21" s="58">
        <v>17</v>
      </c>
      <c r="O21" s="61">
        <f t="shared" si="8"/>
        <v>581.02694496559207</v>
      </c>
      <c r="P21" s="61">
        <f t="shared" si="9"/>
        <v>378.58769264726357</v>
      </c>
      <c r="Q21" s="61">
        <f t="shared" si="10"/>
        <v>6257.2132534756074</v>
      </c>
      <c r="R21">
        <f t="shared" si="11"/>
        <v>102237</v>
      </c>
      <c r="S21">
        <f t="shared" si="12"/>
        <v>581.02690100000007</v>
      </c>
    </row>
    <row r="22" spans="1:19" x14ac:dyDescent="0.3">
      <c r="A22" s="54"/>
      <c r="B22" s="58">
        <v>18</v>
      </c>
      <c r="C22" s="61">
        <f t="shared" si="0"/>
        <v>233.30782165892262</v>
      </c>
      <c r="D22" s="61">
        <f t="shared" si="1"/>
        <v>233.30782165892262</v>
      </c>
      <c r="E22" s="61">
        <f t="shared" si="2"/>
        <v>3050.9484370782184</v>
      </c>
      <c r="F22">
        <f t="shared" si="3"/>
        <v>79468</v>
      </c>
      <c r="H22" s="58">
        <v>18</v>
      </c>
      <c r="I22" s="61">
        <f t="shared" si="4"/>
        <v>430.48600951793821</v>
      </c>
      <c r="J22" s="61">
        <f t="shared" si="5"/>
        <v>303.8724773067799</v>
      </c>
      <c r="K22" s="61">
        <f t="shared" si="6"/>
        <v>4636.0031794239494</v>
      </c>
      <c r="L22">
        <f t="shared" si="7"/>
        <v>94790</v>
      </c>
      <c r="N22" s="58">
        <v>18</v>
      </c>
      <c r="O22" s="61">
        <f t="shared" si="8"/>
        <v>607.17315748904366</v>
      </c>
      <c r="P22" s="61">
        <f t="shared" si="9"/>
        <v>395.62413881639043</v>
      </c>
      <c r="Q22" s="61">
        <f t="shared" si="10"/>
        <v>6538.7878498820091</v>
      </c>
      <c r="R22">
        <f t="shared" si="11"/>
        <v>111338</v>
      </c>
      <c r="S22">
        <f t="shared" si="12"/>
        <v>607.17407400000013</v>
      </c>
    </row>
    <row r="23" spans="1:19" x14ac:dyDescent="0.3">
      <c r="A23" s="54"/>
      <c r="B23" s="58">
        <v>19</v>
      </c>
      <c r="C23" s="61">
        <f t="shared" si="0"/>
        <v>241.47359541698489</v>
      </c>
      <c r="D23" s="61">
        <f t="shared" si="1"/>
        <v>241.47359541698489</v>
      </c>
      <c r="E23" s="61">
        <f t="shared" si="2"/>
        <v>3157.731632375956</v>
      </c>
      <c r="F23">
        <f t="shared" si="3"/>
        <v>85749</v>
      </c>
      <c r="H23" s="58">
        <v>19</v>
      </c>
      <c r="I23" s="61">
        <f t="shared" si="4"/>
        <v>447.70544989865579</v>
      </c>
      <c r="J23" s="61">
        <f t="shared" si="5"/>
        <v>316.02737639905109</v>
      </c>
      <c r="K23" s="61">
        <f t="shared" si="6"/>
        <v>4821.4433066009078</v>
      </c>
      <c r="L23">
        <f t="shared" si="7"/>
        <v>102582</v>
      </c>
      <c r="N23" s="58">
        <v>19</v>
      </c>
      <c r="O23" s="61">
        <f t="shared" si="8"/>
        <v>634.49594957605063</v>
      </c>
      <c r="P23" s="61">
        <f t="shared" si="9"/>
        <v>413.42722506312799</v>
      </c>
      <c r="Q23" s="61">
        <f t="shared" si="10"/>
        <v>6833.0333031266991</v>
      </c>
      <c r="R23">
        <f t="shared" si="11"/>
        <v>120848</v>
      </c>
      <c r="S23">
        <f t="shared" si="12"/>
        <v>634.49630400000001</v>
      </c>
    </row>
    <row r="24" spans="1:19" x14ac:dyDescent="0.3">
      <c r="A24" s="54"/>
      <c r="B24" s="58">
        <v>20</v>
      </c>
      <c r="C24" s="61">
        <f t="shared" si="0"/>
        <v>249.92517125657935</v>
      </c>
      <c r="D24" s="61">
        <f t="shared" si="1"/>
        <v>249.92517125657935</v>
      </c>
      <c r="E24" s="61">
        <f t="shared" si="2"/>
        <v>3268.2522395091141</v>
      </c>
      <c r="F24">
        <f t="shared" si="3"/>
        <v>92250</v>
      </c>
      <c r="H24" s="58">
        <v>20</v>
      </c>
      <c r="I24" s="61">
        <f t="shared" si="4"/>
        <v>465.61366789460203</v>
      </c>
      <c r="J24" s="61">
        <f t="shared" si="5"/>
        <v>328.66847145501316</v>
      </c>
      <c r="K24" s="61">
        <f t="shared" si="6"/>
        <v>5014.3010388649445</v>
      </c>
      <c r="L24">
        <f t="shared" si="7"/>
        <v>110685</v>
      </c>
      <c r="N24" s="58">
        <v>20</v>
      </c>
      <c r="O24" s="61">
        <f t="shared" si="8"/>
        <v>663.04826730697289</v>
      </c>
      <c r="P24" s="61">
        <f t="shared" si="9"/>
        <v>432.03145019096871</v>
      </c>
      <c r="Q24" s="61">
        <f t="shared" si="10"/>
        <v>7140.5198017674002</v>
      </c>
      <c r="R24">
        <f t="shared" si="11"/>
        <v>130786</v>
      </c>
      <c r="S24">
        <f t="shared" si="12"/>
        <v>663.04817800000001</v>
      </c>
    </row>
    <row r="25" spans="1:19" x14ac:dyDescent="0.3">
      <c r="A25" s="54"/>
      <c r="B25" s="58">
        <v>21</v>
      </c>
      <c r="C25" s="61">
        <f t="shared" si="0"/>
        <v>258.67255225055959</v>
      </c>
      <c r="D25" s="61">
        <f t="shared" si="1"/>
        <v>258.67255225055959</v>
      </c>
      <c r="E25" s="61">
        <f t="shared" si="2"/>
        <v>3382.6410678919328</v>
      </c>
      <c r="F25">
        <f t="shared" si="3"/>
        <v>98979</v>
      </c>
      <c r="H25" s="58">
        <v>21</v>
      </c>
      <c r="I25" s="61">
        <f t="shared" si="4"/>
        <v>484.23821461038614</v>
      </c>
      <c r="J25" s="61">
        <f t="shared" si="5"/>
        <v>341.8152103132137</v>
      </c>
      <c r="K25" s="61">
        <f t="shared" si="6"/>
        <v>5214.8730804195429</v>
      </c>
      <c r="L25">
        <f t="shared" si="7"/>
        <v>119112</v>
      </c>
      <c r="N25" s="58">
        <v>21</v>
      </c>
      <c r="O25" s="61">
        <f t="shared" si="8"/>
        <v>692.8854393357866</v>
      </c>
      <c r="P25" s="61">
        <f t="shared" si="9"/>
        <v>451.47286544956228</v>
      </c>
      <c r="Q25" s="61">
        <f t="shared" si="10"/>
        <v>7461.8431928469327</v>
      </c>
      <c r="R25">
        <f t="shared" si="11"/>
        <v>141171</v>
      </c>
      <c r="S25">
        <f t="shared" si="12"/>
        <v>692.8842830000001</v>
      </c>
    </row>
    <row r="26" spans="1:19" x14ac:dyDescent="0.3">
      <c r="A26" s="54"/>
      <c r="B26" s="58">
        <v>22</v>
      </c>
      <c r="C26" s="61">
        <f t="shared" si="0"/>
        <v>267.72609157932914</v>
      </c>
      <c r="D26" s="61">
        <f t="shared" si="1"/>
        <v>267.72609157932914</v>
      </c>
      <c r="E26" s="61">
        <f t="shared" si="2"/>
        <v>3501.0335052681503</v>
      </c>
      <c r="F26">
        <f t="shared" si="3"/>
        <v>105943</v>
      </c>
      <c r="H26" s="58">
        <v>22</v>
      </c>
      <c r="I26" s="61">
        <f t="shared" si="4"/>
        <v>503.60774319480163</v>
      </c>
      <c r="J26" s="61">
        <f t="shared" si="5"/>
        <v>355.48781872574227</v>
      </c>
      <c r="K26" s="61">
        <f t="shared" si="6"/>
        <v>5423.4680036363252</v>
      </c>
      <c r="L26">
        <f t="shared" si="7"/>
        <v>127877</v>
      </c>
      <c r="N26" s="58">
        <v>22</v>
      </c>
      <c r="O26" s="61">
        <f t="shared" si="8"/>
        <v>724.06528410589692</v>
      </c>
      <c r="P26" s="61">
        <f t="shared" si="9"/>
        <v>471.78914439479257</v>
      </c>
      <c r="Q26" s="61">
        <f t="shared" si="10"/>
        <v>7797.6261365250439</v>
      </c>
      <c r="R26">
        <f t="shared" si="11"/>
        <v>152024</v>
      </c>
      <c r="S26">
        <f t="shared" si="12"/>
        <v>724.06495200000006</v>
      </c>
    </row>
    <row r="27" spans="1:19" x14ac:dyDescent="0.3">
      <c r="A27" s="54"/>
      <c r="B27" s="58">
        <v>23</v>
      </c>
      <c r="C27" s="61">
        <f t="shared" si="0"/>
        <v>277.09650478460566</v>
      </c>
      <c r="D27" s="61">
        <f t="shared" si="1"/>
        <v>277.09650478460566</v>
      </c>
      <c r="E27" s="61">
        <f t="shared" si="2"/>
        <v>3623.5696779525351</v>
      </c>
      <c r="F27">
        <f t="shared" si="3"/>
        <v>113151</v>
      </c>
      <c r="H27" s="58">
        <v>23</v>
      </c>
      <c r="I27" s="61">
        <f t="shared" si="4"/>
        <v>523.75205292259375</v>
      </c>
      <c r="J27" s="61">
        <f t="shared" si="5"/>
        <v>369.70733147477199</v>
      </c>
      <c r="K27" s="61">
        <f t="shared" si="6"/>
        <v>5640.4067237817781</v>
      </c>
      <c r="L27">
        <f t="shared" si="7"/>
        <v>136992</v>
      </c>
      <c r="N27" s="58">
        <v>23</v>
      </c>
      <c r="O27" s="61">
        <f t="shared" si="8"/>
        <v>756.64822189066228</v>
      </c>
      <c r="P27" s="61">
        <f t="shared" si="9"/>
        <v>493.01965589255821</v>
      </c>
      <c r="Q27" s="61">
        <f t="shared" si="10"/>
        <v>8148.51931266867</v>
      </c>
      <c r="R27">
        <f t="shared" si="11"/>
        <v>163365</v>
      </c>
      <c r="S27">
        <f t="shared" si="12"/>
        <v>756.64764500000013</v>
      </c>
    </row>
    <row r="28" spans="1:19" x14ac:dyDescent="0.3">
      <c r="A28" s="54"/>
      <c r="B28" s="58">
        <v>24</v>
      </c>
      <c r="C28" s="61">
        <f t="shared" si="0"/>
        <v>286.79488245206682</v>
      </c>
      <c r="D28" s="61">
        <f t="shared" si="1"/>
        <v>286.79488245206682</v>
      </c>
      <c r="E28" s="61">
        <f t="shared" si="2"/>
        <v>3750.3946166808737</v>
      </c>
      <c r="F28">
        <f t="shared" si="3"/>
        <v>120611</v>
      </c>
      <c r="H28" s="58">
        <v>24</v>
      </c>
      <c r="I28" s="61">
        <f t="shared" si="4"/>
        <v>544.70213503949753</v>
      </c>
      <c r="J28" s="61">
        <f t="shared" si="5"/>
        <v>384.4956247337629</v>
      </c>
      <c r="K28" s="61">
        <f t="shared" si="6"/>
        <v>5866.0229927330493</v>
      </c>
      <c r="L28">
        <f t="shared" si="7"/>
        <v>146472</v>
      </c>
      <c r="N28" s="58">
        <v>24</v>
      </c>
      <c r="O28" s="61">
        <f t="shared" si="8"/>
        <v>790.69739187574203</v>
      </c>
      <c r="P28" s="61">
        <f t="shared" si="9"/>
        <v>515.20554040772333</v>
      </c>
      <c r="Q28" s="61">
        <f t="shared" si="10"/>
        <v>8515.2026817387596</v>
      </c>
      <c r="R28">
        <f t="shared" si="11"/>
        <v>175217</v>
      </c>
      <c r="S28">
        <f t="shared" si="12"/>
        <v>790.698441</v>
      </c>
    </row>
    <row r="29" spans="1:19" x14ac:dyDescent="0.3">
      <c r="A29" s="54"/>
      <c r="B29" s="58">
        <v>25</v>
      </c>
      <c r="C29" s="61">
        <f t="shared" si="0"/>
        <v>296.83270333788914</v>
      </c>
      <c r="D29" s="61">
        <f t="shared" si="1"/>
        <v>296.83270333788914</v>
      </c>
      <c r="E29" s="61">
        <f t="shared" si="2"/>
        <v>3881.6584282647041</v>
      </c>
      <c r="F29">
        <f t="shared" si="3"/>
        <v>128333</v>
      </c>
      <c r="H29" s="58">
        <v>25</v>
      </c>
      <c r="I29" s="61">
        <f t="shared" si="4"/>
        <v>566.49022044107744</v>
      </c>
      <c r="J29" s="61">
        <f t="shared" si="5"/>
        <v>399.87544972311343</v>
      </c>
      <c r="K29" s="61">
        <f t="shared" si="6"/>
        <v>6100.6639124423718</v>
      </c>
      <c r="L29">
        <f t="shared" si="7"/>
        <v>156330</v>
      </c>
      <c r="N29" s="58">
        <v>25</v>
      </c>
      <c r="O29" s="61">
        <f t="shared" si="8"/>
        <v>826.27877451015036</v>
      </c>
      <c r="P29" s="61">
        <f t="shared" si="9"/>
        <v>538.38978972607083</v>
      </c>
      <c r="Q29" s="61">
        <f t="shared" si="10"/>
        <v>8898.3868024170024</v>
      </c>
      <c r="R29">
        <f t="shared" si="11"/>
        <v>187601</v>
      </c>
      <c r="S29">
        <f t="shared" si="12"/>
        <v>826.27767300000005</v>
      </c>
    </row>
    <row r="30" spans="1:19" x14ac:dyDescent="0.3">
      <c r="A30" s="54"/>
      <c r="B30" s="58">
        <v>26</v>
      </c>
      <c r="C30" s="61">
        <f t="shared" si="0"/>
        <v>307.22184795471526</v>
      </c>
      <c r="D30" s="61">
        <f t="shared" si="1"/>
        <v>307.22184795471526</v>
      </c>
      <c r="E30" s="61">
        <f t="shared" si="2"/>
        <v>4017.5164732539683</v>
      </c>
      <c r="F30">
        <f t="shared" si="3"/>
        <v>136324</v>
      </c>
      <c r="H30" s="58">
        <v>26</v>
      </c>
      <c r="I30" s="61">
        <f t="shared" si="4"/>
        <v>589.1498292587205</v>
      </c>
      <c r="J30" s="61">
        <f t="shared" si="5"/>
        <v>415.87046771203796</v>
      </c>
      <c r="K30" s="61">
        <f t="shared" si="6"/>
        <v>6344.6904689400671</v>
      </c>
      <c r="L30">
        <f t="shared" si="7"/>
        <v>166584</v>
      </c>
      <c r="N30" s="58">
        <v>26</v>
      </c>
      <c r="O30" s="61">
        <f t="shared" si="8"/>
        <v>863.46131936310701</v>
      </c>
      <c r="P30" s="61">
        <f t="shared" si="9"/>
        <v>562.61733026374395</v>
      </c>
      <c r="Q30" s="61">
        <f t="shared" si="10"/>
        <v>9298.8142085257678</v>
      </c>
      <c r="R30">
        <f t="shared" si="11"/>
        <v>200543</v>
      </c>
      <c r="S30">
        <f t="shared" si="12"/>
        <v>863.46003900000005</v>
      </c>
    </row>
    <row r="31" spans="1:19" x14ac:dyDescent="0.3">
      <c r="B31" s="58">
        <v>27</v>
      </c>
      <c r="C31" s="61">
        <f t="shared" si="0"/>
        <v>317.97461263313028</v>
      </c>
      <c r="D31" s="61">
        <f t="shared" si="1"/>
        <v>317.97461263313028</v>
      </c>
      <c r="E31" s="61">
        <f t="shared" si="2"/>
        <v>4158.129549817857</v>
      </c>
      <c r="F31">
        <f t="shared" si="3"/>
        <v>144596</v>
      </c>
      <c r="H31" s="58">
        <v>27</v>
      </c>
      <c r="I31" s="61">
        <f t="shared" si="4"/>
        <v>612.71582242906936</v>
      </c>
      <c r="J31" s="61">
        <f t="shared" si="5"/>
        <v>432.5052864205195</v>
      </c>
      <c r="K31" s="61">
        <f t="shared" si="6"/>
        <v>6598.4780876976702</v>
      </c>
      <c r="L31">
        <f t="shared" si="7"/>
        <v>177247</v>
      </c>
      <c r="N31" s="58">
        <v>27</v>
      </c>
      <c r="O31" s="61">
        <f t="shared" si="8"/>
        <v>902.3170787344468</v>
      </c>
      <c r="P31" s="61">
        <f t="shared" si="9"/>
        <v>587.93511012561237</v>
      </c>
      <c r="Q31" s="61">
        <f t="shared" si="10"/>
        <v>9717.260847909427</v>
      </c>
      <c r="R31">
        <f t="shared" si="11"/>
        <v>214068</v>
      </c>
      <c r="S31">
        <f t="shared" si="12"/>
        <v>902.31736400000011</v>
      </c>
    </row>
    <row r="32" spans="1:19" x14ac:dyDescent="0.3">
      <c r="B32" s="58">
        <v>28</v>
      </c>
      <c r="C32" s="61">
        <f t="shared" si="0"/>
        <v>329.10372407528979</v>
      </c>
      <c r="D32" s="61">
        <f t="shared" si="1"/>
        <v>329.10372407528979</v>
      </c>
      <c r="E32" s="61">
        <f t="shared" si="2"/>
        <v>4303.6640840614818</v>
      </c>
      <c r="F32">
        <f t="shared" si="3"/>
        <v>153157</v>
      </c>
      <c r="H32" s="58">
        <v>28</v>
      </c>
      <c r="I32" s="61">
        <f t="shared" si="4"/>
        <v>637.22445532623215</v>
      </c>
      <c r="J32" s="61">
        <f t="shared" si="5"/>
        <v>449.80549787734031</v>
      </c>
      <c r="K32" s="61">
        <f t="shared" si="6"/>
        <v>6862.4172112055776</v>
      </c>
      <c r="L32">
        <f t="shared" si="7"/>
        <v>188337</v>
      </c>
      <c r="N32" s="58">
        <v>28</v>
      </c>
      <c r="O32" s="61">
        <f t="shared" si="8"/>
        <v>942.92134727749681</v>
      </c>
      <c r="P32" s="61">
        <f t="shared" si="9"/>
        <v>614.39219008126486</v>
      </c>
      <c r="Q32" s="61">
        <f t="shared" si="10"/>
        <v>10154.537586065351</v>
      </c>
      <c r="R32">
        <f t="shared" si="11"/>
        <v>228201</v>
      </c>
      <c r="S32">
        <f t="shared" si="12"/>
        <v>942.92147300000011</v>
      </c>
    </row>
    <row r="33" spans="2:19" x14ac:dyDescent="0.3">
      <c r="B33" s="58">
        <v>29</v>
      </c>
      <c r="C33" s="61">
        <f t="shared" si="0"/>
        <v>340.6223544179249</v>
      </c>
      <c r="D33" s="61">
        <f t="shared" si="1"/>
        <v>340.6223544179249</v>
      </c>
      <c r="E33" s="61">
        <f t="shared" si="2"/>
        <v>4454.2923270036335</v>
      </c>
      <c r="F33">
        <f t="shared" si="3"/>
        <v>162017</v>
      </c>
      <c r="H33" s="58">
        <v>29</v>
      </c>
      <c r="I33" s="61">
        <f t="shared" si="4"/>
        <v>662.71343353928148</v>
      </c>
      <c r="J33" s="61">
        <f t="shared" si="5"/>
        <v>467.79771779243396</v>
      </c>
      <c r="K33" s="61">
        <f t="shared" si="6"/>
        <v>7136.9138996538013</v>
      </c>
      <c r="L33">
        <f t="shared" si="7"/>
        <v>199870</v>
      </c>
      <c r="N33" s="58">
        <v>29</v>
      </c>
      <c r="O33" s="61">
        <f t="shared" si="8"/>
        <v>985.35280790498405</v>
      </c>
      <c r="P33" s="61">
        <f t="shared" si="9"/>
        <v>642.03983863492169</v>
      </c>
      <c r="Q33" s="61">
        <f t="shared" si="10"/>
        <v>10611.491777438292</v>
      </c>
      <c r="R33">
        <f t="shared" si="11"/>
        <v>242970</v>
      </c>
      <c r="S33">
        <f t="shared" si="12"/>
        <v>985.35280999999998</v>
      </c>
    </row>
    <row r="34" spans="2:19" x14ac:dyDescent="0.3">
      <c r="B34" s="58">
        <v>30</v>
      </c>
      <c r="C34" s="61">
        <f t="shared" si="0"/>
        <v>352.54413682255222</v>
      </c>
      <c r="D34" s="61">
        <f t="shared" si="1"/>
        <v>352.54413682255222</v>
      </c>
      <c r="E34" s="61">
        <f t="shared" si="2"/>
        <v>4610.1925584487608</v>
      </c>
      <c r="F34">
        <f t="shared" si="3"/>
        <v>171188</v>
      </c>
      <c r="H34" s="58">
        <v>30</v>
      </c>
      <c r="I34" s="61">
        <f t="shared" si="4"/>
        <v>689.22197088085272</v>
      </c>
      <c r="J34" s="61">
        <f t="shared" si="5"/>
        <v>486.50962650413135</v>
      </c>
      <c r="K34" s="61">
        <f t="shared" si="6"/>
        <v>7422.3904556399539</v>
      </c>
      <c r="L34">
        <f t="shared" si="7"/>
        <v>211865</v>
      </c>
      <c r="N34" s="58">
        <v>30</v>
      </c>
      <c r="O34" s="61">
        <f t="shared" si="8"/>
        <v>1029.6936842607083</v>
      </c>
      <c r="P34" s="61">
        <f t="shared" si="9"/>
        <v>670.93163137349313</v>
      </c>
      <c r="Q34" s="61">
        <f t="shared" si="10"/>
        <v>11089.008907423015</v>
      </c>
      <c r="R34">
        <f t="shared" si="11"/>
        <v>258404</v>
      </c>
      <c r="S34">
        <f t="shared" si="12"/>
        <v>1029.694692</v>
      </c>
    </row>
    <row r="35" spans="2:19" x14ac:dyDescent="0.3">
      <c r="B35" s="58">
        <v>31</v>
      </c>
      <c r="C35" s="61">
        <f t="shared" si="0"/>
        <v>364.88318161134151</v>
      </c>
      <c r="D35" s="61">
        <f t="shared" si="1"/>
        <v>364.88318161134151</v>
      </c>
      <c r="E35" s="61">
        <f t="shared" si="2"/>
        <v>4771.5492979944675</v>
      </c>
      <c r="F35">
        <f t="shared" si="3"/>
        <v>180679</v>
      </c>
      <c r="H35" s="58">
        <v>31</v>
      </c>
      <c r="I35" s="61">
        <f t="shared" si="4"/>
        <v>716.79084971608688</v>
      </c>
      <c r="J35" s="61">
        <f t="shared" si="5"/>
        <v>505.97001156429661</v>
      </c>
      <c r="K35" s="61">
        <f t="shared" si="6"/>
        <v>7719.2860738655527</v>
      </c>
      <c r="L35">
        <f t="shared" si="7"/>
        <v>224340</v>
      </c>
      <c r="N35" s="58">
        <v>31</v>
      </c>
      <c r="O35" s="61">
        <f t="shared" si="8"/>
        <v>1076.0299000524401</v>
      </c>
      <c r="P35" s="61">
        <f t="shared" si="9"/>
        <v>701.12355478530026</v>
      </c>
      <c r="Q35" s="61">
        <f t="shared" si="10"/>
        <v>11588.01430825705</v>
      </c>
      <c r="R35">
        <f t="shared" si="11"/>
        <v>274532</v>
      </c>
      <c r="S35">
        <f t="shared" si="12"/>
        <v>1076.030436</v>
      </c>
    </row>
    <row r="36" spans="2:19" x14ac:dyDescent="0.3">
      <c r="B36" s="58">
        <v>32</v>
      </c>
      <c r="C36" s="61">
        <f t="shared" si="0"/>
        <v>377.65409296773845</v>
      </c>
      <c r="D36" s="61">
        <f t="shared" si="1"/>
        <v>377.65409296773845</v>
      </c>
      <c r="E36" s="61">
        <f t="shared" si="2"/>
        <v>4938.5535234242734</v>
      </c>
      <c r="F36">
        <f t="shared" si="3"/>
        <v>190503</v>
      </c>
      <c r="H36" s="58">
        <v>32</v>
      </c>
      <c r="I36" s="61">
        <f t="shared" si="4"/>
        <v>745.4624837047304</v>
      </c>
      <c r="J36" s="61">
        <f t="shared" si="5"/>
        <v>526.20881202686849</v>
      </c>
      <c r="K36" s="61">
        <f t="shared" si="6"/>
        <v>8028.0575168201749</v>
      </c>
      <c r="L36">
        <f t="shared" si="7"/>
        <v>237313</v>
      </c>
      <c r="N36" s="58">
        <v>32</v>
      </c>
      <c r="O36" s="61">
        <f t="shared" si="8"/>
        <v>1124.4512455547999</v>
      </c>
      <c r="P36" s="61">
        <f t="shared" si="9"/>
        <v>732.67411475063875</v>
      </c>
      <c r="Q36" s="61">
        <f t="shared" si="10"/>
        <v>12109.474952128618</v>
      </c>
      <c r="R36">
        <f t="shared" si="11"/>
        <v>291386</v>
      </c>
      <c r="S36">
        <f t="shared" si="12"/>
        <v>1124.4519780000001</v>
      </c>
    </row>
    <row r="37" spans="2:19" x14ac:dyDescent="0.3">
      <c r="B37" s="58">
        <v>33</v>
      </c>
      <c r="C37" s="61">
        <f t="shared" si="0"/>
        <v>390.87198622160929</v>
      </c>
      <c r="D37" s="61">
        <f t="shared" si="1"/>
        <v>390.87198622160929</v>
      </c>
      <c r="E37" s="61">
        <f t="shared" si="2"/>
        <v>5111.4028967441227</v>
      </c>
      <c r="F37">
        <f t="shared" si="3"/>
        <v>200671</v>
      </c>
      <c r="H37" s="58">
        <v>33</v>
      </c>
      <c r="I37" s="61">
        <f t="shared" si="4"/>
        <v>775.28098305291962</v>
      </c>
      <c r="J37" s="61">
        <f t="shared" si="5"/>
        <v>547.25716450794323</v>
      </c>
      <c r="K37" s="61">
        <f t="shared" si="6"/>
        <v>8349.1798174929827</v>
      </c>
      <c r="L37">
        <f t="shared" si="7"/>
        <v>250806</v>
      </c>
      <c r="N37" s="58">
        <v>33</v>
      </c>
      <c r="O37" s="61">
        <f t="shared" si="8"/>
        <v>1175.0515516047658</v>
      </c>
      <c r="P37" s="61">
        <f t="shared" si="9"/>
        <v>765.64444991441746</v>
      </c>
      <c r="Q37" s="61">
        <f t="shared" si="10"/>
        <v>12654.401324974404</v>
      </c>
      <c r="R37">
        <f t="shared" si="11"/>
        <v>308998</v>
      </c>
      <c r="S37">
        <f t="shared" si="12"/>
        <v>1175.0512540000002</v>
      </c>
    </row>
    <row r="38" spans="2:19" x14ac:dyDescent="0.3">
      <c r="B38" s="58">
        <v>34</v>
      </c>
      <c r="C38" s="61">
        <f t="shared" si="0"/>
        <v>404.55250573936559</v>
      </c>
      <c r="D38" s="61">
        <f t="shared" si="1"/>
        <v>404.55250573936559</v>
      </c>
      <c r="E38" s="61">
        <f t="shared" si="2"/>
        <v>5290.3019981301668</v>
      </c>
      <c r="F38">
        <f t="shared" si="3"/>
        <v>211194</v>
      </c>
      <c r="H38" s="58">
        <v>34</v>
      </c>
      <c r="I38" s="61">
        <f t="shared" si="4"/>
        <v>806.29222237503643</v>
      </c>
      <c r="J38" s="61">
        <f t="shared" si="5"/>
        <v>569.14745108826094</v>
      </c>
      <c r="K38" s="61">
        <f t="shared" si="6"/>
        <v>8683.1470101927025</v>
      </c>
      <c r="L38">
        <f t="shared" si="7"/>
        <v>264838</v>
      </c>
      <c r="N38" s="58">
        <v>34</v>
      </c>
      <c r="O38" s="61">
        <f t="shared" si="8"/>
        <v>1227.9288714269801</v>
      </c>
      <c r="P38" s="61">
        <f t="shared" si="9"/>
        <v>800.09845016056624</v>
      </c>
      <c r="Q38" s="61">
        <f t="shared" si="10"/>
        <v>13223.849384598252</v>
      </c>
      <c r="R38">
        <f t="shared" si="11"/>
        <v>327403</v>
      </c>
      <c r="S38">
        <f t="shared" si="12"/>
        <v>1227.928819</v>
      </c>
    </row>
    <row r="39" spans="2:19" x14ac:dyDescent="0.3">
      <c r="B39" s="58">
        <v>35</v>
      </c>
      <c r="C39" s="61">
        <f t="shared" si="0"/>
        <v>418.71184344024334</v>
      </c>
      <c r="D39" s="61">
        <f t="shared" si="1"/>
        <v>418.71184344024334</v>
      </c>
      <c r="E39" s="61">
        <f t="shared" si="2"/>
        <v>5475.4625680647223</v>
      </c>
      <c r="F39">
        <f t="shared" si="3"/>
        <v>222086</v>
      </c>
      <c r="H39" s="58">
        <v>35</v>
      </c>
      <c r="I39" s="61">
        <f t="shared" si="4"/>
        <v>838.54391127003794</v>
      </c>
      <c r="J39" s="61">
        <f t="shared" si="5"/>
        <v>591.91334913179139</v>
      </c>
      <c r="K39" s="61">
        <f t="shared" si="6"/>
        <v>9030.4728906004111</v>
      </c>
      <c r="L39">
        <f t="shared" si="7"/>
        <v>279432</v>
      </c>
      <c r="N39" s="58">
        <v>35</v>
      </c>
      <c r="O39" s="61">
        <f t="shared" si="8"/>
        <v>1283.1856706411941</v>
      </c>
      <c r="P39" s="61">
        <f t="shared" si="9"/>
        <v>836.10288041779165</v>
      </c>
      <c r="Q39" s="61">
        <f t="shared" si="10"/>
        <v>13818.922606905173</v>
      </c>
      <c r="R39">
        <f t="shared" si="11"/>
        <v>346636</v>
      </c>
      <c r="S39">
        <f t="shared" si="12"/>
        <v>1283.1852280000001</v>
      </c>
    </row>
    <row r="40" spans="2:19" x14ac:dyDescent="0.3">
      <c r="B40" s="58">
        <v>36</v>
      </c>
      <c r="C40" s="61">
        <f t="shared" si="0"/>
        <v>433.36675796065185</v>
      </c>
      <c r="D40" s="61">
        <f t="shared" si="1"/>
        <v>433.36675796065185</v>
      </c>
      <c r="E40" s="61">
        <f t="shared" si="2"/>
        <v>5667.1037579469876</v>
      </c>
      <c r="F40">
        <f t="shared" si="3"/>
        <v>233359</v>
      </c>
      <c r="H40" s="58">
        <v>36</v>
      </c>
      <c r="I40" s="61">
        <f t="shared" si="4"/>
        <v>872.08566772083952</v>
      </c>
      <c r="J40" s="61">
        <f t="shared" si="5"/>
        <v>615.58988309706308</v>
      </c>
      <c r="K40" s="61">
        <f t="shared" si="6"/>
        <v>9391.6918062244276</v>
      </c>
      <c r="L40">
        <f t="shared" si="7"/>
        <v>294609</v>
      </c>
      <c r="N40" s="58">
        <v>36</v>
      </c>
      <c r="O40" s="61">
        <f t="shared" si="8"/>
        <v>1340.9290258200476</v>
      </c>
      <c r="P40" s="61">
        <f t="shared" si="9"/>
        <v>873.72751003659221</v>
      </c>
      <c r="Q40" s="61">
        <f t="shared" si="10"/>
        <v>14440.774124215905</v>
      </c>
      <c r="R40">
        <f t="shared" si="11"/>
        <v>366735</v>
      </c>
      <c r="S40">
        <f t="shared" si="12"/>
        <v>1340.9296549999999</v>
      </c>
    </row>
    <row r="41" spans="2:19" x14ac:dyDescent="0.3">
      <c r="B41" s="58">
        <v>37</v>
      </c>
      <c r="C41" s="61">
        <f t="shared" si="0"/>
        <v>448.53459448927464</v>
      </c>
      <c r="D41" s="61">
        <f t="shared" si="1"/>
        <v>448.53459448927464</v>
      </c>
      <c r="E41" s="61">
        <f t="shared" si="2"/>
        <v>5865.4523894751319</v>
      </c>
      <c r="F41">
        <f t="shared" si="3"/>
        <v>245027</v>
      </c>
      <c r="H41" s="58">
        <v>37</v>
      </c>
      <c r="I41" s="61">
        <f t="shared" si="4"/>
        <v>906.96909442967319</v>
      </c>
      <c r="J41" s="61">
        <f t="shared" si="5"/>
        <v>640.21347842094565</v>
      </c>
      <c r="K41" s="61">
        <f t="shared" si="6"/>
        <v>9767.359478473405</v>
      </c>
      <c r="L41">
        <f t="shared" si="7"/>
        <v>310393</v>
      </c>
      <c r="N41" s="58">
        <v>37</v>
      </c>
      <c r="O41" s="61">
        <f t="shared" si="8"/>
        <v>1401.2708319819496</v>
      </c>
      <c r="P41" s="61">
        <f t="shared" si="9"/>
        <v>913.04524798823877</v>
      </c>
      <c r="Q41" s="61">
        <f t="shared" si="10"/>
        <v>15090.608959805619</v>
      </c>
      <c r="R41">
        <f t="shared" si="11"/>
        <v>387738</v>
      </c>
      <c r="S41">
        <f t="shared" si="12"/>
        <v>1401.2712740000002</v>
      </c>
    </row>
    <row r="42" spans="2:19" x14ac:dyDescent="0.3">
      <c r="B42" s="58">
        <v>38</v>
      </c>
      <c r="C42" s="61">
        <f t="shared" si="0"/>
        <v>464.23330529639924</v>
      </c>
      <c r="D42" s="61">
        <f t="shared" si="1"/>
        <v>464.23330529639924</v>
      </c>
      <c r="E42" s="61">
        <f t="shared" si="2"/>
        <v>6070.7432231067614</v>
      </c>
      <c r="F42">
        <f t="shared" si="3"/>
        <v>257103</v>
      </c>
      <c r="H42" s="58">
        <v>38</v>
      </c>
      <c r="I42" s="61">
        <f t="shared" si="4"/>
        <v>943.2478582068602</v>
      </c>
      <c r="J42" s="61">
        <f t="shared" si="5"/>
        <v>665.82201755778351</v>
      </c>
      <c r="K42" s="61">
        <f t="shared" si="6"/>
        <v>10158.053857612342</v>
      </c>
      <c r="L42">
        <f t="shared" si="7"/>
        <v>326809</v>
      </c>
      <c r="N42" s="58">
        <v>38</v>
      </c>
      <c r="O42" s="61">
        <f t="shared" si="8"/>
        <v>1464.3280194211372</v>
      </c>
      <c r="P42" s="61">
        <f t="shared" si="9"/>
        <v>954.13228414770947</v>
      </c>
      <c r="Q42" s="61">
        <f t="shared" si="10"/>
        <v>15769.68636299687</v>
      </c>
      <c r="R42">
        <f t="shared" si="11"/>
        <v>409686</v>
      </c>
      <c r="S42">
        <f t="shared" si="12"/>
        <v>1464.3278780000003</v>
      </c>
    </row>
    <row r="43" spans="2:19" x14ac:dyDescent="0.3">
      <c r="B43" s="58">
        <v>39</v>
      </c>
      <c r="C43" s="61">
        <f t="shared" si="0"/>
        <v>480.48147098177316</v>
      </c>
      <c r="D43" s="61">
        <f t="shared" si="1"/>
        <v>480.48147098177316</v>
      </c>
      <c r="E43" s="61">
        <f t="shared" si="2"/>
        <v>6283.2192359154978</v>
      </c>
      <c r="F43">
        <f t="shared" si="3"/>
        <v>269601</v>
      </c>
      <c r="H43" s="58">
        <v>39</v>
      </c>
      <c r="I43" s="61">
        <f t="shared" si="4"/>
        <v>980.97777253513459</v>
      </c>
      <c r="J43" s="61">
        <f t="shared" si="5"/>
        <v>692.45489826009486</v>
      </c>
      <c r="K43" s="61">
        <f t="shared" si="6"/>
        <v>10564.376011916836</v>
      </c>
      <c r="L43">
        <f t="shared" si="7"/>
        <v>343881</v>
      </c>
      <c r="N43" s="58">
        <v>39</v>
      </c>
      <c r="O43" s="61">
        <f t="shared" si="8"/>
        <v>1530.2227802950883</v>
      </c>
      <c r="P43" s="61">
        <f t="shared" si="9"/>
        <v>997.06823693435638</v>
      </c>
      <c r="Q43" s="61">
        <f t="shared" si="10"/>
        <v>16479.32224933173</v>
      </c>
      <c r="R43">
        <f t="shared" si="11"/>
        <v>432622</v>
      </c>
      <c r="S43">
        <f t="shared" si="12"/>
        <v>1530.2230060000002</v>
      </c>
    </row>
    <row r="44" spans="2:19" x14ac:dyDescent="0.3">
      <c r="B44" s="58">
        <v>40</v>
      </c>
      <c r="C44" s="61">
        <f t="shared" si="0"/>
        <v>497.29832246613518</v>
      </c>
      <c r="D44" s="61">
        <f t="shared" si="1"/>
        <v>497.29832246613518</v>
      </c>
      <c r="E44" s="61">
        <f t="shared" si="2"/>
        <v>6503.13190917254</v>
      </c>
      <c r="F44">
        <f t="shared" si="3"/>
        <v>282537</v>
      </c>
      <c r="H44" s="58">
        <v>40</v>
      </c>
      <c r="I44" s="61">
        <f t="shared" si="4"/>
        <v>1020.21688343654</v>
      </c>
      <c r="J44" s="61">
        <f t="shared" si="5"/>
        <v>720.15309419049868</v>
      </c>
      <c r="K44" s="61">
        <f t="shared" si="6"/>
        <v>10986.95105239351</v>
      </c>
      <c r="L44">
        <f t="shared" si="7"/>
        <v>361637</v>
      </c>
      <c r="N44" s="58">
        <v>40</v>
      </c>
      <c r="O44" s="61">
        <f t="shared" si="8"/>
        <v>1599.0828054083672</v>
      </c>
      <c r="P44" s="61">
        <f t="shared" si="9"/>
        <v>1041.9363075964025</v>
      </c>
      <c r="Q44" s="61">
        <f t="shared" si="10"/>
        <v>17220.891750551655</v>
      </c>
      <c r="R44">
        <f t="shared" si="11"/>
        <v>456590</v>
      </c>
      <c r="S44">
        <f t="shared" si="12"/>
        <v>1599.0830700000001</v>
      </c>
    </row>
    <row r="45" spans="2:19" x14ac:dyDescent="0.3">
      <c r="B45" s="58">
        <v>41</v>
      </c>
      <c r="C45" s="61">
        <f t="shared" si="0"/>
        <v>514.70376375244985</v>
      </c>
      <c r="D45" s="61">
        <f t="shared" si="1"/>
        <v>514.70376375244985</v>
      </c>
      <c r="E45" s="61">
        <f t="shared" si="2"/>
        <v>6730.7415259935788</v>
      </c>
      <c r="F45">
        <f t="shared" si="3"/>
        <v>295926</v>
      </c>
      <c r="H45" s="58">
        <v>41</v>
      </c>
      <c r="I45" s="61">
        <f t="shared" si="4"/>
        <v>1061.0255587740016</v>
      </c>
      <c r="J45" s="61">
        <f t="shared" si="5"/>
        <v>748.95921795811864</v>
      </c>
      <c r="K45" s="61">
        <f t="shared" si="6"/>
        <v>11426.429094489251</v>
      </c>
      <c r="L45">
        <f t="shared" si="7"/>
        <v>380102</v>
      </c>
      <c r="N45" s="58">
        <v>41</v>
      </c>
      <c r="O45" s="61">
        <f t="shared" si="8"/>
        <v>1671.0415316517435</v>
      </c>
      <c r="P45" s="61">
        <f t="shared" si="9"/>
        <v>1088.8234414382405</v>
      </c>
      <c r="Q45" s="61">
        <f t="shared" si="10"/>
        <v>17995.831879326477</v>
      </c>
      <c r="R45">
        <f t="shared" si="11"/>
        <v>481636</v>
      </c>
      <c r="S45">
        <f t="shared" si="12"/>
        <v>1671.0402280000003</v>
      </c>
    </row>
    <row r="46" spans="2:19" x14ac:dyDescent="0.3">
      <c r="B46" s="58">
        <v>42</v>
      </c>
      <c r="C46" s="61">
        <f t="shared" si="0"/>
        <v>532.71839548378557</v>
      </c>
      <c r="D46" s="61">
        <f t="shared" si="1"/>
        <v>532.71839548378557</v>
      </c>
      <c r="E46" s="61">
        <f t="shared" si="2"/>
        <v>6966.3174794033539</v>
      </c>
      <c r="F46">
        <f t="shared" si="3"/>
        <v>309783</v>
      </c>
      <c r="H46" s="58">
        <v>42</v>
      </c>
      <c r="I46" s="61">
        <f t="shared" si="4"/>
        <v>1103.4665811249617</v>
      </c>
      <c r="J46" s="61">
        <f t="shared" si="5"/>
        <v>778.91758667644342</v>
      </c>
      <c r="K46" s="61">
        <f t="shared" si="6"/>
        <v>11883.486258268822</v>
      </c>
      <c r="L46">
        <f t="shared" si="7"/>
        <v>399306</v>
      </c>
      <c r="N46" s="58">
        <v>42</v>
      </c>
      <c r="O46" s="61">
        <f t="shared" si="8"/>
        <v>1746.2384005760719</v>
      </c>
      <c r="P46" s="61">
        <f t="shared" si="9"/>
        <v>1137.8204963029611</v>
      </c>
      <c r="Q46" s="61">
        <f t="shared" si="10"/>
        <v>18805.644313896166</v>
      </c>
      <c r="R46">
        <f t="shared" si="11"/>
        <v>507810</v>
      </c>
      <c r="S46">
        <f t="shared" si="12"/>
        <v>1746.2381300000002</v>
      </c>
    </row>
    <row r="47" spans="2:19" x14ac:dyDescent="0.3">
      <c r="B47" s="58">
        <v>43</v>
      </c>
      <c r="C47" s="61">
        <f t="shared" si="0"/>
        <v>551.36353932571808</v>
      </c>
      <c r="D47" s="61">
        <f t="shared" si="1"/>
        <v>551.36353932571808</v>
      </c>
      <c r="E47" s="61">
        <f t="shared" si="2"/>
        <v>7210.1385911824709</v>
      </c>
      <c r="F47">
        <f t="shared" si="3"/>
        <v>324126</v>
      </c>
      <c r="H47" s="58">
        <v>43</v>
      </c>
      <c r="I47" s="61">
        <f t="shared" si="4"/>
        <v>1147.6052443699602</v>
      </c>
      <c r="J47" s="61">
        <f t="shared" si="5"/>
        <v>810.07429014350123</v>
      </c>
      <c r="K47" s="61">
        <f t="shared" si="6"/>
        <v>12358.825708599576</v>
      </c>
      <c r="L47">
        <f t="shared" si="7"/>
        <v>419278</v>
      </c>
      <c r="N47" s="58">
        <v>43</v>
      </c>
      <c r="O47" s="61">
        <f t="shared" si="8"/>
        <v>1824.8191286019949</v>
      </c>
      <c r="P47" s="61">
        <f t="shared" si="9"/>
        <v>1189.0224186365942</v>
      </c>
      <c r="Q47" s="61">
        <f t="shared" si="10"/>
        <v>19651.898308021493</v>
      </c>
      <c r="R47">
        <f t="shared" si="11"/>
        <v>535162</v>
      </c>
      <c r="S47">
        <f t="shared" si="12"/>
        <v>1824.820426</v>
      </c>
    </row>
    <row r="48" spans="2:19" x14ac:dyDescent="0.3">
      <c r="B48" s="58">
        <v>44</v>
      </c>
      <c r="C48" s="61">
        <f t="shared" si="0"/>
        <v>570.66126320211822</v>
      </c>
      <c r="D48" s="61">
        <f t="shared" si="1"/>
        <v>570.66126320211822</v>
      </c>
      <c r="E48" s="61">
        <f t="shared" si="2"/>
        <v>7462.4934418738567</v>
      </c>
      <c r="F48">
        <f t="shared" si="3"/>
        <v>338970</v>
      </c>
      <c r="H48" s="58">
        <v>44</v>
      </c>
      <c r="I48" s="61">
        <f t="shared" si="4"/>
        <v>1193.5094541447586</v>
      </c>
      <c r="J48" s="61">
        <f t="shared" si="5"/>
        <v>842.47726174924128</v>
      </c>
      <c r="K48" s="61">
        <f t="shared" si="6"/>
        <v>12853.178736943559</v>
      </c>
      <c r="L48">
        <f t="shared" si="7"/>
        <v>440050</v>
      </c>
      <c r="N48" s="58">
        <v>44</v>
      </c>
      <c r="O48" s="61">
        <f t="shared" si="8"/>
        <v>1906.9359893890844</v>
      </c>
      <c r="P48" s="61">
        <f t="shared" si="9"/>
        <v>1242.528427475241</v>
      </c>
      <c r="Q48" s="61">
        <f t="shared" si="10"/>
        <v>20536.233731882458</v>
      </c>
      <c r="R48">
        <f t="shared" si="11"/>
        <v>563744</v>
      </c>
      <c r="S48">
        <f t="shared" si="12"/>
        <v>1906.936512</v>
      </c>
    </row>
    <row r="49" spans="2:19" x14ac:dyDescent="0.3">
      <c r="B49" s="58">
        <v>45</v>
      </c>
      <c r="C49" s="61">
        <f t="shared" si="0"/>
        <v>590.63440741419231</v>
      </c>
      <c r="D49" s="61">
        <f t="shared" si="1"/>
        <v>590.63440741419231</v>
      </c>
      <c r="E49" s="61">
        <f t="shared" si="2"/>
        <v>7723.680712339441</v>
      </c>
      <c r="F49">
        <f t="shared" si="3"/>
        <v>354334</v>
      </c>
      <c r="H49" s="58">
        <v>45</v>
      </c>
      <c r="I49" s="61">
        <f t="shared" si="4"/>
        <v>1241.249832310549</v>
      </c>
      <c r="J49" s="61">
        <f t="shared" si="5"/>
        <v>876.17635221921091</v>
      </c>
      <c r="K49" s="61">
        <f t="shared" si="6"/>
        <v>13367.305886421302</v>
      </c>
      <c r="L49">
        <f t="shared" si="7"/>
        <v>461652</v>
      </c>
      <c r="N49" s="58">
        <v>45</v>
      </c>
      <c r="O49" s="61">
        <f t="shared" si="8"/>
        <v>1992.7481089115931</v>
      </c>
      <c r="P49" s="61">
        <f t="shared" si="9"/>
        <v>1298.4422067116268</v>
      </c>
      <c r="Q49" s="61">
        <f t="shared" si="10"/>
        <v>21460.364249817165</v>
      </c>
      <c r="R49">
        <f t="shared" si="11"/>
        <v>593612</v>
      </c>
      <c r="S49">
        <f t="shared" si="12"/>
        <v>1992.7472760000001</v>
      </c>
    </row>
    <row r="50" spans="2:19" x14ac:dyDescent="0.3">
      <c r="B50" s="58">
        <v>46</v>
      </c>
      <c r="C50" s="61">
        <f t="shared" si="0"/>
        <v>611.30661167368896</v>
      </c>
      <c r="D50" s="61">
        <f t="shared" si="1"/>
        <v>611.30661167368896</v>
      </c>
      <c r="E50" s="61">
        <f t="shared" si="2"/>
        <v>7994.0095372713213</v>
      </c>
      <c r="F50">
        <f t="shared" si="3"/>
        <v>370236</v>
      </c>
      <c r="H50" s="58">
        <v>46</v>
      </c>
      <c r="I50" s="61">
        <f t="shared" si="4"/>
        <v>1290.8998256029711</v>
      </c>
      <c r="J50" s="61">
        <f t="shared" si="5"/>
        <v>911.22340630797942</v>
      </c>
      <c r="K50" s="61">
        <f t="shared" si="6"/>
        <v>13901.998121878154</v>
      </c>
      <c r="L50">
        <f t="shared" si="7"/>
        <v>484118</v>
      </c>
      <c r="N50" s="58">
        <v>46</v>
      </c>
      <c r="O50" s="61">
        <f t="shared" si="8"/>
        <v>2082.4217738126149</v>
      </c>
      <c r="P50" s="61">
        <f t="shared" si="9"/>
        <v>1356.87210601365</v>
      </c>
      <c r="Q50" s="61">
        <f t="shared" si="10"/>
        <v>22426.080641058936</v>
      </c>
      <c r="R50">
        <f t="shared" si="11"/>
        <v>624825</v>
      </c>
      <c r="S50">
        <f t="shared" si="12"/>
        <v>2082.4222249999998</v>
      </c>
    </row>
    <row r="51" spans="2:19" x14ac:dyDescent="0.3">
      <c r="B51" s="58">
        <v>47</v>
      </c>
      <c r="C51" s="61">
        <f t="shared" si="0"/>
        <v>632.70234308226804</v>
      </c>
      <c r="D51" s="61">
        <f t="shared" si="1"/>
        <v>632.70234308226804</v>
      </c>
      <c r="E51" s="61">
        <f t="shared" si="2"/>
        <v>8273.7998710758166</v>
      </c>
      <c r="F51">
        <f t="shared" si="3"/>
        <v>386694</v>
      </c>
      <c r="H51" s="58">
        <v>47</v>
      </c>
      <c r="I51" s="61">
        <f t="shared" si="4"/>
        <v>1342.5358186270901</v>
      </c>
      <c r="J51" s="61">
        <f t="shared" si="5"/>
        <v>947.6723425602986</v>
      </c>
      <c r="K51" s="61">
        <f t="shared" si="6"/>
        <v>14458.07804675328</v>
      </c>
      <c r="L51">
        <f t="shared" si="7"/>
        <v>507482</v>
      </c>
      <c r="N51" s="58">
        <v>47</v>
      </c>
      <c r="O51" s="61">
        <f t="shared" si="8"/>
        <v>2176.1307536341824</v>
      </c>
      <c r="P51" s="61">
        <f t="shared" si="9"/>
        <v>1417.9313507842642</v>
      </c>
      <c r="Q51" s="61">
        <f t="shared" si="10"/>
        <v>23435.254269906585</v>
      </c>
      <c r="R51">
        <f t="shared" si="11"/>
        <v>657442</v>
      </c>
      <c r="S51">
        <f t="shared" si="12"/>
        <v>2176.130866</v>
      </c>
    </row>
    <row r="52" spans="2:19" x14ac:dyDescent="0.3">
      <c r="B52" s="58">
        <v>48</v>
      </c>
      <c r="C52" s="61">
        <f t="shared" si="0"/>
        <v>654.84692509014735</v>
      </c>
      <c r="D52" s="61">
        <f t="shared" si="1"/>
        <v>654.84692509014735</v>
      </c>
      <c r="E52" s="61">
        <f t="shared" si="2"/>
        <v>8563.3828665634701</v>
      </c>
      <c r="F52">
        <f t="shared" si="3"/>
        <v>403728</v>
      </c>
      <c r="H52" s="58">
        <v>48</v>
      </c>
      <c r="I52" s="61">
        <f t="shared" si="4"/>
        <v>1396.2372513721737</v>
      </c>
      <c r="J52" s="61">
        <f t="shared" si="5"/>
        <v>985.57923626271054</v>
      </c>
      <c r="K52" s="61">
        <f t="shared" si="6"/>
        <v>15036.401168623412</v>
      </c>
      <c r="L52">
        <f t="shared" si="7"/>
        <v>531782</v>
      </c>
      <c r="N52" s="58">
        <v>48</v>
      </c>
      <c r="O52" s="61">
        <f t="shared" si="8"/>
        <v>2274.0566375477206</v>
      </c>
      <c r="P52" s="61">
        <f t="shared" si="9"/>
        <v>1481.738261569556</v>
      </c>
      <c r="Q52" s="61">
        <f t="shared" si="10"/>
        <v>24489.840712052381</v>
      </c>
      <c r="R52">
        <f t="shared" si="11"/>
        <v>691527</v>
      </c>
      <c r="S52">
        <f t="shared" si="12"/>
        <v>2274.0570710000002</v>
      </c>
    </row>
    <row r="53" spans="2:19" x14ac:dyDescent="0.3">
      <c r="B53" s="58">
        <v>49</v>
      </c>
      <c r="C53" s="61">
        <f t="shared" si="0"/>
        <v>677.76656746830247</v>
      </c>
      <c r="D53" s="61">
        <f t="shared" si="1"/>
        <v>677.76656746830247</v>
      </c>
      <c r="E53" s="61">
        <f t="shared" si="2"/>
        <v>8863.1012668931908</v>
      </c>
      <c r="F53">
        <f t="shared" si="3"/>
        <v>421359</v>
      </c>
      <c r="H53" s="58">
        <v>49</v>
      </c>
      <c r="I53" s="61">
        <f t="shared" si="4"/>
        <v>1452.0867414270606</v>
      </c>
      <c r="J53" s="61">
        <f t="shared" si="5"/>
        <v>1025.0024057132191</v>
      </c>
      <c r="K53" s="61">
        <f t="shared" si="6"/>
        <v>15637.857215368349</v>
      </c>
      <c r="L53">
        <f t="shared" si="7"/>
        <v>557053</v>
      </c>
      <c r="N53" s="58">
        <v>49</v>
      </c>
      <c r="O53" s="61">
        <f t="shared" si="8"/>
        <v>2376.389186237368</v>
      </c>
      <c r="P53" s="61">
        <f t="shared" si="9"/>
        <v>1548.416483340186</v>
      </c>
      <c r="Q53" s="61">
        <f t="shared" si="10"/>
        <v>25591.883544094737</v>
      </c>
      <c r="R53">
        <f t="shared" si="11"/>
        <v>727146</v>
      </c>
      <c r="S53">
        <f t="shared" si="12"/>
        <v>2376.3904580000003</v>
      </c>
    </row>
    <row r="54" spans="2:19" x14ac:dyDescent="0.3">
      <c r="B54" s="58">
        <v>50</v>
      </c>
      <c r="C54" s="61">
        <f t="shared" si="0"/>
        <v>701.48839732969304</v>
      </c>
      <c r="D54" s="61">
        <f t="shared" si="1"/>
        <v>701.48839732969304</v>
      </c>
      <c r="E54" s="61">
        <f t="shared" si="2"/>
        <v>9173.3098112344524</v>
      </c>
      <c r="F54">
        <f t="shared" si="3"/>
        <v>439606</v>
      </c>
      <c r="H54" s="58">
        <v>50</v>
      </c>
      <c r="I54" s="61">
        <f t="shared" si="4"/>
        <v>1510.1702110841431</v>
      </c>
      <c r="J54" s="61">
        <f t="shared" si="5"/>
        <v>1066.0025019417478</v>
      </c>
      <c r="K54" s="61">
        <f t="shared" si="6"/>
        <v>16263.371503983084</v>
      </c>
      <c r="L54">
        <f t="shared" si="7"/>
        <v>583335</v>
      </c>
      <c r="N54" s="58">
        <v>50</v>
      </c>
      <c r="O54" s="61">
        <f t="shared" si="8"/>
        <v>2483.3266996180496</v>
      </c>
      <c r="P54" s="61">
        <f t="shared" si="9"/>
        <v>1618.0952250904943</v>
      </c>
      <c r="Q54" s="61">
        <f t="shared" si="10"/>
        <v>26743.518303579</v>
      </c>
      <c r="R54">
        <f t="shared" si="11"/>
        <v>764367</v>
      </c>
      <c r="S54">
        <f t="shared" si="12"/>
        <v>2483.3263910000001</v>
      </c>
    </row>
    <row r="55" spans="2:19" x14ac:dyDescent="0.3">
      <c r="B55" s="58">
        <v>51</v>
      </c>
      <c r="C55" s="61">
        <f t="shared" si="0"/>
        <v>726.04049123623224</v>
      </c>
      <c r="D55" s="61">
        <f t="shared" si="1"/>
        <v>726.04049123623224</v>
      </c>
      <c r="E55" s="61">
        <f t="shared" si="2"/>
        <v>9494.3756546276582</v>
      </c>
      <c r="F55">
        <f t="shared" si="3"/>
        <v>458493</v>
      </c>
      <c r="H55" s="58">
        <v>51</v>
      </c>
      <c r="I55" s="61">
        <f t="shared" si="4"/>
        <v>1570.577019527509</v>
      </c>
      <c r="J55" s="61">
        <f t="shared" si="5"/>
        <v>1108.6426020194178</v>
      </c>
      <c r="K55" s="61">
        <f t="shared" si="6"/>
        <v>16913.906364142407</v>
      </c>
      <c r="L55">
        <f t="shared" si="7"/>
        <v>610668</v>
      </c>
      <c r="N55" s="58">
        <v>51</v>
      </c>
      <c r="O55" s="61">
        <f t="shared" si="8"/>
        <v>2595.0764011008619</v>
      </c>
      <c r="P55" s="61">
        <f t="shared" si="9"/>
        <v>1690.9095102195665</v>
      </c>
      <c r="Q55" s="61">
        <f t="shared" si="10"/>
        <v>27946.976627240052</v>
      </c>
      <c r="R55">
        <f t="shared" si="11"/>
        <v>803264</v>
      </c>
      <c r="S55">
        <f t="shared" si="12"/>
        <v>2595.0774720000004</v>
      </c>
    </row>
    <row r="56" spans="2:19" x14ac:dyDescent="0.3">
      <c r="B56" s="58">
        <v>52</v>
      </c>
      <c r="C56" s="61">
        <f t="shared" si="0"/>
        <v>751.45190842950035</v>
      </c>
      <c r="D56" s="61">
        <f t="shared" si="1"/>
        <v>751.45190842950035</v>
      </c>
      <c r="E56" s="61">
        <f t="shared" si="2"/>
        <v>9826.6788025396254</v>
      </c>
      <c r="F56">
        <f t="shared" si="3"/>
        <v>478040</v>
      </c>
      <c r="H56" s="58">
        <v>52</v>
      </c>
      <c r="I56" s="61">
        <f t="shared" si="4"/>
        <v>1633.4001003086094</v>
      </c>
      <c r="J56" s="61">
        <f t="shared" si="5"/>
        <v>1152.9883061001947</v>
      </c>
      <c r="K56" s="61">
        <f t="shared" si="6"/>
        <v>17590.462618708105</v>
      </c>
      <c r="L56">
        <f t="shared" si="7"/>
        <v>639095</v>
      </c>
      <c r="N56" s="58">
        <v>52</v>
      </c>
      <c r="O56" s="61">
        <f t="shared" si="8"/>
        <v>2711.8548391504005</v>
      </c>
      <c r="P56" s="61">
        <f t="shared" si="9"/>
        <v>1767.000438179447</v>
      </c>
      <c r="Q56" s="61">
        <f t="shared" si="10"/>
        <v>29204.590575465852</v>
      </c>
      <c r="R56">
        <f t="shared" si="11"/>
        <v>843910</v>
      </c>
      <c r="S56">
        <f t="shared" si="12"/>
        <v>2711.8534300000001</v>
      </c>
    </row>
    <row r="57" spans="2:19" x14ac:dyDescent="0.3">
      <c r="B57" s="58">
        <v>53</v>
      </c>
      <c r="C57" s="61">
        <f t="shared" si="0"/>
        <v>777.75272522453281</v>
      </c>
      <c r="D57" s="61">
        <f t="shared" si="1"/>
        <v>777.75272522453281</v>
      </c>
      <c r="E57" s="61">
        <f t="shared" si="2"/>
        <v>10170.612560628511</v>
      </c>
      <c r="F57">
        <f t="shared" si="3"/>
        <v>498271</v>
      </c>
      <c r="H57" s="58">
        <v>53</v>
      </c>
      <c r="I57" s="61">
        <f t="shared" si="4"/>
        <v>1698.7361043209537</v>
      </c>
      <c r="J57" s="61">
        <f t="shared" si="5"/>
        <v>1199.1078383442025</v>
      </c>
      <c r="K57" s="61">
        <f t="shared" si="6"/>
        <v>18294.081123456428</v>
      </c>
      <c r="L57">
        <f t="shared" si="7"/>
        <v>668659</v>
      </c>
      <c r="N57" s="58">
        <v>53</v>
      </c>
      <c r="O57" s="61">
        <f t="shared" si="8"/>
        <v>2833.8883069121684</v>
      </c>
      <c r="P57" s="61">
        <f t="shared" si="9"/>
        <v>1846.5154578975219</v>
      </c>
      <c r="Q57" s="61">
        <f t="shared" si="10"/>
        <v>30518.797151361814</v>
      </c>
      <c r="R57">
        <f t="shared" si="11"/>
        <v>886386</v>
      </c>
      <c r="S57">
        <f t="shared" si="12"/>
        <v>2833.8869780000005</v>
      </c>
    </row>
    <row r="58" spans="2:19" x14ac:dyDescent="0.3">
      <c r="B58" s="58">
        <v>54</v>
      </c>
      <c r="C58" s="61">
        <f t="shared" si="0"/>
        <v>804.97407060739135</v>
      </c>
      <c r="D58" s="61">
        <f t="shared" si="1"/>
        <v>804.97407060739135</v>
      </c>
      <c r="E58" s="61">
        <f t="shared" si="2"/>
        <v>10526.584000250508</v>
      </c>
      <c r="F58">
        <f t="shared" si="3"/>
        <v>519211</v>
      </c>
      <c r="H58" s="58">
        <v>54</v>
      </c>
      <c r="I58" s="61">
        <f t="shared" si="4"/>
        <v>1766.6855484937919</v>
      </c>
      <c r="J58" s="61">
        <f t="shared" si="5"/>
        <v>1247.0721518779706</v>
      </c>
      <c r="K58" s="61">
        <f t="shared" si="6"/>
        <v>19025.844368394686</v>
      </c>
      <c r="L58">
        <f t="shared" si="7"/>
        <v>699405</v>
      </c>
      <c r="N58" s="58">
        <v>54</v>
      </c>
      <c r="O58" s="61">
        <f t="shared" si="8"/>
        <v>2961.4132807232158</v>
      </c>
      <c r="P58" s="61">
        <f t="shared" si="9"/>
        <v>1929.6086535029101</v>
      </c>
      <c r="Q58" s="61">
        <f t="shared" si="10"/>
        <v>31892.143023173092</v>
      </c>
      <c r="R58">
        <f t="shared" si="11"/>
        <v>930774</v>
      </c>
      <c r="S58">
        <f t="shared" si="12"/>
        <v>2961.4137020000003</v>
      </c>
    </row>
    <row r="59" spans="2:19" x14ac:dyDescent="0.3">
      <c r="B59" s="58">
        <v>55</v>
      </c>
      <c r="C59" s="61">
        <f t="shared" si="0"/>
        <v>833.14816307864999</v>
      </c>
      <c r="D59" s="61">
        <f t="shared" si="1"/>
        <v>833.14816307864999</v>
      </c>
      <c r="E59" s="61">
        <f t="shared" si="2"/>
        <v>10895.014440259276</v>
      </c>
      <c r="F59">
        <f t="shared" si="3"/>
        <v>540883</v>
      </c>
      <c r="H59" s="58">
        <v>55</v>
      </c>
      <c r="I59" s="61">
        <f t="shared" si="4"/>
        <v>1837.3529704335435</v>
      </c>
      <c r="J59" s="61">
        <f t="shared" si="5"/>
        <v>1296.9550379530895</v>
      </c>
      <c r="K59" s="61">
        <f t="shared" si="6"/>
        <v>19786.878143130474</v>
      </c>
      <c r="L59">
        <f t="shared" si="7"/>
        <v>731381</v>
      </c>
      <c r="N59" s="58">
        <v>55</v>
      </c>
      <c r="O59" s="61">
        <f t="shared" si="8"/>
        <v>3094.6768783557604</v>
      </c>
      <c r="P59" s="61">
        <f t="shared" si="9"/>
        <v>2016.441042910541</v>
      </c>
      <c r="Q59" s="61">
        <f t="shared" si="10"/>
        <v>33327.289459215877</v>
      </c>
      <c r="R59">
        <f t="shared" si="11"/>
        <v>977159</v>
      </c>
      <c r="S59">
        <f t="shared" si="12"/>
        <v>3094.677807</v>
      </c>
    </row>
    <row r="60" spans="2:19" x14ac:dyDescent="0.3">
      <c r="B60" s="58">
        <v>56</v>
      </c>
      <c r="C60" s="61">
        <f t="shared" si="0"/>
        <v>862.30834878640269</v>
      </c>
      <c r="D60" s="61">
        <f t="shared" si="1"/>
        <v>862.30834878640269</v>
      </c>
      <c r="E60" s="61">
        <f t="shared" si="2"/>
        <v>11276.339945668349</v>
      </c>
      <c r="F60">
        <f t="shared" si="3"/>
        <v>563314</v>
      </c>
      <c r="H60" s="58">
        <v>56</v>
      </c>
      <c r="I60" s="61">
        <f t="shared" si="4"/>
        <v>1910.8470892508853</v>
      </c>
      <c r="J60" s="61">
        <f t="shared" si="5"/>
        <v>1348.8332394712131</v>
      </c>
      <c r="K60" s="61">
        <f t="shared" si="6"/>
        <v>20578.353268855695</v>
      </c>
      <c r="L60">
        <f t="shared" si="7"/>
        <v>764637</v>
      </c>
      <c r="N60" s="58">
        <v>56</v>
      </c>
      <c r="O60" s="61">
        <f t="shared" si="8"/>
        <v>3233.9373378817695</v>
      </c>
      <c r="P60" s="61">
        <f t="shared" si="9"/>
        <v>2107.1808898415152</v>
      </c>
      <c r="Q60" s="61">
        <f t="shared" si="10"/>
        <v>34827.017484880591</v>
      </c>
      <c r="R60">
        <f t="shared" si="11"/>
        <v>1025631</v>
      </c>
      <c r="S60">
        <f t="shared" si="12"/>
        <v>3233.9378630000001</v>
      </c>
    </row>
    <row r="61" spans="2:19" x14ac:dyDescent="0.3">
      <c r="B61" s="58">
        <v>57</v>
      </c>
      <c r="C61" s="61">
        <f t="shared" si="0"/>
        <v>892.48914099392675</v>
      </c>
      <c r="D61" s="61">
        <f t="shared" si="1"/>
        <v>892.48914099392675</v>
      </c>
      <c r="E61" s="61">
        <f t="shared" si="2"/>
        <v>11671.011843766741</v>
      </c>
      <c r="F61">
        <f t="shared" si="3"/>
        <v>586530</v>
      </c>
      <c r="H61" s="58">
        <v>57</v>
      </c>
      <c r="I61" s="61">
        <f t="shared" si="4"/>
        <v>1987.2809728209209</v>
      </c>
      <c r="J61" s="61">
        <f t="shared" si="5"/>
        <v>1402.7865690500616</v>
      </c>
      <c r="K61" s="61">
        <f t="shared" si="6"/>
        <v>21401.487399609923</v>
      </c>
      <c r="L61">
        <f t="shared" si="7"/>
        <v>799222</v>
      </c>
      <c r="N61" s="58">
        <v>57</v>
      </c>
      <c r="O61" s="61">
        <f t="shared" si="8"/>
        <v>3379.4645180864491</v>
      </c>
      <c r="P61" s="61">
        <f t="shared" si="9"/>
        <v>2202.0040298843833</v>
      </c>
      <c r="Q61" s="61">
        <f t="shared" si="10"/>
        <v>36394.233271700214</v>
      </c>
      <c r="R61">
        <f t="shared" si="11"/>
        <v>1076284</v>
      </c>
      <c r="S61">
        <f t="shared" si="12"/>
        <v>3379.4639320000001</v>
      </c>
    </row>
    <row r="62" spans="2:19" x14ac:dyDescent="0.3">
      <c r="B62" s="58">
        <v>58</v>
      </c>
      <c r="C62" s="61">
        <f t="shared" si="0"/>
        <v>923.72626092871417</v>
      </c>
      <c r="D62" s="61">
        <f t="shared" si="1"/>
        <v>923.72626092871417</v>
      </c>
      <c r="E62" s="61">
        <f t="shared" si="2"/>
        <v>12079.497258298576</v>
      </c>
      <c r="F62">
        <f t="shared" si="3"/>
        <v>610559</v>
      </c>
      <c r="H62" s="58">
        <v>58</v>
      </c>
      <c r="I62" s="61">
        <f t="shared" si="4"/>
        <v>2066.7722117337576</v>
      </c>
      <c r="J62" s="61">
        <f t="shared" si="5"/>
        <v>1458.8980318120641</v>
      </c>
      <c r="K62" s="61">
        <f t="shared" si="6"/>
        <v>22257.546895594322</v>
      </c>
      <c r="L62">
        <f t="shared" si="7"/>
        <v>835191</v>
      </c>
      <c r="N62" s="58">
        <v>58</v>
      </c>
      <c r="O62" s="61">
        <f t="shared" si="8"/>
        <v>3531.5404214003393</v>
      </c>
      <c r="P62" s="61">
        <f t="shared" si="9"/>
        <v>2301.0942112291805</v>
      </c>
      <c r="Q62" s="61">
        <f t="shared" si="10"/>
        <v>38031.97376892672</v>
      </c>
      <c r="R62">
        <f t="shared" si="11"/>
        <v>1129217</v>
      </c>
      <c r="S62">
        <f t="shared" si="12"/>
        <v>3531.5404410000001</v>
      </c>
    </row>
    <row r="63" spans="2:19" x14ac:dyDescent="0.3">
      <c r="B63" s="58">
        <v>59</v>
      </c>
      <c r="C63" s="61">
        <f t="shared" si="0"/>
        <v>956.05668006121914</v>
      </c>
      <c r="D63" s="61">
        <f t="shared" si="1"/>
        <v>956.05668006121914</v>
      </c>
      <c r="E63" s="61">
        <f t="shared" si="2"/>
        <v>12502.279662339024</v>
      </c>
      <c r="F63">
        <f t="shared" si="3"/>
        <v>635428</v>
      </c>
      <c r="H63" s="58">
        <v>59</v>
      </c>
      <c r="I63" s="61">
        <f t="shared" si="4"/>
        <v>2149.4431002031079</v>
      </c>
      <c r="J63" s="61">
        <f t="shared" si="5"/>
        <v>1517.2539530845468</v>
      </c>
      <c r="K63" s="61">
        <f t="shared" si="6"/>
        <v>23147.848771418096</v>
      </c>
      <c r="L63">
        <f t="shared" si="7"/>
        <v>872599</v>
      </c>
      <c r="N63" s="58">
        <v>59</v>
      </c>
      <c r="O63" s="61">
        <f t="shared" si="8"/>
        <v>3690.4597403633543</v>
      </c>
      <c r="P63" s="61">
        <f t="shared" si="9"/>
        <v>2404.6434507344934</v>
      </c>
      <c r="Q63" s="61">
        <f t="shared" si="10"/>
        <v>39743.412588528423</v>
      </c>
      <c r="R63">
        <f t="shared" si="11"/>
        <v>1184532</v>
      </c>
      <c r="S63">
        <f t="shared" si="12"/>
        <v>3690.4604359999998</v>
      </c>
    </row>
    <row r="64" spans="2:19" x14ac:dyDescent="0.3">
      <c r="B64" s="58">
        <v>60</v>
      </c>
      <c r="C64" s="61">
        <f t="shared" si="0"/>
        <v>989.51866386336178</v>
      </c>
      <c r="D64" s="61">
        <f t="shared" si="1"/>
        <v>989.51866386336178</v>
      </c>
      <c r="E64" s="61">
        <f t="shared" si="2"/>
        <v>12939.859450520889</v>
      </c>
      <c r="F64">
        <f t="shared" si="3"/>
        <v>661168</v>
      </c>
      <c r="H64" s="58">
        <v>60</v>
      </c>
      <c r="I64" s="61">
        <f t="shared" si="4"/>
        <v>2235.4208242112322</v>
      </c>
      <c r="J64" s="61">
        <f t="shared" si="5"/>
        <v>1577.9441112079287</v>
      </c>
      <c r="K64" s="61">
        <f t="shared" si="6"/>
        <v>24073.76272227482</v>
      </c>
      <c r="L64">
        <f t="shared" si="7"/>
        <v>911503</v>
      </c>
      <c r="N64" s="58">
        <v>60</v>
      </c>
      <c r="O64" s="61">
        <f t="shared" si="8"/>
        <v>3856.530428679705</v>
      </c>
      <c r="P64" s="61">
        <f t="shared" si="9"/>
        <v>2512.8524060175455</v>
      </c>
      <c r="Q64" s="61">
        <f t="shared" si="10"/>
        <v>41531.866155012198</v>
      </c>
      <c r="R64">
        <f t="shared" si="11"/>
        <v>1242336</v>
      </c>
      <c r="S64">
        <f t="shared" si="12"/>
        <v>3856.5313280000005</v>
      </c>
    </row>
    <row r="65" spans="2:19" x14ac:dyDescent="0.3">
      <c r="B65" s="58">
        <v>61</v>
      </c>
      <c r="C65" s="61">
        <f t="shared" si="0"/>
        <v>1024.1518170985794</v>
      </c>
      <c r="D65" s="61">
        <f t="shared" si="1"/>
        <v>1024.1518170985794</v>
      </c>
      <c r="E65" s="61">
        <f t="shared" si="2"/>
        <v>13392.75453128912</v>
      </c>
      <c r="F65">
        <f t="shared" si="3"/>
        <v>687809</v>
      </c>
      <c r="H65" s="58">
        <v>61</v>
      </c>
      <c r="I65" s="61">
        <f t="shared" si="4"/>
        <v>2324.8376571796816</v>
      </c>
      <c r="J65" s="61">
        <f t="shared" si="5"/>
        <v>1641.061875656246</v>
      </c>
      <c r="K65" s="61">
        <f t="shared" si="6"/>
        <v>25036.713231165813</v>
      </c>
      <c r="L65">
        <f t="shared" si="7"/>
        <v>951963</v>
      </c>
      <c r="N65" s="58">
        <v>61</v>
      </c>
      <c r="O65" s="61">
        <f t="shared" si="8"/>
        <v>4030.0742979702914</v>
      </c>
      <c r="P65" s="61">
        <f t="shared" si="9"/>
        <v>2625.930764288335</v>
      </c>
      <c r="Q65" s="61">
        <f t="shared" si="10"/>
        <v>43400.800131987744</v>
      </c>
      <c r="R65">
        <f t="shared" si="11"/>
        <v>1302741</v>
      </c>
      <c r="S65">
        <f t="shared" si="12"/>
        <v>4030.074893</v>
      </c>
    </row>
    <row r="66" spans="2:19" x14ac:dyDescent="0.3">
      <c r="B66" s="58">
        <v>62</v>
      </c>
      <c r="C66" s="61">
        <f t="shared" si="0"/>
        <v>1059.9971306970297</v>
      </c>
      <c r="D66" s="61">
        <f t="shared" si="1"/>
        <v>1059.9971306970297</v>
      </c>
      <c r="E66" s="61">
        <f t="shared" si="2"/>
        <v>13861.500939884238</v>
      </c>
      <c r="F66">
        <f t="shared" si="3"/>
        <v>715382</v>
      </c>
      <c r="H66" s="58">
        <v>62</v>
      </c>
      <c r="I66" s="61">
        <f t="shared" si="4"/>
        <v>2417.8311634668689</v>
      </c>
      <c r="J66" s="61">
        <f t="shared" si="5"/>
        <v>1706.7043506824959</v>
      </c>
      <c r="K66" s="61">
        <f t="shared" si="6"/>
        <v>26038.181760412448</v>
      </c>
      <c r="L66">
        <f t="shared" si="7"/>
        <v>994041</v>
      </c>
      <c r="N66" s="58">
        <v>62</v>
      </c>
      <c r="O66" s="61">
        <f t="shared" si="8"/>
        <v>4211.4276413789539</v>
      </c>
      <c r="P66" s="61">
        <f t="shared" si="9"/>
        <v>2744.0976486813097</v>
      </c>
      <c r="Q66" s="61">
        <f t="shared" si="10"/>
        <v>45353.836137927188</v>
      </c>
      <c r="R66">
        <f t="shared" si="11"/>
        <v>1365864</v>
      </c>
      <c r="S66">
        <f t="shared" si="12"/>
        <v>4211.4272719999999</v>
      </c>
    </row>
    <row r="67" spans="2:19" x14ac:dyDescent="0.3">
      <c r="B67" s="58">
        <v>63</v>
      </c>
      <c r="C67" s="61">
        <f t="shared" si="0"/>
        <v>1097.0970302714256</v>
      </c>
      <c r="D67" s="61">
        <f t="shared" si="1"/>
        <v>1097.0970302714256</v>
      </c>
      <c r="E67" s="61">
        <f t="shared" si="2"/>
        <v>14346.653472780185</v>
      </c>
      <c r="F67">
        <f t="shared" si="3"/>
        <v>743921</v>
      </c>
      <c r="H67" s="58">
        <v>63</v>
      </c>
      <c r="I67" s="61">
        <f t="shared" si="4"/>
        <v>2514.5444100055438</v>
      </c>
      <c r="J67" s="61">
        <f t="shared" si="5"/>
        <v>1774.9725247097958</v>
      </c>
      <c r="K67" s="61">
        <f t="shared" si="6"/>
        <v>27079.709030828948</v>
      </c>
      <c r="L67">
        <f t="shared" si="7"/>
        <v>1037803</v>
      </c>
      <c r="N67" s="58">
        <v>63</v>
      </c>
      <c r="O67" s="61">
        <f t="shared" si="8"/>
        <v>4400.9418852410063</v>
      </c>
      <c r="P67" s="61">
        <f t="shared" si="9"/>
        <v>2867.5820428719685</v>
      </c>
      <c r="Q67" s="61">
        <f t="shared" si="10"/>
        <v>47394.758764133905</v>
      </c>
      <c r="R67">
        <f t="shared" si="11"/>
        <v>1431828</v>
      </c>
      <c r="S67">
        <f t="shared" si="12"/>
        <v>4400.9418439999999</v>
      </c>
    </row>
    <row r="68" spans="2:19" x14ac:dyDescent="0.3">
      <c r="B68" s="58">
        <v>64</v>
      </c>
      <c r="C68" s="61">
        <f t="shared" si="0"/>
        <v>1135.4954263309255</v>
      </c>
      <c r="D68" s="61">
        <f t="shared" si="1"/>
        <v>1135.4954263309255</v>
      </c>
      <c r="E68" s="61">
        <f t="shared" si="2"/>
        <v>14848.786344327489</v>
      </c>
      <c r="F68">
        <f t="shared" si="3"/>
        <v>773458</v>
      </c>
      <c r="H68" s="58">
        <v>64</v>
      </c>
      <c r="I68" s="61">
        <f t="shared" si="4"/>
        <v>2615.1261864057656</v>
      </c>
      <c r="J68" s="61">
        <f t="shared" si="5"/>
        <v>1845.9714256981877</v>
      </c>
      <c r="K68" s="61">
        <f t="shared" si="6"/>
        <v>28162.897392062107</v>
      </c>
      <c r="L68">
        <f t="shared" si="7"/>
        <v>1083315</v>
      </c>
      <c r="N68" s="58">
        <v>64</v>
      </c>
      <c r="O68" s="61">
        <f t="shared" si="8"/>
        <v>4598.9842700768513</v>
      </c>
      <c r="P68" s="61">
        <f t="shared" si="9"/>
        <v>2996.6232348012068</v>
      </c>
      <c r="Q68" s="61">
        <f t="shared" si="10"/>
        <v>49527.522908519924</v>
      </c>
      <c r="R68">
        <f t="shared" si="11"/>
        <v>1500760</v>
      </c>
      <c r="S68">
        <f t="shared" si="12"/>
        <v>4598.9834799999999</v>
      </c>
    </row>
    <row r="69" spans="2:19" x14ac:dyDescent="0.3">
      <c r="B69" s="58">
        <v>65</v>
      </c>
      <c r="C69" s="61">
        <f t="shared" si="0"/>
        <v>1175.2377662525078</v>
      </c>
      <c r="D69" s="61">
        <f t="shared" si="1"/>
        <v>1175.2377662525078</v>
      </c>
      <c r="E69" s="61">
        <f t="shared" si="2"/>
        <v>15368.493866378951</v>
      </c>
      <c r="F69">
        <f t="shared" si="3"/>
        <v>804029</v>
      </c>
      <c r="H69" s="58">
        <v>65</v>
      </c>
      <c r="I69" s="61">
        <f t="shared" si="4"/>
        <v>2719.7312338619963</v>
      </c>
      <c r="J69" s="61">
        <f t="shared" si="5"/>
        <v>1919.8102827261152</v>
      </c>
      <c r="K69" s="61">
        <f t="shared" si="6"/>
        <v>29289.413287744592</v>
      </c>
      <c r="L69">
        <f t="shared" si="7"/>
        <v>1130648</v>
      </c>
      <c r="N69" s="58">
        <v>65</v>
      </c>
      <c r="O69" s="61">
        <f t="shared" si="8"/>
        <v>4805.9385622303089</v>
      </c>
      <c r="P69" s="61">
        <f t="shared" si="9"/>
        <v>3131.471280367261</v>
      </c>
      <c r="Q69" s="61">
        <f t="shared" si="10"/>
        <v>51756.261439403315</v>
      </c>
      <c r="R69">
        <f t="shared" si="11"/>
        <v>1572794</v>
      </c>
      <c r="S69">
        <f t="shared" si="12"/>
        <v>4805.9371620000002</v>
      </c>
    </row>
    <row r="70" spans="2:19" x14ac:dyDescent="0.3">
      <c r="B70" s="58">
        <v>66</v>
      </c>
      <c r="C70" s="61">
        <f t="shared" ref="C70:C133" si="13">C69*$A$5</f>
        <v>1216.3710880713454</v>
      </c>
      <c r="D70" s="61">
        <f t="shared" ref="D70:D133" si="14">D69*$A$5</f>
        <v>1216.3710880713454</v>
      </c>
      <c r="E70" s="61">
        <f t="shared" ref="E70:E133" si="15">E69*$A$5</f>
        <v>15906.391151702213</v>
      </c>
      <c r="F70">
        <f t="shared" ref="F70:F133" si="16">ROUND((C70/C$5-1)*100000, 0)</f>
        <v>835670</v>
      </c>
      <c r="H70" s="58">
        <v>66</v>
      </c>
      <c r="I70" s="61">
        <f t="shared" ref="I70:I133" si="17">I69*$G$5</f>
        <v>2828.5204832164764</v>
      </c>
      <c r="J70" s="61">
        <f t="shared" ref="J70:J133" si="18">J69*$G$5</f>
        <v>1996.6026940351599</v>
      </c>
      <c r="K70" s="61">
        <f t="shared" ref="K70:K133" si="19">K69*$G$5</f>
        <v>30460.989819254377</v>
      </c>
      <c r="L70">
        <f t="shared" ref="L70:L133" si="20">ROUND((I70/I$5-1)*100000, 0)</f>
        <v>1179874</v>
      </c>
      <c r="N70" s="58">
        <v>66</v>
      </c>
      <c r="O70" s="61">
        <f t="shared" ref="O70:O133" si="21">O69*$M$5</f>
        <v>5022.2057975306725</v>
      </c>
      <c r="P70" s="61">
        <f t="shared" ref="P70:P133" si="22">P69*$M$5</f>
        <v>3272.3874879837877</v>
      </c>
      <c r="Q70" s="61">
        <f t="shared" ref="Q70:Q133" si="23">Q69*$M$5</f>
        <v>54085.293204176458</v>
      </c>
      <c r="R70">
        <f t="shared" ref="R70:R133" si="24">ROUND((O70/O$5-1)*100000, 0)</f>
        <v>1648070</v>
      </c>
      <c r="S70">
        <f t="shared" ref="S70:S133" si="25">$O$5*(1+R70/100000)</f>
        <v>5022.2051099999999</v>
      </c>
    </row>
    <row r="71" spans="2:19" x14ac:dyDescent="0.3">
      <c r="B71" s="58">
        <v>67</v>
      </c>
      <c r="C71" s="61">
        <f t="shared" si="13"/>
        <v>1258.9440761538424</v>
      </c>
      <c r="D71" s="61">
        <f t="shared" si="14"/>
        <v>1258.9440761538424</v>
      </c>
      <c r="E71" s="61">
        <f t="shared" si="15"/>
        <v>16463.11484201179</v>
      </c>
      <c r="F71">
        <f t="shared" si="16"/>
        <v>868419</v>
      </c>
      <c r="H71" s="58">
        <v>67</v>
      </c>
      <c r="I71" s="61">
        <f t="shared" si="17"/>
        <v>2941.6613025451356</v>
      </c>
      <c r="J71" s="61">
        <f t="shared" si="18"/>
        <v>2076.4668017965664</v>
      </c>
      <c r="K71" s="61">
        <f t="shared" si="19"/>
        <v>31679.429412024554</v>
      </c>
      <c r="L71">
        <f t="shared" si="20"/>
        <v>1231068</v>
      </c>
      <c r="N71" s="58">
        <v>67</v>
      </c>
      <c r="O71" s="61">
        <f t="shared" si="21"/>
        <v>5248.2050584195522</v>
      </c>
      <c r="P71" s="61">
        <f t="shared" si="22"/>
        <v>3419.644924943058</v>
      </c>
      <c r="Q71" s="61">
        <f t="shared" si="23"/>
        <v>56519.131398364392</v>
      </c>
      <c r="R71">
        <f t="shared" si="24"/>
        <v>1726733</v>
      </c>
      <c r="S71">
        <f t="shared" si="25"/>
        <v>5248.2039090000007</v>
      </c>
    </row>
    <row r="72" spans="2:19" x14ac:dyDescent="0.3">
      <c r="B72" s="58">
        <v>68</v>
      </c>
      <c r="C72" s="61">
        <f t="shared" si="13"/>
        <v>1303.0071188192267</v>
      </c>
      <c r="D72" s="61">
        <f t="shared" si="14"/>
        <v>1303.0071188192267</v>
      </c>
      <c r="E72" s="61">
        <f t="shared" si="15"/>
        <v>17039.3238614822</v>
      </c>
      <c r="F72">
        <f t="shared" si="16"/>
        <v>902313</v>
      </c>
      <c r="H72" s="58">
        <v>68</v>
      </c>
      <c r="I72" s="61">
        <f t="shared" si="17"/>
        <v>3059.3277546469412</v>
      </c>
      <c r="J72" s="61">
        <f t="shared" si="18"/>
        <v>2159.5254738684293</v>
      </c>
      <c r="K72" s="61">
        <f t="shared" si="19"/>
        <v>32946.606588505536</v>
      </c>
      <c r="L72">
        <f t="shared" si="20"/>
        <v>1284311</v>
      </c>
      <c r="N72" s="58">
        <v>68</v>
      </c>
      <c r="O72" s="61">
        <f t="shared" si="21"/>
        <v>5484.3742860484317</v>
      </c>
      <c r="P72" s="61">
        <f t="shared" si="22"/>
        <v>3573.5289465654955</v>
      </c>
      <c r="Q72" s="61">
        <f t="shared" si="23"/>
        <v>59062.492311290785</v>
      </c>
      <c r="R72">
        <f t="shared" si="24"/>
        <v>1808936</v>
      </c>
      <c r="S72">
        <f t="shared" si="25"/>
        <v>5484.3731280000002</v>
      </c>
    </row>
    <row r="73" spans="2:19" x14ac:dyDescent="0.3">
      <c r="B73" s="58">
        <v>69</v>
      </c>
      <c r="C73" s="61">
        <f t="shared" si="13"/>
        <v>1348.6123679778996</v>
      </c>
      <c r="D73" s="61">
        <f t="shared" si="14"/>
        <v>1348.6123679778996</v>
      </c>
      <c r="E73" s="61">
        <f t="shared" si="15"/>
        <v>17635.700196634076</v>
      </c>
      <c r="F73">
        <f t="shared" si="16"/>
        <v>937394</v>
      </c>
      <c r="H73" s="58">
        <v>69</v>
      </c>
      <c r="I73" s="61">
        <f t="shared" si="17"/>
        <v>3181.7008648328192</v>
      </c>
      <c r="J73" s="61">
        <f t="shared" si="18"/>
        <v>2245.9064928231664</v>
      </c>
      <c r="K73" s="61">
        <f t="shared" si="19"/>
        <v>34264.470852045757</v>
      </c>
      <c r="L73">
        <f t="shared" si="20"/>
        <v>1339684</v>
      </c>
      <c r="N73" s="58">
        <v>69</v>
      </c>
      <c r="O73" s="61">
        <f t="shared" si="21"/>
        <v>5731.1711289206105</v>
      </c>
      <c r="P73" s="61">
        <f t="shared" si="22"/>
        <v>3734.3377491609426</v>
      </c>
      <c r="Q73" s="61">
        <f t="shared" si="23"/>
        <v>61720.304465298868</v>
      </c>
      <c r="R73">
        <f t="shared" si="24"/>
        <v>1894839</v>
      </c>
      <c r="S73">
        <f t="shared" si="25"/>
        <v>5731.1724469999999</v>
      </c>
    </row>
    <row r="74" spans="2:19" x14ac:dyDescent="0.3">
      <c r="B74" s="58">
        <v>70</v>
      </c>
      <c r="C74" s="61">
        <f t="shared" si="13"/>
        <v>1395.8138008571259</v>
      </c>
      <c r="D74" s="61">
        <f t="shared" si="14"/>
        <v>1395.8138008571259</v>
      </c>
      <c r="E74" s="61">
        <f t="shared" si="15"/>
        <v>18252.949703516268</v>
      </c>
      <c r="F74">
        <f t="shared" si="16"/>
        <v>973703</v>
      </c>
      <c r="H74" s="58">
        <v>70</v>
      </c>
      <c r="I74" s="61">
        <f t="shared" si="17"/>
        <v>3308.9688994261319</v>
      </c>
      <c r="J74" s="61">
        <f t="shared" si="18"/>
        <v>2335.7427525360931</v>
      </c>
      <c r="K74" s="61">
        <f t="shared" si="19"/>
        <v>35635.04968612759</v>
      </c>
      <c r="L74">
        <f t="shared" si="20"/>
        <v>1397271</v>
      </c>
      <c r="N74" s="58">
        <v>70</v>
      </c>
      <c r="O74" s="61">
        <f t="shared" si="21"/>
        <v>5989.0738297220378</v>
      </c>
      <c r="P74" s="61">
        <f t="shared" si="22"/>
        <v>3902.3829478731845</v>
      </c>
      <c r="Q74" s="61">
        <f t="shared" si="23"/>
        <v>64497.718166237311</v>
      </c>
      <c r="R74">
        <f t="shared" si="24"/>
        <v>1984606</v>
      </c>
      <c r="S74">
        <f t="shared" si="25"/>
        <v>5989.0730380000005</v>
      </c>
    </row>
    <row r="75" spans="2:19" x14ac:dyDescent="0.3">
      <c r="B75" s="58">
        <v>71</v>
      </c>
      <c r="C75" s="61">
        <f t="shared" si="13"/>
        <v>1444.6672838871252</v>
      </c>
      <c r="D75" s="61">
        <f t="shared" si="14"/>
        <v>1444.6672838871252</v>
      </c>
      <c r="E75" s="61">
        <f t="shared" si="15"/>
        <v>18891.802943139337</v>
      </c>
      <c r="F75">
        <f t="shared" si="16"/>
        <v>1011283</v>
      </c>
      <c r="H75" s="58">
        <v>71</v>
      </c>
      <c r="I75" s="61">
        <f t="shared" si="17"/>
        <v>3441.3276554031772</v>
      </c>
      <c r="J75" s="61">
        <f t="shared" si="18"/>
        <v>2429.1724626375371</v>
      </c>
      <c r="K75" s="61">
        <f t="shared" si="19"/>
        <v>37060.451673572694</v>
      </c>
      <c r="L75">
        <f t="shared" si="20"/>
        <v>1457162</v>
      </c>
      <c r="N75" s="58">
        <v>71</v>
      </c>
      <c r="O75" s="61">
        <f t="shared" si="21"/>
        <v>6258.5821520595291</v>
      </c>
      <c r="P75" s="61">
        <f t="shared" si="22"/>
        <v>4077.9901805274776</v>
      </c>
      <c r="Q75" s="61">
        <f t="shared" si="23"/>
        <v>67400.115483717993</v>
      </c>
      <c r="R75">
        <f t="shared" si="24"/>
        <v>2078414</v>
      </c>
      <c r="S75">
        <f t="shared" si="25"/>
        <v>6258.5834220000006</v>
      </c>
    </row>
    <row r="76" spans="2:19" x14ac:dyDescent="0.3">
      <c r="B76" s="58">
        <v>72</v>
      </c>
      <c r="C76" s="61">
        <f t="shared" si="13"/>
        <v>1495.2306388231746</v>
      </c>
      <c r="D76" s="61">
        <f t="shared" si="14"/>
        <v>1495.2306388231746</v>
      </c>
      <c r="E76" s="61">
        <f t="shared" si="15"/>
        <v>19553.016046149212</v>
      </c>
      <c r="F76">
        <f t="shared" si="16"/>
        <v>1050177</v>
      </c>
      <c r="H76" s="58">
        <v>72</v>
      </c>
      <c r="I76" s="61">
        <f t="shared" si="17"/>
        <v>3578.9807616193043</v>
      </c>
      <c r="J76" s="61">
        <f t="shared" si="18"/>
        <v>2526.3393611430388</v>
      </c>
      <c r="K76" s="61">
        <f t="shared" si="19"/>
        <v>38542.869740515605</v>
      </c>
      <c r="L76">
        <f t="shared" si="20"/>
        <v>1519448</v>
      </c>
      <c r="N76" s="58">
        <v>72</v>
      </c>
      <c r="O76" s="61">
        <f t="shared" si="21"/>
        <v>6540.2183489022073</v>
      </c>
      <c r="P76" s="61">
        <f t="shared" si="22"/>
        <v>4261.4997386512141</v>
      </c>
      <c r="Q76" s="61">
        <f t="shared" si="23"/>
        <v>70433.120680485299</v>
      </c>
      <c r="R76">
        <f t="shared" si="24"/>
        <v>2176442</v>
      </c>
      <c r="S76">
        <f t="shared" si="25"/>
        <v>6540.2178660000009</v>
      </c>
    </row>
    <row r="77" spans="2:19" x14ac:dyDescent="0.3">
      <c r="B77" s="58">
        <v>73</v>
      </c>
      <c r="C77" s="61">
        <f t="shared" si="13"/>
        <v>1547.5637111819856</v>
      </c>
      <c r="D77" s="61">
        <f t="shared" si="14"/>
        <v>1547.5637111819856</v>
      </c>
      <c r="E77" s="61">
        <f t="shared" si="15"/>
        <v>20237.371607764435</v>
      </c>
      <c r="F77">
        <f t="shared" si="16"/>
        <v>1090434</v>
      </c>
      <c r="H77" s="58">
        <v>73</v>
      </c>
      <c r="I77" s="61">
        <f t="shared" si="17"/>
        <v>3722.1399920840768</v>
      </c>
      <c r="J77" s="61">
        <f t="shared" si="18"/>
        <v>2627.3929355887603</v>
      </c>
      <c r="K77" s="61">
        <f t="shared" si="19"/>
        <v>40084.584530136228</v>
      </c>
      <c r="L77">
        <f t="shared" si="20"/>
        <v>1584226</v>
      </c>
      <c r="N77" s="58">
        <v>73</v>
      </c>
      <c r="O77" s="61">
        <f t="shared" si="21"/>
        <v>6834.5281746028058</v>
      </c>
      <c r="P77" s="61">
        <f t="shared" si="22"/>
        <v>4453.267226890518</v>
      </c>
      <c r="Q77" s="61">
        <f t="shared" si="23"/>
        <v>73602.611111107137</v>
      </c>
      <c r="R77">
        <f t="shared" si="24"/>
        <v>2278882</v>
      </c>
      <c r="S77">
        <f t="shared" si="25"/>
        <v>6834.527986000001</v>
      </c>
    </row>
    <row r="78" spans="2:19" x14ac:dyDescent="0.3">
      <c r="B78" s="58">
        <v>74</v>
      </c>
      <c r="C78" s="61">
        <f t="shared" si="13"/>
        <v>1601.728441073355</v>
      </c>
      <c r="D78" s="61">
        <f t="shared" si="14"/>
        <v>1601.728441073355</v>
      </c>
      <c r="E78" s="61">
        <f t="shared" si="15"/>
        <v>20945.679614036188</v>
      </c>
      <c r="F78">
        <f t="shared" si="16"/>
        <v>1132099</v>
      </c>
      <c r="H78" s="58">
        <v>74</v>
      </c>
      <c r="I78" s="61">
        <f t="shared" si="17"/>
        <v>3871.0255917674399</v>
      </c>
      <c r="J78" s="61">
        <f t="shared" si="18"/>
        <v>2732.4886530123108</v>
      </c>
      <c r="K78" s="61">
        <f t="shared" si="19"/>
        <v>41687.967911341679</v>
      </c>
      <c r="L78">
        <f t="shared" si="20"/>
        <v>1651595</v>
      </c>
      <c r="N78" s="58">
        <v>74</v>
      </c>
      <c r="O78" s="61">
        <f t="shared" si="21"/>
        <v>7142.0819424599313</v>
      </c>
      <c r="P78" s="61">
        <f t="shared" si="22"/>
        <v>4653.6642521005906</v>
      </c>
      <c r="Q78" s="61">
        <f t="shared" si="23"/>
        <v>76914.728611106955</v>
      </c>
      <c r="R78">
        <f t="shared" si="24"/>
        <v>2385932</v>
      </c>
      <c r="S78">
        <f t="shared" si="25"/>
        <v>7142.0826360000001</v>
      </c>
    </row>
    <row r="79" spans="2:19" x14ac:dyDescent="0.3">
      <c r="B79" s="58">
        <v>75</v>
      </c>
      <c r="C79" s="61">
        <f t="shared" si="13"/>
        <v>1657.7889365109224</v>
      </c>
      <c r="D79" s="61">
        <f t="shared" si="14"/>
        <v>1657.7889365109224</v>
      </c>
      <c r="E79" s="61">
        <f t="shared" si="15"/>
        <v>21678.778400527452</v>
      </c>
      <c r="F79">
        <f t="shared" si="16"/>
        <v>1175222</v>
      </c>
      <c r="H79" s="58">
        <v>75</v>
      </c>
      <c r="I79" s="61">
        <f t="shared" si="17"/>
        <v>4025.8666154381376</v>
      </c>
      <c r="J79" s="61">
        <f t="shared" si="18"/>
        <v>2841.7881991328031</v>
      </c>
      <c r="K79" s="61">
        <f t="shared" si="19"/>
        <v>43355.486627795348</v>
      </c>
      <c r="L79">
        <f t="shared" si="20"/>
        <v>1721659</v>
      </c>
      <c r="N79" s="58">
        <v>75</v>
      </c>
      <c r="O79" s="61">
        <f t="shared" si="21"/>
        <v>7463.4756298706279</v>
      </c>
      <c r="P79" s="61">
        <f t="shared" si="22"/>
        <v>4863.0791434451166</v>
      </c>
      <c r="Q79" s="61">
        <f t="shared" si="23"/>
        <v>80375.891398606764</v>
      </c>
      <c r="R79">
        <f t="shared" si="24"/>
        <v>2497799</v>
      </c>
      <c r="S79">
        <f t="shared" si="25"/>
        <v>7463.4765269999998</v>
      </c>
    </row>
    <row r="80" spans="2:19" x14ac:dyDescent="0.3">
      <c r="B80" s="58">
        <v>76</v>
      </c>
      <c r="C80" s="61">
        <f t="shared" si="13"/>
        <v>1715.8115492888046</v>
      </c>
      <c r="D80" s="61">
        <f t="shared" si="14"/>
        <v>1715.8115492888046</v>
      </c>
      <c r="E80" s="61">
        <f t="shared" si="15"/>
        <v>22437.535644545911</v>
      </c>
      <c r="F80">
        <f t="shared" si="16"/>
        <v>1219855</v>
      </c>
      <c r="H80" s="58">
        <v>76</v>
      </c>
      <c r="I80" s="61">
        <f t="shared" si="17"/>
        <v>4186.9012800556629</v>
      </c>
      <c r="J80" s="61">
        <f t="shared" si="18"/>
        <v>2955.4597270981153</v>
      </c>
      <c r="K80" s="61">
        <f t="shared" si="19"/>
        <v>45089.706092907167</v>
      </c>
      <c r="L80">
        <f t="shared" si="20"/>
        <v>1794525</v>
      </c>
      <c r="N80" s="58">
        <v>76</v>
      </c>
      <c r="O80" s="61">
        <f t="shared" si="21"/>
        <v>7799.332033214806</v>
      </c>
      <c r="P80" s="61">
        <f t="shared" si="22"/>
        <v>5081.9177049001464</v>
      </c>
      <c r="Q80" s="61">
        <f t="shared" si="23"/>
        <v>83992.80651154407</v>
      </c>
      <c r="R80">
        <f t="shared" si="24"/>
        <v>2614700</v>
      </c>
      <c r="S80">
        <f t="shared" si="25"/>
        <v>7799.3330999999998</v>
      </c>
    </row>
    <row r="81" spans="2:19" x14ac:dyDescent="0.3">
      <c r="B81" s="58">
        <v>77</v>
      </c>
      <c r="C81" s="61">
        <f t="shared" si="13"/>
        <v>1775.8649535139127</v>
      </c>
      <c r="D81" s="61">
        <f t="shared" si="14"/>
        <v>1775.8649535139127</v>
      </c>
      <c r="E81" s="61">
        <f t="shared" si="15"/>
        <v>23222.849392105018</v>
      </c>
      <c r="F81">
        <f t="shared" si="16"/>
        <v>1266050</v>
      </c>
      <c r="H81" s="58">
        <v>77</v>
      </c>
      <c r="I81" s="61">
        <f t="shared" si="17"/>
        <v>4354.3773312578896</v>
      </c>
      <c r="J81" s="61">
        <f t="shared" si="18"/>
        <v>3073.67811618204</v>
      </c>
      <c r="K81" s="61">
        <f t="shared" si="19"/>
        <v>46893.294336623454</v>
      </c>
      <c r="L81">
        <f t="shared" si="20"/>
        <v>1870306</v>
      </c>
      <c r="N81" s="58">
        <v>77</v>
      </c>
      <c r="O81" s="61">
        <f t="shared" si="21"/>
        <v>8150.3019747094713</v>
      </c>
      <c r="P81" s="61">
        <f t="shared" si="22"/>
        <v>5310.6040016206525</v>
      </c>
      <c r="Q81" s="61">
        <f t="shared" si="23"/>
        <v>87772.482804563551</v>
      </c>
      <c r="R81">
        <f t="shared" si="24"/>
        <v>2736861</v>
      </c>
      <c r="S81">
        <f t="shared" si="25"/>
        <v>8150.3016530000004</v>
      </c>
    </row>
    <row r="82" spans="2:19" x14ac:dyDescent="0.3">
      <c r="B82" s="58">
        <v>78</v>
      </c>
      <c r="C82" s="61">
        <f t="shared" si="13"/>
        <v>1838.0202268868995</v>
      </c>
      <c r="D82" s="61">
        <f t="shared" si="14"/>
        <v>1838.0202268868995</v>
      </c>
      <c r="E82" s="61">
        <f t="shared" si="15"/>
        <v>24035.64912082869</v>
      </c>
      <c r="F82">
        <f t="shared" si="16"/>
        <v>1313862</v>
      </c>
      <c r="H82" s="58">
        <v>78</v>
      </c>
      <c r="I82" s="61">
        <f t="shared" si="17"/>
        <v>4528.5524245082051</v>
      </c>
      <c r="J82" s="61">
        <f t="shared" si="18"/>
        <v>3196.6252408293217</v>
      </c>
      <c r="K82" s="61">
        <f t="shared" si="19"/>
        <v>48769.026110088394</v>
      </c>
      <c r="L82">
        <f t="shared" si="20"/>
        <v>1949119</v>
      </c>
      <c r="N82" s="58">
        <v>78</v>
      </c>
      <c r="O82" s="61">
        <f t="shared" si="21"/>
        <v>8517.0655635713974</v>
      </c>
      <c r="P82" s="61">
        <f t="shared" si="22"/>
        <v>5549.5811816935811</v>
      </c>
      <c r="Q82" s="61">
        <f t="shared" si="23"/>
        <v>91722.244530768905</v>
      </c>
      <c r="R82">
        <f t="shared" si="24"/>
        <v>2864520</v>
      </c>
      <c r="S82">
        <f t="shared" si="25"/>
        <v>8517.0659599999999</v>
      </c>
    </row>
    <row r="83" spans="2:19" x14ac:dyDescent="0.3">
      <c r="B83" s="58">
        <v>79</v>
      </c>
      <c r="C83" s="61">
        <f t="shared" si="13"/>
        <v>1902.3509348279408</v>
      </c>
      <c r="D83" s="61">
        <f t="shared" si="14"/>
        <v>1902.3509348279408</v>
      </c>
      <c r="E83" s="61">
        <f t="shared" si="15"/>
        <v>24876.896840057692</v>
      </c>
      <c r="F83">
        <f t="shared" si="16"/>
        <v>1363347</v>
      </c>
      <c r="H83" s="58">
        <v>79</v>
      </c>
      <c r="I83" s="61">
        <f t="shared" si="17"/>
        <v>4709.6945214885336</v>
      </c>
      <c r="J83" s="61">
        <f t="shared" si="18"/>
        <v>3324.4902504624947</v>
      </c>
      <c r="K83" s="61">
        <f t="shared" si="19"/>
        <v>50719.787154491933</v>
      </c>
      <c r="L83">
        <f t="shared" si="20"/>
        <v>2031083</v>
      </c>
      <c r="N83" s="58">
        <v>79</v>
      </c>
      <c r="O83" s="61">
        <f t="shared" si="21"/>
        <v>8900.3335139321098</v>
      </c>
      <c r="P83" s="61">
        <f t="shared" si="22"/>
        <v>5799.3123348697918</v>
      </c>
      <c r="Q83" s="61">
        <f t="shared" si="23"/>
        <v>95849.745534653499</v>
      </c>
      <c r="R83">
        <f t="shared" si="24"/>
        <v>2997923</v>
      </c>
      <c r="S83">
        <f t="shared" si="25"/>
        <v>8900.3327790000003</v>
      </c>
    </row>
    <row r="84" spans="2:19" x14ac:dyDescent="0.3">
      <c r="B84" s="58">
        <v>80</v>
      </c>
      <c r="C84" s="61">
        <f t="shared" si="13"/>
        <v>1968.9332175469185</v>
      </c>
      <c r="D84" s="61">
        <f t="shared" si="14"/>
        <v>1968.9332175469185</v>
      </c>
      <c r="E84" s="61">
        <f t="shared" si="15"/>
        <v>25747.58822945971</v>
      </c>
      <c r="F84">
        <f t="shared" si="16"/>
        <v>1414564</v>
      </c>
      <c r="H84" s="58">
        <v>80</v>
      </c>
      <c r="I84" s="61">
        <f t="shared" si="17"/>
        <v>4898.0823023480752</v>
      </c>
      <c r="J84" s="61">
        <f t="shared" si="18"/>
        <v>3457.4698604809946</v>
      </c>
      <c r="K84" s="61">
        <f t="shared" si="19"/>
        <v>52748.578640671614</v>
      </c>
      <c r="L84">
        <f t="shared" si="20"/>
        <v>2116327</v>
      </c>
      <c r="N84" s="58">
        <v>80</v>
      </c>
      <c r="O84" s="61">
        <f t="shared" si="21"/>
        <v>9300.8485220590537</v>
      </c>
      <c r="P84" s="61">
        <f t="shared" si="22"/>
        <v>6060.2813899389321</v>
      </c>
      <c r="Q84" s="61">
        <f t="shared" si="23"/>
        <v>100162.9840837129</v>
      </c>
      <c r="R84">
        <f t="shared" si="24"/>
        <v>3137330</v>
      </c>
      <c r="S84">
        <f t="shared" si="25"/>
        <v>9300.8490899999997</v>
      </c>
    </row>
    <row r="85" spans="2:19" x14ac:dyDescent="0.3">
      <c r="B85" s="58">
        <v>81</v>
      </c>
      <c r="C85" s="61">
        <f t="shared" si="13"/>
        <v>2037.8458801610604</v>
      </c>
      <c r="D85" s="61">
        <f t="shared" si="14"/>
        <v>2037.8458801610604</v>
      </c>
      <c r="E85" s="61">
        <f t="shared" si="15"/>
        <v>26648.753817490797</v>
      </c>
      <c r="F85">
        <f t="shared" si="16"/>
        <v>1467574</v>
      </c>
      <c r="H85" s="58">
        <v>81</v>
      </c>
      <c r="I85" s="61">
        <f t="shared" si="17"/>
        <v>5094.0055944419983</v>
      </c>
      <c r="J85" s="61">
        <f t="shared" si="18"/>
        <v>3595.7686549002347</v>
      </c>
      <c r="K85" s="61">
        <f t="shared" si="19"/>
        <v>54858.521786298479</v>
      </c>
      <c r="L85">
        <f t="shared" si="20"/>
        <v>2204980</v>
      </c>
      <c r="N85" s="58">
        <v>81</v>
      </c>
      <c r="O85" s="61">
        <f t="shared" si="21"/>
        <v>9719.3867055517112</v>
      </c>
      <c r="P85" s="61">
        <f t="shared" si="22"/>
        <v>6332.994052486184</v>
      </c>
      <c r="Q85" s="61">
        <f t="shared" si="23"/>
        <v>104670.31836747998</v>
      </c>
      <c r="R85">
        <f t="shared" si="24"/>
        <v>3283010</v>
      </c>
      <c r="S85">
        <f t="shared" si="25"/>
        <v>9719.3877300000004</v>
      </c>
    </row>
    <row r="86" spans="2:19" x14ac:dyDescent="0.3">
      <c r="B86" s="58">
        <v>82</v>
      </c>
      <c r="C86" s="61">
        <f t="shared" si="13"/>
        <v>2109.1704859666975</v>
      </c>
      <c r="D86" s="61">
        <f t="shared" si="14"/>
        <v>2109.1704859666975</v>
      </c>
      <c r="E86" s="61">
        <f t="shared" si="15"/>
        <v>27581.460201102971</v>
      </c>
      <c r="F86">
        <f t="shared" si="16"/>
        <v>1522439</v>
      </c>
      <c r="H86" s="58">
        <v>82</v>
      </c>
      <c r="I86" s="61">
        <f t="shared" si="17"/>
        <v>5297.7658182196783</v>
      </c>
      <c r="J86" s="61">
        <f t="shared" si="18"/>
        <v>3739.599401096244</v>
      </c>
      <c r="K86" s="61">
        <f t="shared" si="19"/>
        <v>57052.862657750418</v>
      </c>
      <c r="L86">
        <f t="shared" si="20"/>
        <v>2297179</v>
      </c>
      <c r="N86" s="58">
        <v>82</v>
      </c>
      <c r="O86" s="61">
        <f t="shared" si="21"/>
        <v>10156.759107301537</v>
      </c>
      <c r="P86" s="61">
        <f t="shared" si="22"/>
        <v>6617.9787848480619</v>
      </c>
      <c r="Q86" s="61">
        <f t="shared" si="23"/>
        <v>109380.48269401657</v>
      </c>
      <c r="R86">
        <f t="shared" si="24"/>
        <v>3435245</v>
      </c>
      <c r="S86">
        <f t="shared" si="25"/>
        <v>10156.758884999999</v>
      </c>
    </row>
    <row r="87" spans="2:19" x14ac:dyDescent="0.3">
      <c r="B87" s="58">
        <v>83</v>
      </c>
      <c r="C87" s="61">
        <f t="shared" si="13"/>
        <v>2182.9914529755315</v>
      </c>
      <c r="D87" s="61">
        <f t="shared" si="14"/>
        <v>2182.9914529755315</v>
      </c>
      <c r="E87" s="61">
        <f t="shared" si="15"/>
        <v>28546.811308141572</v>
      </c>
      <c r="F87">
        <f t="shared" si="16"/>
        <v>1579224</v>
      </c>
      <c r="H87" s="58">
        <v>83</v>
      </c>
      <c r="I87" s="61">
        <f t="shared" si="17"/>
        <v>5509.6764509484656</v>
      </c>
      <c r="J87" s="61">
        <f t="shared" si="18"/>
        <v>3889.1833771400939</v>
      </c>
      <c r="K87" s="61">
        <f t="shared" si="19"/>
        <v>59334.977164060438</v>
      </c>
      <c r="L87">
        <f t="shared" si="20"/>
        <v>2393066</v>
      </c>
      <c r="N87" s="58">
        <v>83</v>
      </c>
      <c r="O87" s="61">
        <f t="shared" si="21"/>
        <v>10613.813267130106</v>
      </c>
      <c r="P87" s="61">
        <f t="shared" si="22"/>
        <v>6915.787830166224</v>
      </c>
      <c r="Q87" s="61">
        <f t="shared" si="23"/>
        <v>114302.6044152473</v>
      </c>
      <c r="R87">
        <f t="shared" si="24"/>
        <v>3594331</v>
      </c>
      <c r="S87">
        <f t="shared" si="25"/>
        <v>10613.812963</v>
      </c>
    </row>
    <row r="88" spans="2:19" x14ac:dyDescent="0.3">
      <c r="B88" s="58">
        <v>84</v>
      </c>
      <c r="C88" s="61">
        <f t="shared" si="13"/>
        <v>2259.3961538296749</v>
      </c>
      <c r="D88" s="61">
        <f t="shared" si="14"/>
        <v>2259.3961538296749</v>
      </c>
      <c r="E88" s="61">
        <f t="shared" si="15"/>
        <v>29545.949703926526</v>
      </c>
      <c r="F88">
        <f t="shared" si="16"/>
        <v>1637997</v>
      </c>
      <c r="H88" s="58">
        <v>84</v>
      </c>
      <c r="I88" s="61">
        <f t="shared" si="17"/>
        <v>5730.0635089864045</v>
      </c>
      <c r="J88" s="61">
        <f t="shared" si="18"/>
        <v>4044.750712225698</v>
      </c>
      <c r="K88" s="61">
        <f t="shared" si="19"/>
        <v>61708.37625062286</v>
      </c>
      <c r="L88">
        <f t="shared" si="20"/>
        <v>2492789</v>
      </c>
      <c r="N88" s="58">
        <v>84</v>
      </c>
      <c r="O88" s="61">
        <f t="shared" si="21"/>
        <v>11091.43486415096</v>
      </c>
      <c r="P88" s="61">
        <f t="shared" si="22"/>
        <v>7226.9982825237039</v>
      </c>
      <c r="Q88" s="61">
        <f t="shared" si="23"/>
        <v>119446.22161393342</v>
      </c>
      <c r="R88">
        <f t="shared" si="24"/>
        <v>3760576</v>
      </c>
      <c r="S88">
        <f t="shared" si="25"/>
        <v>11091.434847999999</v>
      </c>
    </row>
    <row r="89" spans="2:19" x14ac:dyDescent="0.3">
      <c r="B89" s="58">
        <v>85</v>
      </c>
      <c r="C89" s="61">
        <f t="shared" si="13"/>
        <v>2338.4750192137135</v>
      </c>
      <c r="D89" s="61">
        <f t="shared" si="14"/>
        <v>2338.4750192137135</v>
      </c>
      <c r="E89" s="61">
        <f t="shared" si="15"/>
        <v>30580.057943563952</v>
      </c>
      <c r="F89">
        <f t="shared" si="16"/>
        <v>1698827</v>
      </c>
      <c r="H89" s="58">
        <v>85</v>
      </c>
      <c r="I89" s="61">
        <f t="shared" si="17"/>
        <v>5959.2660493458607</v>
      </c>
      <c r="J89" s="61">
        <f t="shared" si="18"/>
        <v>4206.5407407147259</v>
      </c>
      <c r="K89" s="61">
        <f t="shared" si="19"/>
        <v>64176.711300647774</v>
      </c>
      <c r="L89">
        <f t="shared" si="20"/>
        <v>2596500</v>
      </c>
      <c r="N89" s="58">
        <v>85</v>
      </c>
      <c r="O89" s="61">
        <f t="shared" si="21"/>
        <v>11590.549433037753</v>
      </c>
      <c r="P89" s="61">
        <f t="shared" si="22"/>
        <v>7552.2132052372699</v>
      </c>
      <c r="Q89" s="61">
        <f t="shared" si="23"/>
        <v>124821.30158656041</v>
      </c>
      <c r="R89">
        <f t="shared" si="24"/>
        <v>3934302</v>
      </c>
      <c r="S89">
        <f t="shared" si="25"/>
        <v>11590.549646000001</v>
      </c>
    </row>
    <row r="90" spans="2:19" x14ac:dyDescent="0.3">
      <c r="B90" s="58">
        <v>86</v>
      </c>
      <c r="C90" s="61">
        <f t="shared" si="13"/>
        <v>2420.3216448861931</v>
      </c>
      <c r="D90" s="61">
        <f t="shared" si="14"/>
        <v>2420.3216448861931</v>
      </c>
      <c r="E90" s="61">
        <f t="shared" si="15"/>
        <v>31650.359971588688</v>
      </c>
      <c r="F90">
        <f t="shared" si="16"/>
        <v>1761786</v>
      </c>
      <c r="H90" s="58">
        <v>86</v>
      </c>
      <c r="I90" s="61">
        <f t="shared" si="17"/>
        <v>6197.6366913196953</v>
      </c>
      <c r="J90" s="61">
        <f t="shared" si="18"/>
        <v>4374.8023703433155</v>
      </c>
      <c r="K90" s="61">
        <f t="shared" si="19"/>
        <v>66743.779752673683</v>
      </c>
      <c r="L90">
        <f t="shared" si="20"/>
        <v>2704360</v>
      </c>
      <c r="N90" s="58">
        <v>86</v>
      </c>
      <c r="O90" s="61">
        <f t="shared" si="21"/>
        <v>12112.124157524451</v>
      </c>
      <c r="P90" s="61">
        <f t="shared" si="22"/>
        <v>7892.0627994729466</v>
      </c>
      <c r="Q90" s="61">
        <f t="shared" si="23"/>
        <v>130438.26015795562</v>
      </c>
      <c r="R90">
        <f t="shared" si="24"/>
        <v>4115846</v>
      </c>
      <c r="S90">
        <f t="shared" si="25"/>
        <v>12112.125558</v>
      </c>
    </row>
    <row r="91" spans="2:19" x14ac:dyDescent="0.3">
      <c r="B91" s="58">
        <v>87</v>
      </c>
      <c r="C91" s="61">
        <f t="shared" si="13"/>
        <v>2505.0329024572097</v>
      </c>
      <c r="D91" s="61">
        <f t="shared" si="14"/>
        <v>2505.0329024572097</v>
      </c>
      <c r="E91" s="61">
        <f t="shared" si="15"/>
        <v>32758.122570594289</v>
      </c>
      <c r="F91">
        <f t="shared" si="16"/>
        <v>1826948</v>
      </c>
      <c r="H91" s="58">
        <v>87</v>
      </c>
      <c r="I91" s="61">
        <f t="shared" si="17"/>
        <v>6445.5421589724829</v>
      </c>
      <c r="J91" s="61">
        <f t="shared" si="18"/>
        <v>4549.7944651570479</v>
      </c>
      <c r="K91" s="61">
        <f t="shared" si="19"/>
        <v>69413.530942780635</v>
      </c>
      <c r="L91">
        <f t="shared" si="20"/>
        <v>2816535</v>
      </c>
      <c r="N91" s="58">
        <v>87</v>
      </c>
      <c r="O91" s="61">
        <f t="shared" si="21"/>
        <v>12657.169744613051</v>
      </c>
      <c r="P91" s="61">
        <f t="shared" si="22"/>
        <v>8247.205625449229</v>
      </c>
      <c r="Q91" s="61">
        <f t="shared" si="23"/>
        <v>136307.9818650636</v>
      </c>
      <c r="R91">
        <f t="shared" si="24"/>
        <v>4305559</v>
      </c>
      <c r="S91">
        <f t="shared" si="25"/>
        <v>12657.171007000001</v>
      </c>
    </row>
    <row r="92" spans="2:19" x14ac:dyDescent="0.3">
      <c r="B92" s="58">
        <v>88</v>
      </c>
      <c r="C92" s="61">
        <f t="shared" si="13"/>
        <v>2592.7090540432118</v>
      </c>
      <c r="D92" s="61">
        <f t="shared" si="14"/>
        <v>2592.7090540432118</v>
      </c>
      <c r="E92" s="61">
        <f t="shared" si="15"/>
        <v>33904.656860565083</v>
      </c>
      <c r="F92">
        <f t="shared" si="16"/>
        <v>1894392</v>
      </c>
      <c r="H92" s="58">
        <v>88</v>
      </c>
      <c r="I92" s="61">
        <f t="shared" si="17"/>
        <v>6703.3638453313824</v>
      </c>
      <c r="J92" s="61">
        <f t="shared" si="18"/>
        <v>4731.7862437633303</v>
      </c>
      <c r="K92" s="61">
        <f t="shared" si="19"/>
        <v>72190.072180491858</v>
      </c>
      <c r="L92">
        <f t="shared" si="20"/>
        <v>2933196</v>
      </c>
      <c r="N92" s="58">
        <v>88</v>
      </c>
      <c r="O92" s="61">
        <f t="shared" si="21"/>
        <v>13226.742383120638</v>
      </c>
      <c r="P92" s="61">
        <f t="shared" si="22"/>
        <v>8618.3298785944444</v>
      </c>
      <c r="Q92" s="61">
        <f t="shared" si="23"/>
        <v>142441.84104899145</v>
      </c>
      <c r="R92">
        <f t="shared" si="24"/>
        <v>4503809</v>
      </c>
      <c r="S92">
        <f t="shared" si="25"/>
        <v>13226.743257</v>
      </c>
    </row>
    <row r="93" spans="2:19" x14ac:dyDescent="0.3">
      <c r="B93" s="58">
        <v>89</v>
      </c>
      <c r="C93" s="61">
        <f t="shared" si="13"/>
        <v>2683.4538709347239</v>
      </c>
      <c r="D93" s="61">
        <f t="shared" si="14"/>
        <v>2683.4538709347239</v>
      </c>
      <c r="E93" s="61">
        <f t="shared" si="15"/>
        <v>35091.319850684857</v>
      </c>
      <c r="F93">
        <f t="shared" si="16"/>
        <v>1964195</v>
      </c>
      <c r="H93" s="58">
        <v>89</v>
      </c>
      <c r="I93" s="61">
        <f t="shared" si="17"/>
        <v>6971.4983991446379</v>
      </c>
      <c r="J93" s="61">
        <f t="shared" si="18"/>
        <v>4921.0576935138633</v>
      </c>
      <c r="K93" s="61">
        <f t="shared" si="19"/>
        <v>75077.675067711534</v>
      </c>
      <c r="L93">
        <f t="shared" si="20"/>
        <v>3054524</v>
      </c>
      <c r="N93" s="58">
        <v>89</v>
      </c>
      <c r="O93" s="61">
        <f t="shared" si="21"/>
        <v>13821.945790361066</v>
      </c>
      <c r="P93" s="61">
        <f t="shared" si="22"/>
        <v>9006.1547231311943</v>
      </c>
      <c r="Q93" s="61">
        <f t="shared" si="23"/>
        <v>148851.72389619605</v>
      </c>
      <c r="R93">
        <f t="shared" si="24"/>
        <v>4710980</v>
      </c>
      <c r="S93">
        <f t="shared" si="25"/>
        <v>13821.945540000001</v>
      </c>
    </row>
    <row r="94" spans="2:19" x14ac:dyDescent="0.3">
      <c r="B94" s="58">
        <v>90</v>
      </c>
      <c r="C94" s="61">
        <f t="shared" si="13"/>
        <v>2777.3747564174391</v>
      </c>
      <c r="D94" s="61">
        <f t="shared" si="14"/>
        <v>2777.3747564174391</v>
      </c>
      <c r="E94" s="61">
        <f t="shared" si="15"/>
        <v>36319.516045458826</v>
      </c>
      <c r="F94">
        <f t="shared" si="16"/>
        <v>2036442</v>
      </c>
      <c r="H94" s="58">
        <v>90</v>
      </c>
      <c r="I94" s="61">
        <f t="shared" si="17"/>
        <v>7250.3583351104235</v>
      </c>
      <c r="J94" s="61">
        <f t="shared" si="18"/>
        <v>5117.9000012544184</v>
      </c>
      <c r="K94" s="61">
        <f t="shared" si="19"/>
        <v>78080.782070419998</v>
      </c>
      <c r="L94">
        <f t="shared" si="20"/>
        <v>3180705</v>
      </c>
      <c r="N94" s="58">
        <v>90</v>
      </c>
      <c r="O94" s="61">
        <f t="shared" si="21"/>
        <v>14443.933350927313</v>
      </c>
      <c r="P94" s="61">
        <f t="shared" si="22"/>
        <v>9411.431685672098</v>
      </c>
      <c r="Q94" s="61">
        <f t="shared" si="23"/>
        <v>155550.05147152487</v>
      </c>
      <c r="R94">
        <f t="shared" si="24"/>
        <v>4927474</v>
      </c>
      <c r="S94">
        <f t="shared" si="25"/>
        <v>14443.932802000001</v>
      </c>
    </row>
    <row r="95" spans="2:19" x14ac:dyDescent="0.3">
      <c r="B95" s="58">
        <v>91</v>
      </c>
      <c r="C95" s="61">
        <f t="shared" si="13"/>
        <v>2874.5828728920492</v>
      </c>
      <c r="D95" s="61">
        <f t="shared" si="14"/>
        <v>2874.5828728920492</v>
      </c>
      <c r="E95" s="61">
        <f t="shared" si="15"/>
        <v>37590.699107049884</v>
      </c>
      <c r="F95">
        <f t="shared" si="16"/>
        <v>2111218</v>
      </c>
      <c r="H95" s="58">
        <v>91</v>
      </c>
      <c r="I95" s="61">
        <f t="shared" si="17"/>
        <v>7540.3726685148404</v>
      </c>
      <c r="J95" s="61">
        <f t="shared" si="18"/>
        <v>5322.6160013045956</v>
      </c>
      <c r="K95" s="61">
        <f t="shared" si="19"/>
        <v>81204.013353236805</v>
      </c>
      <c r="L95">
        <f t="shared" si="20"/>
        <v>3311933</v>
      </c>
      <c r="N95" s="58">
        <v>91</v>
      </c>
      <c r="O95" s="61">
        <f t="shared" si="21"/>
        <v>15093.910351719042</v>
      </c>
      <c r="P95" s="61">
        <f t="shared" si="22"/>
        <v>9834.9461115273425</v>
      </c>
      <c r="Q95" s="61">
        <f t="shared" si="23"/>
        <v>162549.80378774347</v>
      </c>
      <c r="R95">
        <f t="shared" si="24"/>
        <v>5153711</v>
      </c>
      <c r="S95">
        <f t="shared" si="25"/>
        <v>15093.911703</v>
      </c>
    </row>
    <row r="96" spans="2:19" x14ac:dyDescent="0.3">
      <c r="B96" s="58">
        <v>92</v>
      </c>
      <c r="C96" s="61">
        <f t="shared" si="13"/>
        <v>2975.1932734432708</v>
      </c>
      <c r="D96" s="61">
        <f t="shared" si="14"/>
        <v>2975.1932734432708</v>
      </c>
      <c r="E96" s="61">
        <f t="shared" si="15"/>
        <v>38906.373575796628</v>
      </c>
      <c r="F96">
        <f t="shared" si="16"/>
        <v>2188610</v>
      </c>
      <c r="H96" s="58">
        <v>92</v>
      </c>
      <c r="I96" s="61">
        <f t="shared" si="17"/>
        <v>7841.9875752554344</v>
      </c>
      <c r="J96" s="61">
        <f t="shared" si="18"/>
        <v>5535.5206413567794</v>
      </c>
      <c r="K96" s="61">
        <f t="shared" si="19"/>
        <v>84452.173887366283</v>
      </c>
      <c r="L96">
        <f t="shared" si="20"/>
        <v>3448411</v>
      </c>
      <c r="N96" s="58">
        <v>92</v>
      </c>
      <c r="O96" s="61">
        <f t="shared" si="21"/>
        <v>15773.136317546398</v>
      </c>
      <c r="P96" s="61">
        <f t="shared" si="22"/>
        <v>10277.518686546073</v>
      </c>
      <c r="Q96" s="61">
        <f t="shared" si="23"/>
        <v>169864.54495819192</v>
      </c>
      <c r="R96">
        <f t="shared" si="24"/>
        <v>5390128</v>
      </c>
      <c r="S96">
        <f t="shared" si="25"/>
        <v>15773.137744000001</v>
      </c>
    </row>
    <row r="97" spans="2:19" x14ac:dyDescent="0.3">
      <c r="B97" s="58">
        <v>93</v>
      </c>
      <c r="C97" s="61">
        <f t="shared" si="13"/>
        <v>3079.3250380137852</v>
      </c>
      <c r="D97" s="61">
        <f t="shared" si="14"/>
        <v>3079.3250380137852</v>
      </c>
      <c r="E97" s="61">
        <f t="shared" si="15"/>
        <v>40268.096650949505</v>
      </c>
      <c r="F97">
        <f t="shared" si="16"/>
        <v>2268712</v>
      </c>
      <c r="H97" s="58">
        <v>93</v>
      </c>
      <c r="I97" s="61">
        <f t="shared" si="17"/>
        <v>8155.667078265652</v>
      </c>
      <c r="J97" s="61">
        <f t="shared" si="18"/>
        <v>5756.9414670110509</v>
      </c>
      <c r="K97" s="61">
        <f t="shared" si="19"/>
        <v>87830.260842860938</v>
      </c>
      <c r="L97">
        <f t="shared" si="20"/>
        <v>3590347</v>
      </c>
      <c r="N97" s="58">
        <v>93</v>
      </c>
      <c r="O97" s="61">
        <f t="shared" si="21"/>
        <v>16482.927451835985</v>
      </c>
      <c r="P97" s="61">
        <f t="shared" si="22"/>
        <v>10740.007027440646</v>
      </c>
      <c r="Q97" s="61">
        <f t="shared" si="23"/>
        <v>177508.44948131056</v>
      </c>
      <c r="R97">
        <f t="shared" si="24"/>
        <v>5637183</v>
      </c>
      <c r="S97">
        <f t="shared" si="25"/>
        <v>16482.926759000002</v>
      </c>
    </row>
    <row r="98" spans="2:19" x14ac:dyDescent="0.3">
      <c r="B98" s="58">
        <v>94</v>
      </c>
      <c r="C98" s="61">
        <f t="shared" si="13"/>
        <v>3187.1014143442676</v>
      </c>
      <c r="D98" s="61">
        <f t="shared" si="14"/>
        <v>3187.1014143442676</v>
      </c>
      <c r="E98" s="61">
        <f t="shared" si="15"/>
        <v>41677.480033732732</v>
      </c>
      <c r="F98">
        <f t="shared" si="16"/>
        <v>2351616</v>
      </c>
      <c r="H98" s="58">
        <v>94</v>
      </c>
      <c r="I98" s="61">
        <f t="shared" si="17"/>
        <v>8481.8937613962789</v>
      </c>
      <c r="J98" s="61">
        <f t="shared" si="18"/>
        <v>5987.219125691493</v>
      </c>
      <c r="K98" s="61">
        <f t="shared" si="19"/>
        <v>91343.471276575379</v>
      </c>
      <c r="L98">
        <f t="shared" si="20"/>
        <v>3737961</v>
      </c>
      <c r="N98" s="58">
        <v>94</v>
      </c>
      <c r="O98" s="61">
        <f t="shared" si="21"/>
        <v>17224.659187168603</v>
      </c>
      <c r="P98" s="61">
        <f t="shared" si="22"/>
        <v>11223.307343675475</v>
      </c>
      <c r="Q98" s="61">
        <f t="shared" si="23"/>
        <v>185496.3297079695</v>
      </c>
      <c r="R98">
        <f t="shared" si="24"/>
        <v>5895356</v>
      </c>
      <c r="S98">
        <f t="shared" si="25"/>
        <v>17224.657788</v>
      </c>
    </row>
    <row r="99" spans="2:19" x14ac:dyDescent="0.3">
      <c r="B99" s="58">
        <v>95</v>
      </c>
      <c r="C99" s="61">
        <f t="shared" si="13"/>
        <v>3298.6499638463165</v>
      </c>
      <c r="D99" s="61">
        <f t="shared" si="14"/>
        <v>3298.6499638463165</v>
      </c>
      <c r="E99" s="61">
        <f t="shared" si="15"/>
        <v>43136.191834913378</v>
      </c>
      <c r="F99">
        <f t="shared" si="16"/>
        <v>2437423</v>
      </c>
      <c r="H99" s="58">
        <v>95</v>
      </c>
      <c r="I99" s="61">
        <f t="shared" si="17"/>
        <v>8821.1695118521311</v>
      </c>
      <c r="J99" s="61">
        <f t="shared" si="18"/>
        <v>6226.7078907191526</v>
      </c>
      <c r="K99" s="61">
        <f t="shared" si="19"/>
        <v>94997.210127638391</v>
      </c>
      <c r="L99">
        <f t="shared" si="20"/>
        <v>3891479</v>
      </c>
      <c r="N99" s="58">
        <v>95</v>
      </c>
      <c r="O99" s="61">
        <f t="shared" si="21"/>
        <v>17999.76885059119</v>
      </c>
      <c r="P99" s="61">
        <f t="shared" si="22"/>
        <v>11728.35617414087</v>
      </c>
      <c r="Q99" s="61">
        <f t="shared" si="23"/>
        <v>193843.66454482812</v>
      </c>
      <c r="R99">
        <f t="shared" si="24"/>
        <v>6165148</v>
      </c>
      <c r="S99">
        <f t="shared" si="25"/>
        <v>17999.770204</v>
      </c>
    </row>
    <row r="100" spans="2:19" x14ac:dyDescent="0.3">
      <c r="B100" s="58">
        <v>96</v>
      </c>
      <c r="C100" s="61">
        <f t="shared" si="13"/>
        <v>3414.1027125809374</v>
      </c>
      <c r="D100" s="61">
        <f t="shared" si="14"/>
        <v>3414.1027125809374</v>
      </c>
      <c r="E100" s="61">
        <f t="shared" si="15"/>
        <v>44645.958549135343</v>
      </c>
      <c r="F100">
        <f t="shared" si="16"/>
        <v>2526233</v>
      </c>
      <c r="H100" s="58">
        <v>96</v>
      </c>
      <c r="I100" s="61">
        <f t="shared" si="17"/>
        <v>9174.016292326216</v>
      </c>
      <c r="J100" s="61">
        <f t="shared" si="18"/>
        <v>6475.7762063479186</v>
      </c>
      <c r="K100" s="61">
        <f t="shared" si="19"/>
        <v>98797.098532743927</v>
      </c>
      <c r="L100">
        <f t="shared" si="20"/>
        <v>4051139</v>
      </c>
      <c r="N100" s="58">
        <v>96</v>
      </c>
      <c r="O100" s="61">
        <f t="shared" si="21"/>
        <v>18809.758448867793</v>
      </c>
      <c r="P100" s="61">
        <f t="shared" si="22"/>
        <v>12256.132201977209</v>
      </c>
      <c r="Q100" s="61">
        <f t="shared" si="23"/>
        <v>202566.62944934538</v>
      </c>
      <c r="R100">
        <f t="shared" si="24"/>
        <v>6447079</v>
      </c>
      <c r="S100">
        <f t="shared" si="25"/>
        <v>18809.757966999998</v>
      </c>
    </row>
    <row r="101" spans="2:19" x14ac:dyDescent="0.3">
      <c r="B101" s="58">
        <v>97</v>
      </c>
      <c r="C101" s="61">
        <f t="shared" si="13"/>
        <v>3533.5963075212699</v>
      </c>
      <c r="D101" s="61">
        <f t="shared" si="14"/>
        <v>3533.5963075212699</v>
      </c>
      <c r="E101" s="61">
        <f t="shared" si="15"/>
        <v>46208.567098355074</v>
      </c>
      <c r="F101">
        <f t="shared" si="16"/>
        <v>2618151</v>
      </c>
      <c r="H101" s="58">
        <v>97</v>
      </c>
      <c r="I101" s="61">
        <f t="shared" si="17"/>
        <v>9540.9769440192649</v>
      </c>
      <c r="J101" s="61">
        <f t="shared" si="18"/>
        <v>6734.8072546018357</v>
      </c>
      <c r="K101" s="61">
        <f t="shared" si="19"/>
        <v>102748.98247405369</v>
      </c>
      <c r="L101">
        <f t="shared" si="20"/>
        <v>4217184</v>
      </c>
      <c r="N101" s="58">
        <v>97</v>
      </c>
      <c r="O101" s="61">
        <f t="shared" si="21"/>
        <v>19656.197579066844</v>
      </c>
      <c r="P101" s="61">
        <f t="shared" si="22"/>
        <v>12807.658151066182</v>
      </c>
      <c r="Q101" s="61">
        <f t="shared" si="23"/>
        <v>211682.12777456592</v>
      </c>
      <c r="R101">
        <f t="shared" si="24"/>
        <v>6741698</v>
      </c>
      <c r="S101">
        <f t="shared" si="25"/>
        <v>19656.198354</v>
      </c>
    </row>
    <row r="102" spans="2:19" x14ac:dyDescent="0.3">
      <c r="B102" s="58">
        <v>98</v>
      </c>
      <c r="C102" s="61">
        <f t="shared" si="13"/>
        <v>3657.2721782845142</v>
      </c>
      <c r="D102" s="61">
        <f t="shared" si="14"/>
        <v>3657.2721782845142</v>
      </c>
      <c r="E102" s="61">
        <f t="shared" si="15"/>
        <v>47825.866946797498</v>
      </c>
      <c r="F102">
        <f t="shared" si="16"/>
        <v>2713286</v>
      </c>
      <c r="H102" s="58">
        <v>98</v>
      </c>
      <c r="I102" s="61">
        <f t="shared" si="17"/>
        <v>9922.6160217800352</v>
      </c>
      <c r="J102" s="61">
        <f t="shared" si="18"/>
        <v>7004.199544785909</v>
      </c>
      <c r="K102" s="61">
        <f t="shared" si="19"/>
        <v>106858.94177301583</v>
      </c>
      <c r="L102">
        <f t="shared" si="20"/>
        <v>4389872</v>
      </c>
      <c r="N102" s="58">
        <v>98</v>
      </c>
      <c r="O102" s="61">
        <f t="shared" si="21"/>
        <v>20540.72647012485</v>
      </c>
      <c r="P102" s="61">
        <f t="shared" si="22"/>
        <v>13384.002767864158</v>
      </c>
      <c r="Q102" s="61">
        <f t="shared" si="23"/>
        <v>221207.82352442137</v>
      </c>
      <c r="R102">
        <f t="shared" si="24"/>
        <v>7049574</v>
      </c>
      <c r="S102">
        <f t="shared" si="25"/>
        <v>20540.726102000001</v>
      </c>
    </row>
    <row r="103" spans="2:19" x14ac:dyDescent="0.3">
      <c r="B103" s="58">
        <v>99</v>
      </c>
      <c r="C103" s="61">
        <f t="shared" si="13"/>
        <v>3785.2767045244718</v>
      </c>
      <c r="D103" s="61">
        <f t="shared" si="14"/>
        <v>3785.2767045244718</v>
      </c>
      <c r="E103" s="61">
        <f t="shared" si="15"/>
        <v>49499.772289935405</v>
      </c>
      <c r="F103">
        <f t="shared" si="16"/>
        <v>2811751</v>
      </c>
      <c r="H103" s="58">
        <v>99</v>
      </c>
      <c r="I103" s="61">
        <f t="shared" si="17"/>
        <v>10319.520662651237</v>
      </c>
      <c r="J103" s="61">
        <f t="shared" si="18"/>
        <v>7284.3675265773454</v>
      </c>
      <c r="K103" s="61">
        <f t="shared" si="19"/>
        <v>111133.29944393647</v>
      </c>
      <c r="L103">
        <f t="shared" si="20"/>
        <v>4569466</v>
      </c>
      <c r="N103" s="58">
        <v>99</v>
      </c>
      <c r="O103" s="61">
        <f t="shared" si="21"/>
        <v>21465.059161280467</v>
      </c>
      <c r="P103" s="61">
        <f t="shared" si="22"/>
        <v>13986.282892418045</v>
      </c>
      <c r="Q103" s="61">
        <f t="shared" si="23"/>
        <v>231162.17558302032</v>
      </c>
      <c r="R103">
        <f t="shared" si="24"/>
        <v>7371305</v>
      </c>
      <c r="S103">
        <f t="shared" si="25"/>
        <v>21465.059265</v>
      </c>
    </row>
    <row r="104" spans="2:19" x14ac:dyDescent="0.3">
      <c r="B104" s="58">
        <v>100</v>
      </c>
      <c r="C104" s="61">
        <f t="shared" si="13"/>
        <v>3917.7613891828282</v>
      </c>
      <c r="D104" s="61">
        <f t="shared" si="14"/>
        <v>3917.7613891828282</v>
      </c>
      <c r="E104" s="61">
        <f t="shared" si="15"/>
        <v>51232.264320083137</v>
      </c>
      <c r="F104">
        <f t="shared" si="16"/>
        <v>2913663</v>
      </c>
      <c r="H104" s="58">
        <v>100</v>
      </c>
      <c r="I104" s="61">
        <f t="shared" si="17"/>
        <v>10732.301489157288</v>
      </c>
      <c r="J104" s="61">
        <f t="shared" si="18"/>
        <v>7575.7422276404395</v>
      </c>
      <c r="K104" s="61">
        <f t="shared" si="19"/>
        <v>115578.63142169394</v>
      </c>
      <c r="L104">
        <f t="shared" si="20"/>
        <v>4756245</v>
      </c>
      <c r="N104" s="58">
        <v>100</v>
      </c>
      <c r="O104" s="61">
        <f t="shared" si="21"/>
        <v>22430.986823538085</v>
      </c>
      <c r="P104" s="61">
        <f t="shared" si="22"/>
        <v>14615.665622576857</v>
      </c>
      <c r="Q104" s="61">
        <f t="shared" si="23"/>
        <v>241564.47348425622</v>
      </c>
      <c r="R104">
        <f t="shared" si="24"/>
        <v>7707514</v>
      </c>
      <c r="S104">
        <f t="shared" si="25"/>
        <v>22430.987722000002</v>
      </c>
    </row>
    <row r="105" spans="2:19" x14ac:dyDescent="0.3">
      <c r="B105" s="58">
        <v>101</v>
      </c>
      <c r="C105" s="61">
        <f t="shared" si="13"/>
        <v>4054.8830378042271</v>
      </c>
      <c r="D105" s="61">
        <f t="shared" si="14"/>
        <v>4054.8830378042271</v>
      </c>
      <c r="E105" s="61">
        <f t="shared" si="15"/>
        <v>53025.39357128604</v>
      </c>
      <c r="F105">
        <f t="shared" si="16"/>
        <v>3019141</v>
      </c>
      <c r="H105" s="58">
        <v>101</v>
      </c>
      <c r="I105" s="61">
        <f t="shared" si="17"/>
        <v>11161.59354872358</v>
      </c>
      <c r="J105" s="61">
        <f t="shared" si="18"/>
        <v>7878.7719167460573</v>
      </c>
      <c r="K105" s="61">
        <f t="shared" si="19"/>
        <v>120201.7766785617</v>
      </c>
      <c r="L105">
        <f t="shared" si="20"/>
        <v>4950495</v>
      </c>
      <c r="N105" s="58">
        <v>101</v>
      </c>
      <c r="O105" s="61">
        <f t="shared" si="21"/>
        <v>23440.381230597297</v>
      </c>
      <c r="P105" s="61">
        <f t="shared" si="22"/>
        <v>15273.370575592815</v>
      </c>
      <c r="Q105" s="61">
        <f t="shared" si="23"/>
        <v>252434.87479104774</v>
      </c>
      <c r="R105">
        <f t="shared" si="24"/>
        <v>8058852</v>
      </c>
      <c r="S105">
        <f t="shared" si="25"/>
        <v>23440.381796000001</v>
      </c>
    </row>
    <row r="106" spans="2:19" x14ac:dyDescent="0.3">
      <c r="B106" s="58">
        <v>102</v>
      </c>
      <c r="C106" s="61">
        <f t="shared" si="13"/>
        <v>4196.803944127375</v>
      </c>
      <c r="D106" s="61">
        <f t="shared" si="14"/>
        <v>4196.803944127375</v>
      </c>
      <c r="E106" s="61">
        <f t="shared" si="15"/>
        <v>54881.282346281048</v>
      </c>
      <c r="F106">
        <f t="shared" si="16"/>
        <v>3128311</v>
      </c>
      <c r="H106" s="58">
        <v>102</v>
      </c>
      <c r="I106" s="61">
        <f t="shared" si="17"/>
        <v>11608.057290672523</v>
      </c>
      <c r="J106" s="61">
        <f t="shared" si="18"/>
        <v>8193.9227934159007</v>
      </c>
      <c r="K106" s="61">
        <f t="shared" si="19"/>
        <v>125009.84774570417</v>
      </c>
      <c r="L106">
        <f t="shared" si="20"/>
        <v>5152515</v>
      </c>
      <c r="N106" s="58">
        <v>102</v>
      </c>
      <c r="O106" s="61">
        <f t="shared" si="21"/>
        <v>24495.198385974174</v>
      </c>
      <c r="P106" s="61">
        <f t="shared" si="22"/>
        <v>15960.67225149449</v>
      </c>
      <c r="Q106" s="61">
        <f t="shared" si="23"/>
        <v>263794.44415664487</v>
      </c>
      <c r="R106">
        <f t="shared" si="24"/>
        <v>8426000</v>
      </c>
      <c r="S106">
        <f t="shared" si="25"/>
        <v>24495.198000000004</v>
      </c>
    </row>
    <row r="107" spans="2:19" x14ac:dyDescent="0.3">
      <c r="B107" s="58">
        <v>103</v>
      </c>
      <c r="C107" s="61">
        <f t="shared" si="13"/>
        <v>4343.6920821718331</v>
      </c>
      <c r="D107" s="61">
        <f t="shared" si="14"/>
        <v>4343.6920821718331</v>
      </c>
      <c r="E107" s="61">
        <f t="shared" si="15"/>
        <v>56802.127228400881</v>
      </c>
      <c r="F107">
        <f t="shared" si="16"/>
        <v>3241302</v>
      </c>
      <c r="H107" s="58">
        <v>103</v>
      </c>
      <c r="I107" s="61">
        <f t="shared" si="17"/>
        <v>12072.379582299423</v>
      </c>
      <c r="J107" s="61">
        <f t="shared" si="18"/>
        <v>8521.6797051525373</v>
      </c>
      <c r="K107" s="61">
        <f t="shared" si="19"/>
        <v>130010.24165553234</v>
      </c>
      <c r="L107">
        <f t="shared" si="20"/>
        <v>5362615</v>
      </c>
      <c r="N107" s="58">
        <v>103</v>
      </c>
      <c r="O107" s="61">
        <f t="shared" si="21"/>
        <v>25597.482313343011</v>
      </c>
      <c r="P107" s="61">
        <f t="shared" si="22"/>
        <v>16678.902502811743</v>
      </c>
      <c r="Q107" s="61">
        <f t="shared" si="23"/>
        <v>275665.19414369389</v>
      </c>
      <c r="R107">
        <f t="shared" si="24"/>
        <v>8809670</v>
      </c>
      <c r="S107">
        <f t="shared" si="25"/>
        <v>25597.481910000002</v>
      </c>
    </row>
    <row r="108" spans="2:19" x14ac:dyDescent="0.3">
      <c r="B108" s="58">
        <v>104</v>
      </c>
      <c r="C108" s="61">
        <f t="shared" si="13"/>
        <v>4495.7213050478467</v>
      </c>
      <c r="D108" s="61">
        <f t="shared" si="14"/>
        <v>4495.7213050478467</v>
      </c>
      <c r="E108" s="61">
        <f t="shared" si="15"/>
        <v>58790.201681394909</v>
      </c>
      <c r="F108">
        <f t="shared" si="16"/>
        <v>3358247</v>
      </c>
      <c r="H108" s="58">
        <v>104</v>
      </c>
      <c r="I108" s="61">
        <f t="shared" si="17"/>
        <v>12555.274765591401</v>
      </c>
      <c r="J108" s="61">
        <f t="shared" si="18"/>
        <v>8862.5468933586399</v>
      </c>
      <c r="K108" s="61">
        <f t="shared" si="19"/>
        <v>135210.65132175366</v>
      </c>
      <c r="L108">
        <f t="shared" si="20"/>
        <v>5581120</v>
      </c>
      <c r="N108" s="58">
        <v>104</v>
      </c>
      <c r="O108" s="61">
        <f t="shared" si="21"/>
        <v>26749.369017443445</v>
      </c>
      <c r="P108" s="61">
        <f t="shared" si="22"/>
        <v>17429.453115438271</v>
      </c>
      <c r="Q108" s="61">
        <f t="shared" si="23"/>
        <v>288070.12788016011</v>
      </c>
      <c r="R108">
        <f t="shared" si="24"/>
        <v>9210605</v>
      </c>
      <c r="S108">
        <f t="shared" si="25"/>
        <v>26749.368165</v>
      </c>
    </row>
    <row r="109" spans="2:19" x14ac:dyDescent="0.3">
      <c r="B109" s="58">
        <v>105</v>
      </c>
      <c r="C109" s="61">
        <f t="shared" si="13"/>
        <v>4653.0715507245213</v>
      </c>
      <c r="D109" s="61">
        <f t="shared" si="14"/>
        <v>4653.0715507245213</v>
      </c>
      <c r="E109" s="61">
        <f t="shared" si="15"/>
        <v>60847.858740243726</v>
      </c>
      <c r="F109">
        <f t="shared" si="16"/>
        <v>3479286</v>
      </c>
      <c r="H109" s="58">
        <v>105</v>
      </c>
      <c r="I109" s="61">
        <f t="shared" si="17"/>
        <v>13057.485756215057</v>
      </c>
      <c r="J109" s="61">
        <f t="shared" si="18"/>
        <v>9217.0487690929858</v>
      </c>
      <c r="K109" s="61">
        <f t="shared" si="19"/>
        <v>140619.0773746238</v>
      </c>
      <c r="L109">
        <f t="shared" si="20"/>
        <v>5808365</v>
      </c>
      <c r="N109" s="58">
        <v>105</v>
      </c>
      <c r="O109" s="61">
        <f t="shared" si="21"/>
        <v>27953.0906232284</v>
      </c>
      <c r="P109" s="61">
        <f t="shared" si="22"/>
        <v>18213.778505632992</v>
      </c>
      <c r="Q109" s="61">
        <f t="shared" si="23"/>
        <v>301033.28363476729</v>
      </c>
      <c r="R109">
        <f t="shared" si="24"/>
        <v>9629583</v>
      </c>
      <c r="S109">
        <f t="shared" si="25"/>
        <v>27953.091959000001</v>
      </c>
    </row>
    <row r="110" spans="2:19" x14ac:dyDescent="0.3">
      <c r="B110" s="58">
        <v>106</v>
      </c>
      <c r="C110" s="61">
        <f t="shared" si="13"/>
        <v>4815.9290549998796</v>
      </c>
      <c r="D110" s="61">
        <f t="shared" si="14"/>
        <v>4815.9290549998796</v>
      </c>
      <c r="E110" s="61">
        <f t="shared" si="15"/>
        <v>62977.533796152253</v>
      </c>
      <c r="F110">
        <f t="shared" si="16"/>
        <v>3604561</v>
      </c>
      <c r="H110" s="58">
        <v>106</v>
      </c>
      <c r="I110" s="61">
        <f t="shared" si="17"/>
        <v>13579.78518646366</v>
      </c>
      <c r="J110" s="61">
        <f t="shared" si="18"/>
        <v>9585.730719856705</v>
      </c>
      <c r="K110" s="61">
        <f t="shared" si="19"/>
        <v>146243.84046960875</v>
      </c>
      <c r="L110">
        <f t="shared" si="20"/>
        <v>6044699</v>
      </c>
      <c r="N110" s="58">
        <v>106</v>
      </c>
      <c r="O110" s="61">
        <f t="shared" si="21"/>
        <v>29210.979701273674</v>
      </c>
      <c r="P110" s="61">
        <f t="shared" si="22"/>
        <v>19033.398538386475</v>
      </c>
      <c r="Q110" s="61">
        <f t="shared" si="23"/>
        <v>314579.7813983318</v>
      </c>
      <c r="R110">
        <f t="shared" si="24"/>
        <v>10067414</v>
      </c>
      <c r="S110">
        <f t="shared" si="25"/>
        <v>29210.980422000001</v>
      </c>
    </row>
    <row r="111" spans="2:19" x14ac:dyDescent="0.3">
      <c r="B111" s="58">
        <v>107</v>
      </c>
      <c r="C111" s="61">
        <f t="shared" si="13"/>
        <v>4984.4865719248746</v>
      </c>
      <c r="D111" s="61">
        <f t="shared" si="14"/>
        <v>4984.4865719248746</v>
      </c>
      <c r="E111" s="61">
        <f t="shared" si="15"/>
        <v>65181.747479017577</v>
      </c>
      <c r="F111">
        <f t="shared" si="16"/>
        <v>3734220</v>
      </c>
      <c r="H111" s="58">
        <v>107</v>
      </c>
      <c r="I111" s="61">
        <f t="shared" si="17"/>
        <v>14122.976593922207</v>
      </c>
      <c r="J111" s="61">
        <f t="shared" si="18"/>
        <v>9969.1599486509731</v>
      </c>
      <c r="K111" s="61">
        <f t="shared" si="19"/>
        <v>152093.59408839312</v>
      </c>
      <c r="L111">
        <f t="shared" si="20"/>
        <v>6290487</v>
      </c>
      <c r="N111" s="58">
        <v>107</v>
      </c>
      <c r="O111" s="61">
        <f t="shared" si="21"/>
        <v>30525.473787830986</v>
      </c>
      <c r="P111" s="61">
        <f t="shared" si="22"/>
        <v>19889.901472613863</v>
      </c>
      <c r="Q111" s="61">
        <f t="shared" si="23"/>
        <v>328735.8715612567</v>
      </c>
      <c r="R111">
        <f t="shared" si="24"/>
        <v>10524947</v>
      </c>
      <c r="S111">
        <f t="shared" si="25"/>
        <v>30525.472731000002</v>
      </c>
    </row>
    <row r="112" spans="2:19" x14ac:dyDescent="0.3">
      <c r="B112" s="58">
        <v>108</v>
      </c>
      <c r="C112" s="61">
        <f t="shared" si="13"/>
        <v>5158.9436019422446</v>
      </c>
      <c r="D112" s="61">
        <f t="shared" si="14"/>
        <v>5158.9436019422446</v>
      </c>
      <c r="E112" s="61">
        <f t="shared" si="15"/>
        <v>67463.10864078319</v>
      </c>
      <c r="F112">
        <f t="shared" si="16"/>
        <v>3868418</v>
      </c>
      <c r="H112" s="58">
        <v>108</v>
      </c>
      <c r="I112" s="61">
        <f t="shared" si="17"/>
        <v>14687.895657679095</v>
      </c>
      <c r="J112" s="61">
        <f t="shared" si="18"/>
        <v>10367.926346597013</v>
      </c>
      <c r="K112" s="61">
        <f t="shared" si="19"/>
        <v>158177.33785192884</v>
      </c>
      <c r="L112">
        <f t="shared" si="20"/>
        <v>6546107</v>
      </c>
      <c r="N112" s="58">
        <v>108</v>
      </c>
      <c r="O112" s="61">
        <f t="shared" si="21"/>
        <v>31899.12010828338</v>
      </c>
      <c r="P112" s="61">
        <f t="shared" si="22"/>
        <v>20784.947038881484</v>
      </c>
      <c r="Q112" s="61">
        <f t="shared" si="23"/>
        <v>343528.98578151321</v>
      </c>
      <c r="R112">
        <f t="shared" si="24"/>
        <v>11003070</v>
      </c>
      <c r="S112">
        <f t="shared" si="25"/>
        <v>31899.12011</v>
      </c>
    </row>
    <row r="113" spans="2:19" x14ac:dyDescent="0.3">
      <c r="B113" s="58">
        <v>109</v>
      </c>
      <c r="C113" s="61">
        <f t="shared" si="13"/>
        <v>5339.5066280102228</v>
      </c>
      <c r="D113" s="61">
        <f t="shared" si="14"/>
        <v>5339.5066280102228</v>
      </c>
      <c r="E113" s="61">
        <f t="shared" si="15"/>
        <v>69824.317443210603</v>
      </c>
      <c r="F113">
        <f t="shared" si="16"/>
        <v>4007313</v>
      </c>
      <c r="H113" s="58">
        <v>109</v>
      </c>
      <c r="I113" s="61">
        <f t="shared" si="17"/>
        <v>15275.41148398626</v>
      </c>
      <c r="J113" s="61">
        <f t="shared" si="18"/>
        <v>10782.643400460893</v>
      </c>
      <c r="K113" s="61">
        <f t="shared" si="19"/>
        <v>164504.431366006</v>
      </c>
      <c r="L113">
        <f t="shared" si="20"/>
        <v>6811951</v>
      </c>
      <c r="N113" s="58">
        <v>109</v>
      </c>
      <c r="O113" s="61">
        <f t="shared" si="21"/>
        <v>33334.580513156128</v>
      </c>
      <c r="P113" s="61">
        <f t="shared" si="22"/>
        <v>21720.269655631149</v>
      </c>
      <c r="Q113" s="61">
        <f t="shared" si="23"/>
        <v>358987.79014168127</v>
      </c>
      <c r="R113">
        <f t="shared" si="24"/>
        <v>11502708</v>
      </c>
      <c r="S113">
        <f t="shared" si="25"/>
        <v>33334.580084000001</v>
      </c>
    </row>
    <row r="114" spans="2:19" x14ac:dyDescent="0.3">
      <c r="B114" s="58">
        <v>110</v>
      </c>
      <c r="C114" s="61">
        <f t="shared" si="13"/>
        <v>5526.3893599905805</v>
      </c>
      <c r="D114" s="61">
        <f t="shared" si="14"/>
        <v>5526.3893599905805</v>
      </c>
      <c r="E114" s="61">
        <f t="shared" si="15"/>
        <v>72268.168553722964</v>
      </c>
      <c r="F114">
        <f t="shared" si="16"/>
        <v>4151069</v>
      </c>
      <c r="H114" s="58">
        <v>110</v>
      </c>
      <c r="I114" s="61">
        <f t="shared" si="17"/>
        <v>15886.42794334571</v>
      </c>
      <c r="J114" s="61">
        <f t="shared" si="18"/>
        <v>11213.949136479328</v>
      </c>
      <c r="K114" s="61">
        <f t="shared" si="19"/>
        <v>171084.60862064624</v>
      </c>
      <c r="L114">
        <f t="shared" si="20"/>
        <v>7088429</v>
      </c>
      <c r="N114" s="58">
        <v>110</v>
      </c>
      <c r="O114" s="61">
        <f t="shared" si="21"/>
        <v>34834.636636248149</v>
      </c>
      <c r="P114" s="61">
        <f t="shared" si="22"/>
        <v>22697.681790134549</v>
      </c>
      <c r="Q114" s="61">
        <f t="shared" si="23"/>
        <v>375142.24069805688</v>
      </c>
      <c r="R114">
        <f t="shared" si="24"/>
        <v>12024830</v>
      </c>
      <c r="S114">
        <f t="shared" si="25"/>
        <v>34834.636590000002</v>
      </c>
    </row>
    <row r="115" spans="2:19" x14ac:dyDescent="0.3">
      <c r="B115" s="58">
        <v>111</v>
      </c>
      <c r="C115" s="61">
        <f t="shared" si="13"/>
        <v>5719.8129875902505</v>
      </c>
      <c r="D115" s="61">
        <f t="shared" si="14"/>
        <v>5719.8129875902505</v>
      </c>
      <c r="E115" s="61">
        <f t="shared" si="15"/>
        <v>74797.554453103265</v>
      </c>
      <c r="F115">
        <f t="shared" si="16"/>
        <v>4299856</v>
      </c>
      <c r="H115" s="58">
        <v>111</v>
      </c>
      <c r="I115" s="61">
        <f t="shared" si="17"/>
        <v>16521.885061079538</v>
      </c>
      <c r="J115" s="61">
        <f t="shared" si="18"/>
        <v>11662.507101938501</v>
      </c>
      <c r="K115" s="61">
        <f t="shared" si="19"/>
        <v>177927.99296547208</v>
      </c>
      <c r="L115">
        <f t="shared" si="20"/>
        <v>7375966</v>
      </c>
      <c r="N115" s="58">
        <v>111</v>
      </c>
      <c r="O115" s="61">
        <f t="shared" si="21"/>
        <v>36402.195284879315</v>
      </c>
      <c r="P115" s="61">
        <f t="shared" si="22"/>
        <v>23719.077470690601</v>
      </c>
      <c r="Q115" s="61">
        <f t="shared" si="23"/>
        <v>392023.6415294694</v>
      </c>
      <c r="R115">
        <f t="shared" si="24"/>
        <v>12570447</v>
      </c>
      <c r="S115">
        <f t="shared" si="25"/>
        <v>36402.194231000001</v>
      </c>
    </row>
    <row r="116" spans="2:19" x14ac:dyDescent="0.3">
      <c r="B116" s="58">
        <v>112</v>
      </c>
      <c r="C116" s="61">
        <f t="shared" si="13"/>
        <v>5920.0064421559091</v>
      </c>
      <c r="D116" s="61">
        <f t="shared" si="14"/>
        <v>5920.0064421559091</v>
      </c>
      <c r="E116" s="61">
        <f t="shared" si="15"/>
        <v>77415.468858961875</v>
      </c>
      <c r="F116">
        <f t="shared" si="16"/>
        <v>4453851</v>
      </c>
      <c r="H116" s="58">
        <v>112</v>
      </c>
      <c r="I116" s="61">
        <f t="shared" si="17"/>
        <v>17182.760463522722</v>
      </c>
      <c r="J116" s="61">
        <f t="shared" si="18"/>
        <v>12129.007386016041</v>
      </c>
      <c r="K116" s="61">
        <f t="shared" si="19"/>
        <v>185045.11268409097</v>
      </c>
      <c r="L116">
        <f t="shared" si="20"/>
        <v>7675005</v>
      </c>
      <c r="N116" s="58">
        <v>112</v>
      </c>
      <c r="O116" s="61">
        <f t="shared" si="21"/>
        <v>38040.294072698882</v>
      </c>
      <c r="P116" s="61">
        <f t="shared" si="22"/>
        <v>24786.435956871675</v>
      </c>
      <c r="Q116" s="61">
        <f t="shared" si="23"/>
        <v>409664.70539829548</v>
      </c>
      <c r="R116">
        <f t="shared" si="24"/>
        <v>13140617</v>
      </c>
      <c r="S116">
        <f t="shared" si="25"/>
        <v>38040.292641</v>
      </c>
    </row>
    <row r="117" spans="2:19" x14ac:dyDescent="0.3">
      <c r="B117" s="58">
        <v>113</v>
      </c>
      <c r="C117" s="61">
        <f t="shared" si="13"/>
        <v>6127.2066676313652</v>
      </c>
      <c r="D117" s="61">
        <f t="shared" si="14"/>
        <v>6127.2066676313652</v>
      </c>
      <c r="E117" s="61">
        <f t="shared" si="15"/>
        <v>80125.01026902553</v>
      </c>
      <c r="F117">
        <f t="shared" si="16"/>
        <v>4613236</v>
      </c>
      <c r="H117" s="58">
        <v>113</v>
      </c>
      <c r="I117" s="61">
        <f t="shared" si="17"/>
        <v>17870.070882063632</v>
      </c>
      <c r="J117" s="61">
        <f t="shared" si="18"/>
        <v>12614.167681456684</v>
      </c>
      <c r="K117" s="61">
        <f t="shared" si="19"/>
        <v>192446.91719145462</v>
      </c>
      <c r="L117">
        <f t="shared" si="20"/>
        <v>7986005</v>
      </c>
      <c r="N117" s="58">
        <v>113</v>
      </c>
      <c r="O117" s="61">
        <f t="shared" si="21"/>
        <v>39752.107305970327</v>
      </c>
      <c r="P117" s="61">
        <f t="shared" si="22"/>
        <v>25901.825574930899</v>
      </c>
      <c r="Q117" s="61">
        <f t="shared" si="23"/>
        <v>428099.61714121874</v>
      </c>
      <c r="R117">
        <f t="shared" si="24"/>
        <v>13736445</v>
      </c>
      <c r="S117">
        <f t="shared" si="25"/>
        <v>39752.106485000004</v>
      </c>
    </row>
    <row r="118" spans="2:19" x14ac:dyDescent="0.3">
      <c r="B118" s="58">
        <v>114</v>
      </c>
      <c r="C118" s="61">
        <f t="shared" si="13"/>
        <v>6341.6589009984627</v>
      </c>
      <c r="D118" s="61">
        <f t="shared" si="14"/>
        <v>6341.6589009984627</v>
      </c>
      <c r="E118" s="61">
        <f t="shared" si="15"/>
        <v>82929.385628441421</v>
      </c>
      <c r="F118">
        <f t="shared" si="16"/>
        <v>4778199</v>
      </c>
      <c r="H118" s="58">
        <v>114</v>
      </c>
      <c r="I118" s="61">
        <f t="shared" si="17"/>
        <v>18584.873717346178</v>
      </c>
      <c r="J118" s="61">
        <f t="shared" si="18"/>
        <v>13118.734388714951</v>
      </c>
      <c r="K118" s="61">
        <f t="shared" si="19"/>
        <v>200144.79387911281</v>
      </c>
      <c r="L118">
        <f t="shared" si="20"/>
        <v>8309445</v>
      </c>
      <c r="N118" s="58">
        <v>114</v>
      </c>
      <c r="O118" s="61">
        <f t="shared" si="21"/>
        <v>41540.952134738989</v>
      </c>
      <c r="P118" s="61">
        <f t="shared" si="22"/>
        <v>27067.407725802786</v>
      </c>
      <c r="Q118" s="61">
        <f t="shared" si="23"/>
        <v>447364.09991257353</v>
      </c>
      <c r="R118">
        <f t="shared" si="24"/>
        <v>14359085</v>
      </c>
      <c r="S118">
        <f t="shared" si="25"/>
        <v>41540.951204999998</v>
      </c>
    </row>
    <row r="119" spans="2:19" x14ac:dyDescent="0.3">
      <c r="B119" s="58">
        <v>115</v>
      </c>
      <c r="C119" s="61">
        <f t="shared" si="13"/>
        <v>6563.6169625334087</v>
      </c>
      <c r="D119" s="61">
        <f t="shared" si="14"/>
        <v>6563.6169625334087</v>
      </c>
      <c r="E119" s="61">
        <f t="shared" si="15"/>
        <v>85831.914125436859</v>
      </c>
      <c r="F119">
        <f t="shared" si="16"/>
        <v>4948936</v>
      </c>
      <c r="H119" s="58">
        <v>115</v>
      </c>
      <c r="I119" s="61">
        <f t="shared" si="17"/>
        <v>19328.268666040025</v>
      </c>
      <c r="J119" s="61">
        <f t="shared" si="18"/>
        <v>13643.48376426355</v>
      </c>
      <c r="K119" s="61">
        <f t="shared" si="19"/>
        <v>208150.58563427732</v>
      </c>
      <c r="L119">
        <f t="shared" si="20"/>
        <v>8645823</v>
      </c>
      <c r="N119" s="58">
        <v>115</v>
      </c>
      <c r="O119" s="61">
        <f t="shared" si="21"/>
        <v>43410.294980802239</v>
      </c>
      <c r="P119" s="61">
        <f t="shared" si="22"/>
        <v>28285.44107346391</v>
      </c>
      <c r="Q119" s="61">
        <f t="shared" si="23"/>
        <v>467495.48440863931</v>
      </c>
      <c r="R119">
        <f t="shared" si="24"/>
        <v>15009744</v>
      </c>
      <c r="S119">
        <f t="shared" si="25"/>
        <v>43410.294512</v>
      </c>
    </row>
    <row r="120" spans="2:19" x14ac:dyDescent="0.3">
      <c r="B120" s="58">
        <v>116</v>
      </c>
      <c r="C120" s="61">
        <f t="shared" si="13"/>
        <v>6793.3435562220775</v>
      </c>
      <c r="D120" s="61">
        <f t="shared" si="14"/>
        <v>6793.3435562220775</v>
      </c>
      <c r="E120" s="61">
        <f t="shared" si="15"/>
        <v>88836.031119827137</v>
      </c>
      <c r="F120">
        <f t="shared" si="16"/>
        <v>5125649</v>
      </c>
      <c r="H120" s="58">
        <v>116</v>
      </c>
      <c r="I120" s="61">
        <f t="shared" si="17"/>
        <v>20101.399412681625</v>
      </c>
      <c r="J120" s="61">
        <f t="shared" si="18"/>
        <v>14189.223114834092</v>
      </c>
      <c r="K120" s="61">
        <f t="shared" si="19"/>
        <v>216476.60905964841</v>
      </c>
      <c r="L120">
        <f t="shared" si="20"/>
        <v>8995656</v>
      </c>
      <c r="N120" s="58">
        <v>116</v>
      </c>
      <c r="O120" s="61">
        <f t="shared" si="21"/>
        <v>45363.758254938337</v>
      </c>
      <c r="P120" s="61">
        <f t="shared" si="22"/>
        <v>29558.285921769784</v>
      </c>
      <c r="Q120" s="61">
        <f t="shared" si="23"/>
        <v>488532.78120702808</v>
      </c>
      <c r="R120">
        <f t="shared" si="24"/>
        <v>15689683</v>
      </c>
      <c r="S120">
        <f t="shared" si="25"/>
        <v>45363.759258999999</v>
      </c>
    </row>
    <row r="121" spans="2:19" x14ac:dyDescent="0.3">
      <c r="B121" s="58">
        <v>117</v>
      </c>
      <c r="C121" s="61">
        <f t="shared" si="13"/>
        <v>7031.1105806898495</v>
      </c>
      <c r="D121" s="61">
        <f t="shared" si="14"/>
        <v>7031.1105806898495</v>
      </c>
      <c r="E121" s="61">
        <f t="shared" si="15"/>
        <v>91945.292209021078</v>
      </c>
      <c r="F121">
        <f t="shared" si="16"/>
        <v>5308547</v>
      </c>
      <c r="H121" s="58">
        <v>117</v>
      </c>
      <c r="I121" s="61">
        <f t="shared" si="17"/>
        <v>20905.45538918889</v>
      </c>
      <c r="J121" s="61">
        <f t="shared" si="18"/>
        <v>14756.792039427457</v>
      </c>
      <c r="K121" s="61">
        <f t="shared" si="19"/>
        <v>225135.67342203436</v>
      </c>
      <c r="L121">
        <f t="shared" si="20"/>
        <v>9359482</v>
      </c>
      <c r="N121" s="58">
        <v>117</v>
      </c>
      <c r="O121" s="61">
        <f t="shared" si="21"/>
        <v>47405.127376410557</v>
      </c>
      <c r="P121" s="61">
        <f t="shared" si="22"/>
        <v>30888.408788249424</v>
      </c>
      <c r="Q121" s="61">
        <f t="shared" si="23"/>
        <v>510516.75636134431</v>
      </c>
      <c r="R121">
        <f t="shared" si="24"/>
        <v>16400218</v>
      </c>
      <c r="S121">
        <f t="shared" si="25"/>
        <v>47405.126314000008</v>
      </c>
    </row>
    <row r="122" spans="2:19" x14ac:dyDescent="0.3">
      <c r="B122" s="58">
        <v>118</v>
      </c>
      <c r="C122" s="61">
        <f t="shared" si="13"/>
        <v>7277.1994510139939</v>
      </c>
      <c r="D122" s="61">
        <f t="shared" si="14"/>
        <v>7277.1994510139939</v>
      </c>
      <c r="E122" s="61">
        <f t="shared" si="15"/>
        <v>95163.377436336814</v>
      </c>
      <c r="F122">
        <f t="shared" si="16"/>
        <v>5497846</v>
      </c>
      <c r="H122" s="58">
        <v>118</v>
      </c>
      <c r="I122" s="61">
        <f t="shared" si="17"/>
        <v>21741.673604756445</v>
      </c>
      <c r="J122" s="61">
        <f t="shared" si="18"/>
        <v>15347.063721004555</v>
      </c>
      <c r="K122" s="61">
        <f t="shared" si="19"/>
        <v>234141.10035891575</v>
      </c>
      <c r="L122">
        <f t="shared" si="20"/>
        <v>9737861</v>
      </c>
      <c r="N122" s="58">
        <v>118</v>
      </c>
      <c r="O122" s="61">
        <f t="shared" si="21"/>
        <v>49538.358108349028</v>
      </c>
      <c r="P122" s="61">
        <f t="shared" si="22"/>
        <v>32278.387183720646</v>
      </c>
      <c r="Q122" s="61">
        <f t="shared" si="23"/>
        <v>533490.01039760478</v>
      </c>
      <c r="R122">
        <f t="shared" si="24"/>
        <v>17142728</v>
      </c>
      <c r="S122">
        <f t="shared" si="25"/>
        <v>49538.357543999999</v>
      </c>
    </row>
    <row r="123" spans="2:19" x14ac:dyDescent="0.3">
      <c r="B123" s="58">
        <v>119</v>
      </c>
      <c r="C123" s="61">
        <f t="shared" si="13"/>
        <v>7531.9014317994834</v>
      </c>
      <c r="D123" s="61">
        <f t="shared" si="14"/>
        <v>7531.9014317994834</v>
      </c>
      <c r="E123" s="61">
        <f t="shared" si="15"/>
        <v>98494.095646608592</v>
      </c>
      <c r="F123">
        <f t="shared" si="16"/>
        <v>5693770</v>
      </c>
      <c r="H123" s="58">
        <v>119</v>
      </c>
      <c r="I123" s="61">
        <f t="shared" si="17"/>
        <v>22611.340548946704</v>
      </c>
      <c r="J123" s="61">
        <f t="shared" si="18"/>
        <v>15960.946269844739</v>
      </c>
      <c r="K123" s="61">
        <f t="shared" si="19"/>
        <v>243506.74437327238</v>
      </c>
      <c r="L123">
        <f t="shared" si="20"/>
        <v>10131376</v>
      </c>
      <c r="N123" s="58">
        <v>119</v>
      </c>
      <c r="O123" s="61">
        <f t="shared" si="21"/>
        <v>51767.584223224731</v>
      </c>
      <c r="P123" s="61">
        <f t="shared" si="22"/>
        <v>33730.914606988074</v>
      </c>
      <c r="Q123" s="61">
        <f t="shared" si="23"/>
        <v>557497.06086549698</v>
      </c>
      <c r="R123">
        <f t="shared" si="24"/>
        <v>17918651</v>
      </c>
      <c r="S123">
        <f t="shared" si="25"/>
        <v>51767.584323000003</v>
      </c>
    </row>
    <row r="124" spans="2:19" x14ac:dyDescent="0.3">
      <c r="B124" s="58">
        <v>120</v>
      </c>
      <c r="C124" s="61">
        <f t="shared" si="13"/>
        <v>7795.5179819124651</v>
      </c>
      <c r="D124" s="61">
        <f t="shared" si="14"/>
        <v>7795.5179819124651</v>
      </c>
      <c r="E124" s="61">
        <f t="shared" si="15"/>
        <v>101941.38899423988</v>
      </c>
      <c r="F124">
        <f t="shared" si="16"/>
        <v>5896552</v>
      </c>
      <c r="H124" s="58">
        <v>120</v>
      </c>
      <c r="I124" s="61">
        <f t="shared" si="17"/>
        <v>23515.794170904574</v>
      </c>
      <c r="J124" s="61">
        <f t="shared" si="18"/>
        <v>16599.38412063853</v>
      </c>
      <c r="K124" s="61">
        <f t="shared" si="19"/>
        <v>253247.01414820328</v>
      </c>
      <c r="L124">
        <f t="shared" si="20"/>
        <v>10540631</v>
      </c>
      <c r="N124" s="58">
        <v>120</v>
      </c>
      <c r="O124" s="61">
        <f t="shared" si="21"/>
        <v>54097.125513269842</v>
      </c>
      <c r="P124" s="61">
        <f t="shared" si="22"/>
        <v>35248.805764302531</v>
      </c>
      <c r="Q124" s="61">
        <f t="shared" si="23"/>
        <v>582584.42860444426</v>
      </c>
      <c r="R124">
        <f t="shared" si="24"/>
        <v>18729490</v>
      </c>
      <c r="S124">
        <f t="shared" si="25"/>
        <v>54097.124770000002</v>
      </c>
    </row>
    <row r="125" spans="2:19" x14ac:dyDescent="0.3">
      <c r="B125" s="58">
        <v>121</v>
      </c>
      <c r="C125" s="61">
        <f t="shared" si="13"/>
        <v>8068.3611112794006</v>
      </c>
      <c r="D125" s="61">
        <f t="shared" si="14"/>
        <v>8068.3611112794006</v>
      </c>
      <c r="E125" s="61">
        <f t="shared" si="15"/>
        <v>105509.33760903827</v>
      </c>
      <c r="F125">
        <f t="shared" si="16"/>
        <v>6106432</v>
      </c>
      <c r="H125" s="58">
        <v>121</v>
      </c>
      <c r="I125" s="61">
        <f t="shared" si="17"/>
        <v>24456.425937740758</v>
      </c>
      <c r="J125" s="61">
        <f t="shared" si="18"/>
        <v>17263.359485464072</v>
      </c>
      <c r="K125" s="61">
        <f t="shared" si="19"/>
        <v>263376.89471413143</v>
      </c>
      <c r="L125">
        <f t="shared" si="20"/>
        <v>10966256</v>
      </c>
      <c r="N125" s="58">
        <v>121</v>
      </c>
      <c r="O125" s="61">
        <f t="shared" si="21"/>
        <v>56531.49616136698</v>
      </c>
      <c r="P125" s="61">
        <f t="shared" si="22"/>
        <v>36835.002023696143</v>
      </c>
      <c r="Q125" s="61">
        <f t="shared" si="23"/>
        <v>608800.72789164423</v>
      </c>
      <c r="R125">
        <f t="shared" si="24"/>
        <v>19576817</v>
      </c>
      <c r="S125">
        <f t="shared" si="25"/>
        <v>56531.495241000004</v>
      </c>
    </row>
    <row r="126" spans="2:19" x14ac:dyDescent="0.3">
      <c r="B126" s="58">
        <v>122</v>
      </c>
      <c r="C126" s="61">
        <f t="shared" si="13"/>
        <v>8350.753750174179</v>
      </c>
      <c r="D126" s="61">
        <f t="shared" si="14"/>
        <v>8350.753750174179</v>
      </c>
      <c r="E126" s="61">
        <f t="shared" si="15"/>
        <v>109202.1644253546</v>
      </c>
      <c r="F126">
        <f t="shared" si="16"/>
        <v>6323657</v>
      </c>
      <c r="H126" s="58">
        <v>122</v>
      </c>
      <c r="I126" s="61">
        <f t="shared" si="17"/>
        <v>25434.682975250391</v>
      </c>
      <c r="J126" s="61">
        <f t="shared" si="18"/>
        <v>17953.893864882637</v>
      </c>
      <c r="K126" s="61">
        <f t="shared" si="19"/>
        <v>273911.9705026967</v>
      </c>
      <c r="L126">
        <f t="shared" si="20"/>
        <v>11408906</v>
      </c>
      <c r="N126" s="58">
        <v>122</v>
      </c>
      <c r="O126" s="61">
        <f t="shared" si="21"/>
        <v>59075.413488628488</v>
      </c>
      <c r="P126" s="61">
        <f t="shared" si="22"/>
        <v>38492.577114762469</v>
      </c>
      <c r="Q126" s="61">
        <f t="shared" si="23"/>
        <v>636196.76064676815</v>
      </c>
      <c r="R126">
        <f t="shared" si="24"/>
        <v>20462274</v>
      </c>
      <c r="S126">
        <f t="shared" si="25"/>
        <v>59075.413202000003</v>
      </c>
    </row>
    <row r="127" spans="2:19" x14ac:dyDescent="0.3">
      <c r="B127" s="58">
        <v>123</v>
      </c>
      <c r="C127" s="61">
        <f t="shared" si="13"/>
        <v>8643.0301314302742</v>
      </c>
      <c r="D127" s="61">
        <f t="shared" si="14"/>
        <v>8643.0301314302742</v>
      </c>
      <c r="E127" s="61">
        <f t="shared" si="15"/>
        <v>113024.24018024199</v>
      </c>
      <c r="F127">
        <f t="shared" si="16"/>
        <v>6548485</v>
      </c>
      <c r="H127" s="58">
        <v>123</v>
      </c>
      <c r="I127" s="61">
        <f t="shared" si="17"/>
        <v>26452.070294260408</v>
      </c>
      <c r="J127" s="61">
        <f t="shared" si="18"/>
        <v>18672.049619477944</v>
      </c>
      <c r="K127" s="61">
        <f t="shared" si="19"/>
        <v>284868.44932280458</v>
      </c>
      <c r="L127">
        <f t="shared" si="20"/>
        <v>11869263</v>
      </c>
      <c r="N127" s="58">
        <v>123</v>
      </c>
      <c r="O127" s="61">
        <f t="shared" si="21"/>
        <v>61733.807095616765</v>
      </c>
      <c r="P127" s="61">
        <f t="shared" si="22"/>
        <v>40224.743084926777</v>
      </c>
      <c r="Q127" s="61">
        <f t="shared" si="23"/>
        <v>664825.61487587262</v>
      </c>
      <c r="R127">
        <f t="shared" si="24"/>
        <v>21387576</v>
      </c>
      <c r="S127">
        <f t="shared" si="25"/>
        <v>61733.805848000004</v>
      </c>
    </row>
    <row r="128" spans="2:19" x14ac:dyDescent="0.3">
      <c r="B128" s="58">
        <v>124</v>
      </c>
      <c r="C128" s="61">
        <f t="shared" si="13"/>
        <v>8945.5361860303328</v>
      </c>
      <c r="D128" s="61">
        <f t="shared" si="14"/>
        <v>8945.5361860303328</v>
      </c>
      <c r="E128" s="61">
        <f t="shared" si="15"/>
        <v>116980.08858655045</v>
      </c>
      <c r="F128">
        <f t="shared" si="16"/>
        <v>6781182</v>
      </c>
      <c r="H128" s="58">
        <v>124</v>
      </c>
      <c r="I128" s="61">
        <f t="shared" si="17"/>
        <v>27510.153106030826</v>
      </c>
      <c r="J128" s="61">
        <f t="shared" si="18"/>
        <v>19418.931604257064</v>
      </c>
      <c r="K128" s="61">
        <f t="shared" si="19"/>
        <v>296263.18729571678</v>
      </c>
      <c r="L128">
        <f t="shared" si="20"/>
        <v>12348033</v>
      </c>
      <c r="N128" s="58">
        <v>124</v>
      </c>
      <c r="O128" s="61">
        <f t="shared" si="21"/>
        <v>64511.828414919517</v>
      </c>
      <c r="P128" s="61">
        <f t="shared" si="22"/>
        <v>42034.85652374848</v>
      </c>
      <c r="Q128" s="61">
        <f t="shared" si="23"/>
        <v>694742.7675452868</v>
      </c>
      <c r="R128">
        <f t="shared" si="24"/>
        <v>22354517</v>
      </c>
      <c r="S128">
        <f t="shared" si="25"/>
        <v>64511.827341000004</v>
      </c>
    </row>
    <row r="129" spans="2:19" x14ac:dyDescent="0.3">
      <c r="B129" s="58">
        <v>125</v>
      </c>
      <c r="C129" s="61">
        <f t="shared" si="13"/>
        <v>9258.6299525413942</v>
      </c>
      <c r="D129" s="61">
        <f t="shared" si="14"/>
        <v>9258.6299525413942</v>
      </c>
      <c r="E129" s="61">
        <f t="shared" si="15"/>
        <v>121074.39168707971</v>
      </c>
      <c r="F129">
        <f t="shared" si="16"/>
        <v>7022023</v>
      </c>
      <c r="H129" s="58">
        <v>125</v>
      </c>
      <c r="I129" s="61">
        <f t="shared" si="17"/>
        <v>28610.559230272062</v>
      </c>
      <c r="J129" s="61">
        <f t="shared" si="18"/>
        <v>20195.688868427347</v>
      </c>
      <c r="K129" s="61">
        <f t="shared" si="19"/>
        <v>308113.71478754544</v>
      </c>
      <c r="L129">
        <f t="shared" si="20"/>
        <v>12845954</v>
      </c>
      <c r="N129" s="58">
        <v>125</v>
      </c>
      <c r="O129" s="61">
        <f t="shared" si="21"/>
        <v>67414.86069359089</v>
      </c>
      <c r="P129" s="61">
        <f t="shared" si="22"/>
        <v>43926.425067317155</v>
      </c>
      <c r="Q129" s="61">
        <f t="shared" si="23"/>
        <v>726006.19208482467</v>
      </c>
      <c r="R129">
        <f t="shared" si="24"/>
        <v>23364971</v>
      </c>
      <c r="S129">
        <f t="shared" si="25"/>
        <v>67414.861682999996</v>
      </c>
    </row>
    <row r="130" spans="2:19" x14ac:dyDescent="0.3">
      <c r="B130" s="58">
        <v>126</v>
      </c>
      <c r="C130" s="61">
        <f t="shared" si="13"/>
        <v>9582.6820008803425</v>
      </c>
      <c r="D130" s="61">
        <f t="shared" si="14"/>
        <v>9582.6820008803425</v>
      </c>
      <c r="E130" s="61">
        <f t="shared" si="15"/>
        <v>125311.99539612749</v>
      </c>
      <c r="F130">
        <f t="shared" si="16"/>
        <v>7271294</v>
      </c>
      <c r="H130" s="58">
        <v>126</v>
      </c>
      <c r="I130" s="61">
        <f t="shared" si="17"/>
        <v>29754.981599482944</v>
      </c>
      <c r="J130" s="61">
        <f t="shared" si="18"/>
        <v>21003.516423164441</v>
      </c>
      <c r="K130" s="61">
        <f t="shared" si="19"/>
        <v>320438.26337904728</v>
      </c>
      <c r="L130">
        <f t="shared" si="20"/>
        <v>13363793</v>
      </c>
      <c r="N130" s="58">
        <v>126</v>
      </c>
      <c r="O130" s="61">
        <f t="shared" si="21"/>
        <v>70448.529424802473</v>
      </c>
      <c r="P130" s="61">
        <f t="shared" si="22"/>
        <v>45903.114195346425</v>
      </c>
      <c r="Q130" s="61">
        <f t="shared" si="23"/>
        <v>758676.47072864173</v>
      </c>
      <c r="R130">
        <f t="shared" si="24"/>
        <v>24420894</v>
      </c>
      <c r="S130">
        <f t="shared" si="25"/>
        <v>70448.528462000002</v>
      </c>
    </row>
    <row r="131" spans="2:19" x14ac:dyDescent="0.3">
      <c r="B131" s="58">
        <v>127</v>
      </c>
      <c r="C131" s="61">
        <f t="shared" si="13"/>
        <v>9918.0758709111542</v>
      </c>
      <c r="D131" s="61">
        <f t="shared" si="14"/>
        <v>9918.0758709111542</v>
      </c>
      <c r="E131" s="61">
        <f t="shared" si="15"/>
        <v>129697.91523499195</v>
      </c>
      <c r="F131">
        <f t="shared" si="16"/>
        <v>7529289</v>
      </c>
      <c r="H131" s="58">
        <v>127</v>
      </c>
      <c r="I131" s="61">
        <f t="shared" si="17"/>
        <v>30945.180863462261</v>
      </c>
      <c r="J131" s="61">
        <f t="shared" si="18"/>
        <v>21843.657080091019</v>
      </c>
      <c r="K131" s="61">
        <f t="shared" si="19"/>
        <v>333255.79391420918</v>
      </c>
      <c r="L131">
        <f t="shared" si="20"/>
        <v>13902344</v>
      </c>
      <c r="N131" s="58">
        <v>127</v>
      </c>
      <c r="O131" s="61">
        <f t="shared" si="21"/>
        <v>73618.713248918575</v>
      </c>
      <c r="P131" s="61">
        <f t="shared" si="22"/>
        <v>47968.754334137011</v>
      </c>
      <c r="Q131" s="61">
        <f t="shared" si="23"/>
        <v>792816.91191143054</v>
      </c>
      <c r="R131">
        <f t="shared" si="24"/>
        <v>25524335</v>
      </c>
      <c r="S131">
        <f t="shared" si="25"/>
        <v>73618.714454999994</v>
      </c>
    </row>
    <row r="132" spans="2:19" x14ac:dyDescent="0.3">
      <c r="B132" s="58">
        <v>128</v>
      </c>
      <c r="C132" s="61">
        <f t="shared" si="13"/>
        <v>10265.208526393044</v>
      </c>
      <c r="D132" s="61">
        <f t="shared" si="14"/>
        <v>10265.208526393044</v>
      </c>
      <c r="E132" s="61">
        <f t="shared" si="15"/>
        <v>134237.34226821666</v>
      </c>
      <c r="F132">
        <f t="shared" si="16"/>
        <v>7796314</v>
      </c>
      <c r="H132" s="58">
        <v>128</v>
      </c>
      <c r="I132" s="61">
        <f t="shared" si="17"/>
        <v>32182.988098000751</v>
      </c>
      <c r="J132" s="61">
        <f t="shared" si="18"/>
        <v>22717.403363294659</v>
      </c>
      <c r="K132" s="61">
        <f t="shared" si="19"/>
        <v>346586.02567077754</v>
      </c>
      <c r="L132">
        <f t="shared" si="20"/>
        <v>14462438</v>
      </c>
      <c r="N132" s="58">
        <v>128</v>
      </c>
      <c r="O132" s="61">
        <f t="shared" si="21"/>
        <v>76931.555345119908</v>
      </c>
      <c r="P132" s="61">
        <f t="shared" si="22"/>
        <v>50127.348279173173</v>
      </c>
      <c r="Q132" s="61">
        <f t="shared" si="23"/>
        <v>828493.67294744484</v>
      </c>
      <c r="R132">
        <f t="shared" si="24"/>
        <v>26677430</v>
      </c>
      <c r="S132">
        <f t="shared" si="25"/>
        <v>76931.556389999998</v>
      </c>
    </row>
    <row r="133" spans="2:19" x14ac:dyDescent="0.3">
      <c r="B133" s="58">
        <v>129</v>
      </c>
      <c r="C133" s="61">
        <f t="shared" si="13"/>
        <v>10624.490824816799</v>
      </c>
      <c r="D133" s="61">
        <f t="shared" si="14"/>
        <v>10624.490824816799</v>
      </c>
      <c r="E133" s="61">
        <f t="shared" si="15"/>
        <v>138935.64924760422</v>
      </c>
      <c r="F133">
        <f t="shared" si="16"/>
        <v>8072685</v>
      </c>
      <c r="H133" s="58">
        <v>129</v>
      </c>
      <c r="I133" s="61">
        <f t="shared" si="17"/>
        <v>33470.30762192078</v>
      </c>
      <c r="J133" s="61">
        <f t="shared" si="18"/>
        <v>23626.099497826446</v>
      </c>
      <c r="K133" s="61">
        <f t="shared" si="19"/>
        <v>360449.46669760864</v>
      </c>
      <c r="L133">
        <f t="shared" si="20"/>
        <v>15044936</v>
      </c>
      <c r="N133" s="58">
        <v>129</v>
      </c>
      <c r="O133" s="61">
        <f t="shared" si="21"/>
        <v>80393.475335650306</v>
      </c>
      <c r="P133" s="61">
        <f t="shared" si="22"/>
        <v>52383.078951735959</v>
      </c>
      <c r="Q133" s="61">
        <f t="shared" si="23"/>
        <v>865775.88823007978</v>
      </c>
      <c r="R133">
        <f t="shared" si="24"/>
        <v>27882414</v>
      </c>
      <c r="S133">
        <f t="shared" si="25"/>
        <v>80393.475422000003</v>
      </c>
    </row>
    <row r="134" spans="2:19" x14ac:dyDescent="0.3">
      <c r="B134" s="58">
        <v>130</v>
      </c>
      <c r="C134" s="61">
        <f t="shared" ref="C134:C197" si="26">C133*$A$5</f>
        <v>10996.348003685387</v>
      </c>
      <c r="D134" s="61">
        <f t="shared" ref="D134:D197" si="27">D133*$A$5</f>
        <v>10996.348003685387</v>
      </c>
      <c r="E134" s="61">
        <f t="shared" ref="E134:E197" si="28">E133*$A$5</f>
        <v>143798.39697127035</v>
      </c>
      <c r="F134">
        <f t="shared" ref="F134:F197" si="29">ROUND((C134/C$5-1)*100000, 0)</f>
        <v>8358729</v>
      </c>
      <c r="H134" s="58">
        <v>130</v>
      </c>
      <c r="I134" s="61">
        <f t="shared" ref="I134:I197" si="30">I133*$G$5</f>
        <v>34809.119926797612</v>
      </c>
      <c r="J134" s="61">
        <f t="shared" ref="J134:J197" si="31">J133*$G$5</f>
        <v>24571.143477739504</v>
      </c>
      <c r="K134" s="61">
        <f t="shared" ref="K134:K197" si="32">K133*$G$5</f>
        <v>374867.44536551298</v>
      </c>
      <c r="L134">
        <f t="shared" ref="L134:L197" si="33">ROUND((I134/I$5-1)*100000, 0)</f>
        <v>15650733</v>
      </c>
      <c r="N134" s="58">
        <v>130</v>
      </c>
      <c r="O134" s="61">
        <f t="shared" ref="O134:O197" si="34">O133*$M$5</f>
        <v>84011.181725754563</v>
      </c>
      <c r="P134" s="61">
        <f t="shared" ref="P134:P197" si="35">P133*$M$5</f>
        <v>54740.317504564075</v>
      </c>
      <c r="Q134" s="61">
        <f t="shared" ref="Q134:Q197" si="36">Q133*$M$5</f>
        <v>904735.80320043326</v>
      </c>
      <c r="R134">
        <f t="shared" ref="R134:R197" si="37">ROUND((O134/O$5-1)*100000, 0)</f>
        <v>29141623</v>
      </c>
      <c r="S134">
        <f t="shared" ref="S134:S197" si="38">$O$5*(1+R134/100000)</f>
        <v>84011.182879</v>
      </c>
    </row>
    <row r="135" spans="2:19" x14ac:dyDescent="0.3">
      <c r="B135" s="58">
        <v>131</v>
      </c>
      <c r="C135" s="61">
        <f t="shared" si="26"/>
        <v>11381.220183814376</v>
      </c>
      <c r="D135" s="61">
        <f t="shared" si="27"/>
        <v>11381.220183814376</v>
      </c>
      <c r="E135" s="61">
        <f t="shared" si="28"/>
        <v>148831.34086526479</v>
      </c>
      <c r="F135">
        <f t="shared" si="29"/>
        <v>8654785</v>
      </c>
      <c r="H135" s="58">
        <v>131</v>
      </c>
      <c r="I135" s="61">
        <f t="shared" si="30"/>
        <v>36201.484723869515</v>
      </c>
      <c r="J135" s="61">
        <f t="shared" si="31"/>
        <v>25553.989216849084</v>
      </c>
      <c r="K135" s="61">
        <f t="shared" si="32"/>
        <v>389862.14318013348</v>
      </c>
      <c r="L135">
        <f t="shared" si="33"/>
        <v>16280762</v>
      </c>
      <c r="N135" s="58">
        <v>131</v>
      </c>
      <c r="O135" s="61">
        <f t="shared" si="34"/>
        <v>87791.684903413508</v>
      </c>
      <c r="P135" s="61">
        <f t="shared" si="35"/>
        <v>57203.631792269451</v>
      </c>
      <c r="Q135" s="61">
        <f t="shared" si="36"/>
        <v>945448.91434445267</v>
      </c>
      <c r="R135">
        <f t="shared" si="37"/>
        <v>30457496</v>
      </c>
      <c r="S135">
        <f t="shared" si="38"/>
        <v>87791.68600799999</v>
      </c>
    </row>
    <row r="136" spans="2:19" x14ac:dyDescent="0.3">
      <c r="B136" s="58">
        <v>132</v>
      </c>
      <c r="C136" s="61">
        <f t="shared" si="26"/>
        <v>11779.562890247878</v>
      </c>
      <c r="D136" s="61">
        <f t="shared" si="27"/>
        <v>11779.562890247878</v>
      </c>
      <c r="E136" s="61">
        <f t="shared" si="28"/>
        <v>154040.43779554905</v>
      </c>
      <c r="F136">
        <f t="shared" si="29"/>
        <v>8961202</v>
      </c>
      <c r="H136" s="58">
        <v>132</v>
      </c>
      <c r="I136" s="61">
        <f t="shared" si="30"/>
        <v>37649.544112824296</v>
      </c>
      <c r="J136" s="61">
        <f t="shared" si="31"/>
        <v>26576.148785523048</v>
      </c>
      <c r="K136" s="61">
        <f t="shared" si="32"/>
        <v>405456.62890733883</v>
      </c>
      <c r="L136">
        <f t="shared" si="33"/>
        <v>16935993</v>
      </c>
      <c r="N136" s="58">
        <v>132</v>
      </c>
      <c r="O136" s="61">
        <f t="shared" si="34"/>
        <v>91742.310724067109</v>
      </c>
      <c r="P136" s="61">
        <f t="shared" si="35"/>
        <v>59777.795222921573</v>
      </c>
      <c r="Q136" s="61">
        <f t="shared" si="36"/>
        <v>987994.11548995296</v>
      </c>
      <c r="R136">
        <f t="shared" si="37"/>
        <v>31832583</v>
      </c>
      <c r="S136">
        <f t="shared" si="38"/>
        <v>91742.310959000009</v>
      </c>
    </row>
    <row r="137" spans="2:19" x14ac:dyDescent="0.3">
      <c r="B137" s="58">
        <v>133</v>
      </c>
      <c r="C137" s="61">
        <f t="shared" si="26"/>
        <v>12191.847591406553</v>
      </c>
      <c r="D137" s="61">
        <f t="shared" si="27"/>
        <v>12191.847591406553</v>
      </c>
      <c r="E137" s="61">
        <f t="shared" si="28"/>
        <v>159431.85311839325</v>
      </c>
      <c r="F137">
        <f t="shared" si="29"/>
        <v>9278344</v>
      </c>
      <c r="H137" s="58">
        <v>133</v>
      </c>
      <c r="I137" s="61">
        <f t="shared" si="30"/>
        <v>39155.52587733727</v>
      </c>
      <c r="J137" s="61">
        <f t="shared" si="31"/>
        <v>27639.194736943969</v>
      </c>
      <c r="K137" s="61">
        <f t="shared" si="32"/>
        <v>421674.89406363241</v>
      </c>
      <c r="L137">
        <f t="shared" si="33"/>
        <v>17617433</v>
      </c>
      <c r="N137" s="58">
        <v>133</v>
      </c>
      <c r="O137" s="61">
        <f t="shared" si="34"/>
        <v>95870.71470665012</v>
      </c>
      <c r="P137" s="61">
        <f t="shared" si="35"/>
        <v>62467.796007953038</v>
      </c>
      <c r="Q137" s="61">
        <f t="shared" si="36"/>
        <v>1032453.8506870008</v>
      </c>
      <c r="R137">
        <f t="shared" si="37"/>
        <v>33269549</v>
      </c>
      <c r="S137">
        <f t="shared" si="38"/>
        <v>95870.714277000006</v>
      </c>
    </row>
    <row r="138" spans="2:19" x14ac:dyDescent="0.3">
      <c r="B138" s="58">
        <v>134</v>
      </c>
      <c r="C138" s="61">
        <f t="shared" si="26"/>
        <v>12618.562257105781</v>
      </c>
      <c r="D138" s="61">
        <f t="shared" si="27"/>
        <v>12618.562257105781</v>
      </c>
      <c r="E138" s="61">
        <f t="shared" si="28"/>
        <v>165011.96797753699</v>
      </c>
      <c r="F138">
        <f t="shared" si="29"/>
        <v>9606586</v>
      </c>
      <c r="H138" s="58">
        <v>134</v>
      </c>
      <c r="I138" s="61">
        <f t="shared" si="30"/>
        <v>40721.746912430761</v>
      </c>
      <c r="J138" s="61">
        <f t="shared" si="31"/>
        <v>28744.762526421728</v>
      </c>
      <c r="K138" s="61">
        <f t="shared" si="32"/>
        <v>438541.88982617774</v>
      </c>
      <c r="L138">
        <f t="shared" si="33"/>
        <v>18326130</v>
      </c>
      <c r="N138" s="58">
        <v>134</v>
      </c>
      <c r="O138" s="61">
        <f t="shared" si="34"/>
        <v>100184.89686844937</v>
      </c>
      <c r="P138" s="61">
        <f t="shared" si="35"/>
        <v>65278.846828310918</v>
      </c>
      <c r="Q138" s="61">
        <f t="shared" si="36"/>
        <v>1078914.2739679157</v>
      </c>
      <c r="R138">
        <f t="shared" si="37"/>
        <v>34771179</v>
      </c>
      <c r="S138">
        <f t="shared" si="38"/>
        <v>100184.89726700001</v>
      </c>
    </row>
    <row r="139" spans="2:19" x14ac:dyDescent="0.3">
      <c r="B139" s="58">
        <v>135</v>
      </c>
      <c r="C139" s="61">
        <f t="shared" si="26"/>
        <v>13060.211936104482</v>
      </c>
      <c r="D139" s="61">
        <f t="shared" si="27"/>
        <v>13060.211936104482</v>
      </c>
      <c r="E139" s="61">
        <f t="shared" si="28"/>
        <v>170787.38685675076</v>
      </c>
      <c r="F139">
        <f t="shared" si="29"/>
        <v>9946317</v>
      </c>
      <c r="H139" s="58">
        <v>135</v>
      </c>
      <c r="I139" s="61">
        <f t="shared" si="30"/>
        <v>42350.61678892799</v>
      </c>
      <c r="J139" s="61">
        <f t="shared" si="31"/>
        <v>29894.553027478596</v>
      </c>
      <c r="K139" s="61">
        <f t="shared" si="32"/>
        <v>456083.56541922485</v>
      </c>
      <c r="L139">
        <f t="shared" si="33"/>
        <v>19063175</v>
      </c>
      <c r="N139" s="58">
        <v>135</v>
      </c>
      <c r="O139" s="61">
        <f t="shared" si="34"/>
        <v>104693.21722752959</v>
      </c>
      <c r="P139" s="61">
        <f t="shared" si="35"/>
        <v>68216.394935584904</v>
      </c>
      <c r="Q139" s="61">
        <f t="shared" si="36"/>
        <v>1127465.4162964718</v>
      </c>
      <c r="R139">
        <f t="shared" si="37"/>
        <v>36340382</v>
      </c>
      <c r="S139">
        <f t="shared" si="38"/>
        <v>104693.21748600001</v>
      </c>
    </row>
    <row r="140" spans="2:19" x14ac:dyDescent="0.3">
      <c r="B140" s="58">
        <v>136</v>
      </c>
      <c r="C140" s="61">
        <f t="shared" si="26"/>
        <v>13517.319353868139</v>
      </c>
      <c r="D140" s="61">
        <f t="shared" si="27"/>
        <v>13517.319353868139</v>
      </c>
      <c r="E140" s="61">
        <f t="shared" si="28"/>
        <v>176764.94539673702</v>
      </c>
      <c r="F140">
        <f t="shared" si="29"/>
        <v>10297938</v>
      </c>
      <c r="H140" s="58">
        <v>136</v>
      </c>
      <c r="I140" s="61">
        <f t="shared" si="30"/>
        <v>44044.641460485109</v>
      </c>
      <c r="J140" s="61">
        <f t="shared" si="31"/>
        <v>31090.335148577742</v>
      </c>
      <c r="K140" s="61">
        <f t="shared" si="32"/>
        <v>474326.90803599387</v>
      </c>
      <c r="L140">
        <f t="shared" si="33"/>
        <v>19829702</v>
      </c>
      <c r="N140" s="58">
        <v>136</v>
      </c>
      <c r="O140" s="61">
        <f t="shared" si="34"/>
        <v>109404.41200276841</v>
      </c>
      <c r="P140" s="61">
        <f t="shared" si="35"/>
        <v>71286.132707686222</v>
      </c>
      <c r="Q140" s="61">
        <f t="shared" si="36"/>
        <v>1178201.3600298129</v>
      </c>
      <c r="R140">
        <f t="shared" si="37"/>
        <v>37980199</v>
      </c>
      <c r="S140">
        <f t="shared" si="38"/>
        <v>109404.411727</v>
      </c>
    </row>
    <row r="141" spans="2:19" x14ac:dyDescent="0.3">
      <c r="B141" s="58">
        <v>137</v>
      </c>
      <c r="C141" s="61">
        <f t="shared" si="26"/>
        <v>13990.425531253522</v>
      </c>
      <c r="D141" s="61">
        <f t="shared" si="27"/>
        <v>13990.425531253522</v>
      </c>
      <c r="E141" s="61">
        <f t="shared" si="28"/>
        <v>182951.71848562281</v>
      </c>
      <c r="F141">
        <f t="shared" si="29"/>
        <v>10661866</v>
      </c>
      <c r="H141" s="58">
        <v>137</v>
      </c>
      <c r="I141" s="61">
        <f t="shared" si="30"/>
        <v>45806.427118904518</v>
      </c>
      <c r="J141" s="61">
        <f t="shared" si="31"/>
        <v>32333.948554520852</v>
      </c>
      <c r="K141" s="61">
        <f t="shared" si="32"/>
        <v>493299.98435743363</v>
      </c>
      <c r="L141">
        <f t="shared" si="33"/>
        <v>20626890</v>
      </c>
      <c r="N141" s="58">
        <v>137</v>
      </c>
      <c r="O141" s="61">
        <f t="shared" si="34"/>
        <v>114327.61054289299</v>
      </c>
      <c r="P141" s="61">
        <f t="shared" si="35"/>
        <v>74494.008679532097</v>
      </c>
      <c r="Q141" s="61">
        <f t="shared" si="36"/>
        <v>1231220.4212311544</v>
      </c>
      <c r="R141">
        <f t="shared" si="37"/>
        <v>39693808</v>
      </c>
      <c r="S141">
        <f t="shared" si="38"/>
        <v>114327.61038400001</v>
      </c>
    </row>
    <row r="142" spans="2:19" x14ac:dyDescent="0.3">
      <c r="B142" s="58">
        <v>138</v>
      </c>
      <c r="C142" s="61">
        <f t="shared" si="26"/>
        <v>14480.090424847394</v>
      </c>
      <c r="D142" s="61">
        <f t="shared" si="27"/>
        <v>14480.090424847394</v>
      </c>
      <c r="E142" s="61">
        <f t="shared" si="28"/>
        <v>189355.02863261959</v>
      </c>
      <c r="F142">
        <f t="shared" si="29"/>
        <v>11038531</v>
      </c>
      <c r="H142" s="58">
        <v>138</v>
      </c>
      <c r="I142" s="61">
        <f t="shared" si="30"/>
        <v>47638.684203660698</v>
      </c>
      <c r="J142" s="61">
        <f t="shared" si="31"/>
        <v>33627.306496701683</v>
      </c>
      <c r="K142" s="61">
        <f t="shared" si="32"/>
        <v>513031.98373173102</v>
      </c>
      <c r="L142">
        <f t="shared" si="33"/>
        <v>21455966</v>
      </c>
      <c r="N142" s="58">
        <v>138</v>
      </c>
      <c r="O142" s="61">
        <f t="shared" si="34"/>
        <v>119472.35301732317</v>
      </c>
      <c r="P142" s="61">
        <f t="shared" si="35"/>
        <v>77846.239070111042</v>
      </c>
      <c r="Q142" s="61">
        <f t="shared" si="36"/>
        <v>1286625.3401865561</v>
      </c>
      <c r="R142">
        <f t="shared" si="37"/>
        <v>41484529</v>
      </c>
      <c r="S142">
        <f t="shared" si="38"/>
        <v>119472.351817</v>
      </c>
    </row>
    <row r="143" spans="2:19" x14ac:dyDescent="0.3">
      <c r="B143" s="58">
        <v>139</v>
      </c>
      <c r="C143" s="61">
        <f t="shared" si="26"/>
        <v>14986.893589717052</v>
      </c>
      <c r="D143" s="61">
        <f t="shared" si="27"/>
        <v>14986.893589717052</v>
      </c>
      <c r="E143" s="61">
        <f t="shared" si="28"/>
        <v>195982.45463476126</v>
      </c>
      <c r="F143">
        <f t="shared" si="29"/>
        <v>11428380</v>
      </c>
      <c r="H143" s="58">
        <v>139</v>
      </c>
      <c r="I143" s="61">
        <f t="shared" si="30"/>
        <v>49544.231571807126</v>
      </c>
      <c r="J143" s="61">
        <f t="shared" si="31"/>
        <v>34972.398756569753</v>
      </c>
      <c r="K143" s="61">
        <f t="shared" si="32"/>
        <v>533553.2630810003</v>
      </c>
      <c r="L143">
        <f t="shared" si="33"/>
        <v>22318204</v>
      </c>
      <c r="N143" s="58">
        <v>139</v>
      </c>
      <c r="O143" s="61">
        <f t="shared" si="34"/>
        <v>124848.60890310271</v>
      </c>
      <c r="P143" s="61">
        <f t="shared" si="35"/>
        <v>81349.319828266031</v>
      </c>
      <c r="Q143" s="61">
        <f t="shared" si="36"/>
        <v>1344523.4804949511</v>
      </c>
      <c r="R143">
        <f t="shared" si="37"/>
        <v>43355833</v>
      </c>
      <c r="S143">
        <f t="shared" si="38"/>
        <v>124848.60820900001</v>
      </c>
    </row>
    <row r="144" spans="2:19" x14ac:dyDescent="0.3">
      <c r="B144" s="58">
        <v>140</v>
      </c>
      <c r="C144" s="61">
        <f t="shared" si="26"/>
        <v>15511.434865357149</v>
      </c>
      <c r="D144" s="61">
        <f t="shared" si="27"/>
        <v>15511.434865357149</v>
      </c>
      <c r="E144" s="61">
        <f t="shared" si="28"/>
        <v>202841.84054697788</v>
      </c>
      <c r="F144">
        <f t="shared" si="29"/>
        <v>11831873</v>
      </c>
      <c r="H144" s="58">
        <v>140</v>
      </c>
      <c r="I144" s="61">
        <f t="shared" si="30"/>
        <v>51526.000834679413</v>
      </c>
      <c r="J144" s="61">
        <f t="shared" si="31"/>
        <v>36371.294706832545</v>
      </c>
      <c r="K144" s="61">
        <f t="shared" si="32"/>
        <v>554895.39360424038</v>
      </c>
      <c r="L144">
        <f t="shared" si="33"/>
        <v>23214933</v>
      </c>
      <c r="N144" s="58">
        <v>140</v>
      </c>
      <c r="O144" s="61">
        <f t="shared" si="34"/>
        <v>130466.79630374232</v>
      </c>
      <c r="P144" s="61">
        <f t="shared" si="35"/>
        <v>85010.03922053799</v>
      </c>
      <c r="Q144" s="61">
        <f t="shared" si="36"/>
        <v>1405027.0371172237</v>
      </c>
      <c r="R144">
        <f t="shared" si="37"/>
        <v>45311346</v>
      </c>
      <c r="S144">
        <f t="shared" si="38"/>
        <v>130466.797058</v>
      </c>
    </row>
    <row r="145" spans="2:19" x14ac:dyDescent="0.3">
      <c r="B145" s="58">
        <v>141</v>
      </c>
      <c r="C145" s="61">
        <f t="shared" si="26"/>
        <v>16054.335085644647</v>
      </c>
      <c r="D145" s="61">
        <f t="shared" si="27"/>
        <v>16054.335085644647</v>
      </c>
      <c r="E145" s="61">
        <f t="shared" si="28"/>
        <v>209941.30496612209</v>
      </c>
      <c r="F145">
        <f t="shared" si="29"/>
        <v>12249489</v>
      </c>
      <c r="H145" s="58">
        <v>141</v>
      </c>
      <c r="I145" s="61">
        <f t="shared" si="30"/>
        <v>53587.040868066593</v>
      </c>
      <c r="J145" s="61">
        <f t="shared" si="31"/>
        <v>37826.146495105844</v>
      </c>
      <c r="K145" s="61">
        <f t="shared" si="32"/>
        <v>577091.20934841002</v>
      </c>
      <c r="L145">
        <f t="shared" si="33"/>
        <v>24147530</v>
      </c>
      <c r="N145" s="58">
        <v>141</v>
      </c>
      <c r="O145" s="61">
        <f t="shared" si="34"/>
        <v>136337.8021374107</v>
      </c>
      <c r="P145" s="61">
        <f t="shared" si="35"/>
        <v>88835.490985462195</v>
      </c>
      <c r="Q145" s="61">
        <f t="shared" si="36"/>
        <v>1468253.2537874987</v>
      </c>
      <c r="R145">
        <f t="shared" si="37"/>
        <v>47354856</v>
      </c>
      <c r="S145">
        <f t="shared" si="38"/>
        <v>136337.80128800002</v>
      </c>
    </row>
    <row r="146" spans="2:19" x14ac:dyDescent="0.3">
      <c r="B146" s="58">
        <v>142</v>
      </c>
      <c r="C146" s="61">
        <f t="shared" si="26"/>
        <v>16616.236813642208</v>
      </c>
      <c r="D146" s="61">
        <f t="shared" si="27"/>
        <v>16616.236813642208</v>
      </c>
      <c r="E146" s="61">
        <f t="shared" si="28"/>
        <v>217289.25063993633</v>
      </c>
      <c r="F146">
        <f t="shared" si="29"/>
        <v>12681721</v>
      </c>
      <c r="H146" s="58">
        <v>142</v>
      </c>
      <c r="I146" s="61">
        <f t="shared" si="30"/>
        <v>55730.522502789259</v>
      </c>
      <c r="J146" s="61">
        <f t="shared" si="31"/>
        <v>39339.192354910083</v>
      </c>
      <c r="K146" s="61">
        <f t="shared" si="32"/>
        <v>600174.85772234644</v>
      </c>
      <c r="L146">
        <f t="shared" si="33"/>
        <v>25117431</v>
      </c>
      <c r="N146" s="58">
        <v>142</v>
      </c>
      <c r="O146" s="61">
        <f t="shared" si="34"/>
        <v>142473.00323359418</v>
      </c>
      <c r="P146" s="61">
        <f t="shared" si="35"/>
        <v>92833.088079807989</v>
      </c>
      <c r="Q146" s="61">
        <f t="shared" si="36"/>
        <v>1534324.6502079361</v>
      </c>
      <c r="R146">
        <f t="shared" si="37"/>
        <v>49490325</v>
      </c>
      <c r="S146">
        <f t="shared" si="38"/>
        <v>142473.00372500002</v>
      </c>
    </row>
    <row r="147" spans="2:19" x14ac:dyDescent="0.3">
      <c r="B147" s="58">
        <v>143</v>
      </c>
      <c r="C147" s="61">
        <f t="shared" si="26"/>
        <v>17197.805102119684</v>
      </c>
      <c r="D147" s="61">
        <f t="shared" si="27"/>
        <v>17197.805102119684</v>
      </c>
      <c r="E147" s="61">
        <f t="shared" si="28"/>
        <v>224894.37441233409</v>
      </c>
      <c r="F147">
        <f t="shared" si="29"/>
        <v>13129081</v>
      </c>
      <c r="H147" s="58">
        <v>143</v>
      </c>
      <c r="I147" s="61">
        <f t="shared" si="30"/>
        <v>57959.743402900829</v>
      </c>
      <c r="J147" s="61">
        <f t="shared" si="31"/>
        <v>40912.760049106488</v>
      </c>
      <c r="K147" s="61">
        <f t="shared" si="32"/>
        <v>624181.85203124036</v>
      </c>
      <c r="L147">
        <f t="shared" si="33"/>
        <v>26126128</v>
      </c>
      <c r="N147" s="58">
        <v>143</v>
      </c>
      <c r="O147" s="61">
        <f t="shared" si="34"/>
        <v>148884.28837910591</v>
      </c>
      <c r="P147" s="61">
        <f t="shared" si="35"/>
        <v>97010.577043399346</v>
      </c>
      <c r="Q147" s="61">
        <f t="shared" si="36"/>
        <v>1603369.259467293</v>
      </c>
      <c r="R147">
        <f t="shared" si="37"/>
        <v>51721889</v>
      </c>
      <c r="S147">
        <f t="shared" si="38"/>
        <v>148884.28709699999</v>
      </c>
    </row>
    <row r="148" spans="2:19" x14ac:dyDescent="0.3">
      <c r="B148" s="58">
        <v>144</v>
      </c>
      <c r="C148" s="61">
        <f t="shared" si="26"/>
        <v>17799.728280693871</v>
      </c>
      <c r="D148" s="61">
        <f t="shared" si="27"/>
        <v>17799.728280693871</v>
      </c>
      <c r="E148" s="61">
        <f t="shared" si="28"/>
        <v>232765.67751676578</v>
      </c>
      <c r="F148">
        <f t="shared" si="29"/>
        <v>13592099</v>
      </c>
      <c r="H148" s="58">
        <v>144</v>
      </c>
      <c r="I148" s="61">
        <f t="shared" si="30"/>
        <v>60278.133139016863</v>
      </c>
      <c r="J148" s="61">
        <f t="shared" si="31"/>
        <v>42549.270451070748</v>
      </c>
      <c r="K148" s="61">
        <f t="shared" si="32"/>
        <v>649149.12611248996</v>
      </c>
      <c r="L148">
        <f t="shared" si="33"/>
        <v>27175173</v>
      </c>
      <c r="N148" s="58">
        <v>144</v>
      </c>
      <c r="O148" s="61">
        <f t="shared" si="34"/>
        <v>155584.08135616567</v>
      </c>
      <c r="P148" s="61">
        <f t="shared" si="35"/>
        <v>101376.05301035231</v>
      </c>
      <c r="Q148" s="61">
        <f t="shared" si="36"/>
        <v>1675520.8761433212</v>
      </c>
      <c r="R148">
        <f t="shared" si="37"/>
        <v>54053874</v>
      </c>
      <c r="S148">
        <f t="shared" si="38"/>
        <v>155584.080002</v>
      </c>
    </row>
    <row r="149" spans="2:19" x14ac:dyDescent="0.3">
      <c r="B149" s="58">
        <v>145</v>
      </c>
      <c r="C149" s="61">
        <f t="shared" si="26"/>
        <v>18422.718770518157</v>
      </c>
      <c r="D149" s="61">
        <f t="shared" si="27"/>
        <v>18422.718770518157</v>
      </c>
      <c r="E149" s="61">
        <f t="shared" si="28"/>
        <v>240912.47622985256</v>
      </c>
      <c r="F149">
        <f t="shared" si="29"/>
        <v>14071322</v>
      </c>
      <c r="H149" s="58">
        <v>145</v>
      </c>
      <c r="I149" s="61">
        <f t="shared" si="30"/>
        <v>62689.258464577542</v>
      </c>
      <c r="J149" s="61">
        <f t="shared" si="31"/>
        <v>44251.241269113576</v>
      </c>
      <c r="K149" s="61">
        <f t="shared" si="32"/>
        <v>675115.09115698957</v>
      </c>
      <c r="L149">
        <f t="shared" si="33"/>
        <v>28266180</v>
      </c>
      <c r="N149" s="58">
        <v>145</v>
      </c>
      <c r="O149" s="61">
        <f t="shared" si="34"/>
        <v>162585.36501719311</v>
      </c>
      <c r="P149" s="61">
        <f t="shared" si="35"/>
        <v>105937.97539581815</v>
      </c>
      <c r="Q149" s="61">
        <f t="shared" si="36"/>
        <v>1750919.3155697705</v>
      </c>
      <c r="R149">
        <f t="shared" si="37"/>
        <v>56490799</v>
      </c>
      <c r="S149">
        <f t="shared" si="38"/>
        <v>162585.36552700002</v>
      </c>
    </row>
    <row r="150" spans="2:19" x14ac:dyDescent="0.3">
      <c r="B150" s="58">
        <v>146</v>
      </c>
      <c r="C150" s="61">
        <f t="shared" si="26"/>
        <v>19067.513927486292</v>
      </c>
      <c r="D150" s="61">
        <f t="shared" si="27"/>
        <v>19067.513927486292</v>
      </c>
      <c r="E150" s="61">
        <f t="shared" si="28"/>
        <v>249344.41289789739</v>
      </c>
      <c r="F150">
        <f t="shared" si="29"/>
        <v>14567318</v>
      </c>
      <c r="H150" s="58">
        <v>146</v>
      </c>
      <c r="I150" s="61">
        <f t="shared" si="30"/>
        <v>65196.82880316065</v>
      </c>
      <c r="J150" s="61">
        <f t="shared" si="31"/>
        <v>46021.29091987812</v>
      </c>
      <c r="K150" s="61">
        <f t="shared" si="32"/>
        <v>702119.69480326923</v>
      </c>
      <c r="L150">
        <f t="shared" si="33"/>
        <v>29400828</v>
      </c>
      <c r="N150" s="58">
        <v>146</v>
      </c>
      <c r="O150" s="61">
        <f t="shared" si="34"/>
        <v>169901.7064429668</v>
      </c>
      <c r="P150" s="61">
        <f t="shared" si="35"/>
        <v>110705.18428862996</v>
      </c>
      <c r="Q150" s="61">
        <f t="shared" si="36"/>
        <v>1829710.6847704102</v>
      </c>
      <c r="R150">
        <f t="shared" si="37"/>
        <v>59037385</v>
      </c>
      <c r="S150">
        <f t="shared" si="38"/>
        <v>169901.70710499998</v>
      </c>
    </row>
    <row r="151" spans="2:19" x14ac:dyDescent="0.3">
      <c r="B151" s="58">
        <v>147</v>
      </c>
      <c r="C151" s="61">
        <f t="shared" si="26"/>
        <v>19734.876914948312</v>
      </c>
      <c r="D151" s="61">
        <f t="shared" si="27"/>
        <v>19734.876914948312</v>
      </c>
      <c r="E151" s="61">
        <f t="shared" si="28"/>
        <v>258071.46734932376</v>
      </c>
      <c r="F151">
        <f t="shared" si="29"/>
        <v>15080675</v>
      </c>
      <c r="H151" s="58">
        <v>147</v>
      </c>
      <c r="I151" s="61">
        <f t="shared" si="30"/>
        <v>67804.701955287077</v>
      </c>
      <c r="J151" s="61">
        <f t="shared" si="31"/>
        <v>47862.142556673243</v>
      </c>
      <c r="K151" s="61">
        <f t="shared" si="32"/>
        <v>730204.48259540007</v>
      </c>
      <c r="L151">
        <f t="shared" si="33"/>
        <v>30580861</v>
      </c>
      <c r="N151" s="58">
        <v>147</v>
      </c>
      <c r="O151" s="61">
        <f t="shared" si="34"/>
        <v>177547.28323290028</v>
      </c>
      <c r="P151" s="61">
        <f t="shared" si="35"/>
        <v>115686.9175816183</v>
      </c>
      <c r="Q151" s="61">
        <f t="shared" si="36"/>
        <v>1912047.6655850785</v>
      </c>
      <c r="R151">
        <f t="shared" si="37"/>
        <v>61698567</v>
      </c>
      <c r="S151">
        <f t="shared" si="38"/>
        <v>177547.28299100001</v>
      </c>
    </row>
    <row r="152" spans="2:19" x14ac:dyDescent="0.3">
      <c r="B152" s="58">
        <v>148</v>
      </c>
      <c r="C152" s="61">
        <f t="shared" si="26"/>
        <v>20425.597606971503</v>
      </c>
      <c r="D152" s="61">
        <f t="shared" si="27"/>
        <v>20425.597606971503</v>
      </c>
      <c r="E152" s="61">
        <f t="shared" si="28"/>
        <v>267103.96870655008</v>
      </c>
      <c r="F152">
        <f t="shared" si="29"/>
        <v>15611998</v>
      </c>
      <c r="H152" s="58">
        <v>148</v>
      </c>
      <c r="I152" s="61">
        <f t="shared" si="30"/>
        <v>70516.890033498566</v>
      </c>
      <c r="J152" s="61">
        <f t="shared" si="31"/>
        <v>49776.628258940174</v>
      </c>
      <c r="K152" s="61">
        <f t="shared" si="32"/>
        <v>759412.66189921612</v>
      </c>
      <c r="L152">
        <f t="shared" si="33"/>
        <v>31808095</v>
      </c>
      <c r="N152" s="58">
        <v>148</v>
      </c>
      <c r="O152" s="61">
        <f t="shared" si="34"/>
        <v>185536.91097838079</v>
      </c>
      <c r="P152" s="61">
        <f t="shared" si="35"/>
        <v>120892.82887279111</v>
      </c>
      <c r="Q152" s="61">
        <f t="shared" si="36"/>
        <v>1998089.8105364069</v>
      </c>
      <c r="R152">
        <f t="shared" si="37"/>
        <v>64479503</v>
      </c>
      <c r="S152">
        <f t="shared" si="38"/>
        <v>185536.91211900002</v>
      </c>
    </row>
    <row r="153" spans="2:19" x14ac:dyDescent="0.3">
      <c r="B153" s="58">
        <v>149</v>
      </c>
      <c r="C153" s="61">
        <f t="shared" si="26"/>
        <v>21140.493523215504</v>
      </c>
      <c r="D153" s="61">
        <f t="shared" si="27"/>
        <v>21140.493523215504</v>
      </c>
      <c r="E153" s="61">
        <f t="shared" si="28"/>
        <v>276452.60761127929</v>
      </c>
      <c r="F153">
        <f t="shared" si="29"/>
        <v>16161918</v>
      </c>
      <c r="H153" s="58">
        <v>149</v>
      </c>
      <c r="I153" s="61">
        <f t="shared" si="30"/>
        <v>73337.565634838509</v>
      </c>
      <c r="J153" s="61">
        <f t="shared" si="31"/>
        <v>51767.693389297783</v>
      </c>
      <c r="K153" s="61">
        <f t="shared" si="32"/>
        <v>789789.16837518476</v>
      </c>
      <c r="L153">
        <f t="shared" si="33"/>
        <v>33084419</v>
      </c>
      <c r="N153" s="58">
        <v>149</v>
      </c>
      <c r="O153" s="61">
        <f t="shared" si="34"/>
        <v>193886.07197240792</v>
      </c>
      <c r="P153" s="61">
        <f t="shared" si="35"/>
        <v>126333.0061720667</v>
      </c>
      <c r="Q153" s="61">
        <f t="shared" si="36"/>
        <v>2088003.8520105451</v>
      </c>
      <c r="R153">
        <f t="shared" si="37"/>
        <v>67385580</v>
      </c>
      <c r="S153">
        <f t="shared" si="38"/>
        <v>193886.07134000002</v>
      </c>
    </row>
    <row r="154" spans="2:19" x14ac:dyDescent="0.3">
      <c r="B154" s="58">
        <v>150</v>
      </c>
      <c r="C154" s="61">
        <f t="shared" si="26"/>
        <v>21880.410796528045</v>
      </c>
      <c r="D154" s="61">
        <f t="shared" si="27"/>
        <v>21880.410796528045</v>
      </c>
      <c r="E154" s="61">
        <f t="shared" si="28"/>
        <v>286128.44887767406</v>
      </c>
      <c r="F154">
        <f t="shared" si="29"/>
        <v>16731085</v>
      </c>
      <c r="H154" s="58">
        <v>150</v>
      </c>
      <c r="I154" s="61">
        <f t="shared" si="30"/>
        <v>76271.068260232045</v>
      </c>
      <c r="J154" s="61">
        <f t="shared" si="31"/>
        <v>53838.401124869699</v>
      </c>
      <c r="K154" s="61">
        <f t="shared" si="32"/>
        <v>821380.73511019221</v>
      </c>
      <c r="L154">
        <f t="shared" si="33"/>
        <v>34411796</v>
      </c>
      <c r="N154" s="58">
        <v>150</v>
      </c>
      <c r="O154" s="61">
        <f t="shared" si="34"/>
        <v>202610.94521116625</v>
      </c>
      <c r="P154" s="61">
        <f t="shared" si="35"/>
        <v>132017.99144980969</v>
      </c>
      <c r="Q154" s="61">
        <f t="shared" si="36"/>
        <v>2181964.0253510196</v>
      </c>
      <c r="R154">
        <f t="shared" si="37"/>
        <v>70422431</v>
      </c>
      <c r="S154">
        <f t="shared" si="38"/>
        <v>202610.94426299998</v>
      </c>
    </row>
    <row r="155" spans="2:19" x14ac:dyDescent="0.3">
      <c r="B155" s="58">
        <v>151</v>
      </c>
      <c r="C155" s="61">
        <f t="shared" si="26"/>
        <v>22646.225174406525</v>
      </c>
      <c r="D155" s="61">
        <f t="shared" si="27"/>
        <v>22646.225174406525</v>
      </c>
      <c r="E155" s="61">
        <f t="shared" si="28"/>
        <v>296142.94458839262</v>
      </c>
      <c r="F155">
        <f t="shared" si="29"/>
        <v>17320173</v>
      </c>
      <c r="H155" s="58">
        <v>151</v>
      </c>
      <c r="I155" s="61">
        <f t="shared" si="30"/>
        <v>79321.910990641336</v>
      </c>
      <c r="J155" s="61">
        <f t="shared" si="31"/>
        <v>55991.93716986449</v>
      </c>
      <c r="K155" s="61">
        <f t="shared" si="32"/>
        <v>854235.96451459988</v>
      </c>
      <c r="L155">
        <f t="shared" si="33"/>
        <v>35792267</v>
      </c>
      <c r="N155" s="58">
        <v>151</v>
      </c>
      <c r="O155" s="61">
        <f t="shared" si="34"/>
        <v>211728.43774566872</v>
      </c>
      <c r="P155" s="61">
        <f t="shared" si="35"/>
        <v>137958.80106505111</v>
      </c>
      <c r="Q155" s="61">
        <f t="shared" si="36"/>
        <v>2280152.4064918151</v>
      </c>
      <c r="R155">
        <f t="shared" si="37"/>
        <v>73595941</v>
      </c>
      <c r="S155">
        <f t="shared" si="38"/>
        <v>211728.43849300002</v>
      </c>
    </row>
    <row r="156" spans="2:19" x14ac:dyDescent="0.3">
      <c r="B156" s="58">
        <v>152</v>
      </c>
      <c r="C156" s="61">
        <f t="shared" si="26"/>
        <v>23438.843055510752</v>
      </c>
      <c r="D156" s="61">
        <f t="shared" si="27"/>
        <v>23438.843055510752</v>
      </c>
      <c r="E156" s="61">
        <f t="shared" si="28"/>
        <v>306507.94764898636</v>
      </c>
      <c r="F156">
        <f t="shared" si="29"/>
        <v>17929879</v>
      </c>
      <c r="H156" s="58">
        <v>152</v>
      </c>
      <c r="I156" s="61">
        <f t="shared" si="30"/>
        <v>82494.787430266995</v>
      </c>
      <c r="J156" s="61">
        <f t="shared" si="31"/>
        <v>58231.614656659069</v>
      </c>
      <c r="K156" s="61">
        <f t="shared" si="32"/>
        <v>888405.40309518389</v>
      </c>
      <c r="L156">
        <f t="shared" si="33"/>
        <v>37227958</v>
      </c>
      <c r="N156" s="58">
        <v>152</v>
      </c>
      <c r="O156" s="61">
        <f t="shared" si="34"/>
        <v>221256.21744422379</v>
      </c>
      <c r="P156" s="61">
        <f t="shared" si="35"/>
        <v>144166.94711297841</v>
      </c>
      <c r="Q156" s="61">
        <f t="shared" si="36"/>
        <v>2382759.2647839468</v>
      </c>
      <c r="R156">
        <f t="shared" si="37"/>
        <v>76912258</v>
      </c>
      <c r="S156">
        <f t="shared" si="38"/>
        <v>221256.21723400001</v>
      </c>
    </row>
    <row r="157" spans="2:19" x14ac:dyDescent="0.3">
      <c r="B157" s="58">
        <v>153</v>
      </c>
      <c r="C157" s="61">
        <f t="shared" si="26"/>
        <v>24259.202562453625</v>
      </c>
      <c r="D157" s="61">
        <f t="shared" si="27"/>
        <v>24259.202562453625</v>
      </c>
      <c r="E157" s="61">
        <f t="shared" si="28"/>
        <v>317235.72581670084</v>
      </c>
      <c r="F157">
        <f t="shared" si="29"/>
        <v>18560925</v>
      </c>
      <c r="H157" s="58">
        <v>153</v>
      </c>
      <c r="I157" s="61">
        <f t="shared" si="30"/>
        <v>85794.578927477676</v>
      </c>
      <c r="J157" s="61">
        <f t="shared" si="31"/>
        <v>60560.879242925432</v>
      </c>
      <c r="K157" s="61">
        <f t="shared" si="32"/>
        <v>923941.61921899125</v>
      </c>
      <c r="L157">
        <f t="shared" si="33"/>
        <v>38721076</v>
      </c>
      <c r="N157" s="58">
        <v>153</v>
      </c>
      <c r="O157" s="61">
        <f t="shared" si="34"/>
        <v>231212.74722921386</v>
      </c>
      <c r="P157" s="61">
        <f t="shared" si="35"/>
        <v>150654.45973306242</v>
      </c>
      <c r="Q157" s="61">
        <f t="shared" si="36"/>
        <v>2489983.4316992243</v>
      </c>
      <c r="R157">
        <f t="shared" si="37"/>
        <v>80377810</v>
      </c>
      <c r="S157">
        <f t="shared" si="38"/>
        <v>231212.74813000002</v>
      </c>
    </row>
    <row r="158" spans="2:19" x14ac:dyDescent="0.3">
      <c r="B158" s="58">
        <v>154</v>
      </c>
      <c r="C158" s="61">
        <f t="shared" si="26"/>
        <v>25108.274652139502</v>
      </c>
      <c r="D158" s="61">
        <f t="shared" si="27"/>
        <v>25108.274652139502</v>
      </c>
      <c r="E158" s="61">
        <f t="shared" si="28"/>
        <v>328338.97622028535</v>
      </c>
      <c r="F158">
        <f t="shared" si="29"/>
        <v>19214057</v>
      </c>
      <c r="H158" s="58">
        <v>154</v>
      </c>
      <c r="I158" s="61">
        <f t="shared" si="30"/>
        <v>89226.362084576787</v>
      </c>
      <c r="J158" s="61">
        <f t="shared" si="31"/>
        <v>62983.314412642452</v>
      </c>
      <c r="K158" s="61">
        <f t="shared" si="32"/>
        <v>960899.28398775088</v>
      </c>
      <c r="L158">
        <f t="shared" si="33"/>
        <v>40273919</v>
      </c>
      <c r="N158" s="58">
        <v>154</v>
      </c>
      <c r="O158" s="61">
        <f t="shared" si="34"/>
        <v>241617.32085452846</v>
      </c>
      <c r="P158" s="61">
        <f t="shared" si="35"/>
        <v>157433.91042105021</v>
      </c>
      <c r="Q158" s="61">
        <f t="shared" si="36"/>
        <v>2602032.6861256892</v>
      </c>
      <c r="R158">
        <f t="shared" si="37"/>
        <v>83999311</v>
      </c>
      <c r="S158">
        <f t="shared" si="38"/>
        <v>241617.32050300002</v>
      </c>
    </row>
    <row r="159" spans="2:19" x14ac:dyDescent="0.3">
      <c r="B159" s="58">
        <v>155</v>
      </c>
      <c r="C159" s="61">
        <f t="shared" si="26"/>
        <v>25987.064264964381</v>
      </c>
      <c r="D159" s="61">
        <f t="shared" si="27"/>
        <v>25987.064264964381</v>
      </c>
      <c r="E159" s="61">
        <f t="shared" si="28"/>
        <v>339830.8403879953</v>
      </c>
      <c r="F159">
        <f t="shared" si="29"/>
        <v>19890049</v>
      </c>
      <c r="H159" s="58">
        <v>155</v>
      </c>
      <c r="I159" s="61">
        <f t="shared" si="30"/>
        <v>92795.416567959866</v>
      </c>
      <c r="J159" s="61">
        <f t="shared" si="31"/>
        <v>65502.646989148154</v>
      </c>
      <c r="K159" s="61">
        <f t="shared" si="32"/>
        <v>999335.25534726097</v>
      </c>
      <c r="L159">
        <f t="shared" si="33"/>
        <v>41888876</v>
      </c>
      <c r="N159" s="58">
        <v>155</v>
      </c>
      <c r="O159" s="61">
        <f t="shared" si="34"/>
        <v>252490.10029298221</v>
      </c>
      <c r="P159" s="61">
        <f t="shared" si="35"/>
        <v>164518.43638999746</v>
      </c>
      <c r="Q159" s="61">
        <f t="shared" si="36"/>
        <v>2719124.157001345</v>
      </c>
      <c r="R159">
        <f t="shared" si="37"/>
        <v>87783780</v>
      </c>
      <c r="S159">
        <f t="shared" si="38"/>
        <v>252490.09994000001</v>
      </c>
    </row>
    <row r="160" spans="2:19" x14ac:dyDescent="0.3">
      <c r="B160" s="58">
        <v>156</v>
      </c>
      <c r="C160" s="61">
        <f t="shared" si="26"/>
        <v>26896.611514238131</v>
      </c>
      <c r="D160" s="61">
        <f t="shared" si="27"/>
        <v>26896.611514238131</v>
      </c>
      <c r="E160" s="61">
        <f t="shared" si="28"/>
        <v>351724.91980157513</v>
      </c>
      <c r="F160">
        <f t="shared" si="29"/>
        <v>20589701</v>
      </c>
      <c r="H160" s="58">
        <v>156</v>
      </c>
      <c r="I160" s="61">
        <f t="shared" si="30"/>
        <v>96507.233230678263</v>
      </c>
      <c r="J160" s="61">
        <f t="shared" si="31"/>
        <v>68122.752868714088</v>
      </c>
      <c r="K160" s="61">
        <f t="shared" si="32"/>
        <v>1039308.6655611515</v>
      </c>
      <c r="L160">
        <f t="shared" si="33"/>
        <v>43568431</v>
      </c>
      <c r="N160" s="58">
        <v>156</v>
      </c>
      <c r="O160" s="61">
        <f t="shared" si="34"/>
        <v>263852.15480616642</v>
      </c>
      <c r="P160" s="61">
        <f t="shared" si="35"/>
        <v>171921.76602754733</v>
      </c>
      <c r="Q160" s="61">
        <f t="shared" si="36"/>
        <v>2841484.7440664051</v>
      </c>
      <c r="R160">
        <f t="shared" si="37"/>
        <v>91738550</v>
      </c>
      <c r="S160">
        <f t="shared" si="38"/>
        <v>263852.15415000002</v>
      </c>
    </row>
    <row r="161" spans="2:19" x14ac:dyDescent="0.3">
      <c r="B161" s="58">
        <v>157</v>
      </c>
      <c r="C161" s="61">
        <f t="shared" si="26"/>
        <v>27837.992917236465</v>
      </c>
      <c r="D161" s="61">
        <f t="shared" si="27"/>
        <v>27837.992917236465</v>
      </c>
      <c r="E161" s="61">
        <f t="shared" si="28"/>
        <v>364035.29199463024</v>
      </c>
      <c r="F161">
        <f t="shared" si="29"/>
        <v>21313841</v>
      </c>
      <c r="H161" s="58">
        <v>157</v>
      </c>
      <c r="I161" s="61">
        <f t="shared" si="30"/>
        <v>100367.5225599054</v>
      </c>
      <c r="J161" s="61">
        <f t="shared" si="31"/>
        <v>70847.662983462651</v>
      </c>
      <c r="K161" s="61">
        <f t="shared" si="32"/>
        <v>1080881.0121835975</v>
      </c>
      <c r="L161">
        <f t="shared" si="33"/>
        <v>45315169</v>
      </c>
      <c r="N161" s="58">
        <v>157</v>
      </c>
      <c r="O161" s="61">
        <f t="shared" si="34"/>
        <v>275725.50177244388</v>
      </c>
      <c r="P161" s="61">
        <f t="shared" si="35"/>
        <v>179658.24549878694</v>
      </c>
      <c r="Q161" s="61">
        <f t="shared" si="36"/>
        <v>2969351.5575493933</v>
      </c>
      <c r="R161">
        <f t="shared" si="37"/>
        <v>95871285</v>
      </c>
      <c r="S161">
        <f t="shared" si="38"/>
        <v>275725.50180500001</v>
      </c>
    </row>
    <row r="162" spans="2:19" x14ac:dyDescent="0.3">
      <c r="B162" s="58">
        <v>158</v>
      </c>
      <c r="C162" s="61">
        <f t="shared" si="26"/>
        <v>28812.322669339737</v>
      </c>
      <c r="D162" s="61">
        <f t="shared" si="27"/>
        <v>28812.322669339737</v>
      </c>
      <c r="E162" s="61">
        <f t="shared" si="28"/>
        <v>376776.52721444226</v>
      </c>
      <c r="F162">
        <f t="shared" si="29"/>
        <v>22063325</v>
      </c>
      <c r="H162" s="58">
        <v>158</v>
      </c>
      <c r="I162" s="61">
        <f t="shared" si="30"/>
        <v>104382.22346230161</v>
      </c>
      <c r="J162" s="61">
        <f t="shared" si="31"/>
        <v>73681.569502801154</v>
      </c>
      <c r="K162" s="61">
        <f t="shared" si="32"/>
        <v>1124116.2526709414</v>
      </c>
      <c r="L162">
        <f t="shared" si="33"/>
        <v>47131775</v>
      </c>
      <c r="N162" s="58">
        <v>158</v>
      </c>
      <c r="O162" s="61">
        <f t="shared" si="34"/>
        <v>288133.14935220382</v>
      </c>
      <c r="P162" s="61">
        <f t="shared" si="35"/>
        <v>187742.86654623234</v>
      </c>
      <c r="Q162" s="61">
        <f t="shared" si="36"/>
        <v>3102972.3776391158</v>
      </c>
      <c r="R162">
        <f t="shared" si="37"/>
        <v>100189993</v>
      </c>
      <c r="S162">
        <f t="shared" si="38"/>
        <v>288133.14988900005</v>
      </c>
    </row>
    <row r="163" spans="2:19" x14ac:dyDescent="0.3">
      <c r="B163" s="58">
        <v>159</v>
      </c>
      <c r="C163" s="61">
        <f t="shared" si="26"/>
        <v>29820.753962766627</v>
      </c>
      <c r="D163" s="61">
        <f t="shared" si="27"/>
        <v>29820.753962766627</v>
      </c>
      <c r="E163" s="61">
        <f t="shared" si="28"/>
        <v>389963.7056669477</v>
      </c>
      <c r="F163">
        <f t="shared" si="29"/>
        <v>22839042</v>
      </c>
      <c r="H163" s="58">
        <v>159</v>
      </c>
      <c r="I163" s="61">
        <f t="shared" si="30"/>
        <v>108557.51240079368</v>
      </c>
      <c r="J163" s="61">
        <f t="shared" si="31"/>
        <v>76628.832282913208</v>
      </c>
      <c r="K163" s="61">
        <f t="shared" si="32"/>
        <v>1169080.9027777791</v>
      </c>
      <c r="L163">
        <f t="shared" si="33"/>
        <v>49021046</v>
      </c>
      <c r="N163" s="58">
        <v>159</v>
      </c>
      <c r="O163" s="61">
        <f t="shared" si="34"/>
        <v>301099.14107305295</v>
      </c>
      <c r="P163" s="61">
        <f t="shared" si="35"/>
        <v>196191.29554081277</v>
      </c>
      <c r="Q163" s="61">
        <f t="shared" si="36"/>
        <v>3242606.1346328757</v>
      </c>
      <c r="R163">
        <f t="shared" si="37"/>
        <v>104703042</v>
      </c>
      <c r="S163">
        <f t="shared" si="38"/>
        <v>301099.13966600003</v>
      </c>
    </row>
    <row r="164" spans="2:19" x14ac:dyDescent="0.3">
      <c r="B164" s="58">
        <v>160</v>
      </c>
      <c r="C164" s="61">
        <f t="shared" si="26"/>
        <v>30864.480351463455</v>
      </c>
      <c r="D164" s="61">
        <f t="shared" si="27"/>
        <v>30864.480351463455</v>
      </c>
      <c r="E164" s="61">
        <f t="shared" si="28"/>
        <v>403612.43536529085</v>
      </c>
      <c r="F164">
        <f t="shared" si="29"/>
        <v>23641908</v>
      </c>
      <c r="H164" s="58">
        <v>160</v>
      </c>
      <c r="I164" s="61">
        <f t="shared" si="30"/>
        <v>112899.81289682543</v>
      </c>
      <c r="J164" s="61">
        <f t="shared" si="31"/>
        <v>79693.985574229737</v>
      </c>
      <c r="K164" s="61">
        <f t="shared" si="32"/>
        <v>1215844.1388888904</v>
      </c>
      <c r="L164">
        <f t="shared" si="33"/>
        <v>50985888</v>
      </c>
      <c r="N164" s="58">
        <v>160</v>
      </c>
      <c r="O164" s="61">
        <f t="shared" si="34"/>
        <v>314648.6024213403</v>
      </c>
      <c r="P164" s="61">
        <f t="shared" si="35"/>
        <v>205019.90384014935</v>
      </c>
      <c r="Q164" s="61">
        <f t="shared" si="36"/>
        <v>3388523.4106913549</v>
      </c>
      <c r="R164">
        <f t="shared" si="37"/>
        <v>109419179</v>
      </c>
      <c r="S164">
        <f t="shared" si="38"/>
        <v>314648.60126700002</v>
      </c>
    </row>
    <row r="165" spans="2:19" x14ac:dyDescent="0.3">
      <c r="B165" s="58">
        <v>161</v>
      </c>
      <c r="C165" s="61">
        <f t="shared" si="26"/>
        <v>31944.737163764672</v>
      </c>
      <c r="D165" s="61">
        <f t="shared" si="27"/>
        <v>31944.737163764672</v>
      </c>
      <c r="E165" s="61">
        <f t="shared" si="28"/>
        <v>417738.87060307601</v>
      </c>
      <c r="F165">
        <f t="shared" si="29"/>
        <v>24472875</v>
      </c>
      <c r="H165" s="58">
        <v>161</v>
      </c>
      <c r="I165" s="61">
        <f t="shared" si="30"/>
        <v>117415.80541269845</v>
      </c>
      <c r="J165" s="61">
        <f t="shared" si="31"/>
        <v>82881.744997198926</v>
      </c>
      <c r="K165" s="61">
        <f t="shared" si="32"/>
        <v>1264477.9044444461</v>
      </c>
      <c r="L165">
        <f t="shared" si="33"/>
        <v>53029324</v>
      </c>
      <c r="N165" s="58">
        <v>161</v>
      </c>
      <c r="O165" s="61">
        <f t="shared" si="34"/>
        <v>328807.78953030059</v>
      </c>
      <c r="P165" s="61">
        <f t="shared" si="35"/>
        <v>214245.79951295606</v>
      </c>
      <c r="Q165" s="61">
        <f t="shared" si="36"/>
        <v>3541006.9641724657</v>
      </c>
      <c r="R165">
        <f t="shared" si="37"/>
        <v>114347542</v>
      </c>
      <c r="S165">
        <f t="shared" si="38"/>
        <v>328807.78816599998</v>
      </c>
    </row>
    <row r="166" spans="2:19" x14ac:dyDescent="0.3">
      <c r="B166" s="58">
        <v>162</v>
      </c>
      <c r="C166" s="61">
        <f t="shared" si="26"/>
        <v>33062.802964496434</v>
      </c>
      <c r="D166" s="61">
        <f t="shared" si="27"/>
        <v>33062.802964496434</v>
      </c>
      <c r="E166" s="61">
        <f t="shared" si="28"/>
        <v>432359.73107418366</v>
      </c>
      <c r="F166">
        <f t="shared" si="29"/>
        <v>25332925</v>
      </c>
      <c r="H166" s="58">
        <v>162</v>
      </c>
      <c r="I166" s="61">
        <f t="shared" si="30"/>
        <v>122112.4376292064</v>
      </c>
      <c r="J166" s="61">
        <f t="shared" si="31"/>
        <v>86197.014797086886</v>
      </c>
      <c r="K166" s="61">
        <f t="shared" si="32"/>
        <v>1315057.0206222241</v>
      </c>
      <c r="L166">
        <f t="shared" si="33"/>
        <v>55154497</v>
      </c>
      <c r="N166" s="58">
        <v>162</v>
      </c>
      <c r="O166" s="61">
        <f t="shared" si="34"/>
        <v>343604.14005916408</v>
      </c>
      <c r="P166" s="61">
        <f t="shared" si="35"/>
        <v>223886.86049103906</v>
      </c>
      <c r="Q166" s="61">
        <f t="shared" si="36"/>
        <v>3700352.2775602266</v>
      </c>
      <c r="R166">
        <f t="shared" si="37"/>
        <v>119497682</v>
      </c>
      <c r="S166">
        <f t="shared" si="38"/>
        <v>343604.14038600004</v>
      </c>
    </row>
    <row r="167" spans="2:19" x14ac:dyDescent="0.3">
      <c r="B167" s="58">
        <v>163</v>
      </c>
      <c r="C167" s="61">
        <f t="shared" si="26"/>
        <v>34220.001068253805</v>
      </c>
      <c r="D167" s="61">
        <f t="shared" si="27"/>
        <v>34220.001068253805</v>
      </c>
      <c r="E167" s="61">
        <f t="shared" si="28"/>
        <v>447492.32166178006</v>
      </c>
      <c r="F167">
        <f t="shared" si="29"/>
        <v>26223078</v>
      </c>
      <c r="H167" s="58">
        <v>163</v>
      </c>
      <c r="I167" s="61">
        <f t="shared" si="30"/>
        <v>126996.93513437465</v>
      </c>
      <c r="J167" s="61">
        <f t="shared" si="31"/>
        <v>89644.89538897037</v>
      </c>
      <c r="K167" s="61">
        <f t="shared" si="32"/>
        <v>1367659.301447113</v>
      </c>
      <c r="L167">
        <f t="shared" si="33"/>
        <v>57364677</v>
      </c>
      <c r="N167" s="58">
        <v>163</v>
      </c>
      <c r="O167" s="61">
        <f t="shared" si="34"/>
        <v>359066.32636182645</v>
      </c>
      <c r="P167" s="61">
        <f t="shared" si="35"/>
        <v>233961.76921313579</v>
      </c>
      <c r="Q167" s="61">
        <f t="shared" si="36"/>
        <v>3866868.1300504366</v>
      </c>
      <c r="R167">
        <f t="shared" si="37"/>
        <v>124879578</v>
      </c>
      <c r="S167">
        <f t="shared" si="38"/>
        <v>359066.32759399997</v>
      </c>
    </row>
    <row r="168" spans="2:19" x14ac:dyDescent="0.3">
      <c r="B168" s="58">
        <v>164</v>
      </c>
      <c r="C168" s="61">
        <f t="shared" si="26"/>
        <v>35417.701105642685</v>
      </c>
      <c r="D168" s="61">
        <f t="shared" si="27"/>
        <v>35417.701105642685</v>
      </c>
      <c r="E168" s="61">
        <f t="shared" si="28"/>
        <v>463154.5529199423</v>
      </c>
      <c r="F168">
        <f t="shared" si="29"/>
        <v>27144385</v>
      </c>
      <c r="H168" s="58">
        <v>164</v>
      </c>
      <c r="I168" s="61">
        <f t="shared" si="30"/>
        <v>132076.81253974963</v>
      </c>
      <c r="J168" s="61">
        <f t="shared" si="31"/>
        <v>93230.691204529183</v>
      </c>
      <c r="K168" s="61">
        <f t="shared" si="32"/>
        <v>1422365.6735049975</v>
      </c>
      <c r="L168">
        <f t="shared" si="33"/>
        <v>59663264</v>
      </c>
      <c r="N168" s="58">
        <v>164</v>
      </c>
      <c r="O168" s="61">
        <f t="shared" si="34"/>
        <v>375224.31104810862</v>
      </c>
      <c r="P168" s="61">
        <f t="shared" si="35"/>
        <v>244490.04882772689</v>
      </c>
      <c r="Q168" s="61">
        <f t="shared" si="36"/>
        <v>4040877.1959027061</v>
      </c>
      <c r="R168">
        <f t="shared" si="37"/>
        <v>130503659</v>
      </c>
      <c r="S168">
        <f t="shared" si="38"/>
        <v>375224.31230699999</v>
      </c>
    </row>
    <row r="169" spans="2:19" x14ac:dyDescent="0.3">
      <c r="B169" s="58">
        <v>165</v>
      </c>
      <c r="C169" s="61">
        <f t="shared" si="26"/>
        <v>36657.32064434018</v>
      </c>
      <c r="D169" s="61">
        <f t="shared" si="27"/>
        <v>36657.32064434018</v>
      </c>
      <c r="E169" s="61">
        <f t="shared" si="28"/>
        <v>479364.96227214026</v>
      </c>
      <c r="F169">
        <f t="shared" si="29"/>
        <v>28097939</v>
      </c>
      <c r="H169" s="58">
        <v>165</v>
      </c>
      <c r="I169" s="61">
        <f t="shared" si="30"/>
        <v>137359.88504133961</v>
      </c>
      <c r="J169" s="61">
        <f t="shared" si="31"/>
        <v>96959.918852710354</v>
      </c>
      <c r="K169" s="61">
        <f t="shared" si="32"/>
        <v>1479260.3004451974</v>
      </c>
      <c r="L169">
        <f t="shared" si="33"/>
        <v>62053794</v>
      </c>
      <c r="N169" s="58">
        <v>165</v>
      </c>
      <c r="O169" s="61">
        <f t="shared" si="34"/>
        <v>392109.40504527348</v>
      </c>
      <c r="P169" s="61">
        <f t="shared" si="35"/>
        <v>255492.10102497457</v>
      </c>
      <c r="Q169" s="61">
        <f t="shared" si="36"/>
        <v>4222716.6697183279</v>
      </c>
      <c r="R169">
        <f t="shared" si="37"/>
        <v>136380823</v>
      </c>
      <c r="S169">
        <f t="shared" si="38"/>
        <v>392109.40447900002</v>
      </c>
    </row>
    <row r="170" spans="2:19" x14ac:dyDescent="0.3">
      <c r="B170" s="58">
        <v>166</v>
      </c>
      <c r="C170" s="61">
        <f t="shared" si="26"/>
        <v>37940.326866892086</v>
      </c>
      <c r="D170" s="61">
        <f t="shared" si="27"/>
        <v>37940.326866892086</v>
      </c>
      <c r="E170" s="61">
        <f t="shared" si="28"/>
        <v>496142.73595166515</v>
      </c>
      <c r="F170">
        <f t="shared" si="29"/>
        <v>29084867</v>
      </c>
      <c r="H170" s="58">
        <v>166</v>
      </c>
      <c r="I170" s="61">
        <f t="shared" si="30"/>
        <v>142854.28044299321</v>
      </c>
      <c r="J170" s="61">
        <f t="shared" si="31"/>
        <v>100838.31560681877</v>
      </c>
      <c r="K170" s="61">
        <f t="shared" si="32"/>
        <v>1538430.7124630054</v>
      </c>
      <c r="L170">
        <f t="shared" si="33"/>
        <v>64539946</v>
      </c>
      <c r="N170" s="58">
        <v>166</v>
      </c>
      <c r="O170" s="61">
        <f t="shared" si="34"/>
        <v>409754.32827231078</v>
      </c>
      <c r="P170" s="61">
        <f t="shared" si="35"/>
        <v>266989.24557109841</v>
      </c>
      <c r="Q170" s="61">
        <f t="shared" si="36"/>
        <v>4412738.9198556524</v>
      </c>
      <c r="R170">
        <f t="shared" si="37"/>
        <v>142522460</v>
      </c>
      <c r="S170">
        <f t="shared" si="38"/>
        <v>409754.32758000004</v>
      </c>
    </row>
    <row r="171" spans="2:19" x14ac:dyDescent="0.3">
      <c r="B171" s="58">
        <v>167</v>
      </c>
      <c r="C171" s="61">
        <f t="shared" si="26"/>
        <v>39268.238307233303</v>
      </c>
      <c r="D171" s="61">
        <f t="shared" si="27"/>
        <v>39268.238307233303</v>
      </c>
      <c r="E171" s="61">
        <f t="shared" si="28"/>
        <v>513507.73170997336</v>
      </c>
      <c r="F171">
        <f t="shared" si="29"/>
        <v>30106337</v>
      </c>
      <c r="H171" s="58">
        <v>167</v>
      </c>
      <c r="I171" s="61">
        <f t="shared" si="30"/>
        <v>148568.45166071295</v>
      </c>
      <c r="J171" s="61">
        <f t="shared" si="31"/>
        <v>104871.84823109153</v>
      </c>
      <c r="K171" s="61">
        <f t="shared" si="32"/>
        <v>1599967.9409615258</v>
      </c>
      <c r="L171">
        <f t="shared" si="33"/>
        <v>67125544</v>
      </c>
      <c r="N171" s="58">
        <v>167</v>
      </c>
      <c r="O171" s="61">
        <f t="shared" si="34"/>
        <v>428193.27304456476</v>
      </c>
      <c r="P171" s="61">
        <f t="shared" si="35"/>
        <v>279003.76162179781</v>
      </c>
      <c r="Q171" s="61">
        <f t="shared" si="36"/>
        <v>4611312.1712491568</v>
      </c>
      <c r="R171">
        <f t="shared" si="37"/>
        <v>148940471</v>
      </c>
      <c r="S171">
        <f t="shared" si="38"/>
        <v>428193.27318300004</v>
      </c>
    </row>
    <row r="172" spans="2:19" x14ac:dyDescent="0.3">
      <c r="B172" s="58">
        <v>168</v>
      </c>
      <c r="C172" s="61">
        <f t="shared" si="26"/>
        <v>40642.626647986464</v>
      </c>
      <c r="D172" s="61">
        <f t="shared" si="27"/>
        <v>40642.626647986464</v>
      </c>
      <c r="E172" s="61">
        <f t="shared" si="28"/>
        <v>531480.50231982244</v>
      </c>
      <c r="F172">
        <f t="shared" si="29"/>
        <v>31163559</v>
      </c>
      <c r="H172" s="58">
        <v>168</v>
      </c>
      <c r="I172" s="61">
        <f t="shared" si="30"/>
        <v>154511.18972714146</v>
      </c>
      <c r="J172" s="61">
        <f t="shared" si="31"/>
        <v>109066.72216033519</v>
      </c>
      <c r="K172" s="61">
        <f t="shared" si="32"/>
        <v>1663966.6585999869</v>
      </c>
      <c r="L172">
        <f t="shared" si="33"/>
        <v>69814565</v>
      </c>
      <c r="N172" s="58">
        <v>168</v>
      </c>
      <c r="O172" s="61">
        <f t="shared" si="34"/>
        <v>447461.97033157013</v>
      </c>
      <c r="P172" s="61">
        <f t="shared" si="35"/>
        <v>291558.93089477869</v>
      </c>
      <c r="Q172" s="61">
        <f t="shared" si="36"/>
        <v>4818821.2189553687</v>
      </c>
      <c r="R172">
        <f t="shared" si="37"/>
        <v>155647292</v>
      </c>
      <c r="S172">
        <f t="shared" si="38"/>
        <v>447461.96991599997</v>
      </c>
    </row>
    <row r="173" spans="2:19" x14ac:dyDescent="0.3">
      <c r="B173" s="58">
        <v>169</v>
      </c>
      <c r="C173" s="61">
        <f t="shared" si="26"/>
        <v>42065.118580665985</v>
      </c>
      <c r="D173" s="61">
        <f t="shared" si="27"/>
        <v>42065.118580665985</v>
      </c>
      <c r="E173" s="61">
        <f t="shared" si="28"/>
        <v>550082.31990101619</v>
      </c>
      <c r="F173">
        <f t="shared" si="29"/>
        <v>32257784</v>
      </c>
      <c r="H173" s="58">
        <v>169</v>
      </c>
      <c r="I173" s="61">
        <f t="shared" si="30"/>
        <v>160691.63731622713</v>
      </c>
      <c r="J173" s="61">
        <f t="shared" si="31"/>
        <v>113429.3910467486</v>
      </c>
      <c r="K173" s="61">
        <f t="shared" si="32"/>
        <v>1730525.3249439865</v>
      </c>
      <c r="L173">
        <f t="shared" si="33"/>
        <v>72611148</v>
      </c>
      <c r="N173" s="58">
        <v>169</v>
      </c>
      <c r="O173" s="61">
        <f t="shared" si="34"/>
        <v>467597.75899649074</v>
      </c>
      <c r="P173" s="61">
        <f t="shared" si="35"/>
        <v>304679.08278504369</v>
      </c>
      <c r="Q173" s="61">
        <f t="shared" si="36"/>
        <v>5035668.1738083595</v>
      </c>
      <c r="R173">
        <f t="shared" si="37"/>
        <v>162655920</v>
      </c>
      <c r="S173">
        <f t="shared" si="38"/>
        <v>467597.75815999997</v>
      </c>
    </row>
    <row r="174" spans="2:19" x14ac:dyDescent="0.3">
      <c r="B174" s="58">
        <v>170</v>
      </c>
      <c r="C174" s="61">
        <f t="shared" si="26"/>
        <v>43537.397730989294</v>
      </c>
      <c r="D174" s="61">
        <f t="shared" si="27"/>
        <v>43537.397730989294</v>
      </c>
      <c r="E174" s="61">
        <f t="shared" si="28"/>
        <v>569335.20109755173</v>
      </c>
      <c r="F174">
        <f t="shared" si="29"/>
        <v>33390306</v>
      </c>
      <c r="H174" s="58">
        <v>170</v>
      </c>
      <c r="I174" s="61">
        <f t="shared" si="30"/>
        <v>167119.30280887624</v>
      </c>
      <c r="J174" s="61">
        <f t="shared" si="31"/>
        <v>117966.56668861855</v>
      </c>
      <c r="K174" s="61">
        <f t="shared" si="32"/>
        <v>1799746.337941746</v>
      </c>
      <c r="L174">
        <f t="shared" si="33"/>
        <v>75519594</v>
      </c>
      <c r="N174" s="58">
        <v>170</v>
      </c>
      <c r="O174" s="61">
        <f t="shared" si="34"/>
        <v>488639.65815133281</v>
      </c>
      <c r="P174" s="61">
        <f t="shared" si="35"/>
        <v>318389.64151037065</v>
      </c>
      <c r="Q174" s="61">
        <f t="shared" si="36"/>
        <v>5262273.2416297356</v>
      </c>
      <c r="R174">
        <f t="shared" si="37"/>
        <v>169979937</v>
      </c>
      <c r="S174">
        <f t="shared" si="38"/>
        <v>488639.65900099999</v>
      </c>
    </row>
    <row r="175" spans="2:19" x14ac:dyDescent="0.3">
      <c r="B175" s="58">
        <v>171</v>
      </c>
      <c r="C175" s="61">
        <f t="shared" si="26"/>
        <v>45061.206651573913</v>
      </c>
      <c r="D175" s="61">
        <f t="shared" si="27"/>
        <v>45061.206651573913</v>
      </c>
      <c r="E175" s="61">
        <f t="shared" si="28"/>
        <v>589261.93313596596</v>
      </c>
      <c r="F175">
        <f t="shared" si="29"/>
        <v>34562467</v>
      </c>
      <c r="H175" s="58">
        <v>171</v>
      </c>
      <c r="I175" s="61">
        <f t="shared" si="30"/>
        <v>173804.07492123128</v>
      </c>
      <c r="J175" s="61">
        <f t="shared" si="31"/>
        <v>122685.2293561633</v>
      </c>
      <c r="K175" s="61">
        <f t="shared" si="32"/>
        <v>1871736.1914594159</v>
      </c>
      <c r="L175">
        <f t="shared" si="33"/>
        <v>78544378</v>
      </c>
      <c r="N175" s="58">
        <v>171</v>
      </c>
      <c r="O175" s="61">
        <f t="shared" si="34"/>
        <v>510628.44276814273</v>
      </c>
      <c r="P175" s="61">
        <f t="shared" si="35"/>
        <v>332717.17537833733</v>
      </c>
      <c r="Q175" s="61">
        <f t="shared" si="36"/>
        <v>5499075.537503073</v>
      </c>
      <c r="R175">
        <f t="shared" si="37"/>
        <v>177633534</v>
      </c>
      <c r="S175">
        <f t="shared" si="38"/>
        <v>510628.44318200002</v>
      </c>
    </row>
    <row r="176" spans="2:19" x14ac:dyDescent="0.3">
      <c r="B176" s="58">
        <v>172</v>
      </c>
      <c r="C176" s="61">
        <f t="shared" si="26"/>
        <v>46638.348884378996</v>
      </c>
      <c r="D176" s="61">
        <f t="shared" si="27"/>
        <v>46638.348884378996</v>
      </c>
      <c r="E176" s="61">
        <f t="shared" si="28"/>
        <v>609886.10079572466</v>
      </c>
      <c r="F176">
        <f t="shared" si="29"/>
        <v>35775653</v>
      </c>
      <c r="H176" s="58">
        <v>172</v>
      </c>
      <c r="I176" s="61">
        <f t="shared" si="30"/>
        <v>180756.23791808053</v>
      </c>
      <c r="J176" s="61">
        <f t="shared" si="31"/>
        <v>127592.63853040984</v>
      </c>
      <c r="K176" s="61">
        <f t="shared" si="32"/>
        <v>1946605.6391177927</v>
      </c>
      <c r="L176">
        <f t="shared" si="33"/>
        <v>81690153</v>
      </c>
      <c r="N176" s="58">
        <v>172</v>
      </c>
      <c r="O176" s="61">
        <f t="shared" si="34"/>
        <v>533606.72269270907</v>
      </c>
      <c r="P176" s="61">
        <f t="shared" si="35"/>
        <v>347689.44827036251</v>
      </c>
      <c r="Q176" s="61">
        <f t="shared" si="36"/>
        <v>5746533.9366907105</v>
      </c>
      <c r="R176">
        <f t="shared" si="37"/>
        <v>185631543</v>
      </c>
      <c r="S176">
        <f t="shared" si="38"/>
        <v>533606.72303900006</v>
      </c>
    </row>
    <row r="177" spans="2:19" x14ac:dyDescent="0.3">
      <c r="B177" s="58">
        <v>173</v>
      </c>
      <c r="C177" s="61">
        <f t="shared" si="26"/>
        <v>48270.691095332259</v>
      </c>
      <c r="D177" s="61">
        <f t="shared" si="27"/>
        <v>48270.691095332259</v>
      </c>
      <c r="E177" s="61">
        <f t="shared" si="28"/>
        <v>631232.11432357493</v>
      </c>
      <c r="F177">
        <f t="shared" si="29"/>
        <v>37031301</v>
      </c>
      <c r="H177" s="58">
        <v>173</v>
      </c>
      <c r="I177" s="61">
        <f t="shared" si="30"/>
        <v>187986.48743480377</v>
      </c>
      <c r="J177" s="61">
        <f t="shared" si="31"/>
        <v>132696.34407162623</v>
      </c>
      <c r="K177" s="61">
        <f t="shared" si="32"/>
        <v>2024469.8646825044</v>
      </c>
      <c r="L177">
        <f t="shared" si="33"/>
        <v>84961759</v>
      </c>
      <c r="N177" s="58">
        <v>173</v>
      </c>
      <c r="O177" s="61">
        <f t="shared" si="34"/>
        <v>557619.02521388093</v>
      </c>
      <c r="P177" s="61">
        <f t="shared" si="35"/>
        <v>363335.4734425288</v>
      </c>
      <c r="Q177" s="61">
        <f t="shared" si="36"/>
        <v>6005127.9638417922</v>
      </c>
      <c r="R177">
        <f t="shared" si="37"/>
        <v>193989462</v>
      </c>
      <c r="S177">
        <f t="shared" si="38"/>
        <v>557619.02432600001</v>
      </c>
    </row>
    <row r="178" spans="2:19" x14ac:dyDescent="0.3">
      <c r="B178" s="58">
        <v>174</v>
      </c>
      <c r="C178" s="61">
        <f t="shared" si="26"/>
        <v>49960.165283668881</v>
      </c>
      <c r="D178" s="61">
        <f t="shared" si="27"/>
        <v>49960.165283668881</v>
      </c>
      <c r="E178" s="61">
        <f t="shared" si="28"/>
        <v>653325.23832490004</v>
      </c>
      <c r="F178">
        <f t="shared" si="29"/>
        <v>38330896</v>
      </c>
      <c r="H178" s="58">
        <v>174</v>
      </c>
      <c r="I178" s="61">
        <f t="shared" si="30"/>
        <v>195505.94693219592</v>
      </c>
      <c r="J178" s="61">
        <f t="shared" si="31"/>
        <v>138004.19783449129</v>
      </c>
      <c r="K178" s="61">
        <f t="shared" si="32"/>
        <v>2105448.6592698046</v>
      </c>
      <c r="L178">
        <f t="shared" si="33"/>
        <v>88364229</v>
      </c>
      <c r="N178" s="58">
        <v>174</v>
      </c>
      <c r="O178" s="61">
        <f t="shared" si="34"/>
        <v>582711.8813485055</v>
      </c>
      <c r="P178" s="61">
        <f t="shared" si="35"/>
        <v>379685.56974744255</v>
      </c>
      <c r="Q178" s="61">
        <f t="shared" si="36"/>
        <v>6275358.7222146727</v>
      </c>
      <c r="R178">
        <f t="shared" si="37"/>
        <v>202723488</v>
      </c>
      <c r="S178">
        <f t="shared" si="38"/>
        <v>582711.881024</v>
      </c>
    </row>
    <row r="179" spans="2:19" x14ac:dyDescent="0.3">
      <c r="B179" s="58">
        <v>175</v>
      </c>
      <c r="C179" s="61">
        <f t="shared" si="26"/>
        <v>51708.771068597285</v>
      </c>
      <c r="D179" s="61">
        <f t="shared" si="27"/>
        <v>51708.771068597285</v>
      </c>
      <c r="E179" s="61">
        <f t="shared" si="28"/>
        <v>676191.62166627147</v>
      </c>
      <c r="F179">
        <f t="shared" si="29"/>
        <v>39675978</v>
      </c>
      <c r="H179" s="58">
        <v>175</v>
      </c>
      <c r="I179" s="61">
        <f t="shared" si="30"/>
        <v>203326.18480948376</v>
      </c>
      <c r="J179" s="61">
        <f t="shared" si="31"/>
        <v>143524.36574787094</v>
      </c>
      <c r="K179" s="61">
        <f t="shared" si="32"/>
        <v>2189666.6056405967</v>
      </c>
      <c r="L179">
        <f t="shared" si="33"/>
        <v>91902799</v>
      </c>
      <c r="N179" s="58">
        <v>175</v>
      </c>
      <c r="O179" s="61">
        <f t="shared" si="34"/>
        <v>608933.91600918816</v>
      </c>
      <c r="P179" s="61">
        <f t="shared" si="35"/>
        <v>396771.42038607743</v>
      </c>
      <c r="Q179" s="61">
        <f t="shared" si="36"/>
        <v>6557749.8647143329</v>
      </c>
      <c r="R179">
        <f t="shared" si="37"/>
        <v>211850545</v>
      </c>
      <c r="S179">
        <f t="shared" si="38"/>
        <v>608933.91578500008</v>
      </c>
    </row>
    <row r="180" spans="2:19" x14ac:dyDescent="0.3">
      <c r="B180" s="58">
        <v>176</v>
      </c>
      <c r="C180" s="61">
        <f t="shared" si="26"/>
        <v>53518.578055998187</v>
      </c>
      <c r="D180" s="61">
        <f t="shared" si="27"/>
        <v>53518.578055998187</v>
      </c>
      <c r="E180" s="61">
        <f t="shared" si="28"/>
        <v>699858.32842459087</v>
      </c>
      <c r="F180">
        <f t="shared" si="29"/>
        <v>41068137</v>
      </c>
      <c r="H180" s="58">
        <v>176</v>
      </c>
      <c r="I180" s="61">
        <f t="shared" si="30"/>
        <v>211459.23220186311</v>
      </c>
      <c r="J180" s="61">
        <f t="shared" si="31"/>
        <v>149265.34037778579</v>
      </c>
      <c r="K180" s="61">
        <f t="shared" si="32"/>
        <v>2277253.2698662207</v>
      </c>
      <c r="L180">
        <f t="shared" si="33"/>
        <v>95582910</v>
      </c>
      <c r="N180" s="58">
        <v>176</v>
      </c>
      <c r="O180" s="61">
        <f t="shared" si="34"/>
        <v>636335.94222960155</v>
      </c>
      <c r="P180" s="61">
        <f t="shared" si="35"/>
        <v>414626.13430345088</v>
      </c>
      <c r="Q180" s="61">
        <f t="shared" si="36"/>
        <v>6852848.6086264774</v>
      </c>
      <c r="R180">
        <f t="shared" si="37"/>
        <v>221388320</v>
      </c>
      <c r="S180">
        <f t="shared" si="38"/>
        <v>636335.94336000003</v>
      </c>
    </row>
    <row r="181" spans="2:19" x14ac:dyDescent="0.3">
      <c r="B181" s="58">
        <v>177</v>
      </c>
      <c r="C181" s="61">
        <f t="shared" si="26"/>
        <v>55391.728287958118</v>
      </c>
      <c r="D181" s="61">
        <f t="shared" si="27"/>
        <v>55391.728287958118</v>
      </c>
      <c r="E181" s="61">
        <f t="shared" si="28"/>
        <v>724353.36991945154</v>
      </c>
      <c r="F181">
        <f t="shared" si="29"/>
        <v>42509022</v>
      </c>
      <c r="H181" s="58">
        <v>177</v>
      </c>
      <c r="I181" s="61">
        <f t="shared" si="30"/>
        <v>219917.60148993763</v>
      </c>
      <c r="J181" s="61">
        <f t="shared" si="31"/>
        <v>155235.95399289724</v>
      </c>
      <c r="K181" s="61">
        <f t="shared" si="32"/>
        <v>2368343.4006608697</v>
      </c>
      <c r="L181">
        <f t="shared" si="33"/>
        <v>99410227</v>
      </c>
      <c r="N181" s="58">
        <v>177</v>
      </c>
      <c r="O181" s="61">
        <f t="shared" si="34"/>
        <v>664971.05962993356</v>
      </c>
      <c r="P181" s="61">
        <f t="shared" si="35"/>
        <v>433284.31034710613</v>
      </c>
      <c r="Q181" s="61">
        <f t="shared" si="36"/>
        <v>7161226.7960146684</v>
      </c>
      <c r="R181">
        <f t="shared" si="37"/>
        <v>231355294</v>
      </c>
      <c r="S181">
        <f t="shared" si="38"/>
        <v>664971.05966200004</v>
      </c>
    </row>
    <row r="182" spans="2:19" x14ac:dyDescent="0.3">
      <c r="B182" s="58">
        <v>178</v>
      </c>
      <c r="C182" s="61">
        <f t="shared" si="26"/>
        <v>57330.438778036645</v>
      </c>
      <c r="D182" s="61">
        <f t="shared" si="27"/>
        <v>57330.438778036645</v>
      </c>
      <c r="E182" s="61">
        <f t="shared" si="28"/>
        <v>749705.73786663229</v>
      </c>
      <c r="F182">
        <f t="shared" si="29"/>
        <v>44000338</v>
      </c>
      <c r="H182" s="58">
        <v>178</v>
      </c>
      <c r="I182" s="61">
        <f t="shared" si="30"/>
        <v>228714.30554953514</v>
      </c>
      <c r="J182" s="61">
        <f t="shared" si="31"/>
        <v>161445.39215261315</v>
      </c>
      <c r="K182" s="61">
        <f t="shared" si="32"/>
        <v>2463077.1366873044</v>
      </c>
      <c r="L182">
        <f t="shared" si="33"/>
        <v>103390636</v>
      </c>
      <c r="N182" s="58">
        <v>178</v>
      </c>
      <c r="O182" s="61">
        <f t="shared" si="34"/>
        <v>694894.75731328048</v>
      </c>
      <c r="P182" s="61">
        <f t="shared" si="35"/>
        <v>452782.10431272589</v>
      </c>
      <c r="Q182" s="61">
        <f t="shared" si="36"/>
        <v>7483482.0018353276</v>
      </c>
      <c r="R182">
        <f t="shared" si="37"/>
        <v>241770782</v>
      </c>
      <c r="S182">
        <f t="shared" si="38"/>
        <v>694894.75668600004</v>
      </c>
    </row>
    <row r="183" spans="2:19" x14ac:dyDescent="0.3">
      <c r="B183" s="58">
        <v>179</v>
      </c>
      <c r="C183" s="61">
        <f t="shared" si="26"/>
        <v>59337.004135267925</v>
      </c>
      <c r="D183" s="61">
        <f t="shared" si="27"/>
        <v>59337.004135267925</v>
      </c>
      <c r="E183" s="61">
        <f t="shared" si="28"/>
        <v>775945.43869196437</v>
      </c>
      <c r="F183">
        <f t="shared" si="29"/>
        <v>45543849</v>
      </c>
      <c r="H183" s="58">
        <v>179</v>
      </c>
      <c r="I183" s="61">
        <f t="shared" si="30"/>
        <v>237862.87777151656</v>
      </c>
      <c r="J183" s="61">
        <f t="shared" si="31"/>
        <v>167903.20783871767</v>
      </c>
      <c r="K183" s="61">
        <f t="shared" si="32"/>
        <v>2561600.2221547966</v>
      </c>
      <c r="L183">
        <f t="shared" si="33"/>
        <v>107530261</v>
      </c>
      <c r="N183" s="58">
        <v>179</v>
      </c>
      <c r="O183" s="61">
        <f t="shared" si="34"/>
        <v>726165.02139237802</v>
      </c>
      <c r="P183" s="61">
        <f t="shared" si="35"/>
        <v>473157.29900679854</v>
      </c>
      <c r="Q183" s="61">
        <f t="shared" si="36"/>
        <v>7820238.6919179168</v>
      </c>
      <c r="R183">
        <f t="shared" si="37"/>
        <v>252654967</v>
      </c>
      <c r="S183">
        <f t="shared" si="38"/>
        <v>726165.02019099996</v>
      </c>
    </row>
    <row r="184" spans="2:19" x14ac:dyDescent="0.3">
      <c r="B184" s="58">
        <v>180</v>
      </c>
      <c r="C184" s="61">
        <f t="shared" si="26"/>
        <v>61413.799280002298</v>
      </c>
      <c r="D184" s="61">
        <f t="shared" si="27"/>
        <v>61413.799280002298</v>
      </c>
      <c r="E184" s="61">
        <f t="shared" si="28"/>
        <v>803103.5290461831</v>
      </c>
      <c r="F184">
        <f t="shared" si="29"/>
        <v>47141384</v>
      </c>
      <c r="H184" s="58">
        <v>180</v>
      </c>
      <c r="I184" s="61">
        <f t="shared" si="30"/>
        <v>247377.39288237723</v>
      </c>
      <c r="J184" s="61">
        <f t="shared" si="31"/>
        <v>174619.33615226639</v>
      </c>
      <c r="K184" s="61">
        <f t="shared" si="32"/>
        <v>2664064.2310409886</v>
      </c>
      <c r="L184">
        <f t="shared" si="33"/>
        <v>111835472</v>
      </c>
      <c r="N184" s="58">
        <v>180</v>
      </c>
      <c r="O184" s="61">
        <f t="shared" si="34"/>
        <v>758842.44735503499</v>
      </c>
      <c r="P184" s="61">
        <f t="shared" si="35"/>
        <v>494449.37746210443</v>
      </c>
      <c r="Q184" s="61">
        <f t="shared" si="36"/>
        <v>8172149.4330542227</v>
      </c>
      <c r="R184">
        <f t="shared" si="37"/>
        <v>264028941</v>
      </c>
      <c r="S184">
        <f t="shared" si="38"/>
        <v>758842.44749299996</v>
      </c>
    </row>
    <row r="185" spans="2:19" x14ac:dyDescent="0.3">
      <c r="B185" s="58">
        <v>181</v>
      </c>
      <c r="C185" s="61">
        <f t="shared" si="26"/>
        <v>63563.282254802376</v>
      </c>
      <c r="D185" s="61">
        <f t="shared" si="27"/>
        <v>63563.282254802376</v>
      </c>
      <c r="E185" s="61">
        <f t="shared" si="28"/>
        <v>831212.1525627994</v>
      </c>
      <c r="F185">
        <f t="shared" si="29"/>
        <v>48794833</v>
      </c>
      <c r="H185" s="58">
        <v>181</v>
      </c>
      <c r="I185" s="61">
        <f t="shared" si="30"/>
        <v>257272.48859767232</v>
      </c>
      <c r="J185" s="61">
        <f t="shared" si="31"/>
        <v>181604.10959835706</v>
      </c>
      <c r="K185" s="61">
        <f t="shared" si="32"/>
        <v>2770626.8002826283</v>
      </c>
      <c r="L185">
        <f t="shared" si="33"/>
        <v>116312891</v>
      </c>
      <c r="N185" s="58">
        <v>181</v>
      </c>
      <c r="O185" s="61">
        <f t="shared" si="34"/>
        <v>792990.35748601146</v>
      </c>
      <c r="P185" s="61">
        <f t="shared" si="35"/>
        <v>516699.59944789909</v>
      </c>
      <c r="Q185" s="61">
        <f t="shared" si="36"/>
        <v>8539896.1575416625</v>
      </c>
      <c r="R185">
        <f t="shared" si="37"/>
        <v>275914743</v>
      </c>
      <c r="S185">
        <f t="shared" si="38"/>
        <v>792990.35663900001</v>
      </c>
    </row>
    <row r="186" spans="2:19" x14ac:dyDescent="0.3">
      <c r="B186" s="58">
        <v>182</v>
      </c>
      <c r="C186" s="61">
        <f t="shared" si="26"/>
        <v>65787.997133720448</v>
      </c>
      <c r="D186" s="61">
        <f t="shared" si="27"/>
        <v>65787.997133720448</v>
      </c>
      <c r="E186" s="61">
        <f t="shared" si="28"/>
        <v>860304.57790249726</v>
      </c>
      <c r="F186">
        <f t="shared" si="29"/>
        <v>50506152</v>
      </c>
      <c r="H186" s="58">
        <v>182</v>
      </c>
      <c r="I186" s="61">
        <f t="shared" si="30"/>
        <v>267563.38814157923</v>
      </c>
      <c r="J186" s="61">
        <f t="shared" si="31"/>
        <v>188868.27398229134</v>
      </c>
      <c r="K186" s="61">
        <f t="shared" si="32"/>
        <v>2881451.8722939333</v>
      </c>
      <c r="L186">
        <f t="shared" si="33"/>
        <v>120969406</v>
      </c>
      <c r="N186" s="58">
        <v>182</v>
      </c>
      <c r="O186" s="61">
        <f t="shared" si="34"/>
        <v>828674.92357288196</v>
      </c>
      <c r="P186" s="61">
        <f t="shared" si="35"/>
        <v>539951.08142305457</v>
      </c>
      <c r="Q186" s="61">
        <f t="shared" si="36"/>
        <v>8924191.4846310373</v>
      </c>
      <c r="R186">
        <f t="shared" si="37"/>
        <v>288335407</v>
      </c>
      <c r="S186">
        <f t="shared" si="38"/>
        <v>828674.92431100004</v>
      </c>
    </row>
    <row r="187" spans="2:19" x14ac:dyDescent="0.3">
      <c r="B187" s="58">
        <v>183</v>
      </c>
      <c r="C187" s="61">
        <f t="shared" si="26"/>
        <v>68090.577033400652</v>
      </c>
      <c r="D187" s="61">
        <f t="shared" si="27"/>
        <v>68090.577033400652</v>
      </c>
      <c r="E187" s="61">
        <f t="shared" si="28"/>
        <v>890415.23812908458</v>
      </c>
      <c r="F187">
        <f t="shared" si="29"/>
        <v>52277367</v>
      </c>
      <c r="H187" s="58">
        <v>183</v>
      </c>
      <c r="I187" s="61">
        <f t="shared" si="30"/>
        <v>278265.9236672424</v>
      </c>
      <c r="J187" s="61">
        <f t="shared" si="31"/>
        <v>196423.004941583</v>
      </c>
      <c r="K187" s="61">
        <f t="shared" si="32"/>
        <v>2996709.9471856905</v>
      </c>
      <c r="L187">
        <f t="shared" si="33"/>
        <v>125812183</v>
      </c>
      <c r="N187" s="58">
        <v>183</v>
      </c>
      <c r="O187" s="61">
        <f t="shared" si="34"/>
        <v>865965.2951336616</v>
      </c>
      <c r="P187" s="61">
        <f t="shared" si="35"/>
        <v>564248.88008709194</v>
      </c>
      <c r="Q187" s="61">
        <f t="shared" si="36"/>
        <v>9325780.1014394332</v>
      </c>
      <c r="R187">
        <f t="shared" si="37"/>
        <v>301315000</v>
      </c>
      <c r="S187">
        <f t="shared" si="38"/>
        <v>865965.29500000004</v>
      </c>
    </row>
    <row r="188" spans="2:19" x14ac:dyDescent="0.3">
      <c r="B188" s="58">
        <v>184</v>
      </c>
      <c r="C188" s="61">
        <f t="shared" si="26"/>
        <v>70473.747229569664</v>
      </c>
      <c r="D188" s="61">
        <f t="shared" si="27"/>
        <v>70473.747229569664</v>
      </c>
      <c r="E188" s="61">
        <f t="shared" si="28"/>
        <v>921579.77146360243</v>
      </c>
      <c r="F188">
        <f t="shared" si="29"/>
        <v>54110575</v>
      </c>
      <c r="H188" s="58">
        <v>184</v>
      </c>
      <c r="I188" s="61">
        <f t="shared" si="30"/>
        <v>289396.56061393209</v>
      </c>
      <c r="J188" s="61">
        <f t="shared" si="31"/>
        <v>204279.92513924633</v>
      </c>
      <c r="K188" s="61">
        <f t="shared" si="32"/>
        <v>3116578.3450731183</v>
      </c>
      <c r="L188">
        <f t="shared" si="33"/>
        <v>130848670</v>
      </c>
      <c r="N188" s="58">
        <v>184</v>
      </c>
      <c r="O188" s="61">
        <f t="shared" si="34"/>
        <v>904933.73341467627</v>
      </c>
      <c r="P188" s="61">
        <f t="shared" si="35"/>
        <v>589640.07969101099</v>
      </c>
      <c r="Q188" s="61">
        <f t="shared" si="36"/>
        <v>9745440.2060042061</v>
      </c>
      <c r="R188">
        <f t="shared" si="37"/>
        <v>314878675</v>
      </c>
      <c r="S188">
        <f t="shared" si="38"/>
        <v>904933.73327500012</v>
      </c>
    </row>
    <row r="189" spans="2:19" x14ac:dyDescent="0.3">
      <c r="B189" s="58">
        <v>185</v>
      </c>
      <c r="C189" s="61">
        <f t="shared" si="26"/>
        <v>72940.328382604595</v>
      </c>
      <c r="D189" s="61">
        <f t="shared" si="27"/>
        <v>72940.328382604595</v>
      </c>
      <c r="E189" s="61">
        <f t="shared" si="28"/>
        <v>953835.06346482842</v>
      </c>
      <c r="F189">
        <f t="shared" si="29"/>
        <v>56007945</v>
      </c>
      <c r="H189" s="58">
        <v>185</v>
      </c>
      <c r="I189" s="61">
        <f t="shared" si="30"/>
        <v>300972.42303848936</v>
      </c>
      <c r="J189" s="61">
        <f t="shared" si="31"/>
        <v>212451.12214481618</v>
      </c>
      <c r="K189" s="61">
        <f t="shared" si="32"/>
        <v>3241241.4788760431</v>
      </c>
      <c r="L189">
        <f t="shared" si="33"/>
        <v>136086617</v>
      </c>
      <c r="N189" s="58">
        <v>185</v>
      </c>
      <c r="O189" s="61">
        <f t="shared" si="34"/>
        <v>945655.75141833664</v>
      </c>
      <c r="P189" s="61">
        <f t="shared" si="35"/>
        <v>616173.88327710645</v>
      </c>
      <c r="Q189" s="61">
        <f t="shared" si="36"/>
        <v>10183985.015274394</v>
      </c>
      <c r="R189">
        <f t="shared" si="37"/>
        <v>329052715</v>
      </c>
      <c r="S189">
        <f t="shared" si="38"/>
        <v>945655.75019499997</v>
      </c>
    </row>
    <row r="190" spans="2:19" x14ac:dyDescent="0.3">
      <c r="B190" s="58">
        <v>186</v>
      </c>
      <c r="C190" s="61">
        <f t="shared" si="26"/>
        <v>75493.239875995743</v>
      </c>
      <c r="D190" s="61">
        <f t="shared" si="27"/>
        <v>75493.239875995743</v>
      </c>
      <c r="E190" s="61">
        <f t="shared" si="28"/>
        <v>987219.29068609735</v>
      </c>
      <c r="F190">
        <f t="shared" si="29"/>
        <v>57971723</v>
      </c>
      <c r="H190" s="58">
        <v>186</v>
      </c>
      <c r="I190" s="61">
        <f t="shared" si="30"/>
        <v>313011.31996002892</v>
      </c>
      <c r="J190" s="61">
        <f t="shared" si="31"/>
        <v>220949.16703060883</v>
      </c>
      <c r="K190" s="61">
        <f t="shared" si="32"/>
        <v>3370891.138031085</v>
      </c>
      <c r="L190">
        <f t="shared" si="33"/>
        <v>141534081</v>
      </c>
      <c r="N190" s="58">
        <v>186</v>
      </c>
      <c r="O190" s="61">
        <f t="shared" si="34"/>
        <v>988210.26023216173</v>
      </c>
      <c r="P190" s="61">
        <f t="shared" si="35"/>
        <v>643901.70802457619</v>
      </c>
      <c r="Q190" s="61">
        <f t="shared" si="36"/>
        <v>10642264.340961741</v>
      </c>
      <c r="R190">
        <f t="shared" si="37"/>
        <v>343864588</v>
      </c>
      <c r="S190">
        <f t="shared" si="38"/>
        <v>988210.26132400008</v>
      </c>
    </row>
    <row r="191" spans="2:19" x14ac:dyDescent="0.3">
      <c r="B191" s="58">
        <v>187</v>
      </c>
      <c r="C191" s="61">
        <f t="shared" si="26"/>
        <v>78135.503271655587</v>
      </c>
      <c r="D191" s="61">
        <f t="shared" si="27"/>
        <v>78135.503271655587</v>
      </c>
      <c r="E191" s="61">
        <f t="shared" si="28"/>
        <v>1021771.9658601107</v>
      </c>
      <c r="F191">
        <f t="shared" si="29"/>
        <v>60004233</v>
      </c>
      <c r="H191" s="58">
        <v>187</v>
      </c>
      <c r="I191" s="61">
        <f t="shared" si="30"/>
        <v>325531.7727584301</v>
      </c>
      <c r="J191" s="61">
        <f t="shared" si="31"/>
        <v>229787.13371183319</v>
      </c>
      <c r="K191" s="61">
        <f t="shared" si="32"/>
        <v>3505726.7835523286</v>
      </c>
      <c r="L191">
        <f t="shared" si="33"/>
        <v>147199445</v>
      </c>
      <c r="N191" s="58">
        <v>187</v>
      </c>
      <c r="O191" s="61">
        <f t="shared" si="34"/>
        <v>1032679.7219426089</v>
      </c>
      <c r="P191" s="61">
        <f t="shared" si="35"/>
        <v>672877.28488568205</v>
      </c>
      <c r="Q191" s="61">
        <f t="shared" si="36"/>
        <v>11121166.236305019</v>
      </c>
      <c r="R191">
        <f t="shared" si="37"/>
        <v>359342994</v>
      </c>
      <c r="S191">
        <f t="shared" si="38"/>
        <v>1032679.721762</v>
      </c>
    </row>
    <row r="192" spans="2:19" x14ac:dyDescent="0.3">
      <c r="B192" s="58">
        <v>188</v>
      </c>
      <c r="C192" s="61">
        <f t="shared" si="26"/>
        <v>80870.245886163524</v>
      </c>
      <c r="D192" s="61">
        <f t="shared" si="27"/>
        <v>80870.245886163524</v>
      </c>
      <c r="E192" s="61">
        <f t="shared" si="28"/>
        <v>1057533.9846652145</v>
      </c>
      <c r="F192">
        <f t="shared" si="29"/>
        <v>62107881</v>
      </c>
      <c r="H192" s="58">
        <v>188</v>
      </c>
      <c r="I192" s="61">
        <f t="shared" si="30"/>
        <v>338553.04366876732</v>
      </c>
      <c r="J192" s="61">
        <f t="shared" si="31"/>
        <v>238978.61906030652</v>
      </c>
      <c r="K192" s="61">
        <f t="shared" si="32"/>
        <v>3645955.854894422</v>
      </c>
      <c r="L192">
        <f t="shared" si="33"/>
        <v>153091422</v>
      </c>
      <c r="N192" s="58">
        <v>188</v>
      </c>
      <c r="O192" s="61">
        <f t="shared" si="34"/>
        <v>1079150.3094300262</v>
      </c>
      <c r="P192" s="61">
        <f t="shared" si="35"/>
        <v>703156.76270553772</v>
      </c>
      <c r="Q192" s="61">
        <f t="shared" si="36"/>
        <v>11621618.716938743</v>
      </c>
      <c r="R192">
        <f t="shared" si="37"/>
        <v>375517929</v>
      </c>
      <c r="S192">
        <f t="shared" si="38"/>
        <v>1079150.310017</v>
      </c>
    </row>
    <row r="193" spans="2:19" x14ac:dyDescent="0.3">
      <c r="B193" s="58">
        <v>189</v>
      </c>
      <c r="C193" s="61">
        <f t="shared" si="26"/>
        <v>83700.70449217924</v>
      </c>
      <c r="D193" s="61">
        <f t="shared" si="27"/>
        <v>83700.70449217924</v>
      </c>
      <c r="E193" s="61">
        <f t="shared" si="28"/>
        <v>1094547.674128497</v>
      </c>
      <c r="F193">
        <f t="shared" si="29"/>
        <v>64285157</v>
      </c>
      <c r="H193" s="58">
        <v>189</v>
      </c>
      <c r="I193" s="61">
        <f t="shared" si="30"/>
        <v>352095.16541551804</v>
      </c>
      <c r="J193" s="61">
        <f t="shared" si="31"/>
        <v>248537.76382271879</v>
      </c>
      <c r="K193" s="61">
        <f t="shared" si="32"/>
        <v>3791794.0890901992</v>
      </c>
      <c r="L193">
        <f t="shared" si="33"/>
        <v>159219079</v>
      </c>
      <c r="N193" s="58">
        <v>189</v>
      </c>
      <c r="O193" s="61">
        <f t="shared" si="34"/>
        <v>1127712.0733543774</v>
      </c>
      <c r="P193" s="61">
        <f t="shared" si="35"/>
        <v>734798.81702728686</v>
      </c>
      <c r="Q193" s="61">
        <f t="shared" si="36"/>
        <v>12144591.559200985</v>
      </c>
      <c r="R193">
        <f t="shared" si="37"/>
        <v>392420736</v>
      </c>
      <c r="S193">
        <f t="shared" si="38"/>
        <v>1127712.0745280001</v>
      </c>
    </row>
    <row r="194" spans="2:19" x14ac:dyDescent="0.3">
      <c r="B194" s="58">
        <v>190</v>
      </c>
      <c r="C194" s="61">
        <f t="shared" si="26"/>
        <v>86630.22914940551</v>
      </c>
      <c r="D194" s="61">
        <f t="shared" si="27"/>
        <v>86630.22914940551</v>
      </c>
      <c r="E194" s="61">
        <f t="shared" si="28"/>
        <v>1132856.8427229943</v>
      </c>
      <c r="F194">
        <f t="shared" si="29"/>
        <v>66538638</v>
      </c>
      <c r="H194" s="58">
        <v>190</v>
      </c>
      <c r="I194" s="61">
        <f t="shared" si="30"/>
        <v>366178.97203213879</v>
      </c>
      <c r="J194" s="61">
        <f t="shared" si="31"/>
        <v>258479.27437562754</v>
      </c>
      <c r="K194" s="61">
        <f t="shared" si="32"/>
        <v>3943465.8526538075</v>
      </c>
      <c r="L194">
        <f t="shared" si="33"/>
        <v>165591843</v>
      </c>
      <c r="N194" s="58">
        <v>190</v>
      </c>
      <c r="O194" s="61">
        <f t="shared" si="34"/>
        <v>1178459.1166553244</v>
      </c>
      <c r="P194" s="61">
        <f t="shared" si="35"/>
        <v>767864.76379351469</v>
      </c>
      <c r="Q194" s="61">
        <f t="shared" si="36"/>
        <v>12691098.17936503</v>
      </c>
      <c r="R194">
        <f t="shared" si="37"/>
        <v>410084169</v>
      </c>
      <c r="S194">
        <f t="shared" si="38"/>
        <v>1178459.1175370002</v>
      </c>
    </row>
    <row r="195" spans="2:19" x14ac:dyDescent="0.3">
      <c r="B195" s="58">
        <v>191</v>
      </c>
      <c r="C195" s="61">
        <f t="shared" si="26"/>
        <v>89662.287169634699</v>
      </c>
      <c r="D195" s="61">
        <f t="shared" si="27"/>
        <v>89662.287169634699</v>
      </c>
      <c r="E195" s="61">
        <f t="shared" si="28"/>
        <v>1172506.8322182989</v>
      </c>
      <c r="F195">
        <f t="shared" si="29"/>
        <v>68870990</v>
      </c>
      <c r="H195" s="58">
        <v>191</v>
      </c>
      <c r="I195" s="61">
        <f t="shared" si="30"/>
        <v>380826.13091342436</v>
      </c>
      <c r="J195" s="61">
        <f t="shared" si="31"/>
        <v>268818.44535065268</v>
      </c>
      <c r="K195" s="61">
        <f t="shared" si="32"/>
        <v>4101204.4867599597</v>
      </c>
      <c r="L195">
        <f t="shared" si="33"/>
        <v>172219516</v>
      </c>
      <c r="N195" s="58">
        <v>191</v>
      </c>
      <c r="O195" s="61">
        <f t="shared" si="34"/>
        <v>1231489.7769048139</v>
      </c>
      <c r="P195" s="61">
        <f t="shared" si="35"/>
        <v>802418.67816422274</v>
      </c>
      <c r="Q195" s="61">
        <f t="shared" si="36"/>
        <v>13262197.597436454</v>
      </c>
      <c r="R195">
        <f t="shared" si="37"/>
        <v>428542456</v>
      </c>
      <c r="S195">
        <f t="shared" si="38"/>
        <v>1231489.7760880003</v>
      </c>
    </row>
    <row r="196" spans="2:19" x14ac:dyDescent="0.3">
      <c r="B196" s="58">
        <v>192</v>
      </c>
      <c r="C196" s="61">
        <f t="shared" si="26"/>
        <v>92800.467220571911</v>
      </c>
      <c r="D196" s="61">
        <f t="shared" si="27"/>
        <v>92800.467220571911</v>
      </c>
      <c r="E196" s="61">
        <f t="shared" si="28"/>
        <v>1213544.5713459393</v>
      </c>
      <c r="F196">
        <f t="shared" si="29"/>
        <v>71284975</v>
      </c>
      <c r="H196" s="58">
        <v>192</v>
      </c>
      <c r="I196" s="61">
        <f t="shared" si="30"/>
        <v>396059.17614996136</v>
      </c>
      <c r="J196" s="61">
        <f t="shared" si="31"/>
        <v>279571.18316467881</v>
      </c>
      <c r="K196" s="61">
        <f t="shared" si="32"/>
        <v>4265252.6662303582</v>
      </c>
      <c r="L196">
        <f t="shared" si="33"/>
        <v>179112297</v>
      </c>
      <c r="N196" s="58">
        <v>192</v>
      </c>
      <c r="O196" s="61">
        <f t="shared" si="34"/>
        <v>1286906.8168655306</v>
      </c>
      <c r="P196" s="61">
        <f t="shared" si="35"/>
        <v>838527.51868161268</v>
      </c>
      <c r="Q196" s="61">
        <f t="shared" si="36"/>
        <v>13858996.489321094</v>
      </c>
      <c r="R196">
        <f t="shared" si="37"/>
        <v>447831367</v>
      </c>
      <c r="S196">
        <f t="shared" si="38"/>
        <v>1286906.817391</v>
      </c>
    </row>
    <row r="197" spans="2:19" x14ac:dyDescent="0.3">
      <c r="B197" s="58">
        <v>193</v>
      </c>
      <c r="C197" s="61">
        <f t="shared" si="26"/>
        <v>96048.483573291916</v>
      </c>
      <c r="D197" s="61">
        <f t="shared" si="27"/>
        <v>96048.483573291916</v>
      </c>
      <c r="E197" s="61">
        <f t="shared" si="28"/>
        <v>1256018.6313430471</v>
      </c>
      <c r="F197">
        <f t="shared" si="29"/>
        <v>73783449</v>
      </c>
      <c r="H197" s="58">
        <v>193</v>
      </c>
      <c r="I197" s="61">
        <f t="shared" si="30"/>
        <v>411901.54319595982</v>
      </c>
      <c r="J197" s="61">
        <f t="shared" si="31"/>
        <v>290754.03049126599</v>
      </c>
      <c r="K197" s="61">
        <f t="shared" si="32"/>
        <v>4435862.7728795726</v>
      </c>
      <c r="L197">
        <f t="shared" si="33"/>
        <v>186280789</v>
      </c>
      <c r="N197" s="58">
        <v>193</v>
      </c>
      <c r="O197" s="61">
        <f t="shared" si="34"/>
        <v>1344817.6236244794</v>
      </c>
      <c r="P197" s="61">
        <f t="shared" si="35"/>
        <v>876261.25702228514</v>
      </c>
      <c r="Q197" s="61">
        <f t="shared" si="36"/>
        <v>14482651.331340542</v>
      </c>
      <c r="R197">
        <f t="shared" si="37"/>
        <v>467988278</v>
      </c>
      <c r="S197">
        <f t="shared" si="38"/>
        <v>1344817.6226940001</v>
      </c>
    </row>
    <row r="198" spans="2:19" x14ac:dyDescent="0.3">
      <c r="B198" s="58">
        <v>194</v>
      </c>
      <c r="C198" s="61">
        <f t="shared" ref="C198:C261" si="39">C197*$A$5</f>
        <v>99410.18049835712</v>
      </c>
      <c r="D198" s="61">
        <f t="shared" ref="D198:D261" si="40">D197*$A$5</f>
        <v>99410.18049835712</v>
      </c>
      <c r="E198" s="61">
        <f t="shared" ref="E198:E261" si="41">E197*$A$5</f>
        <v>1299979.2834400537</v>
      </c>
      <c r="F198">
        <f t="shared" ref="F198:F261" si="42">ROUND((C198/C$5-1)*100000, 0)</f>
        <v>76369370</v>
      </c>
      <c r="H198" s="58">
        <v>194</v>
      </c>
      <c r="I198" s="61">
        <f t="shared" ref="I198:I261" si="43">I197*$G$5</f>
        <v>428377.60492379824</v>
      </c>
      <c r="J198" s="61">
        <f t="shared" ref="J198:J261" si="44">J197*$G$5</f>
        <v>302384.19171091664</v>
      </c>
      <c r="K198" s="61">
        <f t="shared" ref="K198:K261" si="45">K197*$G$5</f>
        <v>4613297.283794756</v>
      </c>
      <c r="L198">
        <f t="shared" ref="L198:L261" si="46">ROUND((I198/I$5-1)*100000, 0)</f>
        <v>193736020</v>
      </c>
      <c r="N198" s="58">
        <v>194</v>
      </c>
      <c r="O198" s="61">
        <f t="shared" ref="O198:O261" si="47">O197*$M$5</f>
        <v>1405334.416687581</v>
      </c>
      <c r="P198" s="61">
        <f t="shared" ref="P198:P261" si="48">P197*$M$5</f>
        <v>915693.01358828787</v>
      </c>
      <c r="Q198" s="61">
        <f t="shared" ref="Q198:Q261" si="49">Q197*$M$5</f>
        <v>15134370.641250866</v>
      </c>
      <c r="R198">
        <f t="shared" ref="R198:R261" si="50">ROUND((O198/O$5-1)*100000, 0)</f>
        <v>489052251</v>
      </c>
      <c r="S198">
        <f t="shared" ref="S198:S261" si="51">$O$5*(1+R198/100000)</f>
        <v>1405334.4171229999</v>
      </c>
    </row>
    <row r="199" spans="2:19" x14ac:dyDescent="0.3">
      <c r="B199" s="58">
        <v>195</v>
      </c>
      <c r="C199" s="61">
        <f t="shared" si="39"/>
        <v>102889.53681579961</v>
      </c>
      <c r="D199" s="61">
        <f t="shared" si="40"/>
        <v>102889.53681579961</v>
      </c>
      <c r="E199" s="61">
        <f t="shared" si="41"/>
        <v>1345478.5583604556</v>
      </c>
      <c r="F199">
        <f t="shared" si="42"/>
        <v>79045798</v>
      </c>
      <c r="H199" s="58">
        <v>195</v>
      </c>
      <c r="I199" s="61">
        <f t="shared" si="43"/>
        <v>445512.70912075019</v>
      </c>
      <c r="J199" s="61">
        <f t="shared" si="44"/>
        <v>314479.5593793533</v>
      </c>
      <c r="K199" s="61">
        <f t="shared" si="45"/>
        <v>4797829.1751465462</v>
      </c>
      <c r="L199">
        <f t="shared" si="46"/>
        <v>201489461</v>
      </c>
      <c r="N199" s="58">
        <v>195</v>
      </c>
      <c r="O199" s="61">
        <f t="shared" si="47"/>
        <v>1468574.4654385219</v>
      </c>
      <c r="P199" s="61">
        <f t="shared" si="48"/>
        <v>956899.1991997608</v>
      </c>
      <c r="Q199" s="61">
        <f t="shared" si="49"/>
        <v>15815417.320107153</v>
      </c>
      <c r="R199">
        <f t="shared" si="50"/>
        <v>511064102</v>
      </c>
      <c r="S199">
        <f t="shared" si="51"/>
        <v>1468574.465046</v>
      </c>
    </row>
    <row r="200" spans="2:19" x14ac:dyDescent="0.3">
      <c r="B200" s="58">
        <v>196</v>
      </c>
      <c r="C200" s="61">
        <f t="shared" si="39"/>
        <v>106490.67060435259</v>
      </c>
      <c r="D200" s="61">
        <f t="shared" si="40"/>
        <v>106490.67060435259</v>
      </c>
      <c r="E200" s="61">
        <f t="shared" si="41"/>
        <v>1392570.3079030714</v>
      </c>
      <c r="F200">
        <f t="shared" si="42"/>
        <v>81815900</v>
      </c>
      <c r="H200" s="58">
        <v>196</v>
      </c>
      <c r="I200" s="61">
        <f t="shared" si="43"/>
        <v>463333.21748558024</v>
      </c>
      <c r="J200" s="61">
        <f t="shared" si="44"/>
        <v>327058.74175452744</v>
      </c>
      <c r="K200" s="61">
        <f t="shared" si="45"/>
        <v>4989742.3421524083</v>
      </c>
      <c r="L200">
        <f t="shared" si="46"/>
        <v>209553040</v>
      </c>
      <c r="N200" s="58">
        <v>196</v>
      </c>
      <c r="O200" s="61">
        <f t="shared" si="47"/>
        <v>1534660.3163832554</v>
      </c>
      <c r="P200" s="61">
        <f t="shared" si="48"/>
        <v>999959.66316374997</v>
      </c>
      <c r="Q200" s="61">
        <f t="shared" si="49"/>
        <v>16527111.099511974</v>
      </c>
      <c r="R200">
        <f t="shared" si="50"/>
        <v>534066487</v>
      </c>
      <c r="S200">
        <f t="shared" si="51"/>
        <v>1534660.317151</v>
      </c>
    </row>
    <row r="201" spans="2:19" x14ac:dyDescent="0.3">
      <c r="B201" s="58">
        <v>197</v>
      </c>
      <c r="C201" s="61">
        <f t="shared" si="39"/>
        <v>110217.84407550492</v>
      </c>
      <c r="D201" s="61">
        <f t="shared" si="40"/>
        <v>110217.84407550492</v>
      </c>
      <c r="E201" s="61">
        <f t="shared" si="41"/>
        <v>1441310.2686796787</v>
      </c>
      <c r="F201">
        <f t="shared" si="42"/>
        <v>84682957</v>
      </c>
      <c r="H201" s="58">
        <v>197</v>
      </c>
      <c r="I201" s="61">
        <f t="shared" si="43"/>
        <v>481866.54618500348</v>
      </c>
      <c r="J201" s="61">
        <f t="shared" si="44"/>
        <v>340141.09142470855</v>
      </c>
      <c r="K201" s="61">
        <f t="shared" si="45"/>
        <v>5189332.0358385053</v>
      </c>
      <c r="L201">
        <f t="shared" si="46"/>
        <v>217939161</v>
      </c>
      <c r="N201" s="58">
        <v>197</v>
      </c>
      <c r="O201" s="61">
        <f t="shared" si="47"/>
        <v>1603720.0306205018</v>
      </c>
      <c r="P201" s="61">
        <f t="shared" si="48"/>
        <v>1044957.8480061187</v>
      </c>
      <c r="Q201" s="61">
        <f t="shared" si="49"/>
        <v>17270831.098990012</v>
      </c>
      <c r="R201">
        <f t="shared" si="50"/>
        <v>558103979</v>
      </c>
      <c r="S201">
        <f t="shared" si="51"/>
        <v>1603720.0316669999</v>
      </c>
    </row>
    <row r="202" spans="2:19" x14ac:dyDescent="0.3">
      <c r="B202" s="58">
        <v>198</v>
      </c>
      <c r="C202" s="61">
        <f t="shared" si="39"/>
        <v>114075.46861814758</v>
      </c>
      <c r="D202" s="61">
        <f t="shared" si="40"/>
        <v>114075.46861814758</v>
      </c>
      <c r="E202" s="61">
        <f t="shared" si="41"/>
        <v>1491756.1280834673</v>
      </c>
      <c r="F202">
        <f t="shared" si="42"/>
        <v>87650360</v>
      </c>
      <c r="H202" s="58">
        <v>198</v>
      </c>
      <c r="I202" s="61">
        <f t="shared" si="43"/>
        <v>501141.20803240361</v>
      </c>
      <c r="J202" s="61">
        <f t="shared" si="44"/>
        <v>353746.73508169688</v>
      </c>
      <c r="K202" s="61">
        <f t="shared" si="45"/>
        <v>5396905.3172720456</v>
      </c>
      <c r="L202">
        <f t="shared" si="46"/>
        <v>226660728</v>
      </c>
      <c r="N202" s="58">
        <v>198</v>
      </c>
      <c r="O202" s="61">
        <f t="shared" si="47"/>
        <v>1675887.4319984242</v>
      </c>
      <c r="P202" s="61">
        <f t="shared" si="48"/>
        <v>1091980.9511663939</v>
      </c>
      <c r="Q202" s="61">
        <f t="shared" si="49"/>
        <v>18048018.498444561</v>
      </c>
      <c r="R202">
        <f t="shared" si="50"/>
        <v>583223158</v>
      </c>
      <c r="S202">
        <f t="shared" si="51"/>
        <v>1675887.4329339999</v>
      </c>
    </row>
    <row r="203" spans="2:19" x14ac:dyDescent="0.3">
      <c r="B203" s="58">
        <v>199</v>
      </c>
      <c r="C203" s="61">
        <f t="shared" si="39"/>
        <v>118068.11001978275</v>
      </c>
      <c r="D203" s="61">
        <f t="shared" si="40"/>
        <v>118068.11001978275</v>
      </c>
      <c r="E203" s="61">
        <f t="shared" si="41"/>
        <v>1543967.5925663884</v>
      </c>
      <c r="F203">
        <f t="shared" si="42"/>
        <v>90721623</v>
      </c>
      <c r="H203" s="58">
        <v>199</v>
      </c>
      <c r="I203" s="61">
        <f t="shared" si="43"/>
        <v>521186.85635369975</v>
      </c>
      <c r="J203" s="61">
        <f t="shared" si="44"/>
        <v>367896.60448496474</v>
      </c>
      <c r="K203" s="61">
        <f t="shared" si="45"/>
        <v>5612781.529962928</v>
      </c>
      <c r="L203">
        <f t="shared" si="46"/>
        <v>235731157</v>
      </c>
      <c r="N203" s="58">
        <v>199</v>
      </c>
      <c r="O203" s="61">
        <f t="shared" si="47"/>
        <v>1751302.3664383532</v>
      </c>
      <c r="P203" s="61">
        <f t="shared" si="48"/>
        <v>1141120.0939688815</v>
      </c>
      <c r="Q203" s="61">
        <f t="shared" si="49"/>
        <v>18860179.330874566</v>
      </c>
      <c r="R203">
        <f t="shared" si="50"/>
        <v>609472700</v>
      </c>
      <c r="S203">
        <f t="shared" si="51"/>
        <v>1751302.3670999999</v>
      </c>
    </row>
    <row r="204" spans="2:19" x14ac:dyDescent="0.3">
      <c r="B204" s="58">
        <v>200</v>
      </c>
      <c r="C204" s="61">
        <f t="shared" si="39"/>
        <v>122200.49387047514</v>
      </c>
      <c r="D204" s="61">
        <f t="shared" si="40"/>
        <v>122200.49387047514</v>
      </c>
      <c r="E204" s="61">
        <f t="shared" si="41"/>
        <v>1598006.458306212</v>
      </c>
      <c r="F204">
        <f t="shared" si="42"/>
        <v>93900380</v>
      </c>
      <c r="H204" s="58">
        <v>200</v>
      </c>
      <c r="I204" s="61">
        <f t="shared" si="43"/>
        <v>542034.33060784778</v>
      </c>
      <c r="J204" s="61">
        <f t="shared" si="44"/>
        <v>382612.46866436338</v>
      </c>
      <c r="K204" s="61">
        <f t="shared" si="45"/>
        <v>5837292.791161445</v>
      </c>
      <c r="L204">
        <f t="shared" si="46"/>
        <v>245164403</v>
      </c>
      <c r="N204" s="58">
        <v>200</v>
      </c>
      <c r="O204" s="61">
        <f t="shared" si="47"/>
        <v>1830110.9729280791</v>
      </c>
      <c r="P204" s="61">
        <f t="shared" si="48"/>
        <v>1192470.498197481</v>
      </c>
      <c r="Q204" s="61">
        <f t="shared" si="49"/>
        <v>19708887.400763921</v>
      </c>
      <c r="R204">
        <f t="shared" si="50"/>
        <v>636903471</v>
      </c>
      <c r="S204">
        <f t="shared" si="51"/>
        <v>1830110.9721830001</v>
      </c>
    </row>
    <row r="205" spans="2:19" x14ac:dyDescent="0.3">
      <c r="B205" s="58">
        <v>201</v>
      </c>
      <c r="C205" s="61">
        <f t="shared" si="39"/>
        <v>126477.51115594176</v>
      </c>
      <c r="D205" s="61">
        <f t="shared" si="40"/>
        <v>126477.51115594176</v>
      </c>
      <c r="E205" s="61">
        <f t="shared" si="41"/>
        <v>1653936.6843469292</v>
      </c>
      <c r="F205">
        <f t="shared" si="42"/>
        <v>97190393</v>
      </c>
      <c r="H205" s="58">
        <v>201</v>
      </c>
      <c r="I205" s="61">
        <f t="shared" si="43"/>
        <v>563715.70383216173</v>
      </c>
      <c r="J205" s="61">
        <f t="shared" si="44"/>
        <v>397916.96741093794</v>
      </c>
      <c r="K205" s="61">
        <f t="shared" si="45"/>
        <v>6070784.5028079031</v>
      </c>
      <c r="L205">
        <f t="shared" si="46"/>
        <v>254974979</v>
      </c>
      <c r="N205" s="58">
        <v>201</v>
      </c>
      <c r="O205" s="61">
        <f t="shared" si="47"/>
        <v>1912465.9667098424</v>
      </c>
      <c r="P205" s="61">
        <f t="shared" si="48"/>
        <v>1246131.6706163676</v>
      </c>
      <c r="Q205" s="61">
        <f t="shared" si="49"/>
        <v>20595787.333798297</v>
      </c>
      <c r="R205">
        <f t="shared" si="50"/>
        <v>665568627</v>
      </c>
      <c r="S205">
        <f t="shared" si="51"/>
        <v>1912465.9653710001</v>
      </c>
    </row>
    <row r="206" spans="2:19" x14ac:dyDescent="0.3">
      <c r="B206" s="58">
        <v>202</v>
      </c>
      <c r="C206" s="61">
        <f t="shared" si="39"/>
        <v>130904.22404639972</v>
      </c>
      <c r="D206" s="61">
        <f t="shared" si="40"/>
        <v>130904.22404639972</v>
      </c>
      <c r="E206" s="61">
        <f t="shared" si="41"/>
        <v>1711824.4682990715</v>
      </c>
      <c r="F206">
        <f t="shared" si="42"/>
        <v>100595557</v>
      </c>
      <c r="H206" s="58">
        <v>202</v>
      </c>
      <c r="I206" s="61">
        <f t="shared" si="43"/>
        <v>586264.33198544825</v>
      </c>
      <c r="J206" s="61">
        <f t="shared" si="44"/>
        <v>413833.64610737545</v>
      </c>
      <c r="K206" s="61">
        <f t="shared" si="45"/>
        <v>6313615.8829202196</v>
      </c>
      <c r="L206">
        <f t="shared" si="46"/>
        <v>265177978</v>
      </c>
      <c r="N206" s="58">
        <v>202</v>
      </c>
      <c r="O206" s="61">
        <f t="shared" si="47"/>
        <v>1998526.9352117851</v>
      </c>
      <c r="P206" s="61">
        <f t="shared" si="48"/>
        <v>1302207.595794104</v>
      </c>
      <c r="Q206" s="61">
        <f t="shared" si="49"/>
        <v>21522597.763819218</v>
      </c>
      <c r="R206">
        <f t="shared" si="50"/>
        <v>695523716</v>
      </c>
      <c r="S206">
        <f t="shared" si="51"/>
        <v>1998526.936068</v>
      </c>
    </row>
    <row r="207" spans="2:19" x14ac:dyDescent="0.3">
      <c r="B207" s="58">
        <v>203</v>
      </c>
      <c r="C207" s="61">
        <f t="shared" si="39"/>
        <v>135485.87188802368</v>
      </c>
      <c r="D207" s="61">
        <f t="shared" si="40"/>
        <v>135485.87188802368</v>
      </c>
      <c r="E207" s="61">
        <f t="shared" si="41"/>
        <v>1771738.3246895389</v>
      </c>
      <c r="F207">
        <f t="shared" si="42"/>
        <v>104119901</v>
      </c>
      <c r="H207" s="58">
        <v>203</v>
      </c>
      <c r="I207" s="61">
        <f t="shared" si="43"/>
        <v>609714.90526486619</v>
      </c>
      <c r="J207" s="61">
        <f t="shared" si="44"/>
        <v>430386.9919516705</v>
      </c>
      <c r="K207" s="61">
        <f t="shared" si="45"/>
        <v>6566160.5182370283</v>
      </c>
      <c r="L207">
        <f t="shared" si="46"/>
        <v>275789097</v>
      </c>
      <c r="N207" s="58">
        <v>203</v>
      </c>
      <c r="O207" s="61">
        <f t="shared" si="47"/>
        <v>2088460.6472963153</v>
      </c>
      <c r="P207" s="61">
        <f t="shared" si="48"/>
        <v>1360806.9376048385</v>
      </c>
      <c r="Q207" s="61">
        <f t="shared" si="49"/>
        <v>22491114.66319108</v>
      </c>
      <c r="R207">
        <f t="shared" si="50"/>
        <v>726826783</v>
      </c>
      <c r="S207">
        <f t="shared" si="51"/>
        <v>2088460.6475589999</v>
      </c>
    </row>
    <row r="208" spans="2:19" x14ac:dyDescent="0.3">
      <c r="B208" s="58">
        <v>204</v>
      </c>
      <c r="C208" s="61">
        <f t="shared" si="39"/>
        <v>140227.87740410451</v>
      </c>
      <c r="D208" s="61">
        <f t="shared" si="40"/>
        <v>140227.87740410451</v>
      </c>
      <c r="E208" s="61">
        <f t="shared" si="41"/>
        <v>1833749.1660536726</v>
      </c>
      <c r="F208">
        <f t="shared" si="42"/>
        <v>107767598</v>
      </c>
      <c r="H208" s="58">
        <v>204</v>
      </c>
      <c r="I208" s="61">
        <f t="shared" si="43"/>
        <v>634103.50147546083</v>
      </c>
      <c r="J208" s="61">
        <f t="shared" si="44"/>
        <v>447602.47162973735</v>
      </c>
      <c r="K208" s="61">
        <f t="shared" si="45"/>
        <v>6828806.9389665099</v>
      </c>
      <c r="L208">
        <f t="shared" si="46"/>
        <v>286824661</v>
      </c>
      <c r="N208" s="58">
        <v>204</v>
      </c>
      <c r="O208" s="61">
        <f t="shared" si="47"/>
        <v>2182441.3764246493</v>
      </c>
      <c r="P208" s="61">
        <f t="shared" si="48"/>
        <v>1422043.2497970562</v>
      </c>
      <c r="Q208" s="61">
        <f t="shared" si="49"/>
        <v>23503214.823034678</v>
      </c>
      <c r="R208">
        <f t="shared" si="50"/>
        <v>759538488</v>
      </c>
      <c r="S208">
        <f t="shared" si="51"/>
        <v>2182441.3760239999</v>
      </c>
    </row>
    <row r="209" spans="2:19" x14ac:dyDescent="0.3">
      <c r="B209" s="58">
        <v>205</v>
      </c>
      <c r="C209" s="61">
        <f t="shared" si="39"/>
        <v>145135.85311324816</v>
      </c>
      <c r="D209" s="61">
        <f t="shared" si="40"/>
        <v>145135.85311324816</v>
      </c>
      <c r="E209" s="61">
        <f t="shared" si="41"/>
        <v>1897930.3868655509</v>
      </c>
      <c r="F209">
        <f t="shared" si="42"/>
        <v>111542964</v>
      </c>
      <c r="H209" s="58">
        <v>205</v>
      </c>
      <c r="I209" s="61">
        <f t="shared" si="43"/>
        <v>659467.64153447933</v>
      </c>
      <c r="J209" s="61">
        <f t="shared" si="44"/>
        <v>465506.57049492688</v>
      </c>
      <c r="K209" s="61">
        <f t="shared" si="45"/>
        <v>7101959.216525171</v>
      </c>
      <c r="L209">
        <f t="shared" si="46"/>
        <v>298301648</v>
      </c>
      <c r="N209" s="58">
        <v>205</v>
      </c>
      <c r="O209" s="61">
        <f t="shared" si="47"/>
        <v>2280651.2383637582</v>
      </c>
      <c r="P209" s="61">
        <f t="shared" si="48"/>
        <v>1486035.1960379237</v>
      </c>
      <c r="Q209" s="61">
        <f t="shared" si="49"/>
        <v>24560859.490071237</v>
      </c>
      <c r="R209">
        <f t="shared" si="50"/>
        <v>793722220</v>
      </c>
      <c r="S209">
        <f t="shared" si="51"/>
        <v>2280651.2380600004</v>
      </c>
    </row>
    <row r="210" spans="2:19" x14ac:dyDescent="0.3">
      <c r="B210" s="58">
        <v>206</v>
      </c>
      <c r="C210" s="61">
        <f t="shared" si="39"/>
        <v>150215.60797221184</v>
      </c>
      <c r="D210" s="61">
        <f t="shared" si="40"/>
        <v>150215.60797221184</v>
      </c>
      <c r="E210" s="61">
        <f t="shared" si="41"/>
        <v>1964357.950405845</v>
      </c>
      <c r="F210">
        <f t="shared" si="42"/>
        <v>115450468</v>
      </c>
      <c r="H210" s="58">
        <v>206</v>
      </c>
      <c r="I210" s="61">
        <f t="shared" si="43"/>
        <v>685846.34719585849</v>
      </c>
      <c r="J210" s="61">
        <f t="shared" si="44"/>
        <v>484126.83331472398</v>
      </c>
      <c r="K210" s="61">
        <f t="shared" si="45"/>
        <v>7386037.5851861779</v>
      </c>
      <c r="L210">
        <f t="shared" si="46"/>
        <v>310237714</v>
      </c>
      <c r="N210" s="58">
        <v>206</v>
      </c>
      <c r="O210" s="61">
        <f t="shared" si="47"/>
        <v>2383280.5440901271</v>
      </c>
      <c r="P210" s="61">
        <f t="shared" si="48"/>
        <v>1552906.7798596302</v>
      </c>
      <c r="Q210" s="61">
        <f t="shared" si="49"/>
        <v>25666098.167124443</v>
      </c>
      <c r="R210">
        <f t="shared" si="50"/>
        <v>829444220</v>
      </c>
      <c r="S210">
        <f t="shared" si="51"/>
        <v>2383280.5440599998</v>
      </c>
    </row>
    <row r="211" spans="2:19" x14ac:dyDescent="0.3">
      <c r="B211" s="58">
        <v>207</v>
      </c>
      <c r="C211" s="61">
        <f t="shared" si="39"/>
        <v>155473.15425123923</v>
      </c>
      <c r="D211" s="61">
        <f t="shared" si="40"/>
        <v>155473.15425123923</v>
      </c>
      <c r="E211" s="61">
        <f t="shared" si="41"/>
        <v>2033110.4786700495</v>
      </c>
      <c r="F211">
        <f t="shared" si="42"/>
        <v>119494734</v>
      </c>
      <c r="H211" s="58">
        <v>207</v>
      </c>
      <c r="I211" s="61">
        <f t="shared" si="43"/>
        <v>713280.20108369284</v>
      </c>
      <c r="J211" s="61">
        <f t="shared" si="44"/>
        <v>503491.90664731298</v>
      </c>
      <c r="K211" s="61">
        <f t="shared" si="45"/>
        <v>7681479.0885936255</v>
      </c>
      <c r="L211">
        <f t="shared" si="46"/>
        <v>322651222</v>
      </c>
      <c r="N211" s="58">
        <v>207</v>
      </c>
      <c r="O211" s="61">
        <f t="shared" si="47"/>
        <v>2490528.1685741828</v>
      </c>
      <c r="P211" s="61">
        <f t="shared" si="48"/>
        <v>1622787.5849533135</v>
      </c>
      <c r="Q211" s="61">
        <f t="shared" si="49"/>
        <v>26821072.58464504</v>
      </c>
      <c r="R211">
        <f t="shared" si="50"/>
        <v>866773710</v>
      </c>
      <c r="S211">
        <f t="shared" si="51"/>
        <v>2490528.1688300003</v>
      </c>
    </row>
    <row r="212" spans="2:19" x14ac:dyDescent="0.3">
      <c r="B212" s="58">
        <v>208</v>
      </c>
      <c r="C212" s="61">
        <f t="shared" si="39"/>
        <v>160914.71465003261</v>
      </c>
      <c r="D212" s="61">
        <f t="shared" si="40"/>
        <v>160914.71465003261</v>
      </c>
      <c r="E212" s="61">
        <f t="shared" si="41"/>
        <v>2104269.345423501</v>
      </c>
      <c r="F212">
        <f t="shared" si="42"/>
        <v>123680550</v>
      </c>
      <c r="H212" s="58">
        <v>208</v>
      </c>
      <c r="I212" s="61">
        <f t="shared" si="43"/>
        <v>741811.40912704053</v>
      </c>
      <c r="J212" s="61">
        <f t="shared" si="44"/>
        <v>523631.58291320549</v>
      </c>
      <c r="K212" s="61">
        <f t="shared" si="45"/>
        <v>7988738.2521373704</v>
      </c>
      <c r="L212">
        <f t="shared" si="46"/>
        <v>335561271</v>
      </c>
      <c r="N212" s="58">
        <v>208</v>
      </c>
      <c r="O212" s="61">
        <f t="shared" si="47"/>
        <v>2602601.936160021</v>
      </c>
      <c r="P212" s="61">
        <f t="shared" si="48"/>
        <v>1695813.0262762124</v>
      </c>
      <c r="Q212" s="61">
        <f t="shared" si="49"/>
        <v>28028020.850954067</v>
      </c>
      <c r="R212">
        <f t="shared" si="50"/>
        <v>905783027</v>
      </c>
      <c r="S212">
        <f t="shared" si="51"/>
        <v>2602601.9365710001</v>
      </c>
    </row>
    <row r="213" spans="2:19" x14ac:dyDescent="0.3">
      <c r="B213" s="58">
        <v>209</v>
      </c>
      <c r="C213" s="61">
        <f t="shared" si="39"/>
        <v>166546.72966278373</v>
      </c>
      <c r="D213" s="61">
        <f t="shared" si="40"/>
        <v>166546.72966278373</v>
      </c>
      <c r="E213" s="61">
        <f t="shared" si="41"/>
        <v>2177918.7725133235</v>
      </c>
      <c r="F213">
        <f t="shared" si="42"/>
        <v>128012869</v>
      </c>
      <c r="H213" s="58">
        <v>209</v>
      </c>
      <c r="I213" s="61">
        <f t="shared" si="43"/>
        <v>771483.86549212213</v>
      </c>
      <c r="J213" s="61">
        <f t="shared" si="44"/>
        <v>544576.84622973378</v>
      </c>
      <c r="K213" s="61">
        <f t="shared" si="45"/>
        <v>8308287.7822228651</v>
      </c>
      <c r="L213">
        <f t="shared" si="46"/>
        <v>348987722</v>
      </c>
      <c r="N213" s="58">
        <v>209</v>
      </c>
      <c r="O213" s="61">
        <f t="shared" si="47"/>
        <v>2719719.0232872218</v>
      </c>
      <c r="P213" s="61">
        <f t="shared" si="48"/>
        <v>1772124.6124586419</v>
      </c>
      <c r="Q213" s="61">
        <f t="shared" si="49"/>
        <v>29289281.789246999</v>
      </c>
      <c r="R213">
        <f t="shared" si="50"/>
        <v>946547763</v>
      </c>
      <c r="S213">
        <f t="shared" si="51"/>
        <v>2719719.0230990001</v>
      </c>
    </row>
    <row r="214" spans="2:19" x14ac:dyDescent="0.3">
      <c r="B214" s="58">
        <v>210</v>
      </c>
      <c r="C214" s="61">
        <f t="shared" si="39"/>
        <v>172375.86520098115</v>
      </c>
      <c r="D214" s="61">
        <f t="shared" si="40"/>
        <v>172375.86520098115</v>
      </c>
      <c r="E214" s="61">
        <f t="shared" si="41"/>
        <v>2254145.9295512894</v>
      </c>
      <c r="F214">
        <f t="shared" si="42"/>
        <v>132496819</v>
      </c>
      <c r="H214" s="58">
        <v>210</v>
      </c>
      <c r="I214" s="61">
        <f t="shared" si="43"/>
        <v>802343.22011180699</v>
      </c>
      <c r="J214" s="61">
        <f t="shared" si="44"/>
        <v>566359.92007892311</v>
      </c>
      <c r="K214" s="61">
        <f t="shared" si="45"/>
        <v>8640619.29351178</v>
      </c>
      <c r="L214">
        <f t="shared" si="46"/>
        <v>362951231</v>
      </c>
      <c r="N214" s="58">
        <v>210</v>
      </c>
      <c r="O214" s="61">
        <f t="shared" si="47"/>
        <v>2842106.3793351464</v>
      </c>
      <c r="P214" s="61">
        <f t="shared" si="48"/>
        <v>1851870.2200192807</v>
      </c>
      <c r="Q214" s="61">
        <f t="shared" si="49"/>
        <v>30607299.469763111</v>
      </c>
      <c r="R214">
        <f t="shared" si="50"/>
        <v>989146912</v>
      </c>
      <c r="S214">
        <f t="shared" si="51"/>
        <v>2842106.378176</v>
      </c>
    </row>
    <row r="215" spans="2:19" x14ac:dyDescent="0.3">
      <c r="B215" s="58">
        <v>211</v>
      </c>
      <c r="C215" s="61">
        <f t="shared" si="39"/>
        <v>178409.02048301548</v>
      </c>
      <c r="D215" s="61">
        <f t="shared" si="40"/>
        <v>178409.02048301548</v>
      </c>
      <c r="E215" s="61">
        <f t="shared" si="41"/>
        <v>2333041.0370855844</v>
      </c>
      <c r="F215">
        <f t="shared" si="42"/>
        <v>137137708</v>
      </c>
      <c r="H215" s="58">
        <v>211</v>
      </c>
      <c r="I215" s="61">
        <f t="shared" si="43"/>
        <v>834436.94891627925</v>
      </c>
      <c r="J215" s="61">
        <f t="shared" si="44"/>
        <v>589014.31688208005</v>
      </c>
      <c r="K215" s="61">
        <f t="shared" si="45"/>
        <v>8986244.0652522519</v>
      </c>
      <c r="L215">
        <f t="shared" si="46"/>
        <v>377473280</v>
      </c>
      <c r="N215" s="58">
        <v>211</v>
      </c>
      <c r="O215" s="61">
        <f t="shared" si="47"/>
        <v>2970001.166405228</v>
      </c>
      <c r="P215" s="61">
        <f t="shared" si="48"/>
        <v>1935204.3799201483</v>
      </c>
      <c r="Q215" s="61">
        <f t="shared" si="49"/>
        <v>31984627.945902448</v>
      </c>
      <c r="R215">
        <f t="shared" si="50"/>
        <v>1033663023</v>
      </c>
      <c r="S215">
        <f t="shared" si="51"/>
        <v>2970001.1650790004</v>
      </c>
    </row>
    <row r="216" spans="2:19" x14ac:dyDescent="0.3">
      <c r="B216" s="58">
        <v>212</v>
      </c>
      <c r="C216" s="61">
        <f t="shared" si="39"/>
        <v>184653.336199921</v>
      </c>
      <c r="D216" s="61">
        <f t="shared" si="40"/>
        <v>184653.336199921</v>
      </c>
      <c r="E216" s="61">
        <f t="shared" si="41"/>
        <v>2414697.4733835794</v>
      </c>
      <c r="F216">
        <f t="shared" si="42"/>
        <v>141941028</v>
      </c>
      <c r="H216" s="58">
        <v>212</v>
      </c>
      <c r="I216" s="61">
        <f t="shared" si="43"/>
        <v>867814.42687293049</v>
      </c>
      <c r="J216" s="61">
        <f t="shared" si="44"/>
        <v>612574.88955736323</v>
      </c>
      <c r="K216" s="61">
        <f t="shared" si="45"/>
        <v>9345693.8278623428</v>
      </c>
      <c r="L216">
        <f t="shared" si="46"/>
        <v>392576211</v>
      </c>
      <c r="N216" s="58">
        <v>212</v>
      </c>
      <c r="O216" s="61">
        <f t="shared" si="47"/>
        <v>3103651.2188934628</v>
      </c>
      <c r="P216" s="61">
        <f t="shared" si="48"/>
        <v>2022288.5770165548</v>
      </c>
      <c r="Q216" s="61">
        <f t="shared" si="49"/>
        <v>33423936.203468055</v>
      </c>
      <c r="R216">
        <f t="shared" si="50"/>
        <v>1080182360</v>
      </c>
      <c r="S216">
        <f t="shared" si="51"/>
        <v>3103651.22028</v>
      </c>
    </row>
    <row r="217" spans="2:19" x14ac:dyDescent="0.3">
      <c r="B217" s="58">
        <v>213</v>
      </c>
      <c r="C217" s="61">
        <f t="shared" si="39"/>
        <v>191116.20296691824</v>
      </c>
      <c r="D217" s="61">
        <f t="shared" si="40"/>
        <v>191116.20296691824</v>
      </c>
      <c r="E217" s="61">
        <f t="shared" si="41"/>
        <v>2499211.8849520045</v>
      </c>
      <c r="F217">
        <f t="shared" si="42"/>
        <v>146912464</v>
      </c>
      <c r="H217" s="58">
        <v>213</v>
      </c>
      <c r="I217" s="61">
        <f t="shared" si="43"/>
        <v>902527.00394784776</v>
      </c>
      <c r="J217" s="61">
        <f t="shared" si="44"/>
        <v>637077.88513965777</v>
      </c>
      <c r="K217" s="61">
        <f t="shared" si="45"/>
        <v>9719521.5809768364</v>
      </c>
      <c r="L217">
        <f t="shared" si="46"/>
        <v>408283260</v>
      </c>
      <c r="N217" s="58">
        <v>213</v>
      </c>
      <c r="O217" s="61">
        <f t="shared" si="47"/>
        <v>3243315.5237436686</v>
      </c>
      <c r="P217" s="61">
        <f t="shared" si="48"/>
        <v>2113291.5629822994</v>
      </c>
      <c r="Q217" s="61">
        <f t="shared" si="49"/>
        <v>34928013.332624115</v>
      </c>
      <c r="R217">
        <f t="shared" si="50"/>
        <v>1128795066</v>
      </c>
      <c r="S217">
        <f t="shared" si="51"/>
        <v>3243315.5246180003</v>
      </c>
    </row>
    <row r="218" spans="2:19" x14ac:dyDescent="0.3">
      <c r="B218" s="58">
        <v>214</v>
      </c>
      <c r="C218" s="61">
        <f t="shared" si="39"/>
        <v>197805.27007076037</v>
      </c>
      <c r="D218" s="61">
        <f t="shared" si="40"/>
        <v>197805.27007076037</v>
      </c>
      <c r="E218" s="61">
        <f t="shared" si="41"/>
        <v>2586684.3009253247</v>
      </c>
      <c r="F218">
        <f t="shared" si="42"/>
        <v>152057900</v>
      </c>
      <c r="H218" s="58">
        <v>214</v>
      </c>
      <c r="I218" s="61">
        <f t="shared" si="43"/>
        <v>938628.08410576172</v>
      </c>
      <c r="J218" s="61">
        <f t="shared" si="44"/>
        <v>662561.00054524408</v>
      </c>
      <c r="K218" s="61">
        <f t="shared" si="45"/>
        <v>10108302.444215911</v>
      </c>
      <c r="L218">
        <f t="shared" si="46"/>
        <v>424618590</v>
      </c>
      <c r="N218" s="58">
        <v>214</v>
      </c>
      <c r="O218" s="61">
        <f t="shared" si="47"/>
        <v>3389264.7223121333</v>
      </c>
      <c r="P218" s="61">
        <f t="shared" si="48"/>
        <v>2208389.6833165027</v>
      </c>
      <c r="Q218" s="61">
        <f t="shared" si="49"/>
        <v>36499773.932592198</v>
      </c>
      <c r="R218">
        <f t="shared" si="50"/>
        <v>1179595344</v>
      </c>
      <c r="S218">
        <f t="shared" si="51"/>
        <v>3389264.7233119998</v>
      </c>
    </row>
    <row r="219" spans="2:19" x14ac:dyDescent="0.3">
      <c r="B219" s="58">
        <v>215</v>
      </c>
      <c r="C219" s="61">
        <f t="shared" si="39"/>
        <v>204728.45452323696</v>
      </c>
      <c r="D219" s="61">
        <f t="shared" si="40"/>
        <v>204728.45452323696</v>
      </c>
      <c r="E219" s="61">
        <f t="shared" si="41"/>
        <v>2677218.2514577108</v>
      </c>
      <c r="F219">
        <f t="shared" si="42"/>
        <v>157383427</v>
      </c>
      <c r="H219" s="58">
        <v>215</v>
      </c>
      <c r="I219" s="61">
        <f t="shared" si="43"/>
        <v>976173.20746999222</v>
      </c>
      <c r="J219" s="61">
        <f t="shared" si="44"/>
        <v>689063.44056705385</v>
      </c>
      <c r="K219" s="61">
        <f t="shared" si="45"/>
        <v>10512634.541984547</v>
      </c>
      <c r="L219">
        <f t="shared" si="46"/>
        <v>441607334</v>
      </c>
      <c r="N219" s="58">
        <v>215</v>
      </c>
      <c r="O219" s="61">
        <f t="shared" si="47"/>
        <v>3541781.6348161791</v>
      </c>
      <c r="P219" s="61">
        <f t="shared" si="48"/>
        <v>2307767.2190657454</v>
      </c>
      <c r="Q219" s="61">
        <f t="shared" si="49"/>
        <v>38142263.759558842</v>
      </c>
      <c r="R219">
        <f t="shared" si="50"/>
        <v>1232681634</v>
      </c>
      <c r="S219">
        <f t="shared" si="51"/>
        <v>3541781.634482</v>
      </c>
    </row>
    <row r="220" spans="2:19" x14ac:dyDescent="0.3">
      <c r="B220" s="58">
        <v>216</v>
      </c>
      <c r="C220" s="61">
        <f t="shared" si="39"/>
        <v>211893.95043155024</v>
      </c>
      <c r="D220" s="61">
        <f t="shared" si="40"/>
        <v>211893.95043155024</v>
      </c>
      <c r="E220" s="61">
        <f t="shared" si="41"/>
        <v>2770920.8902587304</v>
      </c>
      <c r="F220">
        <f t="shared" si="42"/>
        <v>162895346</v>
      </c>
      <c r="H220" s="58">
        <v>216</v>
      </c>
      <c r="I220" s="61">
        <f t="shared" si="43"/>
        <v>1015220.1357687919</v>
      </c>
      <c r="J220" s="61">
        <f t="shared" si="44"/>
        <v>716625.97818973602</v>
      </c>
      <c r="K220" s="61">
        <f t="shared" si="45"/>
        <v>10933139.923663929</v>
      </c>
      <c r="L220">
        <f t="shared" si="46"/>
        <v>459275627</v>
      </c>
      <c r="N220" s="58">
        <v>216</v>
      </c>
      <c r="O220" s="61">
        <f t="shared" si="47"/>
        <v>3701161.808382907</v>
      </c>
      <c r="P220" s="61">
        <f t="shared" si="48"/>
        <v>2411616.7439237037</v>
      </c>
      <c r="Q220" s="61">
        <f t="shared" si="49"/>
        <v>39858665.628738984</v>
      </c>
      <c r="R220">
        <f t="shared" si="50"/>
        <v>1288156808</v>
      </c>
      <c r="S220">
        <f t="shared" si="51"/>
        <v>3701161.809384</v>
      </c>
    </row>
    <row r="221" spans="2:19" x14ac:dyDescent="0.3">
      <c r="B221" s="58">
        <v>217</v>
      </c>
      <c r="C221" s="61">
        <f t="shared" si="39"/>
        <v>219310.23869665447</v>
      </c>
      <c r="D221" s="61">
        <f t="shared" si="40"/>
        <v>219310.23869665447</v>
      </c>
      <c r="E221" s="61">
        <f t="shared" si="41"/>
        <v>2867903.1214177855</v>
      </c>
      <c r="F221">
        <f t="shared" si="42"/>
        <v>168600184</v>
      </c>
      <c r="H221" s="58">
        <v>217</v>
      </c>
      <c r="I221" s="61">
        <f t="shared" si="43"/>
        <v>1055828.9411995437</v>
      </c>
      <c r="J221" s="61">
        <f t="shared" si="44"/>
        <v>745291.01731732546</v>
      </c>
      <c r="K221" s="61">
        <f t="shared" si="45"/>
        <v>11370465.520610487</v>
      </c>
      <c r="L221">
        <f t="shared" si="46"/>
        <v>477650652</v>
      </c>
      <c r="N221" s="58">
        <v>217</v>
      </c>
      <c r="O221" s="61">
        <f t="shared" si="47"/>
        <v>3867714.0897601377</v>
      </c>
      <c r="P221" s="61">
        <f t="shared" si="48"/>
        <v>2520139.4974002703</v>
      </c>
      <c r="Q221" s="61">
        <f t="shared" si="49"/>
        <v>41652305.582032233</v>
      </c>
      <c r="R221">
        <f t="shared" si="50"/>
        <v>1346128364</v>
      </c>
      <c r="S221">
        <f t="shared" si="51"/>
        <v>3867714.089772</v>
      </c>
    </row>
    <row r="222" spans="2:19" x14ac:dyDescent="0.3">
      <c r="B222" s="58">
        <v>218</v>
      </c>
      <c r="C222" s="61">
        <f t="shared" si="39"/>
        <v>226986.09705103736</v>
      </c>
      <c r="D222" s="61">
        <f t="shared" si="40"/>
        <v>226986.09705103736</v>
      </c>
      <c r="E222" s="61">
        <f t="shared" si="41"/>
        <v>2968279.7306674076</v>
      </c>
      <c r="F222">
        <f t="shared" si="42"/>
        <v>174504690</v>
      </c>
      <c r="H222" s="58">
        <v>218</v>
      </c>
      <c r="I222" s="61">
        <f t="shared" si="43"/>
        <v>1098062.0988475254</v>
      </c>
      <c r="J222" s="61">
        <f t="shared" si="44"/>
        <v>775102.65801001852</v>
      </c>
      <c r="K222" s="61">
        <f t="shared" si="45"/>
        <v>11825284.141434906</v>
      </c>
      <c r="L222">
        <f t="shared" si="46"/>
        <v>496760678</v>
      </c>
      <c r="N222" s="58">
        <v>218</v>
      </c>
      <c r="O222" s="61">
        <f t="shared" si="47"/>
        <v>4041761.2237993437</v>
      </c>
      <c r="P222" s="61">
        <f t="shared" si="48"/>
        <v>2633545.7747832821</v>
      </c>
      <c r="Q222" s="61">
        <f t="shared" si="49"/>
        <v>43526659.333223678</v>
      </c>
      <c r="R222">
        <f t="shared" si="50"/>
        <v>1406708640</v>
      </c>
      <c r="S222">
        <f t="shared" si="51"/>
        <v>4041761.2227200004</v>
      </c>
    </row>
    <row r="223" spans="2:19" x14ac:dyDescent="0.3">
      <c r="B223" s="58">
        <v>219</v>
      </c>
      <c r="C223" s="61">
        <f t="shared" si="39"/>
        <v>234930.61044782365</v>
      </c>
      <c r="D223" s="61">
        <f t="shared" si="40"/>
        <v>234930.61044782365</v>
      </c>
      <c r="E223" s="61">
        <f t="shared" si="41"/>
        <v>3072169.5212407666</v>
      </c>
      <c r="F223">
        <f t="shared" si="42"/>
        <v>180615854</v>
      </c>
      <c r="H223" s="58">
        <v>219</v>
      </c>
      <c r="I223" s="61">
        <f t="shared" si="43"/>
        <v>1141984.5828014265</v>
      </c>
      <c r="J223" s="61">
        <f t="shared" si="44"/>
        <v>806106.76433041925</v>
      </c>
      <c r="K223" s="61">
        <f t="shared" si="45"/>
        <v>12298295.507092303</v>
      </c>
      <c r="L223">
        <f t="shared" si="46"/>
        <v>516635105</v>
      </c>
      <c r="N223" s="58">
        <v>219</v>
      </c>
      <c r="O223" s="61">
        <f t="shared" si="47"/>
        <v>4223640.4788703136</v>
      </c>
      <c r="P223" s="61">
        <f t="shared" si="48"/>
        <v>2752055.3346485295</v>
      </c>
      <c r="Q223" s="61">
        <f t="shared" si="49"/>
        <v>45485359.00321874</v>
      </c>
      <c r="R223">
        <f t="shared" si="50"/>
        <v>1470015029</v>
      </c>
      <c r="S223">
        <f t="shared" si="51"/>
        <v>4223640.478317</v>
      </c>
    </row>
    <row r="224" spans="2:19" x14ac:dyDescent="0.3">
      <c r="B224" s="58">
        <v>220</v>
      </c>
      <c r="C224" s="61">
        <f t="shared" si="39"/>
        <v>243153.18181349747</v>
      </c>
      <c r="D224" s="61">
        <f t="shared" si="40"/>
        <v>243153.18181349747</v>
      </c>
      <c r="E224" s="61">
        <f t="shared" si="41"/>
        <v>3179695.4544841931</v>
      </c>
      <c r="F224">
        <f t="shared" si="42"/>
        <v>186940909</v>
      </c>
      <c r="H224" s="58">
        <v>220</v>
      </c>
      <c r="I224" s="61">
        <f t="shared" si="43"/>
        <v>1187663.9661134835</v>
      </c>
      <c r="J224" s="61">
        <f t="shared" si="44"/>
        <v>838351.03490363609</v>
      </c>
      <c r="K224" s="61">
        <f t="shared" si="45"/>
        <v>12790227.327375995</v>
      </c>
      <c r="L224">
        <f t="shared" si="46"/>
        <v>537304510</v>
      </c>
      <c r="N224" s="58">
        <v>220</v>
      </c>
      <c r="O224" s="61">
        <f t="shared" si="47"/>
        <v>4413704.3004194777</v>
      </c>
      <c r="P224" s="61">
        <f t="shared" si="48"/>
        <v>2875897.824707713</v>
      </c>
      <c r="Q224" s="61">
        <f t="shared" si="49"/>
        <v>47532200.158363581</v>
      </c>
      <c r="R224">
        <f t="shared" si="50"/>
        <v>1536170206</v>
      </c>
      <c r="S224">
        <f t="shared" si="51"/>
        <v>4413704.3018380003</v>
      </c>
    </row>
    <row r="225" spans="2:19" x14ac:dyDescent="0.3">
      <c r="B225" s="58">
        <v>221</v>
      </c>
      <c r="C225" s="61">
        <f t="shared" si="39"/>
        <v>251663.54317696986</v>
      </c>
      <c r="D225" s="61">
        <f t="shared" si="40"/>
        <v>251663.54317696986</v>
      </c>
      <c r="E225" s="61">
        <f t="shared" si="41"/>
        <v>3290984.7953911396</v>
      </c>
      <c r="F225">
        <f t="shared" si="42"/>
        <v>193487341</v>
      </c>
      <c r="H225" s="58">
        <v>221</v>
      </c>
      <c r="I225" s="61">
        <f t="shared" si="43"/>
        <v>1235170.524758023</v>
      </c>
      <c r="J225" s="61">
        <f t="shared" si="44"/>
        <v>871885.07629978156</v>
      </c>
      <c r="K225" s="61">
        <f t="shared" si="45"/>
        <v>13301836.420471035</v>
      </c>
      <c r="L225">
        <f t="shared" si="46"/>
        <v>558800690</v>
      </c>
      <c r="N225" s="58">
        <v>221</v>
      </c>
      <c r="O225" s="61">
        <f t="shared" si="47"/>
        <v>4612320.9939383538</v>
      </c>
      <c r="P225" s="61">
        <f t="shared" si="48"/>
        <v>3005313.2268195599</v>
      </c>
      <c r="Q225" s="61">
        <f t="shared" si="49"/>
        <v>49671149.165489942</v>
      </c>
      <c r="R225">
        <f t="shared" si="50"/>
        <v>1605302365</v>
      </c>
      <c r="S225">
        <f t="shared" si="51"/>
        <v>4612320.9946449995</v>
      </c>
    </row>
    <row r="226" spans="2:19" x14ac:dyDescent="0.3">
      <c r="B226" s="58">
        <v>222</v>
      </c>
      <c r="C226" s="61">
        <f t="shared" si="39"/>
        <v>260471.76718816379</v>
      </c>
      <c r="D226" s="61">
        <f t="shared" si="40"/>
        <v>260471.76718816379</v>
      </c>
      <c r="E226" s="61">
        <f t="shared" si="41"/>
        <v>3406169.2632298293</v>
      </c>
      <c r="F226">
        <f t="shared" si="42"/>
        <v>200262898</v>
      </c>
      <c r="H226" s="58">
        <v>222</v>
      </c>
      <c r="I226" s="61">
        <f t="shared" si="43"/>
        <v>1284577.345748344</v>
      </c>
      <c r="J226" s="61">
        <f t="shared" si="44"/>
        <v>906760.47935177281</v>
      </c>
      <c r="K226" s="61">
        <f t="shared" si="45"/>
        <v>13833909.877289876</v>
      </c>
      <c r="L226">
        <f t="shared" si="46"/>
        <v>581156718</v>
      </c>
      <c r="N226" s="58">
        <v>222</v>
      </c>
      <c r="O226" s="61">
        <f t="shared" si="47"/>
        <v>4819875.4386655791</v>
      </c>
      <c r="P226" s="61">
        <f t="shared" si="48"/>
        <v>3140552.3220264399</v>
      </c>
      <c r="Q226" s="61">
        <f t="shared" si="49"/>
        <v>51906350.877936989</v>
      </c>
      <c r="R226">
        <f t="shared" si="50"/>
        <v>1677545471</v>
      </c>
      <c r="S226">
        <f t="shared" si="51"/>
        <v>4819875.4381830003</v>
      </c>
    </row>
    <row r="227" spans="2:19" x14ac:dyDescent="0.3">
      <c r="B227" s="58">
        <v>223</v>
      </c>
      <c r="C227" s="61">
        <f t="shared" si="39"/>
        <v>269588.27903974953</v>
      </c>
      <c r="D227" s="61">
        <f t="shared" si="40"/>
        <v>269588.27903974953</v>
      </c>
      <c r="E227" s="61">
        <f t="shared" si="41"/>
        <v>3525385.1874428731</v>
      </c>
      <c r="F227">
        <f t="shared" si="42"/>
        <v>207275599</v>
      </c>
      <c r="H227" s="58">
        <v>223</v>
      </c>
      <c r="I227" s="61">
        <f t="shared" si="43"/>
        <v>1335960.4395782778</v>
      </c>
      <c r="J227" s="61">
        <f t="shared" si="44"/>
        <v>943030.89852584375</v>
      </c>
      <c r="K227" s="61">
        <f t="shared" si="45"/>
        <v>14387266.272381471</v>
      </c>
      <c r="L227">
        <f t="shared" si="46"/>
        <v>604406986</v>
      </c>
      <c r="N227" s="58">
        <v>223</v>
      </c>
      <c r="O227" s="61">
        <f t="shared" si="47"/>
        <v>5036769.8334055301</v>
      </c>
      <c r="P227" s="61">
        <f t="shared" si="48"/>
        <v>3281877.1765176295</v>
      </c>
      <c r="Q227" s="61">
        <f t="shared" si="49"/>
        <v>54242136.667444147</v>
      </c>
      <c r="R227">
        <f t="shared" si="50"/>
        <v>1753039517</v>
      </c>
      <c r="S227">
        <f t="shared" si="51"/>
        <v>5036769.8323410004</v>
      </c>
    </row>
    <row r="228" spans="2:19" x14ac:dyDescent="0.3">
      <c r="B228" s="58">
        <v>224</v>
      </c>
      <c r="C228" s="61">
        <f t="shared" si="39"/>
        <v>279023.86880614073</v>
      </c>
      <c r="D228" s="61">
        <f t="shared" si="40"/>
        <v>279023.86880614073</v>
      </c>
      <c r="E228" s="61">
        <f t="shared" si="41"/>
        <v>3648773.6690033735</v>
      </c>
      <c r="F228">
        <f t="shared" si="42"/>
        <v>214533745</v>
      </c>
      <c r="H228" s="58">
        <v>224</v>
      </c>
      <c r="I228" s="61">
        <f t="shared" si="43"/>
        <v>1389398.857161409</v>
      </c>
      <c r="J228" s="61">
        <f t="shared" si="44"/>
        <v>980752.13446687756</v>
      </c>
      <c r="K228" s="61">
        <f t="shared" si="45"/>
        <v>14962756.923276732</v>
      </c>
      <c r="L228">
        <f t="shared" si="46"/>
        <v>628587266</v>
      </c>
      <c r="N228" s="58">
        <v>224</v>
      </c>
      <c r="O228" s="61">
        <f t="shared" si="47"/>
        <v>5263424.4759087786</v>
      </c>
      <c r="P228" s="61">
        <f t="shared" si="48"/>
        <v>3429561.6494609225</v>
      </c>
      <c r="Q228" s="61">
        <f t="shared" si="49"/>
        <v>56683032.817479134</v>
      </c>
      <c r="R228">
        <f t="shared" si="50"/>
        <v>1831930796</v>
      </c>
      <c r="S228">
        <f t="shared" si="51"/>
        <v>5263424.4769079993</v>
      </c>
    </row>
    <row r="229" spans="2:19" x14ac:dyDescent="0.3">
      <c r="B229" s="58">
        <v>225</v>
      </c>
      <c r="C229" s="61">
        <f t="shared" si="39"/>
        <v>288789.70421435562</v>
      </c>
      <c r="D229" s="61">
        <f t="shared" si="40"/>
        <v>288789.70421435562</v>
      </c>
      <c r="E229" s="61">
        <f t="shared" si="41"/>
        <v>3776480.7474184912</v>
      </c>
      <c r="F229">
        <f t="shared" si="42"/>
        <v>222045926</v>
      </c>
      <c r="H229" s="58">
        <v>225</v>
      </c>
      <c r="I229" s="61">
        <f t="shared" si="43"/>
        <v>1444974.8114478653</v>
      </c>
      <c r="J229" s="61">
        <f t="shared" si="44"/>
        <v>1019982.2198455527</v>
      </c>
      <c r="K229" s="61">
        <f t="shared" si="45"/>
        <v>15561267.200207802</v>
      </c>
      <c r="L229">
        <f t="shared" si="46"/>
        <v>653734756</v>
      </c>
      <c r="N229" s="58">
        <v>225</v>
      </c>
      <c r="O229" s="61">
        <f t="shared" si="47"/>
        <v>5500278.5773246735</v>
      </c>
      <c r="P229" s="61">
        <f t="shared" si="48"/>
        <v>3583891.9236866636</v>
      </c>
      <c r="Q229" s="61">
        <f t="shared" si="49"/>
        <v>59233769.294265687</v>
      </c>
      <c r="R229">
        <f t="shared" si="50"/>
        <v>1914372181</v>
      </c>
      <c r="S229">
        <f t="shared" si="51"/>
        <v>5500278.5760129998</v>
      </c>
    </row>
    <row r="230" spans="2:19" x14ac:dyDescent="0.3">
      <c r="B230" s="58">
        <v>226</v>
      </c>
      <c r="C230" s="61">
        <f t="shared" si="39"/>
        <v>298897.34386185807</v>
      </c>
      <c r="D230" s="61">
        <f t="shared" si="40"/>
        <v>298897.34386185807</v>
      </c>
      <c r="E230" s="61">
        <f t="shared" si="41"/>
        <v>3908657.5735781379</v>
      </c>
      <c r="F230">
        <f t="shared" si="42"/>
        <v>229821034</v>
      </c>
      <c r="H230" s="58">
        <v>226</v>
      </c>
      <c r="I230" s="61">
        <f t="shared" si="43"/>
        <v>1502773.80390578</v>
      </c>
      <c r="J230" s="61">
        <f t="shared" si="44"/>
        <v>1060781.5086393747</v>
      </c>
      <c r="K230" s="61">
        <f t="shared" si="45"/>
        <v>16183717.888216114</v>
      </c>
      <c r="L230">
        <f t="shared" si="46"/>
        <v>679888147</v>
      </c>
      <c r="N230" s="58">
        <v>226</v>
      </c>
      <c r="O230" s="61">
        <f t="shared" si="47"/>
        <v>5747791.1133042835</v>
      </c>
      <c r="P230" s="61">
        <f t="shared" si="48"/>
        <v>3745167.0602525631</v>
      </c>
      <c r="Q230" s="61">
        <f t="shared" si="49"/>
        <v>61899288.912507638</v>
      </c>
      <c r="R230">
        <f t="shared" si="50"/>
        <v>2000523430</v>
      </c>
      <c r="S230">
        <f t="shared" si="51"/>
        <v>5747791.1143900007</v>
      </c>
    </row>
    <row r="231" spans="2:19" x14ac:dyDescent="0.3">
      <c r="B231" s="58">
        <v>227</v>
      </c>
      <c r="C231" s="61">
        <f t="shared" si="39"/>
        <v>309358.75089702307</v>
      </c>
      <c r="D231" s="61">
        <f t="shared" si="40"/>
        <v>309358.75089702307</v>
      </c>
      <c r="E231" s="61">
        <f t="shared" si="41"/>
        <v>4045460.5886533726</v>
      </c>
      <c r="F231">
        <f t="shared" si="42"/>
        <v>237868270</v>
      </c>
      <c r="H231" s="58">
        <v>227</v>
      </c>
      <c r="I231" s="61">
        <f t="shared" si="43"/>
        <v>1562884.7560620112</v>
      </c>
      <c r="J231" s="61">
        <f t="shared" si="44"/>
        <v>1103212.7689849497</v>
      </c>
      <c r="K231" s="61">
        <f t="shared" si="45"/>
        <v>16831066.60374476</v>
      </c>
      <c r="L231">
        <f t="shared" si="46"/>
        <v>707087672</v>
      </c>
      <c r="N231" s="58">
        <v>227</v>
      </c>
      <c r="O231" s="61">
        <f t="shared" si="47"/>
        <v>6006441.7134029763</v>
      </c>
      <c r="P231" s="61">
        <f t="shared" si="48"/>
        <v>3913699.5779639282</v>
      </c>
      <c r="Q231" s="61">
        <f t="shared" si="49"/>
        <v>64684756.913570479</v>
      </c>
      <c r="R231">
        <f t="shared" si="50"/>
        <v>2090551484</v>
      </c>
      <c r="S231">
        <f t="shared" si="51"/>
        <v>6006441.7135319998</v>
      </c>
    </row>
    <row r="232" spans="2:19" x14ac:dyDescent="0.3">
      <c r="B232" s="58">
        <v>228</v>
      </c>
      <c r="C232" s="61">
        <f t="shared" si="39"/>
        <v>320186.30717841885</v>
      </c>
      <c r="D232" s="61">
        <f t="shared" si="40"/>
        <v>320186.30717841885</v>
      </c>
      <c r="E232" s="61">
        <f t="shared" si="41"/>
        <v>4187051.7092562402</v>
      </c>
      <c r="F232">
        <f t="shared" si="42"/>
        <v>246197159</v>
      </c>
      <c r="H232" s="58">
        <v>228</v>
      </c>
      <c r="I232" s="61">
        <f t="shared" si="43"/>
        <v>1625400.1463044917</v>
      </c>
      <c r="J232" s="61">
        <f t="shared" si="44"/>
        <v>1147341.2797443478</v>
      </c>
      <c r="K232" s="61">
        <f t="shared" si="45"/>
        <v>17504309.267894551</v>
      </c>
      <c r="L232">
        <f t="shared" si="46"/>
        <v>735375179</v>
      </c>
      <c r="N232" s="58">
        <v>228</v>
      </c>
      <c r="O232" s="61">
        <f t="shared" si="47"/>
        <v>6276731.5905061094</v>
      </c>
      <c r="P232" s="61">
        <f t="shared" si="48"/>
        <v>4089816.0589723047</v>
      </c>
      <c r="Q232" s="61">
        <f t="shared" si="49"/>
        <v>67595570.974681139</v>
      </c>
      <c r="R232">
        <f t="shared" si="50"/>
        <v>2184630801</v>
      </c>
      <c r="S232">
        <f t="shared" si="51"/>
        <v>6276731.5912730005</v>
      </c>
    </row>
    <row r="233" spans="2:19" x14ac:dyDescent="0.3">
      <c r="B233" s="58">
        <v>229</v>
      </c>
      <c r="C233" s="61">
        <f t="shared" si="39"/>
        <v>331392.82792966347</v>
      </c>
      <c r="D233" s="61">
        <f t="shared" si="40"/>
        <v>331392.82792966347</v>
      </c>
      <c r="E233" s="61">
        <f t="shared" si="41"/>
        <v>4333598.5190802086</v>
      </c>
      <c r="F233">
        <f t="shared" si="42"/>
        <v>254817560</v>
      </c>
      <c r="H233" s="58">
        <v>229</v>
      </c>
      <c r="I233" s="61">
        <f t="shared" si="43"/>
        <v>1690416.1521566715</v>
      </c>
      <c r="J233" s="61">
        <f t="shared" si="44"/>
        <v>1193234.9309341218</v>
      </c>
      <c r="K233" s="61">
        <f t="shared" si="45"/>
        <v>18204481.638610333</v>
      </c>
      <c r="L233">
        <f t="shared" si="46"/>
        <v>764794186</v>
      </c>
      <c r="N233" s="58">
        <v>229</v>
      </c>
      <c r="O233" s="61">
        <f t="shared" si="47"/>
        <v>6559184.5120788841</v>
      </c>
      <c r="P233" s="61">
        <f t="shared" si="48"/>
        <v>4273857.7816260578</v>
      </c>
      <c r="Q233" s="61">
        <f t="shared" si="49"/>
        <v>70637371.668541789</v>
      </c>
      <c r="R233">
        <f t="shared" si="50"/>
        <v>2282943687</v>
      </c>
      <c r="S233">
        <f t="shared" si="51"/>
        <v>6559184.5127510009</v>
      </c>
    </row>
    <row r="234" spans="2:19" x14ac:dyDescent="0.3">
      <c r="B234" s="58">
        <v>230</v>
      </c>
      <c r="C234" s="61">
        <f t="shared" si="39"/>
        <v>342991.57690720167</v>
      </c>
      <c r="D234" s="61">
        <f t="shared" si="40"/>
        <v>342991.57690720167</v>
      </c>
      <c r="E234" s="61">
        <f t="shared" si="41"/>
        <v>4485274.4672480151</v>
      </c>
      <c r="F234">
        <f t="shared" si="42"/>
        <v>263739675</v>
      </c>
      <c r="H234" s="58">
        <v>230</v>
      </c>
      <c r="I234" s="61">
        <f t="shared" si="43"/>
        <v>1758032.7982429385</v>
      </c>
      <c r="J234" s="61">
        <f t="shared" si="44"/>
        <v>1240964.3281714867</v>
      </c>
      <c r="K234" s="61">
        <f t="shared" si="45"/>
        <v>18932660.904154748</v>
      </c>
      <c r="L234">
        <f t="shared" si="46"/>
        <v>795389954</v>
      </c>
      <c r="N234" s="58">
        <v>230</v>
      </c>
      <c r="O234" s="61">
        <f t="shared" si="47"/>
        <v>6854347.815122433</v>
      </c>
      <c r="P234" s="61">
        <f t="shared" si="48"/>
        <v>4466181.3817992304</v>
      </c>
      <c r="Q234" s="61">
        <f t="shared" si="49"/>
        <v>73816053.393626168</v>
      </c>
      <c r="R234">
        <f t="shared" si="50"/>
        <v>2385680653</v>
      </c>
      <c r="S234">
        <f t="shared" si="51"/>
        <v>6854347.8160690004</v>
      </c>
    </row>
    <row r="235" spans="2:19" x14ac:dyDescent="0.3">
      <c r="B235" s="58">
        <v>231</v>
      </c>
      <c r="C235" s="61">
        <f t="shared" si="39"/>
        <v>354996.28209895373</v>
      </c>
      <c r="D235" s="61">
        <f t="shared" si="40"/>
        <v>354996.28209895373</v>
      </c>
      <c r="E235" s="61">
        <f t="shared" si="41"/>
        <v>4642259.0736016957</v>
      </c>
      <c r="F235">
        <f t="shared" si="42"/>
        <v>272974063</v>
      </c>
      <c r="H235" s="58">
        <v>231</v>
      </c>
      <c r="I235" s="61">
        <f t="shared" si="43"/>
        <v>1828354.1101726561</v>
      </c>
      <c r="J235" s="61">
        <f t="shared" si="44"/>
        <v>1290602.9012983462</v>
      </c>
      <c r="K235" s="61">
        <f t="shared" si="45"/>
        <v>19689967.340320937</v>
      </c>
      <c r="L235">
        <f t="shared" si="46"/>
        <v>827209552</v>
      </c>
      <c r="N235" s="58">
        <v>231</v>
      </c>
      <c r="O235" s="61">
        <f t="shared" si="47"/>
        <v>7162793.4668029416</v>
      </c>
      <c r="P235" s="61">
        <f t="shared" si="48"/>
        <v>4667159.5439801952</v>
      </c>
      <c r="Q235" s="61">
        <f t="shared" si="49"/>
        <v>77137775.796339348</v>
      </c>
      <c r="R235">
        <f t="shared" si="50"/>
        <v>2493040782</v>
      </c>
      <c r="S235">
        <f t="shared" si="51"/>
        <v>7162793.4666860001</v>
      </c>
    </row>
    <row r="236" spans="2:19" x14ac:dyDescent="0.3">
      <c r="B236" s="58">
        <v>232</v>
      </c>
      <c r="C236" s="61">
        <f t="shared" si="39"/>
        <v>367421.15197241708</v>
      </c>
      <c r="D236" s="61">
        <f t="shared" si="40"/>
        <v>367421.15197241708</v>
      </c>
      <c r="E236" s="61">
        <f t="shared" si="41"/>
        <v>4804738.1411777548</v>
      </c>
      <c r="F236">
        <f t="shared" si="42"/>
        <v>282531655</v>
      </c>
      <c r="H236" s="58">
        <v>232</v>
      </c>
      <c r="I236" s="61">
        <f t="shared" si="43"/>
        <v>1901488.2745795625</v>
      </c>
      <c r="J236" s="61">
        <f t="shared" si="44"/>
        <v>1342227.0173502802</v>
      </c>
      <c r="K236" s="61">
        <f t="shared" si="45"/>
        <v>20477566.033933777</v>
      </c>
      <c r="L236">
        <f t="shared" si="46"/>
        <v>860301934</v>
      </c>
      <c r="N236" s="58">
        <v>232</v>
      </c>
      <c r="O236" s="61">
        <f t="shared" si="47"/>
        <v>7485119.1728090737</v>
      </c>
      <c r="P236" s="61">
        <f t="shared" si="48"/>
        <v>4877181.7234593034</v>
      </c>
      <c r="Q236" s="61">
        <f t="shared" si="49"/>
        <v>80608975.707174614</v>
      </c>
      <c r="R236">
        <f t="shared" si="50"/>
        <v>2605232117</v>
      </c>
      <c r="S236">
        <f t="shared" si="51"/>
        <v>7485119.1721409997</v>
      </c>
    </row>
    <row r="237" spans="2:19" x14ac:dyDescent="0.3">
      <c r="B237" s="58">
        <v>233</v>
      </c>
      <c r="C237" s="61">
        <f t="shared" si="39"/>
        <v>380280.89229145163</v>
      </c>
      <c r="D237" s="61">
        <f t="shared" si="40"/>
        <v>380280.89229145163</v>
      </c>
      <c r="E237" s="61">
        <f t="shared" si="41"/>
        <v>4972903.9761189763</v>
      </c>
      <c r="F237">
        <f t="shared" si="42"/>
        <v>292423763</v>
      </c>
      <c r="H237" s="58">
        <v>233</v>
      </c>
      <c r="I237" s="61">
        <f t="shared" si="43"/>
        <v>1977547.8055627451</v>
      </c>
      <c r="J237" s="61">
        <f t="shared" si="44"/>
        <v>1395916.0980442914</v>
      </c>
      <c r="K237" s="61">
        <f t="shared" si="45"/>
        <v>21296668.675291128</v>
      </c>
      <c r="L237">
        <f t="shared" si="46"/>
        <v>894718012</v>
      </c>
      <c r="N237" s="58">
        <v>233</v>
      </c>
      <c r="O237" s="61">
        <f t="shared" si="47"/>
        <v>7821949.5355854817</v>
      </c>
      <c r="P237" s="61">
        <f t="shared" si="48"/>
        <v>5096654.9010149715</v>
      </c>
      <c r="Q237" s="61">
        <f t="shared" si="49"/>
        <v>84236379.613997459</v>
      </c>
      <c r="R237">
        <f t="shared" si="50"/>
        <v>2722472063</v>
      </c>
      <c r="S237">
        <f t="shared" si="51"/>
        <v>7821949.5369990002</v>
      </c>
    </row>
    <row r="238" spans="2:19" x14ac:dyDescent="0.3">
      <c r="B238" s="58">
        <v>234</v>
      </c>
      <c r="C238" s="61">
        <f t="shared" si="39"/>
        <v>393590.7235216524</v>
      </c>
      <c r="D238" s="61">
        <f t="shared" si="40"/>
        <v>393590.7235216524</v>
      </c>
      <c r="E238" s="61">
        <f t="shared" si="41"/>
        <v>5146955.61528314</v>
      </c>
      <c r="F238">
        <f t="shared" si="42"/>
        <v>302662095</v>
      </c>
      <c r="H238" s="58">
        <v>234</v>
      </c>
      <c r="I238" s="61">
        <f t="shared" si="43"/>
        <v>2056649.7177852551</v>
      </c>
      <c r="J238" s="61">
        <f t="shared" si="44"/>
        <v>1451752.7419660632</v>
      </c>
      <c r="K238" s="61">
        <f t="shared" si="45"/>
        <v>22148535.422302775</v>
      </c>
      <c r="L238">
        <f t="shared" si="46"/>
        <v>930510732</v>
      </c>
      <c r="N238" s="58">
        <v>234</v>
      </c>
      <c r="O238" s="61">
        <f t="shared" si="47"/>
        <v>8173937.2646868275</v>
      </c>
      <c r="P238" s="61">
        <f t="shared" si="48"/>
        <v>5326004.3715606453</v>
      </c>
      <c r="Q238" s="61">
        <f t="shared" si="49"/>
        <v>88027016.696627334</v>
      </c>
      <c r="R238">
        <f t="shared" si="50"/>
        <v>2844987805</v>
      </c>
      <c r="S238">
        <f t="shared" si="51"/>
        <v>8173937.2637649998</v>
      </c>
    </row>
    <row r="239" spans="2:19" x14ac:dyDescent="0.3">
      <c r="B239" s="58">
        <v>235</v>
      </c>
      <c r="C239" s="61">
        <f t="shared" si="39"/>
        <v>407366.3988449102</v>
      </c>
      <c r="D239" s="61">
        <f t="shared" si="40"/>
        <v>407366.3988449102</v>
      </c>
      <c r="E239" s="61">
        <f t="shared" si="41"/>
        <v>5327099.0618180493</v>
      </c>
      <c r="F239">
        <f t="shared" si="42"/>
        <v>313258768</v>
      </c>
      <c r="H239" s="58">
        <v>235</v>
      </c>
      <c r="I239" s="61">
        <f t="shared" si="43"/>
        <v>2138915.7064966653</v>
      </c>
      <c r="J239" s="61">
        <f t="shared" si="44"/>
        <v>1509822.8516447057</v>
      </c>
      <c r="K239" s="61">
        <f t="shared" si="45"/>
        <v>23034476.839194886</v>
      </c>
      <c r="L239">
        <f t="shared" si="46"/>
        <v>967735161</v>
      </c>
      <c r="N239" s="58">
        <v>235</v>
      </c>
      <c r="O239" s="61">
        <f t="shared" si="47"/>
        <v>8541764.4415977336</v>
      </c>
      <c r="P239" s="61">
        <f t="shared" si="48"/>
        <v>5565674.5682808738</v>
      </c>
      <c r="Q239" s="61">
        <f t="shared" si="49"/>
        <v>91988232.447975561</v>
      </c>
      <c r="R239">
        <f t="shared" si="50"/>
        <v>2973016757</v>
      </c>
      <c r="S239">
        <f t="shared" si="51"/>
        <v>8541764.4428610001</v>
      </c>
    </row>
    <row r="240" spans="2:19" x14ac:dyDescent="0.3">
      <c r="B240" s="58">
        <v>236</v>
      </c>
      <c r="C240" s="61">
        <f t="shared" si="39"/>
        <v>421624.22280448204</v>
      </c>
      <c r="D240" s="61">
        <f t="shared" si="40"/>
        <v>421624.22280448204</v>
      </c>
      <c r="E240" s="61">
        <f t="shared" si="41"/>
        <v>5513547.528981681</v>
      </c>
      <c r="F240">
        <f t="shared" si="42"/>
        <v>324226325</v>
      </c>
      <c r="H240" s="58">
        <v>236</v>
      </c>
      <c r="I240" s="61">
        <f t="shared" si="43"/>
        <v>2224472.3347565318</v>
      </c>
      <c r="J240" s="61">
        <f t="shared" si="44"/>
        <v>1570215.765710494</v>
      </c>
      <c r="K240" s="61">
        <f t="shared" si="45"/>
        <v>23955855.912762683</v>
      </c>
      <c r="L240">
        <f t="shared" si="46"/>
        <v>1006448568</v>
      </c>
      <c r="N240" s="58">
        <v>236</v>
      </c>
      <c r="O240" s="61">
        <f t="shared" si="47"/>
        <v>8926143.8414696306</v>
      </c>
      <c r="P240" s="61">
        <f t="shared" si="48"/>
        <v>5816129.9238535129</v>
      </c>
      <c r="Q240" s="61">
        <f t="shared" si="49"/>
        <v>96127702.90813446</v>
      </c>
      <c r="R240">
        <f t="shared" si="50"/>
        <v>3106807011</v>
      </c>
      <c r="S240">
        <f t="shared" si="51"/>
        <v>8926143.8426029999</v>
      </c>
    </row>
    <row r="241" spans="2:19" x14ac:dyDescent="0.3">
      <c r="B241" s="58">
        <v>237</v>
      </c>
      <c r="C241" s="61">
        <f t="shared" si="39"/>
        <v>436381.07060263888</v>
      </c>
      <c r="D241" s="61">
        <f t="shared" si="40"/>
        <v>436381.07060263888</v>
      </c>
      <c r="E241" s="61">
        <f t="shared" si="41"/>
        <v>5706521.692496039</v>
      </c>
      <c r="F241">
        <f t="shared" si="42"/>
        <v>335577747</v>
      </c>
      <c r="H241" s="58">
        <v>237</v>
      </c>
      <c r="I241" s="61">
        <f t="shared" si="43"/>
        <v>2313451.2281467933</v>
      </c>
      <c r="J241" s="61">
        <f t="shared" si="44"/>
        <v>1633024.3963389138</v>
      </c>
      <c r="K241" s="61">
        <f t="shared" si="45"/>
        <v>24914090.149273191</v>
      </c>
      <c r="L241">
        <f t="shared" si="46"/>
        <v>1046710510</v>
      </c>
      <c r="N241" s="58">
        <v>237</v>
      </c>
      <c r="O241" s="61">
        <f t="shared" si="47"/>
        <v>9327820.3143357635</v>
      </c>
      <c r="P241" s="61">
        <f t="shared" si="48"/>
        <v>6077855.7704269206</v>
      </c>
      <c r="Q241" s="61">
        <f t="shared" si="49"/>
        <v>100453449.53900051</v>
      </c>
      <c r="R241">
        <f t="shared" si="50"/>
        <v>3246617826</v>
      </c>
      <c r="S241">
        <f t="shared" si="51"/>
        <v>9327820.3140980005</v>
      </c>
    </row>
    <row r="242" spans="2:19" x14ac:dyDescent="0.3">
      <c r="B242" s="58">
        <v>238</v>
      </c>
      <c r="C242" s="61">
        <f t="shared" si="39"/>
        <v>451654.40807373123</v>
      </c>
      <c r="D242" s="61">
        <f t="shared" si="40"/>
        <v>451654.40807373123</v>
      </c>
      <c r="E242" s="61">
        <f t="shared" si="41"/>
        <v>5906249.9517334001</v>
      </c>
      <c r="F242">
        <f t="shared" si="42"/>
        <v>347326468</v>
      </c>
      <c r="H242" s="58">
        <v>238</v>
      </c>
      <c r="I242" s="61">
        <f t="shared" si="43"/>
        <v>2405989.2772726649</v>
      </c>
      <c r="J242" s="61">
        <f t="shared" si="44"/>
        <v>1698345.3721924704</v>
      </c>
      <c r="K242" s="61">
        <f t="shared" si="45"/>
        <v>25910653.755244121</v>
      </c>
      <c r="L242">
        <f t="shared" si="46"/>
        <v>1088582931</v>
      </c>
      <c r="N242" s="58">
        <v>238</v>
      </c>
      <c r="O242" s="61">
        <f t="shared" si="47"/>
        <v>9747572.2284808718</v>
      </c>
      <c r="P242" s="61">
        <f t="shared" si="48"/>
        <v>6351359.2800961314</v>
      </c>
      <c r="Q242" s="61">
        <f t="shared" si="49"/>
        <v>104973854.76825553</v>
      </c>
      <c r="R242">
        <f t="shared" si="50"/>
        <v>3392720128</v>
      </c>
      <c r="S242">
        <f t="shared" si="51"/>
        <v>9747572.227744</v>
      </c>
    </row>
    <row r="243" spans="2:19" x14ac:dyDescent="0.3">
      <c r="B243" s="58">
        <v>239</v>
      </c>
      <c r="C243" s="61">
        <f t="shared" si="39"/>
        <v>467462.31235631177</v>
      </c>
      <c r="D243" s="61">
        <f t="shared" si="40"/>
        <v>467462.31235631177</v>
      </c>
      <c r="E243" s="61">
        <f t="shared" si="41"/>
        <v>6112968.7000440685</v>
      </c>
      <c r="F243">
        <f t="shared" si="42"/>
        <v>359486394</v>
      </c>
      <c r="H243" s="58">
        <v>239</v>
      </c>
      <c r="I243" s="61">
        <f t="shared" si="43"/>
        <v>2502228.8483635718</v>
      </c>
      <c r="J243" s="61">
        <f t="shared" si="44"/>
        <v>1766279.1870801693</v>
      </c>
      <c r="K243" s="61">
        <f t="shared" si="45"/>
        <v>26947079.905453887</v>
      </c>
      <c r="L243">
        <f t="shared" si="46"/>
        <v>1132130248</v>
      </c>
      <c r="N243" s="58">
        <v>239</v>
      </c>
      <c r="O243" s="61">
        <f t="shared" si="47"/>
        <v>10186212.978762511</v>
      </c>
      <c r="P243" s="61">
        <f t="shared" si="48"/>
        <v>6637170.4477004567</v>
      </c>
      <c r="Q243" s="61">
        <f t="shared" si="49"/>
        <v>109697678.23282702</v>
      </c>
      <c r="R243">
        <f t="shared" si="50"/>
        <v>3545397034</v>
      </c>
      <c r="S243">
        <f t="shared" si="51"/>
        <v>10186212.978682</v>
      </c>
    </row>
    <row r="244" spans="2:19" x14ac:dyDescent="0.3">
      <c r="B244" s="58">
        <v>240</v>
      </c>
      <c r="C244" s="61">
        <f t="shared" si="39"/>
        <v>483823.49328878266</v>
      </c>
      <c r="D244" s="61">
        <f t="shared" si="40"/>
        <v>483823.49328878266</v>
      </c>
      <c r="E244" s="61">
        <f t="shared" si="41"/>
        <v>6326922.60454561</v>
      </c>
      <c r="F244">
        <f t="shared" si="42"/>
        <v>372071918</v>
      </c>
      <c r="H244" s="58">
        <v>240</v>
      </c>
      <c r="I244" s="61">
        <f t="shared" si="43"/>
        <v>2602318.0022981148</v>
      </c>
      <c r="J244" s="61">
        <f t="shared" si="44"/>
        <v>1836930.3545633762</v>
      </c>
      <c r="K244" s="61">
        <f t="shared" si="45"/>
        <v>28024963.101672042</v>
      </c>
      <c r="L244">
        <f t="shared" si="46"/>
        <v>1177419458</v>
      </c>
      <c r="N244" s="58">
        <v>240</v>
      </c>
      <c r="O244" s="61">
        <f t="shared" si="47"/>
        <v>10644592.562806824</v>
      </c>
      <c r="P244" s="61">
        <f t="shared" si="48"/>
        <v>6935843.117846977</v>
      </c>
      <c r="Q244" s="61">
        <f t="shared" si="49"/>
        <v>114634073.75330423</v>
      </c>
      <c r="R244">
        <f t="shared" si="50"/>
        <v>3704944401</v>
      </c>
      <c r="S244">
        <f t="shared" si="51"/>
        <v>10644592.564073</v>
      </c>
    </row>
    <row r="245" spans="2:19" x14ac:dyDescent="0.3">
      <c r="B245" s="58">
        <v>241</v>
      </c>
      <c r="C245" s="61">
        <f t="shared" si="39"/>
        <v>500757.31555389002</v>
      </c>
      <c r="D245" s="61">
        <f t="shared" si="40"/>
        <v>500757.31555389002</v>
      </c>
      <c r="E245" s="61">
        <f t="shared" si="41"/>
        <v>6548364.8957047062</v>
      </c>
      <c r="F245">
        <f t="shared" si="42"/>
        <v>385097935</v>
      </c>
      <c r="H245" s="58">
        <v>241</v>
      </c>
      <c r="I245" s="61">
        <f t="shared" si="43"/>
        <v>2706410.7223900394</v>
      </c>
      <c r="J245" s="61">
        <f t="shared" si="44"/>
        <v>1910407.5687459114</v>
      </c>
      <c r="K245" s="61">
        <f t="shared" si="45"/>
        <v>29145961.625738926</v>
      </c>
      <c r="L245">
        <f t="shared" si="46"/>
        <v>1224520236</v>
      </c>
      <c r="N245" s="58">
        <v>241</v>
      </c>
      <c r="O245" s="61">
        <f t="shared" si="47"/>
        <v>11123599.228133131</v>
      </c>
      <c r="P245" s="61">
        <f t="shared" si="48"/>
        <v>7247956.0581500903</v>
      </c>
      <c r="Q245" s="61">
        <f t="shared" si="49"/>
        <v>119792607.07220291</v>
      </c>
      <c r="R245">
        <f t="shared" si="50"/>
        <v>3871671399</v>
      </c>
      <c r="S245">
        <f t="shared" si="51"/>
        <v>11123599.229326999</v>
      </c>
    </row>
    <row r="246" spans="2:19" x14ac:dyDescent="0.3">
      <c r="B246" s="58">
        <v>242</v>
      </c>
      <c r="C246" s="61">
        <f t="shared" si="39"/>
        <v>518283.82159827615</v>
      </c>
      <c r="D246" s="61">
        <f t="shared" si="40"/>
        <v>518283.82159827615</v>
      </c>
      <c r="E246" s="61">
        <f t="shared" si="41"/>
        <v>6777557.66705437</v>
      </c>
      <c r="F246">
        <f t="shared" si="42"/>
        <v>398579863</v>
      </c>
      <c r="H246" s="58">
        <v>242</v>
      </c>
      <c r="I246" s="61">
        <f t="shared" si="43"/>
        <v>2814667.1512856409</v>
      </c>
      <c r="J246" s="61">
        <f t="shared" si="44"/>
        <v>1986823.8714957479</v>
      </c>
      <c r="K246" s="61">
        <f t="shared" si="45"/>
        <v>30311800.090768483</v>
      </c>
      <c r="L246">
        <f t="shared" si="46"/>
        <v>1273505046</v>
      </c>
      <c r="N246" s="58">
        <v>242</v>
      </c>
      <c r="O246" s="61">
        <f t="shared" si="47"/>
        <v>11624161.19339912</v>
      </c>
      <c r="P246" s="61">
        <f t="shared" si="48"/>
        <v>7574114.0807668436</v>
      </c>
      <c r="Q246" s="61">
        <f t="shared" si="49"/>
        <v>125183274.39045203</v>
      </c>
      <c r="R246">
        <f t="shared" si="50"/>
        <v>4045901112</v>
      </c>
      <c r="S246">
        <f t="shared" si="51"/>
        <v>11624161.194776</v>
      </c>
    </row>
    <row r="247" spans="2:19" x14ac:dyDescent="0.3">
      <c r="B247" s="58">
        <v>243</v>
      </c>
      <c r="C247" s="61">
        <f t="shared" si="39"/>
        <v>536423.75535421574</v>
      </c>
      <c r="D247" s="61">
        <f t="shared" si="40"/>
        <v>536423.75535421574</v>
      </c>
      <c r="E247" s="61">
        <f t="shared" si="41"/>
        <v>7014772.185401272</v>
      </c>
      <c r="F247">
        <f t="shared" si="42"/>
        <v>412533658</v>
      </c>
      <c r="H247" s="58">
        <v>243</v>
      </c>
      <c r="I247" s="61">
        <f t="shared" si="43"/>
        <v>2927253.8373370664</v>
      </c>
      <c r="J247" s="61">
        <f t="shared" si="44"/>
        <v>2066296.8263555779</v>
      </c>
      <c r="K247" s="61">
        <f t="shared" si="45"/>
        <v>31524272.094399221</v>
      </c>
      <c r="L247">
        <f t="shared" si="46"/>
        <v>1324449248</v>
      </c>
      <c r="N247" s="58">
        <v>243</v>
      </c>
      <c r="O247" s="61">
        <f t="shared" si="47"/>
        <v>12147248.447102079</v>
      </c>
      <c r="P247" s="61">
        <f t="shared" si="48"/>
        <v>7914949.2144013513</v>
      </c>
      <c r="Q247" s="61">
        <f t="shared" si="49"/>
        <v>130816521.73802236</v>
      </c>
      <c r="R247">
        <f t="shared" si="50"/>
        <v>4227971162</v>
      </c>
      <c r="S247">
        <f t="shared" si="51"/>
        <v>12147248.448426001</v>
      </c>
    </row>
    <row r="248" spans="2:19" x14ac:dyDescent="0.3">
      <c r="B248" s="58">
        <v>244</v>
      </c>
      <c r="C248" s="61">
        <f t="shared" si="39"/>
        <v>555198.58679161326</v>
      </c>
      <c r="D248" s="61">
        <f t="shared" si="40"/>
        <v>555198.58679161326</v>
      </c>
      <c r="E248" s="61">
        <f t="shared" si="41"/>
        <v>7260289.2118903156</v>
      </c>
      <c r="F248">
        <f t="shared" si="42"/>
        <v>426975836</v>
      </c>
      <c r="H248" s="58">
        <v>244</v>
      </c>
      <c r="I248" s="61">
        <f t="shared" si="43"/>
        <v>3044343.990830549</v>
      </c>
      <c r="J248" s="61">
        <f t="shared" si="44"/>
        <v>2148948.699409801</v>
      </c>
      <c r="K248" s="61">
        <f t="shared" si="45"/>
        <v>32785242.978175193</v>
      </c>
      <c r="L248">
        <f t="shared" si="46"/>
        <v>1377431218</v>
      </c>
      <c r="N248" s="58">
        <v>244</v>
      </c>
      <c r="O248" s="61">
        <f t="shared" si="47"/>
        <v>12693874.627221672</v>
      </c>
      <c r="P248" s="61">
        <f t="shared" si="48"/>
        <v>8271121.9290494118</v>
      </c>
      <c r="Q248" s="61">
        <f t="shared" si="49"/>
        <v>136703265.21623334</v>
      </c>
      <c r="R248">
        <f t="shared" si="50"/>
        <v>4418234364</v>
      </c>
      <c r="S248">
        <f t="shared" si="51"/>
        <v>12693874.627772</v>
      </c>
    </row>
    <row r="249" spans="2:19" x14ac:dyDescent="0.3">
      <c r="B249" s="58">
        <v>245</v>
      </c>
      <c r="C249" s="61">
        <f t="shared" si="39"/>
        <v>574630.53732931963</v>
      </c>
      <c r="D249" s="61">
        <f t="shared" si="40"/>
        <v>574630.53732931963</v>
      </c>
      <c r="E249" s="61">
        <f t="shared" si="41"/>
        <v>7514399.3343064757</v>
      </c>
      <c r="F249">
        <f t="shared" si="42"/>
        <v>441923490</v>
      </c>
      <c r="H249" s="58">
        <v>245</v>
      </c>
      <c r="I249" s="61">
        <f t="shared" si="43"/>
        <v>3166117.7504637712</v>
      </c>
      <c r="J249" s="61">
        <f t="shared" si="44"/>
        <v>2234906.6473861933</v>
      </c>
      <c r="K249" s="61">
        <f t="shared" si="45"/>
        <v>34096652.6973022</v>
      </c>
      <c r="L249">
        <f t="shared" si="46"/>
        <v>1432532466</v>
      </c>
      <c r="N249" s="58">
        <v>245</v>
      </c>
      <c r="O249" s="61">
        <f t="shared" si="47"/>
        <v>13265098.985446647</v>
      </c>
      <c r="P249" s="61">
        <f t="shared" si="48"/>
        <v>8643322.4158566352</v>
      </c>
      <c r="Q249" s="61">
        <f t="shared" si="49"/>
        <v>142854912.15096384</v>
      </c>
      <c r="R249">
        <f t="shared" si="50"/>
        <v>4617059410</v>
      </c>
      <c r="S249">
        <f t="shared" si="51"/>
        <v>13265098.984930001</v>
      </c>
    </row>
    <row r="250" spans="2:19" x14ac:dyDescent="0.3">
      <c r="B250" s="58">
        <v>246</v>
      </c>
      <c r="C250" s="61">
        <f t="shared" si="39"/>
        <v>594742.60613584577</v>
      </c>
      <c r="D250" s="61">
        <f t="shared" si="40"/>
        <v>594742.60613584577</v>
      </c>
      <c r="E250" s="61">
        <f t="shared" si="41"/>
        <v>7777403.3110072017</v>
      </c>
      <c r="F250">
        <f t="shared" si="42"/>
        <v>457394312</v>
      </c>
      <c r="H250" s="58">
        <v>246</v>
      </c>
      <c r="I250" s="61">
        <f t="shared" si="43"/>
        <v>3292762.4604823221</v>
      </c>
      <c r="J250" s="61">
        <f t="shared" si="44"/>
        <v>2324302.913281641</v>
      </c>
      <c r="K250" s="61">
        <f t="shared" si="45"/>
        <v>35460518.805194288</v>
      </c>
      <c r="L250">
        <f t="shared" si="46"/>
        <v>1489837765</v>
      </c>
      <c r="N250" s="58">
        <v>246</v>
      </c>
      <c r="O250" s="61">
        <f t="shared" si="47"/>
        <v>13862028.439791745</v>
      </c>
      <c r="P250" s="61">
        <f t="shared" si="48"/>
        <v>9032271.9245701823</v>
      </c>
      <c r="Q250" s="61">
        <f t="shared" si="49"/>
        <v>149283383.19775721</v>
      </c>
      <c r="R250">
        <f t="shared" si="50"/>
        <v>4824831584</v>
      </c>
      <c r="S250">
        <f t="shared" si="51"/>
        <v>13862028.440832002</v>
      </c>
    </row>
    <row r="251" spans="2:19" x14ac:dyDescent="0.3">
      <c r="B251" s="58">
        <v>247</v>
      </c>
      <c r="C251" s="61">
        <f t="shared" si="39"/>
        <v>615558.59735060029</v>
      </c>
      <c r="D251" s="61">
        <f t="shared" si="40"/>
        <v>615558.59735060029</v>
      </c>
      <c r="E251" s="61">
        <f t="shared" si="41"/>
        <v>8049612.4268924529</v>
      </c>
      <c r="F251">
        <f t="shared" si="42"/>
        <v>473406613</v>
      </c>
      <c r="H251" s="58">
        <v>247</v>
      </c>
      <c r="I251" s="61">
        <f t="shared" si="43"/>
        <v>3424472.9589016153</v>
      </c>
      <c r="J251" s="61">
        <f t="shared" si="44"/>
        <v>2417275.0298129069</v>
      </c>
      <c r="K251" s="61">
        <f t="shared" si="45"/>
        <v>36878939.557402059</v>
      </c>
      <c r="L251">
        <f t="shared" si="46"/>
        <v>1549435276</v>
      </c>
      <c r="N251" s="58">
        <v>247</v>
      </c>
      <c r="O251" s="61">
        <f t="shared" si="47"/>
        <v>14485819.719582371</v>
      </c>
      <c r="P251" s="61">
        <f t="shared" si="48"/>
        <v>9438724.1611758396</v>
      </c>
      <c r="Q251" s="61">
        <f t="shared" si="49"/>
        <v>156001135.44165629</v>
      </c>
      <c r="R251">
        <f t="shared" si="50"/>
        <v>5041953505</v>
      </c>
      <c r="S251">
        <f t="shared" si="51"/>
        <v>14485819.719865</v>
      </c>
    </row>
    <row r="252" spans="2:19" x14ac:dyDescent="0.3">
      <c r="B252" s="58">
        <v>248</v>
      </c>
      <c r="C252" s="61">
        <f t="shared" si="39"/>
        <v>637103.14825787127</v>
      </c>
      <c r="D252" s="61">
        <f t="shared" si="40"/>
        <v>637103.14825787127</v>
      </c>
      <c r="E252" s="61">
        <f t="shared" si="41"/>
        <v>8331348.8618336879</v>
      </c>
      <c r="F252">
        <f t="shared" si="42"/>
        <v>489979345</v>
      </c>
      <c r="H252" s="58">
        <v>248</v>
      </c>
      <c r="I252" s="61">
        <f t="shared" si="43"/>
        <v>3561451.8772576801</v>
      </c>
      <c r="J252" s="61">
        <f t="shared" si="44"/>
        <v>2513966.0310054231</v>
      </c>
      <c r="K252" s="61">
        <f t="shared" si="45"/>
        <v>38354097.13969814</v>
      </c>
      <c r="L252">
        <f t="shared" si="46"/>
        <v>1611416687</v>
      </c>
      <c r="N252" s="58">
        <v>248</v>
      </c>
      <c r="O252" s="61">
        <f t="shared" si="47"/>
        <v>15137681.606963577</v>
      </c>
      <c r="P252" s="61">
        <f t="shared" si="48"/>
        <v>9863466.7484287508</v>
      </c>
      <c r="Q252" s="61">
        <f t="shared" si="49"/>
        <v>163021186.53653082</v>
      </c>
      <c r="R252">
        <f t="shared" si="50"/>
        <v>5268845913</v>
      </c>
      <c r="S252">
        <f t="shared" si="51"/>
        <v>15137681.608049002</v>
      </c>
    </row>
    <row r="253" spans="2:19" x14ac:dyDescent="0.3">
      <c r="B253" s="58">
        <v>249</v>
      </c>
      <c r="C253" s="61">
        <f t="shared" si="39"/>
        <v>659401.75844689668</v>
      </c>
      <c r="D253" s="61">
        <f t="shared" si="40"/>
        <v>659401.75844689668</v>
      </c>
      <c r="E253" s="61">
        <f t="shared" si="41"/>
        <v>8622946.071997866</v>
      </c>
      <c r="F253">
        <f t="shared" si="42"/>
        <v>507132122</v>
      </c>
      <c r="H253" s="58">
        <v>249</v>
      </c>
      <c r="I253" s="61">
        <f t="shared" si="43"/>
        <v>3703909.9523479873</v>
      </c>
      <c r="J253" s="61">
        <f t="shared" si="44"/>
        <v>2614524.6722456398</v>
      </c>
      <c r="K253" s="61">
        <f t="shared" si="45"/>
        <v>39888261.025286071</v>
      </c>
      <c r="L253">
        <f t="shared" si="46"/>
        <v>1675877354</v>
      </c>
      <c r="N253" s="58">
        <v>249</v>
      </c>
      <c r="O253" s="61">
        <f t="shared" si="47"/>
        <v>15818877.279276937</v>
      </c>
      <c r="P253" s="61">
        <f t="shared" si="48"/>
        <v>10307322.752108043</v>
      </c>
      <c r="Q253" s="61">
        <f t="shared" si="49"/>
        <v>170357139.9306747</v>
      </c>
      <c r="R253">
        <f t="shared" si="50"/>
        <v>5505948479</v>
      </c>
      <c r="S253">
        <f t="shared" si="51"/>
        <v>15818877.280167</v>
      </c>
    </row>
    <row r="254" spans="2:19" x14ac:dyDescent="0.3">
      <c r="B254" s="58">
        <v>250</v>
      </c>
      <c r="C254" s="61">
        <f t="shared" si="39"/>
        <v>682480.81999253796</v>
      </c>
      <c r="D254" s="61">
        <f t="shared" si="40"/>
        <v>682480.81999253796</v>
      </c>
      <c r="E254" s="61">
        <f t="shared" si="41"/>
        <v>8924749.1845177915</v>
      </c>
      <c r="F254">
        <f t="shared" si="42"/>
        <v>524885246</v>
      </c>
      <c r="H254" s="58">
        <v>250</v>
      </c>
      <c r="I254" s="61">
        <f t="shared" si="43"/>
        <v>3852066.3504419071</v>
      </c>
      <c r="J254" s="61">
        <f t="shared" si="44"/>
        <v>2719105.6591354655</v>
      </c>
      <c r="K254" s="61">
        <f t="shared" si="45"/>
        <v>41483791.466297515</v>
      </c>
      <c r="L254">
        <f t="shared" si="46"/>
        <v>1742916448</v>
      </c>
      <c r="N254" s="58">
        <v>250</v>
      </c>
      <c r="O254" s="61">
        <f t="shared" si="47"/>
        <v>16530726.756844398</v>
      </c>
      <c r="P254" s="61">
        <f t="shared" si="48"/>
        <v>10771152.275952904</v>
      </c>
      <c r="Q254" s="61">
        <f t="shared" si="49"/>
        <v>178023211.22755504</v>
      </c>
      <c r="R254">
        <f t="shared" si="50"/>
        <v>5753720660</v>
      </c>
      <c r="S254">
        <f t="shared" si="51"/>
        <v>16530726.75618</v>
      </c>
    </row>
    <row r="255" spans="2:19" x14ac:dyDescent="0.3">
      <c r="B255" s="58">
        <v>251</v>
      </c>
      <c r="C255" s="61">
        <f t="shared" si="39"/>
        <v>706367.64869227668</v>
      </c>
      <c r="D255" s="61">
        <f t="shared" si="40"/>
        <v>706367.64869227668</v>
      </c>
      <c r="E255" s="61">
        <f t="shared" si="41"/>
        <v>9237115.4059759136</v>
      </c>
      <c r="F255">
        <f t="shared" si="42"/>
        <v>543259730</v>
      </c>
      <c r="H255" s="58">
        <v>251</v>
      </c>
      <c r="I255" s="61">
        <f t="shared" si="43"/>
        <v>4006149.0044595837</v>
      </c>
      <c r="J255" s="61">
        <f t="shared" si="44"/>
        <v>2827869.8855008841</v>
      </c>
      <c r="K255" s="61">
        <f t="shared" si="45"/>
        <v>43143143.124949418</v>
      </c>
      <c r="L255">
        <f t="shared" si="46"/>
        <v>1812637106</v>
      </c>
      <c r="N255" s="58">
        <v>251</v>
      </c>
      <c r="O255" s="61">
        <f t="shared" si="47"/>
        <v>17274609.460902393</v>
      </c>
      <c r="P255" s="61">
        <f t="shared" si="48"/>
        <v>11255854.128370784</v>
      </c>
      <c r="Q255" s="61">
        <f t="shared" si="49"/>
        <v>186034255.732795</v>
      </c>
      <c r="R255">
        <f t="shared" si="50"/>
        <v>6012642590</v>
      </c>
      <c r="S255">
        <f t="shared" si="51"/>
        <v>17274609.461070001</v>
      </c>
    </row>
    <row r="256" spans="2:19" x14ac:dyDescent="0.3">
      <c r="B256" s="58">
        <v>252</v>
      </c>
      <c r="C256" s="61">
        <f t="shared" si="39"/>
        <v>731090.51639650634</v>
      </c>
      <c r="D256" s="61">
        <f t="shared" si="40"/>
        <v>731090.51639650634</v>
      </c>
      <c r="E256" s="61">
        <f t="shared" si="41"/>
        <v>9560414.445185069</v>
      </c>
      <c r="F256">
        <f t="shared" si="42"/>
        <v>562277320</v>
      </c>
      <c r="H256" s="58">
        <v>252</v>
      </c>
      <c r="I256" s="61">
        <f t="shared" si="43"/>
        <v>4166394.9646379673</v>
      </c>
      <c r="J256" s="61">
        <f t="shared" si="44"/>
        <v>2940984.6809209194</v>
      </c>
      <c r="K256" s="61">
        <f t="shared" si="45"/>
        <v>44868868.849947393</v>
      </c>
      <c r="L256">
        <f t="shared" si="46"/>
        <v>1885146590</v>
      </c>
      <c r="N256" s="58">
        <v>252</v>
      </c>
      <c r="O256" s="61">
        <f t="shared" si="47"/>
        <v>18051966.886643</v>
      </c>
      <c r="P256" s="61">
        <f t="shared" si="48"/>
        <v>11762367.564147469</v>
      </c>
      <c r="Q256" s="61">
        <f t="shared" si="49"/>
        <v>194405797.24077076</v>
      </c>
      <c r="R256">
        <f t="shared" si="50"/>
        <v>6283216006</v>
      </c>
      <c r="S256">
        <f t="shared" si="51"/>
        <v>18051966.885238003</v>
      </c>
    </row>
    <row r="257" spans="2:19" x14ac:dyDescent="0.3">
      <c r="B257" s="58">
        <v>253</v>
      </c>
      <c r="C257" s="61">
        <f t="shared" si="39"/>
        <v>756678.68447038403</v>
      </c>
      <c r="D257" s="61">
        <f t="shared" si="40"/>
        <v>756678.68447038403</v>
      </c>
      <c r="E257" s="61">
        <f t="shared" si="41"/>
        <v>9895028.9507665448</v>
      </c>
      <c r="F257">
        <f t="shared" si="42"/>
        <v>581960527</v>
      </c>
      <c r="H257" s="58">
        <v>253</v>
      </c>
      <c r="I257" s="61">
        <f t="shared" si="43"/>
        <v>4333050.763223486</v>
      </c>
      <c r="J257" s="61">
        <f t="shared" si="44"/>
        <v>3058624.0681577562</v>
      </c>
      <c r="K257" s="61">
        <f t="shared" si="45"/>
        <v>46663623.603945293</v>
      </c>
      <c r="L257">
        <f t="shared" si="46"/>
        <v>1960556454</v>
      </c>
      <c r="N257" s="58">
        <v>253</v>
      </c>
      <c r="O257" s="61">
        <f t="shared" si="47"/>
        <v>18864305.396541934</v>
      </c>
      <c r="P257" s="61">
        <f t="shared" si="48"/>
        <v>12291674.104534104</v>
      </c>
      <c r="Q257" s="61">
        <f t="shared" si="49"/>
        <v>203154058.11660543</v>
      </c>
      <c r="R257">
        <f t="shared" si="50"/>
        <v>6565965227</v>
      </c>
      <c r="S257">
        <f t="shared" si="51"/>
        <v>18864305.397171002</v>
      </c>
    </row>
    <row r="258" spans="2:19" x14ac:dyDescent="0.3">
      <c r="B258" s="58">
        <v>254</v>
      </c>
      <c r="C258" s="61">
        <f t="shared" si="39"/>
        <v>783162.43842684745</v>
      </c>
      <c r="D258" s="61">
        <f t="shared" si="40"/>
        <v>783162.43842684745</v>
      </c>
      <c r="E258" s="61">
        <f t="shared" si="41"/>
        <v>10241354.964043373</v>
      </c>
      <c r="F258">
        <f t="shared" si="42"/>
        <v>602332645</v>
      </c>
      <c r="H258" s="58">
        <v>254</v>
      </c>
      <c r="I258" s="61">
        <f t="shared" si="43"/>
        <v>4506372.7937524254</v>
      </c>
      <c r="J258" s="61">
        <f t="shared" si="44"/>
        <v>3180969.0308840666</v>
      </c>
      <c r="K258" s="61">
        <f t="shared" si="45"/>
        <v>48530168.548103109</v>
      </c>
      <c r="L258">
        <f t="shared" si="46"/>
        <v>2038982712</v>
      </c>
      <c r="N258" s="58">
        <v>254</v>
      </c>
      <c r="O258" s="61">
        <f t="shared" si="47"/>
        <v>19713199.139386319</v>
      </c>
      <c r="P258" s="61">
        <f t="shared" si="48"/>
        <v>12844799.439238138</v>
      </c>
      <c r="Q258" s="61">
        <f t="shared" si="49"/>
        <v>212295990.73185265</v>
      </c>
      <c r="R258">
        <f t="shared" si="50"/>
        <v>6861438162</v>
      </c>
      <c r="S258">
        <f t="shared" si="51"/>
        <v>19713199.139426</v>
      </c>
    </row>
    <row r="259" spans="2:19" x14ac:dyDescent="0.3">
      <c r="B259" s="58">
        <v>255</v>
      </c>
      <c r="C259" s="61">
        <f t="shared" si="39"/>
        <v>810573.12377178704</v>
      </c>
      <c r="D259" s="61">
        <f t="shared" si="40"/>
        <v>810573.12377178704</v>
      </c>
      <c r="E259" s="61">
        <f t="shared" si="41"/>
        <v>10599802.387784891</v>
      </c>
      <c r="F259">
        <f t="shared" si="42"/>
        <v>623417788</v>
      </c>
      <c r="H259" s="58">
        <v>255</v>
      </c>
      <c r="I259" s="61">
        <f t="shared" si="43"/>
        <v>4686627.7055025222</v>
      </c>
      <c r="J259" s="61">
        <f t="shared" si="44"/>
        <v>3308207.7921194294</v>
      </c>
      <c r="K259" s="61">
        <f t="shared" si="45"/>
        <v>50471375.290027238</v>
      </c>
      <c r="L259">
        <f t="shared" si="46"/>
        <v>2120546021</v>
      </c>
      <c r="N259" s="58">
        <v>255</v>
      </c>
      <c r="O259" s="61">
        <f t="shared" si="47"/>
        <v>20600293.1006587</v>
      </c>
      <c r="P259" s="61">
        <f t="shared" si="48"/>
        <v>13422815.414003855</v>
      </c>
      <c r="Q259" s="61">
        <f t="shared" si="49"/>
        <v>221849310.31478602</v>
      </c>
      <c r="R259">
        <f t="shared" si="50"/>
        <v>7170207379</v>
      </c>
      <c r="S259">
        <f t="shared" si="51"/>
        <v>20600293.099867001</v>
      </c>
    </row>
    <row r="260" spans="2:19" x14ac:dyDescent="0.3">
      <c r="B260" s="58">
        <v>256</v>
      </c>
      <c r="C260" s="61">
        <f t="shared" si="39"/>
        <v>838943.18310379947</v>
      </c>
      <c r="D260" s="61">
        <f t="shared" si="40"/>
        <v>838943.18310379947</v>
      </c>
      <c r="E260" s="61">
        <f t="shared" si="41"/>
        <v>10970795.47135736</v>
      </c>
      <c r="F260">
        <f t="shared" si="42"/>
        <v>645240910</v>
      </c>
      <c r="H260" s="58">
        <v>256</v>
      </c>
      <c r="I260" s="61">
        <f t="shared" si="43"/>
        <v>4874092.8137226235</v>
      </c>
      <c r="J260" s="61">
        <f t="shared" si="44"/>
        <v>3440536.1038042069</v>
      </c>
      <c r="K260" s="61">
        <f t="shared" si="45"/>
        <v>52490230.301628329</v>
      </c>
      <c r="L260">
        <f t="shared" si="46"/>
        <v>2205371861</v>
      </c>
      <c r="N260" s="58">
        <v>256</v>
      </c>
      <c r="O260" s="61">
        <f t="shared" si="47"/>
        <v>21527306.290188339</v>
      </c>
      <c r="P260" s="61">
        <f t="shared" si="48"/>
        <v>14026842.107634027</v>
      </c>
      <c r="Q260" s="61">
        <f t="shared" si="49"/>
        <v>231832529.27895138</v>
      </c>
      <c r="R260">
        <f t="shared" si="50"/>
        <v>7492871211</v>
      </c>
      <c r="S260">
        <f t="shared" si="51"/>
        <v>21527306.289202999</v>
      </c>
    </row>
    <row r="261" spans="2:19" x14ac:dyDescent="0.3">
      <c r="B261" s="58">
        <v>257</v>
      </c>
      <c r="C261" s="61">
        <f t="shared" si="39"/>
        <v>868306.19451243244</v>
      </c>
      <c r="D261" s="61">
        <f t="shared" si="40"/>
        <v>868306.19451243244</v>
      </c>
      <c r="E261" s="61">
        <f t="shared" si="41"/>
        <v>11354773.312854867</v>
      </c>
      <c r="F261">
        <f t="shared" si="42"/>
        <v>667827842</v>
      </c>
      <c r="H261" s="58">
        <v>257</v>
      </c>
      <c r="I261" s="61">
        <f t="shared" si="43"/>
        <v>5069056.5262715286</v>
      </c>
      <c r="J261" s="61">
        <f t="shared" si="44"/>
        <v>3578157.5479563754</v>
      </c>
      <c r="K261" s="61">
        <f t="shared" si="45"/>
        <v>54589839.513693467</v>
      </c>
      <c r="L261">
        <f t="shared" si="46"/>
        <v>2293590736</v>
      </c>
      <c r="N261" s="58">
        <v>257</v>
      </c>
      <c r="O261" s="61">
        <f t="shared" si="47"/>
        <v>22496035.073246811</v>
      </c>
      <c r="P261" s="61">
        <f t="shared" si="48"/>
        <v>14658050.002477556</v>
      </c>
      <c r="Q261" s="61">
        <f t="shared" si="49"/>
        <v>242264993.09650418</v>
      </c>
      <c r="R261">
        <f t="shared" si="50"/>
        <v>7830054916</v>
      </c>
      <c r="S261">
        <f t="shared" si="51"/>
        <v>22496035.073667999</v>
      </c>
    </row>
    <row r="262" spans="2:19" x14ac:dyDescent="0.3">
      <c r="B262" s="58">
        <v>258</v>
      </c>
      <c r="C262" s="61">
        <f t="shared" ref="C262:C304" si="52">C261*$A$5</f>
        <v>898696.91132036748</v>
      </c>
      <c r="D262" s="61">
        <f t="shared" ref="D262:D304" si="53">D261*$A$5</f>
        <v>898696.91132036748</v>
      </c>
      <c r="E262" s="61">
        <f t="shared" ref="E262:E304" si="54">E261*$A$5</f>
        <v>11752190.378804786</v>
      </c>
      <c r="F262">
        <f t="shared" ref="F262:F304" si="55">ROUND((C262/C$5-1)*100000, 0)</f>
        <v>691205316</v>
      </c>
      <c r="H262" s="58">
        <v>258</v>
      </c>
      <c r="I262" s="61">
        <f t="shared" ref="I262:I304" si="56">I261*$G$5</f>
        <v>5271818.7873223899</v>
      </c>
      <c r="J262" s="61">
        <f t="shared" ref="J262:J304" si="57">J261*$G$5</f>
        <v>3721283.8498746306</v>
      </c>
      <c r="K262" s="61">
        <f t="shared" ref="K262:K304" si="58">K261*$G$5</f>
        <v>56773433.094241209</v>
      </c>
      <c r="L262">
        <f t="shared" ref="L262:L304" si="59">ROUND((I262/I$5-1)*100000, 0)</f>
        <v>2385338365</v>
      </c>
      <c r="N262" s="58">
        <v>258</v>
      </c>
      <c r="O262" s="61">
        <f t="shared" ref="O262:O304" si="60">O261*$M$5</f>
        <v>23508356.651542917</v>
      </c>
      <c r="P262" s="61">
        <f t="shared" ref="P262:P304" si="61">P261*$M$5</f>
        <v>15317662.252589045</v>
      </c>
      <c r="Q262" s="61">
        <f t="shared" ref="Q262:Q304" si="62">Q261*$M$5</f>
        <v>253166917.78584686</v>
      </c>
      <c r="R262">
        <f t="shared" ref="R262:R304" si="63">ROUND((O262/O$5-1)*100000, 0)</f>
        <v>8182411887</v>
      </c>
      <c r="S262">
        <f t="shared" ref="S262:S325" si="64">$O$5*(1+R262/100000)</f>
        <v>23508356.651351001</v>
      </c>
    </row>
    <row r="263" spans="2:19" x14ac:dyDescent="0.3">
      <c r="B263" s="58">
        <v>259</v>
      </c>
      <c r="C263" s="61">
        <f t="shared" si="52"/>
        <v>930151.3032165803</v>
      </c>
      <c r="D263" s="61">
        <f t="shared" si="53"/>
        <v>930151.3032165803</v>
      </c>
      <c r="E263" s="61">
        <f t="shared" si="54"/>
        <v>12163517.042062953</v>
      </c>
      <c r="F263">
        <f t="shared" si="55"/>
        <v>715401002</v>
      </c>
      <c r="H263" s="58">
        <v>259</v>
      </c>
      <c r="I263" s="61">
        <f t="shared" si="56"/>
        <v>5482691.538815286</v>
      </c>
      <c r="J263" s="61">
        <f t="shared" si="57"/>
        <v>3870135.2038696161</v>
      </c>
      <c r="K263" s="61">
        <f t="shared" si="58"/>
        <v>59044370.418010861</v>
      </c>
      <c r="L263">
        <f t="shared" si="59"/>
        <v>2480755900</v>
      </c>
      <c r="N263" s="58">
        <v>259</v>
      </c>
      <c r="O263" s="61">
        <f t="shared" si="60"/>
        <v>24566232.700862348</v>
      </c>
      <c r="P263" s="61">
        <f t="shared" si="61"/>
        <v>16006957.053955551</v>
      </c>
      <c r="Q263" s="61">
        <f t="shared" si="62"/>
        <v>264559429.08620995</v>
      </c>
      <c r="R263">
        <f t="shared" si="63"/>
        <v>8550624922</v>
      </c>
      <c r="S263">
        <f t="shared" si="64"/>
        <v>24566232.700906001</v>
      </c>
    </row>
    <row r="264" spans="2:19" x14ac:dyDescent="0.3">
      <c r="B264" s="58">
        <v>260</v>
      </c>
      <c r="C264" s="61">
        <f t="shared" si="52"/>
        <v>962706.59882916056</v>
      </c>
      <c r="D264" s="61">
        <f t="shared" si="53"/>
        <v>962706.59882916056</v>
      </c>
      <c r="E264" s="61">
        <f t="shared" si="54"/>
        <v>12589240.138535155</v>
      </c>
      <c r="F264">
        <f t="shared" si="55"/>
        <v>740443538</v>
      </c>
      <c r="H264" s="58">
        <v>260</v>
      </c>
      <c r="I264" s="61">
        <f t="shared" si="56"/>
        <v>5701999.2003678977</v>
      </c>
      <c r="J264" s="61">
        <f t="shared" si="57"/>
        <v>4024940.6120244008</v>
      </c>
      <c r="K264" s="61">
        <f t="shared" si="58"/>
        <v>61406145.234731294</v>
      </c>
      <c r="L264">
        <f t="shared" si="59"/>
        <v>2579990136</v>
      </c>
      <c r="N264" s="58">
        <v>260</v>
      </c>
      <c r="O264" s="61">
        <f t="shared" si="60"/>
        <v>25671713.172401153</v>
      </c>
      <c r="P264" s="61">
        <f t="shared" si="61"/>
        <v>16727270.12138355</v>
      </c>
      <c r="Q264" s="61">
        <f t="shared" si="62"/>
        <v>276464603.39508939</v>
      </c>
      <c r="R264">
        <f t="shared" si="63"/>
        <v>8935407543</v>
      </c>
      <c r="S264">
        <f t="shared" si="64"/>
        <v>25671713.171039</v>
      </c>
    </row>
    <row r="265" spans="2:19" x14ac:dyDescent="0.3">
      <c r="B265" s="58">
        <v>261</v>
      </c>
      <c r="C265" s="61">
        <f t="shared" si="52"/>
        <v>996401.32978818112</v>
      </c>
      <c r="D265" s="61">
        <f t="shared" si="53"/>
        <v>996401.32978818112</v>
      </c>
      <c r="E265" s="61">
        <f t="shared" si="54"/>
        <v>13029863.543383885</v>
      </c>
      <c r="F265">
        <f t="shared" si="55"/>
        <v>766362561</v>
      </c>
      <c r="H265" s="58">
        <v>261</v>
      </c>
      <c r="I265" s="61">
        <f t="shared" si="56"/>
        <v>5930079.1683826139</v>
      </c>
      <c r="J265" s="61">
        <f t="shared" si="57"/>
        <v>4185938.2365053771</v>
      </c>
      <c r="K265" s="61">
        <f t="shared" si="58"/>
        <v>63862391.04412055</v>
      </c>
      <c r="L265">
        <f t="shared" si="59"/>
        <v>2683193741</v>
      </c>
      <c r="N265" s="58">
        <v>261</v>
      </c>
      <c r="O265" s="61">
        <f t="shared" si="60"/>
        <v>26826940.265159201</v>
      </c>
      <c r="P265" s="61">
        <f t="shared" si="61"/>
        <v>17479997.276845809</v>
      </c>
      <c r="Q265" s="61">
        <f t="shared" si="62"/>
        <v>288905510.54786837</v>
      </c>
      <c r="R265">
        <f t="shared" si="63"/>
        <v>9337505383</v>
      </c>
      <c r="S265">
        <f t="shared" si="64"/>
        <v>26826940.265359003</v>
      </c>
    </row>
    <row r="266" spans="2:19" x14ac:dyDescent="0.3">
      <c r="B266" s="58">
        <v>262</v>
      </c>
      <c r="C266" s="61">
        <f t="shared" si="52"/>
        <v>1031275.3763307674</v>
      </c>
      <c r="D266" s="61">
        <f t="shared" si="53"/>
        <v>1031275.3763307674</v>
      </c>
      <c r="E266" s="61">
        <f t="shared" si="54"/>
        <v>13485908.767402319</v>
      </c>
      <c r="F266">
        <f t="shared" si="55"/>
        <v>793188751</v>
      </c>
      <c r="H266" s="58">
        <v>262</v>
      </c>
      <c r="I266" s="61">
        <f t="shared" si="56"/>
        <v>6167282.3351179184</v>
      </c>
      <c r="J266" s="61">
        <f t="shared" si="57"/>
        <v>4353375.7659655921</v>
      </c>
      <c r="K266" s="61">
        <f t="shared" si="58"/>
        <v>66416886.685885377</v>
      </c>
      <c r="L266">
        <f t="shared" si="59"/>
        <v>2790525491</v>
      </c>
      <c r="N266" s="58">
        <v>262</v>
      </c>
      <c r="O266" s="61">
        <f t="shared" si="60"/>
        <v>28034152.577091362</v>
      </c>
      <c r="P266" s="61">
        <f t="shared" si="61"/>
        <v>18266597.154303871</v>
      </c>
      <c r="Q266" s="61">
        <f t="shared" si="62"/>
        <v>301906258.52252245</v>
      </c>
      <c r="R266">
        <f t="shared" si="63"/>
        <v>9757697625</v>
      </c>
      <c r="S266">
        <f t="shared" si="64"/>
        <v>28034152.576625004</v>
      </c>
    </row>
    <row r="267" spans="2:19" x14ac:dyDescent="0.3">
      <c r="B267" s="58">
        <v>263</v>
      </c>
      <c r="C267" s="61">
        <f t="shared" si="52"/>
        <v>1067370.0145023442</v>
      </c>
      <c r="D267" s="61">
        <f t="shared" si="53"/>
        <v>1067370.0145023442</v>
      </c>
      <c r="E267" s="61">
        <f t="shared" si="54"/>
        <v>13957915.574261399</v>
      </c>
      <c r="F267">
        <f t="shared" si="55"/>
        <v>820953857</v>
      </c>
      <c r="H267" s="58">
        <v>263</v>
      </c>
      <c r="I267" s="61">
        <f t="shared" si="56"/>
        <v>6413973.6285226354</v>
      </c>
      <c r="J267" s="61">
        <f t="shared" si="57"/>
        <v>4527510.7966042161</v>
      </c>
      <c r="K267" s="61">
        <f t="shared" si="58"/>
        <v>69073562.153320789</v>
      </c>
      <c r="L267">
        <f t="shared" si="59"/>
        <v>2902150511</v>
      </c>
      <c r="N267" s="58">
        <v>263</v>
      </c>
      <c r="O267" s="61">
        <f t="shared" si="60"/>
        <v>29295689.443060473</v>
      </c>
      <c r="P267" s="61">
        <f t="shared" si="61"/>
        <v>19088594.026247542</v>
      </c>
      <c r="Q267" s="61">
        <f t="shared" si="62"/>
        <v>315492040.15603596</v>
      </c>
      <c r="R267">
        <f t="shared" si="63"/>
        <v>10196798518</v>
      </c>
      <c r="S267">
        <f t="shared" si="64"/>
        <v>29295689.442214001</v>
      </c>
    </row>
    <row r="268" spans="2:19" x14ac:dyDescent="0.3">
      <c r="B268" s="58">
        <v>264</v>
      </c>
      <c r="C268" s="61">
        <f t="shared" si="52"/>
        <v>1104727.9650099261</v>
      </c>
      <c r="D268" s="61">
        <f t="shared" si="53"/>
        <v>1104727.9650099261</v>
      </c>
      <c r="E268" s="61">
        <f t="shared" si="54"/>
        <v>14446442.619360548</v>
      </c>
      <c r="F268">
        <f t="shared" si="55"/>
        <v>849690742</v>
      </c>
      <c r="H268" s="58">
        <v>264</v>
      </c>
      <c r="I268" s="61">
        <f t="shared" si="56"/>
        <v>6670532.5736635411</v>
      </c>
      <c r="J268" s="61">
        <f t="shared" si="57"/>
        <v>4708611.2284683846</v>
      </c>
      <c r="K268" s="61">
        <f t="shared" si="58"/>
        <v>71836504.63945362</v>
      </c>
      <c r="L268">
        <f t="shared" si="59"/>
        <v>3018240531</v>
      </c>
      <c r="N268" s="58">
        <v>264</v>
      </c>
      <c r="O268" s="61">
        <f t="shared" si="60"/>
        <v>30613995.467998192</v>
      </c>
      <c r="P268" s="61">
        <f t="shared" si="61"/>
        <v>19947580.75742868</v>
      </c>
      <c r="Q268" s="61">
        <f t="shared" si="62"/>
        <v>329689181.96305758</v>
      </c>
      <c r="R268">
        <f t="shared" si="63"/>
        <v>10655658952</v>
      </c>
      <c r="S268">
        <f t="shared" si="64"/>
        <v>30613995.469096001</v>
      </c>
    </row>
    <row r="269" spans="2:19" x14ac:dyDescent="0.3">
      <c r="B269" s="58">
        <v>265</v>
      </c>
      <c r="C269" s="61">
        <f t="shared" si="52"/>
        <v>1143393.4437852735</v>
      </c>
      <c r="D269" s="61">
        <f t="shared" si="53"/>
        <v>1143393.4437852735</v>
      </c>
      <c r="E269" s="61">
        <f t="shared" si="54"/>
        <v>14952068.111038165</v>
      </c>
      <c r="F269">
        <f t="shared" si="55"/>
        <v>879433418</v>
      </c>
      <c r="H269" s="58">
        <v>265</v>
      </c>
      <c r="I269" s="61">
        <f t="shared" si="56"/>
        <v>6937353.8766100826</v>
      </c>
      <c r="J269" s="61">
        <f t="shared" si="57"/>
        <v>4896955.67760712</v>
      </c>
      <c r="K269" s="61">
        <f t="shared" si="58"/>
        <v>74709964.825031772</v>
      </c>
      <c r="L269">
        <f t="shared" si="59"/>
        <v>3138974152</v>
      </c>
      <c r="N269" s="58">
        <v>265</v>
      </c>
      <c r="O269" s="61">
        <f t="shared" si="60"/>
        <v>31991625.264058109</v>
      </c>
      <c r="P269" s="61">
        <f t="shared" si="61"/>
        <v>20845221.891512968</v>
      </c>
      <c r="Q269" s="61">
        <f t="shared" si="62"/>
        <v>344525195.15139514</v>
      </c>
      <c r="R269">
        <f t="shared" si="63"/>
        <v>11135168104</v>
      </c>
      <c r="S269">
        <f t="shared" si="64"/>
        <v>31991625.262791999</v>
      </c>
    </row>
    <row r="270" spans="2:19" x14ac:dyDescent="0.3">
      <c r="B270" s="58">
        <v>266</v>
      </c>
      <c r="C270" s="61">
        <f t="shared" si="52"/>
        <v>1183412.2143177579</v>
      </c>
      <c r="D270" s="61">
        <f t="shared" si="53"/>
        <v>1183412.2143177579</v>
      </c>
      <c r="E270" s="61">
        <f t="shared" si="54"/>
        <v>15475390.494924501</v>
      </c>
      <c r="F270">
        <f t="shared" si="55"/>
        <v>910217088</v>
      </c>
      <c r="H270" s="58">
        <v>266</v>
      </c>
      <c r="I270" s="61">
        <f t="shared" si="56"/>
        <v>7214848.0316744866</v>
      </c>
      <c r="J270" s="61">
        <f t="shared" si="57"/>
        <v>5092833.9047114048</v>
      </c>
      <c r="K270" s="61">
        <f t="shared" si="58"/>
        <v>77698363.418033049</v>
      </c>
      <c r="L270">
        <f t="shared" si="59"/>
        <v>3264537118</v>
      </c>
      <c r="N270" s="58">
        <v>266</v>
      </c>
      <c r="O270" s="61">
        <f t="shared" si="60"/>
        <v>33431248.400940724</v>
      </c>
      <c r="P270" s="61">
        <f t="shared" si="61"/>
        <v>21783256.876631051</v>
      </c>
      <c r="Q270" s="61">
        <f t="shared" si="62"/>
        <v>360028828.93320787</v>
      </c>
      <c r="R270">
        <f t="shared" si="63"/>
        <v>11636255169</v>
      </c>
      <c r="S270">
        <f t="shared" si="64"/>
        <v>33431248.400536999</v>
      </c>
    </row>
    <row r="271" spans="2:19" x14ac:dyDescent="0.3">
      <c r="B271" s="58">
        <v>267</v>
      </c>
      <c r="C271" s="61">
        <f t="shared" si="52"/>
        <v>1224831.6418188794</v>
      </c>
      <c r="D271" s="61">
        <f t="shared" si="53"/>
        <v>1224831.6418188794</v>
      </c>
      <c r="E271" s="61">
        <f t="shared" si="54"/>
        <v>16017029.162246857</v>
      </c>
      <c r="F271">
        <f t="shared" si="55"/>
        <v>942078186</v>
      </c>
      <c r="H271" s="58">
        <v>267</v>
      </c>
      <c r="I271" s="61">
        <f t="shared" si="56"/>
        <v>7503441.9529414661</v>
      </c>
      <c r="J271" s="61">
        <f t="shared" si="57"/>
        <v>5296547.2608998613</v>
      </c>
      <c r="K271" s="61">
        <f t="shared" si="58"/>
        <v>80806297.954754367</v>
      </c>
      <c r="L271">
        <f t="shared" si="59"/>
        <v>3395122603</v>
      </c>
      <c r="N271" s="58">
        <v>267</v>
      </c>
      <c r="O271" s="61">
        <f t="shared" si="60"/>
        <v>34935654.578983054</v>
      </c>
      <c r="P271" s="61">
        <f t="shared" si="61"/>
        <v>22763503.436079446</v>
      </c>
      <c r="Q271" s="61">
        <f t="shared" si="62"/>
        <v>376230126.23520219</v>
      </c>
      <c r="R271">
        <f t="shared" si="63"/>
        <v>12159891152</v>
      </c>
      <c r="S271">
        <f t="shared" si="64"/>
        <v>34935654.579696</v>
      </c>
    </row>
    <row r="272" spans="2:19" x14ac:dyDescent="0.3">
      <c r="B272" s="58">
        <v>268</v>
      </c>
      <c r="C272" s="61">
        <f t="shared" si="52"/>
        <v>1267700.7492825401</v>
      </c>
      <c r="D272" s="61">
        <f t="shared" si="53"/>
        <v>1267700.7492825401</v>
      </c>
      <c r="E272" s="61">
        <f t="shared" si="54"/>
        <v>16577625.182925496</v>
      </c>
      <c r="F272">
        <f t="shared" si="55"/>
        <v>975054423</v>
      </c>
      <c r="H272" s="58">
        <v>268</v>
      </c>
      <c r="I272" s="61">
        <f t="shared" si="56"/>
        <v>7803579.6310591251</v>
      </c>
      <c r="J272" s="61">
        <f t="shared" si="57"/>
        <v>5508409.1513358559</v>
      </c>
      <c r="K272" s="61">
        <f t="shared" si="58"/>
        <v>84038549.872944549</v>
      </c>
      <c r="L272">
        <f t="shared" si="59"/>
        <v>3530931507</v>
      </c>
      <c r="N272" s="58">
        <v>268</v>
      </c>
      <c r="O272" s="61">
        <f t="shared" si="60"/>
        <v>36507759.035037287</v>
      </c>
      <c r="P272" s="61">
        <f t="shared" si="61"/>
        <v>23787861.090703018</v>
      </c>
      <c r="Q272" s="61">
        <f t="shared" si="62"/>
        <v>393160481.91578627</v>
      </c>
      <c r="R272">
        <f t="shared" si="63"/>
        <v>12707090754</v>
      </c>
      <c r="S272">
        <f t="shared" si="64"/>
        <v>36507759.036242001</v>
      </c>
    </row>
    <row r="273" spans="2:19" x14ac:dyDescent="0.3">
      <c r="B273" s="58">
        <v>269</v>
      </c>
      <c r="C273" s="61">
        <f t="shared" si="52"/>
        <v>1312070.2755074289</v>
      </c>
      <c r="D273" s="61">
        <f t="shared" si="53"/>
        <v>1312070.2755074289</v>
      </c>
      <c r="E273" s="61">
        <f t="shared" si="54"/>
        <v>17157842.064327888</v>
      </c>
      <c r="F273">
        <f t="shared" si="55"/>
        <v>1009184827</v>
      </c>
      <c r="H273" s="58">
        <v>269</v>
      </c>
      <c r="I273" s="61">
        <f t="shared" si="56"/>
        <v>8115722.8163014902</v>
      </c>
      <c r="J273" s="61">
        <f t="shared" si="57"/>
        <v>5728745.51738929</v>
      </c>
      <c r="K273" s="61">
        <f t="shared" si="58"/>
        <v>87400091.867862329</v>
      </c>
      <c r="L273">
        <f t="shared" si="59"/>
        <v>3672172768</v>
      </c>
      <c r="N273" s="58">
        <v>269</v>
      </c>
      <c r="O273" s="61">
        <f t="shared" si="60"/>
        <v>38150608.191613965</v>
      </c>
      <c r="P273" s="61">
        <f t="shared" si="61"/>
        <v>24858314.839784652</v>
      </c>
      <c r="Q273" s="61">
        <f t="shared" si="62"/>
        <v>410852703.6019966</v>
      </c>
      <c r="R273">
        <f t="shared" si="63"/>
        <v>13278914337</v>
      </c>
      <c r="S273">
        <f t="shared" si="64"/>
        <v>38150608.190200999</v>
      </c>
    </row>
    <row r="274" spans="2:19" x14ac:dyDescent="0.3">
      <c r="B274" s="58">
        <v>270</v>
      </c>
      <c r="C274" s="61">
        <f t="shared" si="52"/>
        <v>1357992.7351501889</v>
      </c>
      <c r="D274" s="61">
        <f t="shared" si="53"/>
        <v>1357992.7351501889</v>
      </c>
      <c r="E274" s="61">
        <f t="shared" si="54"/>
        <v>17758366.536579363</v>
      </c>
      <c r="F274">
        <f t="shared" si="55"/>
        <v>1044509796</v>
      </c>
      <c r="H274" s="58">
        <v>270</v>
      </c>
      <c r="I274" s="61">
        <f t="shared" si="56"/>
        <v>8440351.7289535496</v>
      </c>
      <c r="J274" s="61">
        <f t="shared" si="57"/>
        <v>5957895.3380848616</v>
      </c>
      <c r="K274" s="61">
        <f t="shared" si="58"/>
        <v>90896095.54257682</v>
      </c>
      <c r="L274">
        <f t="shared" si="59"/>
        <v>3819063678</v>
      </c>
      <c r="N274" s="58">
        <v>270</v>
      </c>
      <c r="O274" s="61">
        <f t="shared" si="60"/>
        <v>39867385.560236588</v>
      </c>
      <c r="P274" s="61">
        <f t="shared" si="61"/>
        <v>25976939.007574961</v>
      </c>
      <c r="Q274" s="61">
        <f t="shared" si="62"/>
        <v>429341075.26408643</v>
      </c>
      <c r="R274">
        <f t="shared" si="63"/>
        <v>13876469983</v>
      </c>
      <c r="S274">
        <f t="shared" si="64"/>
        <v>39867385.561159</v>
      </c>
    </row>
    <row r="275" spans="2:19" x14ac:dyDescent="0.3">
      <c r="B275" s="58">
        <v>271</v>
      </c>
      <c r="C275" s="61">
        <f t="shared" si="52"/>
        <v>1405522.4808804453</v>
      </c>
      <c r="D275" s="61">
        <f t="shared" si="53"/>
        <v>1405522.4808804453</v>
      </c>
      <c r="E275" s="61">
        <f t="shared" si="54"/>
        <v>18379909.365359638</v>
      </c>
      <c r="F275">
        <f t="shared" si="55"/>
        <v>1081071139</v>
      </c>
      <c r="H275" s="58">
        <v>271</v>
      </c>
      <c r="I275" s="61">
        <f t="shared" si="56"/>
        <v>8777965.7981116921</v>
      </c>
      <c r="J275" s="61">
        <f t="shared" si="57"/>
        <v>6196211.1516082566</v>
      </c>
      <c r="K275" s="61">
        <f t="shared" si="58"/>
        <v>94531939.364279896</v>
      </c>
      <c r="L275">
        <f t="shared" si="59"/>
        <v>3971830225</v>
      </c>
      <c r="N275" s="58">
        <v>271</v>
      </c>
      <c r="O275" s="61">
        <f t="shared" si="60"/>
        <v>41661417.910447232</v>
      </c>
      <c r="P275" s="61">
        <f t="shared" si="61"/>
        <v>27145901.262915831</v>
      </c>
      <c r="Q275" s="61">
        <f t="shared" si="62"/>
        <v>448661423.65097028</v>
      </c>
      <c r="R275">
        <f t="shared" si="63"/>
        <v>14500915632</v>
      </c>
      <c r="S275">
        <f t="shared" si="64"/>
        <v>41661417.910736002</v>
      </c>
    </row>
    <row r="276" spans="2:19" x14ac:dyDescent="0.3">
      <c r="B276" s="58">
        <v>272</v>
      </c>
      <c r="C276" s="61">
        <f t="shared" si="52"/>
        <v>1454715.7677112608</v>
      </c>
      <c r="D276" s="61">
        <f t="shared" si="53"/>
        <v>1454715.7677112608</v>
      </c>
      <c r="E276" s="61">
        <f t="shared" si="54"/>
        <v>19023206.193147223</v>
      </c>
      <c r="F276">
        <f t="shared" si="55"/>
        <v>1118912129</v>
      </c>
      <c r="H276" s="58">
        <v>272</v>
      </c>
      <c r="I276" s="61">
        <f t="shared" si="56"/>
        <v>9129084.4300361592</v>
      </c>
      <c r="J276" s="61">
        <f t="shared" si="57"/>
        <v>6444059.5976725873</v>
      </c>
      <c r="K276" s="61">
        <f t="shared" si="58"/>
        <v>98313216.938851088</v>
      </c>
      <c r="L276">
        <f t="shared" si="59"/>
        <v>4130707434</v>
      </c>
      <c r="N276" s="58">
        <v>272</v>
      </c>
      <c r="O276" s="61">
        <f t="shared" si="60"/>
        <v>43536181.716417357</v>
      </c>
      <c r="P276" s="61">
        <f t="shared" si="61"/>
        <v>28367466.819747042</v>
      </c>
      <c r="Q276" s="61">
        <f t="shared" si="62"/>
        <v>468851187.7152639</v>
      </c>
      <c r="R276">
        <f t="shared" si="63"/>
        <v>15153461335</v>
      </c>
      <c r="S276">
        <f t="shared" si="64"/>
        <v>43536181.715455003</v>
      </c>
    </row>
    <row r="277" spans="2:19" x14ac:dyDescent="0.3">
      <c r="B277" s="58">
        <v>273</v>
      </c>
      <c r="C277" s="61">
        <f t="shared" si="52"/>
        <v>1505630.8195811547</v>
      </c>
      <c r="D277" s="61">
        <f t="shared" si="53"/>
        <v>1505630.8195811547</v>
      </c>
      <c r="E277" s="61">
        <f t="shared" si="54"/>
        <v>19689018.409907375</v>
      </c>
      <c r="F277">
        <f t="shared" si="55"/>
        <v>1158077554</v>
      </c>
      <c r="H277" s="58">
        <v>273</v>
      </c>
      <c r="I277" s="61">
        <f t="shared" si="56"/>
        <v>9494247.8072376065</v>
      </c>
      <c r="J277" s="61">
        <f t="shared" si="57"/>
        <v>6701821.9815794909</v>
      </c>
      <c r="K277" s="61">
        <f t="shared" si="58"/>
        <v>102245745.61640513</v>
      </c>
      <c r="L277">
        <f t="shared" si="59"/>
        <v>4295939732</v>
      </c>
      <c r="N277" s="58">
        <v>273</v>
      </c>
      <c r="O277" s="61">
        <f t="shared" si="60"/>
        <v>45495309.893656135</v>
      </c>
      <c r="P277" s="61">
        <f t="shared" si="61"/>
        <v>29644002.826635655</v>
      </c>
      <c r="Q277" s="61">
        <f t="shared" si="62"/>
        <v>489949491.16245073</v>
      </c>
      <c r="R277">
        <f t="shared" si="63"/>
        <v>15835371595</v>
      </c>
      <c r="S277">
        <f t="shared" si="64"/>
        <v>45495309.892435007</v>
      </c>
    </row>
    <row r="278" spans="2:19" x14ac:dyDescent="0.3">
      <c r="B278" s="58">
        <v>274</v>
      </c>
      <c r="C278" s="61">
        <f t="shared" si="52"/>
        <v>1558327.898266495</v>
      </c>
      <c r="D278" s="61">
        <f t="shared" si="53"/>
        <v>1558327.898266495</v>
      </c>
      <c r="E278" s="61">
        <f t="shared" si="54"/>
        <v>20378134.05425413</v>
      </c>
      <c r="F278">
        <f t="shared" si="55"/>
        <v>1198613768</v>
      </c>
      <c r="H278" s="58">
        <v>274</v>
      </c>
      <c r="I278" s="61">
        <f t="shared" si="56"/>
        <v>9874017.7195271105</v>
      </c>
      <c r="J278" s="61">
        <f t="shared" si="57"/>
        <v>6969894.8608426712</v>
      </c>
      <c r="K278" s="61">
        <f t="shared" si="58"/>
        <v>106335575.44106133</v>
      </c>
      <c r="L278">
        <f t="shared" si="59"/>
        <v>4467781321</v>
      </c>
      <c r="N278" s="58">
        <v>274</v>
      </c>
      <c r="O278" s="61">
        <f t="shared" si="60"/>
        <v>47542598.838870659</v>
      </c>
      <c r="P278" s="61">
        <f t="shared" si="61"/>
        <v>30977982.953834258</v>
      </c>
      <c r="Q278" s="61">
        <f t="shared" si="62"/>
        <v>511997218.26476097</v>
      </c>
      <c r="R278">
        <f t="shared" si="63"/>
        <v>16547967817</v>
      </c>
      <c r="S278">
        <f t="shared" si="64"/>
        <v>47542598.838241003</v>
      </c>
    </row>
    <row r="279" spans="2:19" x14ac:dyDescent="0.3">
      <c r="B279" s="58">
        <v>275</v>
      </c>
      <c r="C279" s="61">
        <f t="shared" si="52"/>
        <v>1612869.3747058222</v>
      </c>
      <c r="D279" s="61">
        <f t="shared" si="53"/>
        <v>1612869.3747058222</v>
      </c>
      <c r="E279" s="61">
        <f t="shared" si="54"/>
        <v>21091368.746153023</v>
      </c>
      <c r="F279">
        <f t="shared" si="55"/>
        <v>1240568750</v>
      </c>
      <c r="H279" s="58">
        <v>275</v>
      </c>
      <c r="I279" s="61">
        <f t="shared" si="56"/>
        <v>10268978.428308195</v>
      </c>
      <c r="J279" s="61">
        <f t="shared" si="57"/>
        <v>7248690.6552763786</v>
      </c>
      <c r="K279" s="61">
        <f t="shared" si="58"/>
        <v>110588998.45870379</v>
      </c>
      <c r="L279">
        <f t="shared" si="59"/>
        <v>4646496574</v>
      </c>
      <c r="N279" s="58">
        <v>275</v>
      </c>
      <c r="O279" s="61">
        <f t="shared" si="60"/>
        <v>49682015.786619835</v>
      </c>
      <c r="P279" s="61">
        <f t="shared" si="61"/>
        <v>32371992.186756797</v>
      </c>
      <c r="Q279" s="61">
        <f t="shared" si="62"/>
        <v>535037093.08667517</v>
      </c>
      <c r="R279">
        <f t="shared" si="63"/>
        <v>17292630869</v>
      </c>
      <c r="S279">
        <f t="shared" si="64"/>
        <v>49682015.786637001</v>
      </c>
    </row>
    <row r="280" spans="2:19" x14ac:dyDescent="0.3">
      <c r="B280" s="58">
        <v>276</v>
      </c>
      <c r="C280" s="61">
        <f t="shared" si="52"/>
        <v>1669319.8028205258</v>
      </c>
      <c r="D280" s="61">
        <f t="shared" si="53"/>
        <v>1669319.8028205258</v>
      </c>
      <c r="E280" s="61">
        <f t="shared" si="54"/>
        <v>21829566.652268376</v>
      </c>
      <c r="F280">
        <f t="shared" si="55"/>
        <v>1283992156</v>
      </c>
      <c r="H280" s="58">
        <v>276</v>
      </c>
      <c r="I280" s="61">
        <f t="shared" si="56"/>
        <v>10679737.565440523</v>
      </c>
      <c r="J280" s="61">
        <f t="shared" si="57"/>
        <v>7538638.2814874342</v>
      </c>
      <c r="K280" s="61">
        <f t="shared" si="58"/>
        <v>115012558.39705195</v>
      </c>
      <c r="L280">
        <f t="shared" si="59"/>
        <v>4832360437</v>
      </c>
      <c r="N280" s="58">
        <v>276</v>
      </c>
      <c r="O280" s="61">
        <f t="shared" si="60"/>
        <v>51917706.497017726</v>
      </c>
      <c r="P280" s="61">
        <f t="shared" si="61"/>
        <v>33828731.835160851</v>
      </c>
      <c r="Q280" s="61">
        <f t="shared" si="62"/>
        <v>559113762.27557552</v>
      </c>
      <c r="R280">
        <f t="shared" si="63"/>
        <v>18070803758</v>
      </c>
      <c r="S280">
        <f t="shared" si="64"/>
        <v>51917706.496734001</v>
      </c>
    </row>
    <row r="281" spans="2:19" x14ac:dyDescent="0.3">
      <c r="B281" s="58">
        <v>277</v>
      </c>
      <c r="C281" s="61">
        <f t="shared" si="52"/>
        <v>1727745.9959192441</v>
      </c>
      <c r="D281" s="61">
        <f t="shared" si="53"/>
        <v>1727745.9959192441</v>
      </c>
      <c r="E281" s="61">
        <f t="shared" si="54"/>
        <v>22593601.485097766</v>
      </c>
      <c r="F281">
        <f t="shared" si="55"/>
        <v>1328935381</v>
      </c>
      <c r="H281" s="58">
        <v>277</v>
      </c>
      <c r="I281" s="61">
        <f t="shared" si="56"/>
        <v>11106927.068058144</v>
      </c>
      <c r="J281" s="61">
        <f t="shared" si="57"/>
        <v>7840183.8127469318</v>
      </c>
      <c r="K281" s="61">
        <f t="shared" si="58"/>
        <v>119613060.73293403</v>
      </c>
      <c r="L281">
        <f t="shared" si="59"/>
        <v>5025658854</v>
      </c>
      <c r="N281" s="58">
        <v>277</v>
      </c>
      <c r="O281" s="61">
        <f t="shared" si="60"/>
        <v>54254003.289383523</v>
      </c>
      <c r="P281" s="61">
        <f t="shared" si="61"/>
        <v>35351024.767743088</v>
      </c>
      <c r="Q281" s="61">
        <f t="shared" si="62"/>
        <v>584273881.57797635</v>
      </c>
      <c r="R281">
        <f t="shared" si="63"/>
        <v>18883994427</v>
      </c>
      <c r="S281">
        <f t="shared" si="64"/>
        <v>54254003.288771003</v>
      </c>
    </row>
    <row r="282" spans="2:19" x14ac:dyDescent="0.3">
      <c r="B282" s="58">
        <v>278</v>
      </c>
      <c r="C282" s="61">
        <f t="shared" si="52"/>
        <v>1788217.1057764175</v>
      </c>
      <c r="D282" s="61">
        <f t="shared" si="53"/>
        <v>1788217.1057764175</v>
      </c>
      <c r="E282" s="61">
        <f t="shared" si="54"/>
        <v>23384377.537076186</v>
      </c>
      <c r="F282">
        <f t="shared" si="55"/>
        <v>1375451620</v>
      </c>
      <c r="H282" s="58">
        <v>278</v>
      </c>
      <c r="I282" s="61">
        <f t="shared" si="56"/>
        <v>11551204.150780471</v>
      </c>
      <c r="J282" s="61">
        <f t="shared" si="57"/>
        <v>8153791.1652568094</v>
      </c>
      <c r="K282" s="61">
        <f t="shared" si="58"/>
        <v>124397583.1622514</v>
      </c>
      <c r="L282">
        <f t="shared" si="59"/>
        <v>5226689208</v>
      </c>
      <c r="N282" s="58">
        <v>278</v>
      </c>
      <c r="O282" s="61">
        <f t="shared" si="60"/>
        <v>56695433.43740578</v>
      </c>
      <c r="P282" s="61">
        <f t="shared" si="61"/>
        <v>36941820.882291526</v>
      </c>
      <c r="Q282" s="61">
        <f t="shared" si="62"/>
        <v>610566206.24898529</v>
      </c>
      <c r="R282">
        <f t="shared" si="63"/>
        <v>19733778676</v>
      </c>
      <c r="S282">
        <f t="shared" si="64"/>
        <v>56695433.436147995</v>
      </c>
    </row>
    <row r="283" spans="2:19" x14ac:dyDescent="0.3">
      <c r="B283" s="58">
        <v>279</v>
      </c>
      <c r="C283" s="61">
        <f t="shared" si="52"/>
        <v>1850804.7044785919</v>
      </c>
      <c r="D283" s="61">
        <f t="shared" si="53"/>
        <v>1850804.7044785919</v>
      </c>
      <c r="E283" s="61">
        <f t="shared" si="54"/>
        <v>24202830.750873853</v>
      </c>
      <c r="F283">
        <f t="shared" si="55"/>
        <v>1423595927</v>
      </c>
      <c r="H283" s="58">
        <v>279</v>
      </c>
      <c r="I283" s="61">
        <f t="shared" si="56"/>
        <v>12013252.31681169</v>
      </c>
      <c r="J283" s="61">
        <f t="shared" si="57"/>
        <v>8479942.8118670825</v>
      </c>
      <c r="K283" s="61">
        <f t="shared" si="58"/>
        <v>129373486.48874146</v>
      </c>
      <c r="L283">
        <f t="shared" si="59"/>
        <v>5435760777</v>
      </c>
      <c r="N283" s="58">
        <v>279</v>
      </c>
      <c r="O283" s="61">
        <f t="shared" si="60"/>
        <v>59246727.942089036</v>
      </c>
      <c r="P283" s="61">
        <f t="shared" si="61"/>
        <v>38604202.82199464</v>
      </c>
      <c r="Q283" s="61">
        <f t="shared" si="62"/>
        <v>638041685.53018963</v>
      </c>
      <c r="R283">
        <f t="shared" si="63"/>
        <v>20621803217</v>
      </c>
      <c r="S283">
        <f t="shared" si="64"/>
        <v>59246727.942441002</v>
      </c>
    </row>
    <row r="284" spans="2:19" x14ac:dyDescent="0.3">
      <c r="B284" s="58">
        <v>280</v>
      </c>
      <c r="C284" s="61">
        <f t="shared" si="52"/>
        <v>1915582.8691353425</v>
      </c>
      <c r="D284" s="61">
        <f t="shared" si="53"/>
        <v>1915582.8691353425</v>
      </c>
      <c r="E284" s="61">
        <f t="shared" si="54"/>
        <v>25049929.827154435</v>
      </c>
      <c r="F284">
        <f t="shared" si="55"/>
        <v>1473425284</v>
      </c>
      <c r="H284" s="58">
        <v>280</v>
      </c>
      <c r="I284" s="61">
        <f t="shared" si="56"/>
        <v>12493782.409484157</v>
      </c>
      <c r="J284" s="61">
        <f t="shared" si="57"/>
        <v>8819140.5243417658</v>
      </c>
      <c r="K284" s="61">
        <f t="shared" si="58"/>
        <v>134548425.94829112</v>
      </c>
      <c r="L284">
        <f t="shared" si="59"/>
        <v>5653195208</v>
      </c>
      <c r="N284" s="58">
        <v>280</v>
      </c>
      <c r="O284" s="61">
        <f t="shared" si="60"/>
        <v>61912830.699483037</v>
      </c>
      <c r="P284" s="61">
        <f t="shared" si="61"/>
        <v>40341391.948984399</v>
      </c>
      <c r="Q284" s="61">
        <f t="shared" si="62"/>
        <v>666753561.37904811</v>
      </c>
      <c r="R284">
        <f t="shared" si="63"/>
        <v>21549788862</v>
      </c>
      <c r="S284">
        <f t="shared" si="64"/>
        <v>61912830.700526007</v>
      </c>
    </row>
    <row r="285" spans="2:19" x14ac:dyDescent="0.3">
      <c r="B285" s="58">
        <v>281</v>
      </c>
      <c r="C285" s="61">
        <f t="shared" si="52"/>
        <v>1982628.2695550793</v>
      </c>
      <c r="D285" s="61">
        <f t="shared" si="53"/>
        <v>1982628.2695550793</v>
      </c>
      <c r="E285" s="61">
        <f t="shared" si="54"/>
        <v>25926677.37110484</v>
      </c>
      <c r="F285">
        <f t="shared" si="55"/>
        <v>1524998669</v>
      </c>
      <c r="H285" s="58">
        <v>281</v>
      </c>
      <c r="I285" s="61">
        <f t="shared" si="56"/>
        <v>12993533.705863524</v>
      </c>
      <c r="J285" s="61">
        <f t="shared" si="57"/>
        <v>9171906.1453154366</v>
      </c>
      <c r="K285" s="61">
        <f t="shared" si="58"/>
        <v>139930362.98622277</v>
      </c>
      <c r="L285">
        <f t="shared" si="59"/>
        <v>5879327016</v>
      </c>
      <c r="N285" s="58">
        <v>281</v>
      </c>
      <c r="O285" s="61">
        <f t="shared" si="60"/>
        <v>64698908.080959767</v>
      </c>
      <c r="P285" s="61">
        <f t="shared" si="61"/>
        <v>42156754.586688697</v>
      </c>
      <c r="Q285" s="61">
        <f t="shared" si="62"/>
        <v>696757471.64110518</v>
      </c>
      <c r="R285">
        <f t="shared" si="63"/>
        <v>22519533860</v>
      </c>
      <c r="S285">
        <f t="shared" si="64"/>
        <v>64698908.079779997</v>
      </c>
    </row>
    <row r="286" spans="2:19" x14ac:dyDescent="0.3">
      <c r="B286" s="58">
        <v>282</v>
      </c>
      <c r="C286" s="61">
        <f t="shared" si="52"/>
        <v>2052020.2589895069</v>
      </c>
      <c r="D286" s="61">
        <f t="shared" si="53"/>
        <v>2052020.2589895069</v>
      </c>
      <c r="E286" s="61">
        <f t="shared" si="54"/>
        <v>26834111.079093508</v>
      </c>
      <c r="F286">
        <f t="shared" si="55"/>
        <v>1578377122</v>
      </c>
      <c r="H286" s="58">
        <v>282</v>
      </c>
      <c r="I286" s="61">
        <f t="shared" si="56"/>
        <v>13513275.054098066</v>
      </c>
      <c r="J286" s="61">
        <f t="shared" si="57"/>
        <v>9538782.3911280539</v>
      </c>
      <c r="K286" s="61">
        <f t="shared" si="58"/>
        <v>145527577.50567168</v>
      </c>
      <c r="L286">
        <f t="shared" si="59"/>
        <v>6114504097</v>
      </c>
      <c r="N286" s="58">
        <v>282</v>
      </c>
      <c r="O286" s="61">
        <f t="shared" si="60"/>
        <v>67610358.944602951</v>
      </c>
      <c r="P286" s="61">
        <f t="shared" si="61"/>
        <v>44053808.543089688</v>
      </c>
      <c r="Q286" s="61">
        <f t="shared" si="62"/>
        <v>728111557.86495483</v>
      </c>
      <c r="R286">
        <f t="shared" si="63"/>
        <v>23532917384</v>
      </c>
      <c r="S286">
        <f t="shared" si="64"/>
        <v>67610358.944232002</v>
      </c>
    </row>
    <row r="287" spans="2:19" x14ac:dyDescent="0.3">
      <c r="B287" s="58">
        <v>283</v>
      </c>
      <c r="C287" s="61">
        <f t="shared" si="52"/>
        <v>2123840.9680541395</v>
      </c>
      <c r="D287" s="61">
        <f t="shared" si="53"/>
        <v>2123840.9680541395</v>
      </c>
      <c r="E287" s="61">
        <f t="shared" si="54"/>
        <v>27773304.966861781</v>
      </c>
      <c r="F287">
        <f t="shared" si="55"/>
        <v>1633623822</v>
      </c>
      <c r="H287" s="58">
        <v>283</v>
      </c>
      <c r="I287" s="61">
        <f t="shared" si="56"/>
        <v>14053806.056261988</v>
      </c>
      <c r="J287" s="61">
        <f t="shared" si="57"/>
        <v>9920333.6867731772</v>
      </c>
      <c r="K287" s="61">
        <f t="shared" si="58"/>
        <v>151348680.60589856</v>
      </c>
      <c r="L287">
        <f t="shared" si="59"/>
        <v>6359088261</v>
      </c>
      <c r="N287" s="58">
        <v>283</v>
      </c>
      <c r="O287" s="61">
        <f t="shared" si="60"/>
        <v>70652825.097110078</v>
      </c>
      <c r="P287" s="61">
        <f t="shared" si="61"/>
        <v>46036229.927528724</v>
      </c>
      <c r="Q287" s="61">
        <f t="shared" si="62"/>
        <v>760876577.96887779</v>
      </c>
      <c r="R287">
        <f t="shared" si="63"/>
        <v>24591903166</v>
      </c>
      <c r="S287">
        <f t="shared" si="64"/>
        <v>70652825.095918</v>
      </c>
    </row>
    <row r="288" spans="2:19" x14ac:dyDescent="0.3">
      <c r="B288" s="58">
        <v>284</v>
      </c>
      <c r="C288" s="61">
        <f t="shared" si="52"/>
        <v>2198175.4019360342</v>
      </c>
      <c r="D288" s="61">
        <f t="shared" si="53"/>
        <v>2198175.4019360342</v>
      </c>
      <c r="E288" s="61">
        <f t="shared" si="54"/>
        <v>28745370.640701942</v>
      </c>
      <c r="F288">
        <f t="shared" si="55"/>
        <v>1690804155</v>
      </c>
      <c r="H288" s="58">
        <v>284</v>
      </c>
      <c r="I288" s="61">
        <f t="shared" si="56"/>
        <v>14615958.298512468</v>
      </c>
      <c r="J288" s="61">
        <f t="shared" si="57"/>
        <v>10317147.034244105</v>
      </c>
      <c r="K288" s="61">
        <f t="shared" si="58"/>
        <v>157402627.83013451</v>
      </c>
      <c r="L288">
        <f t="shared" si="59"/>
        <v>6613455791</v>
      </c>
      <c r="N288" s="58">
        <v>284</v>
      </c>
      <c r="O288" s="61">
        <f t="shared" si="60"/>
        <v>73832202.226480022</v>
      </c>
      <c r="P288" s="61">
        <f t="shared" si="61"/>
        <v>48107860.274267517</v>
      </c>
      <c r="Q288" s="61">
        <f t="shared" si="62"/>
        <v>795116023.97747719</v>
      </c>
      <c r="R288">
        <f t="shared" si="63"/>
        <v>25698543309</v>
      </c>
      <c r="S288">
        <f t="shared" si="64"/>
        <v>73832202.226757005</v>
      </c>
    </row>
    <row r="289" spans="2:19" x14ac:dyDescent="0.3">
      <c r="B289" s="58">
        <v>285</v>
      </c>
      <c r="C289" s="61">
        <f t="shared" si="52"/>
        <v>2275111.5410037953</v>
      </c>
      <c r="D289" s="61">
        <f t="shared" si="53"/>
        <v>2275111.5410037953</v>
      </c>
      <c r="E289" s="61">
        <f t="shared" si="54"/>
        <v>29751458.613126509</v>
      </c>
      <c r="F289">
        <f t="shared" si="55"/>
        <v>1749985801</v>
      </c>
      <c r="H289" s="58">
        <v>285</v>
      </c>
      <c r="I289" s="61">
        <f t="shared" si="56"/>
        <v>15200596.630452968</v>
      </c>
      <c r="J289" s="61">
        <f t="shared" si="57"/>
        <v>10729832.915613869</v>
      </c>
      <c r="K289" s="61">
        <f t="shared" si="58"/>
        <v>163698732.94333988</v>
      </c>
      <c r="L289">
        <f t="shared" si="59"/>
        <v>6877998023</v>
      </c>
      <c r="N289" s="58">
        <v>285</v>
      </c>
      <c r="O289" s="61">
        <f t="shared" si="60"/>
        <v>77154651.326671615</v>
      </c>
      <c r="P289" s="61">
        <f t="shared" si="61"/>
        <v>50272713.986609548</v>
      </c>
      <c r="Q289" s="61">
        <f t="shared" si="62"/>
        <v>830896245.0564636</v>
      </c>
      <c r="R289">
        <f t="shared" si="63"/>
        <v>26854982258</v>
      </c>
      <c r="S289">
        <f t="shared" si="64"/>
        <v>77154651.327234</v>
      </c>
    </row>
    <row r="290" spans="2:19" x14ac:dyDescent="0.3">
      <c r="B290" s="58">
        <v>286</v>
      </c>
      <c r="C290" s="61">
        <f t="shared" si="52"/>
        <v>2354740.4449389279</v>
      </c>
      <c r="D290" s="61">
        <f t="shared" si="53"/>
        <v>2354740.4449389279</v>
      </c>
      <c r="E290" s="61">
        <f t="shared" si="54"/>
        <v>30792759.664585933</v>
      </c>
      <c r="F290">
        <f t="shared" si="55"/>
        <v>1811238804</v>
      </c>
      <c r="H290" s="58">
        <v>286</v>
      </c>
      <c r="I290" s="61">
        <f t="shared" si="56"/>
        <v>15808620.495671088</v>
      </c>
      <c r="J290" s="61">
        <f t="shared" si="57"/>
        <v>11159026.232238425</v>
      </c>
      <c r="K290" s="61">
        <f t="shared" si="58"/>
        <v>170246682.2610735</v>
      </c>
      <c r="L290">
        <f t="shared" si="59"/>
        <v>7153121944</v>
      </c>
      <c r="N290" s="58">
        <v>286</v>
      </c>
      <c r="O290" s="61">
        <f t="shared" si="60"/>
        <v>80626610.636371836</v>
      </c>
      <c r="P290" s="61">
        <f t="shared" si="61"/>
        <v>52534986.116006978</v>
      </c>
      <c r="Q290" s="61">
        <f t="shared" si="62"/>
        <v>868286576.0840044</v>
      </c>
      <c r="R290">
        <f t="shared" si="63"/>
        <v>28063460959</v>
      </c>
      <c r="S290">
        <f t="shared" si="64"/>
        <v>80626610.635207012</v>
      </c>
    </row>
    <row r="291" spans="2:19" x14ac:dyDescent="0.3">
      <c r="B291" s="58">
        <v>287</v>
      </c>
      <c r="C291" s="61">
        <f t="shared" si="52"/>
        <v>2437156.36051179</v>
      </c>
      <c r="D291" s="61">
        <f t="shared" si="53"/>
        <v>2437156.36051179</v>
      </c>
      <c r="E291" s="61">
        <f t="shared" si="54"/>
        <v>31870506.252846438</v>
      </c>
      <c r="F291">
        <f t="shared" si="55"/>
        <v>1874635662</v>
      </c>
      <c r="H291" s="58">
        <v>287</v>
      </c>
      <c r="I291" s="61">
        <f t="shared" si="56"/>
        <v>16440965.315497931</v>
      </c>
      <c r="J291" s="61">
        <f t="shared" si="57"/>
        <v>11605387.281527963</v>
      </c>
      <c r="K291" s="61">
        <f t="shared" si="58"/>
        <v>177056549.55151644</v>
      </c>
      <c r="L291">
        <f t="shared" si="59"/>
        <v>7439250821</v>
      </c>
      <c r="N291" s="58">
        <v>287</v>
      </c>
      <c r="O291" s="61">
        <f t="shared" si="60"/>
        <v>84254808.115008563</v>
      </c>
      <c r="P291" s="61">
        <f t="shared" si="61"/>
        <v>54899060.491227292</v>
      </c>
      <c r="Q291" s="61">
        <f t="shared" si="62"/>
        <v>907359472.00778449</v>
      </c>
      <c r="R291">
        <f t="shared" si="63"/>
        <v>29326321203</v>
      </c>
      <c r="S291">
        <f t="shared" si="64"/>
        <v>84254808.116218999</v>
      </c>
    </row>
    <row r="292" spans="2:19" x14ac:dyDescent="0.3">
      <c r="B292" s="58">
        <v>288</v>
      </c>
      <c r="C292" s="61">
        <f t="shared" si="52"/>
        <v>2522456.8331297026</v>
      </c>
      <c r="D292" s="61">
        <f t="shared" si="53"/>
        <v>2522456.8331297026</v>
      </c>
      <c r="E292" s="61">
        <f t="shared" si="54"/>
        <v>32985973.97169606</v>
      </c>
      <c r="F292">
        <f t="shared" si="55"/>
        <v>1940251410</v>
      </c>
      <c r="H292" s="58">
        <v>288</v>
      </c>
      <c r="I292" s="61">
        <f t="shared" si="56"/>
        <v>17098603.928117849</v>
      </c>
      <c r="J292" s="61">
        <f t="shared" si="57"/>
        <v>12069602.772789082</v>
      </c>
      <c r="K292" s="61">
        <f t="shared" si="58"/>
        <v>184138811.53357711</v>
      </c>
      <c r="L292">
        <f t="shared" si="59"/>
        <v>7736824854</v>
      </c>
      <c r="N292" s="58">
        <v>288</v>
      </c>
      <c r="O292" s="61">
        <f t="shared" si="60"/>
        <v>88046274.480183944</v>
      </c>
      <c r="P292" s="61">
        <f t="shared" si="61"/>
        <v>57369518.213332519</v>
      </c>
      <c r="Q292" s="61">
        <f t="shared" si="62"/>
        <v>948190648.24813473</v>
      </c>
      <c r="R292">
        <f t="shared" si="63"/>
        <v>30646010157</v>
      </c>
      <c r="S292">
        <f t="shared" si="64"/>
        <v>88046274.481060997</v>
      </c>
    </row>
    <row r="293" spans="2:19" x14ac:dyDescent="0.3">
      <c r="B293" s="58">
        <v>289</v>
      </c>
      <c r="C293" s="61">
        <f t="shared" si="52"/>
        <v>2610742.8222892419</v>
      </c>
      <c r="D293" s="61">
        <f t="shared" si="53"/>
        <v>2610742.8222892419</v>
      </c>
      <c r="E293" s="61">
        <f t="shared" si="54"/>
        <v>34140483.060705416</v>
      </c>
      <c r="F293">
        <f t="shared" si="55"/>
        <v>2008163709</v>
      </c>
      <c r="H293" s="58">
        <v>289</v>
      </c>
      <c r="I293" s="61">
        <f t="shared" si="56"/>
        <v>17782548.085242562</v>
      </c>
      <c r="J293" s="61">
        <f t="shared" si="57"/>
        <v>12552386.883700645</v>
      </c>
      <c r="K293" s="61">
        <f t="shared" si="58"/>
        <v>191504363.99492019</v>
      </c>
      <c r="L293">
        <f t="shared" si="59"/>
        <v>8046301849</v>
      </c>
      <c r="N293" s="58">
        <v>289</v>
      </c>
      <c r="O293" s="61">
        <f t="shared" si="60"/>
        <v>92008356.83179222</v>
      </c>
      <c r="P293" s="61">
        <f t="shared" si="61"/>
        <v>59951146.532932475</v>
      </c>
      <c r="Q293" s="61">
        <f t="shared" si="62"/>
        <v>990859227.41930068</v>
      </c>
      <c r="R293">
        <f t="shared" si="63"/>
        <v>32025085114</v>
      </c>
      <c r="S293">
        <f t="shared" si="64"/>
        <v>92008356.832522005</v>
      </c>
    </row>
    <row r="294" spans="2:19" x14ac:dyDescent="0.3">
      <c r="B294" s="58">
        <v>290</v>
      </c>
      <c r="C294" s="61">
        <f t="shared" si="52"/>
        <v>2702118.8210693654</v>
      </c>
      <c r="D294" s="61">
        <f t="shared" si="53"/>
        <v>2702118.8210693654</v>
      </c>
      <c r="E294" s="61">
        <f t="shared" si="54"/>
        <v>35335399.967830099</v>
      </c>
      <c r="F294">
        <f t="shared" si="55"/>
        <v>2078452939</v>
      </c>
      <c r="H294" s="58">
        <v>290</v>
      </c>
      <c r="I294" s="61">
        <f t="shared" si="56"/>
        <v>18493850.008652266</v>
      </c>
      <c r="J294" s="61">
        <f t="shared" si="57"/>
        <v>13054482.35904867</v>
      </c>
      <c r="K294" s="61">
        <f t="shared" si="58"/>
        <v>199164538.554717</v>
      </c>
      <c r="L294">
        <f t="shared" si="59"/>
        <v>8368157922</v>
      </c>
      <c r="N294" s="58">
        <v>290</v>
      </c>
      <c r="O294" s="61">
        <f t="shared" si="60"/>
        <v>96148732.88922286</v>
      </c>
      <c r="P294" s="61">
        <f t="shared" si="61"/>
        <v>62648948.126914434</v>
      </c>
      <c r="Q294" s="61">
        <f t="shared" si="62"/>
        <v>1035447892.6531692</v>
      </c>
      <c r="R294">
        <f t="shared" si="63"/>
        <v>33466218444</v>
      </c>
      <c r="S294">
        <f t="shared" si="64"/>
        <v>96148732.889612004</v>
      </c>
    </row>
    <row r="295" spans="2:19" x14ac:dyDescent="0.3">
      <c r="B295" s="58">
        <v>291</v>
      </c>
      <c r="C295" s="61">
        <f t="shared" si="52"/>
        <v>2796692.9798067929</v>
      </c>
      <c r="D295" s="61">
        <f t="shared" si="53"/>
        <v>2796692.9798067929</v>
      </c>
      <c r="E295" s="61">
        <f t="shared" si="54"/>
        <v>36572138.966704153</v>
      </c>
      <c r="F295">
        <f t="shared" si="55"/>
        <v>2151202292</v>
      </c>
      <c r="H295" s="58">
        <v>291</v>
      </c>
      <c r="I295" s="61">
        <f t="shared" si="56"/>
        <v>19233604.008998357</v>
      </c>
      <c r="J295" s="61">
        <f t="shared" si="57"/>
        <v>13576661.653410617</v>
      </c>
      <c r="K295" s="61">
        <f t="shared" si="58"/>
        <v>207131120.09690568</v>
      </c>
      <c r="L295">
        <f t="shared" si="59"/>
        <v>8702888239</v>
      </c>
      <c r="N295" s="58">
        <v>291</v>
      </c>
      <c r="O295" s="61">
        <f t="shared" si="60"/>
        <v>100475425.86923788</v>
      </c>
      <c r="P295" s="61">
        <f t="shared" si="61"/>
        <v>65468150.792625576</v>
      </c>
      <c r="Q295" s="61">
        <f t="shared" si="62"/>
        <v>1082043047.8225617</v>
      </c>
      <c r="R295">
        <f t="shared" si="63"/>
        <v>34972202774</v>
      </c>
      <c r="S295">
        <f t="shared" si="64"/>
        <v>100475425.869702</v>
      </c>
    </row>
    <row r="296" spans="2:19" x14ac:dyDescent="0.3">
      <c r="B296" s="58">
        <v>292</v>
      </c>
      <c r="C296" s="61">
        <f t="shared" si="52"/>
        <v>2894577.2341000303</v>
      </c>
      <c r="D296" s="61">
        <f t="shared" si="53"/>
        <v>2894577.2341000303</v>
      </c>
      <c r="E296" s="61">
        <f t="shared" si="54"/>
        <v>37852163.830538794</v>
      </c>
      <c r="F296">
        <f t="shared" si="55"/>
        <v>2226497872</v>
      </c>
      <c r="H296" s="58">
        <v>292</v>
      </c>
      <c r="I296" s="61">
        <f t="shared" si="56"/>
        <v>20002948.169358291</v>
      </c>
      <c r="J296" s="61">
        <f t="shared" si="57"/>
        <v>14119728.119547043</v>
      </c>
      <c r="K296" s="61">
        <f t="shared" si="58"/>
        <v>215416364.9007819</v>
      </c>
      <c r="L296">
        <f t="shared" si="59"/>
        <v>9051007769</v>
      </c>
      <c r="N296" s="58">
        <v>292</v>
      </c>
      <c r="O296" s="61">
        <f t="shared" si="60"/>
        <v>104996820.03335358</v>
      </c>
      <c r="P296" s="61">
        <f t="shared" si="61"/>
        <v>68414217.578293726</v>
      </c>
      <c r="Q296" s="61">
        <f t="shared" si="62"/>
        <v>1130734984.974577</v>
      </c>
      <c r="R296">
        <f t="shared" si="63"/>
        <v>36545956399</v>
      </c>
      <c r="S296">
        <f t="shared" si="64"/>
        <v>104996820.034327</v>
      </c>
    </row>
    <row r="297" spans="2:19" x14ac:dyDescent="0.3">
      <c r="B297" s="58">
        <v>293</v>
      </c>
      <c r="C297" s="61">
        <f t="shared" si="52"/>
        <v>2995887.4372935309</v>
      </c>
      <c r="D297" s="61">
        <f t="shared" si="53"/>
        <v>2995887.4372935309</v>
      </c>
      <c r="E297" s="61">
        <f t="shared" si="54"/>
        <v>39176989.56460765</v>
      </c>
      <c r="F297">
        <f t="shared" si="55"/>
        <v>2304428798</v>
      </c>
      <c r="H297" s="58">
        <v>293</v>
      </c>
      <c r="I297" s="61">
        <f t="shared" si="56"/>
        <v>20803066.096132625</v>
      </c>
      <c r="J297" s="61">
        <f t="shared" si="57"/>
        <v>14684517.244328925</v>
      </c>
      <c r="K297" s="61">
        <f t="shared" si="58"/>
        <v>224033019.49681318</v>
      </c>
      <c r="L297">
        <f t="shared" si="59"/>
        <v>9413052080</v>
      </c>
      <c r="N297" s="58">
        <v>293</v>
      </c>
      <c r="O297" s="61">
        <f t="shared" si="60"/>
        <v>109721676.93485449</v>
      </c>
      <c r="P297" s="61">
        <f t="shared" si="61"/>
        <v>71492857.369316936</v>
      </c>
      <c r="Q297" s="61">
        <f t="shared" si="62"/>
        <v>1181618059.2984328</v>
      </c>
      <c r="R297">
        <f t="shared" si="63"/>
        <v>38190528937</v>
      </c>
      <c r="S297">
        <f t="shared" si="64"/>
        <v>109721676.936001</v>
      </c>
    </row>
    <row r="298" spans="2:19" x14ac:dyDescent="0.3">
      <c r="B298" s="58">
        <v>294</v>
      </c>
      <c r="C298" s="61">
        <f t="shared" si="52"/>
        <v>3100743.4975988041</v>
      </c>
      <c r="D298" s="61">
        <f t="shared" si="53"/>
        <v>3100743.4975988041</v>
      </c>
      <c r="E298" s="61">
        <f t="shared" si="54"/>
        <v>40548184.199368916</v>
      </c>
      <c r="F298">
        <f t="shared" si="55"/>
        <v>2385087306</v>
      </c>
      <c r="H298" s="58">
        <v>294</v>
      </c>
      <c r="I298" s="61">
        <f t="shared" si="56"/>
        <v>21635188.73997793</v>
      </c>
      <c r="J298" s="61">
        <f t="shared" si="57"/>
        <v>15271897.934102083</v>
      </c>
      <c r="K298" s="61">
        <f t="shared" si="58"/>
        <v>232994340.27668571</v>
      </c>
      <c r="L298">
        <f t="shared" si="59"/>
        <v>9789578163</v>
      </c>
      <c r="N298" s="58">
        <v>294</v>
      </c>
      <c r="O298" s="61">
        <f t="shared" si="60"/>
        <v>114659152.39692293</v>
      </c>
      <c r="P298" s="61">
        <f t="shared" si="61"/>
        <v>74710035.950936198</v>
      </c>
      <c r="Q298" s="61">
        <f t="shared" si="62"/>
        <v>1234790871.9668622</v>
      </c>
      <c r="R298">
        <f t="shared" si="63"/>
        <v>39909107239</v>
      </c>
      <c r="S298">
        <f t="shared" si="64"/>
        <v>114659152.39764699</v>
      </c>
    </row>
    <row r="299" spans="2:19" x14ac:dyDescent="0.3">
      <c r="B299" s="58">
        <v>295</v>
      </c>
      <c r="C299" s="61">
        <f t="shared" si="52"/>
        <v>3209269.5200147619</v>
      </c>
      <c r="D299" s="61">
        <f t="shared" si="53"/>
        <v>3209269.5200147619</v>
      </c>
      <c r="E299" s="61">
        <f t="shared" si="54"/>
        <v>41967370.646346822</v>
      </c>
      <c r="F299">
        <f t="shared" si="55"/>
        <v>2468568862</v>
      </c>
      <c r="H299" s="58">
        <v>295</v>
      </c>
      <c r="I299" s="61">
        <f t="shared" si="56"/>
        <v>22500596.289577048</v>
      </c>
      <c r="J299" s="61">
        <f t="shared" si="57"/>
        <v>15882773.851466166</v>
      </c>
      <c r="K299" s="61">
        <f t="shared" si="58"/>
        <v>242314113.88775316</v>
      </c>
      <c r="L299">
        <f t="shared" si="59"/>
        <v>10181165289</v>
      </c>
      <c r="N299" s="58">
        <v>295</v>
      </c>
      <c r="O299" s="61">
        <f t="shared" si="60"/>
        <v>119818814.25478445</v>
      </c>
      <c r="P299" s="61">
        <f t="shared" si="61"/>
        <v>78071987.568728328</v>
      </c>
      <c r="Q299" s="61">
        <f t="shared" si="62"/>
        <v>1290356461.2053709</v>
      </c>
      <c r="R299">
        <f t="shared" si="63"/>
        <v>41705021564</v>
      </c>
      <c r="S299">
        <f t="shared" si="64"/>
        <v>119818814.25337201</v>
      </c>
    </row>
    <row r="300" spans="2:19" x14ac:dyDescent="0.3">
      <c r="B300" s="58">
        <v>296</v>
      </c>
      <c r="C300" s="61">
        <f t="shared" si="52"/>
        <v>3321593.9532152782</v>
      </c>
      <c r="D300" s="61">
        <f t="shared" si="53"/>
        <v>3321593.9532152782</v>
      </c>
      <c r="E300" s="61">
        <f t="shared" si="54"/>
        <v>43436228.618968956</v>
      </c>
      <c r="F300">
        <f t="shared" si="55"/>
        <v>2554972272</v>
      </c>
      <c r="H300" s="58">
        <v>296</v>
      </c>
      <c r="I300" s="61">
        <f t="shared" si="56"/>
        <v>23400620.141160131</v>
      </c>
      <c r="J300" s="61">
        <f t="shared" si="57"/>
        <v>16518084.805524813</v>
      </c>
      <c r="K300" s="61">
        <f t="shared" si="58"/>
        <v>252006678.44326329</v>
      </c>
      <c r="L300">
        <f t="shared" si="59"/>
        <v>10588415901</v>
      </c>
      <c r="N300" s="58">
        <v>296</v>
      </c>
      <c r="O300" s="61">
        <f t="shared" si="60"/>
        <v>125210660.89624974</v>
      </c>
      <c r="P300" s="61">
        <f t="shared" si="61"/>
        <v>81585227.009321094</v>
      </c>
      <c r="Q300" s="61">
        <f t="shared" si="62"/>
        <v>1348422501.9596126</v>
      </c>
      <c r="R300">
        <f t="shared" si="63"/>
        <v>43581752035</v>
      </c>
      <c r="S300">
        <f t="shared" si="64"/>
        <v>125210660.89655501</v>
      </c>
    </row>
    <row r="301" spans="2:19" x14ac:dyDescent="0.3">
      <c r="B301" s="58">
        <v>297</v>
      </c>
      <c r="C301" s="61">
        <f t="shared" si="52"/>
        <v>3437849.7415778125</v>
      </c>
      <c r="D301" s="61">
        <f t="shared" si="53"/>
        <v>3437849.7415778125</v>
      </c>
      <c r="E301" s="61">
        <f t="shared" si="54"/>
        <v>44956496.620632865</v>
      </c>
      <c r="F301">
        <f t="shared" si="55"/>
        <v>2644399801</v>
      </c>
      <c r="H301" s="58">
        <v>297</v>
      </c>
      <c r="I301" s="61">
        <f t="shared" si="56"/>
        <v>24336644.946806535</v>
      </c>
      <c r="J301" s="61">
        <f t="shared" si="57"/>
        <v>17178808.197745807</v>
      </c>
      <c r="K301" s="61">
        <f t="shared" si="58"/>
        <v>262086945.58099383</v>
      </c>
      <c r="L301">
        <f t="shared" si="59"/>
        <v>11011956537</v>
      </c>
      <c r="N301" s="58">
        <v>297</v>
      </c>
      <c r="O301" s="61">
        <f t="shared" si="60"/>
        <v>130845140.63658097</v>
      </c>
      <c r="P301" s="61">
        <f t="shared" si="61"/>
        <v>85256562.224740535</v>
      </c>
      <c r="Q301" s="61">
        <f t="shared" si="62"/>
        <v>1409101514.5477951</v>
      </c>
      <c r="R301">
        <f t="shared" si="63"/>
        <v>45542935376</v>
      </c>
      <c r="S301">
        <f t="shared" si="64"/>
        <v>130845140.63524802</v>
      </c>
    </row>
    <row r="302" spans="2:19" x14ac:dyDescent="0.3">
      <c r="B302" s="58">
        <v>298</v>
      </c>
      <c r="C302" s="61">
        <f t="shared" si="52"/>
        <v>3558174.4825330358</v>
      </c>
      <c r="D302" s="61">
        <f t="shared" si="53"/>
        <v>3558174.4825330358</v>
      </c>
      <c r="E302" s="61">
        <f t="shared" si="54"/>
        <v>46529974.002355009</v>
      </c>
      <c r="F302">
        <f t="shared" si="55"/>
        <v>2736957294</v>
      </c>
      <c r="H302" s="58">
        <v>298</v>
      </c>
      <c r="I302" s="61">
        <f t="shared" si="56"/>
        <v>25310110.744678799</v>
      </c>
      <c r="J302" s="61">
        <f t="shared" si="57"/>
        <v>17865960.525655642</v>
      </c>
      <c r="K302" s="61">
        <f t="shared" si="58"/>
        <v>272570423.40423357</v>
      </c>
      <c r="L302">
        <f t="shared" si="59"/>
        <v>11452438798</v>
      </c>
      <c r="N302" s="58">
        <v>298</v>
      </c>
      <c r="O302" s="61">
        <f t="shared" si="60"/>
        <v>136733171.9652271</v>
      </c>
      <c r="P302" s="61">
        <f t="shared" si="61"/>
        <v>89093107.524853855</v>
      </c>
      <c r="Q302" s="61">
        <f t="shared" si="62"/>
        <v>1472511082.7024457</v>
      </c>
      <c r="R302">
        <f t="shared" si="63"/>
        <v>47592371968</v>
      </c>
      <c r="S302">
        <f t="shared" si="64"/>
        <v>136733171.964064</v>
      </c>
    </row>
    <row r="303" spans="2:19" x14ac:dyDescent="0.3">
      <c r="B303" s="58">
        <v>299</v>
      </c>
      <c r="C303" s="61">
        <f t="shared" si="52"/>
        <v>3682710.5894216918</v>
      </c>
      <c r="D303" s="61">
        <f t="shared" si="53"/>
        <v>3682710.5894216918</v>
      </c>
      <c r="E303" s="61">
        <f t="shared" si="54"/>
        <v>48158523.092437431</v>
      </c>
      <c r="F303">
        <f t="shared" si="55"/>
        <v>2832754300</v>
      </c>
      <c r="H303" s="58">
        <v>299</v>
      </c>
      <c r="I303" s="61">
        <f t="shared" si="56"/>
        <v>26322515.174465951</v>
      </c>
      <c r="J303" s="61">
        <f t="shared" si="57"/>
        <v>18580598.946681868</v>
      </c>
      <c r="K303" s="61">
        <f t="shared" si="58"/>
        <v>283473240.3404029</v>
      </c>
      <c r="L303">
        <f t="shared" si="59"/>
        <v>11910540350</v>
      </c>
      <c r="N303" s="58">
        <v>299</v>
      </c>
      <c r="O303" s="61">
        <f t="shared" si="60"/>
        <v>142886164.70366231</v>
      </c>
      <c r="P303" s="61">
        <f t="shared" si="61"/>
        <v>93102297.363472268</v>
      </c>
      <c r="Q303" s="61">
        <f t="shared" si="62"/>
        <v>1538774081.4240558</v>
      </c>
      <c r="R303">
        <f t="shared" si="63"/>
        <v>49734033207</v>
      </c>
      <c r="S303">
        <f t="shared" si="64"/>
        <v>142886164.703711</v>
      </c>
    </row>
    <row r="304" spans="2:19" x14ac:dyDescent="0.3">
      <c r="B304" s="58">
        <v>300</v>
      </c>
      <c r="C304" s="61">
        <f t="shared" si="52"/>
        <v>3811605.4600514509</v>
      </c>
      <c r="D304" s="61">
        <f t="shared" si="53"/>
        <v>3811605.4600514509</v>
      </c>
      <c r="E304" s="61">
        <f t="shared" si="54"/>
        <v>49844071.400672734</v>
      </c>
      <c r="F304">
        <f t="shared" si="55"/>
        <v>2931904200</v>
      </c>
      <c r="H304" s="58">
        <v>300</v>
      </c>
      <c r="I304" s="61">
        <f t="shared" si="56"/>
        <v>27375415.781444591</v>
      </c>
      <c r="J304" s="61">
        <f t="shared" si="57"/>
        <v>19323822.904549144</v>
      </c>
      <c r="K304" s="61">
        <f t="shared" si="58"/>
        <v>294812169.95401901</v>
      </c>
      <c r="L304">
        <f t="shared" si="59"/>
        <v>12386965964</v>
      </c>
      <c r="N304" s="58">
        <v>300</v>
      </c>
      <c r="O304" s="61">
        <f t="shared" si="60"/>
        <v>149316042.11532709</v>
      </c>
      <c r="P304" s="61">
        <f t="shared" si="61"/>
        <v>97291900.744828507</v>
      </c>
      <c r="Q304" s="61">
        <f t="shared" si="62"/>
        <v>1608018915.0881381</v>
      </c>
      <c r="R304">
        <f t="shared" si="63"/>
        <v>51972069201</v>
      </c>
      <c r="S304">
        <f t="shared" si="64"/>
        <v>149316042.11447302</v>
      </c>
    </row>
    <row r="305" spans="19:19" x14ac:dyDescent="0.3">
      <c r="S305">
        <f t="shared" si="64"/>
        <v>287.3</v>
      </c>
    </row>
    <row r="306" spans="19:19" x14ac:dyDescent="0.3">
      <c r="S306">
        <f t="shared" si="64"/>
        <v>287.3</v>
      </c>
    </row>
    <row r="307" spans="19:19" x14ac:dyDescent="0.3">
      <c r="S307">
        <f t="shared" si="64"/>
        <v>287.3</v>
      </c>
    </row>
    <row r="308" spans="19:19" x14ac:dyDescent="0.3">
      <c r="S308">
        <f t="shared" si="64"/>
        <v>287.3</v>
      </c>
    </row>
    <row r="309" spans="19:19" x14ac:dyDescent="0.3">
      <c r="S309">
        <f t="shared" si="64"/>
        <v>287.3</v>
      </c>
    </row>
    <row r="310" spans="19:19" x14ac:dyDescent="0.3">
      <c r="S310">
        <f t="shared" si="64"/>
        <v>287.3</v>
      </c>
    </row>
    <row r="311" spans="19:19" x14ac:dyDescent="0.3">
      <c r="S311">
        <f t="shared" si="64"/>
        <v>287.3</v>
      </c>
    </row>
    <row r="312" spans="19:19" x14ac:dyDescent="0.3">
      <c r="S312">
        <f t="shared" si="64"/>
        <v>287.3</v>
      </c>
    </row>
    <row r="313" spans="19:19" x14ac:dyDescent="0.3">
      <c r="S313">
        <f t="shared" si="64"/>
        <v>287.3</v>
      </c>
    </row>
    <row r="314" spans="19:19" x14ac:dyDescent="0.3">
      <c r="S314">
        <f t="shared" si="64"/>
        <v>287.3</v>
      </c>
    </row>
    <row r="315" spans="19:19" x14ac:dyDescent="0.3">
      <c r="S315">
        <f t="shared" si="64"/>
        <v>287.3</v>
      </c>
    </row>
    <row r="316" spans="19:19" x14ac:dyDescent="0.3">
      <c r="S316">
        <f t="shared" si="64"/>
        <v>287.3</v>
      </c>
    </row>
    <row r="317" spans="19:19" x14ac:dyDescent="0.3">
      <c r="S317">
        <f t="shared" si="64"/>
        <v>287.3</v>
      </c>
    </row>
    <row r="318" spans="19:19" x14ac:dyDescent="0.3">
      <c r="S318">
        <f t="shared" si="64"/>
        <v>287.3</v>
      </c>
    </row>
    <row r="319" spans="19:19" x14ac:dyDescent="0.3">
      <c r="S319">
        <f t="shared" si="64"/>
        <v>287.3</v>
      </c>
    </row>
    <row r="320" spans="19:19" x14ac:dyDescent="0.3">
      <c r="S320">
        <f t="shared" si="64"/>
        <v>287.3</v>
      </c>
    </row>
    <row r="321" spans="19:19" x14ac:dyDescent="0.3">
      <c r="S321">
        <f t="shared" si="64"/>
        <v>287.3</v>
      </c>
    </row>
    <row r="322" spans="19:19" x14ac:dyDescent="0.3">
      <c r="S322">
        <f t="shared" si="64"/>
        <v>287.3</v>
      </c>
    </row>
    <row r="323" spans="19:19" x14ac:dyDescent="0.3">
      <c r="S323">
        <f t="shared" si="64"/>
        <v>287.3</v>
      </c>
    </row>
    <row r="324" spans="19:19" x14ac:dyDescent="0.3">
      <c r="S324">
        <f t="shared" si="64"/>
        <v>287.3</v>
      </c>
    </row>
    <row r="325" spans="19:19" x14ac:dyDescent="0.3">
      <c r="S325">
        <f t="shared" si="64"/>
        <v>287.3</v>
      </c>
    </row>
    <row r="326" spans="19:19" x14ac:dyDescent="0.3">
      <c r="S326">
        <f t="shared" ref="S326:S389" si="65">$O$5*(1+R326/100000)</f>
        <v>287.3</v>
      </c>
    </row>
    <row r="327" spans="19:19" x14ac:dyDescent="0.3">
      <c r="S327">
        <f t="shared" si="65"/>
        <v>287.3</v>
      </c>
    </row>
    <row r="328" spans="19:19" x14ac:dyDescent="0.3">
      <c r="S328">
        <f t="shared" si="65"/>
        <v>287.3</v>
      </c>
    </row>
    <row r="329" spans="19:19" x14ac:dyDescent="0.3">
      <c r="S329">
        <f t="shared" si="65"/>
        <v>287.3</v>
      </c>
    </row>
    <row r="330" spans="19:19" x14ac:dyDescent="0.3">
      <c r="S330">
        <f t="shared" si="65"/>
        <v>287.3</v>
      </c>
    </row>
    <row r="331" spans="19:19" x14ac:dyDescent="0.3">
      <c r="S331">
        <f t="shared" si="65"/>
        <v>287.3</v>
      </c>
    </row>
    <row r="332" spans="19:19" x14ac:dyDescent="0.3">
      <c r="S332">
        <f t="shared" si="65"/>
        <v>287.3</v>
      </c>
    </row>
    <row r="333" spans="19:19" x14ac:dyDescent="0.3">
      <c r="S333">
        <f t="shared" si="65"/>
        <v>287.3</v>
      </c>
    </row>
    <row r="334" spans="19:19" x14ac:dyDescent="0.3">
      <c r="S334">
        <f t="shared" si="65"/>
        <v>287.3</v>
      </c>
    </row>
    <row r="335" spans="19:19" x14ac:dyDescent="0.3">
      <c r="S335">
        <f t="shared" si="65"/>
        <v>287.3</v>
      </c>
    </row>
    <row r="336" spans="19:19" x14ac:dyDescent="0.3">
      <c r="S336">
        <f t="shared" si="65"/>
        <v>287.3</v>
      </c>
    </row>
    <row r="337" spans="19:19" x14ac:dyDescent="0.3">
      <c r="S337">
        <f t="shared" si="65"/>
        <v>287.3</v>
      </c>
    </row>
    <row r="338" spans="19:19" x14ac:dyDescent="0.3">
      <c r="S338">
        <f t="shared" si="65"/>
        <v>287.3</v>
      </c>
    </row>
    <row r="339" spans="19:19" x14ac:dyDescent="0.3">
      <c r="S339">
        <f t="shared" si="65"/>
        <v>287.3</v>
      </c>
    </row>
    <row r="340" spans="19:19" x14ac:dyDescent="0.3">
      <c r="S340">
        <f t="shared" si="65"/>
        <v>287.3</v>
      </c>
    </row>
    <row r="341" spans="19:19" x14ac:dyDescent="0.3">
      <c r="S341">
        <f t="shared" si="65"/>
        <v>287.3</v>
      </c>
    </row>
    <row r="342" spans="19:19" x14ac:dyDescent="0.3">
      <c r="S342">
        <f t="shared" si="65"/>
        <v>287.3</v>
      </c>
    </row>
    <row r="343" spans="19:19" x14ac:dyDescent="0.3">
      <c r="S343">
        <f t="shared" si="65"/>
        <v>287.3</v>
      </c>
    </row>
    <row r="344" spans="19:19" x14ac:dyDescent="0.3">
      <c r="S344">
        <f t="shared" si="65"/>
        <v>287.3</v>
      </c>
    </row>
    <row r="345" spans="19:19" x14ac:dyDescent="0.3">
      <c r="S345">
        <f t="shared" si="65"/>
        <v>287.3</v>
      </c>
    </row>
    <row r="346" spans="19:19" x14ac:dyDescent="0.3">
      <c r="S346">
        <f t="shared" si="65"/>
        <v>287.3</v>
      </c>
    </row>
    <row r="347" spans="19:19" x14ac:dyDescent="0.3">
      <c r="S347">
        <f t="shared" si="65"/>
        <v>287.3</v>
      </c>
    </row>
    <row r="348" spans="19:19" x14ac:dyDescent="0.3">
      <c r="S348">
        <f t="shared" si="65"/>
        <v>287.3</v>
      </c>
    </row>
    <row r="349" spans="19:19" x14ac:dyDescent="0.3">
      <c r="S349">
        <f t="shared" si="65"/>
        <v>287.3</v>
      </c>
    </row>
    <row r="350" spans="19:19" x14ac:dyDescent="0.3">
      <c r="S350">
        <f t="shared" si="65"/>
        <v>287.3</v>
      </c>
    </row>
    <row r="351" spans="19:19" x14ac:dyDescent="0.3">
      <c r="S351">
        <f t="shared" si="65"/>
        <v>287.3</v>
      </c>
    </row>
    <row r="352" spans="19:19" x14ac:dyDescent="0.3">
      <c r="S352">
        <f t="shared" si="65"/>
        <v>287.3</v>
      </c>
    </row>
    <row r="353" spans="19:19" x14ac:dyDescent="0.3">
      <c r="S353">
        <f t="shared" si="65"/>
        <v>287.3</v>
      </c>
    </row>
    <row r="354" spans="19:19" x14ac:dyDescent="0.3">
      <c r="S354">
        <f t="shared" si="65"/>
        <v>287.3</v>
      </c>
    </row>
    <row r="355" spans="19:19" x14ac:dyDescent="0.3">
      <c r="S355">
        <f t="shared" si="65"/>
        <v>287.3</v>
      </c>
    </row>
    <row r="356" spans="19:19" x14ac:dyDescent="0.3">
      <c r="S356">
        <f t="shared" si="65"/>
        <v>287.3</v>
      </c>
    </row>
    <row r="357" spans="19:19" x14ac:dyDescent="0.3">
      <c r="S357">
        <f t="shared" si="65"/>
        <v>287.3</v>
      </c>
    </row>
    <row r="358" spans="19:19" x14ac:dyDescent="0.3">
      <c r="S358">
        <f t="shared" si="65"/>
        <v>287.3</v>
      </c>
    </row>
    <row r="359" spans="19:19" x14ac:dyDescent="0.3">
      <c r="S359">
        <f t="shared" si="65"/>
        <v>287.3</v>
      </c>
    </row>
    <row r="360" spans="19:19" x14ac:dyDescent="0.3">
      <c r="S360">
        <f t="shared" si="65"/>
        <v>287.3</v>
      </c>
    </row>
    <row r="361" spans="19:19" x14ac:dyDescent="0.3">
      <c r="S361">
        <f t="shared" si="65"/>
        <v>287.3</v>
      </c>
    </row>
    <row r="362" spans="19:19" x14ac:dyDescent="0.3">
      <c r="S362">
        <f t="shared" si="65"/>
        <v>287.3</v>
      </c>
    </row>
    <row r="363" spans="19:19" x14ac:dyDescent="0.3">
      <c r="S363">
        <f t="shared" si="65"/>
        <v>287.3</v>
      </c>
    </row>
    <row r="364" spans="19:19" x14ac:dyDescent="0.3">
      <c r="S364">
        <f t="shared" si="65"/>
        <v>287.3</v>
      </c>
    </row>
    <row r="365" spans="19:19" x14ac:dyDescent="0.3">
      <c r="S365">
        <f t="shared" si="65"/>
        <v>287.3</v>
      </c>
    </row>
    <row r="366" spans="19:19" x14ac:dyDescent="0.3">
      <c r="S366">
        <f t="shared" si="65"/>
        <v>287.3</v>
      </c>
    </row>
    <row r="367" spans="19:19" x14ac:dyDescent="0.3">
      <c r="S367">
        <f t="shared" si="65"/>
        <v>287.3</v>
      </c>
    </row>
    <row r="368" spans="19:19" x14ac:dyDescent="0.3">
      <c r="S368">
        <f t="shared" si="65"/>
        <v>287.3</v>
      </c>
    </row>
    <row r="369" spans="19:19" x14ac:dyDescent="0.3">
      <c r="S369">
        <f t="shared" si="65"/>
        <v>287.3</v>
      </c>
    </row>
    <row r="370" spans="19:19" x14ac:dyDescent="0.3">
      <c r="S370">
        <f t="shared" si="65"/>
        <v>287.3</v>
      </c>
    </row>
    <row r="371" spans="19:19" x14ac:dyDescent="0.3">
      <c r="S371">
        <f t="shared" si="65"/>
        <v>287.3</v>
      </c>
    </row>
    <row r="372" spans="19:19" x14ac:dyDescent="0.3">
      <c r="S372">
        <f t="shared" si="65"/>
        <v>287.3</v>
      </c>
    </row>
    <row r="373" spans="19:19" x14ac:dyDescent="0.3">
      <c r="S373">
        <f t="shared" si="65"/>
        <v>287.3</v>
      </c>
    </row>
    <row r="374" spans="19:19" x14ac:dyDescent="0.3">
      <c r="S374">
        <f t="shared" si="65"/>
        <v>287.3</v>
      </c>
    </row>
    <row r="375" spans="19:19" x14ac:dyDescent="0.3">
      <c r="S375">
        <f t="shared" si="65"/>
        <v>287.3</v>
      </c>
    </row>
    <row r="376" spans="19:19" x14ac:dyDescent="0.3">
      <c r="S376">
        <f t="shared" si="65"/>
        <v>287.3</v>
      </c>
    </row>
    <row r="377" spans="19:19" x14ac:dyDescent="0.3">
      <c r="S377">
        <f t="shared" si="65"/>
        <v>287.3</v>
      </c>
    </row>
    <row r="378" spans="19:19" x14ac:dyDescent="0.3">
      <c r="S378">
        <f t="shared" si="65"/>
        <v>287.3</v>
      </c>
    </row>
    <row r="379" spans="19:19" x14ac:dyDescent="0.3">
      <c r="S379">
        <f t="shared" si="65"/>
        <v>287.3</v>
      </c>
    </row>
    <row r="380" spans="19:19" x14ac:dyDescent="0.3">
      <c r="S380">
        <f t="shared" si="65"/>
        <v>287.3</v>
      </c>
    </row>
    <row r="381" spans="19:19" x14ac:dyDescent="0.3">
      <c r="S381">
        <f t="shared" si="65"/>
        <v>287.3</v>
      </c>
    </row>
    <row r="382" spans="19:19" x14ac:dyDescent="0.3">
      <c r="S382">
        <f t="shared" si="65"/>
        <v>287.3</v>
      </c>
    </row>
    <row r="383" spans="19:19" x14ac:dyDescent="0.3">
      <c r="S383">
        <f t="shared" si="65"/>
        <v>287.3</v>
      </c>
    </row>
    <row r="384" spans="19:19" x14ac:dyDescent="0.3">
      <c r="S384">
        <f t="shared" si="65"/>
        <v>287.3</v>
      </c>
    </row>
    <row r="385" spans="19:19" x14ac:dyDescent="0.3">
      <c r="S385">
        <f t="shared" si="65"/>
        <v>287.3</v>
      </c>
    </row>
    <row r="386" spans="19:19" x14ac:dyDescent="0.3">
      <c r="S386">
        <f t="shared" si="65"/>
        <v>287.3</v>
      </c>
    </row>
    <row r="387" spans="19:19" x14ac:dyDescent="0.3">
      <c r="S387">
        <f t="shared" si="65"/>
        <v>287.3</v>
      </c>
    </row>
    <row r="388" spans="19:19" x14ac:dyDescent="0.3">
      <c r="S388">
        <f t="shared" si="65"/>
        <v>287.3</v>
      </c>
    </row>
    <row r="389" spans="19:19" x14ac:dyDescent="0.3">
      <c r="S389">
        <f t="shared" si="65"/>
        <v>287.3</v>
      </c>
    </row>
    <row r="390" spans="19:19" x14ac:dyDescent="0.3">
      <c r="S390">
        <f t="shared" ref="S390:S453" si="66">$O$5*(1+R390/100000)</f>
        <v>287.3</v>
      </c>
    </row>
    <row r="391" spans="19:19" x14ac:dyDescent="0.3">
      <c r="S391">
        <f t="shared" si="66"/>
        <v>287.3</v>
      </c>
    </row>
    <row r="392" spans="19:19" x14ac:dyDescent="0.3">
      <c r="S392">
        <f t="shared" si="66"/>
        <v>287.3</v>
      </c>
    </row>
    <row r="393" spans="19:19" x14ac:dyDescent="0.3">
      <c r="S393">
        <f t="shared" si="66"/>
        <v>287.3</v>
      </c>
    </row>
    <row r="394" spans="19:19" x14ac:dyDescent="0.3">
      <c r="S394">
        <f t="shared" si="66"/>
        <v>287.3</v>
      </c>
    </row>
    <row r="395" spans="19:19" x14ac:dyDescent="0.3">
      <c r="S395">
        <f t="shared" si="66"/>
        <v>287.3</v>
      </c>
    </row>
    <row r="396" spans="19:19" x14ac:dyDescent="0.3">
      <c r="S396">
        <f t="shared" si="66"/>
        <v>287.3</v>
      </c>
    </row>
    <row r="397" spans="19:19" x14ac:dyDescent="0.3">
      <c r="S397">
        <f t="shared" si="66"/>
        <v>287.3</v>
      </c>
    </row>
    <row r="398" spans="19:19" x14ac:dyDescent="0.3">
      <c r="S398">
        <f t="shared" si="66"/>
        <v>287.3</v>
      </c>
    </row>
    <row r="399" spans="19:19" x14ac:dyDescent="0.3">
      <c r="S399">
        <f t="shared" si="66"/>
        <v>287.3</v>
      </c>
    </row>
    <row r="400" spans="19:19" x14ac:dyDescent="0.3">
      <c r="S400">
        <f t="shared" si="66"/>
        <v>287.3</v>
      </c>
    </row>
    <row r="401" spans="19:19" x14ac:dyDescent="0.3">
      <c r="S401">
        <f t="shared" si="66"/>
        <v>287.3</v>
      </c>
    </row>
    <row r="402" spans="19:19" x14ac:dyDescent="0.3">
      <c r="S402">
        <f t="shared" si="66"/>
        <v>287.3</v>
      </c>
    </row>
    <row r="403" spans="19:19" x14ac:dyDescent="0.3">
      <c r="S403">
        <f t="shared" si="66"/>
        <v>287.3</v>
      </c>
    </row>
    <row r="404" spans="19:19" x14ac:dyDescent="0.3">
      <c r="S404">
        <f t="shared" si="66"/>
        <v>287.3</v>
      </c>
    </row>
    <row r="405" spans="19:19" x14ac:dyDescent="0.3">
      <c r="S405">
        <f t="shared" si="66"/>
        <v>287.3</v>
      </c>
    </row>
    <row r="406" spans="19:19" x14ac:dyDescent="0.3">
      <c r="S406">
        <f t="shared" si="66"/>
        <v>287.3</v>
      </c>
    </row>
    <row r="407" spans="19:19" x14ac:dyDescent="0.3">
      <c r="S407">
        <f t="shared" si="66"/>
        <v>287.3</v>
      </c>
    </row>
    <row r="408" spans="19:19" x14ac:dyDescent="0.3">
      <c r="S408">
        <f t="shared" si="66"/>
        <v>287.3</v>
      </c>
    </row>
    <row r="409" spans="19:19" x14ac:dyDescent="0.3">
      <c r="S409">
        <f t="shared" si="66"/>
        <v>287.3</v>
      </c>
    </row>
    <row r="410" spans="19:19" x14ac:dyDescent="0.3">
      <c r="S410">
        <f t="shared" si="66"/>
        <v>287.3</v>
      </c>
    </row>
    <row r="411" spans="19:19" x14ac:dyDescent="0.3">
      <c r="S411">
        <f t="shared" si="66"/>
        <v>287.3</v>
      </c>
    </row>
    <row r="412" spans="19:19" x14ac:dyDescent="0.3">
      <c r="S412">
        <f t="shared" si="66"/>
        <v>287.3</v>
      </c>
    </row>
    <row r="413" spans="19:19" x14ac:dyDescent="0.3">
      <c r="S413">
        <f t="shared" si="66"/>
        <v>287.3</v>
      </c>
    </row>
    <row r="414" spans="19:19" x14ac:dyDescent="0.3">
      <c r="S414">
        <f t="shared" si="66"/>
        <v>287.3</v>
      </c>
    </row>
    <row r="415" spans="19:19" x14ac:dyDescent="0.3">
      <c r="S415">
        <f t="shared" si="66"/>
        <v>287.3</v>
      </c>
    </row>
    <row r="416" spans="19:19" x14ac:dyDescent="0.3">
      <c r="S416">
        <f t="shared" si="66"/>
        <v>287.3</v>
      </c>
    </row>
    <row r="417" spans="19:19" x14ac:dyDescent="0.3">
      <c r="S417">
        <f t="shared" si="66"/>
        <v>287.3</v>
      </c>
    </row>
    <row r="418" spans="19:19" x14ac:dyDescent="0.3">
      <c r="S418">
        <f t="shared" si="66"/>
        <v>287.3</v>
      </c>
    </row>
    <row r="419" spans="19:19" x14ac:dyDescent="0.3">
      <c r="S419">
        <f t="shared" si="66"/>
        <v>287.3</v>
      </c>
    </row>
    <row r="420" spans="19:19" x14ac:dyDescent="0.3">
      <c r="S420">
        <f t="shared" si="66"/>
        <v>287.3</v>
      </c>
    </row>
    <row r="421" spans="19:19" x14ac:dyDescent="0.3">
      <c r="S421">
        <f t="shared" si="66"/>
        <v>287.3</v>
      </c>
    </row>
    <row r="422" spans="19:19" x14ac:dyDescent="0.3">
      <c r="S422">
        <f t="shared" si="66"/>
        <v>287.3</v>
      </c>
    </row>
    <row r="423" spans="19:19" x14ac:dyDescent="0.3">
      <c r="S423">
        <f t="shared" si="66"/>
        <v>287.3</v>
      </c>
    </row>
    <row r="424" spans="19:19" x14ac:dyDescent="0.3">
      <c r="S424">
        <f t="shared" si="66"/>
        <v>287.3</v>
      </c>
    </row>
    <row r="425" spans="19:19" x14ac:dyDescent="0.3">
      <c r="S425">
        <f t="shared" si="66"/>
        <v>287.3</v>
      </c>
    </row>
    <row r="426" spans="19:19" x14ac:dyDescent="0.3">
      <c r="S426">
        <f t="shared" si="66"/>
        <v>287.3</v>
      </c>
    </row>
    <row r="427" spans="19:19" x14ac:dyDescent="0.3">
      <c r="S427">
        <f t="shared" si="66"/>
        <v>287.3</v>
      </c>
    </row>
    <row r="428" spans="19:19" x14ac:dyDescent="0.3">
      <c r="S428">
        <f t="shared" si="66"/>
        <v>287.3</v>
      </c>
    </row>
    <row r="429" spans="19:19" x14ac:dyDescent="0.3">
      <c r="S429">
        <f t="shared" si="66"/>
        <v>287.3</v>
      </c>
    </row>
    <row r="430" spans="19:19" x14ac:dyDescent="0.3">
      <c r="S430">
        <f t="shared" si="66"/>
        <v>287.3</v>
      </c>
    </row>
    <row r="431" spans="19:19" x14ac:dyDescent="0.3">
      <c r="S431">
        <f t="shared" si="66"/>
        <v>287.3</v>
      </c>
    </row>
    <row r="432" spans="19:19" x14ac:dyDescent="0.3">
      <c r="S432">
        <f t="shared" si="66"/>
        <v>287.3</v>
      </c>
    </row>
    <row r="433" spans="19:19" x14ac:dyDescent="0.3">
      <c r="S433">
        <f t="shared" si="66"/>
        <v>287.3</v>
      </c>
    </row>
    <row r="434" spans="19:19" x14ac:dyDescent="0.3">
      <c r="S434">
        <f t="shared" si="66"/>
        <v>287.3</v>
      </c>
    </row>
    <row r="435" spans="19:19" x14ac:dyDescent="0.3">
      <c r="S435">
        <f t="shared" si="66"/>
        <v>287.3</v>
      </c>
    </row>
    <row r="436" spans="19:19" x14ac:dyDescent="0.3">
      <c r="S436">
        <f t="shared" si="66"/>
        <v>287.3</v>
      </c>
    </row>
    <row r="437" spans="19:19" x14ac:dyDescent="0.3">
      <c r="S437">
        <f t="shared" si="66"/>
        <v>287.3</v>
      </c>
    </row>
    <row r="438" spans="19:19" x14ac:dyDescent="0.3">
      <c r="S438">
        <f t="shared" si="66"/>
        <v>287.3</v>
      </c>
    </row>
    <row r="439" spans="19:19" x14ac:dyDescent="0.3">
      <c r="S439">
        <f t="shared" si="66"/>
        <v>287.3</v>
      </c>
    </row>
    <row r="440" spans="19:19" x14ac:dyDescent="0.3">
      <c r="S440">
        <f t="shared" si="66"/>
        <v>287.3</v>
      </c>
    </row>
    <row r="441" spans="19:19" x14ac:dyDescent="0.3">
      <c r="S441">
        <f t="shared" si="66"/>
        <v>287.3</v>
      </c>
    </row>
    <row r="442" spans="19:19" x14ac:dyDescent="0.3">
      <c r="S442">
        <f t="shared" si="66"/>
        <v>287.3</v>
      </c>
    </row>
    <row r="443" spans="19:19" x14ac:dyDescent="0.3">
      <c r="S443">
        <f t="shared" si="66"/>
        <v>287.3</v>
      </c>
    </row>
    <row r="444" spans="19:19" x14ac:dyDescent="0.3">
      <c r="S444">
        <f t="shared" si="66"/>
        <v>287.3</v>
      </c>
    </row>
    <row r="445" spans="19:19" x14ac:dyDescent="0.3">
      <c r="S445">
        <f t="shared" si="66"/>
        <v>287.3</v>
      </c>
    </row>
    <row r="446" spans="19:19" x14ac:dyDescent="0.3">
      <c r="S446">
        <f t="shared" si="66"/>
        <v>287.3</v>
      </c>
    </row>
    <row r="447" spans="19:19" x14ac:dyDescent="0.3">
      <c r="S447">
        <f t="shared" si="66"/>
        <v>287.3</v>
      </c>
    </row>
    <row r="448" spans="19:19" x14ac:dyDescent="0.3">
      <c r="S448">
        <f t="shared" si="66"/>
        <v>287.3</v>
      </c>
    </row>
    <row r="449" spans="19:19" x14ac:dyDescent="0.3">
      <c r="S449">
        <f t="shared" si="66"/>
        <v>287.3</v>
      </c>
    </row>
    <row r="450" spans="19:19" x14ac:dyDescent="0.3">
      <c r="S450">
        <f t="shared" si="66"/>
        <v>287.3</v>
      </c>
    </row>
    <row r="451" spans="19:19" x14ac:dyDescent="0.3">
      <c r="S451">
        <f t="shared" si="66"/>
        <v>287.3</v>
      </c>
    </row>
    <row r="452" spans="19:19" x14ac:dyDescent="0.3">
      <c r="S452">
        <f t="shared" si="66"/>
        <v>287.3</v>
      </c>
    </row>
    <row r="453" spans="19:19" x14ac:dyDescent="0.3">
      <c r="S453">
        <f t="shared" si="66"/>
        <v>287.3</v>
      </c>
    </row>
    <row r="454" spans="19:19" x14ac:dyDescent="0.3">
      <c r="S454">
        <f t="shared" ref="S454:S517" si="67">$O$5*(1+R454/100000)</f>
        <v>287.3</v>
      </c>
    </row>
    <row r="455" spans="19:19" x14ac:dyDescent="0.3">
      <c r="S455">
        <f t="shared" si="67"/>
        <v>287.3</v>
      </c>
    </row>
    <row r="456" spans="19:19" x14ac:dyDescent="0.3">
      <c r="S456">
        <f t="shared" si="67"/>
        <v>287.3</v>
      </c>
    </row>
    <row r="457" spans="19:19" x14ac:dyDescent="0.3">
      <c r="S457">
        <f t="shared" si="67"/>
        <v>287.3</v>
      </c>
    </row>
    <row r="458" spans="19:19" x14ac:dyDescent="0.3">
      <c r="S458">
        <f t="shared" si="67"/>
        <v>287.3</v>
      </c>
    </row>
    <row r="459" spans="19:19" x14ac:dyDescent="0.3">
      <c r="S459">
        <f t="shared" si="67"/>
        <v>287.3</v>
      </c>
    </row>
    <row r="460" spans="19:19" x14ac:dyDescent="0.3">
      <c r="S460">
        <f t="shared" si="67"/>
        <v>287.3</v>
      </c>
    </row>
    <row r="461" spans="19:19" x14ac:dyDescent="0.3">
      <c r="S461">
        <f t="shared" si="67"/>
        <v>287.3</v>
      </c>
    </row>
    <row r="462" spans="19:19" x14ac:dyDescent="0.3">
      <c r="S462">
        <f t="shared" si="67"/>
        <v>287.3</v>
      </c>
    </row>
    <row r="463" spans="19:19" x14ac:dyDescent="0.3">
      <c r="S463">
        <f t="shared" si="67"/>
        <v>287.3</v>
      </c>
    </row>
    <row r="464" spans="19:19" x14ac:dyDescent="0.3">
      <c r="S464">
        <f t="shared" si="67"/>
        <v>287.3</v>
      </c>
    </row>
    <row r="465" spans="19:19" x14ac:dyDescent="0.3">
      <c r="S465">
        <f t="shared" si="67"/>
        <v>287.3</v>
      </c>
    </row>
    <row r="466" spans="19:19" x14ac:dyDescent="0.3">
      <c r="S466">
        <f t="shared" si="67"/>
        <v>287.3</v>
      </c>
    </row>
    <row r="467" spans="19:19" x14ac:dyDescent="0.3">
      <c r="S467">
        <f t="shared" si="67"/>
        <v>287.3</v>
      </c>
    </row>
    <row r="468" spans="19:19" x14ac:dyDescent="0.3">
      <c r="S468">
        <f t="shared" si="67"/>
        <v>287.3</v>
      </c>
    </row>
    <row r="469" spans="19:19" x14ac:dyDescent="0.3">
      <c r="S469">
        <f t="shared" si="67"/>
        <v>287.3</v>
      </c>
    </row>
    <row r="470" spans="19:19" x14ac:dyDescent="0.3">
      <c r="S470">
        <f t="shared" si="67"/>
        <v>287.3</v>
      </c>
    </row>
    <row r="471" spans="19:19" x14ac:dyDescent="0.3">
      <c r="S471">
        <f t="shared" si="67"/>
        <v>287.3</v>
      </c>
    </row>
    <row r="472" spans="19:19" x14ac:dyDescent="0.3">
      <c r="S472">
        <f t="shared" si="67"/>
        <v>287.3</v>
      </c>
    </row>
    <row r="473" spans="19:19" x14ac:dyDescent="0.3">
      <c r="S473">
        <f t="shared" si="67"/>
        <v>287.3</v>
      </c>
    </row>
    <row r="474" spans="19:19" x14ac:dyDescent="0.3">
      <c r="S474">
        <f t="shared" si="67"/>
        <v>287.3</v>
      </c>
    </row>
    <row r="475" spans="19:19" x14ac:dyDescent="0.3">
      <c r="S475">
        <f t="shared" si="67"/>
        <v>287.3</v>
      </c>
    </row>
    <row r="476" spans="19:19" x14ac:dyDescent="0.3">
      <c r="S476">
        <f t="shared" si="67"/>
        <v>287.3</v>
      </c>
    </row>
    <row r="477" spans="19:19" x14ac:dyDescent="0.3">
      <c r="S477">
        <f t="shared" si="67"/>
        <v>287.3</v>
      </c>
    </row>
    <row r="478" spans="19:19" x14ac:dyDescent="0.3">
      <c r="S478">
        <f t="shared" si="67"/>
        <v>287.3</v>
      </c>
    </row>
    <row r="479" spans="19:19" x14ac:dyDescent="0.3">
      <c r="S479">
        <f t="shared" si="67"/>
        <v>287.3</v>
      </c>
    </row>
    <row r="480" spans="19:19" x14ac:dyDescent="0.3">
      <c r="S480">
        <f t="shared" si="67"/>
        <v>287.3</v>
      </c>
    </row>
    <row r="481" spans="19:19" x14ac:dyDescent="0.3">
      <c r="S481">
        <f t="shared" si="67"/>
        <v>287.3</v>
      </c>
    </row>
    <row r="482" spans="19:19" x14ac:dyDescent="0.3">
      <c r="S482">
        <f t="shared" si="67"/>
        <v>287.3</v>
      </c>
    </row>
    <row r="483" spans="19:19" x14ac:dyDescent="0.3">
      <c r="S483">
        <f t="shared" si="67"/>
        <v>287.3</v>
      </c>
    </row>
    <row r="484" spans="19:19" x14ac:dyDescent="0.3">
      <c r="S484">
        <f t="shared" si="67"/>
        <v>287.3</v>
      </c>
    </row>
    <row r="485" spans="19:19" x14ac:dyDescent="0.3">
      <c r="S485">
        <f t="shared" si="67"/>
        <v>287.3</v>
      </c>
    </row>
    <row r="486" spans="19:19" x14ac:dyDescent="0.3">
      <c r="S486">
        <f t="shared" si="67"/>
        <v>287.3</v>
      </c>
    </row>
    <row r="487" spans="19:19" x14ac:dyDescent="0.3">
      <c r="S487">
        <f t="shared" si="67"/>
        <v>287.3</v>
      </c>
    </row>
    <row r="488" spans="19:19" x14ac:dyDescent="0.3">
      <c r="S488">
        <f t="shared" si="67"/>
        <v>287.3</v>
      </c>
    </row>
    <row r="489" spans="19:19" x14ac:dyDescent="0.3">
      <c r="S489">
        <f t="shared" si="67"/>
        <v>287.3</v>
      </c>
    </row>
    <row r="490" spans="19:19" x14ac:dyDescent="0.3">
      <c r="S490">
        <f t="shared" si="67"/>
        <v>287.3</v>
      </c>
    </row>
    <row r="491" spans="19:19" x14ac:dyDescent="0.3">
      <c r="S491">
        <f t="shared" si="67"/>
        <v>287.3</v>
      </c>
    </row>
    <row r="492" spans="19:19" x14ac:dyDescent="0.3">
      <c r="S492">
        <f t="shared" si="67"/>
        <v>287.3</v>
      </c>
    </row>
    <row r="493" spans="19:19" x14ac:dyDescent="0.3">
      <c r="S493">
        <f t="shared" si="67"/>
        <v>287.3</v>
      </c>
    </row>
    <row r="494" spans="19:19" x14ac:dyDescent="0.3">
      <c r="S494">
        <f t="shared" si="67"/>
        <v>287.3</v>
      </c>
    </row>
    <row r="495" spans="19:19" x14ac:dyDescent="0.3">
      <c r="S495">
        <f t="shared" si="67"/>
        <v>287.3</v>
      </c>
    </row>
    <row r="496" spans="19:19" x14ac:dyDescent="0.3">
      <c r="S496">
        <f t="shared" si="67"/>
        <v>287.3</v>
      </c>
    </row>
    <row r="497" spans="19:19" x14ac:dyDescent="0.3">
      <c r="S497">
        <f t="shared" si="67"/>
        <v>287.3</v>
      </c>
    </row>
    <row r="498" spans="19:19" x14ac:dyDescent="0.3">
      <c r="S498">
        <f t="shared" si="67"/>
        <v>287.3</v>
      </c>
    </row>
    <row r="499" spans="19:19" x14ac:dyDescent="0.3">
      <c r="S499">
        <f t="shared" si="67"/>
        <v>287.3</v>
      </c>
    </row>
    <row r="500" spans="19:19" x14ac:dyDescent="0.3">
      <c r="S500">
        <f t="shared" si="67"/>
        <v>287.3</v>
      </c>
    </row>
    <row r="501" spans="19:19" x14ac:dyDescent="0.3">
      <c r="S501">
        <f t="shared" si="67"/>
        <v>287.3</v>
      </c>
    </row>
    <row r="502" spans="19:19" x14ac:dyDescent="0.3">
      <c r="S502">
        <f t="shared" si="67"/>
        <v>287.3</v>
      </c>
    </row>
    <row r="503" spans="19:19" x14ac:dyDescent="0.3">
      <c r="S503">
        <f t="shared" si="67"/>
        <v>287.3</v>
      </c>
    </row>
    <row r="504" spans="19:19" x14ac:dyDescent="0.3">
      <c r="S504">
        <f t="shared" si="67"/>
        <v>287.3</v>
      </c>
    </row>
    <row r="505" spans="19:19" x14ac:dyDescent="0.3">
      <c r="S505">
        <f t="shared" si="67"/>
        <v>287.3</v>
      </c>
    </row>
    <row r="506" spans="19:19" x14ac:dyDescent="0.3">
      <c r="S506">
        <f t="shared" si="67"/>
        <v>287.3</v>
      </c>
    </row>
    <row r="507" spans="19:19" x14ac:dyDescent="0.3">
      <c r="S507">
        <f t="shared" si="67"/>
        <v>287.3</v>
      </c>
    </row>
    <row r="508" spans="19:19" x14ac:dyDescent="0.3">
      <c r="S508">
        <f t="shared" si="67"/>
        <v>287.3</v>
      </c>
    </row>
    <row r="509" spans="19:19" x14ac:dyDescent="0.3">
      <c r="S509">
        <f t="shared" si="67"/>
        <v>287.3</v>
      </c>
    </row>
    <row r="510" spans="19:19" x14ac:dyDescent="0.3">
      <c r="S510">
        <f t="shared" si="67"/>
        <v>287.3</v>
      </c>
    </row>
    <row r="511" spans="19:19" x14ac:dyDescent="0.3">
      <c r="S511">
        <f t="shared" si="67"/>
        <v>287.3</v>
      </c>
    </row>
    <row r="512" spans="19:19" x14ac:dyDescent="0.3">
      <c r="S512">
        <f t="shared" si="67"/>
        <v>287.3</v>
      </c>
    </row>
    <row r="513" spans="19:19" x14ac:dyDescent="0.3">
      <c r="S513">
        <f t="shared" si="67"/>
        <v>287.3</v>
      </c>
    </row>
    <row r="514" spans="19:19" x14ac:dyDescent="0.3">
      <c r="S514">
        <f t="shared" si="67"/>
        <v>287.3</v>
      </c>
    </row>
    <row r="515" spans="19:19" x14ac:dyDescent="0.3">
      <c r="S515">
        <f t="shared" si="67"/>
        <v>287.3</v>
      </c>
    </row>
    <row r="516" spans="19:19" x14ac:dyDescent="0.3">
      <c r="S516">
        <f t="shared" si="67"/>
        <v>287.3</v>
      </c>
    </row>
    <row r="517" spans="19:19" x14ac:dyDescent="0.3">
      <c r="S517">
        <f t="shared" si="67"/>
        <v>287.3</v>
      </c>
    </row>
    <row r="518" spans="19:19" x14ac:dyDescent="0.3">
      <c r="S518">
        <f t="shared" ref="S518:S581" si="68">$O$5*(1+R518/100000)</f>
        <v>287.3</v>
      </c>
    </row>
    <row r="519" spans="19:19" x14ac:dyDescent="0.3">
      <c r="S519">
        <f t="shared" si="68"/>
        <v>287.3</v>
      </c>
    </row>
    <row r="520" spans="19:19" x14ac:dyDescent="0.3">
      <c r="S520">
        <f t="shared" si="68"/>
        <v>287.3</v>
      </c>
    </row>
    <row r="521" spans="19:19" x14ac:dyDescent="0.3">
      <c r="S521">
        <f t="shared" si="68"/>
        <v>287.3</v>
      </c>
    </row>
    <row r="522" spans="19:19" x14ac:dyDescent="0.3">
      <c r="S522">
        <f t="shared" si="68"/>
        <v>287.3</v>
      </c>
    </row>
    <row r="523" spans="19:19" x14ac:dyDescent="0.3">
      <c r="S523">
        <f t="shared" si="68"/>
        <v>287.3</v>
      </c>
    </row>
    <row r="524" spans="19:19" x14ac:dyDescent="0.3">
      <c r="S524">
        <f t="shared" si="68"/>
        <v>287.3</v>
      </c>
    </row>
    <row r="525" spans="19:19" x14ac:dyDescent="0.3">
      <c r="S525">
        <f t="shared" si="68"/>
        <v>287.3</v>
      </c>
    </row>
    <row r="526" spans="19:19" x14ac:dyDescent="0.3">
      <c r="S526">
        <f t="shared" si="68"/>
        <v>287.3</v>
      </c>
    </row>
    <row r="527" spans="19:19" x14ac:dyDescent="0.3">
      <c r="S527">
        <f t="shared" si="68"/>
        <v>287.3</v>
      </c>
    </row>
    <row r="528" spans="19:19" x14ac:dyDescent="0.3">
      <c r="S528">
        <f t="shared" si="68"/>
        <v>287.3</v>
      </c>
    </row>
    <row r="529" spans="19:19" x14ac:dyDescent="0.3">
      <c r="S529">
        <f t="shared" si="68"/>
        <v>287.3</v>
      </c>
    </row>
    <row r="530" spans="19:19" x14ac:dyDescent="0.3">
      <c r="S530">
        <f t="shared" si="68"/>
        <v>287.3</v>
      </c>
    </row>
    <row r="531" spans="19:19" x14ac:dyDescent="0.3">
      <c r="S531">
        <f t="shared" si="68"/>
        <v>287.3</v>
      </c>
    </row>
    <row r="532" spans="19:19" x14ac:dyDescent="0.3">
      <c r="S532">
        <f t="shared" si="68"/>
        <v>287.3</v>
      </c>
    </row>
    <row r="533" spans="19:19" x14ac:dyDescent="0.3">
      <c r="S533">
        <f t="shared" si="68"/>
        <v>287.3</v>
      </c>
    </row>
    <row r="534" spans="19:19" x14ac:dyDescent="0.3">
      <c r="S534">
        <f t="shared" si="68"/>
        <v>287.3</v>
      </c>
    </row>
    <row r="535" spans="19:19" x14ac:dyDescent="0.3">
      <c r="S535">
        <f t="shared" si="68"/>
        <v>287.3</v>
      </c>
    </row>
    <row r="536" spans="19:19" x14ac:dyDescent="0.3">
      <c r="S536">
        <f t="shared" si="68"/>
        <v>287.3</v>
      </c>
    </row>
    <row r="537" spans="19:19" x14ac:dyDescent="0.3">
      <c r="S537">
        <f t="shared" si="68"/>
        <v>287.3</v>
      </c>
    </row>
    <row r="538" spans="19:19" x14ac:dyDescent="0.3">
      <c r="S538">
        <f t="shared" si="68"/>
        <v>287.3</v>
      </c>
    </row>
    <row r="539" spans="19:19" x14ac:dyDescent="0.3">
      <c r="S539">
        <f t="shared" si="68"/>
        <v>287.3</v>
      </c>
    </row>
    <row r="540" spans="19:19" x14ac:dyDescent="0.3">
      <c r="S540">
        <f t="shared" si="68"/>
        <v>287.3</v>
      </c>
    </row>
    <row r="541" spans="19:19" x14ac:dyDescent="0.3">
      <c r="S541">
        <f t="shared" si="68"/>
        <v>287.3</v>
      </c>
    </row>
    <row r="542" spans="19:19" x14ac:dyDescent="0.3">
      <c r="S542">
        <f t="shared" si="68"/>
        <v>287.3</v>
      </c>
    </row>
    <row r="543" spans="19:19" x14ac:dyDescent="0.3">
      <c r="S543">
        <f t="shared" si="68"/>
        <v>287.3</v>
      </c>
    </row>
    <row r="544" spans="19:19" x14ac:dyDescent="0.3">
      <c r="S544">
        <f t="shared" si="68"/>
        <v>287.3</v>
      </c>
    </row>
    <row r="545" spans="19:19" x14ac:dyDescent="0.3">
      <c r="S545">
        <f t="shared" si="68"/>
        <v>287.3</v>
      </c>
    </row>
    <row r="546" spans="19:19" x14ac:dyDescent="0.3">
      <c r="S546">
        <f t="shared" si="68"/>
        <v>287.3</v>
      </c>
    </row>
    <row r="547" spans="19:19" x14ac:dyDescent="0.3">
      <c r="S547">
        <f t="shared" si="68"/>
        <v>287.3</v>
      </c>
    </row>
    <row r="548" spans="19:19" x14ac:dyDescent="0.3">
      <c r="S548">
        <f t="shared" si="68"/>
        <v>287.3</v>
      </c>
    </row>
    <row r="549" spans="19:19" x14ac:dyDescent="0.3">
      <c r="S549">
        <f t="shared" si="68"/>
        <v>287.3</v>
      </c>
    </row>
    <row r="550" spans="19:19" x14ac:dyDescent="0.3">
      <c r="S550">
        <f t="shared" si="68"/>
        <v>287.3</v>
      </c>
    </row>
    <row r="551" spans="19:19" x14ac:dyDescent="0.3">
      <c r="S551">
        <f t="shared" si="68"/>
        <v>287.3</v>
      </c>
    </row>
    <row r="552" spans="19:19" x14ac:dyDescent="0.3">
      <c r="S552">
        <f t="shared" si="68"/>
        <v>287.3</v>
      </c>
    </row>
    <row r="553" spans="19:19" x14ac:dyDescent="0.3">
      <c r="S553">
        <f t="shared" si="68"/>
        <v>287.3</v>
      </c>
    </row>
    <row r="554" spans="19:19" x14ac:dyDescent="0.3">
      <c r="S554">
        <f t="shared" si="68"/>
        <v>287.3</v>
      </c>
    </row>
    <row r="555" spans="19:19" x14ac:dyDescent="0.3">
      <c r="S555">
        <f t="shared" si="68"/>
        <v>287.3</v>
      </c>
    </row>
    <row r="556" spans="19:19" x14ac:dyDescent="0.3">
      <c r="S556">
        <f t="shared" si="68"/>
        <v>287.3</v>
      </c>
    </row>
    <row r="557" spans="19:19" x14ac:dyDescent="0.3">
      <c r="S557">
        <f t="shared" si="68"/>
        <v>287.3</v>
      </c>
    </row>
    <row r="558" spans="19:19" x14ac:dyDescent="0.3">
      <c r="S558">
        <f t="shared" si="68"/>
        <v>287.3</v>
      </c>
    </row>
    <row r="559" spans="19:19" x14ac:dyDescent="0.3">
      <c r="S559">
        <f t="shared" si="68"/>
        <v>287.3</v>
      </c>
    </row>
    <row r="560" spans="19:19" x14ac:dyDescent="0.3">
      <c r="S560">
        <f t="shared" si="68"/>
        <v>287.3</v>
      </c>
    </row>
    <row r="561" spans="19:19" x14ac:dyDescent="0.3">
      <c r="S561">
        <f t="shared" si="68"/>
        <v>287.3</v>
      </c>
    </row>
    <row r="562" spans="19:19" x14ac:dyDescent="0.3">
      <c r="S562">
        <f t="shared" si="68"/>
        <v>287.3</v>
      </c>
    </row>
    <row r="563" spans="19:19" x14ac:dyDescent="0.3">
      <c r="S563">
        <f t="shared" si="68"/>
        <v>287.3</v>
      </c>
    </row>
    <row r="564" spans="19:19" x14ac:dyDescent="0.3">
      <c r="S564">
        <f t="shared" si="68"/>
        <v>287.3</v>
      </c>
    </row>
    <row r="565" spans="19:19" x14ac:dyDescent="0.3">
      <c r="S565">
        <f t="shared" si="68"/>
        <v>287.3</v>
      </c>
    </row>
    <row r="566" spans="19:19" x14ac:dyDescent="0.3">
      <c r="S566">
        <f t="shared" si="68"/>
        <v>287.3</v>
      </c>
    </row>
    <row r="567" spans="19:19" x14ac:dyDescent="0.3">
      <c r="S567">
        <f t="shared" si="68"/>
        <v>287.3</v>
      </c>
    </row>
    <row r="568" spans="19:19" x14ac:dyDescent="0.3">
      <c r="S568">
        <f t="shared" si="68"/>
        <v>287.3</v>
      </c>
    </row>
    <row r="569" spans="19:19" x14ac:dyDescent="0.3">
      <c r="S569">
        <f t="shared" si="68"/>
        <v>287.3</v>
      </c>
    </row>
    <row r="570" spans="19:19" x14ac:dyDescent="0.3">
      <c r="S570">
        <f t="shared" si="68"/>
        <v>287.3</v>
      </c>
    </row>
    <row r="571" spans="19:19" x14ac:dyDescent="0.3">
      <c r="S571">
        <f t="shared" si="68"/>
        <v>287.3</v>
      </c>
    </row>
    <row r="572" spans="19:19" x14ac:dyDescent="0.3">
      <c r="S572">
        <f t="shared" si="68"/>
        <v>287.3</v>
      </c>
    </row>
    <row r="573" spans="19:19" x14ac:dyDescent="0.3">
      <c r="S573">
        <f t="shared" si="68"/>
        <v>287.3</v>
      </c>
    </row>
    <row r="574" spans="19:19" x14ac:dyDescent="0.3">
      <c r="S574">
        <f t="shared" si="68"/>
        <v>287.3</v>
      </c>
    </row>
    <row r="575" spans="19:19" x14ac:dyDescent="0.3">
      <c r="S575">
        <f t="shared" si="68"/>
        <v>287.3</v>
      </c>
    </row>
    <row r="576" spans="19:19" x14ac:dyDescent="0.3">
      <c r="S576">
        <f t="shared" si="68"/>
        <v>287.3</v>
      </c>
    </row>
    <row r="577" spans="19:19" x14ac:dyDescent="0.3">
      <c r="S577">
        <f t="shared" si="68"/>
        <v>287.3</v>
      </c>
    </row>
    <row r="578" spans="19:19" x14ac:dyDescent="0.3">
      <c r="S578">
        <f t="shared" si="68"/>
        <v>287.3</v>
      </c>
    </row>
    <row r="579" spans="19:19" x14ac:dyDescent="0.3">
      <c r="S579">
        <f t="shared" si="68"/>
        <v>287.3</v>
      </c>
    </row>
    <row r="580" spans="19:19" x14ac:dyDescent="0.3">
      <c r="S580">
        <f t="shared" si="68"/>
        <v>287.3</v>
      </c>
    </row>
    <row r="581" spans="19:19" x14ac:dyDescent="0.3">
      <c r="S581">
        <f t="shared" si="68"/>
        <v>287.3</v>
      </c>
    </row>
    <row r="582" spans="19:19" x14ac:dyDescent="0.3">
      <c r="S582">
        <f t="shared" ref="S582:S645" si="69">$O$5*(1+R582/100000)</f>
        <v>287.3</v>
      </c>
    </row>
    <row r="583" spans="19:19" x14ac:dyDescent="0.3">
      <c r="S583">
        <f t="shared" si="69"/>
        <v>287.3</v>
      </c>
    </row>
    <row r="584" spans="19:19" x14ac:dyDescent="0.3">
      <c r="S584">
        <f t="shared" si="69"/>
        <v>287.3</v>
      </c>
    </row>
    <row r="585" spans="19:19" x14ac:dyDescent="0.3">
      <c r="S585">
        <f t="shared" si="69"/>
        <v>287.3</v>
      </c>
    </row>
    <row r="586" spans="19:19" x14ac:dyDescent="0.3">
      <c r="S586">
        <f t="shared" si="69"/>
        <v>287.3</v>
      </c>
    </row>
    <row r="587" spans="19:19" x14ac:dyDescent="0.3">
      <c r="S587">
        <f t="shared" si="69"/>
        <v>287.3</v>
      </c>
    </row>
    <row r="588" spans="19:19" x14ac:dyDescent="0.3">
      <c r="S588">
        <f t="shared" si="69"/>
        <v>287.3</v>
      </c>
    </row>
    <row r="589" spans="19:19" x14ac:dyDescent="0.3">
      <c r="S589">
        <f t="shared" si="69"/>
        <v>287.3</v>
      </c>
    </row>
    <row r="590" spans="19:19" x14ac:dyDescent="0.3">
      <c r="S590">
        <f t="shared" si="69"/>
        <v>287.3</v>
      </c>
    </row>
    <row r="591" spans="19:19" x14ac:dyDescent="0.3">
      <c r="S591">
        <f t="shared" si="69"/>
        <v>287.3</v>
      </c>
    </row>
    <row r="592" spans="19:19" x14ac:dyDescent="0.3">
      <c r="S592">
        <f t="shared" si="69"/>
        <v>287.3</v>
      </c>
    </row>
    <row r="593" spans="19:19" x14ac:dyDescent="0.3">
      <c r="S593">
        <f t="shared" si="69"/>
        <v>287.3</v>
      </c>
    </row>
    <row r="594" spans="19:19" x14ac:dyDescent="0.3">
      <c r="S594">
        <f t="shared" si="69"/>
        <v>287.3</v>
      </c>
    </row>
    <row r="595" spans="19:19" x14ac:dyDescent="0.3">
      <c r="S595">
        <f t="shared" si="69"/>
        <v>287.3</v>
      </c>
    </row>
    <row r="596" spans="19:19" x14ac:dyDescent="0.3">
      <c r="S596">
        <f t="shared" si="69"/>
        <v>287.3</v>
      </c>
    </row>
    <row r="597" spans="19:19" x14ac:dyDescent="0.3">
      <c r="S597">
        <f t="shared" si="69"/>
        <v>287.3</v>
      </c>
    </row>
    <row r="598" spans="19:19" x14ac:dyDescent="0.3">
      <c r="S598">
        <f t="shared" si="69"/>
        <v>287.3</v>
      </c>
    </row>
    <row r="599" spans="19:19" x14ac:dyDescent="0.3">
      <c r="S599">
        <f t="shared" si="69"/>
        <v>287.3</v>
      </c>
    </row>
    <row r="600" spans="19:19" x14ac:dyDescent="0.3">
      <c r="S600">
        <f t="shared" si="69"/>
        <v>287.3</v>
      </c>
    </row>
    <row r="601" spans="19:19" x14ac:dyDescent="0.3">
      <c r="S601">
        <f t="shared" si="69"/>
        <v>287.3</v>
      </c>
    </row>
    <row r="602" spans="19:19" x14ac:dyDescent="0.3">
      <c r="S602">
        <f t="shared" si="69"/>
        <v>287.3</v>
      </c>
    </row>
    <row r="603" spans="19:19" x14ac:dyDescent="0.3">
      <c r="S603">
        <f t="shared" si="69"/>
        <v>287.3</v>
      </c>
    </row>
    <row r="604" spans="19:19" x14ac:dyDescent="0.3">
      <c r="S604">
        <f t="shared" si="69"/>
        <v>287.3</v>
      </c>
    </row>
    <row r="605" spans="19:19" x14ac:dyDescent="0.3">
      <c r="S605">
        <f t="shared" si="69"/>
        <v>287.3</v>
      </c>
    </row>
    <row r="606" spans="19:19" x14ac:dyDescent="0.3">
      <c r="S606">
        <f t="shared" si="69"/>
        <v>287.3</v>
      </c>
    </row>
    <row r="607" spans="19:19" x14ac:dyDescent="0.3">
      <c r="S607">
        <f t="shared" si="69"/>
        <v>287.3</v>
      </c>
    </row>
    <row r="608" spans="19:19" x14ac:dyDescent="0.3">
      <c r="S608">
        <f t="shared" si="69"/>
        <v>287.3</v>
      </c>
    </row>
    <row r="609" spans="19:19" x14ac:dyDescent="0.3">
      <c r="S609">
        <f t="shared" si="69"/>
        <v>287.3</v>
      </c>
    </row>
    <row r="610" spans="19:19" x14ac:dyDescent="0.3">
      <c r="S610">
        <f t="shared" si="69"/>
        <v>287.3</v>
      </c>
    </row>
    <row r="611" spans="19:19" x14ac:dyDescent="0.3">
      <c r="S611">
        <f t="shared" si="69"/>
        <v>287.3</v>
      </c>
    </row>
    <row r="612" spans="19:19" x14ac:dyDescent="0.3">
      <c r="S612">
        <f t="shared" si="69"/>
        <v>287.3</v>
      </c>
    </row>
    <row r="613" spans="19:19" x14ac:dyDescent="0.3">
      <c r="S613">
        <f t="shared" si="69"/>
        <v>287.3</v>
      </c>
    </row>
    <row r="614" spans="19:19" x14ac:dyDescent="0.3">
      <c r="S614">
        <f t="shared" si="69"/>
        <v>287.3</v>
      </c>
    </row>
    <row r="615" spans="19:19" x14ac:dyDescent="0.3">
      <c r="S615">
        <f t="shared" si="69"/>
        <v>287.3</v>
      </c>
    </row>
    <row r="616" spans="19:19" x14ac:dyDescent="0.3">
      <c r="S616">
        <f t="shared" si="69"/>
        <v>287.3</v>
      </c>
    </row>
    <row r="617" spans="19:19" x14ac:dyDescent="0.3">
      <c r="S617">
        <f t="shared" si="69"/>
        <v>287.3</v>
      </c>
    </row>
    <row r="618" spans="19:19" x14ac:dyDescent="0.3">
      <c r="S618">
        <f t="shared" si="69"/>
        <v>287.3</v>
      </c>
    </row>
    <row r="619" spans="19:19" x14ac:dyDescent="0.3">
      <c r="S619">
        <f t="shared" si="69"/>
        <v>287.3</v>
      </c>
    </row>
    <row r="620" spans="19:19" x14ac:dyDescent="0.3">
      <c r="S620">
        <f t="shared" si="69"/>
        <v>287.3</v>
      </c>
    </row>
    <row r="621" spans="19:19" x14ac:dyDescent="0.3">
      <c r="S621">
        <f t="shared" si="69"/>
        <v>287.3</v>
      </c>
    </row>
    <row r="622" spans="19:19" x14ac:dyDescent="0.3">
      <c r="S622">
        <f t="shared" si="69"/>
        <v>287.3</v>
      </c>
    </row>
    <row r="623" spans="19:19" x14ac:dyDescent="0.3">
      <c r="S623">
        <f t="shared" si="69"/>
        <v>287.3</v>
      </c>
    </row>
    <row r="624" spans="19:19" x14ac:dyDescent="0.3">
      <c r="S624">
        <f t="shared" si="69"/>
        <v>287.3</v>
      </c>
    </row>
    <row r="625" spans="19:19" x14ac:dyDescent="0.3">
      <c r="S625">
        <f t="shared" si="69"/>
        <v>287.3</v>
      </c>
    </row>
    <row r="626" spans="19:19" x14ac:dyDescent="0.3">
      <c r="S626">
        <f t="shared" si="69"/>
        <v>287.3</v>
      </c>
    </row>
    <row r="627" spans="19:19" x14ac:dyDescent="0.3">
      <c r="S627">
        <f t="shared" si="69"/>
        <v>287.3</v>
      </c>
    </row>
    <row r="628" spans="19:19" x14ac:dyDescent="0.3">
      <c r="S628">
        <f t="shared" si="69"/>
        <v>287.3</v>
      </c>
    </row>
    <row r="629" spans="19:19" x14ac:dyDescent="0.3">
      <c r="S629">
        <f t="shared" si="69"/>
        <v>287.3</v>
      </c>
    </row>
    <row r="630" spans="19:19" x14ac:dyDescent="0.3">
      <c r="S630">
        <f t="shared" si="69"/>
        <v>287.3</v>
      </c>
    </row>
    <row r="631" spans="19:19" x14ac:dyDescent="0.3">
      <c r="S631">
        <f t="shared" si="69"/>
        <v>287.3</v>
      </c>
    </row>
    <row r="632" spans="19:19" x14ac:dyDescent="0.3">
      <c r="S632">
        <f t="shared" si="69"/>
        <v>287.3</v>
      </c>
    </row>
    <row r="633" spans="19:19" x14ac:dyDescent="0.3">
      <c r="S633">
        <f t="shared" si="69"/>
        <v>287.3</v>
      </c>
    </row>
    <row r="634" spans="19:19" x14ac:dyDescent="0.3">
      <c r="S634">
        <f t="shared" si="69"/>
        <v>287.3</v>
      </c>
    </row>
    <row r="635" spans="19:19" x14ac:dyDescent="0.3">
      <c r="S635">
        <f t="shared" si="69"/>
        <v>287.3</v>
      </c>
    </row>
    <row r="636" spans="19:19" x14ac:dyDescent="0.3">
      <c r="S636">
        <f t="shared" si="69"/>
        <v>287.3</v>
      </c>
    </row>
    <row r="637" spans="19:19" x14ac:dyDescent="0.3">
      <c r="S637">
        <f t="shared" si="69"/>
        <v>287.3</v>
      </c>
    </row>
    <row r="638" spans="19:19" x14ac:dyDescent="0.3">
      <c r="S638">
        <f t="shared" si="69"/>
        <v>287.3</v>
      </c>
    </row>
    <row r="639" spans="19:19" x14ac:dyDescent="0.3">
      <c r="S639">
        <f t="shared" si="69"/>
        <v>287.3</v>
      </c>
    </row>
    <row r="640" spans="19:19" x14ac:dyDescent="0.3">
      <c r="S640">
        <f t="shared" si="69"/>
        <v>287.3</v>
      </c>
    </row>
    <row r="641" spans="19:19" x14ac:dyDescent="0.3">
      <c r="S641">
        <f t="shared" si="69"/>
        <v>287.3</v>
      </c>
    </row>
    <row r="642" spans="19:19" x14ac:dyDescent="0.3">
      <c r="S642">
        <f t="shared" si="69"/>
        <v>287.3</v>
      </c>
    </row>
    <row r="643" spans="19:19" x14ac:dyDescent="0.3">
      <c r="S643">
        <f t="shared" si="69"/>
        <v>287.3</v>
      </c>
    </row>
    <row r="644" spans="19:19" x14ac:dyDescent="0.3">
      <c r="S644">
        <f t="shared" si="69"/>
        <v>287.3</v>
      </c>
    </row>
    <row r="645" spans="19:19" x14ac:dyDescent="0.3">
      <c r="S645">
        <f t="shared" si="69"/>
        <v>287.3</v>
      </c>
    </row>
    <row r="646" spans="19:19" x14ac:dyDescent="0.3">
      <c r="S646">
        <f t="shared" ref="S646:S709" si="70">$O$5*(1+R646/100000)</f>
        <v>287.3</v>
      </c>
    </row>
    <row r="647" spans="19:19" x14ac:dyDescent="0.3">
      <c r="S647">
        <f t="shared" si="70"/>
        <v>287.3</v>
      </c>
    </row>
    <row r="648" spans="19:19" x14ac:dyDescent="0.3">
      <c r="S648">
        <f t="shared" si="70"/>
        <v>287.3</v>
      </c>
    </row>
    <row r="649" spans="19:19" x14ac:dyDescent="0.3">
      <c r="S649">
        <f t="shared" si="70"/>
        <v>287.3</v>
      </c>
    </row>
    <row r="650" spans="19:19" x14ac:dyDescent="0.3">
      <c r="S650">
        <f t="shared" si="70"/>
        <v>287.3</v>
      </c>
    </row>
    <row r="651" spans="19:19" x14ac:dyDescent="0.3">
      <c r="S651">
        <f t="shared" si="70"/>
        <v>287.3</v>
      </c>
    </row>
    <row r="652" spans="19:19" x14ac:dyDescent="0.3">
      <c r="S652">
        <f t="shared" si="70"/>
        <v>287.3</v>
      </c>
    </row>
    <row r="653" spans="19:19" x14ac:dyDescent="0.3">
      <c r="S653">
        <f t="shared" si="70"/>
        <v>287.3</v>
      </c>
    </row>
    <row r="654" spans="19:19" x14ac:dyDescent="0.3">
      <c r="S654">
        <f t="shared" si="70"/>
        <v>287.3</v>
      </c>
    </row>
    <row r="655" spans="19:19" x14ac:dyDescent="0.3">
      <c r="S655">
        <f t="shared" si="70"/>
        <v>287.3</v>
      </c>
    </row>
    <row r="656" spans="19:19" x14ac:dyDescent="0.3">
      <c r="S656">
        <f t="shared" si="70"/>
        <v>287.3</v>
      </c>
    </row>
    <row r="657" spans="19:19" x14ac:dyDescent="0.3">
      <c r="S657">
        <f t="shared" si="70"/>
        <v>287.3</v>
      </c>
    </row>
    <row r="658" spans="19:19" x14ac:dyDescent="0.3">
      <c r="S658">
        <f t="shared" si="70"/>
        <v>287.3</v>
      </c>
    </row>
    <row r="659" spans="19:19" x14ac:dyDescent="0.3">
      <c r="S659">
        <f t="shared" si="70"/>
        <v>287.3</v>
      </c>
    </row>
    <row r="660" spans="19:19" x14ac:dyDescent="0.3">
      <c r="S660">
        <f t="shared" si="70"/>
        <v>287.3</v>
      </c>
    </row>
    <row r="661" spans="19:19" x14ac:dyDescent="0.3">
      <c r="S661">
        <f t="shared" si="70"/>
        <v>287.3</v>
      </c>
    </row>
    <row r="662" spans="19:19" x14ac:dyDescent="0.3">
      <c r="S662">
        <f t="shared" si="70"/>
        <v>287.3</v>
      </c>
    </row>
    <row r="663" spans="19:19" x14ac:dyDescent="0.3">
      <c r="S663">
        <f t="shared" si="70"/>
        <v>287.3</v>
      </c>
    </row>
    <row r="664" spans="19:19" x14ac:dyDescent="0.3">
      <c r="S664">
        <f t="shared" si="70"/>
        <v>287.3</v>
      </c>
    </row>
    <row r="665" spans="19:19" x14ac:dyDescent="0.3">
      <c r="S665">
        <f t="shared" si="70"/>
        <v>287.3</v>
      </c>
    </row>
    <row r="666" spans="19:19" x14ac:dyDescent="0.3">
      <c r="S666">
        <f t="shared" si="70"/>
        <v>287.3</v>
      </c>
    </row>
    <row r="667" spans="19:19" x14ac:dyDescent="0.3">
      <c r="S667">
        <f t="shared" si="70"/>
        <v>287.3</v>
      </c>
    </row>
    <row r="668" spans="19:19" x14ac:dyDescent="0.3">
      <c r="S668">
        <f t="shared" si="70"/>
        <v>287.3</v>
      </c>
    </row>
    <row r="669" spans="19:19" x14ac:dyDescent="0.3">
      <c r="S669">
        <f t="shared" si="70"/>
        <v>287.3</v>
      </c>
    </row>
    <row r="670" spans="19:19" x14ac:dyDescent="0.3">
      <c r="S670">
        <f t="shared" si="70"/>
        <v>287.3</v>
      </c>
    </row>
    <row r="671" spans="19:19" x14ac:dyDescent="0.3">
      <c r="S671">
        <f t="shared" si="70"/>
        <v>287.3</v>
      </c>
    </row>
    <row r="672" spans="19:19" x14ac:dyDescent="0.3">
      <c r="S672">
        <f t="shared" si="70"/>
        <v>287.3</v>
      </c>
    </row>
    <row r="673" spans="19:19" x14ac:dyDescent="0.3">
      <c r="S673">
        <f t="shared" si="70"/>
        <v>287.3</v>
      </c>
    </row>
    <row r="674" spans="19:19" x14ac:dyDescent="0.3">
      <c r="S674">
        <f t="shared" si="70"/>
        <v>287.3</v>
      </c>
    </row>
    <row r="675" spans="19:19" x14ac:dyDescent="0.3">
      <c r="S675">
        <f t="shared" si="70"/>
        <v>287.3</v>
      </c>
    </row>
    <row r="676" spans="19:19" x14ac:dyDescent="0.3">
      <c r="S676">
        <f t="shared" si="70"/>
        <v>287.3</v>
      </c>
    </row>
    <row r="677" spans="19:19" x14ac:dyDescent="0.3">
      <c r="S677">
        <f t="shared" si="70"/>
        <v>287.3</v>
      </c>
    </row>
    <row r="678" spans="19:19" x14ac:dyDescent="0.3">
      <c r="S678">
        <f t="shared" si="70"/>
        <v>287.3</v>
      </c>
    </row>
    <row r="679" spans="19:19" x14ac:dyDescent="0.3">
      <c r="S679">
        <f t="shared" si="70"/>
        <v>287.3</v>
      </c>
    </row>
    <row r="680" spans="19:19" x14ac:dyDescent="0.3">
      <c r="S680">
        <f t="shared" si="70"/>
        <v>287.3</v>
      </c>
    </row>
    <row r="681" spans="19:19" x14ac:dyDescent="0.3">
      <c r="S681">
        <f t="shared" si="70"/>
        <v>287.3</v>
      </c>
    </row>
    <row r="682" spans="19:19" x14ac:dyDescent="0.3">
      <c r="S682">
        <f t="shared" si="70"/>
        <v>287.3</v>
      </c>
    </row>
    <row r="683" spans="19:19" x14ac:dyDescent="0.3">
      <c r="S683">
        <f t="shared" si="70"/>
        <v>287.3</v>
      </c>
    </row>
    <row r="684" spans="19:19" x14ac:dyDescent="0.3">
      <c r="S684">
        <f t="shared" si="70"/>
        <v>287.3</v>
      </c>
    </row>
    <row r="685" spans="19:19" x14ac:dyDescent="0.3">
      <c r="S685">
        <f t="shared" si="70"/>
        <v>287.3</v>
      </c>
    </row>
    <row r="686" spans="19:19" x14ac:dyDescent="0.3">
      <c r="S686">
        <f t="shared" si="70"/>
        <v>287.3</v>
      </c>
    </row>
    <row r="687" spans="19:19" x14ac:dyDescent="0.3">
      <c r="S687">
        <f t="shared" si="70"/>
        <v>287.3</v>
      </c>
    </row>
    <row r="688" spans="19:19" x14ac:dyDescent="0.3">
      <c r="S688">
        <f t="shared" si="70"/>
        <v>287.3</v>
      </c>
    </row>
    <row r="689" spans="19:19" x14ac:dyDescent="0.3">
      <c r="S689">
        <f t="shared" si="70"/>
        <v>287.3</v>
      </c>
    </row>
    <row r="690" spans="19:19" x14ac:dyDescent="0.3">
      <c r="S690">
        <f t="shared" si="70"/>
        <v>287.3</v>
      </c>
    </row>
    <row r="691" spans="19:19" x14ac:dyDescent="0.3">
      <c r="S691">
        <f t="shared" si="70"/>
        <v>287.3</v>
      </c>
    </row>
    <row r="692" spans="19:19" x14ac:dyDescent="0.3">
      <c r="S692">
        <f t="shared" si="70"/>
        <v>287.3</v>
      </c>
    </row>
    <row r="693" spans="19:19" x14ac:dyDescent="0.3">
      <c r="S693">
        <f t="shared" si="70"/>
        <v>287.3</v>
      </c>
    </row>
    <row r="694" spans="19:19" x14ac:dyDescent="0.3">
      <c r="S694">
        <f t="shared" si="70"/>
        <v>287.3</v>
      </c>
    </row>
    <row r="695" spans="19:19" x14ac:dyDescent="0.3">
      <c r="S695">
        <f t="shared" si="70"/>
        <v>287.3</v>
      </c>
    </row>
    <row r="696" spans="19:19" x14ac:dyDescent="0.3">
      <c r="S696">
        <f t="shared" si="70"/>
        <v>287.3</v>
      </c>
    </row>
    <row r="697" spans="19:19" x14ac:dyDescent="0.3">
      <c r="S697">
        <f t="shared" si="70"/>
        <v>287.3</v>
      </c>
    </row>
    <row r="698" spans="19:19" x14ac:dyDescent="0.3">
      <c r="S698">
        <f t="shared" si="70"/>
        <v>287.3</v>
      </c>
    </row>
    <row r="699" spans="19:19" x14ac:dyDescent="0.3">
      <c r="S699">
        <f t="shared" si="70"/>
        <v>287.3</v>
      </c>
    </row>
    <row r="700" spans="19:19" x14ac:dyDescent="0.3">
      <c r="S700">
        <f t="shared" si="70"/>
        <v>287.3</v>
      </c>
    </row>
    <row r="701" spans="19:19" x14ac:dyDescent="0.3">
      <c r="S701">
        <f t="shared" si="70"/>
        <v>287.3</v>
      </c>
    </row>
    <row r="702" spans="19:19" x14ac:dyDescent="0.3">
      <c r="S702">
        <f t="shared" si="70"/>
        <v>287.3</v>
      </c>
    </row>
    <row r="703" spans="19:19" x14ac:dyDescent="0.3">
      <c r="S703">
        <f t="shared" si="70"/>
        <v>287.3</v>
      </c>
    </row>
    <row r="704" spans="19:19" x14ac:dyDescent="0.3">
      <c r="S704">
        <f t="shared" si="70"/>
        <v>287.3</v>
      </c>
    </row>
    <row r="705" spans="19:19" x14ac:dyDescent="0.3">
      <c r="S705">
        <f t="shared" si="70"/>
        <v>287.3</v>
      </c>
    </row>
    <row r="706" spans="19:19" x14ac:dyDescent="0.3">
      <c r="S706">
        <f t="shared" si="70"/>
        <v>287.3</v>
      </c>
    </row>
    <row r="707" spans="19:19" x14ac:dyDescent="0.3">
      <c r="S707">
        <f t="shared" si="70"/>
        <v>287.3</v>
      </c>
    </row>
    <row r="708" spans="19:19" x14ac:dyDescent="0.3">
      <c r="S708">
        <f t="shared" si="70"/>
        <v>287.3</v>
      </c>
    </row>
    <row r="709" spans="19:19" x14ac:dyDescent="0.3">
      <c r="S709">
        <f t="shared" si="70"/>
        <v>287.3</v>
      </c>
    </row>
    <row r="710" spans="19:19" x14ac:dyDescent="0.3">
      <c r="S710">
        <f t="shared" ref="S710:S773" si="71">$O$5*(1+R710/100000)</f>
        <v>287.3</v>
      </c>
    </row>
    <row r="711" spans="19:19" x14ac:dyDescent="0.3">
      <c r="S711">
        <f t="shared" si="71"/>
        <v>287.3</v>
      </c>
    </row>
    <row r="712" spans="19:19" x14ac:dyDescent="0.3">
      <c r="S712">
        <f t="shared" si="71"/>
        <v>287.3</v>
      </c>
    </row>
    <row r="713" spans="19:19" x14ac:dyDescent="0.3">
      <c r="S713">
        <f t="shared" si="71"/>
        <v>287.3</v>
      </c>
    </row>
    <row r="714" spans="19:19" x14ac:dyDescent="0.3">
      <c r="S714">
        <f t="shared" si="71"/>
        <v>287.3</v>
      </c>
    </row>
    <row r="715" spans="19:19" x14ac:dyDescent="0.3">
      <c r="S715">
        <f t="shared" si="71"/>
        <v>287.3</v>
      </c>
    </row>
    <row r="716" spans="19:19" x14ac:dyDescent="0.3">
      <c r="S716">
        <f t="shared" si="71"/>
        <v>287.3</v>
      </c>
    </row>
    <row r="717" spans="19:19" x14ac:dyDescent="0.3">
      <c r="S717">
        <f t="shared" si="71"/>
        <v>287.3</v>
      </c>
    </row>
    <row r="718" spans="19:19" x14ac:dyDescent="0.3">
      <c r="S718">
        <f t="shared" si="71"/>
        <v>287.3</v>
      </c>
    </row>
    <row r="719" spans="19:19" x14ac:dyDescent="0.3">
      <c r="S719">
        <f t="shared" si="71"/>
        <v>287.3</v>
      </c>
    </row>
    <row r="720" spans="19:19" x14ac:dyDescent="0.3">
      <c r="S720">
        <f t="shared" si="71"/>
        <v>287.3</v>
      </c>
    </row>
    <row r="721" spans="19:19" x14ac:dyDescent="0.3">
      <c r="S721">
        <f t="shared" si="71"/>
        <v>287.3</v>
      </c>
    </row>
    <row r="722" spans="19:19" x14ac:dyDescent="0.3">
      <c r="S722">
        <f t="shared" si="71"/>
        <v>287.3</v>
      </c>
    </row>
    <row r="723" spans="19:19" x14ac:dyDescent="0.3">
      <c r="S723">
        <f t="shared" si="71"/>
        <v>287.3</v>
      </c>
    </row>
    <row r="724" spans="19:19" x14ac:dyDescent="0.3">
      <c r="S724">
        <f t="shared" si="71"/>
        <v>287.3</v>
      </c>
    </row>
    <row r="725" spans="19:19" x14ac:dyDescent="0.3">
      <c r="S725">
        <f t="shared" si="71"/>
        <v>287.3</v>
      </c>
    </row>
    <row r="726" spans="19:19" x14ac:dyDescent="0.3">
      <c r="S726">
        <f t="shared" si="71"/>
        <v>287.3</v>
      </c>
    </row>
    <row r="727" spans="19:19" x14ac:dyDescent="0.3">
      <c r="S727">
        <f t="shared" si="71"/>
        <v>287.3</v>
      </c>
    </row>
    <row r="728" spans="19:19" x14ac:dyDescent="0.3">
      <c r="S728">
        <f t="shared" si="71"/>
        <v>287.3</v>
      </c>
    </row>
    <row r="729" spans="19:19" x14ac:dyDescent="0.3">
      <c r="S729">
        <f t="shared" si="71"/>
        <v>287.3</v>
      </c>
    </row>
    <row r="730" spans="19:19" x14ac:dyDescent="0.3">
      <c r="S730">
        <f t="shared" si="71"/>
        <v>287.3</v>
      </c>
    </row>
    <row r="731" spans="19:19" x14ac:dyDescent="0.3">
      <c r="S731">
        <f t="shared" si="71"/>
        <v>287.3</v>
      </c>
    </row>
    <row r="732" spans="19:19" x14ac:dyDescent="0.3">
      <c r="S732">
        <f t="shared" si="71"/>
        <v>287.3</v>
      </c>
    </row>
    <row r="733" spans="19:19" x14ac:dyDescent="0.3">
      <c r="S733">
        <f t="shared" si="71"/>
        <v>287.3</v>
      </c>
    </row>
    <row r="734" spans="19:19" x14ac:dyDescent="0.3">
      <c r="S734">
        <f t="shared" si="71"/>
        <v>287.3</v>
      </c>
    </row>
    <row r="735" spans="19:19" x14ac:dyDescent="0.3">
      <c r="S735">
        <f t="shared" si="71"/>
        <v>287.3</v>
      </c>
    </row>
    <row r="736" spans="19:19" x14ac:dyDescent="0.3">
      <c r="S736">
        <f t="shared" si="71"/>
        <v>287.3</v>
      </c>
    </row>
    <row r="737" spans="19:19" x14ac:dyDescent="0.3">
      <c r="S737">
        <f t="shared" si="71"/>
        <v>287.3</v>
      </c>
    </row>
    <row r="738" spans="19:19" x14ac:dyDescent="0.3">
      <c r="S738">
        <f t="shared" si="71"/>
        <v>287.3</v>
      </c>
    </row>
    <row r="739" spans="19:19" x14ac:dyDescent="0.3">
      <c r="S739">
        <f t="shared" si="71"/>
        <v>287.3</v>
      </c>
    </row>
    <row r="740" spans="19:19" x14ac:dyDescent="0.3">
      <c r="S740">
        <f t="shared" si="71"/>
        <v>287.3</v>
      </c>
    </row>
    <row r="741" spans="19:19" x14ac:dyDescent="0.3">
      <c r="S741">
        <f t="shared" si="71"/>
        <v>287.3</v>
      </c>
    </row>
    <row r="742" spans="19:19" x14ac:dyDescent="0.3">
      <c r="S742">
        <f t="shared" si="71"/>
        <v>287.3</v>
      </c>
    </row>
    <row r="743" spans="19:19" x14ac:dyDescent="0.3">
      <c r="S743">
        <f t="shared" si="71"/>
        <v>287.3</v>
      </c>
    </row>
    <row r="744" spans="19:19" x14ac:dyDescent="0.3">
      <c r="S744">
        <f t="shared" si="71"/>
        <v>287.3</v>
      </c>
    </row>
    <row r="745" spans="19:19" x14ac:dyDescent="0.3">
      <c r="S745">
        <f t="shared" si="71"/>
        <v>287.3</v>
      </c>
    </row>
    <row r="746" spans="19:19" x14ac:dyDescent="0.3">
      <c r="S746">
        <f t="shared" si="71"/>
        <v>287.3</v>
      </c>
    </row>
    <row r="747" spans="19:19" x14ac:dyDescent="0.3">
      <c r="S747">
        <f t="shared" si="71"/>
        <v>287.3</v>
      </c>
    </row>
    <row r="748" spans="19:19" x14ac:dyDescent="0.3">
      <c r="S748">
        <f t="shared" si="71"/>
        <v>287.3</v>
      </c>
    </row>
    <row r="749" spans="19:19" x14ac:dyDescent="0.3">
      <c r="S749">
        <f t="shared" si="71"/>
        <v>287.3</v>
      </c>
    </row>
    <row r="750" spans="19:19" x14ac:dyDescent="0.3">
      <c r="S750">
        <f t="shared" si="71"/>
        <v>287.3</v>
      </c>
    </row>
    <row r="751" spans="19:19" x14ac:dyDescent="0.3">
      <c r="S751">
        <f t="shared" si="71"/>
        <v>287.3</v>
      </c>
    </row>
    <row r="752" spans="19:19" x14ac:dyDescent="0.3">
      <c r="S752">
        <f t="shared" si="71"/>
        <v>287.3</v>
      </c>
    </row>
    <row r="753" spans="19:19" x14ac:dyDescent="0.3">
      <c r="S753">
        <f t="shared" si="71"/>
        <v>287.3</v>
      </c>
    </row>
    <row r="754" spans="19:19" x14ac:dyDescent="0.3">
      <c r="S754">
        <f t="shared" si="71"/>
        <v>287.3</v>
      </c>
    </row>
    <row r="755" spans="19:19" x14ac:dyDescent="0.3">
      <c r="S755">
        <f t="shared" si="71"/>
        <v>287.3</v>
      </c>
    </row>
    <row r="756" spans="19:19" x14ac:dyDescent="0.3">
      <c r="S756">
        <f t="shared" si="71"/>
        <v>287.3</v>
      </c>
    </row>
    <row r="757" spans="19:19" x14ac:dyDescent="0.3">
      <c r="S757">
        <f t="shared" si="71"/>
        <v>287.3</v>
      </c>
    </row>
    <row r="758" spans="19:19" x14ac:dyDescent="0.3">
      <c r="S758">
        <f t="shared" si="71"/>
        <v>287.3</v>
      </c>
    </row>
    <row r="759" spans="19:19" x14ac:dyDescent="0.3">
      <c r="S759">
        <f t="shared" si="71"/>
        <v>287.3</v>
      </c>
    </row>
    <row r="760" spans="19:19" x14ac:dyDescent="0.3">
      <c r="S760">
        <f t="shared" si="71"/>
        <v>287.3</v>
      </c>
    </row>
    <row r="761" spans="19:19" x14ac:dyDescent="0.3">
      <c r="S761">
        <f t="shared" si="71"/>
        <v>287.3</v>
      </c>
    </row>
    <row r="762" spans="19:19" x14ac:dyDescent="0.3">
      <c r="S762">
        <f t="shared" si="71"/>
        <v>287.3</v>
      </c>
    </row>
    <row r="763" spans="19:19" x14ac:dyDescent="0.3">
      <c r="S763">
        <f t="shared" si="71"/>
        <v>287.3</v>
      </c>
    </row>
    <row r="764" spans="19:19" x14ac:dyDescent="0.3">
      <c r="S764">
        <f t="shared" si="71"/>
        <v>287.3</v>
      </c>
    </row>
    <row r="765" spans="19:19" x14ac:dyDescent="0.3">
      <c r="S765">
        <f t="shared" si="71"/>
        <v>287.3</v>
      </c>
    </row>
    <row r="766" spans="19:19" x14ac:dyDescent="0.3">
      <c r="S766">
        <f t="shared" si="71"/>
        <v>287.3</v>
      </c>
    </row>
    <row r="767" spans="19:19" x14ac:dyDescent="0.3">
      <c r="S767">
        <f t="shared" si="71"/>
        <v>287.3</v>
      </c>
    </row>
    <row r="768" spans="19:19" x14ac:dyDescent="0.3">
      <c r="S768">
        <f t="shared" si="71"/>
        <v>287.3</v>
      </c>
    </row>
    <row r="769" spans="19:19" x14ac:dyDescent="0.3">
      <c r="S769">
        <f t="shared" si="71"/>
        <v>287.3</v>
      </c>
    </row>
    <row r="770" spans="19:19" x14ac:dyDescent="0.3">
      <c r="S770">
        <f t="shared" si="71"/>
        <v>287.3</v>
      </c>
    </row>
    <row r="771" spans="19:19" x14ac:dyDescent="0.3">
      <c r="S771">
        <f t="shared" si="71"/>
        <v>287.3</v>
      </c>
    </row>
    <row r="772" spans="19:19" x14ac:dyDescent="0.3">
      <c r="S772">
        <f t="shared" si="71"/>
        <v>287.3</v>
      </c>
    </row>
    <row r="773" spans="19:19" x14ac:dyDescent="0.3">
      <c r="S773">
        <f t="shared" si="71"/>
        <v>287.3</v>
      </c>
    </row>
    <row r="774" spans="19:19" x14ac:dyDescent="0.3">
      <c r="S774">
        <f t="shared" ref="S774:S837" si="72">$O$5*(1+R774/100000)</f>
        <v>287.3</v>
      </c>
    </row>
    <row r="775" spans="19:19" x14ac:dyDescent="0.3">
      <c r="S775">
        <f t="shared" si="72"/>
        <v>287.3</v>
      </c>
    </row>
    <row r="776" spans="19:19" x14ac:dyDescent="0.3">
      <c r="S776">
        <f t="shared" si="72"/>
        <v>287.3</v>
      </c>
    </row>
    <row r="777" spans="19:19" x14ac:dyDescent="0.3">
      <c r="S777">
        <f t="shared" si="72"/>
        <v>287.3</v>
      </c>
    </row>
    <row r="778" spans="19:19" x14ac:dyDescent="0.3">
      <c r="S778">
        <f t="shared" si="72"/>
        <v>287.3</v>
      </c>
    </row>
    <row r="779" spans="19:19" x14ac:dyDescent="0.3">
      <c r="S779">
        <f t="shared" si="72"/>
        <v>287.3</v>
      </c>
    </row>
    <row r="780" spans="19:19" x14ac:dyDescent="0.3">
      <c r="S780">
        <f t="shared" si="72"/>
        <v>287.3</v>
      </c>
    </row>
    <row r="781" spans="19:19" x14ac:dyDescent="0.3">
      <c r="S781">
        <f t="shared" si="72"/>
        <v>287.3</v>
      </c>
    </row>
    <row r="782" spans="19:19" x14ac:dyDescent="0.3">
      <c r="S782">
        <f t="shared" si="72"/>
        <v>287.3</v>
      </c>
    </row>
    <row r="783" spans="19:19" x14ac:dyDescent="0.3">
      <c r="S783">
        <f t="shared" si="72"/>
        <v>287.3</v>
      </c>
    </row>
    <row r="784" spans="19:19" x14ac:dyDescent="0.3">
      <c r="S784">
        <f t="shared" si="72"/>
        <v>287.3</v>
      </c>
    </row>
    <row r="785" spans="19:19" x14ac:dyDescent="0.3">
      <c r="S785">
        <f t="shared" si="72"/>
        <v>287.3</v>
      </c>
    </row>
    <row r="786" spans="19:19" x14ac:dyDescent="0.3">
      <c r="S786">
        <f t="shared" si="72"/>
        <v>287.3</v>
      </c>
    </row>
    <row r="787" spans="19:19" x14ac:dyDescent="0.3">
      <c r="S787">
        <f t="shared" si="72"/>
        <v>287.3</v>
      </c>
    </row>
    <row r="788" spans="19:19" x14ac:dyDescent="0.3">
      <c r="S788">
        <f t="shared" si="72"/>
        <v>287.3</v>
      </c>
    </row>
    <row r="789" spans="19:19" x14ac:dyDescent="0.3">
      <c r="S789">
        <f t="shared" si="72"/>
        <v>287.3</v>
      </c>
    </row>
    <row r="790" spans="19:19" x14ac:dyDescent="0.3">
      <c r="S790">
        <f t="shared" si="72"/>
        <v>287.3</v>
      </c>
    </row>
    <row r="791" spans="19:19" x14ac:dyDescent="0.3">
      <c r="S791">
        <f t="shared" si="72"/>
        <v>287.3</v>
      </c>
    </row>
    <row r="792" spans="19:19" x14ac:dyDescent="0.3">
      <c r="S792">
        <f t="shared" si="72"/>
        <v>287.3</v>
      </c>
    </row>
    <row r="793" spans="19:19" x14ac:dyDescent="0.3">
      <c r="S793">
        <f t="shared" si="72"/>
        <v>287.3</v>
      </c>
    </row>
    <row r="794" spans="19:19" x14ac:dyDescent="0.3">
      <c r="S794">
        <f t="shared" si="72"/>
        <v>287.3</v>
      </c>
    </row>
    <row r="795" spans="19:19" x14ac:dyDescent="0.3">
      <c r="S795">
        <f t="shared" si="72"/>
        <v>287.3</v>
      </c>
    </row>
    <row r="796" spans="19:19" x14ac:dyDescent="0.3">
      <c r="S796">
        <f t="shared" si="72"/>
        <v>287.3</v>
      </c>
    </row>
    <row r="797" spans="19:19" x14ac:dyDescent="0.3">
      <c r="S797">
        <f t="shared" si="72"/>
        <v>287.3</v>
      </c>
    </row>
    <row r="798" spans="19:19" x14ac:dyDescent="0.3">
      <c r="S798">
        <f t="shared" si="72"/>
        <v>287.3</v>
      </c>
    </row>
    <row r="799" spans="19:19" x14ac:dyDescent="0.3">
      <c r="S799">
        <f t="shared" si="72"/>
        <v>287.3</v>
      </c>
    </row>
    <row r="800" spans="19:19" x14ac:dyDescent="0.3">
      <c r="S800">
        <f t="shared" si="72"/>
        <v>287.3</v>
      </c>
    </row>
    <row r="801" spans="19:19" x14ac:dyDescent="0.3">
      <c r="S801">
        <f t="shared" si="72"/>
        <v>287.3</v>
      </c>
    </row>
    <row r="802" spans="19:19" x14ac:dyDescent="0.3">
      <c r="S802">
        <f t="shared" si="72"/>
        <v>287.3</v>
      </c>
    </row>
    <row r="803" spans="19:19" x14ac:dyDescent="0.3">
      <c r="S803">
        <f t="shared" si="72"/>
        <v>287.3</v>
      </c>
    </row>
    <row r="804" spans="19:19" x14ac:dyDescent="0.3">
      <c r="S804">
        <f t="shared" si="72"/>
        <v>287.3</v>
      </c>
    </row>
    <row r="805" spans="19:19" x14ac:dyDescent="0.3">
      <c r="S805">
        <f t="shared" si="72"/>
        <v>287.3</v>
      </c>
    </row>
    <row r="806" spans="19:19" x14ac:dyDescent="0.3">
      <c r="S806">
        <f t="shared" si="72"/>
        <v>287.3</v>
      </c>
    </row>
    <row r="807" spans="19:19" x14ac:dyDescent="0.3">
      <c r="S807">
        <f t="shared" si="72"/>
        <v>287.3</v>
      </c>
    </row>
    <row r="808" spans="19:19" x14ac:dyDescent="0.3">
      <c r="S808">
        <f t="shared" si="72"/>
        <v>287.3</v>
      </c>
    </row>
    <row r="809" spans="19:19" x14ac:dyDescent="0.3">
      <c r="S809">
        <f t="shared" si="72"/>
        <v>287.3</v>
      </c>
    </row>
    <row r="810" spans="19:19" x14ac:dyDescent="0.3">
      <c r="S810">
        <f t="shared" si="72"/>
        <v>287.3</v>
      </c>
    </row>
    <row r="811" spans="19:19" x14ac:dyDescent="0.3">
      <c r="S811">
        <f t="shared" si="72"/>
        <v>287.3</v>
      </c>
    </row>
    <row r="812" spans="19:19" x14ac:dyDescent="0.3">
      <c r="S812">
        <f t="shared" si="72"/>
        <v>287.3</v>
      </c>
    </row>
    <row r="813" spans="19:19" x14ac:dyDescent="0.3">
      <c r="S813">
        <f t="shared" si="72"/>
        <v>287.3</v>
      </c>
    </row>
    <row r="814" spans="19:19" x14ac:dyDescent="0.3">
      <c r="S814">
        <f t="shared" si="72"/>
        <v>287.3</v>
      </c>
    </row>
    <row r="815" spans="19:19" x14ac:dyDescent="0.3">
      <c r="S815">
        <f t="shared" si="72"/>
        <v>287.3</v>
      </c>
    </row>
    <row r="816" spans="19:19" x14ac:dyDescent="0.3">
      <c r="S816">
        <f t="shared" si="72"/>
        <v>287.3</v>
      </c>
    </row>
    <row r="817" spans="19:19" x14ac:dyDescent="0.3">
      <c r="S817">
        <f t="shared" si="72"/>
        <v>287.3</v>
      </c>
    </row>
    <row r="818" spans="19:19" x14ac:dyDescent="0.3">
      <c r="S818">
        <f t="shared" si="72"/>
        <v>287.3</v>
      </c>
    </row>
    <row r="819" spans="19:19" x14ac:dyDescent="0.3">
      <c r="S819">
        <f t="shared" si="72"/>
        <v>287.3</v>
      </c>
    </row>
    <row r="820" spans="19:19" x14ac:dyDescent="0.3">
      <c r="S820">
        <f t="shared" si="72"/>
        <v>287.3</v>
      </c>
    </row>
    <row r="821" spans="19:19" x14ac:dyDescent="0.3">
      <c r="S821">
        <f t="shared" si="72"/>
        <v>287.3</v>
      </c>
    </row>
    <row r="822" spans="19:19" x14ac:dyDescent="0.3">
      <c r="S822">
        <f t="shared" si="72"/>
        <v>287.3</v>
      </c>
    </row>
    <row r="823" spans="19:19" x14ac:dyDescent="0.3">
      <c r="S823">
        <f t="shared" si="72"/>
        <v>287.3</v>
      </c>
    </row>
    <row r="824" spans="19:19" x14ac:dyDescent="0.3">
      <c r="S824">
        <f t="shared" si="72"/>
        <v>287.3</v>
      </c>
    </row>
    <row r="825" spans="19:19" x14ac:dyDescent="0.3">
      <c r="S825">
        <f t="shared" si="72"/>
        <v>287.3</v>
      </c>
    </row>
    <row r="826" spans="19:19" x14ac:dyDescent="0.3">
      <c r="S826">
        <f t="shared" si="72"/>
        <v>287.3</v>
      </c>
    </row>
    <row r="827" spans="19:19" x14ac:dyDescent="0.3">
      <c r="S827">
        <f t="shared" si="72"/>
        <v>287.3</v>
      </c>
    </row>
    <row r="828" spans="19:19" x14ac:dyDescent="0.3">
      <c r="S828">
        <f t="shared" si="72"/>
        <v>287.3</v>
      </c>
    </row>
    <row r="829" spans="19:19" x14ac:dyDescent="0.3">
      <c r="S829">
        <f t="shared" si="72"/>
        <v>287.3</v>
      </c>
    </row>
    <row r="830" spans="19:19" x14ac:dyDescent="0.3">
      <c r="S830">
        <f t="shared" si="72"/>
        <v>287.3</v>
      </c>
    </row>
    <row r="831" spans="19:19" x14ac:dyDescent="0.3">
      <c r="S831">
        <f t="shared" si="72"/>
        <v>287.3</v>
      </c>
    </row>
    <row r="832" spans="19:19" x14ac:dyDescent="0.3">
      <c r="S832">
        <f t="shared" si="72"/>
        <v>287.3</v>
      </c>
    </row>
    <row r="833" spans="19:19" x14ac:dyDescent="0.3">
      <c r="S833">
        <f t="shared" si="72"/>
        <v>287.3</v>
      </c>
    </row>
    <row r="834" spans="19:19" x14ac:dyDescent="0.3">
      <c r="S834">
        <f t="shared" si="72"/>
        <v>287.3</v>
      </c>
    </row>
    <row r="835" spans="19:19" x14ac:dyDescent="0.3">
      <c r="S835">
        <f t="shared" si="72"/>
        <v>287.3</v>
      </c>
    </row>
    <row r="836" spans="19:19" x14ac:dyDescent="0.3">
      <c r="S836">
        <f t="shared" si="72"/>
        <v>287.3</v>
      </c>
    </row>
    <row r="837" spans="19:19" x14ac:dyDescent="0.3">
      <c r="S837">
        <f t="shared" si="72"/>
        <v>287.3</v>
      </c>
    </row>
    <row r="838" spans="19:19" x14ac:dyDescent="0.3">
      <c r="S838">
        <f t="shared" ref="S838:S901" si="73">$O$5*(1+R838/100000)</f>
        <v>287.3</v>
      </c>
    </row>
    <row r="839" spans="19:19" x14ac:dyDescent="0.3">
      <c r="S839">
        <f t="shared" si="73"/>
        <v>287.3</v>
      </c>
    </row>
    <row r="840" spans="19:19" x14ac:dyDescent="0.3">
      <c r="S840">
        <f t="shared" si="73"/>
        <v>287.3</v>
      </c>
    </row>
    <row r="841" spans="19:19" x14ac:dyDescent="0.3">
      <c r="S841">
        <f t="shared" si="73"/>
        <v>287.3</v>
      </c>
    </row>
    <row r="842" spans="19:19" x14ac:dyDescent="0.3">
      <c r="S842">
        <f t="shared" si="73"/>
        <v>287.3</v>
      </c>
    </row>
    <row r="843" spans="19:19" x14ac:dyDescent="0.3">
      <c r="S843">
        <f t="shared" si="73"/>
        <v>287.3</v>
      </c>
    </row>
    <row r="844" spans="19:19" x14ac:dyDescent="0.3">
      <c r="S844">
        <f t="shared" si="73"/>
        <v>287.3</v>
      </c>
    </row>
    <row r="845" spans="19:19" x14ac:dyDescent="0.3">
      <c r="S845">
        <f t="shared" si="73"/>
        <v>287.3</v>
      </c>
    </row>
    <row r="846" spans="19:19" x14ac:dyDescent="0.3">
      <c r="S846">
        <f t="shared" si="73"/>
        <v>287.3</v>
      </c>
    </row>
    <row r="847" spans="19:19" x14ac:dyDescent="0.3">
      <c r="S847">
        <f t="shared" si="73"/>
        <v>287.3</v>
      </c>
    </row>
    <row r="848" spans="19:19" x14ac:dyDescent="0.3">
      <c r="S848">
        <f t="shared" si="73"/>
        <v>287.3</v>
      </c>
    </row>
    <row r="849" spans="19:19" x14ac:dyDescent="0.3">
      <c r="S849">
        <f t="shared" si="73"/>
        <v>287.3</v>
      </c>
    </row>
    <row r="850" spans="19:19" x14ac:dyDescent="0.3">
      <c r="S850">
        <f t="shared" si="73"/>
        <v>287.3</v>
      </c>
    </row>
    <row r="851" spans="19:19" x14ac:dyDescent="0.3">
      <c r="S851">
        <f t="shared" si="73"/>
        <v>287.3</v>
      </c>
    </row>
    <row r="852" spans="19:19" x14ac:dyDescent="0.3">
      <c r="S852">
        <f t="shared" si="73"/>
        <v>287.3</v>
      </c>
    </row>
    <row r="853" spans="19:19" x14ac:dyDescent="0.3">
      <c r="S853">
        <f t="shared" si="73"/>
        <v>287.3</v>
      </c>
    </row>
    <row r="854" spans="19:19" x14ac:dyDescent="0.3">
      <c r="S854">
        <f t="shared" si="73"/>
        <v>287.3</v>
      </c>
    </row>
    <row r="855" spans="19:19" x14ac:dyDescent="0.3">
      <c r="S855">
        <f t="shared" si="73"/>
        <v>287.3</v>
      </c>
    </row>
    <row r="856" spans="19:19" x14ac:dyDescent="0.3">
      <c r="S856">
        <f t="shared" si="73"/>
        <v>287.3</v>
      </c>
    </row>
    <row r="857" spans="19:19" x14ac:dyDescent="0.3">
      <c r="S857">
        <f t="shared" si="73"/>
        <v>287.3</v>
      </c>
    </row>
    <row r="858" spans="19:19" x14ac:dyDescent="0.3">
      <c r="S858">
        <f t="shared" si="73"/>
        <v>287.3</v>
      </c>
    </row>
    <row r="859" spans="19:19" x14ac:dyDescent="0.3">
      <c r="S859">
        <f t="shared" si="73"/>
        <v>287.3</v>
      </c>
    </row>
    <row r="860" spans="19:19" x14ac:dyDescent="0.3">
      <c r="S860">
        <f t="shared" si="73"/>
        <v>287.3</v>
      </c>
    </row>
    <row r="861" spans="19:19" x14ac:dyDescent="0.3">
      <c r="S861">
        <f t="shared" si="73"/>
        <v>287.3</v>
      </c>
    </row>
    <row r="862" spans="19:19" x14ac:dyDescent="0.3">
      <c r="S862">
        <f t="shared" si="73"/>
        <v>287.3</v>
      </c>
    </row>
    <row r="863" spans="19:19" x14ac:dyDescent="0.3">
      <c r="S863">
        <f t="shared" si="73"/>
        <v>287.3</v>
      </c>
    </row>
    <row r="864" spans="19:19" x14ac:dyDescent="0.3">
      <c r="S864">
        <f t="shared" si="73"/>
        <v>287.3</v>
      </c>
    </row>
    <row r="865" spans="19:19" x14ac:dyDescent="0.3">
      <c r="S865">
        <f t="shared" si="73"/>
        <v>287.3</v>
      </c>
    </row>
    <row r="866" spans="19:19" x14ac:dyDescent="0.3">
      <c r="S866">
        <f t="shared" si="73"/>
        <v>287.3</v>
      </c>
    </row>
    <row r="867" spans="19:19" x14ac:dyDescent="0.3">
      <c r="S867">
        <f t="shared" si="73"/>
        <v>287.3</v>
      </c>
    </row>
    <row r="868" spans="19:19" x14ac:dyDescent="0.3">
      <c r="S868">
        <f t="shared" si="73"/>
        <v>287.3</v>
      </c>
    </row>
    <row r="869" spans="19:19" x14ac:dyDescent="0.3">
      <c r="S869">
        <f t="shared" si="73"/>
        <v>287.3</v>
      </c>
    </row>
    <row r="870" spans="19:19" x14ac:dyDescent="0.3">
      <c r="S870">
        <f t="shared" si="73"/>
        <v>287.3</v>
      </c>
    </row>
    <row r="871" spans="19:19" x14ac:dyDescent="0.3">
      <c r="S871">
        <f t="shared" si="73"/>
        <v>287.3</v>
      </c>
    </row>
    <row r="872" spans="19:19" x14ac:dyDescent="0.3">
      <c r="S872">
        <f t="shared" si="73"/>
        <v>287.3</v>
      </c>
    </row>
    <row r="873" spans="19:19" x14ac:dyDescent="0.3">
      <c r="S873">
        <f t="shared" si="73"/>
        <v>287.3</v>
      </c>
    </row>
    <row r="874" spans="19:19" x14ac:dyDescent="0.3">
      <c r="S874">
        <f t="shared" si="73"/>
        <v>287.3</v>
      </c>
    </row>
    <row r="875" spans="19:19" x14ac:dyDescent="0.3">
      <c r="S875">
        <f t="shared" si="73"/>
        <v>287.3</v>
      </c>
    </row>
    <row r="876" spans="19:19" x14ac:dyDescent="0.3">
      <c r="S876">
        <f t="shared" si="73"/>
        <v>287.3</v>
      </c>
    </row>
    <row r="877" spans="19:19" x14ac:dyDescent="0.3">
      <c r="S877">
        <f t="shared" si="73"/>
        <v>287.3</v>
      </c>
    </row>
    <row r="878" spans="19:19" x14ac:dyDescent="0.3">
      <c r="S878">
        <f t="shared" si="73"/>
        <v>287.3</v>
      </c>
    </row>
    <row r="879" spans="19:19" x14ac:dyDescent="0.3">
      <c r="S879">
        <f t="shared" si="73"/>
        <v>287.3</v>
      </c>
    </row>
    <row r="880" spans="19:19" x14ac:dyDescent="0.3">
      <c r="S880">
        <f t="shared" si="73"/>
        <v>287.3</v>
      </c>
    </row>
    <row r="881" spans="19:19" x14ac:dyDescent="0.3">
      <c r="S881">
        <f t="shared" si="73"/>
        <v>287.3</v>
      </c>
    </row>
    <row r="882" spans="19:19" x14ac:dyDescent="0.3">
      <c r="S882">
        <f t="shared" si="73"/>
        <v>287.3</v>
      </c>
    </row>
    <row r="883" spans="19:19" x14ac:dyDescent="0.3">
      <c r="S883">
        <f t="shared" si="73"/>
        <v>287.3</v>
      </c>
    </row>
    <row r="884" spans="19:19" x14ac:dyDescent="0.3">
      <c r="S884">
        <f t="shared" si="73"/>
        <v>287.3</v>
      </c>
    </row>
    <row r="885" spans="19:19" x14ac:dyDescent="0.3">
      <c r="S885">
        <f t="shared" si="73"/>
        <v>287.3</v>
      </c>
    </row>
    <row r="886" spans="19:19" x14ac:dyDescent="0.3">
      <c r="S886">
        <f t="shared" si="73"/>
        <v>287.3</v>
      </c>
    </row>
    <row r="887" spans="19:19" x14ac:dyDescent="0.3">
      <c r="S887">
        <f t="shared" si="73"/>
        <v>287.3</v>
      </c>
    </row>
    <row r="888" spans="19:19" x14ac:dyDescent="0.3">
      <c r="S888">
        <f t="shared" si="73"/>
        <v>287.3</v>
      </c>
    </row>
    <row r="889" spans="19:19" x14ac:dyDescent="0.3">
      <c r="S889">
        <f t="shared" si="73"/>
        <v>287.3</v>
      </c>
    </row>
    <row r="890" spans="19:19" x14ac:dyDescent="0.3">
      <c r="S890">
        <f t="shared" si="73"/>
        <v>287.3</v>
      </c>
    </row>
    <row r="891" spans="19:19" x14ac:dyDescent="0.3">
      <c r="S891">
        <f t="shared" si="73"/>
        <v>287.3</v>
      </c>
    </row>
    <row r="892" spans="19:19" x14ac:dyDescent="0.3">
      <c r="S892">
        <f t="shared" si="73"/>
        <v>287.3</v>
      </c>
    </row>
    <row r="893" spans="19:19" x14ac:dyDescent="0.3">
      <c r="S893">
        <f t="shared" si="73"/>
        <v>287.3</v>
      </c>
    </row>
    <row r="894" spans="19:19" x14ac:dyDescent="0.3">
      <c r="S894">
        <f t="shared" si="73"/>
        <v>287.3</v>
      </c>
    </row>
    <row r="895" spans="19:19" x14ac:dyDescent="0.3">
      <c r="S895">
        <f t="shared" si="73"/>
        <v>287.3</v>
      </c>
    </row>
    <row r="896" spans="19:19" x14ac:dyDescent="0.3">
      <c r="S896">
        <f t="shared" si="73"/>
        <v>287.3</v>
      </c>
    </row>
    <row r="897" spans="19:19" x14ac:dyDescent="0.3">
      <c r="S897">
        <f t="shared" si="73"/>
        <v>287.3</v>
      </c>
    </row>
    <row r="898" spans="19:19" x14ac:dyDescent="0.3">
      <c r="S898">
        <f t="shared" si="73"/>
        <v>287.3</v>
      </c>
    </row>
    <row r="899" spans="19:19" x14ac:dyDescent="0.3">
      <c r="S899">
        <f t="shared" si="73"/>
        <v>287.3</v>
      </c>
    </row>
    <row r="900" spans="19:19" x14ac:dyDescent="0.3">
      <c r="S900">
        <f t="shared" si="73"/>
        <v>287.3</v>
      </c>
    </row>
    <row r="901" spans="19:19" x14ac:dyDescent="0.3">
      <c r="S901">
        <f t="shared" si="73"/>
        <v>287.3</v>
      </c>
    </row>
    <row r="902" spans="19:19" x14ac:dyDescent="0.3">
      <c r="S902">
        <f t="shared" ref="S902:S965" si="74">$O$5*(1+R902/100000)</f>
        <v>287.3</v>
      </c>
    </row>
    <row r="903" spans="19:19" x14ac:dyDescent="0.3">
      <c r="S903">
        <f t="shared" si="74"/>
        <v>287.3</v>
      </c>
    </row>
    <row r="904" spans="19:19" x14ac:dyDescent="0.3">
      <c r="S904">
        <f t="shared" si="74"/>
        <v>287.3</v>
      </c>
    </row>
    <row r="905" spans="19:19" x14ac:dyDescent="0.3">
      <c r="S905">
        <f t="shared" si="74"/>
        <v>287.3</v>
      </c>
    </row>
    <row r="906" spans="19:19" x14ac:dyDescent="0.3">
      <c r="S906">
        <f t="shared" si="74"/>
        <v>287.3</v>
      </c>
    </row>
    <row r="907" spans="19:19" x14ac:dyDescent="0.3">
      <c r="S907">
        <f t="shared" si="74"/>
        <v>287.3</v>
      </c>
    </row>
    <row r="908" spans="19:19" x14ac:dyDescent="0.3">
      <c r="S908">
        <f t="shared" si="74"/>
        <v>287.3</v>
      </c>
    </row>
    <row r="909" spans="19:19" x14ac:dyDescent="0.3">
      <c r="S909">
        <f t="shared" si="74"/>
        <v>287.3</v>
      </c>
    </row>
    <row r="910" spans="19:19" x14ac:dyDescent="0.3">
      <c r="S910">
        <f t="shared" si="74"/>
        <v>287.3</v>
      </c>
    </row>
    <row r="911" spans="19:19" x14ac:dyDescent="0.3">
      <c r="S911">
        <f t="shared" si="74"/>
        <v>287.3</v>
      </c>
    </row>
    <row r="912" spans="19:19" x14ac:dyDescent="0.3">
      <c r="S912">
        <f t="shared" si="74"/>
        <v>287.3</v>
      </c>
    </row>
    <row r="913" spans="19:19" x14ac:dyDescent="0.3">
      <c r="S913">
        <f t="shared" si="74"/>
        <v>287.3</v>
      </c>
    </row>
    <row r="914" spans="19:19" x14ac:dyDescent="0.3">
      <c r="S914">
        <f t="shared" si="74"/>
        <v>287.3</v>
      </c>
    </row>
    <row r="915" spans="19:19" x14ac:dyDescent="0.3">
      <c r="S915">
        <f t="shared" si="74"/>
        <v>287.3</v>
      </c>
    </row>
    <row r="916" spans="19:19" x14ac:dyDescent="0.3">
      <c r="S916">
        <f t="shared" si="74"/>
        <v>287.3</v>
      </c>
    </row>
    <row r="917" spans="19:19" x14ac:dyDescent="0.3">
      <c r="S917">
        <f t="shared" si="74"/>
        <v>287.3</v>
      </c>
    </row>
    <row r="918" spans="19:19" x14ac:dyDescent="0.3">
      <c r="S918">
        <f t="shared" si="74"/>
        <v>287.3</v>
      </c>
    </row>
    <row r="919" spans="19:19" x14ac:dyDescent="0.3">
      <c r="S919">
        <f t="shared" si="74"/>
        <v>287.3</v>
      </c>
    </row>
    <row r="920" spans="19:19" x14ac:dyDescent="0.3">
      <c r="S920">
        <f t="shared" si="74"/>
        <v>287.3</v>
      </c>
    </row>
    <row r="921" spans="19:19" x14ac:dyDescent="0.3">
      <c r="S921">
        <f t="shared" si="74"/>
        <v>287.3</v>
      </c>
    </row>
    <row r="922" spans="19:19" x14ac:dyDescent="0.3">
      <c r="S922">
        <f t="shared" si="74"/>
        <v>287.3</v>
      </c>
    </row>
    <row r="923" spans="19:19" x14ac:dyDescent="0.3">
      <c r="S923">
        <f t="shared" si="74"/>
        <v>287.3</v>
      </c>
    </row>
    <row r="924" spans="19:19" x14ac:dyDescent="0.3">
      <c r="S924">
        <f t="shared" si="74"/>
        <v>287.3</v>
      </c>
    </row>
    <row r="925" spans="19:19" x14ac:dyDescent="0.3">
      <c r="S925">
        <f t="shared" si="74"/>
        <v>287.3</v>
      </c>
    </row>
    <row r="926" spans="19:19" x14ac:dyDescent="0.3">
      <c r="S926">
        <f t="shared" si="74"/>
        <v>287.3</v>
      </c>
    </row>
    <row r="927" spans="19:19" x14ac:dyDescent="0.3">
      <c r="S927">
        <f t="shared" si="74"/>
        <v>287.3</v>
      </c>
    </row>
    <row r="928" spans="19:19" x14ac:dyDescent="0.3">
      <c r="S928">
        <f t="shared" si="74"/>
        <v>287.3</v>
      </c>
    </row>
    <row r="929" spans="19:19" x14ac:dyDescent="0.3">
      <c r="S929">
        <f t="shared" si="74"/>
        <v>287.3</v>
      </c>
    </row>
    <row r="930" spans="19:19" x14ac:dyDescent="0.3">
      <c r="S930">
        <f t="shared" si="74"/>
        <v>287.3</v>
      </c>
    </row>
    <row r="931" spans="19:19" x14ac:dyDescent="0.3">
      <c r="S931">
        <f t="shared" si="74"/>
        <v>287.3</v>
      </c>
    </row>
    <row r="932" spans="19:19" x14ac:dyDescent="0.3">
      <c r="S932">
        <f t="shared" si="74"/>
        <v>287.3</v>
      </c>
    </row>
    <row r="933" spans="19:19" x14ac:dyDescent="0.3">
      <c r="S933">
        <f t="shared" si="74"/>
        <v>287.3</v>
      </c>
    </row>
    <row r="934" spans="19:19" x14ac:dyDescent="0.3">
      <c r="S934">
        <f t="shared" si="74"/>
        <v>287.3</v>
      </c>
    </row>
    <row r="935" spans="19:19" x14ac:dyDescent="0.3">
      <c r="S935">
        <f t="shared" si="74"/>
        <v>287.3</v>
      </c>
    </row>
    <row r="936" spans="19:19" x14ac:dyDescent="0.3">
      <c r="S936">
        <f t="shared" si="74"/>
        <v>287.3</v>
      </c>
    </row>
    <row r="937" spans="19:19" x14ac:dyDescent="0.3">
      <c r="S937">
        <f t="shared" si="74"/>
        <v>287.3</v>
      </c>
    </row>
    <row r="938" spans="19:19" x14ac:dyDescent="0.3">
      <c r="S938">
        <f t="shared" si="74"/>
        <v>287.3</v>
      </c>
    </row>
    <row r="939" spans="19:19" x14ac:dyDescent="0.3">
      <c r="S939">
        <f t="shared" si="74"/>
        <v>287.3</v>
      </c>
    </row>
    <row r="940" spans="19:19" x14ac:dyDescent="0.3">
      <c r="S940">
        <f t="shared" si="74"/>
        <v>287.3</v>
      </c>
    </row>
    <row r="941" spans="19:19" x14ac:dyDescent="0.3">
      <c r="S941">
        <f t="shared" si="74"/>
        <v>287.3</v>
      </c>
    </row>
    <row r="942" spans="19:19" x14ac:dyDescent="0.3">
      <c r="S942">
        <f t="shared" si="74"/>
        <v>287.3</v>
      </c>
    </row>
    <row r="943" spans="19:19" x14ac:dyDescent="0.3">
      <c r="S943">
        <f t="shared" si="74"/>
        <v>287.3</v>
      </c>
    </row>
    <row r="944" spans="19:19" x14ac:dyDescent="0.3">
      <c r="S944">
        <f t="shared" si="74"/>
        <v>287.3</v>
      </c>
    </row>
    <row r="945" spans="19:19" x14ac:dyDescent="0.3">
      <c r="S945">
        <f t="shared" si="74"/>
        <v>287.3</v>
      </c>
    </row>
    <row r="946" spans="19:19" x14ac:dyDescent="0.3">
      <c r="S946">
        <f t="shared" si="74"/>
        <v>287.3</v>
      </c>
    </row>
    <row r="947" spans="19:19" x14ac:dyDescent="0.3">
      <c r="S947">
        <f t="shared" si="74"/>
        <v>287.3</v>
      </c>
    </row>
    <row r="948" spans="19:19" x14ac:dyDescent="0.3">
      <c r="S948">
        <f t="shared" si="74"/>
        <v>287.3</v>
      </c>
    </row>
    <row r="949" spans="19:19" x14ac:dyDescent="0.3">
      <c r="S949">
        <f t="shared" si="74"/>
        <v>287.3</v>
      </c>
    </row>
    <row r="950" spans="19:19" x14ac:dyDescent="0.3">
      <c r="S950">
        <f t="shared" si="74"/>
        <v>287.3</v>
      </c>
    </row>
    <row r="951" spans="19:19" x14ac:dyDescent="0.3">
      <c r="S951">
        <f t="shared" si="74"/>
        <v>287.3</v>
      </c>
    </row>
    <row r="952" spans="19:19" x14ac:dyDescent="0.3">
      <c r="S952">
        <f t="shared" si="74"/>
        <v>287.3</v>
      </c>
    </row>
    <row r="953" spans="19:19" x14ac:dyDescent="0.3">
      <c r="S953">
        <f t="shared" si="74"/>
        <v>287.3</v>
      </c>
    </row>
    <row r="954" spans="19:19" x14ac:dyDescent="0.3">
      <c r="S954">
        <f t="shared" si="74"/>
        <v>287.3</v>
      </c>
    </row>
    <row r="955" spans="19:19" x14ac:dyDescent="0.3">
      <c r="S955">
        <f t="shared" si="74"/>
        <v>287.3</v>
      </c>
    </row>
    <row r="956" spans="19:19" x14ac:dyDescent="0.3">
      <c r="S956">
        <f t="shared" si="74"/>
        <v>287.3</v>
      </c>
    </row>
    <row r="957" spans="19:19" x14ac:dyDescent="0.3">
      <c r="S957">
        <f t="shared" si="74"/>
        <v>287.3</v>
      </c>
    </row>
    <row r="958" spans="19:19" x14ac:dyDescent="0.3">
      <c r="S958">
        <f t="shared" si="74"/>
        <v>287.3</v>
      </c>
    </row>
    <row r="959" spans="19:19" x14ac:dyDescent="0.3">
      <c r="S959">
        <f t="shared" si="74"/>
        <v>287.3</v>
      </c>
    </row>
    <row r="960" spans="19:19" x14ac:dyDescent="0.3">
      <c r="S960">
        <f t="shared" si="74"/>
        <v>287.3</v>
      </c>
    </row>
    <row r="961" spans="19:19" x14ac:dyDescent="0.3">
      <c r="S961">
        <f t="shared" si="74"/>
        <v>287.3</v>
      </c>
    </row>
    <row r="962" spans="19:19" x14ac:dyDescent="0.3">
      <c r="S962">
        <f t="shared" si="74"/>
        <v>287.3</v>
      </c>
    </row>
    <row r="963" spans="19:19" x14ac:dyDescent="0.3">
      <c r="S963">
        <f t="shared" si="74"/>
        <v>287.3</v>
      </c>
    </row>
    <row r="964" spans="19:19" x14ac:dyDescent="0.3">
      <c r="S964">
        <f t="shared" si="74"/>
        <v>287.3</v>
      </c>
    </row>
    <row r="965" spans="19:19" x14ac:dyDescent="0.3">
      <c r="S965">
        <f t="shared" si="74"/>
        <v>287.3</v>
      </c>
    </row>
    <row r="966" spans="19:19" x14ac:dyDescent="0.3">
      <c r="S966">
        <f t="shared" ref="S966:S1003" si="75">$O$5*(1+R966/100000)</f>
        <v>287.3</v>
      </c>
    </row>
    <row r="967" spans="19:19" x14ac:dyDescent="0.3">
      <c r="S967">
        <f t="shared" si="75"/>
        <v>287.3</v>
      </c>
    </row>
    <row r="968" spans="19:19" x14ac:dyDescent="0.3">
      <c r="S968">
        <f t="shared" si="75"/>
        <v>287.3</v>
      </c>
    </row>
    <row r="969" spans="19:19" x14ac:dyDescent="0.3">
      <c r="S969">
        <f t="shared" si="75"/>
        <v>287.3</v>
      </c>
    </row>
    <row r="970" spans="19:19" x14ac:dyDescent="0.3">
      <c r="S970">
        <f t="shared" si="75"/>
        <v>287.3</v>
      </c>
    </row>
    <row r="971" spans="19:19" x14ac:dyDescent="0.3">
      <c r="S971">
        <f t="shared" si="75"/>
        <v>287.3</v>
      </c>
    </row>
    <row r="972" spans="19:19" x14ac:dyDescent="0.3">
      <c r="S972">
        <f t="shared" si="75"/>
        <v>287.3</v>
      </c>
    </row>
    <row r="973" spans="19:19" x14ac:dyDescent="0.3">
      <c r="S973">
        <f t="shared" si="75"/>
        <v>287.3</v>
      </c>
    </row>
    <row r="974" spans="19:19" x14ac:dyDescent="0.3">
      <c r="S974">
        <f t="shared" si="75"/>
        <v>287.3</v>
      </c>
    </row>
    <row r="975" spans="19:19" x14ac:dyDescent="0.3">
      <c r="S975">
        <f t="shared" si="75"/>
        <v>287.3</v>
      </c>
    </row>
    <row r="976" spans="19:19" x14ac:dyDescent="0.3">
      <c r="S976">
        <f t="shared" si="75"/>
        <v>287.3</v>
      </c>
    </row>
    <row r="977" spans="19:19" x14ac:dyDescent="0.3">
      <c r="S977">
        <f t="shared" si="75"/>
        <v>287.3</v>
      </c>
    </row>
    <row r="978" spans="19:19" x14ac:dyDescent="0.3">
      <c r="S978">
        <f t="shared" si="75"/>
        <v>287.3</v>
      </c>
    </row>
    <row r="979" spans="19:19" x14ac:dyDescent="0.3">
      <c r="S979">
        <f t="shared" si="75"/>
        <v>287.3</v>
      </c>
    </row>
    <row r="980" spans="19:19" x14ac:dyDescent="0.3">
      <c r="S980">
        <f t="shared" si="75"/>
        <v>287.3</v>
      </c>
    </row>
    <row r="981" spans="19:19" x14ac:dyDescent="0.3">
      <c r="S981">
        <f t="shared" si="75"/>
        <v>287.3</v>
      </c>
    </row>
    <row r="982" spans="19:19" x14ac:dyDescent="0.3">
      <c r="S982">
        <f t="shared" si="75"/>
        <v>287.3</v>
      </c>
    </row>
    <row r="983" spans="19:19" x14ac:dyDescent="0.3">
      <c r="S983">
        <f t="shared" si="75"/>
        <v>287.3</v>
      </c>
    </row>
    <row r="984" spans="19:19" x14ac:dyDescent="0.3">
      <c r="S984">
        <f t="shared" si="75"/>
        <v>287.3</v>
      </c>
    </row>
    <row r="985" spans="19:19" x14ac:dyDescent="0.3">
      <c r="S985">
        <f t="shared" si="75"/>
        <v>287.3</v>
      </c>
    </row>
    <row r="986" spans="19:19" x14ac:dyDescent="0.3">
      <c r="S986">
        <f t="shared" si="75"/>
        <v>287.3</v>
      </c>
    </row>
    <row r="987" spans="19:19" x14ac:dyDescent="0.3">
      <c r="S987">
        <f t="shared" si="75"/>
        <v>287.3</v>
      </c>
    </row>
    <row r="988" spans="19:19" x14ac:dyDescent="0.3">
      <c r="S988">
        <f t="shared" si="75"/>
        <v>287.3</v>
      </c>
    </row>
    <row r="989" spans="19:19" x14ac:dyDescent="0.3">
      <c r="S989">
        <f t="shared" si="75"/>
        <v>287.3</v>
      </c>
    </row>
    <row r="990" spans="19:19" x14ac:dyDescent="0.3">
      <c r="S990">
        <f t="shared" si="75"/>
        <v>287.3</v>
      </c>
    </row>
    <row r="991" spans="19:19" x14ac:dyDescent="0.3">
      <c r="S991">
        <f t="shared" si="75"/>
        <v>287.3</v>
      </c>
    </row>
    <row r="992" spans="19:19" x14ac:dyDescent="0.3">
      <c r="S992">
        <f t="shared" si="75"/>
        <v>287.3</v>
      </c>
    </row>
    <row r="993" spans="19:19" x14ac:dyDescent="0.3">
      <c r="S993">
        <f t="shared" si="75"/>
        <v>287.3</v>
      </c>
    </row>
    <row r="994" spans="19:19" x14ac:dyDescent="0.3">
      <c r="S994">
        <f t="shared" si="75"/>
        <v>287.3</v>
      </c>
    </row>
    <row r="995" spans="19:19" x14ac:dyDescent="0.3">
      <c r="S995">
        <f t="shared" si="75"/>
        <v>287.3</v>
      </c>
    </row>
    <row r="996" spans="19:19" x14ac:dyDescent="0.3">
      <c r="S996">
        <f t="shared" si="75"/>
        <v>287.3</v>
      </c>
    </row>
    <row r="997" spans="19:19" x14ac:dyDescent="0.3">
      <c r="S997">
        <f t="shared" si="75"/>
        <v>287.3</v>
      </c>
    </row>
    <row r="998" spans="19:19" x14ac:dyDescent="0.3">
      <c r="S998">
        <f t="shared" si="75"/>
        <v>287.3</v>
      </c>
    </row>
    <row r="999" spans="19:19" x14ac:dyDescent="0.3">
      <c r="S999">
        <f t="shared" si="75"/>
        <v>287.3</v>
      </c>
    </row>
    <row r="1000" spans="19:19" x14ac:dyDescent="0.3">
      <c r="S1000">
        <f t="shared" si="75"/>
        <v>287.3</v>
      </c>
    </row>
    <row r="1001" spans="19:19" x14ac:dyDescent="0.3">
      <c r="S1001">
        <f t="shared" si="75"/>
        <v>287.3</v>
      </c>
    </row>
    <row r="1002" spans="19:19" x14ac:dyDescent="0.3">
      <c r="S1002">
        <f t="shared" si="75"/>
        <v>287.3</v>
      </c>
    </row>
    <row r="1003" spans="19:19" x14ac:dyDescent="0.3">
      <c r="S1003">
        <f t="shared" si="75"/>
        <v>287.3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#summury</vt:lpstr>
      <vt:lpstr>Detail&lt;Child&gt;</vt:lpstr>
      <vt:lpstr>Detail&lt;Monster&gt;</vt:lpstr>
      <vt:lpstr>Skin</vt:lpstr>
      <vt:lpstr>Timeline</vt:lpstr>
      <vt:lpstr>Level</vt:lpstr>
      <vt:lpstr>LevelUp</vt:lpstr>
      <vt:lpstr>GradeUp</vt:lpstr>
      <vt:lpstr>Info</vt:lpstr>
      <vt:lpstr>#Base</vt:lpstr>
      <vt:lpstr>#Skin</vt:lpstr>
      <vt:lpstr>#등급업 재료 개수</vt:lpstr>
      <vt:lpstr>#Level 계산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Choi Kyung Seok</dc:creator>
  <cp:lastModifiedBy>Oh Young Jin</cp:lastModifiedBy>
  <dcterms:created xsi:type="dcterms:W3CDTF">2025-02-11T11:26:50Z</dcterms:created>
  <dcterms:modified xsi:type="dcterms:W3CDTF">2026-03-16T12:44:53Z</dcterms:modified>
</cp:coreProperties>
</file>